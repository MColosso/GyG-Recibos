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8"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9" documentId="11_87144434C779D54E4979A04465FFE91532BE17EA" xr6:coauthVersionLast="45" xr6:coauthVersionMax="45" xr10:uidLastSave="{7F85C5D4-731B-1A49-8E57-76CBA224A22C}"/>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(reordenado)'!$A$1:$BB$150</definedName>
    <definedName name="_xlnm._FilterDatabase" localSheetId="5" hidden="1">'RESUMEN OTROS'!$A$1:$L$154</definedName>
    <definedName name="_xlnm._FilterDatabase" localSheetId="7" hidden="1">Vecinos!$A$1:$I$144</definedName>
    <definedName name="_xlnm._FilterDatabase" localSheetId="0" hidden="1">Vigilancia!$A$1:$Q$2687</definedName>
  </definedNames>
  <calcPr calcId="191028" iterate="1" iterateCount="5" calcCompleted="0"/>
  <pivotCaches>
    <pivotCache cacheId="5008"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157" i="1" l="1"/>
  <c r="A3154" i="1" l="1"/>
  <c r="Q3160" i="1"/>
  <c r="P3160" i="1"/>
  <c r="O3160" i="1"/>
  <c r="N3160" i="1"/>
  <c r="M3160" i="1"/>
  <c r="A3155" i="1" l="1"/>
  <c r="AV34" i="9"/>
  <c r="Q3159" i="1"/>
  <c r="P3159" i="1"/>
  <c r="O3159" i="1"/>
  <c r="N3159" i="1"/>
  <c r="M3159" i="1"/>
  <c r="Q3158" i="1"/>
  <c r="P3158" i="1"/>
  <c r="O3158" i="1"/>
  <c r="N3158" i="1"/>
  <c r="M3158" i="1"/>
  <c r="Q3157" i="1"/>
  <c r="P3157" i="1"/>
  <c r="O3157" i="1"/>
  <c r="N3157" i="1"/>
  <c r="M3157" i="1"/>
  <c r="A3153" i="1" l="1"/>
  <c r="AU67" i="9" l="1"/>
  <c r="Q3156" i="1"/>
  <c r="P3156" i="1"/>
  <c r="O3156" i="1"/>
  <c r="N3156" i="1"/>
  <c r="M3156" i="1"/>
  <c r="A3152" i="1" l="1"/>
  <c r="A3147" i="1" l="1"/>
  <c r="Q3155" i="1"/>
  <c r="P3155" i="1"/>
  <c r="O3155" i="1"/>
  <c r="N3155" i="1"/>
  <c r="M3155" i="1"/>
  <c r="Q3154" i="1"/>
  <c r="P3154" i="1"/>
  <c r="O3154" i="1"/>
  <c r="N3154" i="1"/>
  <c r="M3154" i="1"/>
  <c r="Q3153" i="1"/>
  <c r="P3153" i="1"/>
  <c r="O3153" i="1"/>
  <c r="N3153" i="1"/>
  <c r="M3153" i="1"/>
  <c r="Q3152" i="1" l="1"/>
  <c r="P3152" i="1"/>
  <c r="O3152" i="1"/>
  <c r="N3152" i="1"/>
  <c r="M3152" i="1"/>
  <c r="Q3151" i="1"/>
  <c r="P3151" i="1"/>
  <c r="O3151" i="1"/>
  <c r="N3151" i="1"/>
  <c r="M3151" i="1"/>
  <c r="Q3150" i="1"/>
  <c r="P3150" i="1"/>
  <c r="O3150" i="1"/>
  <c r="N3150" i="1"/>
  <c r="M3150" i="1"/>
  <c r="Q3149" i="1"/>
  <c r="P3149" i="1"/>
  <c r="O3149" i="1"/>
  <c r="N3149" i="1"/>
  <c r="M3149" i="1"/>
  <c r="A3145" i="1" l="1"/>
  <c r="Q3148" i="1" l="1"/>
  <c r="P3148" i="1"/>
  <c r="O3148" i="1"/>
  <c r="N3148" i="1"/>
  <c r="M3148" i="1"/>
  <c r="A3144" i="1" l="1"/>
  <c r="A3142" i="1" l="1"/>
  <c r="Q3147" i="1"/>
  <c r="P3147" i="1"/>
  <c r="O3147" i="1"/>
  <c r="N3147" i="1"/>
  <c r="M3147" i="1"/>
  <c r="Q3146" i="1"/>
  <c r="P3146" i="1"/>
  <c r="O3146" i="1"/>
  <c r="N3146" i="1"/>
  <c r="M3146" i="1"/>
  <c r="Q3145" i="1" l="1"/>
  <c r="P3145" i="1"/>
  <c r="O3145" i="1"/>
  <c r="N3145" i="1"/>
  <c r="M3145" i="1"/>
  <c r="Q3144" i="1"/>
  <c r="P3144" i="1"/>
  <c r="O3144" i="1"/>
  <c r="N3144" i="1"/>
  <c r="M3144" i="1"/>
  <c r="A3140" i="1" l="1"/>
  <c r="AV61" i="9" l="1"/>
  <c r="AU61" i="9"/>
  <c r="Q3143" i="1"/>
  <c r="P3143" i="1"/>
  <c r="O3143" i="1"/>
  <c r="N3143" i="1"/>
  <c r="M3143" i="1"/>
  <c r="Q3142" i="1"/>
  <c r="P3142" i="1"/>
  <c r="O3142" i="1"/>
  <c r="N3142" i="1"/>
  <c r="M3142" i="1"/>
  <c r="Q3141" i="1"/>
  <c r="P3141" i="1"/>
  <c r="O3141" i="1"/>
  <c r="N3141" i="1"/>
  <c r="M3141" i="1"/>
  <c r="A3141" i="1"/>
  <c r="L3141" i="1" l="1"/>
  <c r="A3143" i="1"/>
  <c r="L3142" i="1"/>
  <c r="A3137" i="1"/>
  <c r="L3143" i="1" l="1"/>
  <c r="AU17" i="9"/>
  <c r="Q3140" i="1"/>
  <c r="P3140" i="1"/>
  <c r="O3140" i="1"/>
  <c r="N3140" i="1"/>
  <c r="M3140" i="1"/>
  <c r="L3144" i="1" l="1"/>
  <c r="A3136" i="1"/>
  <c r="L3145" i="1" l="1"/>
  <c r="A3146" i="1"/>
  <c r="Q3139" i="1"/>
  <c r="P3139" i="1"/>
  <c r="O3139" i="1"/>
  <c r="N3139" i="1"/>
  <c r="M3139" i="1"/>
  <c r="L3146" i="1" l="1"/>
  <c r="A3135" i="1"/>
  <c r="L3147" i="1" l="1"/>
  <c r="A3148" i="1"/>
  <c r="K156" i="8"/>
  <c r="K157" i="8" s="1"/>
  <c r="K153" i="8"/>
  <c r="K152" i="8"/>
  <c r="K151" i="8"/>
  <c r="K150" i="8"/>
  <c r="K149" i="8"/>
  <c r="K148" i="8"/>
  <c r="L3148" i="1" l="1"/>
  <c r="A3149" i="1"/>
  <c r="Q3138" i="1"/>
  <c r="P3138" i="1"/>
  <c r="O3138" i="1"/>
  <c r="N3138" i="1"/>
  <c r="M3138" i="1"/>
  <c r="L3149" i="1" l="1"/>
  <c r="A3150" i="1"/>
  <c r="A3134" i="1"/>
  <c r="L3150" i="1" l="1"/>
  <c r="A3151" i="1"/>
  <c r="A3132" i="1"/>
  <c r="AV135" i="9"/>
  <c r="Q3137" i="1"/>
  <c r="P3137" i="1"/>
  <c r="O3137" i="1"/>
  <c r="N3137" i="1"/>
  <c r="M3137" i="1"/>
  <c r="Q3136" i="1"/>
  <c r="P3136" i="1"/>
  <c r="O3136" i="1"/>
  <c r="N3136" i="1"/>
  <c r="M3136" i="1"/>
  <c r="Q3135" i="1"/>
  <c r="P3135" i="1"/>
  <c r="O3135" i="1"/>
  <c r="N3135" i="1"/>
  <c r="M3135" i="1"/>
  <c r="Q3134" i="1"/>
  <c r="P3134" i="1"/>
  <c r="O3134" i="1"/>
  <c r="N3134" i="1"/>
  <c r="M3134" i="1"/>
  <c r="L3151" i="1" l="1"/>
  <c r="A3130" i="1"/>
  <c r="L3152" i="1" l="1"/>
  <c r="A3128" i="1"/>
  <c r="Q3133" i="1"/>
  <c r="P3133" i="1"/>
  <c r="O3133" i="1"/>
  <c r="N3133" i="1"/>
  <c r="M3133" i="1"/>
  <c r="Q3132" i="1"/>
  <c r="P3132" i="1"/>
  <c r="O3132" i="1"/>
  <c r="N3132" i="1"/>
  <c r="M3132" i="1"/>
  <c r="Q3131" i="1"/>
  <c r="P3131" i="1"/>
  <c r="O3131" i="1"/>
  <c r="N3131" i="1"/>
  <c r="M3131" i="1"/>
  <c r="Q3130" i="1"/>
  <c r="P3130" i="1"/>
  <c r="O3130" i="1"/>
  <c r="N3130" i="1"/>
  <c r="M3130" i="1"/>
  <c r="L3153" i="1" l="1"/>
  <c r="A3126" i="1"/>
  <c r="AU152" i="9"/>
  <c r="L3154" i="1" l="1"/>
  <c r="AG27" i="4"/>
  <c r="Q3129" i="1"/>
  <c r="P3129" i="1"/>
  <c r="O3129" i="1"/>
  <c r="N3129" i="1"/>
  <c r="M3129" i="1"/>
  <c r="Q3128" i="1"/>
  <c r="P3128" i="1"/>
  <c r="O3128" i="1"/>
  <c r="N3128" i="1"/>
  <c r="M3128" i="1"/>
  <c r="L3155" i="1" l="1"/>
  <c r="A3156" i="1"/>
  <c r="A3125" i="1"/>
  <c r="Q3127" i="1"/>
  <c r="P3127" i="1"/>
  <c r="O3127" i="1"/>
  <c r="N3127" i="1"/>
  <c r="M3127" i="1"/>
  <c r="A3127" i="1"/>
  <c r="L3127" i="1"/>
  <c r="A3123" i="1"/>
  <c r="Q3126" i="1"/>
  <c r="P3126" i="1"/>
  <c r="O3126" i="1"/>
  <c r="N3126" i="1"/>
  <c r="M3126" i="1"/>
  <c r="Q3125" i="1"/>
  <c r="P3125" i="1"/>
  <c r="O3125" i="1"/>
  <c r="N3125" i="1"/>
  <c r="M3125" i="1"/>
  <c r="A3121" i="1"/>
  <c r="AD75" i="4"/>
  <c r="AC75" i="4"/>
  <c r="AD74" i="4"/>
  <c r="AC74" i="4"/>
  <c r="AD73" i="4"/>
  <c r="AC73" i="4"/>
  <c r="AD72" i="4"/>
  <c r="AC72" i="4"/>
  <c r="AD71" i="4"/>
  <c r="AC71" i="4"/>
  <c r="AD70" i="4"/>
  <c r="AC70" i="4"/>
  <c r="AD69" i="4"/>
  <c r="AC69" i="4"/>
  <c r="AD68" i="4"/>
  <c r="AC68" i="4"/>
  <c r="AD67" i="4"/>
  <c r="AC67" i="4"/>
  <c r="AD66" i="4"/>
  <c r="AC66" i="4"/>
  <c r="AD65" i="4"/>
  <c r="AC65" i="4"/>
  <c r="AD64" i="4"/>
  <c r="AC64" i="4"/>
  <c r="AD63" i="4"/>
  <c r="AC63" i="4"/>
  <c r="AD62" i="4"/>
  <c r="AC62" i="4"/>
  <c r="AD61" i="4"/>
  <c r="AC61" i="4"/>
  <c r="AD60" i="4"/>
  <c r="AC60" i="4"/>
  <c r="AD59" i="4"/>
  <c r="AC59" i="4"/>
  <c r="AD58" i="4"/>
  <c r="AC58" i="4"/>
  <c r="AD57" i="4"/>
  <c r="AC57" i="4"/>
  <c r="AD56" i="4"/>
  <c r="AC56" i="4"/>
  <c r="AD55" i="4"/>
  <c r="AC55" i="4"/>
  <c r="AD54" i="4"/>
  <c r="AC54" i="4"/>
  <c r="AD53" i="4"/>
  <c r="AC53" i="4"/>
  <c r="AD52" i="4"/>
  <c r="AC52" i="4"/>
  <c r="AD51" i="4"/>
  <c r="AC51" i="4"/>
  <c r="AD50" i="4"/>
  <c r="AC50" i="4"/>
  <c r="AD49" i="4"/>
  <c r="AC49" i="4"/>
  <c r="AD48" i="4"/>
  <c r="AC48" i="4"/>
  <c r="AD47" i="4"/>
  <c r="AC47" i="4"/>
  <c r="AD46" i="4"/>
  <c r="AC46" i="4"/>
  <c r="AD45" i="4"/>
  <c r="AC45" i="4"/>
  <c r="AD44" i="4"/>
  <c r="AC44" i="4"/>
  <c r="AD43" i="4"/>
  <c r="AC43" i="4"/>
  <c r="AD42" i="4"/>
  <c r="AC42" i="4"/>
  <c r="AD41" i="4"/>
  <c r="AC41" i="4"/>
  <c r="AD40" i="4"/>
  <c r="AC40" i="4"/>
  <c r="AD39" i="4"/>
  <c r="AC39" i="4"/>
  <c r="AD38" i="4"/>
  <c r="AC38" i="4"/>
  <c r="AD37" i="4"/>
  <c r="AC37" i="4"/>
  <c r="AD36" i="4"/>
  <c r="AC36" i="4"/>
  <c r="AD35" i="4"/>
  <c r="AC35" i="4"/>
  <c r="AD34" i="4"/>
  <c r="AC34" i="4"/>
  <c r="AD33" i="4"/>
  <c r="AC33" i="4"/>
  <c r="AD32" i="4"/>
  <c r="AC32" i="4"/>
  <c r="AD31" i="4"/>
  <c r="AC31" i="4"/>
  <c r="AD30" i="4"/>
  <c r="AC30" i="4"/>
  <c r="AD29" i="4"/>
  <c r="AC29" i="4"/>
  <c r="AD28" i="4"/>
  <c r="AC28" i="4"/>
  <c r="AD27" i="4"/>
  <c r="AC27" i="4"/>
  <c r="AD26" i="4"/>
  <c r="AC26" i="4"/>
  <c r="AD25" i="4"/>
  <c r="AC25" i="4"/>
  <c r="AD24" i="4"/>
  <c r="AC24" i="4"/>
  <c r="AD23" i="4"/>
  <c r="AC23" i="4"/>
  <c r="AD22" i="4"/>
  <c r="AC22" i="4"/>
  <c r="AD21" i="4"/>
  <c r="AC21" i="4"/>
  <c r="AD20" i="4"/>
  <c r="AC20" i="4"/>
  <c r="AD19" i="4"/>
  <c r="AC19" i="4"/>
  <c r="AD18" i="4"/>
  <c r="AC18" i="4"/>
  <c r="AD17" i="4"/>
  <c r="AC17" i="4"/>
  <c r="AD16" i="4"/>
  <c r="AC16" i="4"/>
  <c r="AD15" i="4"/>
  <c r="AC15" i="4"/>
  <c r="AD14" i="4"/>
  <c r="AD13" i="4"/>
  <c r="AD12" i="4"/>
  <c r="AC12" i="4"/>
  <c r="AC13" i="4"/>
  <c r="AC14" i="4"/>
  <c r="AD11" i="4"/>
  <c r="AC11" i="4"/>
  <c r="AD10" i="4"/>
  <c r="AC10" i="4"/>
  <c r="AD9" i="4"/>
  <c r="AC9" i="4"/>
  <c r="AD8" i="4"/>
  <c r="AD7" i="4"/>
  <c r="AD6" i="4"/>
  <c r="AD5" i="4"/>
  <c r="AD4" i="4"/>
  <c r="AC4" i="4"/>
  <c r="AC5" i="4"/>
  <c r="AC6" i="4"/>
  <c r="AC7" i="4"/>
  <c r="AC8" i="4"/>
  <c r="AM82" i="9"/>
  <c r="Q3124" i="1"/>
  <c r="P3124" i="1"/>
  <c r="O3124" i="1"/>
  <c r="N3124" i="1"/>
  <c r="M3124" i="1"/>
  <c r="Q3123" i="1"/>
  <c r="P3123" i="1"/>
  <c r="O3123" i="1"/>
  <c r="N3123" i="1"/>
  <c r="M3123" i="1"/>
  <c r="A3119" i="1"/>
  <c r="Q3122" i="1"/>
  <c r="P3122" i="1"/>
  <c r="O3122" i="1"/>
  <c r="N3122" i="1"/>
  <c r="M3122" i="1"/>
  <c r="A3118" i="1"/>
  <c r="Q3121" i="1"/>
  <c r="P3121" i="1"/>
  <c r="O3121" i="1"/>
  <c r="N3121" i="1"/>
  <c r="M3121" i="1"/>
  <c r="A3117" i="1"/>
  <c r="Q3120" i="1"/>
  <c r="P3120" i="1"/>
  <c r="O3120" i="1"/>
  <c r="N3120" i="1"/>
  <c r="M3120" i="1"/>
  <c r="Q3119" i="1"/>
  <c r="P3119" i="1"/>
  <c r="O3119" i="1"/>
  <c r="N3119" i="1"/>
  <c r="M3119" i="1"/>
  <c r="L3119" i="1"/>
  <c r="A3120" i="1"/>
  <c r="A3115" i="1"/>
  <c r="L3120" i="1"/>
  <c r="A3113" i="1"/>
  <c r="Q3118" i="1"/>
  <c r="P3118" i="1"/>
  <c r="O3118" i="1"/>
  <c r="N3118" i="1"/>
  <c r="M3118" i="1"/>
  <c r="Q3117" i="1"/>
  <c r="P3117" i="1"/>
  <c r="O3117" i="1"/>
  <c r="N3117" i="1"/>
  <c r="M3117" i="1"/>
  <c r="Q3116" i="1"/>
  <c r="P3116" i="1"/>
  <c r="O3116" i="1"/>
  <c r="N3116" i="1"/>
  <c r="M3116" i="1"/>
  <c r="L3121" i="1"/>
  <c r="A3122" i="1"/>
  <c r="A3112" i="1"/>
  <c r="Q3115" i="1"/>
  <c r="P3115" i="1"/>
  <c r="O3115" i="1"/>
  <c r="N3115" i="1"/>
  <c r="M3115" i="1"/>
  <c r="L3122" i="1"/>
  <c r="A3111" i="1"/>
  <c r="L3123" i="1"/>
  <c r="A3124" i="1"/>
  <c r="M79" i="14"/>
  <c r="H79" i="14"/>
  <c r="L79" i="14"/>
  <c r="G79" i="14"/>
  <c r="F79" i="14"/>
  <c r="Q3114" i="1"/>
  <c r="P3114" i="1"/>
  <c r="O3114" i="1"/>
  <c r="N3114" i="1"/>
  <c r="M3114" i="1"/>
  <c r="L3124" i="1"/>
  <c r="A3110" i="1"/>
  <c r="L3125" i="1"/>
  <c r="L3126" i="1"/>
  <c r="A3108" i="1"/>
  <c r="Q3113" i="1"/>
  <c r="P3113" i="1"/>
  <c r="O3113" i="1"/>
  <c r="N3113" i="1"/>
  <c r="M3113" i="1"/>
  <c r="Q3112" i="1"/>
  <c r="P3112" i="1"/>
  <c r="O3112" i="1"/>
  <c r="N3112" i="1"/>
  <c r="M3112" i="1"/>
  <c r="D1" i="4"/>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M64" i="4"/>
  <c r="AM65" i="4"/>
  <c r="AM66" i="4"/>
  <c r="AM67" i="4"/>
  <c r="AL4" i="4"/>
  <c r="AM4" i="4"/>
  <c r="AM5" i="4"/>
  <c r="AM6" i="4"/>
  <c r="AM7" i="4"/>
  <c r="AM8" i="4"/>
  <c r="AM9" i="4"/>
  <c r="AM10" i="4"/>
  <c r="AM11" i="4"/>
  <c r="AM12" i="4"/>
  <c r="AM13" i="4"/>
  <c r="AM14" i="4"/>
  <c r="AM15" i="4"/>
  <c r="AM16" i="4"/>
  <c r="AM17" i="4"/>
  <c r="AM18" i="4"/>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49" i="4"/>
  <c r="AM50" i="4"/>
  <c r="AM51" i="4"/>
  <c r="AM52" i="4"/>
  <c r="AM53" i="4"/>
  <c r="AM54" i="4"/>
  <c r="AM55" i="4"/>
  <c r="AM56" i="4"/>
  <c r="AM57" i="4"/>
  <c r="AM58" i="4"/>
  <c r="AM59" i="4"/>
  <c r="AM60" i="4"/>
  <c r="AM61" i="4"/>
  <c r="AM62" i="4"/>
  <c r="AM63" i="4"/>
  <c r="AM68" i="4"/>
  <c r="AM69" i="4"/>
  <c r="AM70" i="4"/>
  <c r="AM71" i="4"/>
  <c r="AM72" i="4"/>
  <c r="AM73" i="4"/>
  <c r="AM74" i="4"/>
  <c r="AM75" i="4"/>
  <c r="D14" i="4" a="1"/>
  <c r="D14" i="4"/>
  <c r="AN75" i="4"/>
  <c r="AN74" i="4"/>
  <c r="AN73" i="4"/>
  <c r="AN72" i="4"/>
  <c r="AN71" i="4"/>
  <c r="AN70" i="4"/>
  <c r="AN69" i="4"/>
  <c r="AN68" i="4"/>
  <c r="AN67" i="4"/>
  <c r="AN66" i="4"/>
  <c r="AN65" i="4"/>
  <c r="AN64" i="4"/>
  <c r="AN63" i="4"/>
  <c r="AN62" i="4"/>
  <c r="AN61" i="4"/>
  <c r="AN60" i="4"/>
  <c r="AN59" i="4"/>
  <c r="AN58" i="4"/>
  <c r="AN57" i="4"/>
  <c r="AN56" i="4"/>
  <c r="AN55" i="4"/>
  <c r="AN54" i="4"/>
  <c r="AN53" i="4"/>
  <c r="AN52" i="4"/>
  <c r="AN51" i="4"/>
  <c r="AN50" i="4"/>
  <c r="AN49" i="4"/>
  <c r="AN48" i="4"/>
  <c r="AN47" i="4"/>
  <c r="AN46" i="4"/>
  <c r="AN45" i="4"/>
  <c r="AN44" i="4"/>
  <c r="AN43" i="4"/>
  <c r="AN42" i="4"/>
  <c r="AN41" i="4"/>
  <c r="AN40" i="4"/>
  <c r="AN39" i="4"/>
  <c r="AN38" i="4"/>
  <c r="AN37" i="4"/>
  <c r="AN36" i="4"/>
  <c r="AN35" i="4"/>
  <c r="AN34" i="4"/>
  <c r="AN33" i="4"/>
  <c r="AN32" i="4"/>
  <c r="AN31" i="4"/>
  <c r="AN30" i="4"/>
  <c r="AN29" i="4"/>
  <c r="AN28" i="4"/>
  <c r="AN27" i="4"/>
  <c r="AN26" i="4"/>
  <c r="AN25" i="4"/>
  <c r="AN24" i="4"/>
  <c r="AN23" i="4"/>
  <c r="AN22" i="4"/>
  <c r="AN21" i="4"/>
  <c r="AN20" i="4"/>
  <c r="AN19" i="4"/>
  <c r="AN18" i="4"/>
  <c r="AN17" i="4"/>
  <c r="AN16" i="4"/>
  <c r="AN15" i="4"/>
  <c r="AN14" i="4"/>
  <c r="AN13" i="4"/>
  <c r="AN12" i="4"/>
  <c r="AN11" i="4"/>
  <c r="AN10" i="4"/>
  <c r="AN9" i="4"/>
  <c r="AN8" i="4"/>
  <c r="AN7" i="4"/>
  <c r="AN6" i="4"/>
  <c r="AN5" i="4"/>
  <c r="AN4" i="4"/>
  <c r="E3110" i="1"/>
  <c r="P3111" i="1"/>
  <c r="O3111" i="1"/>
  <c r="N3111" i="1"/>
  <c r="M3111" i="1"/>
  <c r="P3110" i="1"/>
  <c r="O3110" i="1"/>
  <c r="N3110" i="1"/>
  <c r="M3110" i="1"/>
  <c r="Q3111" i="1"/>
  <c r="Q3110" i="1"/>
  <c r="P3109" i="1"/>
  <c r="O3109" i="1"/>
  <c r="N3109" i="1"/>
  <c r="M3109" i="1"/>
  <c r="Q3109" i="1"/>
  <c r="E2904" i="1"/>
  <c r="P3108" i="1"/>
  <c r="O3108" i="1"/>
  <c r="N3108" i="1"/>
  <c r="M3108" i="1"/>
  <c r="P3107" i="1"/>
  <c r="O3107" i="1"/>
  <c r="N3107" i="1"/>
  <c r="M3107" i="1"/>
  <c r="Q3107" i="1"/>
  <c r="Q3108" i="1"/>
  <c r="P3106" i="1"/>
  <c r="O3106" i="1"/>
  <c r="N3106" i="1"/>
  <c r="M3106" i="1"/>
  <c r="P3105" i="1"/>
  <c r="O3105" i="1"/>
  <c r="N3105" i="1"/>
  <c r="M3105" i="1"/>
  <c r="P3104" i="1"/>
  <c r="O3104" i="1"/>
  <c r="N3104" i="1"/>
  <c r="M3104" i="1"/>
  <c r="P3103" i="1"/>
  <c r="O3103" i="1"/>
  <c r="N3103" i="1"/>
  <c r="M3103" i="1"/>
  <c r="P3102" i="1"/>
  <c r="O3102" i="1"/>
  <c r="N3102" i="1"/>
  <c r="M3102" i="1"/>
  <c r="Q3106" i="1"/>
  <c r="Q3104" i="1"/>
  <c r="Q3102" i="1"/>
  <c r="Q3105" i="1"/>
  <c r="Q3103" i="1"/>
  <c r="P3101" i="1"/>
  <c r="O3101" i="1"/>
  <c r="N3101" i="1"/>
  <c r="M3101" i="1"/>
  <c r="L3101" i="1"/>
  <c r="P3100" i="1"/>
  <c r="O3100" i="1"/>
  <c r="N3100" i="1"/>
  <c r="M3100" i="1"/>
  <c r="P3099" i="1"/>
  <c r="O3099" i="1"/>
  <c r="N3099" i="1"/>
  <c r="M3099" i="1"/>
  <c r="P3098" i="1"/>
  <c r="O3098" i="1"/>
  <c r="N3098" i="1"/>
  <c r="M3098" i="1"/>
  <c r="P3097" i="1"/>
  <c r="O3097" i="1"/>
  <c r="N3097" i="1"/>
  <c r="M3097" i="1"/>
  <c r="F1" i="9"/>
  <c r="G1" i="9"/>
  <c r="H1" i="9"/>
  <c r="I1" i="9"/>
  <c r="J1" i="9"/>
  <c r="K1" i="9"/>
  <c r="L1" i="9"/>
  <c r="M1" i="9"/>
  <c r="N1" i="9"/>
  <c r="O1" i="9"/>
  <c r="P1" i="9"/>
  <c r="Q1" i="9"/>
  <c r="R1" i="9"/>
  <c r="S1" i="9"/>
  <c r="T1" i="9"/>
  <c r="U1" i="9"/>
  <c r="V1" i="9"/>
  <c r="W1" i="9"/>
  <c r="X1" i="9"/>
  <c r="Y1" i="9"/>
  <c r="Z1" i="9"/>
  <c r="AA1" i="9"/>
  <c r="AB1" i="9"/>
  <c r="AC1" i="9"/>
  <c r="AD1" i="9"/>
  <c r="AE1" i="9"/>
  <c r="AF1" i="9"/>
  <c r="AG1" i="9"/>
  <c r="AH1" i="9"/>
  <c r="AI1" i="9"/>
  <c r="AJ1" i="9"/>
  <c r="AK1" i="9"/>
  <c r="AL1" i="9"/>
  <c r="AM1" i="9"/>
  <c r="AN1" i="9"/>
  <c r="AO1" i="9"/>
  <c r="AP1" i="9"/>
  <c r="AQ1" i="9"/>
  <c r="AR1" i="9"/>
  <c r="AS1" i="9"/>
  <c r="AT1" i="9"/>
  <c r="AU1" i="9"/>
  <c r="F4" i="14"/>
  <c r="F5" i="14"/>
  <c r="A6" i="14"/>
  <c r="F6" i="14"/>
  <c r="A7" i="14"/>
  <c r="F7" i="14"/>
  <c r="A8" i="14"/>
  <c r="F8" i="14"/>
  <c r="A9" i="14"/>
  <c r="F9" i="14"/>
  <c r="A10" i="14"/>
  <c r="F10" i="14"/>
  <c r="A11" i="14"/>
  <c r="F11" i="14"/>
  <c r="A12" i="14"/>
  <c r="F12" i="14"/>
  <c r="A13" i="14"/>
  <c r="F13" i="14"/>
  <c r="A14" i="14"/>
  <c r="F14" i="14"/>
  <c r="A15" i="14"/>
  <c r="F15" i="14"/>
  <c r="A16" i="14"/>
  <c r="F16" i="14"/>
  <c r="A17" i="14"/>
  <c r="F17" i="14"/>
  <c r="A18" i="14"/>
  <c r="F18" i="14"/>
  <c r="A19" i="14"/>
  <c r="F19" i="14"/>
  <c r="A20" i="14"/>
  <c r="F20" i="14"/>
  <c r="A21" i="14"/>
  <c r="F21" i="14"/>
  <c r="A22" i="14"/>
  <c r="F22" i="14"/>
  <c r="A23" i="14"/>
  <c r="F23" i="14"/>
  <c r="A24" i="14"/>
  <c r="F24" i="14"/>
  <c r="A25" i="14"/>
  <c r="F25" i="14"/>
  <c r="A26" i="14"/>
  <c r="F26" i="14"/>
  <c r="A27" i="14"/>
  <c r="F27" i="14"/>
  <c r="A28" i="14"/>
  <c r="F28" i="14"/>
  <c r="A29" i="14"/>
  <c r="F29" i="14"/>
  <c r="A30" i="14"/>
  <c r="F30" i="14"/>
  <c r="A31" i="14"/>
  <c r="F31" i="14"/>
  <c r="A32" i="14"/>
  <c r="F32" i="14"/>
  <c r="A33" i="14"/>
  <c r="F33" i="14"/>
  <c r="A34" i="14"/>
  <c r="F34" i="14"/>
  <c r="A35" i="14"/>
  <c r="F35" i="14"/>
  <c r="A36"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c r="B6" i="14"/>
  <c r="H6" i="14"/>
  <c r="B7" i="14"/>
  <c r="H7" i="14"/>
  <c r="B8" i="14"/>
  <c r="H8" i="14"/>
  <c r="B9" i="14"/>
  <c r="H9" i="14"/>
  <c r="B10" i="14"/>
  <c r="H10" i="14"/>
  <c r="B11" i="14"/>
  <c r="H11" i="14"/>
  <c r="B12" i="14"/>
  <c r="H12" i="14"/>
  <c r="B13" i="14"/>
  <c r="H13" i="14"/>
  <c r="B14" i="14"/>
  <c r="H14" i="14"/>
  <c r="B15" i="14"/>
  <c r="H15" i="14"/>
  <c r="B16" i="14"/>
  <c r="H16" i="14"/>
  <c r="B17" i="14"/>
  <c r="H17" i="14"/>
  <c r="B18" i="14"/>
  <c r="H18" i="14"/>
  <c r="B19" i="14"/>
  <c r="H19" i="14"/>
  <c r="B20" i="14"/>
  <c r="H20" i="14"/>
  <c r="B21" i="14"/>
  <c r="H21" i="14"/>
  <c r="B22" i="14"/>
  <c r="H22" i="14"/>
  <c r="B23" i="14"/>
  <c r="H23" i="14"/>
  <c r="B24" i="14"/>
  <c r="H24" i="14"/>
  <c r="H25" i="14"/>
  <c r="H26" i="14"/>
  <c r="H27" i="14"/>
  <c r="H28" i="14"/>
  <c r="H29" i="14"/>
  <c r="H30" i="14"/>
  <c r="H31" i="14"/>
  <c r="H32" i="14"/>
  <c r="H33" i="14"/>
  <c r="H34" i="14"/>
  <c r="H35" i="14"/>
  <c r="H36" i="14"/>
  <c r="G37" i="14"/>
  <c r="H37" i="14"/>
  <c r="G38" i="14"/>
  <c r="H38" i="14"/>
  <c r="G39" i="14"/>
  <c r="H39" i="14"/>
  <c r="G40" i="14"/>
  <c r="H40" i="14"/>
  <c r="G41" i="14"/>
  <c r="H41" i="14"/>
  <c r="G42" i="14"/>
  <c r="H42" i="14"/>
  <c r="G43" i="14"/>
  <c r="H43" i="14"/>
  <c r="G44" i="14"/>
  <c r="H44" i="14"/>
  <c r="G45" i="14"/>
  <c r="H45" i="14"/>
  <c r="G46" i="14"/>
  <c r="H46" i="14"/>
  <c r="G47" i="14"/>
  <c r="H47" i="14"/>
  <c r="G48" i="14"/>
  <c r="H48" i="14"/>
  <c r="G49" i="14"/>
  <c r="H49" i="14"/>
  <c r="G50" i="14"/>
  <c r="H50" i="14"/>
  <c r="G51" i="14"/>
  <c r="H51" i="14"/>
  <c r="G52" i="14"/>
  <c r="H52" i="14"/>
  <c r="G53" i="14"/>
  <c r="H53" i="14"/>
  <c r="G54" i="14"/>
  <c r="H54" i="14"/>
  <c r="H55" i="14"/>
  <c r="H56" i="14"/>
  <c r="H57" i="14"/>
  <c r="H58" i="14"/>
  <c r="G59" i="14"/>
  <c r="H59" i="14"/>
  <c r="H60" i="14"/>
  <c r="H61" i="14"/>
  <c r="H62" i="14"/>
  <c r="H63" i="14"/>
  <c r="H64" i="14"/>
  <c r="H65" i="14"/>
  <c r="H66" i="14"/>
  <c r="G67" i="14"/>
  <c r="H67" i="14"/>
  <c r="H68" i="14"/>
  <c r="H69" i="14"/>
  <c r="H70" i="14"/>
  <c r="H71" i="14"/>
  <c r="H72" i="14"/>
  <c r="H73" i="14"/>
  <c r="H74" i="14"/>
  <c r="H75" i="14"/>
  <c r="H76" i="14"/>
  <c r="H77" i="14"/>
  <c r="H78" i="14"/>
  <c r="AU149" i="9"/>
  <c r="AT149" i="9"/>
  <c r="AS149" i="9"/>
  <c r="AR149" i="9"/>
  <c r="AQ149" i="9"/>
  <c r="AP149" i="9"/>
  <c r="AO149" i="9"/>
  <c r="AN149" i="9"/>
  <c r="AM149" i="9"/>
  <c r="AL149" i="9"/>
  <c r="AL152" i="9"/>
  <c r="AM152" i="9"/>
  <c r="AN152" i="9"/>
  <c r="AO152" i="9"/>
  <c r="AP152" i="9"/>
  <c r="AQ152" i="9"/>
  <c r="AR152" i="9"/>
  <c r="AS152" i="9"/>
  <c r="AT152" i="9"/>
  <c r="AV1" i="9"/>
  <c r="AV149" i="9"/>
  <c r="AV152" i="9"/>
  <c r="AW1" i="9"/>
  <c r="AW149" i="9"/>
  <c r="AW152" i="9"/>
  <c r="AX1" i="9"/>
  <c r="AX149" i="9"/>
  <c r="AX152" i="9"/>
  <c r="AY1" i="9"/>
  <c r="AY149" i="9"/>
  <c r="AY152" i="9"/>
  <c r="AZ1" i="9"/>
  <c r="AZ149" i="9"/>
  <c r="AZ152" i="9"/>
  <c r="P3096" i="1"/>
  <c r="O3096" i="1"/>
  <c r="N3096" i="1"/>
  <c r="M3096" i="1"/>
  <c r="P3095" i="1"/>
  <c r="O3095" i="1"/>
  <c r="N3095" i="1"/>
  <c r="M3095" i="1"/>
  <c r="L3095" i="1"/>
  <c r="P3094" i="1"/>
  <c r="O3094" i="1"/>
  <c r="N3094" i="1"/>
  <c r="M3094" i="1"/>
  <c r="P3093" i="1"/>
  <c r="O3093" i="1"/>
  <c r="N3093" i="1"/>
  <c r="M3093" i="1"/>
  <c r="P3092" i="1"/>
  <c r="O3092" i="1"/>
  <c r="N3092" i="1"/>
  <c r="M3092" i="1"/>
  <c r="O3091" i="1"/>
  <c r="N3091" i="1"/>
  <c r="M3091" i="1"/>
  <c r="P3091" i="1"/>
  <c r="P3090" i="1"/>
  <c r="O3090" i="1"/>
  <c r="N3090" i="1"/>
  <c r="M3090" i="1"/>
  <c r="L3090" i="1"/>
  <c r="P3089" i="1"/>
  <c r="O3089" i="1"/>
  <c r="N3089" i="1"/>
  <c r="M3089" i="1"/>
  <c r="L3089" i="1"/>
  <c r="P3088" i="1"/>
  <c r="O3088" i="1"/>
  <c r="N3088" i="1"/>
  <c r="M3088" i="1"/>
  <c r="L3088" i="1"/>
  <c r="P3087" i="1"/>
  <c r="O3087" i="1"/>
  <c r="N3087" i="1"/>
  <c r="M3087" i="1"/>
  <c r="L3087" i="1"/>
  <c r="P3086" i="1"/>
  <c r="O3086" i="1"/>
  <c r="N3086" i="1"/>
  <c r="M3086" i="1"/>
  <c r="L3086" i="1"/>
  <c r="P3085" i="1"/>
  <c r="O3085" i="1"/>
  <c r="N3085" i="1"/>
  <c r="M3085" i="1"/>
  <c r="L3085" i="1"/>
  <c r="AT60" i="9"/>
  <c r="L3091" i="1"/>
  <c r="L3092" i="1"/>
  <c r="P3084" i="1"/>
  <c r="O3084" i="1"/>
  <c r="N3084" i="1"/>
  <c r="M3084" i="1"/>
  <c r="P3083" i="1"/>
  <c r="O3083" i="1"/>
  <c r="N3083" i="1"/>
  <c r="M3083" i="1"/>
  <c r="L3093" i="1"/>
  <c r="L3094" i="1"/>
  <c r="P3082" i="1"/>
  <c r="O3082" i="1"/>
  <c r="N3082" i="1"/>
  <c r="M3082" i="1"/>
  <c r="P3081" i="1"/>
  <c r="O3081" i="1"/>
  <c r="N3081" i="1"/>
  <c r="M3081" i="1"/>
  <c r="P3080" i="1"/>
  <c r="O3080" i="1"/>
  <c r="N3080" i="1"/>
  <c r="M3080" i="1"/>
  <c r="P3079" i="1"/>
  <c r="O3079" i="1"/>
  <c r="N3079" i="1"/>
  <c r="M3079" i="1"/>
  <c r="P3078" i="1"/>
  <c r="O3078" i="1"/>
  <c r="N3078" i="1"/>
  <c r="M3078" i="1"/>
  <c r="P3077" i="1"/>
  <c r="O3077" i="1"/>
  <c r="N3077" i="1"/>
  <c r="M3077" i="1"/>
  <c r="P3075" i="1"/>
  <c r="O3075" i="1"/>
  <c r="N3075" i="1"/>
  <c r="M3075" i="1"/>
  <c r="P3076" i="1"/>
  <c r="O3076" i="1"/>
  <c r="N3076" i="1"/>
  <c r="M3076" i="1"/>
  <c r="P3074" i="1"/>
  <c r="O3074" i="1"/>
  <c r="N3074" i="1"/>
  <c r="M3074" i="1"/>
  <c r="AS78" i="9"/>
  <c r="E3072" i="1"/>
  <c r="P3073" i="1"/>
  <c r="O3073" i="1"/>
  <c r="N3073" i="1"/>
  <c r="M3073" i="1"/>
  <c r="P3072" i="1"/>
  <c r="O3072" i="1"/>
  <c r="N3072" i="1"/>
  <c r="M3072" i="1"/>
  <c r="B66" i="9"/>
  <c r="B66" i="8"/>
  <c r="A66" i="9"/>
  <c r="A66" i="8"/>
  <c r="K66" i="8" s="1"/>
  <c r="BA54" i="5"/>
  <c r="AZ54" i="5"/>
  <c r="AY54" i="5"/>
  <c r="AX54" i="5"/>
  <c r="AW54" i="5"/>
  <c r="AV54" i="5"/>
  <c r="AU54" i="5"/>
  <c r="AT54" i="5"/>
  <c r="AS54" i="5"/>
  <c r="AR54" i="5"/>
  <c r="AQ54" i="5"/>
  <c r="AP54" i="5"/>
  <c r="AO54" i="5"/>
  <c r="AN54" i="5"/>
  <c r="AM54" i="5"/>
  <c r="AL54" i="5"/>
  <c r="AK54" i="5"/>
  <c r="AJ54" i="5"/>
  <c r="AI54" i="5"/>
  <c r="AH54" i="5"/>
  <c r="AG54" i="5"/>
  <c r="AF54" i="5"/>
  <c r="AE54" i="5"/>
  <c r="AD54" i="5"/>
  <c r="AC54" i="5"/>
  <c r="AB54" i="5"/>
  <c r="AA54" i="5"/>
  <c r="Z54" i="5"/>
  <c r="Y54" i="5"/>
  <c r="X54" i="5"/>
  <c r="W54" i="5"/>
  <c r="V54" i="5"/>
  <c r="U54" i="5"/>
  <c r="T54" i="5"/>
  <c r="S54" i="5"/>
  <c r="R54" i="5"/>
  <c r="Q54" i="5"/>
  <c r="P54" i="5"/>
  <c r="O54" i="5"/>
  <c r="N54" i="5"/>
  <c r="M54" i="5"/>
  <c r="L54" i="5"/>
  <c r="K54" i="5"/>
  <c r="J54" i="5"/>
  <c r="I54" i="5"/>
  <c r="H54" i="5"/>
  <c r="G54" i="5"/>
  <c r="F54" i="5"/>
  <c r="E54" i="5"/>
  <c r="BB54" i="5"/>
  <c r="B54" i="5"/>
  <c r="A54" i="5"/>
  <c r="BA66" i="9"/>
  <c r="C66" i="9"/>
  <c r="L66" i="8"/>
  <c r="J66" i="8"/>
  <c r="I66" i="8"/>
  <c r="H66" i="8"/>
  <c r="G66" i="8"/>
  <c r="F66" i="8"/>
  <c r="E66" i="8"/>
  <c r="D66" i="8"/>
  <c r="C66" i="8"/>
  <c r="P3071" i="1"/>
  <c r="O3071" i="1"/>
  <c r="N3071" i="1"/>
  <c r="M3071" i="1"/>
  <c r="P3070" i="1"/>
  <c r="O3070" i="1"/>
  <c r="N3070" i="1"/>
  <c r="M3070" i="1"/>
  <c r="P3069" i="1"/>
  <c r="O3069" i="1"/>
  <c r="N3069" i="1"/>
  <c r="M3069" i="1"/>
  <c r="M78" i="14"/>
  <c r="L78" i="14"/>
  <c r="G78" i="14"/>
  <c r="P3068" i="1"/>
  <c r="O3068" i="1"/>
  <c r="N3068" i="1"/>
  <c r="M3068" i="1"/>
  <c r="P3067" i="1"/>
  <c r="O3067" i="1"/>
  <c r="N3067" i="1"/>
  <c r="M3067" i="1"/>
  <c r="P3066" i="1"/>
  <c r="O3066" i="1"/>
  <c r="N3066" i="1"/>
  <c r="M3066" i="1"/>
  <c r="P3065" i="1"/>
  <c r="O3065" i="1"/>
  <c r="N3065" i="1"/>
  <c r="M3065" i="1"/>
  <c r="P3064" i="1"/>
  <c r="O3064" i="1"/>
  <c r="N3064" i="1"/>
  <c r="M3064" i="1"/>
  <c r="P3063" i="1"/>
  <c r="O3063" i="1"/>
  <c r="N3063" i="1"/>
  <c r="M3063" i="1"/>
  <c r="P3062" i="1"/>
  <c r="O3062" i="1"/>
  <c r="N3062" i="1"/>
  <c r="M3062" i="1"/>
  <c r="P3061" i="1"/>
  <c r="O3061" i="1"/>
  <c r="N3061" i="1"/>
  <c r="M3061" i="1"/>
  <c r="AS95" i="9"/>
  <c r="P3060" i="1"/>
  <c r="O3060" i="1"/>
  <c r="N3060" i="1"/>
  <c r="M3060" i="1"/>
  <c r="P3059" i="1"/>
  <c r="O3059" i="1"/>
  <c r="N3059" i="1"/>
  <c r="M3059" i="1"/>
  <c r="P3058" i="1"/>
  <c r="O3058" i="1"/>
  <c r="N3058" i="1"/>
  <c r="M3058" i="1"/>
  <c r="P3057" i="1"/>
  <c r="O3057" i="1"/>
  <c r="N3057" i="1"/>
  <c r="M3057" i="1"/>
  <c r="P3056" i="1"/>
  <c r="O3056" i="1"/>
  <c r="N3056" i="1"/>
  <c r="M3056" i="1"/>
  <c r="P3055" i="1"/>
  <c r="O3055" i="1"/>
  <c r="N3055" i="1"/>
  <c r="M3055" i="1"/>
  <c r="P3054" i="1"/>
  <c r="O3054" i="1"/>
  <c r="N3054" i="1"/>
  <c r="M3054" i="1"/>
  <c r="P3053" i="1"/>
  <c r="O3053" i="1"/>
  <c r="N3053" i="1"/>
  <c r="M3053" i="1"/>
  <c r="P3052" i="1"/>
  <c r="O3052" i="1"/>
  <c r="N3052" i="1"/>
  <c r="M3052" i="1"/>
  <c r="P3051" i="1"/>
  <c r="O3051" i="1"/>
  <c r="N3051" i="1"/>
  <c r="M3051" i="1"/>
  <c r="P3050" i="1"/>
  <c r="O3050" i="1"/>
  <c r="N3050" i="1"/>
  <c r="M3050" i="1"/>
  <c r="P3049" i="1"/>
  <c r="O3049" i="1"/>
  <c r="N3049" i="1"/>
  <c r="M3049" i="1"/>
  <c r="P3048" i="1"/>
  <c r="O3048" i="1"/>
  <c r="N3048" i="1"/>
  <c r="M3048" i="1"/>
  <c r="P3047" i="1"/>
  <c r="O3047" i="1"/>
  <c r="N3047" i="1"/>
  <c r="M3047" i="1"/>
  <c r="P3046" i="1"/>
  <c r="O3046" i="1"/>
  <c r="N3046" i="1"/>
  <c r="M3046" i="1"/>
  <c r="P3045" i="1"/>
  <c r="O3045" i="1"/>
  <c r="N3045" i="1"/>
  <c r="M3045" i="1"/>
  <c r="AQ4" i="9"/>
  <c r="P3044" i="1"/>
  <c r="O3044" i="1"/>
  <c r="N3044" i="1"/>
  <c r="M3044" i="1"/>
  <c r="P3043" i="1"/>
  <c r="O3043" i="1"/>
  <c r="N3043" i="1"/>
  <c r="M3043" i="1"/>
  <c r="P3042" i="1"/>
  <c r="O3042" i="1"/>
  <c r="N3042" i="1"/>
  <c r="M3042" i="1"/>
  <c r="P3041" i="1"/>
  <c r="O3041" i="1"/>
  <c r="N3041" i="1"/>
  <c r="M3041" i="1"/>
  <c r="P3040" i="1"/>
  <c r="O3040" i="1"/>
  <c r="N3040" i="1"/>
  <c r="M3040" i="1"/>
  <c r="P3039" i="1"/>
  <c r="O3039" i="1"/>
  <c r="N3039" i="1"/>
  <c r="M3039" i="1"/>
  <c r="P3038" i="1"/>
  <c r="O3038" i="1"/>
  <c r="N3038" i="1"/>
  <c r="M3038" i="1"/>
  <c r="P3037" i="1"/>
  <c r="O3037" i="1"/>
  <c r="N3037" i="1"/>
  <c r="M3037" i="1"/>
  <c r="P3036" i="1"/>
  <c r="O3036" i="1"/>
  <c r="N3036" i="1"/>
  <c r="M3036" i="1"/>
  <c r="P3035" i="1"/>
  <c r="O3035" i="1"/>
  <c r="N3035" i="1"/>
  <c r="M3035" i="1"/>
  <c r="P3034" i="1"/>
  <c r="O3034" i="1"/>
  <c r="N3034" i="1"/>
  <c r="M3034" i="1"/>
  <c r="P3033" i="1"/>
  <c r="O3033" i="1"/>
  <c r="N3033" i="1"/>
  <c r="M3033" i="1"/>
  <c r="P3032" i="1"/>
  <c r="O3032" i="1"/>
  <c r="N3032" i="1"/>
  <c r="M3032" i="1"/>
  <c r="P3031" i="1"/>
  <c r="O3031" i="1"/>
  <c r="N3031" i="1"/>
  <c r="M3031" i="1"/>
  <c r="P3030" i="1"/>
  <c r="O3030" i="1"/>
  <c r="N3030" i="1"/>
  <c r="M3030" i="1"/>
  <c r="P3029" i="1"/>
  <c r="O3029" i="1"/>
  <c r="N3029" i="1"/>
  <c r="M3029" i="1"/>
  <c r="P3028" i="1"/>
  <c r="O3028" i="1"/>
  <c r="N3028" i="1"/>
  <c r="M3028" i="1"/>
  <c r="P3027" i="1"/>
  <c r="O3027" i="1"/>
  <c r="N3027" i="1"/>
  <c r="M3027" i="1"/>
  <c r="P3026" i="1"/>
  <c r="O3026" i="1"/>
  <c r="N3026" i="1"/>
  <c r="M3026" i="1"/>
  <c r="P3025" i="1"/>
  <c r="O3025" i="1"/>
  <c r="N3025" i="1"/>
  <c r="M3025" i="1"/>
  <c r="P3024" i="1"/>
  <c r="O3024" i="1"/>
  <c r="N3024" i="1"/>
  <c r="M3024" i="1"/>
  <c r="P3023" i="1"/>
  <c r="O3023" i="1"/>
  <c r="N3023" i="1"/>
  <c r="M3023" i="1"/>
  <c r="P3022" i="1"/>
  <c r="O3022" i="1"/>
  <c r="N3022" i="1"/>
  <c r="M3022" i="1"/>
  <c r="P3021" i="1"/>
  <c r="O3021" i="1"/>
  <c r="N3021" i="1"/>
  <c r="M3021" i="1"/>
  <c r="P3020" i="1"/>
  <c r="O3020" i="1"/>
  <c r="N3020" i="1"/>
  <c r="M3020" i="1"/>
  <c r="P3019" i="1"/>
  <c r="O3019" i="1"/>
  <c r="N3019" i="1"/>
  <c r="M3019" i="1"/>
  <c r="P3018" i="1"/>
  <c r="O3018" i="1"/>
  <c r="N3018" i="1"/>
  <c r="M3018" i="1"/>
  <c r="P3017" i="1"/>
  <c r="O3017" i="1"/>
  <c r="N3017" i="1"/>
  <c r="M3017" i="1"/>
  <c r="P3016" i="1"/>
  <c r="O3016" i="1"/>
  <c r="N3016" i="1"/>
  <c r="M3016" i="1"/>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E87" i="5"/>
  <c r="BB87" i="5"/>
  <c r="BA105" i="9"/>
  <c r="B105" i="9"/>
  <c r="A105" i="9"/>
  <c r="P3015" i="1"/>
  <c r="O3015" i="1"/>
  <c r="N3015" i="1"/>
  <c r="M3015" i="1"/>
  <c r="P3014" i="1"/>
  <c r="O3014" i="1"/>
  <c r="N3014" i="1"/>
  <c r="M3014" i="1"/>
  <c r="P3012" i="1"/>
  <c r="O3012" i="1"/>
  <c r="N3012" i="1"/>
  <c r="M3012" i="1"/>
  <c r="P3013" i="1"/>
  <c r="O3013" i="1"/>
  <c r="N3013" i="1"/>
  <c r="M3013" i="1"/>
  <c r="P3011" i="1"/>
  <c r="O3011" i="1"/>
  <c r="N3011" i="1"/>
  <c r="M3011" i="1"/>
  <c r="P3010" i="1"/>
  <c r="O3010" i="1"/>
  <c r="N3010" i="1"/>
  <c r="M3010" i="1"/>
  <c r="P3009" i="1"/>
  <c r="O3009" i="1"/>
  <c r="N3009" i="1"/>
  <c r="M3009" i="1"/>
  <c r="P3008" i="1"/>
  <c r="O3008" i="1"/>
  <c r="N3008" i="1"/>
  <c r="M3008" i="1"/>
  <c r="P3007" i="1"/>
  <c r="O3007" i="1"/>
  <c r="N3007" i="1"/>
  <c r="M3007" i="1"/>
  <c r="AS34" i="9"/>
  <c r="E2869" i="1"/>
  <c r="E2788" i="1"/>
  <c r="P3006" i="1"/>
  <c r="O3006" i="1"/>
  <c r="N3006" i="1"/>
  <c r="M3006" i="1"/>
  <c r="P3005" i="1"/>
  <c r="O3005" i="1"/>
  <c r="N3005" i="1"/>
  <c r="M3005" i="1"/>
  <c r="P3004" i="1"/>
  <c r="O3004" i="1"/>
  <c r="N3004" i="1"/>
  <c r="M3004" i="1"/>
  <c r="P3003" i="1"/>
  <c r="O3003" i="1"/>
  <c r="N3003" i="1"/>
  <c r="M3003" i="1"/>
  <c r="P3002" i="1"/>
  <c r="O3002" i="1"/>
  <c r="N3002" i="1"/>
  <c r="M3002" i="1"/>
  <c r="P3001" i="1"/>
  <c r="O3001" i="1"/>
  <c r="N3001" i="1"/>
  <c r="M3001" i="1"/>
  <c r="P3000" i="1"/>
  <c r="O3000" i="1"/>
  <c r="N3000" i="1"/>
  <c r="M3000" i="1"/>
  <c r="P2999" i="1"/>
  <c r="O2999" i="1"/>
  <c r="N2999" i="1"/>
  <c r="M2999" i="1"/>
  <c r="P2998" i="1"/>
  <c r="O2998" i="1"/>
  <c r="N2998" i="1"/>
  <c r="M2998" i="1"/>
  <c r="P2997" i="1"/>
  <c r="O2997" i="1"/>
  <c r="N2997" i="1"/>
  <c r="M2997" i="1"/>
  <c r="P2996" i="1"/>
  <c r="O2996" i="1"/>
  <c r="N2996" i="1"/>
  <c r="M2996" i="1"/>
  <c r="P2995" i="1"/>
  <c r="O2995" i="1"/>
  <c r="N2995" i="1"/>
  <c r="M2995" i="1"/>
  <c r="P2994" i="1"/>
  <c r="O2994" i="1"/>
  <c r="N2994" i="1"/>
  <c r="M2994" i="1"/>
  <c r="P2993" i="1"/>
  <c r="O2993" i="1"/>
  <c r="N2993" i="1"/>
  <c r="M2993" i="1"/>
  <c r="P2992" i="1"/>
  <c r="O2992" i="1"/>
  <c r="N2992" i="1"/>
  <c r="M2992" i="1"/>
  <c r="AR34" i="9"/>
  <c r="P2991" i="1"/>
  <c r="O2991" i="1"/>
  <c r="N2991" i="1"/>
  <c r="M2991" i="1"/>
  <c r="P2990" i="1"/>
  <c r="O2990" i="1"/>
  <c r="N2990" i="1"/>
  <c r="M2990" i="1"/>
  <c r="P2989" i="1"/>
  <c r="O2989" i="1"/>
  <c r="N2989" i="1"/>
  <c r="M2989" i="1"/>
  <c r="P2988" i="1"/>
  <c r="O2988" i="1"/>
  <c r="N2988" i="1"/>
  <c r="M2988" i="1"/>
  <c r="P2987" i="1"/>
  <c r="O2987" i="1"/>
  <c r="N2987" i="1"/>
  <c r="M2987" i="1"/>
  <c r="P2986" i="1"/>
  <c r="O2986" i="1"/>
  <c r="N2986" i="1"/>
  <c r="M2986" i="1"/>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B8" i="5"/>
  <c r="BA34" i="9"/>
  <c r="B34" i="9"/>
  <c r="A34" i="9"/>
  <c r="A34" i="8"/>
  <c r="K34" i="8" s="1"/>
  <c r="A8" i="5"/>
  <c r="B34" i="8"/>
  <c r="B8" i="5"/>
  <c r="C34" i="9"/>
  <c r="L34" i="8"/>
  <c r="J34" i="8"/>
  <c r="I34" i="8"/>
  <c r="H34" i="8"/>
  <c r="G34" i="8"/>
  <c r="F34" i="8"/>
  <c r="E34" i="8"/>
  <c r="D34" i="8"/>
  <c r="C34" i="8"/>
  <c r="P2985" i="1"/>
  <c r="O2985" i="1"/>
  <c r="N2985" i="1"/>
  <c r="M2985" i="1"/>
  <c r="P2984" i="1"/>
  <c r="O2984" i="1"/>
  <c r="N2984" i="1"/>
  <c r="M2984" i="1"/>
  <c r="P2983" i="1"/>
  <c r="O2983" i="1"/>
  <c r="N2983" i="1"/>
  <c r="M2983" i="1"/>
  <c r="P2982" i="1"/>
  <c r="O2982" i="1"/>
  <c r="N2982" i="1"/>
  <c r="M2982" i="1"/>
  <c r="P2981" i="1"/>
  <c r="O2981" i="1"/>
  <c r="N2981" i="1"/>
  <c r="M2981" i="1"/>
  <c r="P2980" i="1"/>
  <c r="O2980" i="1"/>
  <c r="N2980" i="1"/>
  <c r="M2980" i="1"/>
  <c r="P2979" i="1"/>
  <c r="O2979" i="1"/>
  <c r="N2979" i="1"/>
  <c r="M2979" i="1"/>
  <c r="P2978" i="1"/>
  <c r="O2978" i="1"/>
  <c r="N2978" i="1"/>
  <c r="M2978" i="1"/>
  <c r="P2977" i="1"/>
  <c r="O2977" i="1"/>
  <c r="N2977" i="1"/>
  <c r="M2977" i="1"/>
  <c r="P2976" i="1"/>
  <c r="O2976" i="1"/>
  <c r="N2976" i="1"/>
  <c r="M2976" i="1"/>
  <c r="P2975" i="1"/>
  <c r="O2975" i="1"/>
  <c r="N2975" i="1"/>
  <c r="M2975" i="1"/>
  <c r="P2974" i="1"/>
  <c r="O2974" i="1"/>
  <c r="N2974" i="1"/>
  <c r="M2974" i="1"/>
  <c r="P2973" i="1"/>
  <c r="O2973" i="1"/>
  <c r="N2973" i="1"/>
  <c r="M2973" i="1"/>
  <c r="P2972" i="1"/>
  <c r="O2972" i="1"/>
  <c r="N2972" i="1"/>
  <c r="M2972" i="1"/>
  <c r="P2971" i="1"/>
  <c r="O2971" i="1"/>
  <c r="N2971" i="1"/>
  <c r="M2971" i="1"/>
  <c r="P2970" i="1"/>
  <c r="O2970" i="1"/>
  <c r="N2970" i="1"/>
  <c r="M2970" i="1"/>
  <c r="P2969" i="1"/>
  <c r="O2969" i="1"/>
  <c r="N2969" i="1"/>
  <c r="M2969" i="1"/>
  <c r="P2968" i="1"/>
  <c r="O2968" i="1"/>
  <c r="N2968" i="1"/>
  <c r="M2968" i="1"/>
  <c r="P2967" i="1"/>
  <c r="O2967" i="1"/>
  <c r="N2967" i="1"/>
  <c r="M2967" i="1"/>
  <c r="P2966" i="1"/>
  <c r="O2966" i="1"/>
  <c r="N2966" i="1"/>
  <c r="M2966" i="1"/>
  <c r="P2965" i="1"/>
  <c r="O2965" i="1"/>
  <c r="N2965" i="1"/>
  <c r="M2965" i="1"/>
  <c r="P2964" i="1"/>
  <c r="O2964" i="1"/>
  <c r="N2964" i="1"/>
  <c r="M2964" i="1"/>
  <c r="P2963" i="1"/>
  <c r="O2963" i="1"/>
  <c r="N2963" i="1"/>
  <c r="M2963" i="1"/>
  <c r="P2962" i="1"/>
  <c r="O2962" i="1"/>
  <c r="N2962" i="1"/>
  <c r="M2962" i="1"/>
  <c r="P2961" i="1"/>
  <c r="O2961" i="1"/>
  <c r="N2961" i="1"/>
  <c r="M2961" i="1"/>
  <c r="P2960" i="1"/>
  <c r="O2960" i="1"/>
  <c r="N2960" i="1"/>
  <c r="M2960" i="1"/>
  <c r="P2959" i="1"/>
  <c r="O2959" i="1"/>
  <c r="N2959" i="1"/>
  <c r="M2959" i="1"/>
  <c r="P2958" i="1"/>
  <c r="O2958" i="1"/>
  <c r="N2958" i="1"/>
  <c r="M2958" i="1"/>
  <c r="P2957" i="1"/>
  <c r="O2957" i="1"/>
  <c r="N2957" i="1"/>
  <c r="M2957" i="1"/>
  <c r="P2956" i="1"/>
  <c r="O2956" i="1"/>
  <c r="N2956" i="1"/>
  <c r="M2956" i="1"/>
  <c r="P2955" i="1"/>
  <c r="O2955" i="1"/>
  <c r="N2955" i="1"/>
  <c r="M2955" i="1"/>
  <c r="P2954" i="1"/>
  <c r="O2954" i="1"/>
  <c r="N2954" i="1"/>
  <c r="M2954" i="1"/>
  <c r="P2953" i="1"/>
  <c r="O2953" i="1"/>
  <c r="N2953" i="1"/>
  <c r="M2953" i="1"/>
  <c r="P2952" i="1"/>
  <c r="O2952" i="1"/>
  <c r="N2952" i="1"/>
  <c r="M2952" i="1"/>
  <c r="G156" i="8"/>
  <c r="P2951" i="1"/>
  <c r="O2951" i="1"/>
  <c r="N2951" i="1"/>
  <c r="M2951" i="1"/>
  <c r="P2950" i="1"/>
  <c r="O2950" i="1"/>
  <c r="N2950" i="1"/>
  <c r="M2950" i="1"/>
  <c r="P2949" i="1"/>
  <c r="O2949" i="1"/>
  <c r="N2949" i="1"/>
  <c r="M2949" i="1"/>
  <c r="AS20" i="9"/>
  <c r="P2948" i="1"/>
  <c r="O2948" i="1"/>
  <c r="N2948" i="1"/>
  <c r="M2948" i="1"/>
  <c r="O2947" i="1"/>
  <c r="N2947" i="1"/>
  <c r="M2947" i="1"/>
  <c r="P2947" i="1"/>
  <c r="AS62" i="9"/>
  <c r="P2946" i="1"/>
  <c r="O2946" i="1"/>
  <c r="N2946" i="1"/>
  <c r="M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P2945" i="1"/>
  <c r="O2945" i="1"/>
  <c r="N2945" i="1"/>
  <c r="M2945" i="1"/>
  <c r="AS60" i="9"/>
  <c r="P2944" i="1"/>
  <c r="O2944" i="1"/>
  <c r="N2944" i="1"/>
  <c r="M2944" i="1"/>
  <c r="P2943" i="1"/>
  <c r="O2943" i="1"/>
  <c r="N2943" i="1"/>
  <c r="M2943" i="1"/>
  <c r="P2942" i="1"/>
  <c r="O2942" i="1"/>
  <c r="N2942" i="1"/>
  <c r="M2942" i="1"/>
  <c r="AS120" i="9"/>
  <c r="P2941" i="1"/>
  <c r="O2941" i="1"/>
  <c r="N2941" i="1"/>
  <c r="M2941" i="1"/>
  <c r="P2940" i="1"/>
  <c r="O2940" i="1"/>
  <c r="N2940" i="1"/>
  <c r="M2940" i="1"/>
  <c r="AR90" i="9"/>
  <c r="P2939" i="1"/>
  <c r="O2939" i="1"/>
  <c r="N2939" i="1"/>
  <c r="M2939" i="1"/>
  <c r="P2938" i="1"/>
  <c r="O2938" i="1"/>
  <c r="N2938" i="1"/>
  <c r="M2938" i="1"/>
  <c r="AS61" i="9"/>
  <c r="P2937" i="1"/>
  <c r="O2937" i="1"/>
  <c r="N2937" i="1"/>
  <c r="M2937" i="1"/>
  <c r="P2936" i="1"/>
  <c r="O2936" i="1"/>
  <c r="N2936" i="1"/>
  <c r="M2936" i="1"/>
  <c r="AT104" i="9"/>
  <c r="P2935" i="1"/>
  <c r="O2935" i="1"/>
  <c r="N2935" i="1"/>
  <c r="M2935" i="1"/>
  <c r="P2934" i="1"/>
  <c r="O2934" i="1"/>
  <c r="N2934" i="1"/>
  <c r="M2934" i="1"/>
  <c r="P2933" i="1"/>
  <c r="O2933" i="1"/>
  <c r="N2933" i="1"/>
  <c r="M2933" i="1"/>
  <c r="P2932" i="1"/>
  <c r="O2932" i="1"/>
  <c r="N2932" i="1"/>
  <c r="M2932" i="1"/>
  <c r="P2931" i="1"/>
  <c r="O2931" i="1"/>
  <c r="N2931" i="1"/>
  <c r="M2931" i="1"/>
  <c r="P2930" i="1"/>
  <c r="O2930" i="1"/>
  <c r="N2930" i="1"/>
  <c r="M2930" i="1"/>
  <c r="P2929" i="1"/>
  <c r="O2929" i="1"/>
  <c r="N2929" i="1"/>
  <c r="M2929" i="1"/>
  <c r="P2928" i="1"/>
  <c r="O2928" i="1"/>
  <c r="N2928" i="1"/>
  <c r="M2928" i="1"/>
  <c r="P2927" i="1"/>
  <c r="O2927" i="1"/>
  <c r="N2927" i="1"/>
  <c r="M2927" i="1"/>
  <c r="O2926" i="1"/>
  <c r="N2926" i="1"/>
  <c r="M2926" i="1"/>
  <c r="P2926" i="1"/>
  <c r="P2925" i="1"/>
  <c r="O2925" i="1"/>
  <c r="N2925" i="1"/>
  <c r="M2925" i="1"/>
  <c r="P2924" i="1"/>
  <c r="O2924" i="1"/>
  <c r="N2924" i="1"/>
  <c r="M2924" i="1"/>
  <c r="P2923" i="1"/>
  <c r="O2923" i="1"/>
  <c r="N2923" i="1"/>
  <c r="M2923" i="1"/>
  <c r="P2922" i="1"/>
  <c r="O2922" i="1"/>
  <c r="N2922" i="1"/>
  <c r="M2922" i="1"/>
  <c r="P2921" i="1"/>
  <c r="O2921" i="1"/>
  <c r="N2921" i="1"/>
  <c r="M2921" i="1"/>
  <c r="AT132" i="9"/>
  <c r="P2920" i="1"/>
  <c r="O2920" i="1"/>
  <c r="N2920" i="1"/>
  <c r="M2920" i="1"/>
  <c r="L77" i="14"/>
  <c r="G77" i="14"/>
  <c r="P2919" i="1"/>
  <c r="O2919" i="1"/>
  <c r="N2919" i="1"/>
  <c r="M2919" i="1"/>
  <c r="E2917" i="1"/>
  <c r="P2918" i="1"/>
  <c r="O2918" i="1"/>
  <c r="N2918" i="1"/>
  <c r="M2918" i="1"/>
  <c r="O2917" i="1"/>
  <c r="N2917" i="1"/>
  <c r="M2917" i="1"/>
  <c r="P2917" i="1"/>
  <c r="P2916" i="1"/>
  <c r="O2916" i="1"/>
  <c r="N2916" i="1"/>
  <c r="M2916" i="1"/>
  <c r="P2915" i="1"/>
  <c r="O2915" i="1"/>
  <c r="N2915" i="1"/>
  <c r="M2915" i="1"/>
  <c r="P2914" i="1"/>
  <c r="O2914" i="1"/>
  <c r="N2914" i="1"/>
  <c r="M2914" i="1"/>
  <c r="P2913" i="1"/>
  <c r="O2913" i="1"/>
  <c r="N2913" i="1"/>
  <c r="M2913" i="1"/>
  <c r="AR49" i="9"/>
  <c r="AQ49" i="9"/>
  <c r="P2912" i="1"/>
  <c r="O2912" i="1"/>
  <c r="N2912" i="1"/>
  <c r="M2912" i="1"/>
  <c r="O2911" i="1"/>
  <c r="N2911" i="1"/>
  <c r="M2911" i="1"/>
  <c r="P2911" i="1"/>
  <c r="AR87" i="9"/>
  <c r="AR78" i="9"/>
  <c r="P2910" i="1"/>
  <c r="O2910" i="1"/>
  <c r="N2910" i="1"/>
  <c r="M2910" i="1"/>
  <c r="P2909" i="1"/>
  <c r="O2909" i="1"/>
  <c r="N2909" i="1"/>
  <c r="M2909" i="1"/>
  <c r="P2908" i="1"/>
  <c r="O2908" i="1"/>
  <c r="N2908" i="1"/>
  <c r="M2908" i="1"/>
  <c r="O2907" i="1"/>
  <c r="N2907" i="1"/>
  <c r="M2907" i="1"/>
  <c r="P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S4" i="4"/>
  <c r="S5" i="4"/>
  <c r="S6" i="4"/>
  <c r="S7" i="4"/>
  <c r="S8" i="4"/>
  <c r="D13" i="4" a="1"/>
  <c r="D13" i="4"/>
  <c r="P2906" i="1"/>
  <c r="O2906" i="1"/>
  <c r="N2906" i="1"/>
  <c r="M2906" i="1"/>
  <c r="P2905" i="1"/>
  <c r="O2905" i="1"/>
  <c r="N2905" i="1"/>
  <c r="M2905" i="1"/>
  <c r="G76" i="14"/>
  <c r="O2904" i="1"/>
  <c r="N2904" i="1"/>
  <c r="M2904" i="1"/>
  <c r="P2904" i="1"/>
  <c r="P2903" i="1"/>
  <c r="O2903" i="1"/>
  <c r="N2903" i="1"/>
  <c r="M2903" i="1"/>
  <c r="P2902" i="1"/>
  <c r="O2902" i="1"/>
  <c r="N2902" i="1"/>
  <c r="M2902" i="1"/>
  <c r="P2901" i="1"/>
  <c r="O2901" i="1"/>
  <c r="N2901" i="1"/>
  <c r="M2901" i="1"/>
  <c r="E2900" i="1"/>
  <c r="P2900" i="1"/>
  <c r="O2900" i="1"/>
  <c r="N2900" i="1"/>
  <c r="M2900" i="1"/>
  <c r="P2899" i="1"/>
  <c r="O2899" i="1"/>
  <c r="N2899" i="1"/>
  <c r="M2899" i="1"/>
  <c r="AL43" i="9"/>
  <c r="P2898" i="1"/>
  <c r="O2898" i="1"/>
  <c r="N2898" i="1"/>
  <c r="M2898" i="1"/>
  <c r="P2897" i="1"/>
  <c r="O2897" i="1"/>
  <c r="N2897" i="1"/>
  <c r="M2897" i="1"/>
  <c r="P2896" i="1"/>
  <c r="O2896" i="1"/>
  <c r="N2896" i="1"/>
  <c r="M2896" i="1"/>
  <c r="P2895" i="1"/>
  <c r="O2895" i="1"/>
  <c r="N2895" i="1"/>
  <c r="M2895" i="1"/>
  <c r="P2894" i="1"/>
  <c r="O2894" i="1"/>
  <c r="N2894" i="1"/>
  <c r="M2894" i="1"/>
  <c r="P2893" i="1"/>
  <c r="O2893" i="1"/>
  <c r="N2893" i="1"/>
  <c r="M2893" i="1"/>
  <c r="P2892" i="1"/>
  <c r="O2892" i="1"/>
  <c r="N2892" i="1"/>
  <c r="M2892" i="1"/>
  <c r="P2891" i="1"/>
  <c r="O2891" i="1"/>
  <c r="N2891" i="1"/>
  <c r="M2891" i="1"/>
  <c r="G75" i="14"/>
  <c r="G74" i="14"/>
  <c r="P2890" i="1"/>
  <c r="O2890" i="1"/>
  <c r="N2890" i="1"/>
  <c r="M2890" i="1"/>
  <c r="P2889" i="1"/>
  <c r="O2889" i="1"/>
  <c r="N2889" i="1"/>
  <c r="M2889" i="1"/>
  <c r="AP49" i="9"/>
  <c r="P2888" i="1"/>
  <c r="O2888" i="1"/>
  <c r="N2888" i="1"/>
  <c r="M2888" i="1"/>
  <c r="AR53" i="9"/>
  <c r="P2887" i="1"/>
  <c r="O2887" i="1"/>
  <c r="N2887" i="1"/>
  <c r="M2887" i="1"/>
  <c r="AP92" i="9"/>
  <c r="O2886" i="1"/>
  <c r="N2886" i="1"/>
  <c r="M2886" i="1"/>
  <c r="P2886" i="1"/>
  <c r="P2885" i="1"/>
  <c r="O2885" i="1"/>
  <c r="N2885" i="1"/>
  <c r="M2885" i="1"/>
  <c r="P2884" i="1"/>
  <c r="O2884" i="1"/>
  <c r="N2884" i="1"/>
  <c r="M2884" i="1"/>
  <c r="P2883" i="1"/>
  <c r="O2883" i="1"/>
  <c r="N2883" i="1"/>
  <c r="M2883" i="1"/>
  <c r="P2882" i="1"/>
  <c r="O2882" i="1"/>
  <c r="N2882" i="1"/>
  <c r="M2882" i="1"/>
  <c r="AQ94" i="9"/>
  <c r="P2881" i="1"/>
  <c r="O2881" i="1"/>
  <c r="N2881" i="1"/>
  <c r="M2881" i="1"/>
  <c r="P2880" i="1"/>
  <c r="O2880" i="1"/>
  <c r="N2880" i="1"/>
  <c r="M2880" i="1"/>
  <c r="P2879" i="1"/>
  <c r="O2879" i="1"/>
  <c r="N2879" i="1"/>
  <c r="M2879" i="1"/>
  <c r="P2878" i="1"/>
  <c r="O2878" i="1"/>
  <c r="N2878" i="1"/>
  <c r="M2878" i="1"/>
  <c r="P2877" i="1"/>
  <c r="O2877" i="1"/>
  <c r="N2877" i="1"/>
  <c r="M2877" i="1"/>
  <c r="AP134" i="9"/>
  <c r="AQ134" i="9"/>
  <c r="P2876" i="1"/>
  <c r="O2876" i="1"/>
  <c r="N2876" i="1"/>
  <c r="M2876" i="1"/>
  <c r="P2875" i="1"/>
  <c r="O2875" i="1"/>
  <c r="N2875" i="1"/>
  <c r="M2875" i="1"/>
  <c r="P2874" i="1"/>
  <c r="O2874" i="1"/>
  <c r="N2874" i="1"/>
  <c r="M2874" i="1"/>
  <c r="P2873" i="1"/>
  <c r="O2873" i="1"/>
  <c r="N2873" i="1"/>
  <c r="M2873" i="1"/>
  <c r="G73" i="14"/>
  <c r="P2872" i="1"/>
  <c r="O2872" i="1"/>
  <c r="N2872" i="1"/>
  <c r="M2872" i="1"/>
  <c r="P2871" i="1"/>
  <c r="O2871" i="1"/>
  <c r="N2871" i="1"/>
  <c r="M2871" i="1"/>
  <c r="P2870" i="1"/>
  <c r="O2870" i="1"/>
  <c r="N2870" i="1"/>
  <c r="M2870" i="1"/>
  <c r="P2869" i="1"/>
  <c r="O2869" i="1"/>
  <c r="N2869" i="1"/>
  <c r="M2869" i="1"/>
  <c r="P2868" i="1"/>
  <c r="O2868" i="1"/>
  <c r="N2868" i="1"/>
  <c r="M2868" i="1"/>
  <c r="P2867" i="1"/>
  <c r="O2867" i="1"/>
  <c r="N2867" i="1"/>
  <c r="M2867" i="1"/>
  <c r="P2866" i="1"/>
  <c r="O2866" i="1"/>
  <c r="N2866" i="1"/>
  <c r="M2866" i="1"/>
  <c r="P2865" i="1"/>
  <c r="O2865" i="1"/>
  <c r="N2865" i="1"/>
  <c r="M2865" i="1"/>
  <c r="AR60" i="9"/>
  <c r="P2864" i="1"/>
  <c r="O2864" i="1"/>
  <c r="N2864" i="1"/>
  <c r="M2864" i="1"/>
  <c r="P2863" i="1"/>
  <c r="O2863" i="1"/>
  <c r="N2863" i="1"/>
  <c r="M2863" i="1"/>
  <c r="P2862" i="1"/>
  <c r="O2862" i="1"/>
  <c r="N2862" i="1"/>
  <c r="M2862" i="1"/>
  <c r="O2861" i="1"/>
  <c r="N2861" i="1"/>
  <c r="M2861" i="1"/>
  <c r="P2861" i="1"/>
  <c r="P2860" i="1"/>
  <c r="O2860" i="1"/>
  <c r="N2860" i="1"/>
  <c r="M2860" i="1"/>
  <c r="P2859" i="1"/>
  <c r="O2859" i="1"/>
  <c r="N2859" i="1"/>
  <c r="M2859" i="1"/>
  <c r="L81" i="14"/>
  <c r="L80" i="14"/>
  <c r="G72" i="14"/>
  <c r="G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P2850" i="1"/>
  <c r="O2850" i="1"/>
  <c r="N2850" i="1"/>
  <c r="M2850" i="1"/>
  <c r="P2849" i="1"/>
  <c r="O2849" i="1"/>
  <c r="N2849" i="1"/>
  <c r="M2849" i="1"/>
  <c r="P2848" i="1"/>
  <c r="O2848" i="1"/>
  <c r="N2848" i="1"/>
  <c r="M2848" i="1"/>
  <c r="P2847" i="1"/>
  <c r="O2847" i="1"/>
  <c r="N2847" i="1"/>
  <c r="M2847" i="1"/>
  <c r="P2846" i="1"/>
  <c r="O2846" i="1"/>
  <c r="N2846" i="1"/>
  <c r="M2846" i="1"/>
  <c r="P2845" i="1"/>
  <c r="O2845" i="1"/>
  <c r="N2845" i="1"/>
  <c r="M2845" i="1"/>
  <c r="P2844" i="1"/>
  <c r="O2844" i="1"/>
  <c r="N2844" i="1"/>
  <c r="M2844" i="1"/>
  <c r="P2843" i="1"/>
  <c r="O2843" i="1"/>
  <c r="N2843" i="1"/>
  <c r="M2843" i="1"/>
  <c r="P2842" i="1"/>
  <c r="O2842" i="1"/>
  <c r="N2842" i="1"/>
  <c r="M2842" i="1"/>
  <c r="P2841" i="1"/>
  <c r="O2841" i="1"/>
  <c r="N2841" i="1"/>
  <c r="M2841" i="1"/>
  <c r="P2840" i="1"/>
  <c r="O2840" i="1"/>
  <c r="N2840" i="1"/>
  <c r="M2840" i="1"/>
  <c r="P2839" i="1"/>
  <c r="O2839" i="1"/>
  <c r="N2839" i="1"/>
  <c r="M2839" i="1"/>
  <c r="P2838" i="1"/>
  <c r="O2838" i="1"/>
  <c r="N2838" i="1"/>
  <c r="M2838" i="1"/>
  <c r="P2837" i="1"/>
  <c r="O2837" i="1"/>
  <c r="N2837" i="1"/>
  <c r="M2837" i="1"/>
  <c r="E2836" i="1"/>
  <c r="P2836" i="1"/>
  <c r="O2836" i="1"/>
  <c r="N2836" i="1"/>
  <c r="M2836" i="1"/>
  <c r="P2835" i="1"/>
  <c r="O2835" i="1"/>
  <c r="N2835" i="1"/>
  <c r="M2835" i="1"/>
  <c r="AR20" i="9"/>
  <c r="P2834" i="1"/>
  <c r="O2834" i="1"/>
  <c r="N2834" i="1"/>
  <c r="M2834" i="1"/>
  <c r="O2833" i="1"/>
  <c r="N2833" i="1"/>
  <c r="M2833" i="1"/>
  <c r="E2833" i="1"/>
  <c r="P2833" i="1"/>
  <c r="AP53" i="9"/>
  <c r="P2832" i="1"/>
  <c r="O2832" i="1"/>
  <c r="N2832" i="1"/>
  <c r="M2832" i="1"/>
  <c r="P2831" i="1"/>
  <c r="O2831" i="1"/>
  <c r="N2831" i="1"/>
  <c r="M2831" i="1"/>
  <c r="O2830" i="1"/>
  <c r="N2830" i="1"/>
  <c r="M2830" i="1"/>
  <c r="P2830" i="1"/>
  <c r="E2829" i="1"/>
  <c r="P2829" i="1"/>
  <c r="O2829" i="1"/>
  <c r="N2829" i="1"/>
  <c r="M2829" i="1"/>
  <c r="P2828" i="1"/>
  <c r="O2828" i="1"/>
  <c r="N2828" i="1"/>
  <c r="M2828" i="1"/>
  <c r="P2827" i="1"/>
  <c r="O2827" i="1"/>
  <c r="N2827" i="1"/>
  <c r="M2827" i="1"/>
  <c r="P2826" i="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O2817" i="1"/>
  <c r="N2817" i="1"/>
  <c r="M2817" i="1"/>
  <c r="P2817" i="1"/>
  <c r="P2816" i="1"/>
  <c r="O2816" i="1"/>
  <c r="N2816" i="1"/>
  <c r="M2816" i="1"/>
  <c r="P2815" i="1"/>
  <c r="O2815" i="1"/>
  <c r="N2815" i="1"/>
  <c r="M2815" i="1"/>
  <c r="G70" i="14"/>
  <c r="P2814" i="1"/>
  <c r="O2814" i="1"/>
  <c r="N2814" i="1"/>
  <c r="M2814" i="1"/>
  <c r="P2813" i="1"/>
  <c r="O2813" i="1"/>
  <c r="N2813" i="1"/>
  <c r="M2813" i="1"/>
  <c r="P2812" i="1"/>
  <c r="O2812" i="1"/>
  <c r="N2812" i="1"/>
  <c r="M2812" i="1"/>
  <c r="P2811" i="1"/>
  <c r="O2811" i="1"/>
  <c r="N2811" i="1"/>
  <c r="M2811" i="1"/>
  <c r="G69" i="14"/>
  <c r="G68" i="14"/>
  <c r="E2810" i="1"/>
  <c r="P2810" i="1"/>
  <c r="O2810" i="1"/>
  <c r="N2810" i="1"/>
  <c r="M2810" i="1"/>
  <c r="P2809" i="1"/>
  <c r="O2809" i="1"/>
  <c r="N2809" i="1"/>
  <c r="M2809" i="1"/>
  <c r="P2808" i="1"/>
  <c r="O2808" i="1"/>
  <c r="N2808" i="1"/>
  <c r="M2808" i="1"/>
  <c r="AP95" i="9"/>
  <c r="P2807" i="1"/>
  <c r="O2807" i="1"/>
  <c r="N2807" i="1"/>
  <c r="M2807" i="1"/>
  <c r="E2806" i="1"/>
  <c r="P2806" i="1"/>
  <c r="O2806" i="1"/>
  <c r="N2806" i="1"/>
  <c r="M2806" i="1"/>
  <c r="P2805" i="1"/>
  <c r="O2805" i="1"/>
  <c r="N2805" i="1"/>
  <c r="M2805" i="1"/>
  <c r="P2804" i="1"/>
  <c r="O2804" i="1"/>
  <c r="N2804" i="1"/>
  <c r="M2804" i="1"/>
  <c r="P2803" i="1"/>
  <c r="O2803" i="1"/>
  <c r="N2803" i="1"/>
  <c r="M2803" i="1"/>
  <c r="P2802" i="1"/>
  <c r="O2802" i="1"/>
  <c r="N2802" i="1"/>
  <c r="M2802" i="1"/>
  <c r="P2801" i="1"/>
  <c r="O2801" i="1"/>
  <c r="N2801" i="1"/>
  <c r="M2801" i="1"/>
  <c r="P2800" i="1"/>
  <c r="O2800" i="1"/>
  <c r="N2800" i="1"/>
  <c r="M2800" i="1"/>
  <c r="P2799" i="1"/>
  <c r="O2799" i="1"/>
  <c r="N2799" i="1"/>
  <c r="M2799" i="1"/>
  <c r="P2798" i="1"/>
  <c r="O2798" i="1"/>
  <c r="N2798" i="1"/>
  <c r="M2798" i="1"/>
  <c r="P2797" i="1"/>
  <c r="O2797" i="1"/>
  <c r="N2797" i="1"/>
  <c r="M2797" i="1"/>
  <c r="E2796" i="1"/>
  <c r="P2796" i="1"/>
  <c r="O2796" i="1"/>
  <c r="N2796" i="1"/>
  <c r="M2796" i="1"/>
  <c r="P2795" i="1"/>
  <c r="O2795" i="1"/>
  <c r="N2795" i="1"/>
  <c r="M2795" i="1"/>
  <c r="AQ136" i="9"/>
  <c r="P2794" i="1"/>
  <c r="O2794" i="1"/>
  <c r="N2794" i="1"/>
  <c r="M2794" i="1"/>
  <c r="P2793" i="1"/>
  <c r="O2793" i="1"/>
  <c r="N2793" i="1"/>
  <c r="M2793" i="1"/>
  <c r="P2792" i="1"/>
  <c r="O2792" i="1"/>
  <c r="N2792" i="1"/>
  <c r="M2792" i="1"/>
  <c r="P2791" i="1"/>
  <c r="O2791" i="1"/>
  <c r="N2791" i="1"/>
  <c r="M2791" i="1"/>
  <c r="P2790" i="1"/>
  <c r="O2790" i="1"/>
  <c r="N2790" i="1"/>
  <c r="M2790" i="1"/>
  <c r="P2789" i="1"/>
  <c r="O2789" i="1"/>
  <c r="N2789" i="1"/>
  <c r="M2789" i="1"/>
  <c r="AQ33" i="9"/>
  <c r="P2788" i="1"/>
  <c r="O2788" i="1"/>
  <c r="N2788" i="1"/>
  <c r="M2788" i="1"/>
  <c r="AQ60" i="9"/>
  <c r="P2787" i="1"/>
  <c r="O2787" i="1"/>
  <c r="N2787" i="1"/>
  <c r="M2787" i="1"/>
  <c r="P2786" i="1"/>
  <c r="O2786" i="1"/>
  <c r="N2786" i="1"/>
  <c r="M2786" i="1"/>
  <c r="P2785" i="1"/>
  <c r="O2785" i="1"/>
  <c r="N2785" i="1"/>
  <c r="M2785" i="1"/>
  <c r="AP110" i="9"/>
  <c r="AO110" i="9"/>
  <c r="E2784" i="1"/>
  <c r="P2784" i="1"/>
  <c r="O2784" i="1"/>
  <c r="N2784" i="1"/>
  <c r="M2784" i="1"/>
  <c r="AN112"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90" i="9"/>
  <c r="P2776" i="1"/>
  <c r="O2776" i="1"/>
  <c r="N2776" i="1"/>
  <c r="M2776" i="1"/>
  <c r="P2775" i="1"/>
  <c r="O2775" i="1"/>
  <c r="N2775" i="1"/>
  <c r="M2775" i="1"/>
  <c r="P2774" i="1"/>
  <c r="O2774" i="1"/>
  <c r="N2774" i="1"/>
  <c r="M2774" i="1"/>
  <c r="P2773" i="1"/>
  <c r="O2773" i="1"/>
  <c r="N2773" i="1"/>
  <c r="M2773" i="1"/>
  <c r="P2772" i="1"/>
  <c r="O2772" i="1"/>
  <c r="N2772" i="1"/>
  <c r="M2772" i="1"/>
  <c r="AP79" i="9"/>
  <c r="E2771" i="1"/>
  <c r="P2771" i="1"/>
  <c r="O2771" i="1"/>
  <c r="N2771" i="1"/>
  <c r="M2771" i="1"/>
  <c r="G66" i="14"/>
  <c r="P2770" i="1"/>
  <c r="O2770" i="1"/>
  <c r="N2770" i="1"/>
  <c r="M2770" i="1"/>
  <c r="O2767" i="1"/>
  <c r="N2767" i="1"/>
  <c r="M2767" i="1"/>
  <c r="E2767" i="1"/>
  <c r="P2767" i="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BA109" i="9"/>
  <c r="B109" i="9"/>
  <c r="A109" i="9"/>
  <c r="P2756" i="1"/>
  <c r="O2756" i="1"/>
  <c r="N2756" i="1"/>
  <c r="M2756" i="1"/>
  <c r="G65" i="14"/>
  <c r="P2755" i="1"/>
  <c r="O2755" i="1"/>
  <c r="N2755" i="1"/>
  <c r="M2755" i="1"/>
  <c r="P2754" i="1"/>
  <c r="O2754" i="1"/>
  <c r="N2754" i="1"/>
  <c r="M2754" i="1"/>
  <c r="P2753" i="1"/>
  <c r="O2753" i="1"/>
  <c r="N2753" i="1"/>
  <c r="M2753" i="1"/>
  <c r="AO5" i="9"/>
  <c r="P2752" i="1"/>
  <c r="O2752" i="1"/>
  <c r="N2752" i="1"/>
  <c r="M2752" i="1"/>
  <c r="P2751" i="1"/>
  <c r="O2751" i="1"/>
  <c r="N2751" i="1"/>
  <c r="M2751" i="1"/>
  <c r="P2750" i="1"/>
  <c r="O2750" i="1"/>
  <c r="N2750" i="1"/>
  <c r="M2750" i="1"/>
  <c r="P2749" i="1"/>
  <c r="O2749" i="1"/>
  <c r="N2749" i="1"/>
  <c r="M2749" i="1"/>
  <c r="P2748" i="1"/>
  <c r="O2748" i="1"/>
  <c r="N2748" i="1"/>
  <c r="M2748" i="1"/>
  <c r="P2747" i="1"/>
  <c r="O2747" i="1"/>
  <c r="N2747" i="1"/>
  <c r="M2747" i="1"/>
  <c r="P2746" i="1"/>
  <c r="O2746" i="1"/>
  <c r="N2746" i="1"/>
  <c r="M2746" i="1"/>
  <c r="P2745" i="1"/>
  <c r="O2745" i="1"/>
  <c r="N2745" i="1"/>
  <c r="M2745" i="1"/>
  <c r="P2744" i="1"/>
  <c r="O2744" i="1"/>
  <c r="N2744" i="1"/>
  <c r="M2744" i="1"/>
  <c r="AP89" i="9"/>
  <c r="E2743" i="1"/>
  <c r="P2743" i="1"/>
  <c r="I1" i="14"/>
  <c r="I79" i="14"/>
  <c r="I78" i="14"/>
  <c r="O2743" i="1"/>
  <c r="N2743" i="1"/>
  <c r="M2743" i="1"/>
  <c r="P2742" i="1"/>
  <c r="O2742" i="1"/>
  <c r="N2742" i="1"/>
  <c r="M2742" i="1"/>
  <c r="G64" i="14"/>
  <c r="M1" i="14" a="1"/>
  <c r="M1" i="14"/>
  <c r="P2741" i="1"/>
  <c r="O2741" i="1"/>
  <c r="N2741" i="1"/>
  <c r="M2741" i="1"/>
  <c r="P2740" i="1"/>
  <c r="O2740" i="1"/>
  <c r="N2740" i="1"/>
  <c r="M2740" i="1"/>
  <c r="P2739" i="1"/>
  <c r="O2739" i="1"/>
  <c r="N2739" i="1"/>
  <c r="M2739" i="1"/>
  <c r="P2738" i="1"/>
  <c r="O2738" i="1"/>
  <c r="N2738" i="1"/>
  <c r="M2738" i="1"/>
  <c r="AO49" i="9"/>
  <c r="E2737" i="1"/>
  <c r="P2737" i="1"/>
  <c r="O2737" i="1"/>
  <c r="N2737" i="1"/>
  <c r="M2737" i="1"/>
  <c r="P2736" i="1"/>
  <c r="O2736" i="1"/>
  <c r="N2736" i="1"/>
  <c r="M2736" i="1"/>
  <c r="P2735" i="1"/>
  <c r="O2735" i="1"/>
  <c r="N2735" i="1"/>
  <c r="M2735" i="1"/>
  <c r="P2734" i="1"/>
  <c r="O2734" i="1"/>
  <c r="N2734" i="1"/>
  <c r="M2734" i="1"/>
  <c r="E2724" i="1"/>
  <c r="E2723" i="1"/>
  <c r="P2723" i="1"/>
  <c r="E2730" i="1"/>
  <c r="P2730" i="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60" i="9"/>
  <c r="AQ17" i="5"/>
  <c r="AO60" i="9"/>
  <c r="AP17" i="5"/>
  <c r="P2726" i="1"/>
  <c r="O2726" i="1"/>
  <c r="N2726" i="1"/>
  <c r="M2726" i="1"/>
  <c r="P2725" i="1"/>
  <c r="O2725" i="1"/>
  <c r="N2725" i="1"/>
  <c r="M2725" i="1"/>
  <c r="AN61" i="9"/>
  <c r="AO134" i="9"/>
  <c r="AN134" i="9"/>
  <c r="AO128" i="5"/>
  <c r="P2724" i="1"/>
  <c r="O2724" i="1"/>
  <c r="N2724" i="1"/>
  <c r="M2724" i="1"/>
  <c r="O2723" i="1"/>
  <c r="N2723" i="1"/>
  <c r="M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8" i="9"/>
  <c r="AN58" i="9"/>
  <c r="AO15" i="5"/>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P2708" i="1"/>
  <c r="O2708" i="1"/>
  <c r="N2708" i="1"/>
  <c r="M2708" i="1"/>
  <c r="AO95"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G63" i="14"/>
  <c r="P2698" i="1"/>
  <c r="O2698" i="1"/>
  <c r="N2698" i="1"/>
  <c r="M2698" i="1"/>
  <c r="P2697" i="1"/>
  <c r="O2697" i="1"/>
  <c r="N2697" i="1"/>
  <c r="M2697" i="1"/>
  <c r="P2696" i="1"/>
  <c r="O2696" i="1"/>
  <c r="N2696" i="1"/>
  <c r="M2696" i="1"/>
  <c r="A55" i="9"/>
  <c r="P2695" i="1"/>
  <c r="O2695" i="1"/>
  <c r="N2695" i="1"/>
  <c r="M2695" i="1"/>
  <c r="P2694" i="1"/>
  <c r="O2694" i="1"/>
  <c r="N2694" i="1"/>
  <c r="M2694" i="1"/>
  <c r="P2693" i="1"/>
  <c r="O2693" i="1"/>
  <c r="N2693" i="1"/>
  <c r="M2693" i="1"/>
  <c r="O2692" i="1"/>
  <c r="N2692" i="1"/>
  <c r="M2692" i="1"/>
  <c r="P2692" i="1"/>
  <c r="P2691" i="1"/>
  <c r="O2691" i="1"/>
  <c r="N2691" i="1"/>
  <c r="M2691" i="1"/>
  <c r="G62" i="14"/>
  <c r="P2690" i="1"/>
  <c r="O2690" i="1"/>
  <c r="N2690" i="1"/>
  <c r="M2690" i="1"/>
  <c r="O2689" i="1"/>
  <c r="N2689" i="1"/>
  <c r="M2689" i="1"/>
  <c r="P2689" i="1"/>
  <c r="P2688" i="1"/>
  <c r="O2688" i="1"/>
  <c r="N2688" i="1"/>
  <c r="M2688" i="1"/>
  <c r="O2687" i="1"/>
  <c r="N2687" i="1"/>
  <c r="M2687" i="1"/>
  <c r="E2687" i="1"/>
  <c r="P2687" i="1"/>
  <c r="E2686" i="1"/>
  <c r="P2686" i="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G61" i="14"/>
  <c r="P2671" i="1"/>
  <c r="O2671" i="1"/>
  <c r="N2671" i="1"/>
  <c r="M2671" i="1"/>
  <c r="P2670" i="1"/>
  <c r="O2670" i="1"/>
  <c r="N2670" i="1"/>
  <c r="M2670" i="1"/>
  <c r="P2669" i="1"/>
  <c r="O2669" i="1"/>
  <c r="N2669" i="1"/>
  <c r="M2669" i="1"/>
  <c r="BA46" i="5"/>
  <c r="AZ46" i="5"/>
  <c r="AY46" i="5"/>
  <c r="AX46" i="5"/>
  <c r="AW46" i="5"/>
  <c r="AV46" i="5"/>
  <c r="AU46" i="5"/>
  <c r="AT46" i="5"/>
  <c r="AS46"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BA51" i="9"/>
  <c r="B51" i="9"/>
  <c r="B46" i="5"/>
  <c r="A51" i="9"/>
  <c r="C51" i="9"/>
  <c r="P2668" i="1"/>
  <c r="O2668" i="1"/>
  <c r="N2668" i="1"/>
  <c r="M2668" i="1"/>
  <c r="P2667" i="1"/>
  <c r="O2667" i="1"/>
  <c r="N2667" i="1"/>
  <c r="M2667" i="1"/>
  <c r="P2666" i="1"/>
  <c r="O2666" i="1"/>
  <c r="N2666" i="1"/>
  <c r="M2666" i="1"/>
  <c r="P2665" i="1"/>
  <c r="O2665" i="1"/>
  <c r="N2665" i="1"/>
  <c r="M2665" i="1"/>
  <c r="G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7" i="9"/>
  <c r="E2627" i="1"/>
  <c r="P2627" i="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3" i="9"/>
  <c r="AP20" i="5"/>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L36" i="14"/>
  <c r="L34" i="14"/>
  <c r="L33" i="14"/>
  <c r="L32" i="14"/>
  <c r="L31" i="14"/>
  <c r="L30" i="14"/>
  <c r="L28" i="14"/>
  <c r="P2635" i="1"/>
  <c r="O2635" i="1"/>
  <c r="N2635" i="1"/>
  <c r="M2635" i="1"/>
  <c r="P2634" i="1"/>
  <c r="O2634" i="1"/>
  <c r="N2634" i="1"/>
  <c r="M2634" i="1"/>
  <c r="P2633" i="1"/>
  <c r="O2633" i="1"/>
  <c r="N2633" i="1"/>
  <c r="M2633" i="1"/>
  <c r="P2632" i="1"/>
  <c r="O2632" i="1"/>
  <c r="N2632" i="1"/>
  <c r="M2632" i="1"/>
  <c r="E2556" i="1"/>
  <c r="E2533" i="1"/>
  <c r="P2533" i="1"/>
  <c r="E2511" i="1"/>
  <c r="P2511" i="1"/>
  <c r="BK6" i="4"/>
  <c r="BK5" i="4"/>
  <c r="BK4" i="4"/>
  <c r="BF9" i="4"/>
  <c r="BF8" i="4"/>
  <c r="BF7" i="4"/>
  <c r="BF6" i="4"/>
  <c r="BF5" i="4"/>
  <c r="BF4" i="4"/>
  <c r="BG4" i="4"/>
  <c r="BA12" i="4"/>
  <c r="BA11" i="4"/>
  <c r="BA10" i="4"/>
  <c r="BA9" i="4"/>
  <c r="BA8" i="4"/>
  <c r="BA7" i="4"/>
  <c r="BA6" i="4"/>
  <c r="BA5" i="4"/>
  <c r="BA4" i="4"/>
  <c r="BB4" i="4"/>
  <c r="BB5" i="4"/>
  <c r="BB6" i="4"/>
  <c r="BB7" i="4"/>
  <c r="BB8" i="4"/>
  <c r="BB9" i="4"/>
  <c r="BB10" i="4"/>
  <c r="BB11" i="4"/>
  <c r="BB12" i="4"/>
  <c r="BB13" i="4"/>
  <c r="BB14" i="4"/>
  <c r="BB15" i="4"/>
  <c r="BB16" i="4"/>
  <c r="AV17" i="4"/>
  <c r="AV16" i="4"/>
  <c r="AV15" i="4"/>
  <c r="AV14" i="4"/>
  <c r="AV13" i="4"/>
  <c r="AV12" i="4"/>
  <c r="AV11" i="4"/>
  <c r="AV10" i="4"/>
  <c r="AV9" i="4"/>
  <c r="AV8" i="4"/>
  <c r="AV7" i="4"/>
  <c r="AV6" i="4"/>
  <c r="AV5" i="4"/>
  <c r="AV4" i="4"/>
  <c r="AQ20" i="4"/>
  <c r="AQ19" i="4"/>
  <c r="AQ18" i="4"/>
  <c r="AQ17" i="4"/>
  <c r="AQ16" i="4"/>
  <c r="AQ15" i="4"/>
  <c r="AQ14" i="4"/>
  <c r="AQ13" i="4"/>
  <c r="AQ12" i="4"/>
  <c r="AQ11" i="4"/>
  <c r="AQ10" i="4"/>
  <c r="AQ9" i="4"/>
  <c r="AQ8" i="4"/>
  <c r="AQ7" i="4"/>
  <c r="AQ6" i="4"/>
  <c r="AQ5" i="4"/>
  <c r="AQ4" i="4"/>
  <c r="AG7" i="4"/>
  <c r="AG6" i="4"/>
  <c r="AG5" i="4"/>
  <c r="AG4" i="4"/>
  <c r="W7" i="4"/>
  <c r="W6" i="4"/>
  <c r="W5" i="4"/>
  <c r="W4" i="4"/>
  <c r="X4" i="4"/>
  <c r="X5" i="4"/>
  <c r="M30" i="4"/>
  <c r="M29" i="4"/>
  <c r="M28" i="4"/>
  <c r="M27" i="4"/>
  <c r="M26" i="4"/>
  <c r="M25" i="4"/>
  <c r="M24" i="4"/>
  <c r="M23" i="4"/>
  <c r="M22" i="4"/>
  <c r="M21" i="4"/>
  <c r="M20" i="4"/>
  <c r="M19" i="4"/>
  <c r="M18" i="4"/>
  <c r="M17" i="4"/>
  <c r="M16" i="4"/>
  <c r="M15" i="4"/>
  <c r="M14" i="4"/>
  <c r="M13" i="4"/>
  <c r="M12" i="4"/>
  <c r="M11" i="4"/>
  <c r="M10" i="4"/>
  <c r="M9" i="4"/>
  <c r="M8" i="4"/>
  <c r="M7" i="4"/>
  <c r="M6" i="4"/>
  <c r="M5" i="4"/>
  <c r="M4" i="4"/>
  <c r="N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38" i="9"/>
  <c r="Z135" i="9"/>
  <c r="Y135" i="9"/>
  <c r="Z129" i="5"/>
  <c r="AB129" i="9"/>
  <c r="AB127" i="9"/>
  <c r="AB123" i="9"/>
  <c r="Z123" i="9"/>
  <c r="Y123" i="9"/>
  <c r="AB104" i="9"/>
  <c r="AC86" i="5"/>
  <c r="Y104" i="9"/>
  <c r="Y95" i="9"/>
  <c r="Z92" i="9"/>
  <c r="AA99" i="5"/>
  <c r="Y88" i="9"/>
  <c r="AB86" i="9"/>
  <c r="Y84" i="9"/>
  <c r="Z91" i="5"/>
  <c r="Z71" i="9"/>
  <c r="AB61" i="9"/>
  <c r="AB60" i="9"/>
  <c r="AC17" i="5"/>
  <c r="AA60" i="9"/>
  <c r="Y58" i="9"/>
  <c r="Y4" i="9"/>
  <c r="Z67" i="5"/>
  <c r="Y41" i="9"/>
  <c r="Y55" i="9"/>
  <c r="AB44" i="9"/>
  <c r="AC39" i="5"/>
  <c r="AA44" i="9"/>
  <c r="AB39" i="5"/>
  <c r="AB42" i="9"/>
  <c r="Z42" i="9"/>
  <c r="AA37" i="5"/>
  <c r="AB41" i="9"/>
  <c r="AB40" i="9"/>
  <c r="AB36" i="9"/>
  <c r="AC10" i="5"/>
  <c r="AB10" i="9"/>
  <c r="AB2" i="9"/>
  <c r="AA10" i="9"/>
  <c r="Z10" i="9"/>
  <c r="AA2" i="9"/>
  <c r="X138" i="9"/>
  <c r="X137" i="9"/>
  <c r="X136" i="9"/>
  <c r="X135" i="9"/>
  <c r="Y129" i="5"/>
  <c r="X134" i="9"/>
  <c r="X129" i="9"/>
  <c r="X128" i="9"/>
  <c r="Y125" i="5"/>
  <c r="X127" i="9"/>
  <c r="X123" i="9"/>
  <c r="X121" i="9"/>
  <c r="Y117" i="5"/>
  <c r="X119" i="9"/>
  <c r="X118" i="9"/>
  <c r="X113" i="9"/>
  <c r="Y135" i="5"/>
  <c r="X108" i="9"/>
  <c r="X107" i="9"/>
  <c r="X104" i="9"/>
  <c r="Y86" i="5"/>
  <c r="X103" i="9"/>
  <c r="X96" i="9"/>
  <c r="X95" i="9"/>
  <c r="Y101" i="5"/>
  <c r="X94" i="9"/>
  <c r="X86" i="9"/>
  <c r="X80" i="9"/>
  <c r="X79" i="9"/>
  <c r="X78" i="9"/>
  <c r="X76" i="9"/>
  <c r="Y77" i="5"/>
  <c r="X71" i="9"/>
  <c r="X65" i="9"/>
  <c r="X62" i="9"/>
  <c r="Y19" i="5"/>
  <c r="X60" i="9"/>
  <c r="X59" i="9"/>
  <c r="X58" i="9"/>
  <c r="Y15" i="5"/>
  <c r="X57" i="9"/>
  <c r="X55" i="9"/>
  <c r="X54" i="9"/>
  <c r="Y11" i="5"/>
  <c r="X53" i="9"/>
  <c r="X48" i="9"/>
  <c r="X46" i="9"/>
  <c r="Y41" i="5"/>
  <c r="X40" i="9"/>
  <c r="X39" i="9"/>
  <c r="X33" i="9"/>
  <c r="X20" i="9"/>
  <c r="X16" i="9"/>
  <c r="X13" i="9"/>
  <c r="X10" i="9"/>
  <c r="X8" i="9"/>
  <c r="X7" i="9"/>
  <c r="Y63" i="5"/>
  <c r="X6" i="9"/>
  <c r="X4" i="9"/>
  <c r="X2" i="9"/>
  <c r="V141" i="9"/>
  <c r="U141" i="9"/>
  <c r="T141" i="9"/>
  <c r="U123" i="5"/>
  <c r="S141" i="9"/>
  <c r="R141" i="9"/>
  <c r="Q141" i="9"/>
  <c r="R123" i="5"/>
  <c r="N141" i="9"/>
  <c r="M141" i="9"/>
  <c r="L141" i="9"/>
  <c r="M123" i="5"/>
  <c r="K141" i="9"/>
  <c r="J141" i="9"/>
  <c r="I141" i="9"/>
  <c r="J123" i="5"/>
  <c r="H141" i="9"/>
  <c r="G141" i="9"/>
  <c r="F141" i="9"/>
  <c r="E141" i="9"/>
  <c r="A141"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P50" i="1"/>
  <c r="E51" i="1"/>
  <c r="E52" i="1"/>
  <c r="E53" i="1"/>
  <c r="P53" i="1"/>
  <c r="E54" i="1"/>
  <c r="E55" i="1"/>
  <c r="E56" i="1"/>
  <c r="P56" i="1"/>
  <c r="E57" i="1"/>
  <c r="E58" i="1"/>
  <c r="E59" i="1"/>
  <c r="P59" i="1"/>
  <c r="E60" i="1"/>
  <c r="E61" i="1"/>
  <c r="E62" i="1"/>
  <c r="P62" i="1"/>
  <c r="E63" i="1"/>
  <c r="E64" i="1"/>
  <c r="E65" i="1"/>
  <c r="P65" i="1"/>
  <c r="E66" i="1"/>
  <c r="E67" i="1"/>
  <c r="E68" i="1"/>
  <c r="P68" i="1"/>
  <c r="E69" i="1"/>
  <c r="E70" i="1"/>
  <c r="E71" i="1"/>
  <c r="E72" i="1"/>
  <c r="E73" i="1"/>
  <c r="E74" i="1"/>
  <c r="E75" i="1"/>
  <c r="E76" i="1"/>
  <c r="E77" i="1"/>
  <c r="E78" i="1"/>
  <c r="E79" i="1"/>
  <c r="E80" i="1"/>
  <c r="E81" i="1"/>
  <c r="E82" i="1"/>
  <c r="E83" i="1"/>
  <c r="E84" i="1"/>
  <c r="E85" i="1"/>
  <c r="E86" i="1"/>
  <c r="E87" i="1"/>
  <c r="E88" i="1"/>
  <c r="E89" i="1"/>
  <c r="E90" i="1"/>
  <c r="E91" i="1"/>
  <c r="E92" i="1"/>
  <c r="E94" i="1"/>
  <c r="E95" i="1"/>
  <c r="E96" i="1"/>
  <c r="P96" i="1"/>
  <c r="E97" i="1"/>
  <c r="E98" i="1"/>
  <c r="E99" i="1"/>
  <c r="E100" i="1"/>
  <c r="E101" i="1"/>
  <c r="E102" i="1"/>
  <c r="E103" i="1"/>
  <c r="E104" i="1"/>
  <c r="E105" i="1"/>
  <c r="E106" i="1"/>
  <c r="E107" i="1"/>
  <c r="E108" i="1"/>
  <c r="E109" i="1"/>
  <c r="E110" i="1"/>
  <c r="E111" i="1"/>
  <c r="E112" i="1"/>
  <c r="E113" i="1"/>
  <c r="E114" i="1"/>
  <c r="E115" i="1"/>
  <c r="E116" i="1"/>
  <c r="E117" i="1"/>
  <c r="P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P151" i="1"/>
  <c r="E152" i="1"/>
  <c r="E153" i="1"/>
  <c r="E154" i="1"/>
  <c r="P154" i="1"/>
  <c r="E155" i="1"/>
  <c r="E156" i="1"/>
  <c r="E157" i="1"/>
  <c r="P157" i="1"/>
  <c r="E158" i="1"/>
  <c r="E159" i="1"/>
  <c r="E160" i="1"/>
  <c r="P160" i="1"/>
  <c r="E161" i="1"/>
  <c r="E162" i="1"/>
  <c r="E163" i="1"/>
  <c r="P163" i="1"/>
  <c r="E164" i="1"/>
  <c r="E165" i="1"/>
  <c r="E166" i="1"/>
  <c r="P166" i="1"/>
  <c r="E167" i="1"/>
  <c r="E168" i="1"/>
  <c r="E169" i="1"/>
  <c r="P169" i="1"/>
  <c r="E170" i="1"/>
  <c r="E171" i="1"/>
  <c r="E172" i="1"/>
  <c r="P172" i="1"/>
  <c r="E173" i="1"/>
  <c r="E174" i="1"/>
  <c r="E175" i="1"/>
  <c r="P175" i="1"/>
  <c r="E176" i="1"/>
  <c r="E177" i="1"/>
  <c r="E178" i="1"/>
  <c r="P178" i="1"/>
  <c r="E179" i="1"/>
  <c r="E180" i="1"/>
  <c r="E181" i="1"/>
  <c r="P181" i="1"/>
  <c r="E182" i="1"/>
  <c r="E183" i="1"/>
  <c r="E184" i="1"/>
  <c r="P184" i="1"/>
  <c r="E185" i="1"/>
  <c r="E186" i="1"/>
  <c r="E187" i="1"/>
  <c r="P187" i="1"/>
  <c r="E188" i="1"/>
  <c r="E189" i="1"/>
  <c r="E190" i="1"/>
  <c r="P190" i="1"/>
  <c r="E191" i="1"/>
  <c r="E192" i="1"/>
  <c r="E193" i="1"/>
  <c r="P193" i="1"/>
  <c r="E194" i="1"/>
  <c r="E195" i="1"/>
  <c r="E196" i="1"/>
  <c r="P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P223" i="1"/>
  <c r="E224" i="1"/>
  <c r="E225" i="1"/>
  <c r="E226" i="1"/>
  <c r="P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P266" i="1"/>
  <c r="E267" i="1"/>
  <c r="E268" i="1"/>
  <c r="E269" i="1"/>
  <c r="P269" i="1"/>
  <c r="E270" i="1"/>
  <c r="E271" i="1"/>
  <c r="E272" i="1"/>
  <c r="P272" i="1"/>
  <c r="E273" i="1"/>
  <c r="E274" i="1"/>
  <c r="E275" i="1"/>
  <c r="E276" i="1"/>
  <c r="E277" i="1"/>
  <c r="E278" i="1"/>
  <c r="P278" i="1"/>
  <c r="E279" i="1"/>
  <c r="E280" i="1"/>
  <c r="E281" i="1"/>
  <c r="P281" i="1"/>
  <c r="E282" i="1"/>
  <c r="E283" i="1"/>
  <c r="E284" i="1"/>
  <c r="P284" i="1"/>
  <c r="E285" i="1"/>
  <c r="E286" i="1"/>
  <c r="E287" i="1"/>
  <c r="P287" i="1"/>
  <c r="E288" i="1"/>
  <c r="E289" i="1"/>
  <c r="E290" i="1"/>
  <c r="P290" i="1"/>
  <c r="E291" i="1"/>
  <c r="E292" i="1"/>
  <c r="E293" i="1"/>
  <c r="P293" i="1"/>
  <c r="E294" i="1"/>
  <c r="E295" i="1"/>
  <c r="E296" i="1"/>
  <c r="P296" i="1"/>
  <c r="E297" i="1"/>
  <c r="E298" i="1"/>
  <c r="E299" i="1"/>
  <c r="P299" i="1"/>
  <c r="E300" i="1"/>
  <c r="E301" i="1"/>
  <c r="E302" i="1"/>
  <c r="P302" i="1"/>
  <c r="E303" i="1"/>
  <c r="P303" i="1"/>
  <c r="E304" i="1"/>
  <c r="E305" i="1"/>
  <c r="E306" i="1"/>
  <c r="P306" i="1"/>
  <c r="E307" i="1"/>
  <c r="E308" i="1"/>
  <c r="E309" i="1"/>
  <c r="E310" i="1"/>
  <c r="E311" i="1"/>
  <c r="P311" i="1"/>
  <c r="E312" i="1"/>
  <c r="E313" i="1"/>
  <c r="E314" i="1"/>
  <c r="E315" i="1"/>
  <c r="E316" i="1"/>
  <c r="E317" i="1"/>
  <c r="E318" i="1"/>
  <c r="E319" i="1"/>
  <c r="E320" i="1"/>
  <c r="E321" i="1"/>
  <c r="E322" i="1"/>
  <c r="E323" i="1"/>
  <c r="E324" i="1"/>
  <c r="E325" i="1"/>
  <c r="E326" i="1"/>
  <c r="E327" i="1"/>
  <c r="E328" i="1"/>
  <c r="E329" i="1"/>
  <c r="P329" i="1"/>
  <c r="E330" i="1"/>
  <c r="E331" i="1"/>
  <c r="E332" i="1"/>
  <c r="E333" i="1"/>
  <c r="E334" i="1"/>
  <c r="E335" i="1"/>
  <c r="E336" i="1"/>
  <c r="E337" i="1"/>
  <c r="E338" i="1"/>
  <c r="E339" i="1"/>
  <c r="E340" i="1"/>
  <c r="E341" i="1"/>
  <c r="P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P377" i="1"/>
  <c r="E378" i="1"/>
  <c r="E379" i="1"/>
  <c r="E380" i="1"/>
  <c r="E381" i="1"/>
  <c r="E382" i="1"/>
  <c r="E383" i="1"/>
  <c r="E384" i="1"/>
  <c r="E385" i="1"/>
  <c r="E386" i="1"/>
  <c r="P386" i="1"/>
  <c r="E387" i="1"/>
  <c r="E388" i="1"/>
  <c r="E389" i="1"/>
  <c r="E390" i="1"/>
  <c r="E391" i="1"/>
  <c r="E392" i="1"/>
  <c r="E393" i="1"/>
  <c r="E394" i="1"/>
  <c r="E395" i="1"/>
  <c r="E396" i="1"/>
  <c r="E397" i="1"/>
  <c r="E398" i="1"/>
  <c r="E399" i="1"/>
  <c r="E400" i="1"/>
  <c r="E401" i="1"/>
  <c r="E402" i="1"/>
  <c r="E403" i="1"/>
  <c r="E404" i="1"/>
  <c r="P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P573" i="1"/>
  <c r="E574" i="1"/>
  <c r="E575" i="1"/>
  <c r="E576" i="1"/>
  <c r="P576" i="1"/>
  <c r="E577" i="1"/>
  <c r="E578" i="1"/>
  <c r="E579" i="1"/>
  <c r="P579" i="1"/>
  <c r="E580" i="1"/>
  <c r="E581" i="1"/>
  <c r="E582" i="1"/>
  <c r="E583" i="1"/>
  <c r="P583" i="1"/>
  <c r="E584" i="1"/>
  <c r="E585" i="1"/>
  <c r="E586" i="1"/>
  <c r="P586" i="1"/>
  <c r="E587" i="1"/>
  <c r="E588" i="1"/>
  <c r="E589" i="1"/>
  <c r="P589" i="1"/>
  <c r="E590" i="1"/>
  <c r="E591" i="1"/>
  <c r="E592" i="1"/>
  <c r="P592" i="1"/>
  <c r="E593" i="1"/>
  <c r="E594" i="1"/>
  <c r="E595" i="1"/>
  <c r="P595" i="1"/>
  <c r="E596" i="1"/>
  <c r="E597" i="1"/>
  <c r="E598" i="1"/>
  <c r="P598" i="1"/>
  <c r="E599" i="1"/>
  <c r="E600" i="1"/>
  <c r="E601" i="1"/>
  <c r="P601" i="1"/>
  <c r="E602" i="1"/>
  <c r="E603" i="1"/>
  <c r="E604" i="1"/>
  <c r="P604" i="1"/>
  <c r="E605" i="1"/>
  <c r="E606" i="1"/>
  <c r="E607" i="1"/>
  <c r="P607" i="1"/>
  <c r="E608" i="1"/>
  <c r="E609" i="1"/>
  <c r="E610" i="1"/>
  <c r="P610" i="1"/>
  <c r="E611" i="1"/>
  <c r="E612" i="1"/>
  <c r="E613" i="1"/>
  <c r="E614" i="1"/>
  <c r="E615" i="1"/>
  <c r="E616" i="1"/>
  <c r="E617" i="1"/>
  <c r="E618" i="1"/>
  <c r="E619" i="1"/>
  <c r="E620" i="1"/>
  <c r="E621" i="1"/>
  <c r="E622" i="1"/>
  <c r="E623" i="1"/>
  <c r="E624" i="1"/>
  <c r="E625" i="1"/>
  <c r="E626" i="1"/>
  <c r="E627" i="1"/>
  <c r="P627" i="1"/>
  <c r="E628" i="1"/>
  <c r="E629" i="1"/>
  <c r="E630" i="1"/>
  <c r="P630" i="1"/>
  <c r="E631" i="1"/>
  <c r="E632" i="1"/>
  <c r="E633" i="1"/>
  <c r="P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P663" i="1"/>
  <c r="E664" i="1"/>
  <c r="E665" i="1"/>
  <c r="E666" i="1"/>
  <c r="P666" i="1"/>
  <c r="E667" i="1"/>
  <c r="E668" i="1"/>
  <c r="E669" i="1"/>
  <c r="P669" i="1"/>
  <c r="E670" i="1"/>
  <c r="E671" i="1"/>
  <c r="E672" i="1"/>
  <c r="P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P705" i="1"/>
  <c r="E706" i="1"/>
  <c r="E707" i="1"/>
  <c r="E708" i="1"/>
  <c r="P708" i="1"/>
  <c r="E709" i="1"/>
  <c r="E710" i="1"/>
  <c r="E711" i="1"/>
  <c r="P711" i="1"/>
  <c r="E712" i="1"/>
  <c r="E713" i="1"/>
  <c r="E714" i="1"/>
  <c r="P714" i="1"/>
  <c r="E715" i="1"/>
  <c r="E716" i="1"/>
  <c r="E717" i="1"/>
  <c r="P717" i="1"/>
  <c r="E718" i="1"/>
  <c r="E719" i="1"/>
  <c r="E720" i="1"/>
  <c r="E721" i="1"/>
  <c r="E722" i="1"/>
  <c r="E723" i="1"/>
  <c r="E724" i="1"/>
  <c r="E725" i="1"/>
  <c r="E726" i="1"/>
  <c r="E727" i="1"/>
  <c r="E728" i="1"/>
  <c r="E729" i="1"/>
  <c r="E730" i="1"/>
  <c r="E731" i="1"/>
  <c r="E732" i="1"/>
  <c r="E733" i="1"/>
  <c r="E734" i="1"/>
  <c r="E735" i="1"/>
  <c r="P735" i="1"/>
  <c r="E736" i="1"/>
  <c r="E737" i="1"/>
  <c r="E738" i="1"/>
  <c r="P738" i="1"/>
  <c r="E739" i="1"/>
  <c r="E740" i="1"/>
  <c r="E741" i="1"/>
  <c r="P741" i="1"/>
  <c r="E742" i="1"/>
  <c r="E743" i="1"/>
  <c r="E744" i="1"/>
  <c r="P744" i="1"/>
  <c r="E745" i="1"/>
  <c r="E746" i="1"/>
  <c r="E747" i="1"/>
  <c r="P747" i="1"/>
  <c r="E748" i="1"/>
  <c r="E749" i="1"/>
  <c r="E750" i="1"/>
  <c r="P750" i="1"/>
  <c r="E751" i="1"/>
  <c r="P751" i="1"/>
  <c r="E752" i="1"/>
  <c r="E753" i="1"/>
  <c r="P753" i="1"/>
  <c r="E754" i="1"/>
  <c r="E755" i="1"/>
  <c r="E756" i="1"/>
  <c r="P756" i="1"/>
  <c r="E757" i="1"/>
  <c r="E758" i="1"/>
  <c r="E759" i="1"/>
  <c r="P759" i="1"/>
  <c r="E760" i="1"/>
  <c r="E761" i="1"/>
  <c r="E762" i="1"/>
  <c r="P762" i="1"/>
  <c r="E763" i="1"/>
  <c r="E764" i="1"/>
  <c r="E765" i="1"/>
  <c r="P765" i="1"/>
  <c r="E766" i="1"/>
  <c r="E767" i="1"/>
  <c r="E768" i="1"/>
  <c r="P768" i="1"/>
  <c r="E769" i="1"/>
  <c r="E770" i="1"/>
  <c r="E771" i="1"/>
  <c r="E772" i="1"/>
  <c r="E773" i="1"/>
  <c r="E774" i="1"/>
  <c r="P774" i="1"/>
  <c r="E775" i="1"/>
  <c r="E776" i="1"/>
  <c r="E777" i="1"/>
  <c r="P777" i="1"/>
  <c r="E778" i="1"/>
  <c r="E779" i="1"/>
  <c r="E780" i="1"/>
  <c r="P780" i="1"/>
  <c r="E781" i="1"/>
  <c r="P781" i="1"/>
  <c r="E782" i="1"/>
  <c r="E783" i="1"/>
  <c r="P783" i="1"/>
  <c r="E784" i="1"/>
  <c r="E785" i="1"/>
  <c r="E786" i="1"/>
  <c r="P786" i="1"/>
  <c r="E787" i="1"/>
  <c r="E788" i="1"/>
  <c r="E789" i="1"/>
  <c r="P789" i="1"/>
  <c r="E790" i="1"/>
  <c r="E791" i="1"/>
  <c r="E792" i="1"/>
  <c r="P792" i="1"/>
  <c r="E793" i="1"/>
  <c r="E794" i="1"/>
  <c r="E795" i="1"/>
  <c r="P795" i="1"/>
  <c r="E796" i="1"/>
  <c r="E797" i="1"/>
  <c r="P797" i="1"/>
  <c r="E798" i="1"/>
  <c r="E799" i="1"/>
  <c r="E800" i="1"/>
  <c r="P800" i="1"/>
  <c r="E801" i="1"/>
  <c r="P801" i="1"/>
  <c r="E802" i="1"/>
  <c r="E803" i="1"/>
  <c r="E804" i="1"/>
  <c r="E805" i="1"/>
  <c r="E806" i="1"/>
  <c r="E807" i="1"/>
  <c r="E808" i="1"/>
  <c r="E809" i="1"/>
  <c r="E810" i="1"/>
  <c r="E811" i="1"/>
  <c r="E812" i="1"/>
  <c r="E813" i="1"/>
  <c r="E814" i="1"/>
  <c r="E815" i="1"/>
  <c r="E816" i="1"/>
  <c r="P816" i="1"/>
  <c r="E817" i="1"/>
  <c r="E818" i="1"/>
  <c r="E819" i="1"/>
  <c r="P819" i="1"/>
  <c r="E820" i="1"/>
  <c r="E821" i="1"/>
  <c r="E822" i="1"/>
  <c r="P822" i="1"/>
  <c r="E823" i="1"/>
  <c r="P823" i="1"/>
  <c r="E824" i="1"/>
  <c r="E825" i="1"/>
  <c r="P825" i="1"/>
  <c r="E826" i="1"/>
  <c r="E827" i="1"/>
  <c r="E828" i="1"/>
  <c r="E829" i="1"/>
  <c r="E830" i="1"/>
  <c r="E831" i="1"/>
  <c r="E832" i="1"/>
  <c r="E833" i="1"/>
  <c r="E834" i="1"/>
  <c r="P834" i="1"/>
  <c r="E835" i="1"/>
  <c r="E836" i="1"/>
  <c r="E837" i="1"/>
  <c r="P837" i="1"/>
  <c r="E838" i="1"/>
  <c r="E839" i="1"/>
  <c r="E840" i="1"/>
  <c r="P840" i="1"/>
  <c r="E841" i="1"/>
  <c r="E842" i="1"/>
  <c r="E843" i="1"/>
  <c r="P843" i="1"/>
  <c r="E844" i="1"/>
  <c r="E845" i="1"/>
  <c r="E846" i="1"/>
  <c r="P846" i="1"/>
  <c r="E847" i="1"/>
  <c r="E848" i="1"/>
  <c r="E849" i="1"/>
  <c r="P849" i="1"/>
  <c r="E850" i="1"/>
  <c r="E851" i="1"/>
  <c r="E852" i="1"/>
  <c r="P852" i="1"/>
  <c r="E853" i="1"/>
  <c r="E854" i="1"/>
  <c r="E855" i="1"/>
  <c r="P855" i="1"/>
  <c r="E856" i="1"/>
  <c r="P856" i="1"/>
  <c r="E857" i="1"/>
  <c r="E858" i="1"/>
  <c r="P858" i="1"/>
  <c r="E859" i="1"/>
  <c r="E860" i="1"/>
  <c r="E861" i="1"/>
  <c r="P861" i="1"/>
  <c r="E862" i="1"/>
  <c r="E863" i="1"/>
  <c r="E864" i="1"/>
  <c r="P864" i="1"/>
  <c r="E865" i="1"/>
  <c r="E866" i="1"/>
  <c r="E867" i="1"/>
  <c r="P867" i="1"/>
  <c r="E868" i="1"/>
  <c r="E869" i="1"/>
  <c r="E870" i="1"/>
  <c r="P870" i="1"/>
  <c r="E871" i="1"/>
  <c r="E872" i="1"/>
  <c r="E873" i="1"/>
  <c r="P873" i="1"/>
  <c r="E874" i="1"/>
  <c r="E875" i="1"/>
  <c r="E876" i="1"/>
  <c r="E877" i="1"/>
  <c r="E878" i="1"/>
  <c r="E879" i="1"/>
  <c r="E880" i="1"/>
  <c r="E881" i="1"/>
  <c r="E882" i="1"/>
  <c r="P882" i="1"/>
  <c r="E883" i="1"/>
  <c r="E884" i="1"/>
  <c r="E885" i="1"/>
  <c r="E886" i="1"/>
  <c r="E887" i="1"/>
  <c r="E888" i="1"/>
  <c r="E889" i="1"/>
  <c r="E890" i="1"/>
  <c r="E891" i="1"/>
  <c r="E892" i="1"/>
  <c r="E893" i="1"/>
  <c r="E894" i="1"/>
  <c r="E895" i="1"/>
  <c r="E896" i="1"/>
  <c r="E897" i="1"/>
  <c r="E898" i="1"/>
  <c r="E899" i="1"/>
  <c r="E900" i="1"/>
  <c r="E901" i="1"/>
  <c r="E902" i="1"/>
  <c r="E903" i="1"/>
  <c r="E904" i="1"/>
  <c r="E905" i="1"/>
  <c r="E906" i="1"/>
  <c r="P906" i="1"/>
  <c r="E907" i="1"/>
  <c r="E908" i="1"/>
  <c r="E909" i="1"/>
  <c r="P909" i="1"/>
  <c r="E910" i="1"/>
  <c r="E911" i="1"/>
  <c r="E912" i="1"/>
  <c r="P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P954" i="1"/>
  <c r="E955" i="1"/>
  <c r="E956" i="1"/>
  <c r="E957" i="1"/>
  <c r="P957" i="1"/>
  <c r="E958" i="1"/>
  <c r="E959" i="1"/>
  <c r="E960" i="1"/>
  <c r="P960" i="1"/>
  <c r="E961" i="1"/>
  <c r="E962" i="1"/>
  <c r="E963" i="1"/>
  <c r="P963" i="1"/>
  <c r="E964" i="1"/>
  <c r="E965" i="1"/>
  <c r="E966" i="1"/>
  <c r="P966" i="1"/>
  <c r="E967" i="1"/>
  <c r="E968" i="1"/>
  <c r="E969" i="1"/>
  <c r="P969" i="1"/>
  <c r="E970" i="1"/>
  <c r="E971" i="1"/>
  <c r="E972" i="1"/>
  <c r="P972" i="1"/>
  <c r="E973" i="1"/>
  <c r="E974" i="1"/>
  <c r="E975" i="1"/>
  <c r="P975" i="1"/>
  <c r="E976" i="1"/>
  <c r="E977" i="1"/>
  <c r="E978" i="1"/>
  <c r="E979" i="1"/>
  <c r="E980" i="1"/>
  <c r="E981" i="1"/>
  <c r="P981" i="1"/>
  <c r="E982" i="1"/>
  <c r="E983" i="1"/>
  <c r="E984" i="1"/>
  <c r="P984" i="1"/>
  <c r="E985" i="1"/>
  <c r="E986" i="1"/>
  <c r="E987" i="1"/>
  <c r="P987" i="1"/>
  <c r="E988" i="1"/>
  <c r="E989" i="1"/>
  <c r="E990" i="1"/>
  <c r="P990" i="1"/>
  <c r="E991" i="1"/>
  <c r="E992" i="1"/>
  <c r="E993" i="1"/>
  <c r="P993" i="1"/>
  <c r="E994" i="1"/>
  <c r="E995" i="1"/>
  <c r="E996" i="1"/>
  <c r="E997" i="1"/>
  <c r="E998" i="1"/>
  <c r="E999" i="1"/>
  <c r="P999" i="1"/>
  <c r="E1000" i="1"/>
  <c r="E1001" i="1"/>
  <c r="E1002" i="1"/>
  <c r="P1002" i="1"/>
  <c r="E1003" i="1"/>
  <c r="E1004" i="1"/>
  <c r="E1005" i="1"/>
  <c r="P1005" i="1"/>
  <c r="E1006" i="1"/>
  <c r="E1007" i="1"/>
  <c r="E1008" i="1"/>
  <c r="P1008" i="1"/>
  <c r="E1009" i="1"/>
  <c r="E1010" i="1"/>
  <c r="E1011" i="1"/>
  <c r="P1011" i="1"/>
  <c r="E1012" i="1"/>
  <c r="E1013" i="1"/>
  <c r="E1014" i="1"/>
  <c r="P1014" i="1"/>
  <c r="E1015" i="1"/>
  <c r="E1016" i="1"/>
  <c r="E1017" i="1"/>
  <c r="P1017" i="1"/>
  <c r="E1018" i="1"/>
  <c r="E1019" i="1"/>
  <c r="E1020" i="1"/>
  <c r="P1020" i="1"/>
  <c r="E1021" i="1"/>
  <c r="E1022" i="1"/>
  <c r="P1022" i="1"/>
  <c r="E1023" i="1"/>
  <c r="P1023" i="1"/>
  <c r="E1024" i="1"/>
  <c r="E1025" i="1"/>
  <c r="E1026" i="1"/>
  <c r="P1026" i="1"/>
  <c r="E1027" i="1"/>
  <c r="E1028" i="1"/>
  <c r="E1029" i="1"/>
  <c r="P1029" i="1"/>
  <c r="E1030" i="1"/>
  <c r="E1031" i="1"/>
  <c r="E1032" i="1"/>
  <c r="P1032" i="1"/>
  <c r="E1033" i="1"/>
  <c r="P1033" i="1"/>
  <c r="E1034" i="1"/>
  <c r="E1035" i="1"/>
  <c r="P1035" i="1"/>
  <c r="E1036" i="1"/>
  <c r="E1037" i="1"/>
  <c r="E1038" i="1"/>
  <c r="P1038" i="1"/>
  <c r="E1039" i="1"/>
  <c r="E1040" i="1"/>
  <c r="E1041" i="1"/>
  <c r="P1041" i="1"/>
  <c r="E1042" i="1"/>
  <c r="E1043" i="1"/>
  <c r="E1044" i="1"/>
  <c r="P1044" i="1"/>
  <c r="E1045" i="1"/>
  <c r="E1046" i="1"/>
  <c r="E1047" i="1"/>
  <c r="P1047" i="1"/>
  <c r="E1048" i="1"/>
  <c r="E1049" i="1"/>
  <c r="P1049" i="1"/>
  <c r="E1050" i="1"/>
  <c r="P1050" i="1"/>
  <c r="E1051" i="1"/>
  <c r="E1052" i="1"/>
  <c r="E1053" i="1"/>
  <c r="P1053" i="1"/>
  <c r="E1054" i="1"/>
  <c r="E1055" i="1"/>
  <c r="E1056" i="1"/>
  <c r="P1056" i="1"/>
  <c r="E1057" i="1"/>
  <c r="E1058" i="1"/>
  <c r="E1059" i="1"/>
  <c r="P1059" i="1"/>
  <c r="E1060" i="1"/>
  <c r="P1060" i="1"/>
  <c r="E1061" i="1"/>
  <c r="E1062" i="1"/>
  <c r="P1062" i="1"/>
  <c r="E1063" i="1"/>
  <c r="E1064" i="1"/>
  <c r="E1065" i="1"/>
  <c r="P1065" i="1"/>
  <c r="E1066" i="1"/>
  <c r="E1067" i="1"/>
  <c r="E1068" i="1"/>
  <c r="P1068" i="1"/>
  <c r="E1069" i="1"/>
  <c r="E1070" i="1"/>
  <c r="E1071" i="1"/>
  <c r="P1071" i="1"/>
  <c r="E1072" i="1"/>
  <c r="E1073" i="1"/>
  <c r="E1074" i="1"/>
  <c r="P1074" i="1"/>
  <c r="E1075" i="1"/>
  <c r="E1076" i="1"/>
  <c r="E1077" i="1"/>
  <c r="P1077" i="1"/>
  <c r="E1078" i="1"/>
  <c r="E1079" i="1"/>
  <c r="E1080" i="1"/>
  <c r="E1081" i="1"/>
  <c r="E1082" i="1"/>
  <c r="E1083" i="1"/>
  <c r="P1083" i="1"/>
  <c r="E1084" i="1"/>
  <c r="E1085" i="1"/>
  <c r="P1085" i="1"/>
  <c r="E1086" i="1"/>
  <c r="P1086" i="1"/>
  <c r="E1087" i="1"/>
  <c r="E1088" i="1"/>
  <c r="E1089" i="1"/>
  <c r="P1089" i="1"/>
  <c r="E1090" i="1"/>
  <c r="E1091" i="1"/>
  <c r="E1092" i="1"/>
  <c r="P1092" i="1"/>
  <c r="E1093" i="1"/>
  <c r="E1094" i="1"/>
  <c r="E1095" i="1"/>
  <c r="P1095" i="1"/>
  <c r="E1096" i="1"/>
  <c r="P1096" i="1"/>
  <c r="E1097" i="1"/>
  <c r="E1098" i="1"/>
  <c r="P1098" i="1"/>
  <c r="E1099" i="1"/>
  <c r="E1100" i="1"/>
  <c r="E1101" i="1"/>
  <c r="E1102" i="1"/>
  <c r="E1103" i="1"/>
  <c r="E1104" i="1"/>
  <c r="E1105" i="1"/>
  <c r="E1106" i="1"/>
  <c r="E1107" i="1"/>
  <c r="E1108" i="1"/>
  <c r="E1109" i="1"/>
  <c r="E1110" i="1"/>
  <c r="E1111" i="1"/>
  <c r="E1112" i="1"/>
  <c r="E1113" i="1"/>
  <c r="E1114" i="1"/>
  <c r="E1115" i="1"/>
  <c r="E1116" i="1"/>
  <c r="P1116" i="1"/>
  <c r="E1117" i="1"/>
  <c r="E1118" i="1"/>
  <c r="E1119" i="1"/>
  <c r="P1119" i="1"/>
  <c r="E1120" i="1"/>
  <c r="E1121" i="1"/>
  <c r="E1122" i="1"/>
  <c r="P1122" i="1"/>
  <c r="E1123" i="1"/>
  <c r="E1124" i="1"/>
  <c r="E1125" i="1"/>
  <c r="P1125" i="1"/>
  <c r="E1126" i="1"/>
  <c r="E1127" i="1"/>
  <c r="P1127" i="1"/>
  <c r="E1128" i="1"/>
  <c r="E1129" i="1"/>
  <c r="E1130" i="1"/>
  <c r="P1130" i="1"/>
  <c r="E1131" i="1"/>
  <c r="P1131" i="1"/>
  <c r="E1132" i="1"/>
  <c r="E1133" i="1"/>
  <c r="E1134" i="1"/>
  <c r="P1134" i="1"/>
  <c r="E1135" i="1"/>
  <c r="E1136" i="1"/>
  <c r="E1137" i="1"/>
  <c r="P1137" i="1"/>
  <c r="E1138" i="1"/>
  <c r="E1139" i="1"/>
  <c r="E1140" i="1"/>
  <c r="P1140" i="1"/>
  <c r="E1141" i="1"/>
  <c r="P1141" i="1"/>
  <c r="E1142" i="1"/>
  <c r="E1143" i="1"/>
  <c r="P1143" i="1"/>
  <c r="E1144" i="1"/>
  <c r="E1145" i="1"/>
  <c r="E1146" i="1"/>
  <c r="P1146" i="1"/>
  <c r="E1147" i="1"/>
  <c r="E1148" i="1"/>
  <c r="E1149" i="1"/>
  <c r="P1149" i="1"/>
  <c r="E1150" i="1"/>
  <c r="E1151" i="1"/>
  <c r="E1152" i="1"/>
  <c r="P1152" i="1"/>
  <c r="E1153" i="1"/>
  <c r="E1154" i="1"/>
  <c r="E1155" i="1"/>
  <c r="P1155" i="1"/>
  <c r="E1156" i="1"/>
  <c r="E1157" i="1"/>
  <c r="P1157" i="1"/>
  <c r="E1158" i="1"/>
  <c r="P1158" i="1"/>
  <c r="E1159" i="1"/>
  <c r="E1160" i="1"/>
  <c r="E1161" i="1"/>
  <c r="P1161" i="1"/>
  <c r="E1162" i="1"/>
  <c r="E1163" i="1"/>
  <c r="E1164" i="1"/>
  <c r="P1164" i="1"/>
  <c r="E1165" i="1"/>
  <c r="E1166" i="1"/>
  <c r="E1167" i="1"/>
  <c r="P1167" i="1"/>
  <c r="E1168" i="1"/>
  <c r="P1168" i="1"/>
  <c r="E1169" i="1"/>
  <c r="E1170" i="1"/>
  <c r="E1171" i="1"/>
  <c r="P1171" i="1"/>
  <c r="E1172" i="1"/>
  <c r="E1173" i="1"/>
  <c r="E1174" i="1"/>
  <c r="E1175" i="1"/>
  <c r="E1176" i="1"/>
  <c r="E1177" i="1"/>
  <c r="P1177" i="1"/>
  <c r="E1178" i="1"/>
  <c r="E1179" i="1"/>
  <c r="P1179" i="1"/>
  <c r="E1180" i="1"/>
  <c r="E1181" i="1"/>
  <c r="E1182" i="1"/>
  <c r="P1182" i="1"/>
  <c r="E1183" i="1"/>
  <c r="E1184" i="1"/>
  <c r="E1185" i="1"/>
  <c r="P1185" i="1"/>
  <c r="E1186" i="1"/>
  <c r="E1187" i="1"/>
  <c r="E1188" i="1"/>
  <c r="P1188" i="1"/>
  <c r="E1189" i="1"/>
  <c r="E1190" i="1"/>
  <c r="E1191" i="1"/>
  <c r="P1191" i="1"/>
  <c r="E1192" i="1"/>
  <c r="E1193" i="1"/>
  <c r="P1193" i="1"/>
  <c r="E1194" i="1"/>
  <c r="E1195" i="1"/>
  <c r="E1196" i="1"/>
  <c r="E1197" i="1"/>
  <c r="E1198" i="1"/>
  <c r="E1199" i="1"/>
  <c r="E1200" i="1"/>
  <c r="P1200" i="1"/>
  <c r="E1201" i="1"/>
  <c r="E1202" i="1"/>
  <c r="E1203" i="1"/>
  <c r="P1203" i="1"/>
  <c r="E1204" i="1"/>
  <c r="E1205" i="1"/>
  <c r="E1206" i="1"/>
  <c r="P1206" i="1"/>
  <c r="E1207" i="1"/>
  <c r="E1208" i="1"/>
  <c r="E1209" i="1"/>
  <c r="P1209" i="1"/>
  <c r="E1210" i="1"/>
  <c r="E1211" i="1"/>
  <c r="E1212" i="1"/>
  <c r="E1213" i="1"/>
  <c r="P1213" i="1"/>
  <c r="E1214" i="1"/>
  <c r="E1215" i="1"/>
  <c r="E1216" i="1"/>
  <c r="P1216" i="1"/>
  <c r="E1217" i="1"/>
  <c r="E1218" i="1"/>
  <c r="E1219" i="1"/>
  <c r="P1219" i="1"/>
  <c r="E1220" i="1"/>
  <c r="E1221" i="1"/>
  <c r="E1222" i="1"/>
  <c r="P1222" i="1"/>
  <c r="E1223" i="1"/>
  <c r="E1224" i="1"/>
  <c r="E1225" i="1"/>
  <c r="P1225" i="1"/>
  <c r="E1226" i="1"/>
  <c r="E1227" i="1"/>
  <c r="P1227" i="1"/>
  <c r="E1228" i="1"/>
  <c r="E1229" i="1"/>
  <c r="E1230" i="1"/>
  <c r="P1230" i="1"/>
  <c r="E1231" i="1"/>
  <c r="E1232" i="1"/>
  <c r="E1233" i="1"/>
  <c r="P1233" i="1"/>
  <c r="E1234" i="1"/>
  <c r="E1235" i="1"/>
  <c r="E1236" i="1"/>
  <c r="P1236" i="1"/>
  <c r="E1237" i="1"/>
  <c r="E1238" i="1"/>
  <c r="E1239" i="1"/>
  <c r="P1239" i="1"/>
  <c r="E1240" i="1"/>
  <c r="E1241" i="1"/>
  <c r="E1242" i="1"/>
  <c r="P1242" i="1"/>
  <c r="E1243" i="1"/>
  <c r="E1244" i="1"/>
  <c r="E1245" i="1"/>
  <c r="P1245" i="1"/>
  <c r="E1246" i="1"/>
  <c r="E1247" i="1"/>
  <c r="E1248" i="1"/>
  <c r="P1248" i="1"/>
  <c r="E1249" i="1"/>
  <c r="E1250" i="1"/>
  <c r="E1251" i="1"/>
  <c r="E1252" i="1"/>
  <c r="E1253" i="1"/>
  <c r="E1254" i="1"/>
  <c r="P1254" i="1"/>
  <c r="E1255" i="1"/>
  <c r="E1256" i="1"/>
  <c r="E1257" i="1"/>
  <c r="P1257" i="1"/>
  <c r="E1258" i="1"/>
  <c r="E1259" i="1"/>
  <c r="E1260" i="1"/>
  <c r="P1260" i="1"/>
  <c r="E1261" i="1"/>
  <c r="E1262" i="1"/>
  <c r="E1263" i="1"/>
  <c r="E1264" i="1"/>
  <c r="E1265" i="1"/>
  <c r="E1266" i="1"/>
  <c r="E1267" i="1"/>
  <c r="E1268" i="1"/>
  <c r="E1269" i="1"/>
  <c r="E1270" i="1"/>
  <c r="E1271" i="1"/>
  <c r="E1272" i="1"/>
  <c r="E1273" i="1"/>
  <c r="E1274" i="1"/>
  <c r="E1275" i="1"/>
  <c r="P1275" i="1"/>
  <c r="E1276" i="1"/>
  <c r="E1277" i="1"/>
  <c r="E1278" i="1"/>
  <c r="P1278" i="1"/>
  <c r="E1279" i="1"/>
  <c r="E1280" i="1"/>
  <c r="E1281" i="1"/>
  <c r="P1281" i="1"/>
  <c r="E1282" i="1"/>
  <c r="E1283" i="1"/>
  <c r="P1283" i="1"/>
  <c r="E1284" i="1"/>
  <c r="P1284" i="1"/>
  <c r="E1285" i="1"/>
  <c r="E1286" i="1"/>
  <c r="E1287" i="1"/>
  <c r="P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P1314" i="1"/>
  <c r="E1315" i="1"/>
  <c r="E1316" i="1"/>
  <c r="E1317" i="1"/>
  <c r="P1317" i="1"/>
  <c r="E1318" i="1"/>
  <c r="P1318" i="1"/>
  <c r="E1319" i="1"/>
  <c r="E1320" i="1"/>
  <c r="P1320" i="1"/>
  <c r="E1321" i="1"/>
  <c r="E1322" i="1"/>
  <c r="E1323" i="1"/>
  <c r="P1323" i="1"/>
  <c r="E1324" i="1"/>
  <c r="E1325" i="1"/>
  <c r="E1326" i="1"/>
  <c r="P1326" i="1"/>
  <c r="E1327" i="1"/>
  <c r="E1328" i="1"/>
  <c r="E1329" i="1"/>
  <c r="P1329" i="1"/>
  <c r="E1330" i="1"/>
  <c r="E1331" i="1"/>
  <c r="E1332" i="1"/>
  <c r="P1332" i="1"/>
  <c r="E1333" i="1"/>
  <c r="E1334" i="1"/>
  <c r="P1334" i="1"/>
  <c r="E1335" i="1"/>
  <c r="P1335" i="1"/>
  <c r="E1336" i="1"/>
  <c r="E1337" i="1"/>
  <c r="E1338" i="1"/>
  <c r="P1338" i="1"/>
  <c r="E1339" i="1"/>
  <c r="E1340" i="1"/>
  <c r="E1341" i="1"/>
  <c r="P1341" i="1"/>
  <c r="E1342" i="1"/>
  <c r="E1343" i="1"/>
  <c r="E1344" i="1"/>
  <c r="P1344" i="1"/>
  <c r="E1345" i="1"/>
  <c r="P1345" i="1"/>
  <c r="E1346" i="1"/>
  <c r="E1347" i="1"/>
  <c r="P1347" i="1"/>
  <c r="E1348" i="1"/>
  <c r="E1349" i="1"/>
  <c r="E1350" i="1"/>
  <c r="P1350" i="1"/>
  <c r="E1351" i="1"/>
  <c r="E1352" i="1"/>
  <c r="E1353" i="1"/>
  <c r="P1353" i="1"/>
  <c r="E1354" i="1"/>
  <c r="E1355" i="1"/>
  <c r="E1356" i="1"/>
  <c r="P1356" i="1"/>
  <c r="E1357" i="1"/>
  <c r="E1358" i="1"/>
  <c r="E1359" i="1"/>
  <c r="P1359" i="1"/>
  <c r="E1360" i="1"/>
  <c r="E1361" i="1"/>
  <c r="P1361" i="1"/>
  <c r="E1362" i="1"/>
  <c r="P1362" i="1"/>
  <c r="E1363" i="1"/>
  <c r="E1364" i="1"/>
  <c r="E1365" i="1"/>
  <c r="P1365" i="1"/>
  <c r="E1366" i="1"/>
  <c r="E1367" i="1"/>
  <c r="E1368" i="1"/>
  <c r="P1368" i="1"/>
  <c r="E1369" i="1"/>
  <c r="E1370" i="1"/>
  <c r="E1371" i="1"/>
  <c r="E1372" i="1"/>
  <c r="E1373" i="1"/>
  <c r="E1374" i="1"/>
  <c r="P1374" i="1"/>
  <c r="E1375" i="1"/>
  <c r="P1375" i="1"/>
  <c r="E1376" i="1"/>
  <c r="E1377" i="1"/>
  <c r="P1377" i="1"/>
  <c r="E1378" i="1"/>
  <c r="E1379" i="1"/>
  <c r="E1380" i="1"/>
  <c r="E1416" i="1"/>
  <c r="E1428" i="1"/>
  <c r="E1429" i="1"/>
  <c r="P1429" i="1"/>
  <c r="E1430" i="1"/>
  <c r="E1439" i="1"/>
  <c r="E1479" i="1"/>
  <c r="E1480" i="1"/>
  <c r="E1481" i="1"/>
  <c r="E1520" i="1"/>
  <c r="P1520" i="1"/>
  <c r="E1538" i="1"/>
  <c r="E1557" i="1"/>
  <c r="E1568" i="1"/>
  <c r="P1568" i="1"/>
  <c r="E1579" i="1"/>
  <c r="E1582" i="1"/>
  <c r="E1592" i="1"/>
  <c r="P1592" i="1"/>
  <c r="E1611" i="1"/>
  <c r="E1667" i="1"/>
  <c r="P1667" i="1"/>
  <c r="E1672" i="1"/>
  <c r="P1672" i="1"/>
  <c r="E1677" i="1"/>
  <c r="E1701" i="1"/>
  <c r="E1727" i="1"/>
  <c r="P1727" i="1"/>
  <c r="E1732" i="1"/>
  <c r="E1870" i="1"/>
  <c r="P1870" i="1"/>
  <c r="E1880" i="1"/>
  <c r="P1880" i="1"/>
  <c r="E1884" i="1"/>
  <c r="E1947" i="1"/>
  <c r="E1968" i="1"/>
  <c r="P1968" i="1"/>
  <c r="E2001" i="1"/>
  <c r="E2006" i="1"/>
  <c r="E2036" i="1"/>
  <c r="P2036" i="1"/>
  <c r="E2062" i="1"/>
  <c r="E2067" i="1"/>
  <c r="E2070" i="1"/>
  <c r="P2070" i="1"/>
  <c r="E2075" i="1"/>
  <c r="E2096" i="1"/>
  <c r="P2096" i="1"/>
  <c r="E2141" i="1"/>
  <c r="P2141" i="1"/>
  <c r="E2156" i="1"/>
  <c r="E2188" i="1"/>
  <c r="P2188" i="1"/>
  <c r="E2207" i="1"/>
  <c r="P2207" i="1"/>
  <c r="E2392" i="1"/>
  <c r="E2400" i="1"/>
  <c r="E2524" i="1"/>
  <c r="P2524" i="1"/>
  <c r="E2558" i="1"/>
  <c r="P2558" i="1"/>
  <c r="E2585" i="1"/>
  <c r="P2585" i="1"/>
  <c r="E2586" i="1"/>
  <c r="P2586" i="1"/>
  <c r="O140" i="9"/>
  <c r="BA140" i="9"/>
  <c r="W138" i="9"/>
  <c r="V138" i="9"/>
  <c r="U138" i="9"/>
  <c r="V130" i="5"/>
  <c r="T138" i="9"/>
  <c r="S138" i="9"/>
  <c r="R138" i="9"/>
  <c r="S130" i="5"/>
  <c r="Q138" i="9"/>
  <c r="P138" i="9"/>
  <c r="O138" i="9"/>
  <c r="P130" i="5"/>
  <c r="N138" i="9"/>
  <c r="O130" i="5"/>
  <c r="M138" i="9"/>
  <c r="L138" i="9"/>
  <c r="M130" i="5"/>
  <c r="K138" i="9"/>
  <c r="J138" i="9"/>
  <c r="I138" i="9"/>
  <c r="J130" i="5"/>
  <c r="H138" i="9"/>
  <c r="G138" i="9"/>
  <c r="F138" i="9"/>
  <c r="G130" i="5"/>
  <c r="E138" i="9"/>
  <c r="W137" i="9"/>
  <c r="V137" i="9"/>
  <c r="W138" i="5"/>
  <c r="U137" i="9"/>
  <c r="T137" i="9"/>
  <c r="S137" i="9"/>
  <c r="T138" i="5"/>
  <c r="R137" i="9"/>
  <c r="Q137" i="9"/>
  <c r="P137" i="9"/>
  <c r="Q138" i="5"/>
  <c r="O137" i="9"/>
  <c r="N137" i="9"/>
  <c r="M137" i="9"/>
  <c r="L137" i="9"/>
  <c r="K137" i="9"/>
  <c r="J137" i="9"/>
  <c r="K138" i="5"/>
  <c r="I137" i="9"/>
  <c r="H137" i="9"/>
  <c r="G137" i="9"/>
  <c r="H138" i="5"/>
  <c r="F137" i="9"/>
  <c r="E137" i="9"/>
  <c r="W136" i="9"/>
  <c r="X132" i="5"/>
  <c r="V136" i="9"/>
  <c r="W132" i="5"/>
  <c r="U136" i="9"/>
  <c r="T136" i="9"/>
  <c r="U132" i="5"/>
  <c r="S136" i="9"/>
  <c r="R136" i="9"/>
  <c r="Q136" i="9"/>
  <c r="R132" i="5"/>
  <c r="P136" i="9"/>
  <c r="O136" i="9"/>
  <c r="N136" i="9"/>
  <c r="O132" i="5"/>
  <c r="M136" i="9"/>
  <c r="L136" i="9"/>
  <c r="K136" i="9"/>
  <c r="L132" i="5"/>
  <c r="J136" i="9"/>
  <c r="I136" i="9"/>
  <c r="H136" i="9"/>
  <c r="I132" i="5"/>
  <c r="G136" i="9"/>
  <c r="F136" i="9"/>
  <c r="E136" i="9"/>
  <c r="W135" i="9"/>
  <c r="V135" i="9"/>
  <c r="U135" i="9"/>
  <c r="V129" i="5"/>
  <c r="T135" i="9"/>
  <c r="S135" i="9"/>
  <c r="R135" i="9"/>
  <c r="S129" i="5"/>
  <c r="Q135" i="9"/>
  <c r="P135" i="9"/>
  <c r="O135" i="9"/>
  <c r="P129" i="5"/>
  <c r="N135" i="9"/>
  <c r="M135" i="9"/>
  <c r="L135" i="9"/>
  <c r="M129" i="5"/>
  <c r="K135" i="9"/>
  <c r="J135" i="9"/>
  <c r="I135" i="9"/>
  <c r="J129" i="5"/>
  <c r="F135" i="9"/>
  <c r="E135" i="9"/>
  <c r="W134" i="9"/>
  <c r="X128" i="5"/>
  <c r="V134" i="9"/>
  <c r="U134" i="9"/>
  <c r="T134" i="9"/>
  <c r="U128" i="5"/>
  <c r="S134" i="9"/>
  <c r="R134" i="9"/>
  <c r="Q134" i="9"/>
  <c r="R128" i="5"/>
  <c r="P134" i="9"/>
  <c r="O134" i="9"/>
  <c r="N134" i="9"/>
  <c r="O128" i="5"/>
  <c r="M134" i="9"/>
  <c r="L134" i="9"/>
  <c r="K134" i="9"/>
  <c r="L128" i="5"/>
  <c r="J134" i="9"/>
  <c r="I133" i="9"/>
  <c r="H133" i="9"/>
  <c r="I127" i="5"/>
  <c r="G133" i="9"/>
  <c r="F133" i="9"/>
  <c r="E133" i="9"/>
  <c r="F127" i="5"/>
  <c r="W132" i="9"/>
  <c r="V132" i="9"/>
  <c r="V131" i="9"/>
  <c r="U131" i="9"/>
  <c r="T131" i="9"/>
  <c r="W129" i="9"/>
  <c r="X126" i="5"/>
  <c r="V129" i="9"/>
  <c r="U129" i="9"/>
  <c r="T129" i="9"/>
  <c r="U126" i="5"/>
  <c r="S129" i="9"/>
  <c r="R129" i="9"/>
  <c r="Q129" i="9"/>
  <c r="R126" i="5"/>
  <c r="P129" i="9"/>
  <c r="O129" i="9"/>
  <c r="N129" i="9"/>
  <c r="O126" i="5"/>
  <c r="M129" i="9"/>
  <c r="L129" i="9"/>
  <c r="K129" i="9"/>
  <c r="L126" i="5"/>
  <c r="J129" i="9"/>
  <c r="I129" i="9"/>
  <c r="J126" i="5"/>
  <c r="H129" i="9"/>
  <c r="I126" i="5"/>
  <c r="G129" i="9"/>
  <c r="F129" i="9"/>
  <c r="E129" i="9"/>
  <c r="F126" i="5"/>
  <c r="W128" i="9"/>
  <c r="V128" i="9"/>
  <c r="U128" i="9"/>
  <c r="V125" i="5"/>
  <c r="T128" i="9"/>
  <c r="S128" i="9"/>
  <c r="R128" i="9"/>
  <c r="S125" i="5"/>
  <c r="Q128" i="9"/>
  <c r="P128" i="9"/>
  <c r="O128" i="9"/>
  <c r="N128" i="9"/>
  <c r="O125" i="5"/>
  <c r="M128" i="9"/>
  <c r="L128" i="9"/>
  <c r="K128" i="9"/>
  <c r="L125" i="5"/>
  <c r="J128" i="9"/>
  <c r="I128" i="9"/>
  <c r="H128" i="9"/>
  <c r="G128" i="9"/>
  <c r="F128" i="9"/>
  <c r="E128" i="9"/>
  <c r="F125" i="5"/>
  <c r="AL128" i="9"/>
  <c r="AM128" i="9"/>
  <c r="A128" i="9"/>
  <c r="W127" i="9"/>
  <c r="V127" i="9"/>
  <c r="W142" i="5"/>
  <c r="U127" i="9"/>
  <c r="T127" i="9"/>
  <c r="S127" i="9"/>
  <c r="T142" i="5"/>
  <c r="R127" i="9"/>
  <c r="Q127" i="9"/>
  <c r="P127" i="9"/>
  <c r="Q142" i="5"/>
  <c r="O127" i="9"/>
  <c r="N127" i="9"/>
  <c r="M127" i="9"/>
  <c r="N142" i="5"/>
  <c r="L127" i="9"/>
  <c r="K127" i="9"/>
  <c r="J127" i="9"/>
  <c r="K142" i="5"/>
  <c r="I127" i="9"/>
  <c r="H127" i="9"/>
  <c r="G127" i="9"/>
  <c r="H142" i="5"/>
  <c r="F127" i="9"/>
  <c r="E127" i="9"/>
  <c r="W125" i="9"/>
  <c r="X121" i="5"/>
  <c r="V125" i="9"/>
  <c r="U125" i="9"/>
  <c r="T125" i="9"/>
  <c r="S125" i="9"/>
  <c r="R125" i="9"/>
  <c r="Q125" i="9"/>
  <c r="R121" i="5"/>
  <c r="P125" i="9"/>
  <c r="Q121" i="5"/>
  <c r="O125" i="9"/>
  <c r="N125" i="9"/>
  <c r="M125" i="9"/>
  <c r="N121" i="5"/>
  <c r="L125" i="9"/>
  <c r="K125" i="9"/>
  <c r="L121" i="5"/>
  <c r="J125" i="9"/>
  <c r="I125" i="9"/>
  <c r="H125" i="9"/>
  <c r="I121" i="5"/>
  <c r="G125" i="9"/>
  <c r="F125" i="9"/>
  <c r="E125" i="9"/>
  <c r="F124" i="9"/>
  <c r="E124" i="9"/>
  <c r="BA124" i="9"/>
  <c r="W123" i="9"/>
  <c r="X119" i="5"/>
  <c r="V123" i="9"/>
  <c r="U123" i="9"/>
  <c r="T123" i="9"/>
  <c r="U119" i="5"/>
  <c r="S123" i="9"/>
  <c r="R123" i="9"/>
  <c r="Q123" i="9"/>
  <c r="R119" i="5"/>
  <c r="P123" i="9"/>
  <c r="O123" i="9"/>
  <c r="P119" i="5"/>
  <c r="N123" i="9"/>
  <c r="O119" i="5"/>
  <c r="M123" i="9"/>
  <c r="L123" i="9"/>
  <c r="K123" i="9"/>
  <c r="J123" i="9"/>
  <c r="W121" i="9"/>
  <c r="V121" i="9"/>
  <c r="W117" i="5"/>
  <c r="U121" i="9"/>
  <c r="T121" i="9"/>
  <c r="S121" i="9"/>
  <c r="T117" i="5"/>
  <c r="R121" i="9"/>
  <c r="Q121" i="9"/>
  <c r="P121" i="9"/>
  <c r="Q117" i="5"/>
  <c r="O121" i="9"/>
  <c r="N121" i="9"/>
  <c r="M121" i="9"/>
  <c r="L121" i="9"/>
  <c r="M117" i="5"/>
  <c r="K121" i="9"/>
  <c r="J121" i="9"/>
  <c r="K117" i="5"/>
  <c r="I121" i="9"/>
  <c r="H121" i="9"/>
  <c r="G121" i="9"/>
  <c r="H117" i="5"/>
  <c r="F121" i="9"/>
  <c r="E121" i="9"/>
  <c r="W120" i="9"/>
  <c r="X116" i="5"/>
  <c r="V120" i="9"/>
  <c r="U120" i="9"/>
  <c r="T120" i="9"/>
  <c r="U116" i="5"/>
  <c r="S120" i="9"/>
  <c r="R120" i="9"/>
  <c r="Q120" i="9"/>
  <c r="P120" i="9"/>
  <c r="O120" i="9"/>
  <c r="W119" i="9"/>
  <c r="X115" i="5"/>
  <c r="V119" i="9"/>
  <c r="U119" i="9"/>
  <c r="T119" i="9"/>
  <c r="U115" i="5"/>
  <c r="S119" i="9"/>
  <c r="R119" i="9"/>
  <c r="Q119" i="9"/>
  <c r="R115" i="5"/>
  <c r="P119" i="9"/>
  <c r="O119" i="9"/>
  <c r="N119" i="9"/>
  <c r="O115" i="5"/>
  <c r="M119" i="9"/>
  <c r="L119" i="9"/>
  <c r="K119" i="9"/>
  <c r="L115" i="5"/>
  <c r="J119" i="9"/>
  <c r="K115" i="5"/>
  <c r="I119" i="9"/>
  <c r="H119" i="9"/>
  <c r="G119" i="9"/>
  <c r="F119" i="9"/>
  <c r="E119" i="9"/>
  <c r="F115" i="5"/>
  <c r="W118" i="9"/>
  <c r="V118" i="9"/>
  <c r="U118" i="9"/>
  <c r="V114" i="5"/>
  <c r="T118" i="9"/>
  <c r="S118" i="9"/>
  <c r="R118" i="9"/>
  <c r="S114" i="5"/>
  <c r="Q118" i="9"/>
  <c r="P118" i="9"/>
  <c r="O118" i="9"/>
  <c r="P114" i="5"/>
  <c r="N118" i="9"/>
  <c r="M118" i="9"/>
  <c r="L118" i="9"/>
  <c r="M114" i="5"/>
  <c r="K118" i="9"/>
  <c r="J118" i="9"/>
  <c r="K114" i="5"/>
  <c r="H118" i="9"/>
  <c r="I114" i="5"/>
  <c r="G118" i="9"/>
  <c r="F118" i="9"/>
  <c r="E118" i="9"/>
  <c r="F114" i="5"/>
  <c r="W117" i="9"/>
  <c r="M117" i="9"/>
  <c r="L117" i="9"/>
  <c r="H117" i="9"/>
  <c r="W115" i="9"/>
  <c r="V115" i="9"/>
  <c r="W143" i="5"/>
  <c r="U115" i="9"/>
  <c r="T115" i="9"/>
  <c r="S115" i="9"/>
  <c r="T143" i="5"/>
  <c r="R115" i="9"/>
  <c r="S143" i="5"/>
  <c r="Q115" i="9"/>
  <c r="P115" i="9"/>
  <c r="Q143" i="5"/>
  <c r="O115" i="9"/>
  <c r="N115" i="9"/>
  <c r="M115" i="9"/>
  <c r="N143" i="5"/>
  <c r="L115" i="9"/>
  <c r="K115" i="9"/>
  <c r="J115" i="9"/>
  <c r="I115" i="9"/>
  <c r="H115" i="9"/>
  <c r="W113" i="9"/>
  <c r="X135" i="5"/>
  <c r="V113" i="9"/>
  <c r="U113" i="9"/>
  <c r="T113" i="9"/>
  <c r="U135" i="5"/>
  <c r="S113" i="9"/>
  <c r="R113" i="9"/>
  <c r="Q113" i="9"/>
  <c r="R135" i="5"/>
  <c r="P113" i="9"/>
  <c r="O113" i="9"/>
  <c r="P135" i="5"/>
  <c r="N113" i="9"/>
  <c r="O135" i="5"/>
  <c r="M113" i="9"/>
  <c r="L113" i="9"/>
  <c r="K113" i="9"/>
  <c r="W112" i="9"/>
  <c r="V112" i="9"/>
  <c r="U112" i="9"/>
  <c r="V133" i="5"/>
  <c r="T112" i="9"/>
  <c r="S112" i="9"/>
  <c r="R112" i="9"/>
  <c r="S133" i="5"/>
  <c r="Q112" i="9"/>
  <c r="P112" i="9"/>
  <c r="O112" i="9"/>
  <c r="P133" i="5"/>
  <c r="N112" i="9"/>
  <c r="O133" i="5"/>
  <c r="M112" i="9"/>
  <c r="L112" i="9"/>
  <c r="M133" i="5"/>
  <c r="K112" i="9"/>
  <c r="J112" i="9"/>
  <c r="I112" i="9"/>
  <c r="J133" i="5"/>
  <c r="H112" i="9"/>
  <c r="G112" i="9"/>
  <c r="F112" i="9"/>
  <c r="G133" i="5"/>
  <c r="E112" i="9"/>
  <c r="AC112" i="9"/>
  <c r="A112" i="9"/>
  <c r="W110" i="9"/>
  <c r="V110" i="9"/>
  <c r="U110" i="9"/>
  <c r="V106" i="5"/>
  <c r="T110" i="9"/>
  <c r="S110" i="9"/>
  <c r="R110" i="9"/>
  <c r="S106" i="5"/>
  <c r="F110" i="9"/>
  <c r="E110" i="9"/>
  <c r="W108" i="9"/>
  <c r="X104" i="5"/>
  <c r="V108" i="9"/>
  <c r="U108" i="9"/>
  <c r="T108" i="9"/>
  <c r="U104" i="5"/>
  <c r="S108" i="9"/>
  <c r="R108" i="9"/>
  <c r="Q108" i="9"/>
  <c r="R104" i="5"/>
  <c r="P108" i="9"/>
  <c r="O108" i="9"/>
  <c r="N108" i="9"/>
  <c r="O104" i="5"/>
  <c r="M108" i="9"/>
  <c r="N104" i="5"/>
  <c r="L108" i="9"/>
  <c r="K108" i="9"/>
  <c r="L104" i="5"/>
  <c r="J108" i="9"/>
  <c r="I108" i="9"/>
  <c r="H108" i="9"/>
  <c r="I104" i="5"/>
  <c r="G108" i="9"/>
  <c r="F108" i="9"/>
  <c r="E108" i="9"/>
  <c r="W107" i="9"/>
  <c r="V107" i="9"/>
  <c r="U107" i="9"/>
  <c r="T106" i="9"/>
  <c r="S106" i="9"/>
  <c r="R106" i="9"/>
  <c r="S112" i="5"/>
  <c r="Q106" i="9"/>
  <c r="P106" i="9"/>
  <c r="O106" i="9"/>
  <c r="P112" i="5"/>
  <c r="N106" i="9"/>
  <c r="M106" i="9"/>
  <c r="L106" i="9"/>
  <c r="M112" i="5"/>
  <c r="K106" i="9"/>
  <c r="J106" i="9"/>
  <c r="K112" i="5"/>
  <c r="I106" i="9"/>
  <c r="J112" i="5"/>
  <c r="H106" i="9"/>
  <c r="G106" i="9"/>
  <c r="F106" i="9"/>
  <c r="G112" i="5"/>
  <c r="E106" i="9"/>
  <c r="W104" i="9"/>
  <c r="V104" i="9"/>
  <c r="W86" i="5"/>
  <c r="U104" i="9"/>
  <c r="T104" i="9"/>
  <c r="S104" i="9"/>
  <c r="T86" i="5"/>
  <c r="R104" i="9"/>
  <c r="Q104" i="9"/>
  <c r="P104" i="9"/>
  <c r="Q86" i="5"/>
  <c r="O104" i="9"/>
  <c r="N104" i="9"/>
  <c r="M104" i="9"/>
  <c r="N86" i="5"/>
  <c r="L104" i="9"/>
  <c r="K104" i="9"/>
  <c r="J104" i="9"/>
  <c r="K86" i="5"/>
  <c r="I104" i="9"/>
  <c r="H104" i="9"/>
  <c r="G104" i="9"/>
  <c r="H86" i="5"/>
  <c r="F104" i="9"/>
  <c r="E104" i="9"/>
  <c r="W103" i="9"/>
  <c r="X85" i="5"/>
  <c r="V103" i="9"/>
  <c r="U103" i="9"/>
  <c r="T103" i="9"/>
  <c r="U85" i="5"/>
  <c r="S103" i="9"/>
  <c r="R103" i="9"/>
  <c r="S85" i="5"/>
  <c r="Q103" i="9"/>
  <c r="R85" i="5"/>
  <c r="P103" i="9"/>
  <c r="O103" i="9"/>
  <c r="N103" i="9"/>
  <c r="O85" i="5"/>
  <c r="M103" i="9"/>
  <c r="L103" i="9"/>
  <c r="K103" i="9"/>
  <c r="L85" i="5"/>
  <c r="J103" i="9"/>
  <c r="I103" i="9"/>
  <c r="H103" i="9"/>
  <c r="I85" i="5"/>
  <c r="G103" i="9"/>
  <c r="H85" i="5"/>
  <c r="F103" i="9"/>
  <c r="E103" i="9"/>
  <c r="F85" i="5"/>
  <c r="A103" i="9"/>
  <c r="U102" i="9"/>
  <c r="T102" i="9"/>
  <c r="U84" i="5"/>
  <c r="S102" i="9"/>
  <c r="R102" i="9"/>
  <c r="Q102" i="9"/>
  <c r="R84" i="5"/>
  <c r="L102" i="9"/>
  <c r="K102" i="9"/>
  <c r="J102" i="9"/>
  <c r="K84" i="5"/>
  <c r="I102" i="9"/>
  <c r="H102" i="9"/>
  <c r="G102" i="9"/>
  <c r="H84" i="5"/>
  <c r="F102" i="9"/>
  <c r="E102" i="9"/>
  <c r="F84" i="5"/>
  <c r="E101" i="9"/>
  <c r="W99" i="9"/>
  <c r="V99" i="9"/>
  <c r="W81" i="5"/>
  <c r="U99" i="9"/>
  <c r="V81" i="5"/>
  <c r="T99" i="9"/>
  <c r="S99" i="9"/>
  <c r="R99" i="9"/>
  <c r="S81" i="5"/>
  <c r="Q99" i="9"/>
  <c r="P99" i="9"/>
  <c r="O99" i="9"/>
  <c r="P81" i="5"/>
  <c r="N99" i="9"/>
  <c r="M99" i="9"/>
  <c r="L99" i="9"/>
  <c r="M81" i="5"/>
  <c r="K99" i="9"/>
  <c r="L81" i="5"/>
  <c r="J99" i="9"/>
  <c r="I99" i="9"/>
  <c r="J81" i="5"/>
  <c r="H99" i="9"/>
  <c r="G99" i="9"/>
  <c r="F99" i="9"/>
  <c r="G81" i="5"/>
  <c r="E99" i="9"/>
  <c r="K97" i="9"/>
  <c r="J97" i="9"/>
  <c r="K134" i="5"/>
  <c r="I97" i="9"/>
  <c r="F97" i="9"/>
  <c r="E97" i="9"/>
  <c r="W96" i="9"/>
  <c r="V96" i="9"/>
  <c r="U96" i="9"/>
  <c r="V102" i="5"/>
  <c r="T96" i="9"/>
  <c r="S96" i="9"/>
  <c r="R96" i="9"/>
  <c r="S102" i="5"/>
  <c r="Q96" i="9"/>
  <c r="P96" i="9"/>
  <c r="Q102" i="5"/>
  <c r="O96" i="9"/>
  <c r="P102" i="5"/>
  <c r="N96" i="9"/>
  <c r="M96" i="9"/>
  <c r="L96" i="9"/>
  <c r="M102" i="5"/>
  <c r="K96" i="9"/>
  <c r="J96" i="9"/>
  <c r="I96" i="9"/>
  <c r="J102" i="5"/>
  <c r="H96" i="9"/>
  <c r="G96" i="9"/>
  <c r="F96" i="9"/>
  <c r="G102" i="5"/>
  <c r="E96" i="9"/>
  <c r="F102" i="5"/>
  <c r="W95" i="9"/>
  <c r="V95" i="9"/>
  <c r="W101" i="5"/>
  <c r="U95" i="9"/>
  <c r="T95" i="9"/>
  <c r="S95" i="9"/>
  <c r="T101" i="5"/>
  <c r="R95" i="9"/>
  <c r="Q95" i="9"/>
  <c r="P95" i="9"/>
  <c r="Q101" i="5"/>
  <c r="O95" i="9"/>
  <c r="N95" i="9"/>
  <c r="M95" i="9"/>
  <c r="N101" i="5"/>
  <c r="L95" i="9"/>
  <c r="K95" i="9"/>
  <c r="J95" i="9"/>
  <c r="K101" i="5"/>
  <c r="I95" i="9"/>
  <c r="F95" i="9"/>
  <c r="G101" i="5"/>
  <c r="W94" i="9"/>
  <c r="X144" i="5"/>
  <c r="V94" i="9"/>
  <c r="U94" i="9"/>
  <c r="T94" i="9"/>
  <c r="U144" i="5"/>
  <c r="S94" i="9"/>
  <c r="R94" i="9"/>
  <c r="Q94" i="9"/>
  <c r="R144" i="5"/>
  <c r="P94" i="9"/>
  <c r="O94" i="9"/>
  <c r="N94" i="9"/>
  <c r="O144" i="5"/>
  <c r="M94" i="9"/>
  <c r="N144" i="5"/>
  <c r="L94" i="9"/>
  <c r="K94" i="9"/>
  <c r="L144" i="5"/>
  <c r="J94" i="9"/>
  <c r="I94" i="9"/>
  <c r="H94" i="9"/>
  <c r="I144" i="5"/>
  <c r="G94" i="9"/>
  <c r="F94" i="9"/>
  <c r="E94" i="9"/>
  <c r="F144" i="5"/>
  <c r="W93" i="9"/>
  <c r="V93" i="9"/>
  <c r="U93" i="9"/>
  <c r="V100" i="5"/>
  <c r="T93" i="9"/>
  <c r="S93" i="9"/>
  <c r="R93" i="9"/>
  <c r="S100" i="5"/>
  <c r="Q93" i="9"/>
  <c r="P93" i="9"/>
  <c r="O93" i="9"/>
  <c r="P100" i="5"/>
  <c r="N93" i="9"/>
  <c r="M93" i="9"/>
  <c r="L93" i="9"/>
  <c r="M100" i="5"/>
  <c r="K93" i="9"/>
  <c r="J93" i="9"/>
  <c r="I93" i="9"/>
  <c r="J100" i="5"/>
  <c r="H93" i="9"/>
  <c r="G93" i="9"/>
  <c r="F93" i="9"/>
  <c r="G100" i="5"/>
  <c r="E93" i="9"/>
  <c r="F100" i="5"/>
  <c r="W92" i="9"/>
  <c r="V92" i="9"/>
  <c r="W99" i="5"/>
  <c r="U92" i="9"/>
  <c r="T92" i="9"/>
  <c r="S92" i="9"/>
  <c r="T99" i="5"/>
  <c r="R92" i="9"/>
  <c r="Q92" i="9"/>
  <c r="L92" i="9"/>
  <c r="M99" i="5"/>
  <c r="K92" i="9"/>
  <c r="J92" i="9"/>
  <c r="I92" i="9"/>
  <c r="J99" i="5"/>
  <c r="H92" i="9"/>
  <c r="G92" i="9"/>
  <c r="F92" i="9"/>
  <c r="G99" i="5"/>
  <c r="E92" i="9"/>
  <c r="W90" i="9"/>
  <c r="X98" i="5"/>
  <c r="V90" i="9"/>
  <c r="W98" i="5"/>
  <c r="U90" i="9"/>
  <c r="T90" i="9"/>
  <c r="S90" i="9"/>
  <c r="T98" i="5"/>
  <c r="R90" i="9"/>
  <c r="Q90" i="9"/>
  <c r="P90" i="9"/>
  <c r="Q98" i="5"/>
  <c r="O90" i="9"/>
  <c r="N90" i="9"/>
  <c r="M90" i="9"/>
  <c r="N98" i="5"/>
  <c r="L90" i="9"/>
  <c r="M98" i="5"/>
  <c r="K90" i="9"/>
  <c r="J90" i="9"/>
  <c r="K98" i="5"/>
  <c r="I90" i="9"/>
  <c r="H90" i="9"/>
  <c r="G90" i="9"/>
  <c r="H98" i="5"/>
  <c r="F90" i="9"/>
  <c r="E90" i="9"/>
  <c r="AC90" i="9"/>
  <c r="AD98" i="5"/>
  <c r="A90" i="9"/>
  <c r="A98" i="5"/>
  <c r="W89" i="9"/>
  <c r="V89" i="9"/>
  <c r="W96" i="5"/>
  <c r="U89" i="9"/>
  <c r="T89" i="9"/>
  <c r="S89" i="9"/>
  <c r="R89" i="9"/>
  <c r="Q89" i="9"/>
  <c r="P89" i="9"/>
  <c r="O89" i="9"/>
  <c r="N89" i="9"/>
  <c r="M89" i="9"/>
  <c r="N96" i="5"/>
  <c r="L89" i="9"/>
  <c r="K89" i="9"/>
  <c r="J89" i="9"/>
  <c r="K96" i="5"/>
  <c r="I89" i="9"/>
  <c r="H89" i="9"/>
  <c r="G89" i="9"/>
  <c r="F89" i="9"/>
  <c r="E89" i="9"/>
  <c r="W88" i="9"/>
  <c r="X92" i="5"/>
  <c r="V88" i="9"/>
  <c r="U88" i="9"/>
  <c r="T88" i="9"/>
  <c r="U92" i="5"/>
  <c r="S88" i="9"/>
  <c r="R88" i="9"/>
  <c r="Q88" i="9"/>
  <c r="R92" i="5"/>
  <c r="P88" i="9"/>
  <c r="O88" i="9"/>
  <c r="N88" i="9"/>
  <c r="O92" i="5"/>
  <c r="M88" i="9"/>
  <c r="L88" i="9"/>
  <c r="K88" i="9"/>
  <c r="L92" i="5"/>
  <c r="J88" i="9"/>
  <c r="I88" i="9"/>
  <c r="H88" i="9"/>
  <c r="I92" i="5"/>
  <c r="G88" i="9"/>
  <c r="F88" i="9"/>
  <c r="E88" i="9"/>
  <c r="F92" i="5"/>
  <c r="AL88" i="9"/>
  <c r="A88" i="9"/>
  <c r="A92" i="5"/>
  <c r="W87" i="9"/>
  <c r="V87" i="9"/>
  <c r="U87" i="9"/>
  <c r="V95" i="5"/>
  <c r="T87" i="9"/>
  <c r="U95" i="5"/>
  <c r="S87" i="9"/>
  <c r="R87" i="9"/>
  <c r="S95" i="5"/>
  <c r="Q87" i="9"/>
  <c r="P87" i="9"/>
  <c r="O87" i="9"/>
  <c r="P95" i="5"/>
  <c r="N87" i="9"/>
  <c r="M87" i="9"/>
  <c r="L87" i="9"/>
  <c r="M95" i="5"/>
  <c r="K87" i="9"/>
  <c r="I87" i="9"/>
  <c r="H87" i="9"/>
  <c r="I95" i="5"/>
  <c r="G87" i="9"/>
  <c r="F87" i="9"/>
  <c r="E87" i="9"/>
  <c r="F95" i="5"/>
  <c r="W86" i="9"/>
  <c r="V86" i="9"/>
  <c r="U86" i="9"/>
  <c r="V94" i="5"/>
  <c r="T86" i="9"/>
  <c r="S86" i="9"/>
  <c r="R86" i="9"/>
  <c r="S94" i="5"/>
  <c r="Q86" i="9"/>
  <c r="P86" i="9"/>
  <c r="O86" i="9"/>
  <c r="P94" i="5"/>
  <c r="N86" i="9"/>
  <c r="M86" i="9"/>
  <c r="L86" i="9"/>
  <c r="M94" i="5"/>
  <c r="K86" i="9"/>
  <c r="L94" i="5"/>
  <c r="J86" i="9"/>
  <c r="I86" i="9"/>
  <c r="J94" i="5"/>
  <c r="H86" i="9"/>
  <c r="G86" i="9"/>
  <c r="F86" i="9"/>
  <c r="G94" i="5"/>
  <c r="E86" i="9"/>
  <c r="V84" i="9"/>
  <c r="U84" i="9"/>
  <c r="V91" i="5"/>
  <c r="T84" i="9"/>
  <c r="S84" i="9"/>
  <c r="R84" i="9"/>
  <c r="S91" i="5"/>
  <c r="Q84" i="9"/>
  <c r="P84" i="9"/>
  <c r="O84" i="9"/>
  <c r="P91" i="5"/>
  <c r="N84" i="9"/>
  <c r="M84" i="9"/>
  <c r="N91" i="5"/>
  <c r="L84" i="9"/>
  <c r="M91" i="5"/>
  <c r="K84" i="9"/>
  <c r="J84" i="9"/>
  <c r="I84" i="9"/>
  <c r="J91" i="5"/>
  <c r="H84" i="9"/>
  <c r="G84" i="9"/>
  <c r="F84" i="9"/>
  <c r="E84" i="9"/>
  <c r="W82" i="9"/>
  <c r="V82" i="9"/>
  <c r="U82" i="9"/>
  <c r="T82" i="9"/>
  <c r="S82" i="9"/>
  <c r="T89" i="5"/>
  <c r="R82" i="9"/>
  <c r="Q82" i="9"/>
  <c r="P82" i="9"/>
  <c r="Q89" i="5"/>
  <c r="O82" i="9"/>
  <c r="P89" i="5"/>
  <c r="N82" i="9"/>
  <c r="M82" i="9"/>
  <c r="N89" i="5"/>
  <c r="L82" i="9"/>
  <c r="K82" i="9"/>
  <c r="J82" i="9"/>
  <c r="K89" i="5"/>
  <c r="I82" i="9"/>
  <c r="H82" i="9"/>
  <c r="G82" i="9"/>
  <c r="H89" i="5"/>
  <c r="F82" i="9"/>
  <c r="E82" i="9"/>
  <c r="W81" i="9"/>
  <c r="X88" i="5"/>
  <c r="V81" i="9"/>
  <c r="U81" i="9"/>
  <c r="T81" i="9"/>
  <c r="U88" i="5"/>
  <c r="S81" i="9"/>
  <c r="R81" i="9"/>
  <c r="Q81" i="9"/>
  <c r="P81" i="9"/>
  <c r="O81" i="9"/>
  <c r="N81" i="9"/>
  <c r="M81" i="9"/>
  <c r="L81" i="9"/>
  <c r="K81" i="9"/>
  <c r="L88" i="5"/>
  <c r="J81" i="9"/>
  <c r="I81" i="9"/>
  <c r="H81" i="9"/>
  <c r="I88" i="5"/>
  <c r="G81" i="9"/>
  <c r="F81" i="9"/>
  <c r="E81" i="9"/>
  <c r="D81" i="9"/>
  <c r="W80" i="9"/>
  <c r="X137" i="5"/>
  <c r="V80" i="9"/>
  <c r="W137" i="5"/>
  <c r="U80" i="9"/>
  <c r="T80" i="9"/>
  <c r="U137" i="5"/>
  <c r="S80" i="9"/>
  <c r="T137" i="5"/>
  <c r="R80" i="9"/>
  <c r="A80" i="9"/>
  <c r="W79" i="9"/>
  <c r="V79" i="9"/>
  <c r="U79" i="9"/>
  <c r="T79" i="9"/>
  <c r="U80" i="5"/>
  <c r="S79" i="9"/>
  <c r="R79" i="9"/>
  <c r="Q79" i="9"/>
  <c r="R80" i="5"/>
  <c r="P79" i="9"/>
  <c r="Q80" i="5"/>
  <c r="O79" i="9"/>
  <c r="N79" i="9"/>
  <c r="O80" i="5"/>
  <c r="M79" i="9"/>
  <c r="L79" i="9"/>
  <c r="K79" i="9"/>
  <c r="L80" i="5"/>
  <c r="J79" i="9"/>
  <c r="I79" i="9"/>
  <c r="H79" i="9"/>
  <c r="I80" i="5"/>
  <c r="G79" i="9"/>
  <c r="F79" i="9"/>
  <c r="G80" i="5"/>
  <c r="E79" i="9"/>
  <c r="F80" i="5"/>
  <c r="W78" i="9"/>
  <c r="X79" i="5"/>
  <c r="V78" i="9"/>
  <c r="U78" i="9"/>
  <c r="V79" i="5"/>
  <c r="T78" i="9"/>
  <c r="S78" i="9"/>
  <c r="R78" i="9"/>
  <c r="S79" i="5"/>
  <c r="Q78" i="9"/>
  <c r="P78" i="9"/>
  <c r="O78" i="9"/>
  <c r="P79" i="5"/>
  <c r="N78" i="9"/>
  <c r="W76" i="9"/>
  <c r="V76" i="9"/>
  <c r="W77" i="5"/>
  <c r="U76" i="9"/>
  <c r="T76" i="9"/>
  <c r="S76" i="9"/>
  <c r="T77" i="5"/>
  <c r="R76" i="9"/>
  <c r="S77" i="5"/>
  <c r="Q76" i="9"/>
  <c r="P76" i="9"/>
  <c r="Q77" i="5"/>
  <c r="O76" i="9"/>
  <c r="N76" i="9"/>
  <c r="M76" i="9"/>
  <c r="N77" i="5"/>
  <c r="L76" i="9"/>
  <c r="K76" i="9"/>
  <c r="J76" i="9"/>
  <c r="K77" i="5"/>
  <c r="I76" i="9"/>
  <c r="H76" i="9"/>
  <c r="G76" i="9"/>
  <c r="H77" i="5"/>
  <c r="F76" i="9"/>
  <c r="E76" i="9"/>
  <c r="F73" i="9"/>
  <c r="G21" i="5"/>
  <c r="E73" i="9"/>
  <c r="A73" i="9"/>
  <c r="T72" i="9"/>
  <c r="S72" i="9"/>
  <c r="R72" i="9"/>
  <c r="Q72" i="9"/>
  <c r="R51" i="5"/>
  <c r="P72" i="9"/>
  <c r="Q51" i="5"/>
  <c r="O72" i="9"/>
  <c r="N72" i="9"/>
  <c r="O51" i="5"/>
  <c r="M72" i="9"/>
  <c r="L72" i="9"/>
  <c r="K72" i="9"/>
  <c r="L51" i="5"/>
  <c r="J72" i="9"/>
  <c r="I72" i="9"/>
  <c r="H72" i="9"/>
  <c r="G72" i="9"/>
  <c r="F72" i="9"/>
  <c r="E72" i="9"/>
  <c r="D72" i="9"/>
  <c r="W71" i="9"/>
  <c r="V71" i="9"/>
  <c r="U71" i="9"/>
  <c r="T71" i="9"/>
  <c r="S71" i="9"/>
  <c r="T52" i="5"/>
  <c r="R71" i="9"/>
  <c r="Q71" i="9"/>
  <c r="P71" i="9"/>
  <c r="Q52" i="5"/>
  <c r="O71" i="9"/>
  <c r="N71" i="9"/>
  <c r="M71" i="9"/>
  <c r="N52" i="5"/>
  <c r="L71" i="9"/>
  <c r="M52" i="5"/>
  <c r="K71" i="9"/>
  <c r="J71" i="9"/>
  <c r="K52" i="5"/>
  <c r="I71" i="9"/>
  <c r="H71" i="9"/>
  <c r="G71" i="9"/>
  <c r="H52" i="5"/>
  <c r="F71" i="9"/>
  <c r="E71" i="9"/>
  <c r="F52" i="5"/>
  <c r="W69" i="9"/>
  <c r="X49" i="5"/>
  <c r="V69" i="9"/>
  <c r="U69" i="9"/>
  <c r="V49" i="5"/>
  <c r="T69" i="9"/>
  <c r="U49" i="5"/>
  <c r="I69" i="9"/>
  <c r="J49" i="5"/>
  <c r="H69" i="9"/>
  <c r="G69" i="9"/>
  <c r="H49" i="5"/>
  <c r="F69" i="9"/>
  <c r="E69" i="9"/>
  <c r="AL69" i="9"/>
  <c r="AM49" i="5"/>
  <c r="A69" i="9"/>
  <c r="W68" i="9"/>
  <c r="V68" i="9"/>
  <c r="W48" i="5"/>
  <c r="U68" i="9"/>
  <c r="T68" i="9"/>
  <c r="S68" i="9"/>
  <c r="T48" i="5"/>
  <c r="R68" i="9"/>
  <c r="Q68" i="9"/>
  <c r="P68" i="9"/>
  <c r="Q48" i="5"/>
  <c r="O68" i="9"/>
  <c r="P48" i="5"/>
  <c r="N68" i="9"/>
  <c r="M68" i="9"/>
  <c r="N48" i="5"/>
  <c r="L68" i="9"/>
  <c r="K68" i="9"/>
  <c r="J68" i="9"/>
  <c r="K48" i="5"/>
  <c r="I68" i="9"/>
  <c r="H68" i="9"/>
  <c r="G68" i="9"/>
  <c r="F68" i="9"/>
  <c r="E68" i="9"/>
  <c r="F48" i="5"/>
  <c r="W67" i="9"/>
  <c r="V67" i="9"/>
  <c r="U67" i="9"/>
  <c r="T67" i="9"/>
  <c r="U47" i="5"/>
  <c r="S67" i="9"/>
  <c r="R67" i="9"/>
  <c r="S47" i="5"/>
  <c r="Q67" i="9"/>
  <c r="R47" i="5"/>
  <c r="P67" i="9"/>
  <c r="Q47" i="5"/>
  <c r="O67" i="9"/>
  <c r="N67" i="9"/>
  <c r="O47" i="5"/>
  <c r="M67" i="9"/>
  <c r="L67" i="9"/>
  <c r="K67" i="9"/>
  <c r="L47" i="5"/>
  <c r="J67" i="9"/>
  <c r="I67" i="9"/>
  <c r="H67" i="9"/>
  <c r="I47" i="5"/>
  <c r="G67" i="9"/>
  <c r="F67" i="9"/>
  <c r="E67" i="9"/>
  <c r="F47" i="5"/>
  <c r="W65" i="9"/>
  <c r="V65" i="9"/>
  <c r="U65" i="9"/>
  <c r="V53" i="5"/>
  <c r="T65" i="9"/>
  <c r="U53" i="5"/>
  <c r="S65" i="9"/>
  <c r="R65" i="9"/>
  <c r="S53" i="5"/>
  <c r="Q65" i="9"/>
  <c r="P65" i="9"/>
  <c r="O65" i="9"/>
  <c r="P53" i="5"/>
  <c r="N65" i="9"/>
  <c r="M65" i="9"/>
  <c r="L65" i="9"/>
  <c r="M53" i="5"/>
  <c r="K65" i="9"/>
  <c r="J65" i="9"/>
  <c r="K53" i="5"/>
  <c r="I65" i="9"/>
  <c r="J53" i="5"/>
  <c r="H65" i="9"/>
  <c r="G65" i="9"/>
  <c r="F65" i="9"/>
  <c r="E65" i="9"/>
  <c r="W62" i="9"/>
  <c r="V62" i="9"/>
  <c r="W19" i="5"/>
  <c r="U62" i="9"/>
  <c r="T62" i="9"/>
  <c r="S62" i="9"/>
  <c r="T19" i="5"/>
  <c r="R62" i="9"/>
  <c r="Q62" i="9"/>
  <c r="P62" i="9"/>
  <c r="Q19" i="5"/>
  <c r="O62" i="9"/>
  <c r="N62" i="9"/>
  <c r="M62" i="9"/>
  <c r="N19" i="5"/>
  <c r="L62" i="9"/>
  <c r="K62" i="9"/>
  <c r="H62" i="9"/>
  <c r="I19" i="5"/>
  <c r="G62" i="9"/>
  <c r="F62" i="9"/>
  <c r="E62" i="9"/>
  <c r="F19" i="5"/>
  <c r="W61" i="9"/>
  <c r="V61" i="9"/>
  <c r="W18" i="5"/>
  <c r="U61" i="9"/>
  <c r="V18" i="5"/>
  <c r="T61" i="9"/>
  <c r="S61" i="9"/>
  <c r="R61" i="9"/>
  <c r="S18" i="5"/>
  <c r="Q61" i="9"/>
  <c r="R18" i="5"/>
  <c r="P61" i="9"/>
  <c r="O61" i="9"/>
  <c r="P18" i="5"/>
  <c r="N61" i="9"/>
  <c r="M61" i="9"/>
  <c r="L61" i="9"/>
  <c r="M18" i="5"/>
  <c r="K61" i="9"/>
  <c r="J61" i="9"/>
  <c r="I61" i="9"/>
  <c r="J18" i="5"/>
  <c r="H61" i="9"/>
  <c r="G61" i="9"/>
  <c r="F61" i="9"/>
  <c r="E61" i="9"/>
  <c r="W60" i="9"/>
  <c r="V60" i="9"/>
  <c r="W17" i="5"/>
  <c r="U60" i="9"/>
  <c r="T60" i="9"/>
  <c r="S60" i="9"/>
  <c r="T17" i="5"/>
  <c r="R60" i="9"/>
  <c r="Q60" i="9"/>
  <c r="P60" i="9"/>
  <c r="Q17" i="5"/>
  <c r="O60" i="9"/>
  <c r="N60" i="9"/>
  <c r="M60" i="9"/>
  <c r="N17" i="5"/>
  <c r="L60" i="9"/>
  <c r="K60" i="9"/>
  <c r="L17" i="5"/>
  <c r="J60" i="9"/>
  <c r="K17" i="5"/>
  <c r="I60" i="9"/>
  <c r="H60" i="9"/>
  <c r="I17" i="5"/>
  <c r="G60" i="9"/>
  <c r="H17" i="5"/>
  <c r="F60" i="9"/>
  <c r="G17" i="5"/>
  <c r="E60" i="9"/>
  <c r="W59" i="9"/>
  <c r="X16" i="5"/>
  <c r="V59" i="9"/>
  <c r="U59" i="9"/>
  <c r="H59" i="9"/>
  <c r="I16" i="5"/>
  <c r="G59" i="9"/>
  <c r="F59" i="9"/>
  <c r="E59" i="9"/>
  <c r="W58" i="9"/>
  <c r="V58" i="9"/>
  <c r="U58" i="9"/>
  <c r="V15" i="5"/>
  <c r="T58" i="9"/>
  <c r="S58" i="9"/>
  <c r="R58" i="9"/>
  <c r="S15" i="5"/>
  <c r="Q58" i="9"/>
  <c r="P58" i="9"/>
  <c r="O58" i="9"/>
  <c r="P15" i="5"/>
  <c r="N58" i="9"/>
  <c r="O15" i="5"/>
  <c r="M58" i="9"/>
  <c r="L58" i="9"/>
  <c r="M15" i="5"/>
  <c r="K58" i="9"/>
  <c r="J58" i="9"/>
  <c r="I58" i="9"/>
  <c r="J15" i="5"/>
  <c r="H58" i="9"/>
  <c r="G58" i="9"/>
  <c r="H15" i="5"/>
  <c r="F58" i="9"/>
  <c r="E58" i="9"/>
  <c r="W57" i="9"/>
  <c r="X14" i="5"/>
  <c r="V57" i="9"/>
  <c r="W14" i="5"/>
  <c r="U57" i="9"/>
  <c r="V14" i="5"/>
  <c r="T57" i="9"/>
  <c r="S57" i="9"/>
  <c r="T14" i="5"/>
  <c r="R57" i="9"/>
  <c r="Q57" i="9"/>
  <c r="P57" i="9"/>
  <c r="Q14" i="5"/>
  <c r="W56" i="9"/>
  <c r="V56" i="9"/>
  <c r="U56" i="9"/>
  <c r="V13" i="5"/>
  <c r="T56" i="9"/>
  <c r="S56" i="9"/>
  <c r="R56" i="9"/>
  <c r="S13" i="5"/>
  <c r="Q56" i="9"/>
  <c r="P56" i="9"/>
  <c r="O56" i="9"/>
  <c r="P13" i="5"/>
  <c r="N56" i="9"/>
  <c r="M56" i="9"/>
  <c r="L56" i="9"/>
  <c r="M13" i="5"/>
  <c r="K56" i="9"/>
  <c r="J56" i="9"/>
  <c r="I56" i="9"/>
  <c r="J13" i="5"/>
  <c r="H56" i="9"/>
  <c r="G56" i="9"/>
  <c r="H13" i="5"/>
  <c r="F56" i="9"/>
  <c r="E56" i="9"/>
  <c r="W55" i="9"/>
  <c r="X12" i="5"/>
  <c r="V55" i="9"/>
  <c r="U55" i="9"/>
  <c r="T55" i="9"/>
  <c r="U12" i="5"/>
  <c r="S55" i="9"/>
  <c r="T12" i="5"/>
  <c r="R55" i="9"/>
  <c r="Q55" i="9"/>
  <c r="R12" i="5"/>
  <c r="P55" i="9"/>
  <c r="Q12" i="5"/>
  <c r="O55" i="9"/>
  <c r="N55" i="9"/>
  <c r="M55" i="9"/>
  <c r="N12" i="5"/>
  <c r="L55" i="9"/>
  <c r="K55" i="9"/>
  <c r="J55" i="9"/>
  <c r="K12" i="5"/>
  <c r="I55" i="9"/>
  <c r="H55" i="9"/>
  <c r="G55" i="9"/>
  <c r="H12" i="5"/>
  <c r="F55" i="9"/>
  <c r="E55" i="9"/>
  <c r="W54" i="9"/>
  <c r="X11" i="5"/>
  <c r="V54" i="9"/>
  <c r="U54" i="9"/>
  <c r="T54" i="9"/>
  <c r="U11" i="5"/>
  <c r="S54" i="9"/>
  <c r="R54" i="9"/>
  <c r="Q54" i="9"/>
  <c r="R11" i="5"/>
  <c r="P54" i="9"/>
  <c r="O54" i="9"/>
  <c r="N54" i="9"/>
  <c r="M54" i="9"/>
  <c r="L54" i="9"/>
  <c r="K54" i="9"/>
  <c r="L11" i="5"/>
  <c r="J54" i="9"/>
  <c r="I54" i="9"/>
  <c r="J11" i="5"/>
  <c r="H54" i="9"/>
  <c r="G54" i="9"/>
  <c r="F54" i="9"/>
  <c r="G11" i="5"/>
  <c r="E54" i="9"/>
  <c r="W53" i="9"/>
  <c r="W49" i="9"/>
  <c r="X44" i="5"/>
  <c r="V49" i="9"/>
  <c r="W44" i="5"/>
  <c r="U49" i="9"/>
  <c r="T49" i="9"/>
  <c r="U44" i="5"/>
  <c r="S49" i="9"/>
  <c r="T44" i="5"/>
  <c r="R49" i="9"/>
  <c r="Q49" i="9"/>
  <c r="L49" i="9"/>
  <c r="M44" i="5"/>
  <c r="K49" i="9"/>
  <c r="J49" i="9"/>
  <c r="I49" i="9"/>
  <c r="J44" i="5"/>
  <c r="H49" i="9"/>
  <c r="G49" i="9"/>
  <c r="F49" i="9"/>
  <c r="E49" i="9"/>
  <c r="W48" i="9"/>
  <c r="V48" i="9"/>
  <c r="W43" i="5"/>
  <c r="U48" i="9"/>
  <c r="T48" i="9"/>
  <c r="S48" i="9"/>
  <c r="R48" i="9"/>
  <c r="Q48" i="9"/>
  <c r="P48" i="9"/>
  <c r="Q43" i="5"/>
  <c r="O48" i="9"/>
  <c r="N48" i="9"/>
  <c r="M48" i="9"/>
  <c r="N43" i="5"/>
  <c r="L48" i="9"/>
  <c r="K48" i="9"/>
  <c r="J48" i="9"/>
  <c r="K43" i="5"/>
  <c r="I48" i="9"/>
  <c r="H48" i="9"/>
  <c r="G48" i="9"/>
  <c r="H43" i="5"/>
  <c r="F48" i="9"/>
  <c r="E48" i="9"/>
  <c r="F43" i="5"/>
  <c r="W46" i="9"/>
  <c r="X41" i="5"/>
  <c r="V46" i="9"/>
  <c r="U46" i="9"/>
  <c r="V41" i="5"/>
  <c r="S45" i="9"/>
  <c r="T40" i="5"/>
  <c r="R45" i="9"/>
  <c r="Q45" i="9"/>
  <c r="P45" i="9"/>
  <c r="Q40" i="5"/>
  <c r="O45" i="9"/>
  <c r="N45" i="9"/>
  <c r="M45" i="9"/>
  <c r="N40" i="5"/>
  <c r="L45" i="9"/>
  <c r="K45" i="9"/>
  <c r="J45" i="9"/>
  <c r="K40" i="5"/>
  <c r="I45" i="9"/>
  <c r="H45" i="9"/>
  <c r="G45" i="9"/>
  <c r="H40" i="5"/>
  <c r="F45" i="9"/>
  <c r="E45" i="9"/>
  <c r="W44" i="9"/>
  <c r="X39" i="5"/>
  <c r="V42" i="9"/>
  <c r="W37" i="5"/>
  <c r="U42" i="9"/>
  <c r="T42" i="9"/>
  <c r="U37" i="5"/>
  <c r="S42" i="9"/>
  <c r="R42" i="9"/>
  <c r="Q42" i="9"/>
  <c r="R37" i="5"/>
  <c r="I42" i="9"/>
  <c r="H42" i="9"/>
  <c r="I37" i="5"/>
  <c r="G42" i="9"/>
  <c r="H37" i="5"/>
  <c r="F42" i="9"/>
  <c r="E42" i="9"/>
  <c r="W41" i="9"/>
  <c r="X35" i="5"/>
  <c r="V41" i="9"/>
  <c r="W35" i="5"/>
  <c r="U41" i="9"/>
  <c r="T41" i="9"/>
  <c r="U35" i="5"/>
  <c r="S41" i="9"/>
  <c r="R41" i="9"/>
  <c r="Q41" i="9"/>
  <c r="R35" i="5"/>
  <c r="P41" i="9"/>
  <c r="O41" i="9"/>
  <c r="N41" i="9"/>
  <c r="O35" i="5"/>
  <c r="M41" i="9"/>
  <c r="L41" i="9"/>
  <c r="K41" i="9"/>
  <c r="L35" i="5"/>
  <c r="J41" i="9"/>
  <c r="I41" i="9"/>
  <c r="H41" i="9"/>
  <c r="I35" i="5"/>
  <c r="G41" i="9"/>
  <c r="H35" i="5"/>
  <c r="F41" i="9"/>
  <c r="E41" i="9"/>
  <c r="F35" i="5"/>
  <c r="W40" i="9"/>
  <c r="V40" i="9"/>
  <c r="U40" i="9"/>
  <c r="V36" i="5"/>
  <c r="T40" i="9"/>
  <c r="S40" i="9"/>
  <c r="R40" i="9"/>
  <c r="S36" i="5"/>
  <c r="Q40" i="9"/>
  <c r="P40" i="9"/>
  <c r="Q36" i="5"/>
  <c r="O40" i="9"/>
  <c r="P36" i="5"/>
  <c r="N40" i="9"/>
  <c r="O36" i="5"/>
  <c r="M40" i="9"/>
  <c r="L40" i="9"/>
  <c r="M36" i="5"/>
  <c r="K40" i="9"/>
  <c r="J40" i="9"/>
  <c r="I40" i="9"/>
  <c r="J36" i="5"/>
  <c r="H40" i="9"/>
  <c r="G40" i="9"/>
  <c r="F40" i="9"/>
  <c r="G36" i="5"/>
  <c r="E40" i="9"/>
  <c r="W39" i="9"/>
  <c r="V39" i="9"/>
  <c r="U39" i="9"/>
  <c r="T39" i="9"/>
  <c r="S39" i="9"/>
  <c r="T34" i="5"/>
  <c r="R39" i="9"/>
  <c r="Q39" i="9"/>
  <c r="P39" i="9"/>
  <c r="Q34" i="5"/>
  <c r="O39" i="9"/>
  <c r="N39" i="9"/>
  <c r="M39" i="9"/>
  <c r="N34" i="5"/>
  <c r="L39" i="9"/>
  <c r="K39" i="9"/>
  <c r="J39" i="9"/>
  <c r="K34" i="5"/>
  <c r="I39" i="9"/>
  <c r="H39" i="9"/>
  <c r="G39" i="9"/>
  <c r="H34" i="5"/>
  <c r="F39" i="9"/>
  <c r="E39" i="9"/>
  <c r="F34" i="5"/>
  <c r="W38" i="9"/>
  <c r="X33" i="5"/>
  <c r="V38" i="9"/>
  <c r="U38" i="9"/>
  <c r="T38" i="9"/>
  <c r="U33" i="5"/>
  <c r="S38" i="9"/>
  <c r="R38" i="9"/>
  <c r="Q38" i="9"/>
  <c r="R33" i="5"/>
  <c r="P38" i="9"/>
  <c r="O38" i="9"/>
  <c r="N38" i="9"/>
  <c r="M38" i="9"/>
  <c r="L38" i="9"/>
  <c r="K38" i="9"/>
  <c r="L33" i="5"/>
  <c r="J38" i="9"/>
  <c r="I38" i="9"/>
  <c r="H38" i="9"/>
  <c r="I33" i="5"/>
  <c r="G38" i="9"/>
  <c r="F38" i="9"/>
  <c r="E38" i="9"/>
  <c r="A38" i="9"/>
  <c r="A33" i="5"/>
  <c r="W37" i="9"/>
  <c r="V37" i="9"/>
  <c r="W32" i="5"/>
  <c r="U37" i="9"/>
  <c r="T37" i="9"/>
  <c r="S37" i="9"/>
  <c r="T32" i="5"/>
  <c r="R37" i="9"/>
  <c r="Q37" i="9"/>
  <c r="P37" i="9"/>
  <c r="O37" i="9"/>
  <c r="N37" i="9"/>
  <c r="O32" i="5"/>
  <c r="M37" i="9"/>
  <c r="L37" i="9"/>
  <c r="K37" i="9"/>
  <c r="L32" i="5"/>
  <c r="J37" i="9"/>
  <c r="K32" i="5"/>
  <c r="I37" i="9"/>
  <c r="H37" i="9"/>
  <c r="I32" i="5"/>
  <c r="G37" i="9"/>
  <c r="H32" i="5"/>
  <c r="F37" i="9"/>
  <c r="G32" i="5"/>
  <c r="E37" i="9"/>
  <c r="W36" i="9"/>
  <c r="X10" i="5"/>
  <c r="V36" i="9"/>
  <c r="U36" i="9"/>
  <c r="T36" i="9"/>
  <c r="U10" i="5"/>
  <c r="S36" i="9"/>
  <c r="R36" i="9"/>
  <c r="Q36" i="9"/>
  <c r="R10" i="5"/>
  <c r="P36" i="9"/>
  <c r="O36" i="9"/>
  <c r="N36" i="9"/>
  <c r="O10" i="5"/>
  <c r="M36" i="9"/>
  <c r="L36" i="9"/>
  <c r="K36" i="9"/>
  <c r="L10" i="5"/>
  <c r="J36" i="9"/>
  <c r="I36" i="9"/>
  <c r="H36" i="9"/>
  <c r="I10" i="5"/>
  <c r="G36" i="9"/>
  <c r="F36" i="9"/>
  <c r="E36" i="9"/>
  <c r="F10" i="5"/>
  <c r="W33" i="9"/>
  <c r="V33" i="9"/>
  <c r="W7" i="5"/>
  <c r="U33" i="9"/>
  <c r="V7" i="5"/>
  <c r="T33" i="9"/>
  <c r="S33" i="9"/>
  <c r="R33" i="9"/>
  <c r="S7" i="5"/>
  <c r="Q33" i="9"/>
  <c r="P33" i="9"/>
  <c r="O33" i="9"/>
  <c r="P7" i="5"/>
  <c r="N33" i="9"/>
  <c r="M33" i="9"/>
  <c r="L33" i="9"/>
  <c r="M7" i="5"/>
  <c r="K33" i="9"/>
  <c r="J33" i="9"/>
  <c r="I33" i="9"/>
  <c r="J7" i="5"/>
  <c r="H33" i="9"/>
  <c r="G33" i="9"/>
  <c r="F33" i="9"/>
  <c r="G7" i="5"/>
  <c r="E33" i="9"/>
  <c r="W20" i="9"/>
  <c r="V20" i="9"/>
  <c r="W24" i="5"/>
  <c r="U20" i="9"/>
  <c r="T20" i="9"/>
  <c r="S20" i="9"/>
  <c r="T24" i="5"/>
  <c r="R20" i="9"/>
  <c r="Q20" i="9"/>
  <c r="P20" i="9"/>
  <c r="Q24" i="5"/>
  <c r="O20" i="9"/>
  <c r="N20" i="9"/>
  <c r="M20" i="9"/>
  <c r="N24" i="5"/>
  <c r="L20" i="9"/>
  <c r="K20" i="9"/>
  <c r="J20" i="9"/>
  <c r="K24" i="5"/>
  <c r="I20" i="9"/>
  <c r="J24" i="5"/>
  <c r="H20" i="9"/>
  <c r="G20" i="9"/>
  <c r="F20" i="9"/>
  <c r="E20" i="9"/>
  <c r="W17" i="9"/>
  <c r="V17" i="9"/>
  <c r="W73" i="5"/>
  <c r="U17" i="9"/>
  <c r="T17" i="9"/>
  <c r="U73" i="5"/>
  <c r="S17" i="9"/>
  <c r="R17" i="9"/>
  <c r="Q17" i="9"/>
  <c r="R73" i="5"/>
  <c r="P17" i="9"/>
  <c r="O17" i="9"/>
  <c r="N17" i="9"/>
  <c r="O73" i="5"/>
  <c r="M17" i="9"/>
  <c r="L17" i="9"/>
  <c r="K17" i="9"/>
  <c r="L73" i="5"/>
  <c r="J17" i="9"/>
  <c r="I17" i="9"/>
  <c r="H17" i="9"/>
  <c r="I73" i="5"/>
  <c r="G17" i="9"/>
  <c r="F17" i="9"/>
  <c r="E17" i="9"/>
  <c r="F73" i="5"/>
  <c r="W16" i="9"/>
  <c r="V16" i="9"/>
  <c r="U16" i="9"/>
  <c r="V61" i="5"/>
  <c r="T16" i="9"/>
  <c r="S16" i="9"/>
  <c r="R16" i="9"/>
  <c r="S61" i="5"/>
  <c r="Q16" i="9"/>
  <c r="P16" i="9"/>
  <c r="Q61" i="5"/>
  <c r="O16" i="9"/>
  <c r="P61" i="5"/>
  <c r="N16" i="9"/>
  <c r="M16" i="9"/>
  <c r="L16" i="9"/>
  <c r="M61" i="5"/>
  <c r="K16" i="9"/>
  <c r="L61" i="5"/>
  <c r="J16" i="9"/>
  <c r="I16" i="9"/>
  <c r="J61" i="5"/>
  <c r="H16" i="9"/>
  <c r="G16" i="9"/>
  <c r="F16" i="9"/>
  <c r="G61" i="5"/>
  <c r="E16" i="9"/>
  <c r="W13" i="9"/>
  <c r="V13" i="9"/>
  <c r="W74" i="5"/>
  <c r="U13" i="9"/>
  <c r="T13" i="9"/>
  <c r="S13" i="9"/>
  <c r="T74" i="5"/>
  <c r="R13" i="9"/>
  <c r="Q13" i="9"/>
  <c r="P13" i="9"/>
  <c r="Q74" i="5"/>
  <c r="O13" i="9"/>
  <c r="P74" i="5"/>
  <c r="N13" i="9"/>
  <c r="M13" i="9"/>
  <c r="N74" i="5"/>
  <c r="L13" i="9"/>
  <c r="K13" i="9"/>
  <c r="J13" i="9"/>
  <c r="K74" i="5"/>
  <c r="I13" i="9"/>
  <c r="H13" i="9"/>
  <c r="G13" i="9"/>
  <c r="H74" i="5"/>
  <c r="F13" i="9"/>
  <c r="E13" i="9"/>
  <c r="F74" i="5"/>
  <c r="W10" i="9"/>
  <c r="X69" i="5"/>
  <c r="V10" i="9"/>
  <c r="W69" i="5"/>
  <c r="U10" i="9"/>
  <c r="T10" i="9"/>
  <c r="U69" i="5"/>
  <c r="S10" i="9"/>
  <c r="R10" i="9"/>
  <c r="Q10" i="9"/>
  <c r="P10" i="9"/>
  <c r="O10" i="9"/>
  <c r="N10" i="9"/>
  <c r="O69" i="5"/>
  <c r="M10" i="9"/>
  <c r="L10" i="9"/>
  <c r="K10" i="9"/>
  <c r="L69" i="5"/>
  <c r="J10" i="9"/>
  <c r="I10" i="9"/>
  <c r="H10" i="9"/>
  <c r="I69" i="5"/>
  <c r="G10" i="9"/>
  <c r="F10" i="9"/>
  <c r="E10" i="9"/>
  <c r="F69" i="5"/>
  <c r="W8" i="9"/>
  <c r="X60" i="5"/>
  <c r="V8" i="9"/>
  <c r="U8" i="9"/>
  <c r="V60" i="5"/>
  <c r="T8" i="9"/>
  <c r="S8" i="9"/>
  <c r="R8" i="9"/>
  <c r="S60" i="5"/>
  <c r="Q8" i="9"/>
  <c r="N8" i="9"/>
  <c r="M8" i="9"/>
  <c r="N60" i="5"/>
  <c r="L8" i="9"/>
  <c r="K8" i="9"/>
  <c r="J8" i="9"/>
  <c r="K60" i="5"/>
  <c r="I8" i="9"/>
  <c r="H8" i="9"/>
  <c r="I60" i="5"/>
  <c r="G8" i="9"/>
  <c r="H60" i="5"/>
  <c r="F8" i="9"/>
  <c r="G60" i="5"/>
  <c r="E8" i="9"/>
  <c r="AC8" i="9"/>
  <c r="W7" i="9"/>
  <c r="X63" i="5"/>
  <c r="V7" i="9"/>
  <c r="U7" i="9"/>
  <c r="V63" i="5"/>
  <c r="T7" i="9"/>
  <c r="S7" i="9"/>
  <c r="R7" i="9"/>
  <c r="S63" i="5"/>
  <c r="Q7" i="9"/>
  <c r="P7" i="9"/>
  <c r="O7" i="9"/>
  <c r="P63" i="5"/>
  <c r="N7" i="9"/>
  <c r="M7" i="9"/>
  <c r="L7" i="9"/>
  <c r="M63" i="5"/>
  <c r="K7" i="9"/>
  <c r="J7" i="9"/>
  <c r="I7" i="9"/>
  <c r="H7" i="9"/>
  <c r="G7" i="9"/>
  <c r="F7" i="9"/>
  <c r="G63" i="5"/>
  <c r="E7" i="9"/>
  <c r="AL7" i="9"/>
  <c r="A7" i="9"/>
  <c r="W6" i="9"/>
  <c r="V6" i="9"/>
  <c r="U6" i="9"/>
  <c r="V72" i="5"/>
  <c r="T6" i="9"/>
  <c r="T2" i="9"/>
  <c r="U65" i="5"/>
  <c r="T4" i="9"/>
  <c r="U67" i="5"/>
  <c r="S6" i="9"/>
  <c r="R6" i="9"/>
  <c r="S72" i="5"/>
  <c r="R2" i="9"/>
  <c r="S65" i="5"/>
  <c r="R4" i="9"/>
  <c r="S67" i="5"/>
  <c r="Q6" i="9"/>
  <c r="P6" i="9"/>
  <c r="Q72" i="5"/>
  <c r="O6" i="9"/>
  <c r="N6" i="9"/>
  <c r="M6" i="9"/>
  <c r="N72" i="5"/>
  <c r="L6" i="9"/>
  <c r="K6" i="9"/>
  <c r="J6" i="9"/>
  <c r="K72" i="5"/>
  <c r="I6" i="9"/>
  <c r="H6" i="9"/>
  <c r="G6" i="9"/>
  <c r="H72" i="5"/>
  <c r="F6" i="9"/>
  <c r="E6" i="9"/>
  <c r="W4" i="9"/>
  <c r="X67" i="5"/>
  <c r="V4" i="9"/>
  <c r="W67" i="5"/>
  <c r="U4" i="9"/>
  <c r="S4" i="9"/>
  <c r="T67" i="5"/>
  <c r="Q4" i="9"/>
  <c r="Q2" i="9"/>
  <c r="P4" i="9"/>
  <c r="P2" i="9"/>
  <c r="P146" i="9"/>
  <c r="O4" i="9"/>
  <c r="N4" i="9"/>
  <c r="O67" i="5"/>
  <c r="M4" i="9"/>
  <c r="N67" i="5"/>
  <c r="L4" i="9"/>
  <c r="K4" i="9"/>
  <c r="K2" i="9"/>
  <c r="L65" i="5"/>
  <c r="J4" i="9"/>
  <c r="K67" i="5"/>
  <c r="I4" i="9"/>
  <c r="H4" i="9"/>
  <c r="G4" i="9"/>
  <c r="H67" i="5"/>
  <c r="F4" i="9"/>
  <c r="E4" i="9"/>
  <c r="G3" i="9"/>
  <c r="F3" i="9"/>
  <c r="F2" i="9"/>
  <c r="G65" i="5"/>
  <c r="E3" i="9"/>
  <c r="W2" i="9"/>
  <c r="X65" i="5"/>
  <c r="V2" i="9"/>
  <c r="U2" i="9"/>
  <c r="S2" i="9"/>
  <c r="T65" i="5"/>
  <c r="O2" i="9"/>
  <c r="N2" i="9"/>
  <c r="O65" i="5"/>
  <c r="M2" i="9"/>
  <c r="L2" i="9"/>
  <c r="J2" i="9"/>
  <c r="K65" i="5"/>
  <c r="I2" i="9"/>
  <c r="H2" i="9"/>
  <c r="G2" i="9"/>
  <c r="H65" i="5"/>
  <c r="E2" i="9"/>
  <c r="G58" i="14"/>
  <c r="G57" i="14"/>
  <c r="P2631" i="1"/>
  <c r="O2631" i="1"/>
  <c r="N2631" i="1"/>
  <c r="M2631" i="1"/>
  <c r="AN95" i="9"/>
  <c r="P2630" i="1"/>
  <c r="O2630" i="1"/>
  <c r="N2630" i="1"/>
  <c r="M2630" i="1"/>
  <c r="P2629" i="1"/>
  <c r="O2629" i="1"/>
  <c r="N2629" i="1"/>
  <c r="M2629" i="1"/>
  <c r="P2628" i="1"/>
  <c r="O2628" i="1"/>
  <c r="N2628" i="1"/>
  <c r="M2628" i="1"/>
  <c r="O2627" i="1"/>
  <c r="N2627" i="1"/>
  <c r="M2627" i="1"/>
  <c r="G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AM65" i="5"/>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G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5" i="5"/>
  <c r="AQ45" i="5"/>
  <c r="AR45" i="5"/>
  <c r="AS45" i="5"/>
  <c r="AP47" i="5"/>
  <c r="AQ47" i="5"/>
  <c r="AR47" i="5"/>
  <c r="AS47" i="5"/>
  <c r="AP48" i="5"/>
  <c r="AQ48" i="5"/>
  <c r="AR48" i="5"/>
  <c r="AS48" i="5"/>
  <c r="AP49" i="5"/>
  <c r="AQ49" i="5"/>
  <c r="AR49" i="5"/>
  <c r="AS49" i="5"/>
  <c r="P2610" i="1"/>
  <c r="O2610" i="1"/>
  <c r="N2610" i="1"/>
  <c r="M2610" i="1"/>
  <c r="P2609" i="1"/>
  <c r="O2609" i="1"/>
  <c r="N2609" i="1"/>
  <c r="M2609" i="1"/>
  <c r="P2608" i="1"/>
  <c r="O2608" i="1"/>
  <c r="N2608" i="1"/>
  <c r="M2608" i="1"/>
  <c r="B144" i="9"/>
  <c r="B111" i="5"/>
  <c r="B143" i="9"/>
  <c r="B143" i="8"/>
  <c r="B142" i="9"/>
  <c r="B124" i="5"/>
  <c r="B141" i="9"/>
  <c r="B141" i="8"/>
  <c r="B140" i="9"/>
  <c r="B139" i="9"/>
  <c r="B138" i="9"/>
  <c r="B130" i="5"/>
  <c r="B137" i="9"/>
  <c r="B136" i="9"/>
  <c r="B132" i="5"/>
  <c r="B135" i="9"/>
  <c r="B134" i="9"/>
  <c r="B133" i="9"/>
  <c r="B132" i="9"/>
  <c r="B131" i="9"/>
  <c r="B130" i="9"/>
  <c r="B139" i="5"/>
  <c r="B129" i="9"/>
  <c r="B128" i="9"/>
  <c r="B125" i="5"/>
  <c r="B127" i="9"/>
  <c r="B126" i="9"/>
  <c r="B122" i="5"/>
  <c r="B125" i="9"/>
  <c r="B124" i="9"/>
  <c r="B123" i="9"/>
  <c r="B119" i="5"/>
  <c r="B122" i="9"/>
  <c r="B121" i="9"/>
  <c r="B121" i="8"/>
  <c r="B120" i="9"/>
  <c r="B116" i="5"/>
  <c r="B119" i="9"/>
  <c r="B119" i="8"/>
  <c r="B118" i="9"/>
  <c r="B114" i="5"/>
  <c r="B117" i="9"/>
  <c r="B116" i="9"/>
  <c r="B108" i="5"/>
  <c r="B115" i="9"/>
  <c r="B114" i="9"/>
  <c r="B136" i="5"/>
  <c r="B113" i="9"/>
  <c r="B112" i="9"/>
  <c r="B133" i="5"/>
  <c r="B111" i="9"/>
  <c r="B110" i="9"/>
  <c r="B106" i="5"/>
  <c r="B108" i="9"/>
  <c r="B107" i="9"/>
  <c r="B113" i="5"/>
  <c r="B106" i="9"/>
  <c r="B112" i="5"/>
  <c r="B104" i="9"/>
  <c r="B86" i="5"/>
  <c r="B103" i="9"/>
  <c r="B103" i="8"/>
  <c r="B102" i="9"/>
  <c r="B84" i="5"/>
  <c r="B101" i="9"/>
  <c r="B100" i="9"/>
  <c r="B82" i="5"/>
  <c r="B99" i="9"/>
  <c r="B99" i="8"/>
  <c r="B98" i="9"/>
  <c r="B97" i="9"/>
  <c r="B96" i="9"/>
  <c r="B102" i="5"/>
  <c r="B95" i="9"/>
  <c r="B94" i="9"/>
  <c r="B144" i="5"/>
  <c r="B93" i="9"/>
  <c r="B92" i="9"/>
  <c r="B99" i="5"/>
  <c r="B91" i="9"/>
  <c r="B91" i="8"/>
  <c r="B90" i="9"/>
  <c r="B89" i="9"/>
  <c r="B89" i="8"/>
  <c r="B88" i="9"/>
  <c r="B92" i="5"/>
  <c r="B87" i="9"/>
  <c r="B86" i="9"/>
  <c r="B94" i="5"/>
  <c r="B85" i="9"/>
  <c r="B84" i="9"/>
  <c r="B91" i="5"/>
  <c r="B83" i="9"/>
  <c r="B83" i="8"/>
  <c r="B82" i="9"/>
  <c r="B89" i="5"/>
  <c r="B81" i="9"/>
  <c r="B80" i="9"/>
  <c r="B137" i="5"/>
  <c r="B79" i="9"/>
  <c r="B78" i="9"/>
  <c r="B79" i="5"/>
  <c r="B77" i="9"/>
  <c r="B76" i="9"/>
  <c r="B77" i="5"/>
  <c r="B75" i="9"/>
  <c r="B75" i="8"/>
  <c r="B74" i="9"/>
  <c r="B73" i="9"/>
  <c r="B73" i="8"/>
  <c r="B72" i="9"/>
  <c r="B51" i="5"/>
  <c r="B71" i="9"/>
  <c r="B71" i="8"/>
  <c r="B70" i="9"/>
  <c r="B50" i="5"/>
  <c r="B69" i="9"/>
  <c r="B68" i="9"/>
  <c r="B48" i="5"/>
  <c r="B67" i="9"/>
  <c r="B67" i="8"/>
  <c r="B65" i="9"/>
  <c r="B64" i="9"/>
  <c r="B63" i="9"/>
  <c r="B20" i="5"/>
  <c r="B62" i="9"/>
  <c r="B61" i="9"/>
  <c r="B18" i="5"/>
  <c r="B60" i="9"/>
  <c r="B59" i="9"/>
  <c r="B16" i="5"/>
  <c r="B58" i="9"/>
  <c r="B57" i="9"/>
  <c r="B56" i="9"/>
  <c r="B55" i="9"/>
  <c r="B12" i="5"/>
  <c r="B54" i="9"/>
  <c r="B53" i="9"/>
  <c r="B59" i="5"/>
  <c r="B52" i="9"/>
  <c r="B50" i="9"/>
  <c r="B45" i="5"/>
  <c r="B49" i="9"/>
  <c r="B48" i="9"/>
  <c r="B47" i="9"/>
  <c r="B42" i="5"/>
  <c r="B46" i="9"/>
  <c r="B41" i="5"/>
  <c r="B45" i="9"/>
  <c r="B44" i="9"/>
  <c r="B39" i="5"/>
  <c r="B43" i="9"/>
  <c r="B42" i="9"/>
  <c r="B37" i="5"/>
  <c r="B41" i="9"/>
  <c r="B35" i="5"/>
  <c r="B40" i="9"/>
  <c r="B39" i="9"/>
  <c r="B34" i="5"/>
  <c r="B38" i="9"/>
  <c r="B33" i="5"/>
  <c r="B37" i="9"/>
  <c r="B37" i="8"/>
  <c r="B36" i="9"/>
  <c r="B10" i="5"/>
  <c r="B35" i="9"/>
  <c r="B33" i="9"/>
  <c r="B7" i="5"/>
  <c r="B32" i="9"/>
  <c r="B32" i="8"/>
  <c r="B31" i="9"/>
  <c r="B30" i="9"/>
  <c r="B29" i="9"/>
  <c r="B29" i="5"/>
  <c r="B28" i="9"/>
  <c r="B28" i="8"/>
  <c r="B27" i="9"/>
  <c r="B31" i="5"/>
  <c r="B26" i="9"/>
  <c r="B25" i="9"/>
  <c r="B28" i="5"/>
  <c r="B24" i="9"/>
  <c r="B23" i="9"/>
  <c r="B22" i="9"/>
  <c r="B22" i="8"/>
  <c r="B21" i="9"/>
  <c r="B25" i="5"/>
  <c r="B20" i="9"/>
  <c r="B19" i="9"/>
  <c r="B57" i="5"/>
  <c r="B18" i="9"/>
  <c r="B18" i="8"/>
  <c r="B17" i="9"/>
  <c r="B73" i="5"/>
  <c r="B16" i="9"/>
  <c r="B16" i="8"/>
  <c r="B15" i="9"/>
  <c r="B14" i="9"/>
  <c r="B13" i="9"/>
  <c r="B12" i="9"/>
  <c r="B11" i="9"/>
  <c r="B70" i="5"/>
  <c r="B10" i="9"/>
  <c r="B10" i="8"/>
  <c r="B9" i="9"/>
  <c r="B62" i="5"/>
  <c r="B8" i="9"/>
  <c r="B7" i="9"/>
  <c r="B63" i="5"/>
  <c r="B6" i="9"/>
  <c r="B5" i="9"/>
  <c r="B4" i="9"/>
  <c r="B4" i="8"/>
  <c r="B3" i="9"/>
  <c r="B66" i="5"/>
  <c r="B2" i="9"/>
  <c r="B2" i="8"/>
  <c r="B47" i="8"/>
  <c r="B21" i="5"/>
  <c r="B97" i="5"/>
  <c r="B106" i="8"/>
  <c r="A144" i="9"/>
  <c r="A111" i="5"/>
  <c r="A143" i="9"/>
  <c r="A142" i="9"/>
  <c r="A140" i="9"/>
  <c r="A110" i="5"/>
  <c r="A139" i="9"/>
  <c r="A139" i="8"/>
  <c r="K139" i="8" s="1"/>
  <c r="A138" i="9"/>
  <c r="A138" i="8"/>
  <c r="K138" i="8" s="1"/>
  <c r="A137" i="9"/>
  <c r="A137" i="8"/>
  <c r="K137" i="8" s="1"/>
  <c r="A136" i="9"/>
  <c r="A135" i="9"/>
  <c r="A134" i="9"/>
  <c r="A133" i="9"/>
  <c r="A133" i="8"/>
  <c r="K133" i="8" s="1"/>
  <c r="G133" i="8"/>
  <c r="A132" i="9"/>
  <c r="A141" i="5"/>
  <c r="A131" i="9"/>
  <c r="A130" i="9"/>
  <c r="A139" i="5"/>
  <c r="A129" i="9"/>
  <c r="A129" i="8"/>
  <c r="K129" i="8" s="1"/>
  <c r="A125" i="5"/>
  <c r="A127" i="9"/>
  <c r="A127" i="8"/>
  <c r="K127" i="8" s="1"/>
  <c r="G127" i="8"/>
  <c r="A126" i="9"/>
  <c r="A122" i="5"/>
  <c r="A125" i="9"/>
  <c r="A125" i="8"/>
  <c r="K125" i="8" s="1"/>
  <c r="A124" i="9"/>
  <c r="A124" i="8"/>
  <c r="K124" i="8" s="1"/>
  <c r="A123" i="9"/>
  <c r="A122" i="9"/>
  <c r="A121" i="9"/>
  <c r="A121" i="8"/>
  <c r="K121" i="8" s="1"/>
  <c r="A120" i="9"/>
  <c r="A119" i="9"/>
  <c r="A119" i="8"/>
  <c r="K119" i="8" s="1"/>
  <c r="A118" i="9"/>
  <c r="A114" i="5"/>
  <c r="A117" i="9"/>
  <c r="A117" i="8"/>
  <c r="K117" i="8" s="1"/>
  <c r="G117" i="8"/>
  <c r="A116" i="9"/>
  <c r="A116" i="8"/>
  <c r="K116" i="8" s="1"/>
  <c r="G116" i="8"/>
  <c r="A115" i="9"/>
  <c r="A115" i="8"/>
  <c r="K115" i="8" s="1"/>
  <c r="G115" i="8"/>
  <c r="A114" i="9"/>
  <c r="A136" i="5"/>
  <c r="A113" i="9"/>
  <c r="A113" i="8"/>
  <c r="K113" i="8" s="1"/>
  <c r="I113" i="8"/>
  <c r="A111" i="9"/>
  <c r="A107" i="5"/>
  <c r="A110" i="9"/>
  <c r="A106" i="5"/>
  <c r="A108" i="9"/>
  <c r="A107" i="9"/>
  <c r="A113" i="5"/>
  <c r="A106" i="9"/>
  <c r="A104" i="9"/>
  <c r="A104" i="8"/>
  <c r="K104" i="8" s="1"/>
  <c r="A102" i="9"/>
  <c r="A102" i="8"/>
  <c r="K102" i="8" s="1"/>
  <c r="A101" i="9"/>
  <c r="A101" i="8"/>
  <c r="K101" i="8" s="1"/>
  <c r="A100" i="9"/>
  <c r="A82" i="5"/>
  <c r="A99" i="9"/>
  <c r="A99" i="8"/>
  <c r="K99" i="8" s="1"/>
  <c r="G99" i="8"/>
  <c r="A98" i="9"/>
  <c r="A98" i="8"/>
  <c r="K98" i="8" s="1"/>
  <c r="G98" i="8"/>
  <c r="A97" i="9"/>
  <c r="A97" i="8"/>
  <c r="K97" i="8" s="1"/>
  <c r="G97" i="8"/>
  <c r="A96" i="9"/>
  <c r="A95" i="9"/>
  <c r="A95" i="8"/>
  <c r="K95" i="8" s="1"/>
  <c r="A94" i="9"/>
  <c r="A94" i="8"/>
  <c r="K94" i="8" s="1"/>
  <c r="A93" i="9"/>
  <c r="A93" i="8"/>
  <c r="K93" i="8" s="1"/>
  <c r="A92" i="9"/>
  <c r="A92" i="8"/>
  <c r="K92" i="8" s="1"/>
  <c r="A91" i="9"/>
  <c r="A91" i="8"/>
  <c r="K91" i="8" s="1"/>
  <c r="A89" i="9"/>
  <c r="A89" i="8"/>
  <c r="K89" i="8" s="1"/>
  <c r="A87" i="9"/>
  <c r="A87" i="8"/>
  <c r="K87" i="8" s="1"/>
  <c r="A86" i="9"/>
  <c r="A85" i="9"/>
  <c r="A93" i="5"/>
  <c r="A84" i="9"/>
  <c r="A83" i="9"/>
  <c r="A82" i="9"/>
  <c r="A89" i="5"/>
  <c r="A81" i="9"/>
  <c r="A81" i="8"/>
  <c r="K81" i="8" s="1"/>
  <c r="A79" i="9"/>
  <c r="A78" i="9"/>
  <c r="A78" i="8"/>
  <c r="K78" i="8" s="1"/>
  <c r="A77" i="9"/>
  <c r="A76" i="9"/>
  <c r="A76" i="8"/>
  <c r="K76" i="8" s="1"/>
  <c r="A75" i="9"/>
  <c r="A75" i="8"/>
  <c r="K75" i="8" s="1"/>
  <c r="A74" i="9"/>
  <c r="A73" i="8"/>
  <c r="K73" i="8" s="1"/>
  <c r="A72" i="9"/>
  <c r="A51" i="5"/>
  <c r="A71" i="9"/>
  <c r="A71" i="8"/>
  <c r="K71" i="8" s="1"/>
  <c r="A70" i="9"/>
  <c r="A70" i="8"/>
  <c r="K70" i="8" s="1"/>
  <c r="A69" i="8"/>
  <c r="K69" i="8" s="1"/>
  <c r="G69" i="8"/>
  <c r="A68" i="9"/>
  <c r="A68" i="8"/>
  <c r="K68" i="8" s="1"/>
  <c r="A67" i="9"/>
  <c r="A67" i="8"/>
  <c r="K67" i="8" s="1"/>
  <c r="G67" i="8"/>
  <c r="A65" i="9"/>
  <c r="A65" i="8"/>
  <c r="K65" i="8" s="1"/>
  <c r="G65" i="8"/>
  <c r="A64" i="9"/>
  <c r="A56" i="5"/>
  <c r="A63" i="9"/>
  <c r="A62" i="9"/>
  <c r="A62" i="8"/>
  <c r="K62" i="8" s="1"/>
  <c r="A61" i="9"/>
  <c r="A61" i="8"/>
  <c r="K61" i="8" s="1"/>
  <c r="A60" i="9"/>
  <c r="A60" i="8"/>
  <c r="K60" i="8" s="1"/>
  <c r="A59" i="9"/>
  <c r="A59" i="8"/>
  <c r="K59" i="8" s="1"/>
  <c r="G59" i="8"/>
  <c r="A58" i="9"/>
  <c r="A58" i="8"/>
  <c r="K58" i="8" s="1"/>
  <c r="H58" i="8"/>
  <c r="A57" i="9"/>
  <c r="A57" i="8"/>
  <c r="K57" i="8" s="1"/>
  <c r="G57" i="8"/>
  <c r="A56" i="9"/>
  <c r="A56" i="8"/>
  <c r="K56" i="8" s="1"/>
  <c r="G56" i="8"/>
  <c r="A54" i="9"/>
  <c r="A53" i="9"/>
  <c r="A52" i="9"/>
  <c r="A50" i="9"/>
  <c r="A45" i="5"/>
  <c r="A49" i="9"/>
  <c r="A48" i="9"/>
  <c r="A43" i="5"/>
  <c r="A47" i="9"/>
  <c r="A47" i="8"/>
  <c r="K47" i="8" s="1"/>
  <c r="G47" i="8"/>
  <c r="A46" i="9"/>
  <c r="A41" i="5"/>
  <c r="A45" i="9"/>
  <c r="A44" i="9"/>
  <c r="A39" i="5"/>
  <c r="A43" i="9"/>
  <c r="A43" i="8"/>
  <c r="K43" i="8" s="1"/>
  <c r="A42" i="9"/>
  <c r="A41" i="9"/>
  <c r="A40" i="9"/>
  <c r="A40" i="8"/>
  <c r="K40" i="8" s="1"/>
  <c r="G40" i="8"/>
  <c r="A39" i="9"/>
  <c r="A39" i="8"/>
  <c r="K39" i="8" s="1"/>
  <c r="A37" i="9"/>
  <c r="A37" i="8"/>
  <c r="K37" i="8" s="1"/>
  <c r="A36" i="9"/>
  <c r="A36" i="8"/>
  <c r="K36" i="8" s="1"/>
  <c r="A35" i="9"/>
  <c r="BA35" i="9"/>
  <c r="C35" i="9"/>
  <c r="A33" i="9"/>
  <c r="A33" i="8"/>
  <c r="K33" i="8" s="1"/>
  <c r="A32" i="9"/>
  <c r="A32" i="8"/>
  <c r="K32" i="8" s="1"/>
  <c r="A31" i="9"/>
  <c r="A30" i="9"/>
  <c r="A4" i="5"/>
  <c r="A29" i="9"/>
  <c r="A29" i="5"/>
  <c r="A28" i="9"/>
  <c r="A28" i="8"/>
  <c r="K28" i="8" s="1"/>
  <c r="A27" i="9"/>
  <c r="A27" i="8"/>
  <c r="K27" i="8" s="1"/>
  <c r="A26" i="9"/>
  <c r="A26" i="8"/>
  <c r="K26" i="8" s="1"/>
  <c r="A25" i="9"/>
  <c r="A24" i="9"/>
  <c r="A23" i="9"/>
  <c r="A22" i="9"/>
  <c r="A22" i="8"/>
  <c r="K22" i="8" s="1"/>
  <c r="A21" i="9"/>
  <c r="A25" i="5"/>
  <c r="A20" i="9"/>
  <c r="A19" i="9"/>
  <c r="BA19" i="9"/>
  <c r="C19" i="9"/>
  <c r="A18" i="9"/>
  <c r="A18" i="8"/>
  <c r="K18" i="8" s="1"/>
  <c r="A17" i="9"/>
  <c r="A73" i="5"/>
  <c r="A16" i="9"/>
  <c r="A16" i="8"/>
  <c r="K16" i="8" s="1"/>
  <c r="A61" i="5"/>
  <c r="A15" i="9"/>
  <c r="A14" i="9"/>
  <c r="A14" i="8"/>
  <c r="K14" i="8" s="1"/>
  <c r="A13" i="9"/>
  <c r="A74" i="5"/>
  <c r="A12" i="9"/>
  <c r="A12" i="8"/>
  <c r="K12" i="8" s="1"/>
  <c r="A11" i="9"/>
  <c r="A11" i="8"/>
  <c r="K11" i="8" s="1"/>
  <c r="A10" i="9"/>
  <c r="A69" i="5"/>
  <c r="A9" i="9"/>
  <c r="A62" i="5"/>
  <c r="A8" i="9"/>
  <c r="A8" i="8"/>
  <c r="K8" i="8" s="1"/>
  <c r="A6" i="9"/>
  <c r="A6" i="8"/>
  <c r="K6" i="8" s="1"/>
  <c r="I6" i="8"/>
  <c r="A5" i="9"/>
  <c r="A75" i="5"/>
  <c r="A4" i="9"/>
  <c r="A3" i="9"/>
  <c r="A2" i="9"/>
  <c r="P2607" i="1"/>
  <c r="O2607" i="1"/>
  <c r="N2607" i="1"/>
  <c r="M2607" i="1"/>
  <c r="A130" i="8"/>
  <c r="K130" i="8" s="1"/>
  <c r="A114" i="8"/>
  <c r="K114" i="8" s="1"/>
  <c r="L114" i="8"/>
  <c r="A55" i="8"/>
  <c r="K55" i="8" s="1"/>
  <c r="A108" i="5"/>
  <c r="A70" i="5"/>
  <c r="A49" i="5"/>
  <c r="A18" i="5"/>
  <c r="A12" i="5"/>
  <c r="P2606" i="1"/>
  <c r="O2606" i="1"/>
  <c r="N2606" i="1"/>
  <c r="M2606" i="1"/>
  <c r="P2605" i="1"/>
  <c r="O2605" i="1"/>
  <c r="N2605" i="1"/>
  <c r="M2605" i="1"/>
  <c r="P2604" i="1"/>
  <c r="O2604" i="1"/>
  <c r="N2604" i="1"/>
  <c r="M2604" i="1"/>
  <c r="P2084" i="1"/>
  <c r="O2084" i="1"/>
  <c r="N2084" i="1"/>
  <c r="M2084" i="1"/>
  <c r="P2603" i="1"/>
  <c r="O2603" i="1"/>
  <c r="N2603" i="1"/>
  <c r="M2603" i="1"/>
  <c r="L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5" i="9"/>
  <c r="AN53" i="5"/>
  <c r="P2594" i="1"/>
  <c r="O2594" i="1"/>
  <c r="N2594" i="1"/>
  <c r="M2594" i="1"/>
  <c r="P2593" i="1"/>
  <c r="O2593" i="1"/>
  <c r="N2593" i="1"/>
  <c r="M2593" i="1"/>
  <c r="P2592" i="1"/>
  <c r="O2592" i="1"/>
  <c r="N2592" i="1"/>
  <c r="M2592" i="1"/>
  <c r="P2591" i="1"/>
  <c r="O2591" i="1"/>
  <c r="N2591" i="1"/>
  <c r="M2591" i="1"/>
  <c r="P2590" i="1"/>
  <c r="O2590" i="1"/>
  <c r="N2590" i="1"/>
  <c r="M2590" i="1"/>
  <c r="AM95" i="9"/>
  <c r="AN101" i="5"/>
  <c r="P2589" i="1"/>
  <c r="O2589" i="1"/>
  <c r="N2589" i="1"/>
  <c r="M2589" i="1"/>
  <c r="P2588" i="1"/>
  <c r="O2588" i="1"/>
  <c r="N2588" i="1"/>
  <c r="M2588" i="1"/>
  <c r="P2587" i="1"/>
  <c r="O2587" i="1"/>
  <c r="N2587" i="1"/>
  <c r="M2587" i="1"/>
  <c r="O2586" i="1"/>
  <c r="N2586" i="1"/>
  <c r="M2586" i="1"/>
  <c r="O2585" i="1"/>
  <c r="N2585" i="1"/>
  <c r="M2585" i="1"/>
  <c r="P2584" i="1"/>
  <c r="O2584" i="1"/>
  <c r="N2584" i="1"/>
  <c r="M2584" i="1"/>
  <c r="P2583" i="1"/>
  <c r="O2583" i="1"/>
  <c r="N2583" i="1"/>
  <c r="M2583" i="1"/>
  <c r="P2582" i="1"/>
  <c r="O2582" i="1"/>
  <c r="N2582" i="1"/>
  <c r="M2582" i="1"/>
  <c r="AN60"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L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L52" i="14"/>
  <c r="P2554" i="1"/>
  <c r="O2554" i="1"/>
  <c r="N2554" i="1"/>
  <c r="M2554" i="1"/>
  <c r="L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4" i="9"/>
  <c r="BA143" i="9"/>
  <c r="BA139" i="9"/>
  <c r="BA130" i="9"/>
  <c r="BA126" i="9"/>
  <c r="BA122" i="9"/>
  <c r="BA116" i="9"/>
  <c r="C116" i="9"/>
  <c r="BA111" i="9"/>
  <c r="BA100" i="9"/>
  <c r="BA98" i="9"/>
  <c r="BA91" i="9"/>
  <c r="BA85" i="9"/>
  <c r="BA83" i="9"/>
  <c r="BA77" i="9"/>
  <c r="BA75" i="9"/>
  <c r="BA74" i="9"/>
  <c r="BA70" i="9"/>
  <c r="BA64" i="9"/>
  <c r="BA52" i="9"/>
  <c r="BA50" i="9"/>
  <c r="BA32" i="9"/>
  <c r="BA31" i="9"/>
  <c r="BA30" i="9"/>
  <c r="BA29" i="9"/>
  <c r="BA28" i="9"/>
  <c r="BA27" i="9"/>
  <c r="BA26" i="9"/>
  <c r="BA25" i="9"/>
  <c r="BA24" i="9"/>
  <c r="BA23" i="9"/>
  <c r="BA22" i="9"/>
  <c r="BA21" i="9"/>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P2542" i="1"/>
  <c r="O2542" i="1"/>
  <c r="N2542" i="1"/>
  <c r="M2542" i="1"/>
  <c r="P2541" i="1"/>
  <c r="O2541" i="1"/>
  <c r="N2541" i="1"/>
  <c r="M2541" i="1"/>
  <c r="P2540" i="1"/>
  <c r="O2540" i="1"/>
  <c r="N2540" i="1"/>
  <c r="M2540" i="1"/>
  <c r="P2539" i="1"/>
  <c r="O2539" i="1"/>
  <c r="N2539" i="1"/>
  <c r="M2539" i="1"/>
  <c r="P2538" i="1"/>
  <c r="O2538" i="1"/>
  <c r="N2538" i="1"/>
  <c r="M2538" i="1"/>
  <c r="L50" i="14"/>
  <c r="P2537" i="1"/>
  <c r="O2537" i="1"/>
  <c r="N2537" i="1"/>
  <c r="M2537" i="1"/>
  <c r="P2536" i="1"/>
  <c r="O2536" i="1"/>
  <c r="N2536" i="1"/>
  <c r="M2536" i="1"/>
  <c r="AL40" i="9"/>
  <c r="P2535" i="1"/>
  <c r="O2535" i="1"/>
  <c r="N2535" i="1"/>
  <c r="M2535" i="1"/>
  <c r="P2534" i="1"/>
  <c r="O2534" i="1"/>
  <c r="N2534" i="1"/>
  <c r="M2534" i="1"/>
  <c r="O2533" i="1"/>
  <c r="N2533" i="1"/>
  <c r="M2533" i="1"/>
  <c r="P2532" i="1"/>
  <c r="O2532" i="1"/>
  <c r="N2532" i="1"/>
  <c r="M2532" i="1"/>
  <c r="P2531" i="1"/>
  <c r="O2531" i="1"/>
  <c r="N2531" i="1"/>
  <c r="M2531" i="1"/>
  <c r="AM89" i="9"/>
  <c r="AN96" i="5"/>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O2524" i="1"/>
  <c r="N2524" i="1"/>
  <c r="M2524" i="1"/>
  <c r="AL96"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L49" i="14"/>
  <c r="P2517" i="1"/>
  <c r="O2517" i="1"/>
  <c r="N2517" i="1"/>
  <c r="M2517" i="1"/>
  <c r="AL79" i="9"/>
  <c r="P2516" i="1"/>
  <c r="O2516" i="1"/>
  <c r="N2516" i="1"/>
  <c r="M2516" i="1"/>
  <c r="P2515" i="1"/>
  <c r="O2515" i="1"/>
  <c r="N2515" i="1"/>
  <c r="M2515" i="1"/>
  <c r="P2514" i="1"/>
  <c r="O2514" i="1"/>
  <c r="N2514" i="1"/>
  <c r="M2514" i="1"/>
  <c r="P2513" i="1"/>
  <c r="O2513" i="1"/>
  <c r="N2513" i="1"/>
  <c r="M2513" i="1"/>
  <c r="AM58" i="9"/>
  <c r="P2512" i="1"/>
  <c r="O2512" i="1"/>
  <c r="N2512" i="1"/>
  <c r="M2512" i="1"/>
  <c r="O2511" i="1"/>
  <c r="N2511" i="1"/>
  <c r="M2511" i="1"/>
  <c r="AL134" i="9"/>
  <c r="AM128" i="5"/>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S4" i="4"/>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A18" i="4"/>
  <c r="BA20"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L48" i="14"/>
  <c r="AL89" i="9"/>
  <c r="AM96" i="5"/>
  <c r="P2494" i="1"/>
  <c r="O2494" i="1"/>
  <c r="N2494" i="1"/>
  <c r="M2494" i="1"/>
  <c r="L38" i="14"/>
  <c r="L39" i="14"/>
  <c r="L40" i="14"/>
  <c r="L41" i="14"/>
  <c r="L42" i="14"/>
  <c r="L43" i="14"/>
  <c r="L44" i="14"/>
  <c r="L45" i="14"/>
  <c r="L46" i="14"/>
  <c r="L47" i="14"/>
  <c r="AK20" i="9"/>
  <c r="AL24" i="5"/>
  <c r="AK55" i="9"/>
  <c r="AK61" i="9"/>
  <c r="AL18" i="5"/>
  <c r="AK62" i="9"/>
  <c r="AK68" i="9"/>
  <c r="AK71" i="9"/>
  <c r="AL52" i="5"/>
  <c r="AK76" i="9"/>
  <c r="AK95" i="9"/>
  <c r="AK104" i="9"/>
  <c r="AK110" i="9"/>
  <c r="AK121" i="9"/>
  <c r="AL117" i="5"/>
  <c r="AK129" i="9"/>
  <c r="AL126" i="5"/>
  <c r="AE152" i="9"/>
  <c r="AF152" i="9"/>
  <c r="AG152" i="9"/>
  <c r="AH152" i="9"/>
  <c r="AE78" i="9"/>
  <c r="AF79" i="5"/>
  <c r="AE95" i="9"/>
  <c r="AE104" i="9"/>
  <c r="AF86" i="5"/>
  <c r="AC2" i="9"/>
  <c r="AC13" i="9"/>
  <c r="AC20" i="9"/>
  <c r="AD24" i="5"/>
  <c r="AC33" i="9"/>
  <c r="AC40" i="9"/>
  <c r="AD36" i="5"/>
  <c r="AC41" i="9"/>
  <c r="AD35" i="5"/>
  <c r="AC44" i="9"/>
  <c r="AD39" i="5"/>
  <c r="AC48" i="9"/>
  <c r="AC53" i="9"/>
  <c r="AD59" i="5"/>
  <c r="AC54" i="9"/>
  <c r="AC55" i="9"/>
  <c r="AC56" i="9"/>
  <c r="AC58" i="9"/>
  <c r="AD15" i="5"/>
  <c r="AC61" i="9"/>
  <c r="AC62" i="9"/>
  <c r="AD19" i="5"/>
  <c r="AC65" i="9"/>
  <c r="AD53" i="5"/>
  <c r="AC67" i="9"/>
  <c r="AC68" i="9"/>
  <c r="AD48" i="5"/>
  <c r="AC71" i="9"/>
  <c r="AD52" i="5"/>
  <c r="AC78" i="9"/>
  <c r="AC79" i="9"/>
  <c r="AC86" i="9"/>
  <c r="AD94" i="5"/>
  <c r="AC89" i="9"/>
  <c r="AC94" i="9"/>
  <c r="AD144" i="5"/>
  <c r="AC99" i="9"/>
  <c r="AC104" i="9"/>
  <c r="AC107" i="9"/>
  <c r="AD113" i="5"/>
  <c r="AC117" i="9"/>
  <c r="AC118" i="9"/>
  <c r="AD114" i="5"/>
  <c r="AC120" i="9"/>
  <c r="AD116" i="5"/>
  <c r="AC121" i="9"/>
  <c r="AC123" i="9"/>
  <c r="AD119" i="5"/>
  <c r="AC129" i="9"/>
  <c r="AC132" i="9"/>
  <c r="AD141" i="5"/>
  <c r="AC135" i="9"/>
  <c r="AC136" i="9"/>
  <c r="AD132" i="5"/>
  <c r="AC137" i="9"/>
  <c r="AD138" i="5"/>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2"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5" i="9"/>
  <c r="AM101" i="5"/>
  <c r="P2481" i="1"/>
  <c r="O2481" i="1"/>
  <c r="N2481" i="1"/>
  <c r="M2481" i="1"/>
  <c r="P2480" i="1"/>
  <c r="O2480" i="1"/>
  <c r="N2480" i="1"/>
  <c r="M2480" i="1"/>
  <c r="P2479" i="1"/>
  <c r="O2479" i="1"/>
  <c r="N2479" i="1"/>
  <c r="M2479" i="1"/>
  <c r="P2478" i="1"/>
  <c r="O2478" i="1"/>
  <c r="N2478" i="1"/>
  <c r="M2478" i="1"/>
  <c r="AL93" i="9"/>
  <c r="P2477" i="1"/>
  <c r="O2477" i="1"/>
  <c r="N2477" i="1"/>
  <c r="M2477" i="1"/>
  <c r="AL94" i="9"/>
  <c r="P2476" i="1"/>
  <c r="O2476" i="1"/>
  <c r="N2476" i="1"/>
  <c r="M2476" i="1"/>
  <c r="P2475" i="1"/>
  <c r="O2475" i="1"/>
  <c r="N2475" i="1"/>
  <c r="M2475" i="1"/>
  <c r="P2474" i="1"/>
  <c r="O2474" i="1"/>
  <c r="N2474" i="1"/>
  <c r="M2474" i="1"/>
  <c r="P2473" i="1"/>
  <c r="O2473" i="1"/>
  <c r="N2473" i="1"/>
  <c r="M2473" i="1"/>
  <c r="AL5" i="9"/>
  <c r="P2472" i="1"/>
  <c r="O2472" i="1"/>
  <c r="N2472" i="1"/>
  <c r="M2472" i="1"/>
  <c r="P2471" i="1"/>
  <c r="O2471" i="1"/>
  <c r="N2471" i="1"/>
  <c r="M2471" i="1"/>
  <c r="AL118" i="9"/>
  <c r="AM114" i="5"/>
  <c r="P2470" i="1"/>
  <c r="O2470" i="1"/>
  <c r="N2470" i="1"/>
  <c r="M2470" i="1"/>
  <c r="P2469" i="1"/>
  <c r="O2469" i="1"/>
  <c r="N2469" i="1"/>
  <c r="M2469" i="1"/>
  <c r="P2468" i="1"/>
  <c r="O2468" i="1"/>
  <c r="N2468" i="1"/>
  <c r="M2468" i="1"/>
  <c r="AL78" i="9"/>
  <c r="P2467" i="1"/>
  <c r="O2467" i="1"/>
  <c r="N2467" i="1"/>
  <c r="M2467" i="1"/>
  <c r="AL136" i="9"/>
  <c r="AM132" i="5"/>
  <c r="P2466" i="1"/>
  <c r="O2466" i="1"/>
  <c r="N2466" i="1"/>
  <c r="M2466" i="1"/>
  <c r="AL47" i="9"/>
  <c r="AM42" i="5"/>
  <c r="P2465" i="1"/>
  <c r="O2465" i="1"/>
  <c r="N2465" i="1"/>
  <c r="M2465" i="1"/>
  <c r="P2464" i="1"/>
  <c r="O2464" i="1"/>
  <c r="N2464" i="1"/>
  <c r="M2464" i="1"/>
  <c r="AL57" i="9"/>
  <c r="AM14" i="5"/>
  <c r="P2463" i="1"/>
  <c r="O2463" i="1"/>
  <c r="N2463" i="1"/>
  <c r="M2463" i="1"/>
  <c r="AL58" i="9"/>
  <c r="P2462" i="1"/>
  <c r="O2462" i="1"/>
  <c r="N2462" i="1"/>
  <c r="M2462" i="1"/>
  <c r="P2461" i="1"/>
  <c r="O2461" i="1"/>
  <c r="N2461" i="1"/>
  <c r="M2461" i="1"/>
  <c r="P2460" i="1"/>
  <c r="O2460" i="1"/>
  <c r="N2460" i="1"/>
  <c r="M2460" i="1"/>
  <c r="P2459" i="1"/>
  <c r="O2459" i="1"/>
  <c r="N2459" i="1"/>
  <c r="M2459" i="1"/>
  <c r="AL48" i="9"/>
  <c r="AM43" i="5"/>
  <c r="P2458" i="1"/>
  <c r="O2458" i="1"/>
  <c r="N2458" i="1"/>
  <c r="M2458" i="1"/>
  <c r="AL63" i="9"/>
  <c r="BA63" i="9"/>
  <c r="C63" i="9"/>
  <c r="P2457" i="1"/>
  <c r="O2457" i="1"/>
  <c r="N2457" i="1"/>
  <c r="M2457" i="1"/>
  <c r="P2456" i="1"/>
  <c r="O2456" i="1"/>
  <c r="N2456" i="1"/>
  <c r="M2456" i="1"/>
  <c r="AL6" i="9"/>
  <c r="AM72" i="5"/>
  <c r="P2455" i="1"/>
  <c r="O2455" i="1"/>
  <c r="N2455" i="1"/>
  <c r="M2455" i="1"/>
  <c r="AL129" i="9"/>
  <c r="AM126" i="5"/>
  <c r="P2454" i="1"/>
  <c r="O2454" i="1"/>
  <c r="N2454" i="1"/>
  <c r="M2454" i="1"/>
  <c r="P2453" i="1"/>
  <c r="O2453" i="1"/>
  <c r="N2453" i="1"/>
  <c r="M2453" i="1"/>
  <c r="P2452" i="1"/>
  <c r="O2452" i="1"/>
  <c r="N2452" i="1"/>
  <c r="M2452" i="1"/>
  <c r="P2451" i="1"/>
  <c r="O2451" i="1"/>
  <c r="N2451" i="1"/>
  <c r="M2451" i="1"/>
  <c r="P2450" i="1"/>
  <c r="O2450" i="1"/>
  <c r="N2450" i="1"/>
  <c r="M2450" i="1"/>
  <c r="AL61" i="9"/>
  <c r="AM18" i="5"/>
  <c r="P2449" i="1"/>
  <c r="O2449" i="1"/>
  <c r="N2449" i="1"/>
  <c r="M2449" i="1"/>
  <c r="AL107" i="9"/>
  <c r="AM113" i="5"/>
  <c r="P2448" i="1"/>
  <c r="O2448" i="1"/>
  <c r="N2448" i="1"/>
  <c r="M2448" i="1"/>
  <c r="P2447" i="1"/>
  <c r="O2447" i="1"/>
  <c r="N2447" i="1"/>
  <c r="M2447" i="1"/>
  <c r="AL33" i="9"/>
  <c r="AM7" i="5"/>
  <c r="P2446" i="1"/>
  <c r="O2446" i="1"/>
  <c r="N2446" i="1"/>
  <c r="M2446" i="1"/>
  <c r="AL68" i="9"/>
  <c r="AM48" i="5"/>
  <c r="P2445" i="1"/>
  <c r="O2445" i="1"/>
  <c r="N2445" i="1"/>
  <c r="M2445" i="1"/>
  <c r="AL53" i="9"/>
  <c r="P2444" i="1"/>
  <c r="O2444" i="1"/>
  <c r="N2444" i="1"/>
  <c r="M2444" i="1"/>
  <c r="AL65" i="9"/>
  <c r="P2443" i="1"/>
  <c r="O2443" i="1"/>
  <c r="N2443" i="1"/>
  <c r="M2443" i="1"/>
  <c r="AL60" i="9"/>
  <c r="AM17" i="5"/>
  <c r="P2442" i="1"/>
  <c r="O2442" i="1"/>
  <c r="N2442" i="1"/>
  <c r="M2442" i="1"/>
  <c r="P2441" i="1"/>
  <c r="O2441" i="1"/>
  <c r="N2441" i="1"/>
  <c r="M2441" i="1"/>
  <c r="O2440" i="1"/>
  <c r="N2440" i="1"/>
  <c r="M2440" i="1"/>
  <c r="P2440" i="1"/>
  <c r="P2439" i="1"/>
  <c r="O2439" i="1"/>
  <c r="N2439" i="1"/>
  <c r="M2439" i="1"/>
  <c r="AL86" i="9"/>
  <c r="AL121" i="9"/>
  <c r="AM117" i="5"/>
  <c r="P2438" i="1"/>
  <c r="O2438" i="1"/>
  <c r="N2438" i="1"/>
  <c r="M2438" i="1"/>
  <c r="AL114" i="9"/>
  <c r="BA114" i="9"/>
  <c r="C114" i="9"/>
  <c r="P2437" i="1"/>
  <c r="O2437" i="1"/>
  <c r="N2437" i="1"/>
  <c r="M2437" i="1"/>
  <c r="AL55" i="9"/>
  <c r="AM12" i="5"/>
  <c r="P2436" i="1"/>
  <c r="O2436" i="1"/>
  <c r="N2436" i="1"/>
  <c r="M2436" i="1"/>
  <c r="AL36" i="9"/>
  <c r="AM10" i="5"/>
  <c r="P2435" i="1"/>
  <c r="O2435" i="1"/>
  <c r="N2435" i="1"/>
  <c r="M2435" i="1"/>
  <c r="P2434" i="1"/>
  <c r="O2434" i="1"/>
  <c r="N2434" i="1"/>
  <c r="M2434" i="1"/>
  <c r="AL87" i="9"/>
  <c r="AM95" i="5"/>
  <c r="P2433" i="1"/>
  <c r="O2433" i="1"/>
  <c r="N2433" i="1"/>
  <c r="M2433" i="1"/>
  <c r="BA38" i="5"/>
  <c r="AZ38" i="5"/>
  <c r="AY38" i="5"/>
  <c r="AX38" i="5"/>
  <c r="AW38" i="5"/>
  <c r="AV38" i="5"/>
  <c r="AU38" i="5"/>
  <c r="AT38" i="5"/>
  <c r="AS38" i="5"/>
  <c r="AR38" i="5"/>
  <c r="AQ38" i="5"/>
  <c r="AP38" i="5"/>
  <c r="AO38" i="5"/>
  <c r="AN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AL20" i="9"/>
  <c r="AM24" i="5"/>
  <c r="AL13" i="9"/>
  <c r="P2432" i="1"/>
  <c r="O2432" i="1"/>
  <c r="N2432" i="1"/>
  <c r="M2432" i="1"/>
  <c r="AL54" i="9"/>
  <c r="AM11" i="5"/>
  <c r="P2431" i="1"/>
  <c r="O2431" i="1"/>
  <c r="N2431" i="1"/>
  <c r="M2431" i="1"/>
  <c r="AL41" i="9"/>
  <c r="AL117" i="9"/>
  <c r="AM109" i="5"/>
  <c r="AL137" i="9"/>
  <c r="P2430" i="1"/>
  <c r="O2430" i="1"/>
  <c r="N2430" i="1"/>
  <c r="M2430" i="1"/>
  <c r="P2429" i="1"/>
  <c r="O2429" i="1"/>
  <c r="N2429" i="1"/>
  <c r="M2429" i="1"/>
  <c r="AL123" i="9"/>
  <c r="P2428" i="1"/>
  <c r="O2428" i="1"/>
  <c r="N2428" i="1"/>
  <c r="M2428" i="1"/>
  <c r="P2427" i="1"/>
  <c r="O2427" i="1"/>
  <c r="N2427" i="1"/>
  <c r="M2427" i="1"/>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J28" i="14"/>
  <c r="L29" i="14"/>
  <c r="L35" i="14"/>
  <c r="L25" i="14"/>
  <c r="L26" i="14"/>
  <c r="J25" i="14"/>
  <c r="J26"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7"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5" i="9"/>
  <c r="AK129" i="5"/>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6" i="9"/>
  <c r="BA146" i="5"/>
  <c r="AY146" i="9"/>
  <c r="AZ146" i="5"/>
  <c r="AX146" i="9"/>
  <c r="AY146" i="5"/>
  <c r="AW146" i="9"/>
  <c r="AX146" i="5"/>
  <c r="AV146" i="9"/>
  <c r="AW146" i="5"/>
  <c r="AU146" i="9"/>
  <c r="AV146" i="5"/>
  <c r="AT146" i="9"/>
  <c r="AU146" i="5"/>
  <c r="AS146" i="9"/>
  <c r="AT146" i="5"/>
  <c r="AR146" i="9"/>
  <c r="AS146" i="5"/>
  <c r="AQ146" i="9"/>
  <c r="AR146" i="5"/>
  <c r="AO146" i="9"/>
  <c r="AP146"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BA48" i="5"/>
  <c r="AZ48" i="5"/>
  <c r="AY48" i="5"/>
  <c r="AX48" i="5"/>
  <c r="AW48" i="5"/>
  <c r="AV48" i="5"/>
  <c r="AU48" i="5"/>
  <c r="AT48" i="5"/>
  <c r="BA47" i="5"/>
  <c r="AZ47" i="5"/>
  <c r="AY47" i="5"/>
  <c r="AX47" i="5"/>
  <c r="AW47" i="5"/>
  <c r="AV47" i="5"/>
  <c r="AU47" i="5"/>
  <c r="AT47" i="5"/>
  <c r="BA45" i="5"/>
  <c r="AZ45" i="5"/>
  <c r="AY45" i="5"/>
  <c r="AX45" i="5"/>
  <c r="AW45" i="5"/>
  <c r="AV45" i="5"/>
  <c r="AU45" i="5"/>
  <c r="AT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BA16" i="5"/>
  <c r="AZ16" i="5"/>
  <c r="AY16" i="5"/>
  <c r="AX16" i="5"/>
  <c r="AW16" i="5"/>
  <c r="AV16" i="5"/>
  <c r="AU16" i="5"/>
  <c r="AT16" i="5"/>
  <c r="AS16" i="5"/>
  <c r="AR16" i="5"/>
  <c r="AQ16" i="5"/>
  <c r="AP16" i="5"/>
  <c r="BA15" i="5"/>
  <c r="AZ15" i="5"/>
  <c r="AY15" i="5"/>
  <c r="AX15" i="5"/>
  <c r="AW15" i="5"/>
  <c r="AV15" i="5"/>
  <c r="AU15" i="5"/>
  <c r="AT15" i="5"/>
  <c r="AS15" i="5"/>
  <c r="AR15" i="5"/>
  <c r="AQ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45" i="9"/>
  <c r="AY145" i="9"/>
  <c r="AQ145" i="9"/>
  <c r="AS145" i="9"/>
  <c r="AU145" i="9"/>
  <c r="AW145" i="9"/>
  <c r="AR145" i="9"/>
  <c r="AT145" i="9"/>
  <c r="AV145" i="9"/>
  <c r="AX145"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42" i="9"/>
  <c r="BA142" i="9"/>
  <c r="C142"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BL73" i="4"/>
  <c r="BH73" i="4"/>
  <c r="BG73" i="4"/>
  <c r="BB73" i="4"/>
  <c r="AW73" i="4"/>
  <c r="AR73" i="4"/>
  <c r="AH73" i="4"/>
  <c r="X73" i="4"/>
  <c r="I73" i="4"/>
  <c r="BL72" i="4"/>
  <c r="BH72" i="4"/>
  <c r="BG72" i="4"/>
  <c r="BB72" i="4"/>
  <c r="AW72" i="4"/>
  <c r="AR72" i="4"/>
  <c r="AH72" i="4"/>
  <c r="X72" i="4"/>
  <c r="I72" i="4"/>
  <c r="BL71" i="4"/>
  <c r="BH71" i="4"/>
  <c r="BG71" i="4"/>
  <c r="BB71" i="4"/>
  <c r="AW71" i="4"/>
  <c r="AR71" i="4"/>
  <c r="AH71" i="4"/>
  <c r="X71" i="4"/>
  <c r="I71" i="4"/>
  <c r="BL70" i="4"/>
  <c r="BH70" i="4"/>
  <c r="BG70" i="4"/>
  <c r="BB70" i="4"/>
  <c r="AW70" i="4"/>
  <c r="AR70" i="4"/>
  <c r="AH70" i="4"/>
  <c r="X70" i="4"/>
  <c r="BL69" i="4"/>
  <c r="BH69" i="4"/>
  <c r="BG69" i="4"/>
  <c r="BB69" i="4"/>
  <c r="AW69" i="4"/>
  <c r="AR69" i="4"/>
  <c r="AH69" i="4"/>
  <c r="X69" i="4"/>
  <c r="BL68" i="4"/>
  <c r="BH68" i="4"/>
  <c r="BG68" i="4"/>
  <c r="BB68" i="4"/>
  <c r="AW68" i="4"/>
  <c r="AR68" i="4"/>
  <c r="AH68" i="4"/>
  <c r="X68" i="4"/>
  <c r="BL67" i="4"/>
  <c r="BH67" i="4"/>
  <c r="BG67" i="4"/>
  <c r="BB67" i="4"/>
  <c r="AW67" i="4"/>
  <c r="AR67" i="4"/>
  <c r="AH67" i="4"/>
  <c r="X67" i="4"/>
  <c r="BL66" i="4"/>
  <c r="BH66" i="4"/>
  <c r="BG66" i="4"/>
  <c r="BB66" i="4"/>
  <c r="AW66" i="4"/>
  <c r="AR66" i="4"/>
  <c r="AH66" i="4"/>
  <c r="X66" i="4"/>
  <c r="BL65" i="4"/>
  <c r="BH65" i="4"/>
  <c r="BG65" i="4"/>
  <c r="BB65" i="4"/>
  <c r="AW65" i="4"/>
  <c r="AR65" i="4"/>
  <c r="AH65" i="4"/>
  <c r="X65" i="4"/>
  <c r="BL64" i="4"/>
  <c r="BH64" i="4"/>
  <c r="BG64" i="4"/>
  <c r="BB64" i="4"/>
  <c r="AW64" i="4"/>
  <c r="AR64" i="4"/>
  <c r="AH64" i="4"/>
  <c r="X64" i="4"/>
  <c r="BL63" i="4"/>
  <c r="BH63" i="4"/>
  <c r="BG63" i="4"/>
  <c r="BB63" i="4"/>
  <c r="AW63" i="4"/>
  <c r="AR63" i="4"/>
  <c r="AH63" i="4"/>
  <c r="X63" i="4"/>
  <c r="BL62" i="4"/>
  <c r="BH62" i="4"/>
  <c r="BG62" i="4"/>
  <c r="BB62" i="4"/>
  <c r="AW62" i="4"/>
  <c r="AR62" i="4"/>
  <c r="AH62" i="4"/>
  <c r="X62" i="4"/>
  <c r="BL61" i="4"/>
  <c r="BH61" i="4"/>
  <c r="BG61" i="4"/>
  <c r="BB61" i="4"/>
  <c r="AW61" i="4"/>
  <c r="AR61" i="4"/>
  <c r="AH61" i="4"/>
  <c r="X61" i="4"/>
  <c r="BL60" i="4"/>
  <c r="BH60" i="4"/>
  <c r="BG60" i="4"/>
  <c r="BB60" i="4"/>
  <c r="AW60" i="4"/>
  <c r="AR60" i="4"/>
  <c r="AH60" i="4"/>
  <c r="X60" i="4"/>
  <c r="BL59" i="4"/>
  <c r="BH59" i="4"/>
  <c r="BG59" i="4"/>
  <c r="BB59" i="4"/>
  <c r="AW59" i="4"/>
  <c r="AR59" i="4"/>
  <c r="AH59" i="4"/>
  <c r="X59" i="4"/>
  <c r="BL58" i="4"/>
  <c r="BH58" i="4"/>
  <c r="BG58" i="4"/>
  <c r="BB58" i="4"/>
  <c r="AW58" i="4"/>
  <c r="AR58" i="4"/>
  <c r="AH58" i="4"/>
  <c r="X58" i="4"/>
  <c r="BL57" i="4"/>
  <c r="BH57" i="4"/>
  <c r="BG57" i="4"/>
  <c r="BB57" i="4"/>
  <c r="AW57" i="4"/>
  <c r="AR57" i="4"/>
  <c r="AH57" i="4"/>
  <c r="X57" i="4"/>
  <c r="BL56" i="4"/>
  <c r="BH56" i="4"/>
  <c r="BG56" i="4"/>
  <c r="BB56" i="4"/>
  <c r="AW56" i="4"/>
  <c r="AR56" i="4"/>
  <c r="AH56" i="4"/>
  <c r="X56" i="4"/>
  <c r="BL55" i="4"/>
  <c r="BH55" i="4"/>
  <c r="BG55" i="4"/>
  <c r="BB55" i="4"/>
  <c r="AW55" i="4"/>
  <c r="AR55" i="4"/>
  <c r="AH55" i="4"/>
  <c r="X55" i="4"/>
  <c r="BL54" i="4"/>
  <c r="BH54" i="4"/>
  <c r="BG54" i="4"/>
  <c r="BB54" i="4"/>
  <c r="AW54" i="4"/>
  <c r="AR54" i="4"/>
  <c r="AH54" i="4"/>
  <c r="X54" i="4"/>
  <c r="BL53" i="4"/>
  <c r="BH53" i="4"/>
  <c r="BG53" i="4"/>
  <c r="BB53" i="4"/>
  <c r="AW53" i="4"/>
  <c r="AR53" i="4"/>
  <c r="AH53" i="4"/>
  <c r="X53" i="4"/>
  <c r="BL52" i="4"/>
  <c r="BH52" i="4"/>
  <c r="BG52" i="4"/>
  <c r="BB52" i="4"/>
  <c r="AW52" i="4"/>
  <c r="AR52" i="4"/>
  <c r="AH52" i="4"/>
  <c r="X52" i="4"/>
  <c r="BL51" i="4"/>
  <c r="BH51" i="4"/>
  <c r="BG51" i="4"/>
  <c r="BB51" i="4"/>
  <c r="AW51" i="4"/>
  <c r="AR51" i="4"/>
  <c r="AH51" i="4"/>
  <c r="X51" i="4"/>
  <c r="BL50" i="4"/>
  <c r="BH50" i="4"/>
  <c r="BG50" i="4"/>
  <c r="BB50" i="4"/>
  <c r="AW50" i="4"/>
  <c r="AR50" i="4"/>
  <c r="AH50" i="4"/>
  <c r="X50" i="4"/>
  <c r="BL49" i="4"/>
  <c r="BH49" i="4"/>
  <c r="BG49" i="4"/>
  <c r="BB49" i="4"/>
  <c r="AW49" i="4"/>
  <c r="AR49" i="4"/>
  <c r="AH49" i="4"/>
  <c r="X49" i="4"/>
  <c r="BH75" i="4"/>
  <c r="BH74" i="4"/>
  <c r="BH48" i="4"/>
  <c r="BH47" i="4"/>
  <c r="BH46" i="4"/>
  <c r="BH45" i="4"/>
  <c r="BH44" i="4"/>
  <c r="BH43" i="4"/>
  <c r="BH42" i="4"/>
  <c r="BH41" i="4"/>
  <c r="BH40" i="4"/>
  <c r="BH39" i="4"/>
  <c r="BH38" i="4"/>
  <c r="BH37" i="4"/>
  <c r="BH36" i="4"/>
  <c r="BH35" i="4"/>
  <c r="BH34" i="4"/>
  <c r="BH33" i="4"/>
  <c r="BH32" i="4"/>
  <c r="BH31" i="4"/>
  <c r="BH30" i="4"/>
  <c r="BH29" i="4"/>
  <c r="BH28" i="4"/>
  <c r="BH27" i="4"/>
  <c r="BH26" i="4"/>
  <c r="BH25" i="4"/>
  <c r="BH24" i="4"/>
  <c r="BH23" i="4"/>
  <c r="BH22" i="4"/>
  <c r="BH21" i="4"/>
  <c r="BH20" i="4"/>
  <c r="BH19" i="4"/>
  <c r="BH18" i="4"/>
  <c r="BH17" i="4"/>
  <c r="BH16" i="4"/>
  <c r="BH15" i="4"/>
  <c r="BH14" i="4"/>
  <c r="BH13" i="4"/>
  <c r="BH12" i="4"/>
  <c r="BH11" i="4"/>
  <c r="BH10" i="4"/>
  <c r="BH9" i="4"/>
  <c r="BH8" i="4"/>
  <c r="BH7" i="4"/>
  <c r="BH6" i="4"/>
  <c r="BH5" i="4"/>
  <c r="BH4" i="4"/>
  <c r="P2271" i="1"/>
  <c r="O2271" i="1"/>
  <c r="N2271" i="1"/>
  <c r="M2271" i="1"/>
  <c r="BL4" i="4"/>
  <c r="BL5" i="4"/>
  <c r="BL6" i="4"/>
  <c r="AR4" i="4"/>
  <c r="AH4" i="4"/>
  <c r="AH5" i="4"/>
  <c r="AH6" i="4"/>
  <c r="AH7" i="4"/>
  <c r="AH8" i="4"/>
  <c r="AH9" i="4"/>
  <c r="AH10" i="4"/>
  <c r="AH11" i="4"/>
  <c r="AH12" i="4"/>
  <c r="AH13" i="4"/>
  <c r="AH14" i="4"/>
  <c r="AH15" i="4"/>
  <c r="AH16" i="4"/>
  <c r="AW19" i="4"/>
  <c r="AW20" i="4"/>
  <c r="AW21" i="4"/>
  <c r="AW22" i="4"/>
  <c r="AW23" i="4"/>
  <c r="AW24" i="4"/>
  <c r="AW25" i="4"/>
  <c r="AW26" i="4"/>
  <c r="AW27" i="4"/>
  <c r="AW28" i="4"/>
  <c r="AW29" i="4"/>
  <c r="AW30" i="4"/>
  <c r="AW31" i="4"/>
  <c r="AW32" i="4"/>
  <c r="AW33" i="4"/>
  <c r="AW34" i="4"/>
  <c r="AW35" i="4"/>
  <c r="AW36" i="4"/>
  <c r="AW37" i="4"/>
  <c r="AW38" i="4"/>
  <c r="AW39" i="4"/>
  <c r="AW40" i="4"/>
  <c r="AW41" i="4"/>
  <c r="AW42" i="4"/>
  <c r="AW43" i="4"/>
  <c r="AW44" i="4"/>
  <c r="AW45" i="4"/>
  <c r="AW46" i="4"/>
  <c r="AW47" i="4"/>
  <c r="AW48" i="4"/>
  <c r="AW74" i="4"/>
  <c r="AW75" i="4"/>
  <c r="P2270" i="1"/>
  <c r="O2270" i="1"/>
  <c r="N2270" i="1"/>
  <c r="M2270" i="1"/>
  <c r="P2269" i="1"/>
  <c r="O2269" i="1"/>
  <c r="N2269" i="1"/>
  <c r="M2269" i="1"/>
  <c r="P2268" i="1"/>
  <c r="O2268" i="1"/>
  <c r="N2268" i="1"/>
  <c r="M2268" i="1"/>
  <c r="P2267" i="1"/>
  <c r="O2267" i="1"/>
  <c r="N2267" i="1"/>
  <c r="M2267" i="1"/>
  <c r="P2266" i="1"/>
  <c r="O2266" i="1"/>
  <c r="N2266" i="1"/>
  <c r="M2266" i="1"/>
  <c r="AJ61"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8" i="9"/>
  <c r="P2257" i="1"/>
  <c r="O2257" i="1"/>
  <c r="N2257" i="1"/>
  <c r="M2257" i="1"/>
  <c r="P2256" i="1"/>
  <c r="O2256" i="1"/>
  <c r="N2256" i="1"/>
  <c r="M2256" i="1"/>
  <c r="P2255" i="1"/>
  <c r="O2255" i="1"/>
  <c r="N2255" i="1"/>
  <c r="M2255" i="1"/>
  <c r="P2254" i="1"/>
  <c r="O2254" i="1"/>
  <c r="N2254" i="1"/>
  <c r="M2254" i="1"/>
  <c r="P2253" i="1"/>
  <c r="O2253" i="1"/>
  <c r="N2253" i="1"/>
  <c r="M2253" i="1"/>
  <c r="AI79" i="9"/>
  <c r="AJ80" i="5"/>
  <c r="P2252" i="1"/>
  <c r="O2252" i="1"/>
  <c r="N2252" i="1"/>
  <c r="M2252" i="1"/>
  <c r="P2251" i="1"/>
  <c r="O2251" i="1"/>
  <c r="N2251" i="1"/>
  <c r="M2251" i="1"/>
  <c r="P2250" i="1"/>
  <c r="O2250" i="1"/>
  <c r="N2250" i="1"/>
  <c r="M2250" i="1"/>
  <c r="P2249" i="1"/>
  <c r="O2249" i="1"/>
  <c r="N2249" i="1"/>
  <c r="M2249" i="1"/>
  <c r="P2248" i="1"/>
  <c r="O2248" i="1"/>
  <c r="N2248" i="1"/>
  <c r="M2248" i="1"/>
  <c r="AI110"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5" i="5"/>
  <c r="AF4" i="9"/>
  <c r="AG67" i="5"/>
  <c r="AG4" i="9"/>
  <c r="AH67" i="5"/>
  <c r="AG6" i="9"/>
  <c r="AG11" i="9"/>
  <c r="BA11" i="9"/>
  <c r="C11" i="9"/>
  <c r="AF16" i="9"/>
  <c r="AG61" i="5"/>
  <c r="AF17" i="9"/>
  <c r="AF20" i="9"/>
  <c r="AG20" i="9"/>
  <c r="AH24" i="5"/>
  <c r="AF33" i="9"/>
  <c r="AG7" i="5"/>
  <c r="AF36" i="9"/>
  <c r="AG36" i="9"/>
  <c r="AH10" i="5"/>
  <c r="AF37" i="9"/>
  <c r="AF39" i="9"/>
  <c r="AG34" i="5"/>
  <c r="AI39" i="9"/>
  <c r="AJ34" i="5"/>
  <c r="AD41" i="9"/>
  <c r="AF41" i="9"/>
  <c r="AG35" i="5"/>
  <c r="AH41" i="9"/>
  <c r="AI35" i="5"/>
  <c r="AF44" i="9"/>
  <c r="AG39" i="5"/>
  <c r="AG44" i="9"/>
  <c r="AH39" i="5"/>
  <c r="AF47" i="9"/>
  <c r="AF48" i="9"/>
  <c r="AG43" i="5"/>
  <c r="AF54" i="9"/>
  <c r="AG54" i="9"/>
  <c r="AH54" i="9"/>
  <c r="AF55" i="9"/>
  <c r="AG12" i="5"/>
  <c r="AG56" i="9"/>
  <c r="AH13" i="5"/>
  <c r="AI56" i="9"/>
  <c r="AF57" i="9"/>
  <c r="AG14" i="5"/>
  <c r="AG58" i="9"/>
  <c r="AD60" i="9"/>
  <c r="AD61" i="9"/>
  <c r="AE18" i="5"/>
  <c r="AF61" i="9"/>
  <c r="AG18" i="5"/>
  <c r="AG61" i="9"/>
  <c r="AH18" i="5"/>
  <c r="AF62" i="9"/>
  <c r="AG62" i="9"/>
  <c r="AH19" i="5"/>
  <c r="AG65" i="9"/>
  <c r="AH53" i="5"/>
  <c r="AH71" i="9"/>
  <c r="AI52" i="5"/>
  <c r="AG79" i="9"/>
  <c r="AH80" i="5"/>
  <c r="AG82" i="9"/>
  <c r="AH89" i="5"/>
  <c r="AF86" i="9"/>
  <c r="AG94" i="5"/>
  <c r="AG87" i="9"/>
  <c r="AF89" i="9"/>
  <c r="AG96" i="5"/>
  <c r="AH89" i="9"/>
  <c r="AI96" i="5"/>
  <c r="AI93" i="9"/>
  <c r="AF94" i="9"/>
  <c r="AG144" i="5"/>
  <c r="AG95" i="9"/>
  <c r="AH101" i="5"/>
  <c r="AG102" i="9"/>
  <c r="AD104" i="9"/>
  <c r="AE86" i="5"/>
  <c r="AF104" i="9"/>
  <c r="AG86" i="5"/>
  <c r="AG104" i="9"/>
  <c r="AH86" i="5"/>
  <c r="AH104" i="9"/>
  <c r="AI86" i="5"/>
  <c r="AF107" i="9"/>
  <c r="AG113" i="5"/>
  <c r="AG115" i="9"/>
  <c r="AH143" i="5"/>
  <c r="AF117" i="9"/>
  <c r="AF118" i="9"/>
  <c r="AG114" i="5"/>
  <c r="AG118" i="9"/>
  <c r="AD120" i="9"/>
  <c r="AE116" i="5"/>
  <c r="AJ120" i="9"/>
  <c r="AK116" i="5"/>
  <c r="AD121" i="9"/>
  <c r="AE117" i="5"/>
  <c r="AF121" i="9"/>
  <c r="AG117" i="5"/>
  <c r="AH121" i="9"/>
  <c r="AI117" i="5"/>
  <c r="AI121" i="9"/>
  <c r="AJ121" i="9"/>
  <c r="AK117" i="5"/>
  <c r="AF125" i="9"/>
  <c r="AG132" i="9"/>
  <c r="AH141" i="5"/>
  <c r="AF134" i="9"/>
  <c r="AF136" i="9"/>
  <c r="AG132" i="5"/>
  <c r="AG136" i="9"/>
  <c r="AH132" i="5"/>
  <c r="AH136" i="9"/>
  <c r="AI132" i="5"/>
  <c r="AG137" i="9"/>
  <c r="AH138" i="5"/>
  <c r="AH137" i="9"/>
  <c r="AI138" i="5"/>
  <c r="AF138" i="9"/>
  <c r="AG130" i="5"/>
  <c r="AG138" i="9"/>
  <c r="AH130" i="5"/>
  <c r="P1557" i="1"/>
  <c r="P1579" i="1"/>
  <c r="P2006" i="1"/>
  <c r="P2062" i="1"/>
  <c r="U150" i="9"/>
  <c r="V149" i="5"/>
  <c r="V150" i="9"/>
  <c r="W150" i="9"/>
  <c r="X149" i="5"/>
  <c r="X150" i="9"/>
  <c r="Y150" i="9"/>
  <c r="Z149" i="5"/>
  <c r="Z150" i="9"/>
  <c r="AA149" i="5"/>
  <c r="AA150" i="9"/>
  <c r="AB149" i="5"/>
  <c r="AB150" i="9"/>
  <c r="AC149" i="5"/>
  <c r="U151" i="9"/>
  <c r="V151" i="9"/>
  <c r="W150" i="5"/>
  <c r="W151" i="9"/>
  <c r="X150" i="5"/>
  <c r="X151" i="9"/>
  <c r="Y150" i="5"/>
  <c r="Y151" i="9"/>
  <c r="Z150" i="5"/>
  <c r="Z151" i="9"/>
  <c r="AA150" i="5"/>
  <c r="AA151" i="9"/>
  <c r="AB150" i="5"/>
  <c r="AB151" i="9"/>
  <c r="AC150" i="5"/>
  <c r="AC152"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71" i="5"/>
  <c r="AN71" i="5"/>
  <c r="AM71" i="5"/>
  <c r="AL71" i="5"/>
  <c r="AK71" i="5"/>
  <c r="AJ71" i="5"/>
  <c r="AI71" i="5"/>
  <c r="AH71" i="5"/>
  <c r="AG71" i="5"/>
  <c r="AF71" i="5"/>
  <c r="AE71" i="5"/>
  <c r="AD71" i="5"/>
  <c r="AC71" i="5"/>
  <c r="AB71" i="5"/>
  <c r="AA71" i="5"/>
  <c r="Z71" i="5"/>
  <c r="Y71" i="5"/>
  <c r="X71" i="5"/>
  <c r="W71" i="5"/>
  <c r="V71" i="5"/>
  <c r="U71" i="5"/>
  <c r="T71" i="5"/>
  <c r="S71" i="5"/>
  <c r="R71" i="5"/>
  <c r="Q71" i="5"/>
  <c r="P71" i="5"/>
  <c r="O71" i="5"/>
  <c r="N71" i="5"/>
  <c r="M71" i="5"/>
  <c r="L71" i="5"/>
  <c r="K71" i="5"/>
  <c r="J71" i="5"/>
  <c r="I71" i="5"/>
  <c r="H71" i="5"/>
  <c r="G71" i="5"/>
  <c r="F71" i="5"/>
  <c r="E71"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5" i="5"/>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AO136" i="5"/>
  <c r="AN136" i="5"/>
  <c r="AL136" i="5"/>
  <c r="AK136" i="5"/>
  <c r="AJ136" i="5"/>
  <c r="AI136" i="5"/>
  <c r="AH136" i="5"/>
  <c r="AG136" i="5"/>
  <c r="AF136" i="5"/>
  <c r="AE136" i="5"/>
  <c r="AD136" i="5"/>
  <c r="AC136" i="5"/>
  <c r="AB136" i="5"/>
  <c r="AA136" i="5"/>
  <c r="Z136" i="5"/>
  <c r="Y136" i="5"/>
  <c r="X136" i="5"/>
  <c r="W136" i="5"/>
  <c r="V136" i="5"/>
  <c r="U136" i="5"/>
  <c r="T136" i="5"/>
  <c r="S136" i="5"/>
  <c r="R136" i="5"/>
  <c r="Q136" i="5"/>
  <c r="P136" i="5"/>
  <c r="O136" i="5"/>
  <c r="N136" i="5"/>
  <c r="M136" i="5"/>
  <c r="L136" i="5"/>
  <c r="K136" i="5"/>
  <c r="J136" i="5"/>
  <c r="I136" i="5"/>
  <c r="H136" i="5"/>
  <c r="G136" i="5"/>
  <c r="F136" i="5"/>
  <c r="E136" i="5"/>
  <c r="E137" i="5"/>
  <c r="F137" i="5"/>
  <c r="G137" i="5"/>
  <c r="H137" i="5"/>
  <c r="I137" i="5"/>
  <c r="J137" i="5"/>
  <c r="K137" i="5"/>
  <c r="L137" i="5"/>
  <c r="M137" i="5"/>
  <c r="N137" i="5"/>
  <c r="O137" i="5"/>
  <c r="P137" i="5"/>
  <c r="Q137" i="5"/>
  <c r="R137" i="5"/>
  <c r="S137" i="5"/>
  <c r="V137" i="5"/>
  <c r="Y137" i="5"/>
  <c r="Z137" i="5"/>
  <c r="AA137" i="5"/>
  <c r="AB137" i="5"/>
  <c r="AC137" i="5"/>
  <c r="AD137" i="5"/>
  <c r="AE137" i="5"/>
  <c r="AF137" i="5"/>
  <c r="AG137" i="5"/>
  <c r="AH137" i="5"/>
  <c r="AI137" i="5"/>
  <c r="AJ137" i="5"/>
  <c r="AK137" i="5"/>
  <c r="AL137" i="5"/>
  <c r="AM137" i="5"/>
  <c r="AN137" i="5"/>
  <c r="AO137" i="5"/>
  <c r="P2122" i="1"/>
  <c r="M2122" i="1"/>
  <c r="P2121" i="1"/>
  <c r="M2121" i="1"/>
  <c r="P2120" i="1"/>
  <c r="M2120" i="1"/>
  <c r="P2119" i="1"/>
  <c r="M2119" i="1"/>
  <c r="P2118" i="1"/>
  <c r="M2118" i="1"/>
  <c r="M2117" i="1"/>
  <c r="P2117" i="1"/>
  <c r="P2116" i="1"/>
  <c r="M2116" i="1"/>
  <c r="P2115" i="1"/>
  <c r="M2115" i="1"/>
  <c r="P2114" i="1"/>
  <c r="M2114" i="1"/>
  <c r="P2113" i="1"/>
  <c r="M2113" i="1"/>
  <c r="P2112" i="1"/>
  <c r="M2112" i="1"/>
  <c r="AO75" i="5"/>
  <c r="AN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P2111" i="1"/>
  <c r="M2111" i="1"/>
  <c r="P2110" i="1"/>
  <c r="M2110" i="1"/>
  <c r="V150" i="5"/>
  <c r="U150" i="5"/>
  <c r="T150" i="5"/>
  <c r="S150" i="5"/>
  <c r="R150" i="5"/>
  <c r="Q150" i="5"/>
  <c r="P150" i="5"/>
  <c r="O150" i="5"/>
  <c r="N150" i="5"/>
  <c r="M150" i="5"/>
  <c r="L150" i="5"/>
  <c r="K150" i="5"/>
  <c r="J150" i="5"/>
  <c r="I150" i="5"/>
  <c r="H150" i="5"/>
  <c r="G150" i="5"/>
  <c r="F150" i="5"/>
  <c r="Y149" i="5"/>
  <c r="W149" i="5"/>
  <c r="U149" i="5"/>
  <c r="T149" i="5"/>
  <c r="S149" i="5"/>
  <c r="R149" i="5"/>
  <c r="Q149" i="5"/>
  <c r="P149" i="5"/>
  <c r="O149" i="5"/>
  <c r="N149" i="5"/>
  <c r="M149" i="5"/>
  <c r="L149" i="5"/>
  <c r="K149" i="5"/>
  <c r="J149" i="5"/>
  <c r="I149" i="5"/>
  <c r="H149" i="5"/>
  <c r="G149" i="5"/>
  <c r="F149" i="5"/>
  <c r="P2109" i="1"/>
  <c r="M2109" i="1"/>
  <c r="P2108" i="1"/>
  <c r="M2108" i="1"/>
  <c r="P2107" i="1"/>
  <c r="M2107" i="1"/>
  <c r="P2106" i="1"/>
  <c r="M2106" i="1"/>
  <c r="P2105" i="1"/>
  <c r="M2105" i="1"/>
  <c r="P2104" i="1"/>
  <c r="M2104" i="1"/>
  <c r="M2103" i="1"/>
  <c r="P2103" i="1"/>
  <c r="P2102" i="1"/>
  <c r="M2102" i="1"/>
  <c r="P2101" i="1"/>
  <c r="M2101" i="1"/>
  <c r="P2100" i="1"/>
  <c r="M2100" i="1"/>
  <c r="P2099" i="1"/>
  <c r="M2099"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M2070" i="1"/>
  <c r="AO131" i="5"/>
  <c r="AN131" i="5"/>
  <c r="AM131" i="5"/>
  <c r="AL131" i="5"/>
  <c r="AK131" i="5"/>
  <c r="AJ131" i="5"/>
  <c r="AI131" i="5"/>
  <c r="AH131" i="5"/>
  <c r="AG131" i="5"/>
  <c r="AF131" i="5"/>
  <c r="AE131" i="5"/>
  <c r="AD131" i="5"/>
  <c r="AC131" i="5"/>
  <c r="AB131" i="5"/>
  <c r="AA131" i="5"/>
  <c r="Z131" i="5"/>
  <c r="Y131" i="5"/>
  <c r="X131" i="5"/>
  <c r="W131" i="5"/>
  <c r="V131" i="5"/>
  <c r="U131" i="5"/>
  <c r="T131" i="5"/>
  <c r="S131" i="5"/>
  <c r="R131" i="5"/>
  <c r="Q131" i="5"/>
  <c r="P131" i="5"/>
  <c r="O131" i="5"/>
  <c r="N131" i="5"/>
  <c r="M131" i="5"/>
  <c r="L131" i="5"/>
  <c r="K131" i="5"/>
  <c r="J131" i="5"/>
  <c r="I131" i="5"/>
  <c r="H131" i="5"/>
  <c r="G131" i="5"/>
  <c r="F131" i="5"/>
  <c r="E131"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E108" i="5"/>
  <c r="F108" i="5"/>
  <c r="G108" i="5"/>
  <c r="H108" i="5"/>
  <c r="I108" i="5"/>
  <c r="J108" i="5"/>
  <c r="K108" i="5"/>
  <c r="L108" i="5"/>
  <c r="M108" i="5"/>
  <c r="N108" i="5"/>
  <c r="O108" i="5"/>
  <c r="P108" i="5"/>
  <c r="Q108" i="5"/>
  <c r="R108" i="5"/>
  <c r="S108" i="5"/>
  <c r="T108" i="5"/>
  <c r="U108" i="5"/>
  <c r="V108" i="5"/>
  <c r="W108" i="5"/>
  <c r="X108" i="5"/>
  <c r="Y108" i="5"/>
  <c r="Z108" i="5"/>
  <c r="AA108" i="5"/>
  <c r="AB108" i="5"/>
  <c r="AC108" i="5"/>
  <c r="AD108" i="5"/>
  <c r="AE108" i="5"/>
  <c r="AF108" i="5"/>
  <c r="AG108" i="5"/>
  <c r="AH108" i="5"/>
  <c r="AI108" i="5"/>
  <c r="AJ108" i="5"/>
  <c r="AK108" i="5"/>
  <c r="AL108" i="5"/>
  <c r="AM108" i="5"/>
  <c r="AN108" i="5"/>
  <c r="AO108" i="5"/>
  <c r="C111"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2" i="5"/>
  <c r="AN42" i="5"/>
  <c r="E42" i="5"/>
  <c r="F42" i="5"/>
  <c r="G42" i="5"/>
  <c r="H42" i="5"/>
  <c r="I42" i="5"/>
  <c r="J42" i="5"/>
  <c r="K42" i="5"/>
  <c r="L42" i="5"/>
  <c r="M42" i="5"/>
  <c r="N42" i="5"/>
  <c r="O42" i="5"/>
  <c r="P42" i="5"/>
  <c r="Q42" i="5"/>
  <c r="R42" i="5"/>
  <c r="S42" i="5"/>
  <c r="T42" i="5"/>
  <c r="U42" i="5"/>
  <c r="Z42" i="5"/>
  <c r="AA42" i="5"/>
  <c r="AB42" i="5"/>
  <c r="AC42" i="5"/>
  <c r="AD42" i="5"/>
  <c r="AE42" i="5"/>
  <c r="AF42" i="5"/>
  <c r="AH42" i="5"/>
  <c r="AI42" i="5"/>
  <c r="AJ42" i="5"/>
  <c r="AK42" i="5"/>
  <c r="AL42"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BG75" i="4"/>
  <c r="BG74" i="4"/>
  <c r="BG48" i="4"/>
  <c r="BG47" i="4"/>
  <c r="BG46" i="4"/>
  <c r="BG45" i="4"/>
  <c r="BG44" i="4"/>
  <c r="BG43" i="4"/>
  <c r="BG42" i="4"/>
  <c r="BG41" i="4"/>
  <c r="BG40" i="4"/>
  <c r="BG39" i="4"/>
  <c r="BG38" i="4"/>
  <c r="BG37" i="4"/>
  <c r="BG36" i="4"/>
  <c r="BG35" i="4"/>
  <c r="BG34" i="4"/>
  <c r="BG33" i="4"/>
  <c r="BG32" i="4"/>
  <c r="BG31" i="4"/>
  <c r="BG30" i="4"/>
  <c r="BG29" i="4"/>
  <c r="BG28" i="4"/>
  <c r="BG27" i="4"/>
  <c r="BG26" i="4"/>
  <c r="BG25" i="4"/>
  <c r="BG24" i="4"/>
  <c r="BG23" i="4"/>
  <c r="BG22" i="4"/>
  <c r="BG21" i="4"/>
  <c r="BG20" i="4"/>
  <c r="BG19" i="4"/>
  <c r="BG18" i="4"/>
  <c r="BG17" i="4"/>
  <c r="M1884" i="1"/>
  <c r="P1883" i="1"/>
  <c r="M1883" i="1"/>
  <c r="P1882" i="1"/>
  <c r="M1882" i="1"/>
  <c r="P1881" i="1"/>
  <c r="M1881"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30"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8" i="5"/>
  <c r="AC88" i="5"/>
  <c r="P1783" i="1"/>
  <c r="M1783" i="1"/>
  <c r="P1782" i="1"/>
  <c r="M1782" i="1"/>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I70" i="5"/>
  <c r="AJ70" i="5"/>
  <c r="AK70" i="5"/>
  <c r="AL70" i="5"/>
  <c r="AM70" i="5"/>
  <c r="AN70" i="5"/>
  <c r="AO70" i="5"/>
  <c r="AI2" i="5"/>
  <c r="AI3" i="5"/>
  <c r="AI4" i="5"/>
  <c r="AI5" i="5"/>
  <c r="AI6" i="5"/>
  <c r="AI7" i="5"/>
  <c r="AI9" i="5"/>
  <c r="AI10" i="5"/>
  <c r="AI12" i="5"/>
  <c r="AI13" i="5"/>
  <c r="AI14" i="5"/>
  <c r="AI15" i="5"/>
  <c r="AI16" i="5"/>
  <c r="AI17" i="5"/>
  <c r="AI18" i="5"/>
  <c r="AI19" i="5"/>
  <c r="AI20" i="5"/>
  <c r="AI21" i="5"/>
  <c r="AI22" i="5"/>
  <c r="AI23" i="5"/>
  <c r="AI24" i="5"/>
  <c r="AI25" i="5"/>
  <c r="AI26" i="5"/>
  <c r="AI27" i="5"/>
  <c r="AI28" i="5"/>
  <c r="AI29" i="5"/>
  <c r="AI30" i="5"/>
  <c r="AI31" i="5"/>
  <c r="AI32" i="5"/>
  <c r="AI33" i="5"/>
  <c r="AI34" i="5"/>
  <c r="AI36" i="5"/>
  <c r="AI37" i="5"/>
  <c r="AI39" i="5"/>
  <c r="AI40" i="5"/>
  <c r="AI41" i="5"/>
  <c r="AI43" i="5"/>
  <c r="AI44" i="5"/>
  <c r="AI47" i="5"/>
  <c r="AI48" i="5"/>
  <c r="AI49" i="5"/>
  <c r="AI50" i="5"/>
  <c r="AI51" i="5"/>
  <c r="AI53" i="5"/>
  <c r="AI55" i="5"/>
  <c r="AI56" i="5"/>
  <c r="AI57" i="5"/>
  <c r="AI58" i="5"/>
  <c r="AI59" i="5"/>
  <c r="AI60" i="5"/>
  <c r="AI61" i="5"/>
  <c r="AI62" i="5"/>
  <c r="AI63" i="5"/>
  <c r="AI64" i="5"/>
  <c r="AI65" i="5"/>
  <c r="AI66" i="5"/>
  <c r="AI67" i="5"/>
  <c r="AI68" i="5"/>
  <c r="AI69" i="5"/>
  <c r="AI72" i="5"/>
  <c r="AI73" i="5"/>
  <c r="AI74" i="5"/>
  <c r="AI76" i="5"/>
  <c r="AI77" i="5"/>
  <c r="AI78" i="5"/>
  <c r="AI79" i="5"/>
  <c r="AI80" i="5"/>
  <c r="AI81" i="5"/>
  <c r="AI82" i="5"/>
  <c r="AI83" i="5"/>
  <c r="AI84" i="5"/>
  <c r="AI85" i="5"/>
  <c r="AI88" i="5"/>
  <c r="AI89" i="5"/>
  <c r="AI90" i="5"/>
  <c r="AI91" i="5"/>
  <c r="AI92" i="5"/>
  <c r="AI93" i="5"/>
  <c r="AI94" i="5"/>
  <c r="AI95" i="5"/>
  <c r="AI97" i="5"/>
  <c r="AI98" i="5"/>
  <c r="AI99" i="5"/>
  <c r="AI100" i="5"/>
  <c r="AI101" i="5"/>
  <c r="AI102" i="5"/>
  <c r="AI103" i="5"/>
  <c r="AI104" i="5"/>
  <c r="AI106" i="5"/>
  <c r="AI109" i="5"/>
  <c r="AI110" i="5"/>
  <c r="AI111" i="5"/>
  <c r="AI112" i="5"/>
  <c r="AI113" i="5"/>
  <c r="AI114" i="5"/>
  <c r="AI115" i="5"/>
  <c r="AI116" i="5"/>
  <c r="AI118" i="5"/>
  <c r="AI119" i="5"/>
  <c r="AI120" i="5"/>
  <c r="AI121" i="5"/>
  <c r="AI122" i="5"/>
  <c r="AI123" i="5"/>
  <c r="AI124" i="5"/>
  <c r="AI125" i="5"/>
  <c r="AI126" i="5"/>
  <c r="AI127" i="5"/>
  <c r="AI128" i="5"/>
  <c r="AI129" i="5"/>
  <c r="AI130" i="5"/>
  <c r="AI133" i="5"/>
  <c r="AI134" i="5"/>
  <c r="AI135" i="5"/>
  <c r="AI139" i="5"/>
  <c r="AI140" i="5"/>
  <c r="AI141" i="5"/>
  <c r="AI142" i="5"/>
  <c r="AI143" i="5"/>
  <c r="AI144" i="5"/>
  <c r="E13" i="5"/>
  <c r="F13" i="5"/>
  <c r="I13" i="5"/>
  <c r="K13" i="5"/>
  <c r="L13" i="5"/>
  <c r="N13" i="5"/>
  <c r="O13" i="5"/>
  <c r="Q13" i="5"/>
  <c r="R13" i="5"/>
  <c r="T13" i="5"/>
  <c r="U13" i="5"/>
  <c r="W13" i="5"/>
  <c r="X13" i="5"/>
  <c r="Y13" i="5"/>
  <c r="Z13" i="5"/>
  <c r="AA13" i="5"/>
  <c r="AB13" i="5"/>
  <c r="AC13" i="5"/>
  <c r="AD13" i="5"/>
  <c r="AE13" i="5"/>
  <c r="AF13" i="5"/>
  <c r="AG13" i="5"/>
  <c r="AK13" i="5"/>
  <c r="AL13" i="5"/>
  <c r="AM13" i="5"/>
  <c r="AN13" i="5"/>
  <c r="AO13" i="5"/>
  <c r="E15" i="5"/>
  <c r="F15" i="5"/>
  <c r="I15" i="5"/>
  <c r="K15" i="5"/>
  <c r="L15" i="5"/>
  <c r="N15" i="5"/>
  <c r="Q15" i="5"/>
  <c r="R15" i="5"/>
  <c r="T15" i="5"/>
  <c r="U15" i="5"/>
  <c r="W15" i="5"/>
  <c r="X15" i="5"/>
  <c r="Z15" i="5"/>
  <c r="AA15" i="5"/>
  <c r="AB15" i="5"/>
  <c r="AC15" i="5"/>
  <c r="AE15" i="5"/>
  <c r="AF15" i="5"/>
  <c r="AG15" i="5"/>
  <c r="AH15" i="5"/>
  <c r="AJ15" i="5"/>
  <c r="AK15" i="5"/>
  <c r="AL15" i="5"/>
  <c r="AM15" i="5"/>
  <c r="AN15" i="5"/>
  <c r="E17" i="5"/>
  <c r="F17" i="5"/>
  <c r="J17" i="5"/>
  <c r="M17" i="5"/>
  <c r="O17" i="5"/>
  <c r="P17" i="5"/>
  <c r="R17" i="5"/>
  <c r="S17" i="5"/>
  <c r="U17" i="5"/>
  <c r="V17" i="5"/>
  <c r="X17" i="5"/>
  <c r="Y17" i="5"/>
  <c r="Z17" i="5"/>
  <c r="AA17" i="5"/>
  <c r="AB17" i="5"/>
  <c r="AD17" i="5"/>
  <c r="AE17" i="5"/>
  <c r="AF17" i="5"/>
  <c r="AG17" i="5"/>
  <c r="AH17" i="5"/>
  <c r="AJ17" i="5"/>
  <c r="AK17" i="5"/>
  <c r="AL17" i="5"/>
  <c r="AN17" i="5"/>
  <c r="AO17" i="5"/>
  <c r="E72" i="5"/>
  <c r="F72" i="5"/>
  <c r="G72" i="5"/>
  <c r="I72" i="5"/>
  <c r="J72" i="5"/>
  <c r="L72" i="5"/>
  <c r="M72" i="5"/>
  <c r="O72" i="5"/>
  <c r="P72" i="5"/>
  <c r="R72" i="5"/>
  <c r="T72" i="5"/>
  <c r="U72" i="5"/>
  <c r="W72" i="5"/>
  <c r="X72" i="5"/>
  <c r="Y72" i="5"/>
  <c r="Z72" i="5"/>
  <c r="AA72" i="5"/>
  <c r="AB72" i="5"/>
  <c r="AC72" i="5"/>
  <c r="AD72" i="5"/>
  <c r="AE72" i="5"/>
  <c r="AF72" i="5"/>
  <c r="AG72" i="5"/>
  <c r="AJ72" i="5"/>
  <c r="AK72" i="5"/>
  <c r="AL72" i="5"/>
  <c r="AM2" i="5"/>
  <c r="AM3" i="5"/>
  <c r="AM4" i="5"/>
  <c r="AM5" i="5"/>
  <c r="AM6" i="5"/>
  <c r="AM9" i="5"/>
  <c r="AM16" i="5"/>
  <c r="E18" i="5"/>
  <c r="F18" i="5"/>
  <c r="H18" i="5"/>
  <c r="I18" i="5"/>
  <c r="K18" i="5"/>
  <c r="L18" i="5"/>
  <c r="N18" i="5"/>
  <c r="O18" i="5"/>
  <c r="Q18" i="5"/>
  <c r="T18" i="5"/>
  <c r="U18" i="5"/>
  <c r="X18" i="5"/>
  <c r="Y18" i="5"/>
  <c r="Z18" i="5"/>
  <c r="AA18" i="5"/>
  <c r="AB18" i="5"/>
  <c r="AC18" i="5"/>
  <c r="AD18" i="5"/>
  <c r="AF18" i="5"/>
  <c r="AJ18" i="5"/>
  <c r="AK18" i="5"/>
  <c r="AN18" i="5"/>
  <c r="AO18" i="5"/>
  <c r="AM19" i="5"/>
  <c r="AM21" i="5"/>
  <c r="AM22" i="5"/>
  <c r="AM23" i="5"/>
  <c r="AM25" i="5"/>
  <c r="AM26" i="5"/>
  <c r="AM27" i="5"/>
  <c r="AM28" i="5"/>
  <c r="AM29" i="5"/>
  <c r="AM30" i="5"/>
  <c r="AM31" i="5"/>
  <c r="AM32" i="5"/>
  <c r="AM33" i="5"/>
  <c r="AM34" i="5"/>
  <c r="AM35" i="5"/>
  <c r="AM36" i="5"/>
  <c r="AM37" i="5"/>
  <c r="AM39" i="5"/>
  <c r="AM40" i="5"/>
  <c r="AM41" i="5"/>
  <c r="AM44" i="5"/>
  <c r="AM45" i="5"/>
  <c r="AM47" i="5"/>
  <c r="AM50" i="5"/>
  <c r="AM51" i="5"/>
  <c r="AM52" i="5"/>
  <c r="AM53" i="5"/>
  <c r="E53" i="5"/>
  <c r="F53" i="5"/>
  <c r="H53" i="5"/>
  <c r="I53" i="5"/>
  <c r="L53" i="5"/>
  <c r="N53" i="5"/>
  <c r="O53" i="5"/>
  <c r="Q53" i="5"/>
  <c r="R53" i="5"/>
  <c r="T53" i="5"/>
  <c r="W53" i="5"/>
  <c r="X53" i="5"/>
  <c r="Y53" i="5"/>
  <c r="Z53" i="5"/>
  <c r="AA53" i="5"/>
  <c r="AB53" i="5"/>
  <c r="AC53" i="5"/>
  <c r="AE53" i="5"/>
  <c r="AF53" i="5"/>
  <c r="AG53" i="5"/>
  <c r="AJ53" i="5"/>
  <c r="AK53" i="5"/>
  <c r="AL53" i="5"/>
  <c r="AN2" i="5"/>
  <c r="AN3" i="5"/>
  <c r="AN4" i="5"/>
  <c r="AN5" i="5"/>
  <c r="AN6" i="5"/>
  <c r="AN7" i="5"/>
  <c r="AN9" i="5"/>
  <c r="AN10" i="5"/>
  <c r="AN11" i="5"/>
  <c r="AN12" i="5"/>
  <c r="AN14" i="5"/>
  <c r="AN16" i="5"/>
  <c r="AN19" i="5"/>
  <c r="AN20" i="5"/>
  <c r="AN21" i="5"/>
  <c r="AN22" i="5"/>
  <c r="AN23" i="5"/>
  <c r="AN24" i="5"/>
  <c r="AN25" i="5"/>
  <c r="AN26" i="5"/>
  <c r="AN27" i="5"/>
  <c r="AN28" i="5"/>
  <c r="AN29" i="5"/>
  <c r="AN30" i="5"/>
  <c r="AN31" i="5"/>
  <c r="AN32" i="5"/>
  <c r="AN33" i="5"/>
  <c r="AN34" i="5"/>
  <c r="AN35" i="5"/>
  <c r="AN36" i="5"/>
  <c r="AN37" i="5"/>
  <c r="AN39" i="5"/>
  <c r="AN40" i="5"/>
  <c r="AN41" i="5"/>
  <c r="AN43" i="5"/>
  <c r="AN44" i="5"/>
  <c r="AN45" i="5"/>
  <c r="AN47" i="5"/>
  <c r="AN48" i="5"/>
  <c r="AN49" i="5"/>
  <c r="AN50" i="5"/>
  <c r="AN51" i="5"/>
  <c r="AN52" i="5"/>
  <c r="AN55" i="5"/>
  <c r="AN56" i="5"/>
  <c r="AN57" i="5"/>
  <c r="AN58" i="5"/>
  <c r="AN59" i="5"/>
  <c r="AN60" i="5"/>
  <c r="AN61" i="5"/>
  <c r="AN62" i="5"/>
  <c r="AN63" i="5"/>
  <c r="AN64" i="5"/>
  <c r="AN65" i="5"/>
  <c r="AN66" i="5"/>
  <c r="AN67" i="5"/>
  <c r="AN68" i="5"/>
  <c r="AN69" i="5"/>
  <c r="AN72" i="5"/>
  <c r="AN73" i="5"/>
  <c r="AN74" i="5"/>
  <c r="AN76" i="5"/>
  <c r="AN77" i="5"/>
  <c r="AN78" i="5"/>
  <c r="AN79" i="5"/>
  <c r="AN80" i="5"/>
  <c r="AN81" i="5"/>
  <c r="AN82" i="5"/>
  <c r="AN83" i="5"/>
  <c r="AN84" i="5"/>
  <c r="AN85" i="5"/>
  <c r="AN86" i="5"/>
  <c r="AN88" i="5"/>
  <c r="AN89" i="5"/>
  <c r="AN90" i="5"/>
  <c r="AN91" i="5"/>
  <c r="AN92" i="5"/>
  <c r="AN93" i="5"/>
  <c r="AN94" i="5"/>
  <c r="AN95" i="5"/>
  <c r="AN97" i="5"/>
  <c r="AN98" i="5"/>
  <c r="AN99" i="5"/>
  <c r="AN100" i="5"/>
  <c r="AN102" i="5"/>
  <c r="AN103" i="5"/>
  <c r="AN104" i="5"/>
  <c r="AN106" i="5"/>
  <c r="AN109" i="5"/>
  <c r="AN110" i="5"/>
  <c r="AN111" i="5"/>
  <c r="AN112" i="5"/>
  <c r="AN113" i="5"/>
  <c r="AN114" i="5"/>
  <c r="AN115" i="5"/>
  <c r="AN116" i="5"/>
  <c r="AN117" i="5"/>
  <c r="AN118" i="5"/>
  <c r="AN119" i="5"/>
  <c r="AN120" i="5"/>
  <c r="AN121" i="5"/>
  <c r="AN122" i="5"/>
  <c r="AN123" i="5"/>
  <c r="AN124" i="5"/>
  <c r="AN126" i="5"/>
  <c r="AN127" i="5"/>
  <c r="AN128" i="5"/>
  <c r="AN129" i="5"/>
  <c r="AN130" i="5"/>
  <c r="AN132" i="5"/>
  <c r="AN133" i="5"/>
  <c r="AN134" i="5"/>
  <c r="AN135" i="5"/>
  <c r="AN138" i="5"/>
  <c r="AN139" i="5"/>
  <c r="AN140" i="5"/>
  <c r="AN141" i="5"/>
  <c r="AN142" i="5"/>
  <c r="AN143" i="5"/>
  <c r="AN144" i="5"/>
  <c r="E2" i="5"/>
  <c r="E3" i="5"/>
  <c r="E4" i="5"/>
  <c r="E5" i="5"/>
  <c r="E6" i="5"/>
  <c r="E7" i="5"/>
  <c r="E9" i="5"/>
  <c r="E10" i="5"/>
  <c r="E11" i="5"/>
  <c r="E12" i="5"/>
  <c r="E14" i="5"/>
  <c r="E16" i="5"/>
  <c r="E19" i="5"/>
  <c r="E20" i="5"/>
  <c r="E21" i="5"/>
  <c r="E22" i="5"/>
  <c r="E23" i="5"/>
  <c r="E24" i="5"/>
  <c r="E25" i="5"/>
  <c r="E26" i="5"/>
  <c r="E27" i="5"/>
  <c r="E28" i="5"/>
  <c r="E29" i="5"/>
  <c r="E30" i="5"/>
  <c r="E31" i="5"/>
  <c r="E32" i="5"/>
  <c r="E33" i="5"/>
  <c r="E34" i="5"/>
  <c r="E35" i="5"/>
  <c r="E36" i="5"/>
  <c r="E37" i="5"/>
  <c r="E39" i="5"/>
  <c r="E40" i="5"/>
  <c r="E41" i="5"/>
  <c r="E43" i="5"/>
  <c r="E44" i="5"/>
  <c r="E45" i="5"/>
  <c r="E47" i="5"/>
  <c r="E48" i="5"/>
  <c r="E49" i="5"/>
  <c r="E50" i="5"/>
  <c r="E51" i="5"/>
  <c r="E52" i="5"/>
  <c r="E55" i="5"/>
  <c r="E56" i="5"/>
  <c r="E57" i="5"/>
  <c r="E58" i="5"/>
  <c r="E59" i="5"/>
  <c r="E60" i="5"/>
  <c r="E61" i="5"/>
  <c r="E62" i="5"/>
  <c r="E63" i="5"/>
  <c r="E64" i="5"/>
  <c r="E65" i="5"/>
  <c r="E66" i="5"/>
  <c r="E67" i="5"/>
  <c r="E68" i="5"/>
  <c r="E69" i="5"/>
  <c r="E73" i="5"/>
  <c r="E74" i="5"/>
  <c r="E76" i="5"/>
  <c r="E77" i="5"/>
  <c r="E78" i="5"/>
  <c r="E79" i="5"/>
  <c r="E80" i="5"/>
  <c r="E81" i="5"/>
  <c r="E82" i="5"/>
  <c r="E83" i="5"/>
  <c r="E84" i="5"/>
  <c r="E85" i="5"/>
  <c r="E86" i="5"/>
  <c r="E88" i="5"/>
  <c r="E89" i="5"/>
  <c r="E90" i="5"/>
  <c r="E91" i="5"/>
  <c r="E92" i="5"/>
  <c r="E93" i="5"/>
  <c r="E94" i="5"/>
  <c r="E95" i="5"/>
  <c r="E96" i="5"/>
  <c r="E97" i="5"/>
  <c r="E98" i="5"/>
  <c r="E99" i="5"/>
  <c r="E100" i="5"/>
  <c r="E101" i="5"/>
  <c r="E102" i="5"/>
  <c r="E103" i="5"/>
  <c r="E104" i="5"/>
  <c r="E106" i="5"/>
  <c r="E109" i="5"/>
  <c r="E110" i="5"/>
  <c r="E111" i="5"/>
  <c r="E112" i="5"/>
  <c r="E113" i="5"/>
  <c r="E114" i="5"/>
  <c r="E115" i="5"/>
  <c r="E116" i="5"/>
  <c r="E117" i="5"/>
  <c r="E118" i="5"/>
  <c r="E119" i="5"/>
  <c r="E120" i="5"/>
  <c r="E121" i="5"/>
  <c r="E122" i="5"/>
  <c r="E123" i="5"/>
  <c r="E124" i="5"/>
  <c r="E125" i="5"/>
  <c r="E126" i="5"/>
  <c r="E127" i="5"/>
  <c r="E128" i="5"/>
  <c r="E129" i="5"/>
  <c r="E130" i="5"/>
  <c r="E132" i="5"/>
  <c r="E133" i="5"/>
  <c r="E134" i="5"/>
  <c r="E135" i="5"/>
  <c r="E138" i="5"/>
  <c r="E139" i="5"/>
  <c r="E140" i="5"/>
  <c r="E141" i="5"/>
  <c r="E142" i="5"/>
  <c r="E143" i="5"/>
  <c r="E144" i="5"/>
  <c r="F2" i="5"/>
  <c r="F3" i="5"/>
  <c r="F4" i="5"/>
  <c r="F5" i="5"/>
  <c r="F6" i="5"/>
  <c r="F7" i="5"/>
  <c r="F9" i="5"/>
  <c r="F11" i="5"/>
  <c r="F12" i="5"/>
  <c r="F14" i="5"/>
  <c r="F20" i="5"/>
  <c r="F21" i="5"/>
  <c r="F22" i="5"/>
  <c r="F23" i="5"/>
  <c r="F24" i="5"/>
  <c r="F25" i="5"/>
  <c r="F26" i="5"/>
  <c r="F27" i="5"/>
  <c r="F28" i="5"/>
  <c r="F29" i="5"/>
  <c r="F30" i="5"/>
  <c r="F31" i="5"/>
  <c r="F32" i="5"/>
  <c r="F36" i="5"/>
  <c r="F37" i="5"/>
  <c r="F39" i="5"/>
  <c r="F40" i="5"/>
  <c r="F41" i="5"/>
  <c r="F44" i="5"/>
  <c r="F45" i="5"/>
  <c r="F49" i="5"/>
  <c r="F50" i="5"/>
  <c r="F51" i="5"/>
  <c r="F55" i="5"/>
  <c r="F56" i="5"/>
  <c r="F57" i="5"/>
  <c r="F58" i="5"/>
  <c r="F59" i="5"/>
  <c r="F60" i="5"/>
  <c r="F61" i="5"/>
  <c r="F62" i="5"/>
  <c r="F63" i="5"/>
  <c r="F64" i="5"/>
  <c r="F65" i="5"/>
  <c r="F66" i="5"/>
  <c r="F68" i="5"/>
  <c r="F76" i="5"/>
  <c r="F77" i="5"/>
  <c r="F78" i="5"/>
  <c r="F79" i="5"/>
  <c r="F81" i="5"/>
  <c r="F82" i="5"/>
  <c r="F86" i="5"/>
  <c r="F89" i="5"/>
  <c r="F90" i="5"/>
  <c r="F91" i="5"/>
  <c r="F93" i="5"/>
  <c r="F94" i="5"/>
  <c r="F96" i="5"/>
  <c r="F97" i="5"/>
  <c r="F98" i="5"/>
  <c r="F99" i="5"/>
  <c r="F101" i="5"/>
  <c r="F103" i="5"/>
  <c r="F106" i="5"/>
  <c r="F109" i="5"/>
  <c r="F110" i="5"/>
  <c r="F111" i="5"/>
  <c r="F112" i="5"/>
  <c r="F113" i="5"/>
  <c r="F116" i="5"/>
  <c r="F117" i="5"/>
  <c r="F118" i="5"/>
  <c r="F119" i="5"/>
  <c r="F120" i="5"/>
  <c r="F122" i="5"/>
  <c r="F123" i="5"/>
  <c r="F124" i="5"/>
  <c r="F128" i="5"/>
  <c r="F129" i="5"/>
  <c r="F130" i="5"/>
  <c r="F133" i="5"/>
  <c r="F134" i="5"/>
  <c r="F135" i="5"/>
  <c r="F138" i="5"/>
  <c r="F139" i="5"/>
  <c r="F140" i="5"/>
  <c r="F141" i="5"/>
  <c r="F142" i="5"/>
  <c r="F143" i="5"/>
  <c r="G2" i="5"/>
  <c r="G3" i="5"/>
  <c r="G4" i="5"/>
  <c r="G5" i="5"/>
  <c r="G6" i="5"/>
  <c r="G9" i="5"/>
  <c r="G10" i="5"/>
  <c r="G12" i="5"/>
  <c r="G14" i="5"/>
  <c r="G16" i="5"/>
  <c r="G19" i="5"/>
  <c r="G20" i="5"/>
  <c r="G22" i="5"/>
  <c r="G23" i="5"/>
  <c r="G24" i="5"/>
  <c r="G25" i="5"/>
  <c r="G26" i="5"/>
  <c r="G27" i="5"/>
  <c r="G28" i="5"/>
  <c r="G29" i="5"/>
  <c r="G30" i="5"/>
  <c r="G31" i="5"/>
  <c r="G33" i="5"/>
  <c r="G34" i="5"/>
  <c r="G35" i="5"/>
  <c r="G37" i="5"/>
  <c r="G39" i="5"/>
  <c r="G40" i="5"/>
  <c r="G41" i="5"/>
  <c r="G43" i="5"/>
  <c r="G45" i="5"/>
  <c r="G47" i="5"/>
  <c r="G48" i="5"/>
  <c r="G49" i="5"/>
  <c r="G50" i="5"/>
  <c r="G51" i="5"/>
  <c r="G52" i="5"/>
  <c r="G55" i="5"/>
  <c r="G56" i="5"/>
  <c r="G57" i="5"/>
  <c r="G58" i="5"/>
  <c r="G59" i="5"/>
  <c r="G62" i="5"/>
  <c r="G64" i="5"/>
  <c r="G66" i="5"/>
  <c r="G67" i="5"/>
  <c r="G68" i="5"/>
  <c r="G69" i="5"/>
  <c r="G73" i="5"/>
  <c r="G74" i="5"/>
  <c r="G76" i="5"/>
  <c r="G77" i="5"/>
  <c r="G78" i="5"/>
  <c r="G79" i="5"/>
  <c r="G82" i="5"/>
  <c r="G83" i="5"/>
  <c r="G84" i="5"/>
  <c r="G85" i="5"/>
  <c r="G86" i="5"/>
  <c r="G88" i="5"/>
  <c r="G89" i="5"/>
  <c r="G90" i="5"/>
  <c r="G92" i="5"/>
  <c r="G93" i="5"/>
  <c r="G95" i="5"/>
  <c r="G96" i="5"/>
  <c r="G97" i="5"/>
  <c r="G98" i="5"/>
  <c r="G103" i="5"/>
  <c r="G104" i="5"/>
  <c r="G106" i="5"/>
  <c r="G109" i="5"/>
  <c r="G110" i="5"/>
  <c r="G111" i="5"/>
  <c r="G113" i="5"/>
  <c r="G114" i="5"/>
  <c r="G115" i="5"/>
  <c r="G116" i="5"/>
  <c r="G117" i="5"/>
  <c r="G118" i="5"/>
  <c r="G119" i="5"/>
  <c r="G120" i="5"/>
  <c r="G121" i="5"/>
  <c r="G122" i="5"/>
  <c r="G124" i="5"/>
  <c r="G125" i="5"/>
  <c r="G126" i="5"/>
  <c r="G127" i="5"/>
  <c r="G128" i="5"/>
  <c r="G129" i="5"/>
  <c r="G132" i="5"/>
  <c r="G134" i="5"/>
  <c r="G135" i="5"/>
  <c r="G138" i="5"/>
  <c r="G139" i="5"/>
  <c r="G140" i="5"/>
  <c r="G141" i="5"/>
  <c r="G142" i="5"/>
  <c r="G143" i="5"/>
  <c r="G144" i="5"/>
  <c r="H2" i="5"/>
  <c r="H3" i="5"/>
  <c r="H4" i="5"/>
  <c r="H5" i="5"/>
  <c r="H6" i="5"/>
  <c r="H7" i="5"/>
  <c r="H9" i="5"/>
  <c r="H10" i="5"/>
  <c r="H11" i="5"/>
  <c r="H14" i="5"/>
  <c r="H16" i="5"/>
  <c r="H19" i="5"/>
  <c r="H20" i="5"/>
  <c r="H21" i="5"/>
  <c r="H22" i="5"/>
  <c r="H23" i="5"/>
  <c r="H25" i="5"/>
  <c r="H26" i="5"/>
  <c r="H27" i="5"/>
  <c r="H28" i="5"/>
  <c r="H29" i="5"/>
  <c r="H30" i="5"/>
  <c r="H31" i="5"/>
  <c r="H33" i="5"/>
  <c r="H36" i="5"/>
  <c r="H39" i="5"/>
  <c r="H41" i="5"/>
  <c r="H44" i="5"/>
  <c r="H45" i="5"/>
  <c r="H47" i="5"/>
  <c r="H50" i="5"/>
  <c r="H51" i="5"/>
  <c r="H55" i="5"/>
  <c r="H56" i="5"/>
  <c r="H57" i="5"/>
  <c r="H58" i="5"/>
  <c r="H59" i="5"/>
  <c r="H61" i="5"/>
  <c r="H62" i="5"/>
  <c r="H63" i="5"/>
  <c r="H64" i="5"/>
  <c r="H68" i="5"/>
  <c r="H69" i="5"/>
  <c r="H76" i="5"/>
  <c r="H78" i="5"/>
  <c r="H79" i="5"/>
  <c r="H80" i="5"/>
  <c r="H81" i="5"/>
  <c r="H82" i="5"/>
  <c r="H83" i="5"/>
  <c r="H88" i="5"/>
  <c r="H90" i="5"/>
  <c r="H91" i="5"/>
  <c r="H92" i="5"/>
  <c r="H93" i="5"/>
  <c r="H94" i="5"/>
  <c r="H95" i="5"/>
  <c r="H96" i="5"/>
  <c r="H97" i="5"/>
  <c r="H99" i="5"/>
  <c r="H100" i="5"/>
  <c r="H101" i="5"/>
  <c r="H102" i="5"/>
  <c r="H103" i="5"/>
  <c r="H104" i="5"/>
  <c r="H106" i="5"/>
  <c r="H109" i="5"/>
  <c r="H110" i="5"/>
  <c r="H111" i="5"/>
  <c r="H112" i="5"/>
  <c r="H113" i="5"/>
  <c r="H114" i="5"/>
  <c r="H115" i="5"/>
  <c r="H116" i="5"/>
  <c r="H118" i="5"/>
  <c r="H119" i="5"/>
  <c r="H120" i="5"/>
  <c r="H121" i="5"/>
  <c r="H122" i="5"/>
  <c r="H123" i="5"/>
  <c r="H124" i="5"/>
  <c r="H125" i="5"/>
  <c r="H126" i="5"/>
  <c r="H127" i="5"/>
  <c r="H128" i="5"/>
  <c r="H129" i="5"/>
  <c r="H130" i="5"/>
  <c r="H132" i="5"/>
  <c r="H133" i="5"/>
  <c r="H134" i="5"/>
  <c r="H135" i="5"/>
  <c r="H139" i="5"/>
  <c r="H140" i="5"/>
  <c r="H141" i="5"/>
  <c r="H143" i="5"/>
  <c r="H144" i="5"/>
  <c r="I2" i="5"/>
  <c r="I3" i="5"/>
  <c r="I4" i="5"/>
  <c r="I5" i="5"/>
  <c r="I6" i="5"/>
  <c r="I7" i="5"/>
  <c r="I9" i="5"/>
  <c r="I11" i="5"/>
  <c r="I12" i="5"/>
  <c r="I14" i="5"/>
  <c r="I20" i="5"/>
  <c r="I21" i="5"/>
  <c r="I22" i="5"/>
  <c r="I23" i="5"/>
  <c r="I24" i="5"/>
  <c r="I25" i="5"/>
  <c r="I26" i="5"/>
  <c r="I27" i="5"/>
  <c r="I28" i="5"/>
  <c r="I29" i="5"/>
  <c r="I30" i="5"/>
  <c r="I31" i="5"/>
  <c r="I34" i="5"/>
  <c r="I36" i="5"/>
  <c r="I39" i="5"/>
  <c r="I40" i="5"/>
  <c r="I41" i="5"/>
  <c r="I43" i="5"/>
  <c r="I44" i="5"/>
  <c r="I45" i="5"/>
  <c r="I48" i="5"/>
  <c r="I49" i="5"/>
  <c r="I50" i="5"/>
  <c r="I51" i="5"/>
  <c r="I52" i="5"/>
  <c r="I55" i="5"/>
  <c r="I56" i="5"/>
  <c r="I57" i="5"/>
  <c r="I58" i="5"/>
  <c r="I59" i="5"/>
  <c r="I61" i="5"/>
  <c r="I62" i="5"/>
  <c r="I63" i="5"/>
  <c r="I64" i="5"/>
  <c r="I65" i="5"/>
  <c r="I66" i="5"/>
  <c r="I68" i="5"/>
  <c r="I74" i="5"/>
  <c r="I76" i="5"/>
  <c r="I77" i="5"/>
  <c r="I78" i="5"/>
  <c r="I79" i="5"/>
  <c r="I81" i="5"/>
  <c r="I82" i="5"/>
  <c r="I83" i="5"/>
  <c r="I84" i="5"/>
  <c r="I86" i="5"/>
  <c r="I89" i="5"/>
  <c r="I90" i="5"/>
  <c r="I91" i="5"/>
  <c r="I93" i="5"/>
  <c r="I94" i="5"/>
  <c r="I96" i="5"/>
  <c r="I97" i="5"/>
  <c r="I98" i="5"/>
  <c r="I99" i="5"/>
  <c r="I100" i="5"/>
  <c r="I101" i="5"/>
  <c r="I102" i="5"/>
  <c r="I103" i="5"/>
  <c r="I106" i="5"/>
  <c r="I109" i="5"/>
  <c r="I110" i="5"/>
  <c r="I111" i="5"/>
  <c r="I112" i="5"/>
  <c r="I113" i="5"/>
  <c r="I115" i="5"/>
  <c r="I116" i="5"/>
  <c r="I117" i="5"/>
  <c r="I118" i="5"/>
  <c r="I119" i="5"/>
  <c r="I120" i="5"/>
  <c r="I122" i="5"/>
  <c r="I123" i="5"/>
  <c r="I124" i="5"/>
  <c r="I125" i="5"/>
  <c r="I128" i="5"/>
  <c r="I129" i="5"/>
  <c r="I130" i="5"/>
  <c r="I133" i="5"/>
  <c r="I134" i="5"/>
  <c r="I135" i="5"/>
  <c r="I138" i="5"/>
  <c r="I139" i="5"/>
  <c r="I140" i="5"/>
  <c r="I141" i="5"/>
  <c r="I142" i="5"/>
  <c r="I143" i="5"/>
  <c r="J2" i="5"/>
  <c r="J3" i="5"/>
  <c r="J4" i="5"/>
  <c r="J5" i="5"/>
  <c r="J6" i="5"/>
  <c r="J9" i="5"/>
  <c r="J10" i="5"/>
  <c r="J12" i="5"/>
  <c r="J14" i="5"/>
  <c r="J16" i="5"/>
  <c r="J19" i="5"/>
  <c r="J20" i="5"/>
  <c r="J21" i="5"/>
  <c r="J22" i="5"/>
  <c r="J23" i="5"/>
  <c r="J25" i="5"/>
  <c r="J26" i="5"/>
  <c r="J27" i="5"/>
  <c r="J28" i="5"/>
  <c r="J29" i="5"/>
  <c r="J30" i="5"/>
  <c r="J31" i="5"/>
  <c r="J32" i="5"/>
  <c r="J33" i="5"/>
  <c r="J34" i="5"/>
  <c r="J35" i="5"/>
  <c r="J37" i="5"/>
  <c r="J39" i="5"/>
  <c r="J40" i="5"/>
  <c r="J41" i="5"/>
  <c r="J43" i="5"/>
  <c r="J45" i="5"/>
  <c r="J47" i="5"/>
  <c r="J48" i="5"/>
  <c r="J50" i="5"/>
  <c r="J51" i="5"/>
  <c r="J52" i="5"/>
  <c r="J55" i="5"/>
  <c r="J56" i="5"/>
  <c r="J57" i="5"/>
  <c r="J58" i="5"/>
  <c r="J59" i="5"/>
  <c r="J60" i="5"/>
  <c r="J62" i="5"/>
  <c r="J64" i="5"/>
  <c r="J66" i="5"/>
  <c r="J67" i="5"/>
  <c r="J68" i="5"/>
  <c r="J69" i="5"/>
  <c r="J73" i="5"/>
  <c r="J74" i="5"/>
  <c r="J76" i="5"/>
  <c r="J77" i="5"/>
  <c r="J78" i="5"/>
  <c r="J79" i="5"/>
  <c r="J80" i="5"/>
  <c r="J82" i="5"/>
  <c r="J83" i="5"/>
  <c r="J84" i="5"/>
  <c r="J85" i="5"/>
  <c r="J86" i="5"/>
  <c r="J88" i="5"/>
  <c r="J89" i="5"/>
  <c r="J90" i="5"/>
  <c r="J92" i="5"/>
  <c r="J93" i="5"/>
  <c r="J95" i="5"/>
  <c r="J96" i="5"/>
  <c r="J97" i="5"/>
  <c r="J98" i="5"/>
  <c r="J101" i="5"/>
  <c r="J103" i="5"/>
  <c r="J104" i="5"/>
  <c r="J106" i="5"/>
  <c r="J109" i="5"/>
  <c r="J110" i="5"/>
  <c r="J111" i="5"/>
  <c r="J113" i="5"/>
  <c r="J114" i="5"/>
  <c r="J115" i="5"/>
  <c r="J116" i="5"/>
  <c r="J117" i="5"/>
  <c r="J118" i="5"/>
  <c r="J119" i="5"/>
  <c r="J120" i="5"/>
  <c r="J121" i="5"/>
  <c r="J122" i="5"/>
  <c r="J124" i="5"/>
  <c r="J125" i="5"/>
  <c r="J127" i="5"/>
  <c r="J128" i="5"/>
  <c r="J132" i="5"/>
  <c r="J134" i="5"/>
  <c r="J135" i="5"/>
  <c r="J138" i="5"/>
  <c r="J139" i="5"/>
  <c r="J140" i="5"/>
  <c r="J141" i="5"/>
  <c r="J142" i="5"/>
  <c r="J143" i="5"/>
  <c r="J144" i="5"/>
  <c r="K2" i="5"/>
  <c r="K3" i="5"/>
  <c r="K4" i="5"/>
  <c r="K5" i="5"/>
  <c r="K6" i="5"/>
  <c r="K7" i="5"/>
  <c r="K9" i="5"/>
  <c r="K10" i="5"/>
  <c r="K11" i="5"/>
  <c r="K14" i="5"/>
  <c r="K16" i="5"/>
  <c r="K19" i="5"/>
  <c r="K20" i="5"/>
  <c r="K21" i="5"/>
  <c r="K22" i="5"/>
  <c r="K23" i="5"/>
  <c r="K25" i="5"/>
  <c r="K26" i="5"/>
  <c r="K27" i="5"/>
  <c r="K28" i="5"/>
  <c r="K29" i="5"/>
  <c r="K30" i="5"/>
  <c r="K31" i="5"/>
  <c r="K33" i="5"/>
  <c r="K35" i="5"/>
  <c r="K36" i="5"/>
  <c r="K37" i="5"/>
  <c r="K39" i="5"/>
  <c r="K41" i="5"/>
  <c r="K44" i="5"/>
  <c r="K45" i="5"/>
  <c r="K47" i="5"/>
  <c r="K49" i="5"/>
  <c r="K50" i="5"/>
  <c r="K51" i="5"/>
  <c r="K55" i="5"/>
  <c r="K56" i="5"/>
  <c r="K57" i="5"/>
  <c r="K58" i="5"/>
  <c r="K59" i="5"/>
  <c r="K61" i="5"/>
  <c r="K62" i="5"/>
  <c r="K63" i="5"/>
  <c r="K64" i="5"/>
  <c r="K66" i="5"/>
  <c r="K68" i="5"/>
  <c r="K69" i="5"/>
  <c r="K73" i="5"/>
  <c r="K76" i="5"/>
  <c r="K78" i="5"/>
  <c r="K79" i="5"/>
  <c r="K80" i="5"/>
  <c r="K81" i="5"/>
  <c r="K82" i="5"/>
  <c r="K83" i="5"/>
  <c r="K85" i="5"/>
  <c r="K88" i="5"/>
  <c r="K90" i="5"/>
  <c r="K91" i="5"/>
  <c r="K92" i="5"/>
  <c r="K93" i="5"/>
  <c r="K94" i="5"/>
  <c r="K95" i="5"/>
  <c r="K97" i="5"/>
  <c r="K99" i="5"/>
  <c r="K100" i="5"/>
  <c r="K102" i="5"/>
  <c r="K103" i="5"/>
  <c r="K104" i="5"/>
  <c r="K106" i="5"/>
  <c r="K109" i="5"/>
  <c r="K110" i="5"/>
  <c r="K111" i="5"/>
  <c r="K113" i="5"/>
  <c r="K116" i="5"/>
  <c r="K118" i="5"/>
  <c r="K119" i="5"/>
  <c r="K120" i="5"/>
  <c r="K121" i="5"/>
  <c r="K122" i="5"/>
  <c r="K123" i="5"/>
  <c r="K124" i="5"/>
  <c r="K125" i="5"/>
  <c r="K126" i="5"/>
  <c r="K127" i="5"/>
  <c r="K128" i="5"/>
  <c r="K129" i="5"/>
  <c r="K130" i="5"/>
  <c r="K132" i="5"/>
  <c r="K133" i="5"/>
  <c r="K135" i="5"/>
  <c r="K139" i="5"/>
  <c r="K140" i="5"/>
  <c r="K141" i="5"/>
  <c r="K144" i="5"/>
  <c r="L2" i="5"/>
  <c r="L3" i="5"/>
  <c r="L4" i="5"/>
  <c r="L5" i="5"/>
  <c r="L6" i="5"/>
  <c r="L7" i="5"/>
  <c r="L9" i="5"/>
  <c r="L12" i="5"/>
  <c r="L14" i="5"/>
  <c r="L16" i="5"/>
  <c r="L19" i="5"/>
  <c r="L20" i="5"/>
  <c r="L21" i="5"/>
  <c r="L22" i="5"/>
  <c r="L23" i="5"/>
  <c r="L24" i="5"/>
  <c r="L25" i="5"/>
  <c r="L26" i="5"/>
  <c r="L27" i="5"/>
  <c r="L28" i="5"/>
  <c r="L29" i="5"/>
  <c r="L30" i="5"/>
  <c r="L31" i="5"/>
  <c r="L34" i="5"/>
  <c r="L36" i="5"/>
  <c r="L37" i="5"/>
  <c r="L39" i="5"/>
  <c r="L40" i="5"/>
  <c r="L41" i="5"/>
  <c r="L43" i="5"/>
  <c r="L44" i="5"/>
  <c r="L45" i="5"/>
  <c r="L48" i="5"/>
  <c r="L49" i="5"/>
  <c r="L50" i="5"/>
  <c r="L52" i="5"/>
  <c r="L55" i="5"/>
  <c r="L56" i="5"/>
  <c r="L57" i="5"/>
  <c r="L58" i="5"/>
  <c r="L59" i="5"/>
  <c r="L60" i="5"/>
  <c r="L62" i="5"/>
  <c r="L63" i="5"/>
  <c r="L64" i="5"/>
  <c r="L66" i="5"/>
  <c r="L67" i="5"/>
  <c r="L68" i="5"/>
  <c r="L74" i="5"/>
  <c r="L76" i="5"/>
  <c r="L77" i="5"/>
  <c r="L78" i="5"/>
  <c r="L79" i="5"/>
  <c r="L82" i="5"/>
  <c r="L83" i="5"/>
  <c r="L84" i="5"/>
  <c r="L86" i="5"/>
  <c r="L89" i="5"/>
  <c r="L90" i="5"/>
  <c r="L91" i="5"/>
  <c r="L93" i="5"/>
  <c r="L95" i="5"/>
  <c r="L96" i="5"/>
  <c r="L97" i="5"/>
  <c r="L98" i="5"/>
  <c r="L99" i="5"/>
  <c r="L100" i="5"/>
  <c r="L101" i="5"/>
  <c r="L102" i="5"/>
  <c r="L103" i="5"/>
  <c r="L106" i="5"/>
  <c r="L109" i="5"/>
  <c r="L110" i="5"/>
  <c r="L111" i="5"/>
  <c r="L112" i="5"/>
  <c r="L113" i="5"/>
  <c r="L114" i="5"/>
  <c r="L116" i="5"/>
  <c r="L117" i="5"/>
  <c r="L118" i="5"/>
  <c r="L120" i="5"/>
  <c r="L122" i="5"/>
  <c r="L123" i="5"/>
  <c r="L124" i="5"/>
  <c r="L127" i="5"/>
  <c r="L129" i="5"/>
  <c r="L130" i="5"/>
  <c r="L133" i="5"/>
  <c r="L134" i="5"/>
  <c r="L138" i="5"/>
  <c r="L139" i="5"/>
  <c r="L140" i="5"/>
  <c r="L141" i="5"/>
  <c r="L143" i="5"/>
  <c r="M2" i="5"/>
  <c r="M3" i="5"/>
  <c r="M4" i="5"/>
  <c r="M5" i="5"/>
  <c r="M6" i="5"/>
  <c r="M9" i="5"/>
  <c r="M10" i="5"/>
  <c r="M11" i="5"/>
  <c r="M12" i="5"/>
  <c r="M14" i="5"/>
  <c r="M16" i="5"/>
  <c r="M19" i="5"/>
  <c r="M20" i="5"/>
  <c r="M21" i="5"/>
  <c r="M22" i="5"/>
  <c r="M23" i="5"/>
  <c r="M24" i="5"/>
  <c r="M25" i="5"/>
  <c r="M26" i="5"/>
  <c r="M27" i="5"/>
  <c r="M28" i="5"/>
  <c r="M29" i="5"/>
  <c r="M30" i="5"/>
  <c r="M31" i="5"/>
  <c r="M32" i="5"/>
  <c r="M33" i="5"/>
  <c r="M34" i="5"/>
  <c r="M35" i="5"/>
  <c r="M37" i="5"/>
  <c r="M39" i="5"/>
  <c r="M40" i="5"/>
  <c r="M41" i="5"/>
  <c r="M43" i="5"/>
  <c r="M45" i="5"/>
  <c r="M47" i="5"/>
  <c r="M48" i="5"/>
  <c r="M49" i="5"/>
  <c r="M50" i="5"/>
  <c r="M51" i="5"/>
  <c r="M55" i="5"/>
  <c r="M56" i="5"/>
  <c r="M57" i="5"/>
  <c r="M58" i="5"/>
  <c r="M59" i="5"/>
  <c r="M60" i="5"/>
  <c r="M62" i="5"/>
  <c r="M64" i="5"/>
  <c r="M65" i="5"/>
  <c r="M66" i="5"/>
  <c r="M67" i="5"/>
  <c r="M68" i="5"/>
  <c r="M69" i="5"/>
  <c r="M73" i="5"/>
  <c r="M74" i="5"/>
  <c r="M76" i="5"/>
  <c r="M77" i="5"/>
  <c r="M78" i="5"/>
  <c r="M79" i="5"/>
  <c r="M80" i="5"/>
  <c r="M82" i="5"/>
  <c r="M83" i="5"/>
  <c r="M84" i="5"/>
  <c r="M85" i="5"/>
  <c r="M86" i="5"/>
  <c r="M88" i="5"/>
  <c r="M89" i="5"/>
  <c r="M90" i="5"/>
  <c r="M92" i="5"/>
  <c r="M93" i="5"/>
  <c r="M96" i="5"/>
  <c r="M97" i="5"/>
  <c r="M101" i="5"/>
  <c r="M103" i="5"/>
  <c r="M104" i="5"/>
  <c r="M106" i="5"/>
  <c r="M110" i="5"/>
  <c r="M111" i="5"/>
  <c r="M113" i="5"/>
  <c r="M115" i="5"/>
  <c r="M116" i="5"/>
  <c r="M118" i="5"/>
  <c r="M119" i="5"/>
  <c r="M120" i="5"/>
  <c r="M121" i="5"/>
  <c r="M122" i="5"/>
  <c r="M124" i="5"/>
  <c r="M125" i="5"/>
  <c r="M126" i="5"/>
  <c r="M127" i="5"/>
  <c r="M128" i="5"/>
  <c r="M132" i="5"/>
  <c r="M134" i="5"/>
  <c r="M135" i="5"/>
  <c r="M138" i="5"/>
  <c r="M139" i="5"/>
  <c r="M140" i="5"/>
  <c r="M141" i="5"/>
  <c r="M142" i="5"/>
  <c r="M143" i="5"/>
  <c r="M144" i="5"/>
  <c r="N2" i="5"/>
  <c r="N3" i="5"/>
  <c r="N4" i="5"/>
  <c r="N5" i="5"/>
  <c r="N6" i="5"/>
  <c r="N7" i="5"/>
  <c r="N9" i="5"/>
  <c r="N10" i="5"/>
  <c r="N11" i="5"/>
  <c r="N14" i="5"/>
  <c r="N16" i="5"/>
  <c r="N20" i="5"/>
  <c r="N21" i="5"/>
  <c r="N22" i="5"/>
  <c r="N23" i="5"/>
  <c r="N25" i="5"/>
  <c r="N26" i="5"/>
  <c r="N27" i="5"/>
  <c r="N28" i="5"/>
  <c r="N29" i="5"/>
  <c r="N30" i="5"/>
  <c r="N31" i="5"/>
  <c r="N32" i="5"/>
  <c r="N33" i="5"/>
  <c r="N35" i="5"/>
  <c r="N36" i="5"/>
  <c r="N37" i="5"/>
  <c r="N39" i="5"/>
  <c r="N41" i="5"/>
  <c r="N44" i="5"/>
  <c r="N45" i="5"/>
  <c r="N47" i="5"/>
  <c r="N49" i="5"/>
  <c r="N50" i="5"/>
  <c r="N51" i="5"/>
  <c r="N55" i="5"/>
  <c r="N56" i="5"/>
  <c r="N57" i="5"/>
  <c r="N58" i="5"/>
  <c r="N59" i="5"/>
  <c r="N61" i="5"/>
  <c r="N62" i="5"/>
  <c r="N63" i="5"/>
  <c r="N64" i="5"/>
  <c r="N65" i="5"/>
  <c r="N66" i="5"/>
  <c r="N68" i="5"/>
  <c r="N69" i="5"/>
  <c r="N73" i="5"/>
  <c r="N76" i="5"/>
  <c r="N78" i="5"/>
  <c r="N79" i="5"/>
  <c r="N80" i="5"/>
  <c r="N81" i="5"/>
  <c r="N82" i="5"/>
  <c r="N83" i="5"/>
  <c r="N84" i="5"/>
  <c r="N85" i="5"/>
  <c r="N88" i="5"/>
  <c r="N90" i="5"/>
  <c r="N92" i="5"/>
  <c r="N93" i="5"/>
  <c r="N94" i="5"/>
  <c r="N95" i="5"/>
  <c r="N97" i="5"/>
  <c r="N99" i="5"/>
  <c r="N100" i="5"/>
  <c r="N102" i="5"/>
  <c r="N103" i="5"/>
  <c r="N106" i="5"/>
  <c r="N109" i="5"/>
  <c r="N110" i="5"/>
  <c r="N111" i="5"/>
  <c r="N112" i="5"/>
  <c r="N113" i="5"/>
  <c r="N114" i="5"/>
  <c r="N115" i="5"/>
  <c r="N116" i="5"/>
  <c r="N117" i="5"/>
  <c r="N118" i="5"/>
  <c r="N119" i="5"/>
  <c r="N120" i="5"/>
  <c r="N122" i="5"/>
  <c r="N123" i="5"/>
  <c r="N124" i="5"/>
  <c r="N125" i="5"/>
  <c r="N126" i="5"/>
  <c r="N127" i="5"/>
  <c r="N128" i="5"/>
  <c r="N129" i="5"/>
  <c r="N130" i="5"/>
  <c r="N132" i="5"/>
  <c r="N133" i="5"/>
  <c r="N134" i="5"/>
  <c r="N135" i="5"/>
  <c r="N138" i="5"/>
  <c r="N139" i="5"/>
  <c r="N140" i="5"/>
  <c r="N141" i="5"/>
  <c r="O2" i="5"/>
  <c r="O3" i="5"/>
  <c r="O4" i="5"/>
  <c r="O5" i="5"/>
  <c r="O6" i="5"/>
  <c r="O7" i="5"/>
  <c r="O9" i="5"/>
  <c r="O11" i="5"/>
  <c r="O12" i="5"/>
  <c r="O14" i="5"/>
  <c r="O16" i="5"/>
  <c r="O19" i="5"/>
  <c r="O20" i="5"/>
  <c r="O21" i="5"/>
  <c r="O22" i="5"/>
  <c r="O23" i="5"/>
  <c r="O24" i="5"/>
  <c r="O25" i="5"/>
  <c r="O26" i="5"/>
  <c r="O27" i="5"/>
  <c r="O28" i="5"/>
  <c r="O29" i="5"/>
  <c r="O30" i="5"/>
  <c r="O31" i="5"/>
  <c r="O33" i="5"/>
  <c r="O34" i="5"/>
  <c r="O37" i="5"/>
  <c r="O39" i="5"/>
  <c r="O40" i="5"/>
  <c r="O41" i="5"/>
  <c r="O43" i="5"/>
  <c r="O44" i="5"/>
  <c r="O45" i="5"/>
  <c r="O48" i="5"/>
  <c r="O49" i="5"/>
  <c r="O50" i="5"/>
  <c r="O52" i="5"/>
  <c r="O55" i="5"/>
  <c r="O56" i="5"/>
  <c r="O57" i="5"/>
  <c r="O58" i="5"/>
  <c r="O59" i="5"/>
  <c r="O60" i="5"/>
  <c r="O61" i="5"/>
  <c r="O62" i="5"/>
  <c r="O63" i="5"/>
  <c r="O64" i="5"/>
  <c r="O66" i="5"/>
  <c r="O68" i="5"/>
  <c r="O74" i="5"/>
  <c r="O76" i="5"/>
  <c r="O77" i="5"/>
  <c r="O78" i="5"/>
  <c r="O79" i="5"/>
  <c r="O81" i="5"/>
  <c r="O82" i="5"/>
  <c r="O83" i="5"/>
  <c r="O84" i="5"/>
  <c r="O86" i="5"/>
  <c r="O88" i="5"/>
  <c r="O89" i="5"/>
  <c r="O90" i="5"/>
  <c r="O91" i="5"/>
  <c r="O93" i="5"/>
  <c r="O94" i="5"/>
  <c r="O95" i="5"/>
  <c r="O96" i="5"/>
  <c r="O97" i="5"/>
  <c r="O98" i="5"/>
  <c r="O99" i="5"/>
  <c r="O100" i="5"/>
  <c r="O101" i="5"/>
  <c r="O102" i="5"/>
  <c r="O103" i="5"/>
  <c r="O106" i="5"/>
  <c r="O109" i="5"/>
  <c r="O110" i="5"/>
  <c r="O111" i="5"/>
  <c r="O112" i="5"/>
  <c r="O113" i="5"/>
  <c r="O114" i="5"/>
  <c r="O116" i="5"/>
  <c r="O117" i="5"/>
  <c r="O118" i="5"/>
  <c r="O120" i="5"/>
  <c r="O121" i="5"/>
  <c r="O122" i="5"/>
  <c r="O123" i="5"/>
  <c r="O124" i="5"/>
  <c r="O127" i="5"/>
  <c r="O129" i="5"/>
  <c r="O134" i="5"/>
  <c r="O138" i="5"/>
  <c r="O139" i="5"/>
  <c r="O140" i="5"/>
  <c r="O141" i="5"/>
  <c r="O142" i="5"/>
  <c r="O143" i="5"/>
  <c r="P2" i="5"/>
  <c r="P3" i="5"/>
  <c r="P4" i="5"/>
  <c r="P5" i="5"/>
  <c r="P6" i="5"/>
  <c r="P9" i="5"/>
  <c r="P10" i="5"/>
  <c r="P11" i="5"/>
  <c r="P12" i="5"/>
  <c r="P14" i="5"/>
  <c r="P16" i="5"/>
  <c r="P19" i="5"/>
  <c r="P20" i="5"/>
  <c r="P21" i="5"/>
  <c r="P22" i="5"/>
  <c r="P23" i="5"/>
  <c r="P24" i="5"/>
  <c r="P25" i="5"/>
  <c r="P26" i="5"/>
  <c r="P27" i="5"/>
  <c r="P28" i="5"/>
  <c r="P29" i="5"/>
  <c r="P30" i="5"/>
  <c r="P31" i="5"/>
  <c r="P32" i="5"/>
  <c r="P33" i="5"/>
  <c r="P34" i="5"/>
  <c r="P35" i="5"/>
  <c r="P37" i="5"/>
  <c r="P39" i="5"/>
  <c r="P40" i="5"/>
  <c r="P41" i="5"/>
  <c r="P43" i="5"/>
  <c r="P44" i="5"/>
  <c r="P45" i="5"/>
  <c r="P47" i="5"/>
  <c r="P49" i="5"/>
  <c r="P50" i="5"/>
  <c r="P51" i="5"/>
  <c r="P52" i="5"/>
  <c r="P55" i="5"/>
  <c r="P56" i="5"/>
  <c r="P57" i="5"/>
  <c r="P58" i="5"/>
  <c r="P59" i="5"/>
  <c r="P60" i="5"/>
  <c r="P62" i="5"/>
  <c r="P64" i="5"/>
  <c r="P65" i="5"/>
  <c r="P66" i="5"/>
  <c r="P67" i="5"/>
  <c r="P68" i="5"/>
  <c r="P69" i="5"/>
  <c r="P73" i="5"/>
  <c r="P76" i="5"/>
  <c r="P77" i="5"/>
  <c r="P78" i="5"/>
  <c r="P80" i="5"/>
  <c r="P82" i="5"/>
  <c r="P83" i="5"/>
  <c r="P84" i="5"/>
  <c r="P85" i="5"/>
  <c r="P86" i="5"/>
  <c r="P88" i="5"/>
  <c r="P90" i="5"/>
  <c r="P92" i="5"/>
  <c r="P93" i="5"/>
  <c r="P96" i="5"/>
  <c r="P97" i="5"/>
  <c r="P98" i="5"/>
  <c r="P99" i="5"/>
  <c r="P101" i="5"/>
  <c r="P103" i="5"/>
  <c r="P104" i="5"/>
  <c r="P106" i="5"/>
  <c r="P109" i="5"/>
  <c r="P111" i="5"/>
  <c r="P113" i="5"/>
  <c r="P115" i="5"/>
  <c r="P116" i="5"/>
  <c r="P117" i="5"/>
  <c r="P118" i="5"/>
  <c r="P120" i="5"/>
  <c r="P121" i="5"/>
  <c r="P122" i="5"/>
  <c r="P123" i="5"/>
  <c r="P124" i="5"/>
  <c r="P125" i="5"/>
  <c r="P126" i="5"/>
  <c r="P127" i="5"/>
  <c r="P128" i="5"/>
  <c r="P132" i="5"/>
  <c r="P134" i="5"/>
  <c r="P138" i="5"/>
  <c r="P139" i="5"/>
  <c r="P140" i="5"/>
  <c r="P141" i="5"/>
  <c r="P142" i="5"/>
  <c r="P143" i="5"/>
  <c r="P144" i="5"/>
  <c r="Q2" i="5"/>
  <c r="Q3" i="5"/>
  <c r="Q4" i="5"/>
  <c r="Q5" i="5"/>
  <c r="Q6" i="5"/>
  <c r="Q7" i="5"/>
  <c r="Q9" i="5"/>
  <c r="Q10" i="5"/>
  <c r="Q11" i="5"/>
  <c r="Q16" i="5"/>
  <c r="Q20" i="5"/>
  <c r="Q21" i="5"/>
  <c r="Q22" i="5"/>
  <c r="Q23" i="5"/>
  <c r="Q25" i="5"/>
  <c r="Q26" i="5"/>
  <c r="Q27" i="5"/>
  <c r="Q28" i="5"/>
  <c r="Q29" i="5"/>
  <c r="Q30" i="5"/>
  <c r="Q31" i="5"/>
  <c r="Q32" i="5"/>
  <c r="Q33" i="5"/>
  <c r="Q35" i="5"/>
  <c r="Q37" i="5"/>
  <c r="Q39" i="5"/>
  <c r="Q41" i="5"/>
  <c r="Q44" i="5"/>
  <c r="Q45" i="5"/>
  <c r="Q49" i="5"/>
  <c r="Q50" i="5"/>
  <c r="Q55" i="5"/>
  <c r="Q56" i="5"/>
  <c r="Q57" i="5"/>
  <c r="Q58" i="5"/>
  <c r="Q59" i="5"/>
  <c r="Q60" i="5"/>
  <c r="Q62" i="5"/>
  <c r="Q63" i="5"/>
  <c r="Q64" i="5"/>
  <c r="Q65" i="5"/>
  <c r="Q66" i="5"/>
  <c r="Q68" i="5"/>
  <c r="Q69" i="5"/>
  <c r="Q73" i="5"/>
  <c r="Q76" i="5"/>
  <c r="Q78" i="5"/>
  <c r="Q79" i="5"/>
  <c r="Q81" i="5"/>
  <c r="Q82" i="5"/>
  <c r="Q83" i="5"/>
  <c r="Q84" i="5"/>
  <c r="Q85" i="5"/>
  <c r="Q88" i="5"/>
  <c r="Q90" i="5"/>
  <c r="Q91" i="5"/>
  <c r="Q92" i="5"/>
  <c r="Q93" i="5"/>
  <c r="Q94" i="5"/>
  <c r="Q95" i="5"/>
  <c r="Q96" i="5"/>
  <c r="Q97" i="5"/>
  <c r="Q99" i="5"/>
  <c r="Q100" i="5"/>
  <c r="Q103" i="5"/>
  <c r="Q104" i="5"/>
  <c r="Q106" i="5"/>
  <c r="Q109" i="5"/>
  <c r="Q110" i="5"/>
  <c r="Q111" i="5"/>
  <c r="Q112" i="5"/>
  <c r="Q113" i="5"/>
  <c r="Q114" i="5"/>
  <c r="Q115" i="5"/>
  <c r="Q116" i="5"/>
  <c r="Q118" i="5"/>
  <c r="Q119" i="5"/>
  <c r="Q120" i="5"/>
  <c r="Q122" i="5"/>
  <c r="Q123" i="5"/>
  <c r="Q124" i="5"/>
  <c r="Q125" i="5"/>
  <c r="Q126" i="5"/>
  <c r="Q127" i="5"/>
  <c r="Q128" i="5"/>
  <c r="Q129" i="5"/>
  <c r="Q130" i="5"/>
  <c r="Q132" i="5"/>
  <c r="Q133" i="5"/>
  <c r="Q134" i="5"/>
  <c r="Q135" i="5"/>
  <c r="Q139" i="5"/>
  <c r="Q140" i="5"/>
  <c r="Q141" i="5"/>
  <c r="Q144" i="5"/>
  <c r="R2" i="5"/>
  <c r="R3" i="5"/>
  <c r="R4" i="5"/>
  <c r="R5" i="5"/>
  <c r="R6" i="5"/>
  <c r="R7" i="5"/>
  <c r="R9" i="5"/>
  <c r="R14" i="5"/>
  <c r="R16" i="5"/>
  <c r="R19" i="5"/>
  <c r="R20" i="5"/>
  <c r="R21" i="5"/>
  <c r="R22" i="5"/>
  <c r="R23" i="5"/>
  <c r="R24" i="5"/>
  <c r="R25" i="5"/>
  <c r="R26" i="5"/>
  <c r="R27" i="5"/>
  <c r="R28" i="5"/>
  <c r="R29" i="5"/>
  <c r="R30" i="5"/>
  <c r="R31" i="5"/>
  <c r="R32" i="5"/>
  <c r="R34" i="5"/>
  <c r="R36" i="5"/>
  <c r="R39" i="5"/>
  <c r="R40" i="5"/>
  <c r="R41" i="5"/>
  <c r="R43" i="5"/>
  <c r="R44" i="5"/>
  <c r="R45" i="5"/>
  <c r="R48" i="5"/>
  <c r="R49" i="5"/>
  <c r="R50" i="5"/>
  <c r="R52" i="5"/>
  <c r="R55" i="5"/>
  <c r="R56" i="5"/>
  <c r="R57" i="5"/>
  <c r="R58" i="5"/>
  <c r="R59" i="5"/>
  <c r="R60" i="5"/>
  <c r="R61" i="5"/>
  <c r="R62" i="5"/>
  <c r="R63" i="5"/>
  <c r="R64" i="5"/>
  <c r="R65" i="5"/>
  <c r="R66" i="5"/>
  <c r="R67" i="5"/>
  <c r="R68" i="5"/>
  <c r="R74" i="5"/>
  <c r="R76" i="5"/>
  <c r="R77" i="5"/>
  <c r="R78" i="5"/>
  <c r="R79" i="5"/>
  <c r="R81" i="5"/>
  <c r="R82" i="5"/>
  <c r="R83" i="5"/>
  <c r="R86" i="5"/>
  <c r="R88" i="5"/>
  <c r="R89" i="5"/>
  <c r="R90" i="5"/>
  <c r="R91" i="5"/>
  <c r="R93" i="5"/>
  <c r="R94" i="5"/>
  <c r="R95" i="5"/>
  <c r="R96" i="5"/>
  <c r="R97" i="5"/>
  <c r="R98" i="5"/>
  <c r="R99" i="5"/>
  <c r="R100" i="5"/>
  <c r="R101" i="5"/>
  <c r="R102" i="5"/>
  <c r="R103" i="5"/>
  <c r="R106" i="5"/>
  <c r="R109" i="5"/>
  <c r="R110" i="5"/>
  <c r="R111" i="5"/>
  <c r="R112" i="5"/>
  <c r="R113" i="5"/>
  <c r="R114" i="5"/>
  <c r="R117" i="5"/>
  <c r="R118" i="5"/>
  <c r="R120" i="5"/>
  <c r="R122" i="5"/>
  <c r="R124" i="5"/>
  <c r="R125" i="5"/>
  <c r="R127" i="5"/>
  <c r="R129" i="5"/>
  <c r="R130" i="5"/>
  <c r="R133" i="5"/>
  <c r="R134" i="5"/>
  <c r="R138" i="5"/>
  <c r="R139" i="5"/>
  <c r="R140" i="5"/>
  <c r="R141" i="5"/>
  <c r="R142" i="5"/>
  <c r="R143" i="5"/>
  <c r="S2" i="5"/>
  <c r="S3" i="5"/>
  <c r="S4" i="5"/>
  <c r="S5" i="5"/>
  <c r="S6" i="5"/>
  <c r="S9" i="5"/>
  <c r="S10" i="5"/>
  <c r="S11" i="5"/>
  <c r="S12" i="5"/>
  <c r="S14" i="5"/>
  <c r="S16" i="5"/>
  <c r="S19" i="5"/>
  <c r="S20" i="5"/>
  <c r="S21" i="5"/>
  <c r="S22" i="5"/>
  <c r="S23" i="5"/>
  <c r="S24" i="5"/>
  <c r="S25" i="5"/>
  <c r="S26" i="5"/>
  <c r="S27" i="5"/>
  <c r="S28" i="5"/>
  <c r="S29" i="5"/>
  <c r="S30" i="5"/>
  <c r="S31" i="5"/>
  <c r="S32" i="5"/>
  <c r="S33" i="5"/>
  <c r="S34" i="5"/>
  <c r="S35" i="5"/>
  <c r="S37" i="5"/>
  <c r="S39" i="5"/>
  <c r="S40" i="5"/>
  <c r="S41" i="5"/>
  <c r="S43" i="5"/>
  <c r="S44" i="5"/>
  <c r="S45" i="5"/>
  <c r="S48" i="5"/>
  <c r="S49" i="5"/>
  <c r="S50" i="5"/>
  <c r="S51" i="5"/>
  <c r="S52" i="5"/>
  <c r="S55" i="5"/>
  <c r="S56" i="5"/>
  <c r="S57" i="5"/>
  <c r="S58" i="5"/>
  <c r="S59" i="5"/>
  <c r="S62" i="5"/>
  <c r="S64" i="5"/>
  <c r="S66" i="5"/>
  <c r="S68" i="5"/>
  <c r="S69" i="5"/>
  <c r="S73" i="5"/>
  <c r="S74" i="5"/>
  <c r="S76" i="5"/>
  <c r="S78" i="5"/>
  <c r="S80" i="5"/>
  <c r="S82" i="5"/>
  <c r="S83" i="5"/>
  <c r="S84" i="5"/>
  <c r="S86" i="5"/>
  <c r="S88" i="5"/>
  <c r="S89" i="5"/>
  <c r="S90" i="5"/>
  <c r="S92" i="5"/>
  <c r="S93" i="5"/>
  <c r="S96" i="5"/>
  <c r="S97" i="5"/>
  <c r="S98" i="5"/>
  <c r="S99" i="5"/>
  <c r="S101" i="5"/>
  <c r="S103" i="5"/>
  <c r="S104" i="5"/>
  <c r="S109" i="5"/>
  <c r="S110" i="5"/>
  <c r="S111" i="5"/>
  <c r="S113" i="5"/>
  <c r="S115" i="5"/>
  <c r="S116" i="5"/>
  <c r="S117" i="5"/>
  <c r="S118" i="5"/>
  <c r="S119" i="5"/>
  <c r="S120" i="5"/>
  <c r="S121" i="5"/>
  <c r="S122" i="5"/>
  <c r="S123" i="5"/>
  <c r="S124" i="5"/>
  <c r="S126" i="5"/>
  <c r="S127" i="5"/>
  <c r="S128" i="5"/>
  <c r="S132" i="5"/>
  <c r="S134" i="5"/>
  <c r="S135" i="5"/>
  <c r="S138" i="5"/>
  <c r="S139" i="5"/>
  <c r="S140" i="5"/>
  <c r="S141" i="5"/>
  <c r="S142" i="5"/>
  <c r="S144" i="5"/>
  <c r="T2" i="5"/>
  <c r="T3" i="5"/>
  <c r="T4" i="5"/>
  <c r="T5" i="5"/>
  <c r="T6" i="5"/>
  <c r="T7" i="5"/>
  <c r="T9" i="5"/>
  <c r="T10" i="5"/>
  <c r="T11" i="5"/>
  <c r="T16" i="5"/>
  <c r="T20" i="5"/>
  <c r="T21" i="5"/>
  <c r="T22" i="5"/>
  <c r="T23" i="5"/>
  <c r="T25" i="5"/>
  <c r="T26" i="5"/>
  <c r="T27" i="5"/>
  <c r="T28" i="5"/>
  <c r="T29" i="5"/>
  <c r="T30" i="5"/>
  <c r="T31" i="5"/>
  <c r="T33" i="5"/>
  <c r="T35" i="5"/>
  <c r="T36" i="5"/>
  <c r="T37" i="5"/>
  <c r="T39" i="5"/>
  <c r="T41" i="5"/>
  <c r="T43" i="5"/>
  <c r="T45" i="5"/>
  <c r="T47" i="5"/>
  <c r="T49" i="5"/>
  <c r="T50" i="5"/>
  <c r="T51" i="5"/>
  <c r="T55" i="5"/>
  <c r="T56" i="5"/>
  <c r="T57" i="5"/>
  <c r="T58" i="5"/>
  <c r="T59" i="5"/>
  <c r="T60" i="5"/>
  <c r="T61" i="5"/>
  <c r="T62" i="5"/>
  <c r="T63" i="5"/>
  <c r="T64" i="5"/>
  <c r="T66" i="5"/>
  <c r="T68" i="5"/>
  <c r="T69" i="5"/>
  <c r="T73" i="5"/>
  <c r="T76" i="5"/>
  <c r="T78" i="5"/>
  <c r="T79" i="5"/>
  <c r="T80" i="5"/>
  <c r="T81" i="5"/>
  <c r="T82" i="5"/>
  <c r="T83" i="5"/>
  <c r="T84" i="5"/>
  <c r="T85" i="5"/>
  <c r="T88" i="5"/>
  <c r="T90" i="5"/>
  <c r="T91" i="5"/>
  <c r="T92" i="5"/>
  <c r="T93" i="5"/>
  <c r="T94" i="5"/>
  <c r="T95" i="5"/>
  <c r="T96" i="5"/>
  <c r="T97" i="5"/>
  <c r="T100" i="5"/>
  <c r="T102" i="5"/>
  <c r="T103" i="5"/>
  <c r="T104" i="5"/>
  <c r="T106" i="5"/>
  <c r="T109" i="5"/>
  <c r="T110" i="5"/>
  <c r="T111" i="5"/>
  <c r="T112" i="5"/>
  <c r="T113" i="5"/>
  <c r="T114" i="5"/>
  <c r="T115" i="5"/>
  <c r="T116" i="5"/>
  <c r="T118" i="5"/>
  <c r="T119" i="5"/>
  <c r="T120" i="5"/>
  <c r="T121" i="5"/>
  <c r="T122" i="5"/>
  <c r="T123" i="5"/>
  <c r="T124" i="5"/>
  <c r="T125" i="5"/>
  <c r="T126" i="5"/>
  <c r="T127" i="5"/>
  <c r="T128" i="5"/>
  <c r="T129" i="5"/>
  <c r="T130" i="5"/>
  <c r="T132" i="5"/>
  <c r="T133" i="5"/>
  <c r="T134" i="5"/>
  <c r="T135" i="5"/>
  <c r="T139" i="5"/>
  <c r="T140" i="5"/>
  <c r="T141" i="5"/>
  <c r="T144" i="5"/>
  <c r="U2" i="5"/>
  <c r="U3" i="5"/>
  <c r="U4" i="5"/>
  <c r="U5" i="5"/>
  <c r="U6" i="5"/>
  <c r="U7" i="5"/>
  <c r="U9" i="5"/>
  <c r="U14" i="5"/>
  <c r="U16" i="5"/>
  <c r="U19" i="5"/>
  <c r="U20" i="5"/>
  <c r="U21" i="5"/>
  <c r="U22" i="5"/>
  <c r="U23" i="5"/>
  <c r="U24" i="5"/>
  <c r="U25" i="5"/>
  <c r="U26" i="5"/>
  <c r="U27" i="5"/>
  <c r="U28" i="5"/>
  <c r="U29" i="5"/>
  <c r="U30" i="5"/>
  <c r="U31" i="5"/>
  <c r="U32" i="5"/>
  <c r="U34" i="5"/>
  <c r="U36" i="5"/>
  <c r="U39" i="5"/>
  <c r="U40" i="5"/>
  <c r="U41" i="5"/>
  <c r="U43" i="5"/>
  <c r="U45" i="5"/>
  <c r="U48" i="5"/>
  <c r="U50" i="5"/>
  <c r="U51" i="5"/>
  <c r="U52" i="5"/>
  <c r="U55" i="5"/>
  <c r="U56" i="5"/>
  <c r="U57" i="5"/>
  <c r="U58" i="5"/>
  <c r="U59" i="5"/>
  <c r="U60" i="5"/>
  <c r="U61" i="5"/>
  <c r="U62" i="5"/>
  <c r="U63" i="5"/>
  <c r="U64" i="5"/>
  <c r="U66" i="5"/>
  <c r="U68" i="5"/>
  <c r="U74" i="5"/>
  <c r="U76" i="5"/>
  <c r="U77" i="5"/>
  <c r="U78" i="5"/>
  <c r="U79" i="5"/>
  <c r="U81" i="5"/>
  <c r="U82" i="5"/>
  <c r="U83" i="5"/>
  <c r="U86" i="5"/>
  <c r="U89" i="5"/>
  <c r="U90" i="5"/>
  <c r="U91" i="5"/>
  <c r="U93" i="5"/>
  <c r="U94" i="5"/>
  <c r="U96" i="5"/>
  <c r="U97" i="5"/>
  <c r="U98" i="5"/>
  <c r="U99" i="5"/>
  <c r="U100" i="5"/>
  <c r="U101" i="5"/>
  <c r="U102" i="5"/>
  <c r="U103" i="5"/>
  <c r="U106" i="5"/>
  <c r="U109" i="5"/>
  <c r="U110" i="5"/>
  <c r="U111" i="5"/>
  <c r="U112" i="5"/>
  <c r="U113" i="5"/>
  <c r="U114" i="5"/>
  <c r="U117" i="5"/>
  <c r="U118" i="5"/>
  <c r="U120" i="5"/>
  <c r="U121" i="5"/>
  <c r="U122" i="5"/>
  <c r="U124" i="5"/>
  <c r="U125" i="5"/>
  <c r="U127" i="5"/>
  <c r="U129" i="5"/>
  <c r="U130" i="5"/>
  <c r="U133" i="5"/>
  <c r="U134" i="5"/>
  <c r="U138" i="5"/>
  <c r="U139" i="5"/>
  <c r="U140" i="5"/>
  <c r="U141" i="5"/>
  <c r="U142" i="5"/>
  <c r="U143" i="5"/>
  <c r="V2" i="5"/>
  <c r="V3" i="5"/>
  <c r="V4" i="5"/>
  <c r="V5" i="5"/>
  <c r="V6" i="5"/>
  <c r="V9" i="5"/>
  <c r="V10" i="5"/>
  <c r="V11" i="5"/>
  <c r="V12" i="5"/>
  <c r="V16" i="5"/>
  <c r="V19" i="5"/>
  <c r="V20" i="5"/>
  <c r="V21" i="5"/>
  <c r="V22" i="5"/>
  <c r="V23" i="5"/>
  <c r="V24" i="5"/>
  <c r="V25" i="5"/>
  <c r="V26" i="5"/>
  <c r="V27" i="5"/>
  <c r="V28" i="5"/>
  <c r="V29" i="5"/>
  <c r="V30" i="5"/>
  <c r="V31" i="5"/>
  <c r="V32" i="5"/>
  <c r="V33" i="5"/>
  <c r="V34" i="5"/>
  <c r="V35" i="5"/>
  <c r="V37" i="5"/>
  <c r="V39" i="5"/>
  <c r="V43" i="5"/>
  <c r="V44" i="5"/>
  <c r="V45" i="5"/>
  <c r="V47" i="5"/>
  <c r="V48" i="5"/>
  <c r="V50" i="5"/>
  <c r="V51" i="5"/>
  <c r="V52" i="5"/>
  <c r="V55" i="5"/>
  <c r="V56" i="5"/>
  <c r="V57" i="5"/>
  <c r="V58" i="5"/>
  <c r="V59" i="5"/>
  <c r="V62" i="5"/>
  <c r="V64" i="5"/>
  <c r="V65" i="5"/>
  <c r="V66" i="5"/>
  <c r="V67" i="5"/>
  <c r="V68" i="5"/>
  <c r="V69" i="5"/>
  <c r="V73" i="5"/>
  <c r="V74" i="5"/>
  <c r="V76" i="5"/>
  <c r="V77" i="5"/>
  <c r="V78" i="5"/>
  <c r="V80" i="5"/>
  <c r="V82" i="5"/>
  <c r="V83" i="5"/>
  <c r="V84" i="5"/>
  <c r="V85" i="5"/>
  <c r="V86" i="5"/>
  <c r="V88" i="5"/>
  <c r="V89" i="5"/>
  <c r="V90" i="5"/>
  <c r="V92" i="5"/>
  <c r="V93" i="5"/>
  <c r="V96" i="5"/>
  <c r="V97" i="5"/>
  <c r="V98" i="5"/>
  <c r="V99" i="5"/>
  <c r="V101" i="5"/>
  <c r="V103" i="5"/>
  <c r="V104" i="5"/>
  <c r="V109" i="5"/>
  <c r="V110" i="5"/>
  <c r="V111" i="5"/>
  <c r="V115" i="5"/>
  <c r="V116" i="5"/>
  <c r="V117" i="5"/>
  <c r="V118" i="5"/>
  <c r="V119" i="5"/>
  <c r="V120" i="5"/>
  <c r="V121" i="5"/>
  <c r="V122" i="5"/>
  <c r="V123" i="5"/>
  <c r="V124" i="5"/>
  <c r="V126" i="5"/>
  <c r="V127" i="5"/>
  <c r="V128" i="5"/>
  <c r="V132" i="5"/>
  <c r="V134" i="5"/>
  <c r="V135" i="5"/>
  <c r="V138" i="5"/>
  <c r="V139" i="5"/>
  <c r="V140" i="5"/>
  <c r="V141" i="5"/>
  <c r="V142" i="5"/>
  <c r="V143" i="5"/>
  <c r="V144" i="5"/>
  <c r="W2" i="5"/>
  <c r="W3" i="5"/>
  <c r="W4" i="5"/>
  <c r="W5" i="5"/>
  <c r="W6" i="5"/>
  <c r="W9" i="5"/>
  <c r="W10" i="5"/>
  <c r="W11" i="5"/>
  <c r="W12" i="5"/>
  <c r="W16" i="5"/>
  <c r="W20" i="5"/>
  <c r="W21" i="5"/>
  <c r="W22" i="5"/>
  <c r="W23" i="5"/>
  <c r="W25" i="5"/>
  <c r="W26" i="5"/>
  <c r="W27" i="5"/>
  <c r="W28" i="5"/>
  <c r="W29" i="5"/>
  <c r="W30" i="5"/>
  <c r="W31" i="5"/>
  <c r="W33" i="5"/>
  <c r="W34" i="5"/>
  <c r="W36" i="5"/>
  <c r="W39" i="5"/>
  <c r="W40" i="5"/>
  <c r="W41" i="5"/>
  <c r="W45" i="5"/>
  <c r="W47" i="5"/>
  <c r="W49" i="5"/>
  <c r="W50" i="5"/>
  <c r="W51" i="5"/>
  <c r="W52" i="5"/>
  <c r="W55" i="5"/>
  <c r="W56" i="5"/>
  <c r="W57" i="5"/>
  <c r="W58" i="5"/>
  <c r="W59" i="5"/>
  <c r="W60" i="5"/>
  <c r="W61" i="5"/>
  <c r="W62" i="5"/>
  <c r="W63" i="5"/>
  <c r="W64" i="5"/>
  <c r="W65" i="5"/>
  <c r="W66" i="5"/>
  <c r="W68" i="5"/>
  <c r="W76" i="5"/>
  <c r="W78" i="5"/>
  <c r="W79" i="5"/>
  <c r="W80" i="5"/>
  <c r="W82" i="5"/>
  <c r="W83" i="5"/>
  <c r="W84" i="5"/>
  <c r="W85" i="5"/>
  <c r="W88" i="5"/>
  <c r="W89" i="5"/>
  <c r="W90" i="5"/>
  <c r="W91" i="5"/>
  <c r="W92" i="5"/>
  <c r="W93" i="5"/>
  <c r="W94" i="5"/>
  <c r="W95" i="5"/>
  <c r="W97" i="5"/>
  <c r="W100" i="5"/>
  <c r="W102" i="5"/>
  <c r="W103" i="5"/>
  <c r="W104" i="5"/>
  <c r="W106" i="5"/>
  <c r="W109" i="5"/>
  <c r="W110" i="5"/>
  <c r="W111" i="5"/>
  <c r="W112" i="5"/>
  <c r="W113" i="5"/>
  <c r="W114" i="5"/>
  <c r="W115" i="5"/>
  <c r="W116" i="5"/>
  <c r="W118" i="5"/>
  <c r="W119" i="5"/>
  <c r="W120" i="5"/>
  <c r="W121" i="5"/>
  <c r="W122" i="5"/>
  <c r="W123" i="5"/>
  <c r="W124" i="5"/>
  <c r="W125" i="5"/>
  <c r="W126" i="5"/>
  <c r="W127" i="5"/>
  <c r="W128" i="5"/>
  <c r="W129" i="5"/>
  <c r="W130" i="5"/>
  <c r="W133" i="5"/>
  <c r="W134" i="5"/>
  <c r="W135" i="5"/>
  <c r="W139" i="5"/>
  <c r="W141" i="5"/>
  <c r="W144" i="5"/>
  <c r="X2" i="5"/>
  <c r="X3" i="5"/>
  <c r="X4" i="5"/>
  <c r="X5" i="5"/>
  <c r="X6" i="5"/>
  <c r="X7" i="5"/>
  <c r="X9" i="5"/>
  <c r="X19" i="5"/>
  <c r="X20" i="5"/>
  <c r="X21" i="5"/>
  <c r="X22" i="5"/>
  <c r="X23" i="5"/>
  <c r="X24" i="5"/>
  <c r="X25" i="5"/>
  <c r="X26" i="5"/>
  <c r="X27" i="5"/>
  <c r="X28" i="5"/>
  <c r="X29" i="5"/>
  <c r="X30" i="5"/>
  <c r="X31" i="5"/>
  <c r="X32" i="5"/>
  <c r="X34" i="5"/>
  <c r="X36" i="5"/>
  <c r="X37" i="5"/>
  <c r="X40" i="5"/>
  <c r="X43" i="5"/>
  <c r="X45" i="5"/>
  <c r="X47" i="5"/>
  <c r="X48" i="5"/>
  <c r="X50" i="5"/>
  <c r="X51" i="5"/>
  <c r="X52" i="5"/>
  <c r="X55" i="5"/>
  <c r="X56" i="5"/>
  <c r="X57" i="5"/>
  <c r="X58" i="5"/>
  <c r="X59" i="5"/>
  <c r="X61" i="5"/>
  <c r="X62" i="5"/>
  <c r="X64" i="5"/>
  <c r="X66" i="5"/>
  <c r="X68" i="5"/>
  <c r="X73" i="5"/>
  <c r="X74" i="5"/>
  <c r="X76" i="5"/>
  <c r="X77" i="5"/>
  <c r="X78" i="5"/>
  <c r="X80" i="5"/>
  <c r="X81" i="5"/>
  <c r="X82" i="5"/>
  <c r="X83" i="5"/>
  <c r="X84" i="5"/>
  <c r="X86" i="5"/>
  <c r="X89" i="5"/>
  <c r="X90" i="5"/>
  <c r="X91" i="5"/>
  <c r="X93" i="5"/>
  <c r="X94" i="5"/>
  <c r="X95" i="5"/>
  <c r="X96" i="5"/>
  <c r="X97" i="5"/>
  <c r="X99" i="5"/>
  <c r="X100" i="5"/>
  <c r="X101" i="5"/>
  <c r="X102" i="5"/>
  <c r="X103" i="5"/>
  <c r="X106" i="5"/>
  <c r="X109" i="5"/>
  <c r="X110" i="5"/>
  <c r="X111" i="5"/>
  <c r="X112" i="5"/>
  <c r="X113" i="5"/>
  <c r="X114" i="5"/>
  <c r="X117" i="5"/>
  <c r="X118" i="5"/>
  <c r="X120" i="5"/>
  <c r="X122" i="5"/>
  <c r="X123" i="5"/>
  <c r="X124" i="5"/>
  <c r="X125" i="5"/>
  <c r="X127" i="5"/>
  <c r="X129" i="5"/>
  <c r="X130" i="5"/>
  <c r="X133" i="5"/>
  <c r="X134" i="5"/>
  <c r="X138" i="5"/>
  <c r="X139" i="5"/>
  <c r="X140" i="5"/>
  <c r="X141" i="5"/>
  <c r="X142" i="5"/>
  <c r="X143" i="5"/>
  <c r="Y2" i="5"/>
  <c r="Y3" i="5"/>
  <c r="Y4" i="5"/>
  <c r="Y5" i="5"/>
  <c r="Y6" i="5"/>
  <c r="Y7" i="5"/>
  <c r="Y9" i="5"/>
  <c r="Y10" i="5"/>
  <c r="Y12" i="5"/>
  <c r="Y14" i="5"/>
  <c r="Y16" i="5"/>
  <c r="Y20" i="5"/>
  <c r="Y21" i="5"/>
  <c r="Y22" i="5"/>
  <c r="Y23" i="5"/>
  <c r="Y24" i="5"/>
  <c r="Y25" i="5"/>
  <c r="Y26" i="5"/>
  <c r="Y27" i="5"/>
  <c r="Y28" i="5"/>
  <c r="Y29" i="5"/>
  <c r="Y30" i="5"/>
  <c r="Y31" i="5"/>
  <c r="Y32" i="5"/>
  <c r="Y33" i="5"/>
  <c r="Y34" i="5"/>
  <c r="Y35" i="5"/>
  <c r="Y36" i="5"/>
  <c r="Y37" i="5"/>
  <c r="Y39" i="5"/>
  <c r="Y40" i="5"/>
  <c r="Y43" i="5"/>
  <c r="Y44" i="5"/>
  <c r="Y45" i="5"/>
  <c r="Y47" i="5"/>
  <c r="Y48" i="5"/>
  <c r="Y49" i="5"/>
  <c r="Y50" i="5"/>
  <c r="Y51" i="5"/>
  <c r="Y52" i="5"/>
  <c r="Y55" i="5"/>
  <c r="Y56" i="5"/>
  <c r="Y57" i="5"/>
  <c r="Y58" i="5"/>
  <c r="Y59" i="5"/>
  <c r="Y60" i="5"/>
  <c r="Y61" i="5"/>
  <c r="Y62" i="5"/>
  <c r="Y64" i="5"/>
  <c r="Y65" i="5"/>
  <c r="Y66" i="5"/>
  <c r="Y67" i="5"/>
  <c r="Y68" i="5"/>
  <c r="Y69" i="5"/>
  <c r="Y73" i="5"/>
  <c r="Y74" i="5"/>
  <c r="Y76" i="5"/>
  <c r="Y78" i="5"/>
  <c r="Y79" i="5"/>
  <c r="Y80" i="5"/>
  <c r="Y81" i="5"/>
  <c r="Y82" i="5"/>
  <c r="Y83" i="5"/>
  <c r="Y84" i="5"/>
  <c r="Y85" i="5"/>
  <c r="Y88" i="5"/>
  <c r="Y89" i="5"/>
  <c r="Y90" i="5"/>
  <c r="Y91" i="5"/>
  <c r="Y92" i="5"/>
  <c r="Y93" i="5"/>
  <c r="Y94" i="5"/>
  <c r="Y95" i="5"/>
  <c r="Y96" i="5"/>
  <c r="Y97" i="5"/>
  <c r="Y98" i="5"/>
  <c r="Y99" i="5"/>
  <c r="Y100" i="5"/>
  <c r="Y102" i="5"/>
  <c r="Y103" i="5"/>
  <c r="Y104" i="5"/>
  <c r="Y106" i="5"/>
  <c r="Y109" i="5"/>
  <c r="Y110" i="5"/>
  <c r="Y111" i="5"/>
  <c r="Y112" i="5"/>
  <c r="Y113" i="5"/>
  <c r="Y114" i="5"/>
  <c r="Y115" i="5"/>
  <c r="Y116" i="5"/>
  <c r="Y118" i="5"/>
  <c r="Y119" i="5"/>
  <c r="Y120" i="5"/>
  <c r="Y121" i="5"/>
  <c r="Y122" i="5"/>
  <c r="Y123" i="5"/>
  <c r="Y124" i="5"/>
  <c r="Y126" i="5"/>
  <c r="Y127" i="5"/>
  <c r="Y128" i="5"/>
  <c r="Y130" i="5"/>
  <c r="Y132" i="5"/>
  <c r="Y133" i="5"/>
  <c r="Y134" i="5"/>
  <c r="Y138" i="5"/>
  <c r="Y139" i="5"/>
  <c r="Y140" i="5"/>
  <c r="Y141" i="5"/>
  <c r="Y142" i="5"/>
  <c r="Y143" i="5"/>
  <c r="Y144" i="5"/>
  <c r="Z2" i="5"/>
  <c r="Z3" i="5"/>
  <c r="Z4" i="5"/>
  <c r="Z5" i="5"/>
  <c r="Z6" i="5"/>
  <c r="Z7" i="5"/>
  <c r="Z9" i="5"/>
  <c r="Z10" i="5"/>
  <c r="Z11" i="5"/>
  <c r="Z12" i="5"/>
  <c r="Z14" i="5"/>
  <c r="Z16" i="5"/>
  <c r="Z19" i="5"/>
  <c r="Z20" i="5"/>
  <c r="Z21" i="5"/>
  <c r="Z22" i="5"/>
  <c r="Z23" i="5"/>
  <c r="Z24" i="5"/>
  <c r="Z25" i="5"/>
  <c r="Z26" i="5"/>
  <c r="Z27" i="5"/>
  <c r="Z28" i="5"/>
  <c r="Z29" i="5"/>
  <c r="Z30" i="5"/>
  <c r="Z31" i="5"/>
  <c r="Z32" i="5"/>
  <c r="Z33" i="5"/>
  <c r="Z34" i="5"/>
  <c r="Z35" i="5"/>
  <c r="Z36" i="5"/>
  <c r="Z37" i="5"/>
  <c r="Z39" i="5"/>
  <c r="Z40" i="5"/>
  <c r="Z41" i="5"/>
  <c r="Z43" i="5"/>
  <c r="Z44" i="5"/>
  <c r="Z45" i="5"/>
  <c r="Z47" i="5"/>
  <c r="Z48" i="5"/>
  <c r="Z49" i="5"/>
  <c r="Z50" i="5"/>
  <c r="Z51" i="5"/>
  <c r="Z52" i="5"/>
  <c r="Z55" i="5"/>
  <c r="Z56" i="5"/>
  <c r="Z57" i="5"/>
  <c r="Z58" i="5"/>
  <c r="Z59" i="5"/>
  <c r="Z60" i="5"/>
  <c r="Z61" i="5"/>
  <c r="Z62" i="5"/>
  <c r="Z63" i="5"/>
  <c r="Z64" i="5"/>
  <c r="Z65" i="5"/>
  <c r="Z66" i="5"/>
  <c r="Z68" i="5"/>
  <c r="Z69" i="5"/>
  <c r="Z73" i="5"/>
  <c r="Z74" i="5"/>
  <c r="Z76" i="5"/>
  <c r="Z77" i="5"/>
  <c r="Z78" i="5"/>
  <c r="Z79" i="5"/>
  <c r="Z80" i="5"/>
  <c r="Z81" i="5"/>
  <c r="Z82" i="5"/>
  <c r="Z83" i="5"/>
  <c r="Z84" i="5"/>
  <c r="Z85" i="5"/>
  <c r="Z86" i="5"/>
  <c r="Z88" i="5"/>
  <c r="Z89" i="5"/>
  <c r="Z90" i="5"/>
  <c r="Z92" i="5"/>
  <c r="Z93" i="5"/>
  <c r="Z94" i="5"/>
  <c r="Z95" i="5"/>
  <c r="Z96" i="5"/>
  <c r="Z97" i="5"/>
  <c r="Z98" i="5"/>
  <c r="Z99" i="5"/>
  <c r="Z100" i="5"/>
  <c r="Z101" i="5"/>
  <c r="Z102" i="5"/>
  <c r="Z103" i="5"/>
  <c r="Z104" i="5"/>
  <c r="Z106" i="5"/>
  <c r="Z109" i="5"/>
  <c r="Z110" i="5"/>
  <c r="Z111" i="5"/>
  <c r="Z112" i="5"/>
  <c r="Z113" i="5"/>
  <c r="Z114" i="5"/>
  <c r="Z115" i="5"/>
  <c r="Z116" i="5"/>
  <c r="Z117" i="5"/>
  <c r="Z118" i="5"/>
  <c r="Z119" i="5"/>
  <c r="Z120" i="5"/>
  <c r="Z121" i="5"/>
  <c r="Z122" i="5"/>
  <c r="Z123" i="5"/>
  <c r="Z124" i="5"/>
  <c r="Z125" i="5"/>
  <c r="Z126" i="5"/>
  <c r="Z127" i="5"/>
  <c r="Z128" i="5"/>
  <c r="Z130" i="5"/>
  <c r="Z132" i="5"/>
  <c r="Z133" i="5"/>
  <c r="Z134" i="5"/>
  <c r="Z135" i="5"/>
  <c r="Z138" i="5"/>
  <c r="Z139" i="5"/>
  <c r="Z140" i="5"/>
  <c r="Z141" i="5"/>
  <c r="Z142" i="5"/>
  <c r="Z143" i="5"/>
  <c r="Z144" i="5"/>
  <c r="AA2" i="5"/>
  <c r="AA3" i="5"/>
  <c r="AA4" i="5"/>
  <c r="AA5" i="5"/>
  <c r="AA6" i="5"/>
  <c r="AA7" i="5"/>
  <c r="AA9" i="5"/>
  <c r="AA10" i="5"/>
  <c r="AA11" i="5"/>
  <c r="AA12" i="5"/>
  <c r="AA14" i="5"/>
  <c r="AA16" i="5"/>
  <c r="AA19" i="5"/>
  <c r="AA20" i="5"/>
  <c r="AA21" i="5"/>
  <c r="AA22" i="5"/>
  <c r="AA23" i="5"/>
  <c r="AA24" i="5"/>
  <c r="AA25" i="5"/>
  <c r="AA26" i="5"/>
  <c r="AA27" i="5"/>
  <c r="AA28" i="5"/>
  <c r="AA29" i="5"/>
  <c r="AA30" i="5"/>
  <c r="AA31" i="5"/>
  <c r="AA32" i="5"/>
  <c r="AA33" i="5"/>
  <c r="AA34" i="5"/>
  <c r="AA35" i="5"/>
  <c r="AA36" i="5"/>
  <c r="AA39" i="5"/>
  <c r="AA40" i="5"/>
  <c r="AA41" i="5"/>
  <c r="AA43" i="5"/>
  <c r="AA44" i="5"/>
  <c r="AA45" i="5"/>
  <c r="AA47" i="5"/>
  <c r="AA48" i="5"/>
  <c r="AA49" i="5"/>
  <c r="AA50" i="5"/>
  <c r="AA51" i="5"/>
  <c r="AA52" i="5"/>
  <c r="AA55" i="5"/>
  <c r="AA56" i="5"/>
  <c r="AA57" i="5"/>
  <c r="AA58" i="5"/>
  <c r="AA59" i="5"/>
  <c r="AA60" i="5"/>
  <c r="AA61" i="5"/>
  <c r="AA62" i="5"/>
  <c r="AA63" i="5"/>
  <c r="AA64" i="5"/>
  <c r="AA65" i="5"/>
  <c r="AA66" i="5"/>
  <c r="AA67" i="5"/>
  <c r="AA68" i="5"/>
  <c r="AA69" i="5"/>
  <c r="AA73" i="5"/>
  <c r="AA74" i="5"/>
  <c r="AA76" i="5"/>
  <c r="AA78" i="5"/>
  <c r="AA79" i="5"/>
  <c r="AA80" i="5"/>
  <c r="AA81" i="5"/>
  <c r="AA82" i="5"/>
  <c r="AA83" i="5"/>
  <c r="AA84" i="5"/>
  <c r="AA85" i="5"/>
  <c r="AA86" i="5"/>
  <c r="AA88" i="5"/>
  <c r="AA89" i="5"/>
  <c r="AA90" i="5"/>
  <c r="AA91" i="5"/>
  <c r="AA92" i="5"/>
  <c r="AA93" i="5"/>
  <c r="AA94" i="5"/>
  <c r="AA95" i="5"/>
  <c r="AA96" i="5"/>
  <c r="AA97" i="5"/>
  <c r="AA98" i="5"/>
  <c r="AA100" i="5"/>
  <c r="AA101" i="5"/>
  <c r="AA102" i="5"/>
  <c r="AA103" i="5"/>
  <c r="AA104" i="5"/>
  <c r="AA106" i="5"/>
  <c r="AA109" i="5"/>
  <c r="AA110" i="5"/>
  <c r="AA111" i="5"/>
  <c r="AA112" i="5"/>
  <c r="AA113" i="5"/>
  <c r="AA114" i="5"/>
  <c r="AA115" i="5"/>
  <c r="AA116" i="5"/>
  <c r="AA117" i="5"/>
  <c r="AA118" i="5"/>
  <c r="AA119" i="5"/>
  <c r="AA120" i="5"/>
  <c r="AA121" i="5"/>
  <c r="AA122" i="5"/>
  <c r="AA123" i="5"/>
  <c r="AA124" i="5"/>
  <c r="AA125" i="5"/>
  <c r="AA126" i="5"/>
  <c r="AA127" i="5"/>
  <c r="AA128" i="5"/>
  <c r="AA129" i="5"/>
  <c r="AA130" i="5"/>
  <c r="AA132" i="5"/>
  <c r="AA133" i="5"/>
  <c r="AA134" i="5"/>
  <c r="AA135" i="5"/>
  <c r="AA138" i="5"/>
  <c r="AA139" i="5"/>
  <c r="AA140" i="5"/>
  <c r="AA141" i="5"/>
  <c r="AA142" i="5"/>
  <c r="AA143" i="5"/>
  <c r="AA144" i="5"/>
  <c r="AB2" i="5"/>
  <c r="AB3" i="5"/>
  <c r="AB4" i="5"/>
  <c r="AB5" i="5"/>
  <c r="AB6" i="5"/>
  <c r="AB7" i="5"/>
  <c r="AB9" i="5"/>
  <c r="AB10" i="5"/>
  <c r="AB11" i="5"/>
  <c r="AB12" i="5"/>
  <c r="AB14" i="5"/>
  <c r="AB16" i="5"/>
  <c r="AB19" i="5"/>
  <c r="AB20" i="5"/>
  <c r="AB21" i="5"/>
  <c r="AB22" i="5"/>
  <c r="AB23" i="5"/>
  <c r="AB24" i="5"/>
  <c r="AB25" i="5"/>
  <c r="AB26" i="5"/>
  <c r="AB27" i="5"/>
  <c r="AB28" i="5"/>
  <c r="AB29" i="5"/>
  <c r="AB30" i="5"/>
  <c r="AB31" i="5"/>
  <c r="AB32" i="5"/>
  <c r="AB33" i="5"/>
  <c r="AB34" i="5"/>
  <c r="AB35" i="5"/>
  <c r="AB36" i="5"/>
  <c r="AB37" i="5"/>
  <c r="AB40" i="5"/>
  <c r="AB41" i="5"/>
  <c r="AB43" i="5"/>
  <c r="AB44" i="5"/>
  <c r="AB45" i="5"/>
  <c r="AB47" i="5"/>
  <c r="AB48" i="5"/>
  <c r="AB49" i="5"/>
  <c r="AB50" i="5"/>
  <c r="AB51" i="5"/>
  <c r="AB52" i="5"/>
  <c r="AB55" i="5"/>
  <c r="AB56" i="5"/>
  <c r="AB57" i="5"/>
  <c r="AB58" i="5"/>
  <c r="AB59" i="5"/>
  <c r="AB60" i="5"/>
  <c r="AB61" i="5"/>
  <c r="AB62" i="5"/>
  <c r="AB63" i="5"/>
  <c r="AB64" i="5"/>
  <c r="AB65" i="5"/>
  <c r="AB66" i="5"/>
  <c r="AB67" i="5"/>
  <c r="AB68" i="5"/>
  <c r="AB69" i="5"/>
  <c r="AB73" i="5"/>
  <c r="AB74" i="5"/>
  <c r="AB76" i="5"/>
  <c r="AB77" i="5"/>
  <c r="AB78" i="5"/>
  <c r="AB79" i="5"/>
  <c r="AB80" i="5"/>
  <c r="AB81" i="5"/>
  <c r="AB82" i="5"/>
  <c r="AB83" i="5"/>
  <c r="AB84" i="5"/>
  <c r="AB85" i="5"/>
  <c r="AB86" i="5"/>
  <c r="AB89" i="5"/>
  <c r="AB90" i="5"/>
  <c r="AB91" i="5"/>
  <c r="AB92" i="5"/>
  <c r="AB93" i="5"/>
  <c r="AB94" i="5"/>
  <c r="AB95" i="5"/>
  <c r="AB96" i="5"/>
  <c r="AB97" i="5"/>
  <c r="AB98" i="5"/>
  <c r="AB99" i="5"/>
  <c r="AB100" i="5"/>
  <c r="AB101" i="5"/>
  <c r="AB102" i="5"/>
  <c r="AB103" i="5"/>
  <c r="AB104" i="5"/>
  <c r="AB106" i="5"/>
  <c r="AB109" i="5"/>
  <c r="AB110" i="5"/>
  <c r="AB111" i="5"/>
  <c r="AB112" i="5"/>
  <c r="AB113" i="5"/>
  <c r="AB114" i="5"/>
  <c r="AB115" i="5"/>
  <c r="AB116" i="5"/>
  <c r="AB117" i="5"/>
  <c r="AB118" i="5"/>
  <c r="AB119" i="5"/>
  <c r="AB120" i="5"/>
  <c r="AB121" i="5"/>
  <c r="AB122" i="5"/>
  <c r="AB123" i="5"/>
  <c r="AB124" i="5"/>
  <c r="AB125" i="5"/>
  <c r="AB126" i="5"/>
  <c r="AB127" i="5"/>
  <c r="AB128" i="5"/>
  <c r="AB129" i="5"/>
  <c r="AB130" i="5"/>
  <c r="AB132" i="5"/>
  <c r="AB133" i="5"/>
  <c r="AB134" i="5"/>
  <c r="AB135" i="5"/>
  <c r="AB138" i="5"/>
  <c r="AB139" i="5"/>
  <c r="AB140" i="5"/>
  <c r="AB141" i="5"/>
  <c r="AB142" i="5"/>
  <c r="AB143" i="5"/>
  <c r="AB144" i="5"/>
  <c r="AC2" i="5"/>
  <c r="AC3" i="5"/>
  <c r="AC4" i="5"/>
  <c r="AC5" i="5"/>
  <c r="AC6" i="5"/>
  <c r="AC7" i="5"/>
  <c r="AC9" i="5"/>
  <c r="AC11" i="5"/>
  <c r="AC12" i="5"/>
  <c r="AC14" i="5"/>
  <c r="AC16" i="5"/>
  <c r="AC19" i="5"/>
  <c r="AC20" i="5"/>
  <c r="AC21" i="5"/>
  <c r="AC22" i="5"/>
  <c r="AC23" i="5"/>
  <c r="AC24" i="5"/>
  <c r="AC25" i="5"/>
  <c r="AC26" i="5"/>
  <c r="AC27" i="5"/>
  <c r="AC28" i="5"/>
  <c r="AC29" i="5"/>
  <c r="AC30" i="5"/>
  <c r="AC31" i="5"/>
  <c r="AC32" i="5"/>
  <c r="AC33" i="5"/>
  <c r="AC34" i="5"/>
  <c r="AC35" i="5"/>
  <c r="AC36" i="5"/>
  <c r="AC37" i="5"/>
  <c r="AC40" i="5"/>
  <c r="AC41" i="5"/>
  <c r="AC43" i="5"/>
  <c r="AC44" i="5"/>
  <c r="AC45" i="5"/>
  <c r="AC47" i="5"/>
  <c r="AC48" i="5"/>
  <c r="AC49" i="5"/>
  <c r="AC50" i="5"/>
  <c r="AC51" i="5"/>
  <c r="AC52" i="5"/>
  <c r="AC55" i="5"/>
  <c r="AC56" i="5"/>
  <c r="AC57" i="5"/>
  <c r="AC58" i="5"/>
  <c r="AC59" i="5"/>
  <c r="AC60" i="5"/>
  <c r="AC61" i="5"/>
  <c r="AC62" i="5"/>
  <c r="AC63" i="5"/>
  <c r="AC64" i="5"/>
  <c r="AC65" i="5"/>
  <c r="AC66" i="5"/>
  <c r="AC67" i="5"/>
  <c r="AC68" i="5"/>
  <c r="AC69" i="5"/>
  <c r="AC73" i="5"/>
  <c r="AC74" i="5"/>
  <c r="AC76" i="5"/>
  <c r="AC77" i="5"/>
  <c r="AC78" i="5"/>
  <c r="AC79" i="5"/>
  <c r="AC80" i="5"/>
  <c r="AC81" i="5"/>
  <c r="AC82" i="5"/>
  <c r="AC83" i="5"/>
  <c r="AC84" i="5"/>
  <c r="AC85" i="5"/>
  <c r="AC89" i="5"/>
  <c r="AC90" i="5"/>
  <c r="AC91" i="5"/>
  <c r="AC92" i="5"/>
  <c r="AC93" i="5"/>
  <c r="AC94" i="5"/>
  <c r="AC95" i="5"/>
  <c r="AC96" i="5"/>
  <c r="AC97" i="5"/>
  <c r="AC98" i="5"/>
  <c r="AC99" i="5"/>
  <c r="AC100" i="5"/>
  <c r="AC101" i="5"/>
  <c r="AC102" i="5"/>
  <c r="AC103" i="5"/>
  <c r="AC104" i="5"/>
  <c r="AC106" i="5"/>
  <c r="AC109" i="5"/>
  <c r="AC110" i="5"/>
  <c r="AC111" i="5"/>
  <c r="AC112" i="5"/>
  <c r="AC113" i="5"/>
  <c r="AC114" i="5"/>
  <c r="AC115" i="5"/>
  <c r="AC116" i="5"/>
  <c r="AC117" i="5"/>
  <c r="AC118" i="5"/>
  <c r="AC119" i="5"/>
  <c r="AC120" i="5"/>
  <c r="AC121" i="5"/>
  <c r="AC122" i="5"/>
  <c r="AC123" i="5"/>
  <c r="AC124" i="5"/>
  <c r="AC125" i="5"/>
  <c r="AC126" i="5"/>
  <c r="AC127" i="5"/>
  <c r="AC128" i="5"/>
  <c r="AC129" i="5"/>
  <c r="AC130" i="5"/>
  <c r="AC132" i="5"/>
  <c r="AC133" i="5"/>
  <c r="AC134" i="5"/>
  <c r="AC135" i="5"/>
  <c r="AC138" i="5"/>
  <c r="AC139" i="5"/>
  <c r="AC140" i="5"/>
  <c r="AC141" i="5"/>
  <c r="AC142" i="5"/>
  <c r="AC143" i="5"/>
  <c r="AC144" i="5"/>
  <c r="AD2" i="5"/>
  <c r="AD3" i="5"/>
  <c r="AD4" i="5"/>
  <c r="AD5" i="5"/>
  <c r="AD6" i="5"/>
  <c r="AD7" i="5"/>
  <c r="AD9" i="5"/>
  <c r="AD10" i="5"/>
  <c r="AD11" i="5"/>
  <c r="AD12" i="5"/>
  <c r="AD14" i="5"/>
  <c r="AD16" i="5"/>
  <c r="AD20" i="5"/>
  <c r="AD21" i="5"/>
  <c r="AD22" i="5"/>
  <c r="AD23" i="5"/>
  <c r="AD25" i="5"/>
  <c r="AD26" i="5"/>
  <c r="AD27" i="5"/>
  <c r="AD28" i="5"/>
  <c r="AD29" i="5"/>
  <c r="AD30" i="5"/>
  <c r="AD31" i="5"/>
  <c r="AD32" i="5"/>
  <c r="AD33" i="5"/>
  <c r="AD34" i="5"/>
  <c r="AD37" i="5"/>
  <c r="AD40" i="5"/>
  <c r="AD41" i="5"/>
  <c r="AD43" i="5"/>
  <c r="AD44" i="5"/>
  <c r="AD45" i="5"/>
  <c r="AD47" i="5"/>
  <c r="AD49" i="5"/>
  <c r="AD50" i="5"/>
  <c r="AD51" i="5"/>
  <c r="AD55" i="5"/>
  <c r="AD56" i="5"/>
  <c r="AD57" i="5"/>
  <c r="AD58" i="5"/>
  <c r="AD61" i="5"/>
  <c r="AD62" i="5"/>
  <c r="AD63" i="5"/>
  <c r="AD64" i="5"/>
  <c r="AD65" i="5"/>
  <c r="AD66" i="5"/>
  <c r="AD67" i="5"/>
  <c r="AD68" i="5"/>
  <c r="AD69" i="5"/>
  <c r="AD73" i="5"/>
  <c r="AD74" i="5"/>
  <c r="AD76" i="5"/>
  <c r="AD77" i="5"/>
  <c r="AD78" i="5"/>
  <c r="AD79" i="5"/>
  <c r="AD80" i="5"/>
  <c r="AD81" i="5"/>
  <c r="AD82" i="5"/>
  <c r="AD83" i="5"/>
  <c r="AD84" i="5"/>
  <c r="AD85" i="5"/>
  <c r="AD86" i="5"/>
  <c r="AD88" i="5"/>
  <c r="AD89" i="5"/>
  <c r="AD90" i="5"/>
  <c r="AD91" i="5"/>
  <c r="AD92" i="5"/>
  <c r="AD93" i="5"/>
  <c r="AD95" i="5"/>
  <c r="AD96" i="5"/>
  <c r="AD97" i="5"/>
  <c r="AD99" i="5"/>
  <c r="AD100" i="5"/>
  <c r="AD101" i="5"/>
  <c r="AD102" i="5"/>
  <c r="AD103" i="5"/>
  <c r="AD104" i="5"/>
  <c r="AD106" i="5"/>
  <c r="AD109" i="5"/>
  <c r="AD110" i="5"/>
  <c r="AD111" i="5"/>
  <c r="AD112" i="5"/>
  <c r="AD115" i="5"/>
  <c r="AD117" i="5"/>
  <c r="AD118" i="5"/>
  <c r="AD120" i="5"/>
  <c r="AD121" i="5"/>
  <c r="AD122" i="5"/>
  <c r="AD123" i="5"/>
  <c r="AD124" i="5"/>
  <c r="AD125" i="5"/>
  <c r="AD126" i="5"/>
  <c r="AD127" i="5"/>
  <c r="AD128" i="5"/>
  <c r="AD129" i="5"/>
  <c r="AD133" i="5"/>
  <c r="AD134" i="5"/>
  <c r="AD135" i="5"/>
  <c r="AD139" i="5"/>
  <c r="AD140" i="5"/>
  <c r="AD142" i="5"/>
  <c r="AD143" i="5"/>
  <c r="AE2" i="5"/>
  <c r="AE3" i="5"/>
  <c r="AE4" i="5"/>
  <c r="AE5" i="5"/>
  <c r="AE6" i="5"/>
  <c r="AE7" i="5"/>
  <c r="AE9" i="5"/>
  <c r="AE10" i="5"/>
  <c r="AE11" i="5"/>
  <c r="AE12" i="5"/>
  <c r="AE14" i="5"/>
  <c r="AE16" i="5"/>
  <c r="AE19" i="5"/>
  <c r="AE20" i="5"/>
  <c r="AE21" i="5"/>
  <c r="AE22" i="5"/>
  <c r="AE23" i="5"/>
  <c r="AE24" i="5"/>
  <c r="AE25" i="5"/>
  <c r="AE26" i="5"/>
  <c r="AE27" i="5"/>
  <c r="AE28" i="5"/>
  <c r="AE29" i="5"/>
  <c r="AE30" i="5"/>
  <c r="AE31" i="5"/>
  <c r="AE32" i="5"/>
  <c r="AE33" i="5"/>
  <c r="AE34" i="5"/>
  <c r="AE36" i="5"/>
  <c r="AE37" i="5"/>
  <c r="AE39" i="5"/>
  <c r="AE40" i="5"/>
  <c r="AE41" i="5"/>
  <c r="AE43" i="5"/>
  <c r="AE44" i="5"/>
  <c r="AE45" i="5"/>
  <c r="AE47" i="5"/>
  <c r="AE48" i="5"/>
  <c r="AE49" i="5"/>
  <c r="AE50" i="5"/>
  <c r="AE51" i="5"/>
  <c r="AE52" i="5"/>
  <c r="AE55" i="5"/>
  <c r="AE56" i="5"/>
  <c r="AE57" i="5"/>
  <c r="AE58" i="5"/>
  <c r="AE59" i="5"/>
  <c r="AE60" i="5"/>
  <c r="AE61" i="5"/>
  <c r="AE62" i="5"/>
  <c r="AE63" i="5"/>
  <c r="AE64" i="5"/>
  <c r="AE65" i="5"/>
  <c r="AE66" i="5"/>
  <c r="AE67" i="5"/>
  <c r="AE68" i="5"/>
  <c r="AE69" i="5"/>
  <c r="AE73" i="5"/>
  <c r="AE74" i="5"/>
  <c r="AE76" i="5"/>
  <c r="AE77" i="5"/>
  <c r="AE78" i="5"/>
  <c r="AE79" i="5"/>
  <c r="AE80" i="5"/>
  <c r="AE81" i="5"/>
  <c r="AE82" i="5"/>
  <c r="AE83" i="5"/>
  <c r="AE84" i="5"/>
  <c r="AE85" i="5"/>
  <c r="AE88" i="5"/>
  <c r="AE89" i="5"/>
  <c r="AE90" i="5"/>
  <c r="AE91" i="5"/>
  <c r="AE92" i="5"/>
  <c r="AE93" i="5"/>
  <c r="AE94" i="5"/>
  <c r="AE95" i="5"/>
  <c r="AE96" i="5"/>
  <c r="AE97" i="5"/>
  <c r="AE98" i="5"/>
  <c r="AE99" i="5"/>
  <c r="AE100" i="5"/>
  <c r="AE101" i="5"/>
  <c r="AE102" i="5"/>
  <c r="AE103" i="5"/>
  <c r="AE104" i="5"/>
  <c r="AE106" i="5"/>
  <c r="AE109" i="5"/>
  <c r="AE110" i="5"/>
  <c r="AE111" i="5"/>
  <c r="AE112" i="5"/>
  <c r="AE113" i="5"/>
  <c r="AE114" i="5"/>
  <c r="AE115" i="5"/>
  <c r="AE118" i="5"/>
  <c r="AE119" i="5"/>
  <c r="AE120" i="5"/>
  <c r="AE121" i="5"/>
  <c r="AE122" i="5"/>
  <c r="AE123" i="5"/>
  <c r="AE124" i="5"/>
  <c r="AE125" i="5"/>
  <c r="AE126" i="5"/>
  <c r="AE127" i="5"/>
  <c r="AE128" i="5"/>
  <c r="AE129" i="5"/>
  <c r="AE130" i="5"/>
  <c r="AE132" i="5"/>
  <c r="AE133" i="5"/>
  <c r="AE134" i="5"/>
  <c r="AE135" i="5"/>
  <c r="AE138" i="5"/>
  <c r="AE139" i="5"/>
  <c r="AE140" i="5"/>
  <c r="AE141" i="5"/>
  <c r="AE142" i="5"/>
  <c r="AE143" i="5"/>
  <c r="AE144" i="5"/>
  <c r="AF2" i="5"/>
  <c r="AF3" i="5"/>
  <c r="AF4" i="5"/>
  <c r="AF5" i="5"/>
  <c r="AF6" i="5"/>
  <c r="AF7" i="5"/>
  <c r="AF9" i="5"/>
  <c r="AF10" i="5"/>
  <c r="AF11" i="5"/>
  <c r="AF12" i="5"/>
  <c r="AF14" i="5"/>
  <c r="AF16" i="5"/>
  <c r="AF19" i="5"/>
  <c r="AF20" i="5"/>
  <c r="AF21" i="5"/>
  <c r="AF22" i="5"/>
  <c r="AF23" i="5"/>
  <c r="AF24" i="5"/>
  <c r="AF25" i="5"/>
  <c r="AF26" i="5"/>
  <c r="AF27" i="5"/>
  <c r="AF28" i="5"/>
  <c r="AF29" i="5"/>
  <c r="AF30" i="5"/>
  <c r="AF31" i="5"/>
  <c r="AF32" i="5"/>
  <c r="AF33" i="5"/>
  <c r="AF34" i="5"/>
  <c r="AF35" i="5"/>
  <c r="AF36" i="5"/>
  <c r="AF37" i="5"/>
  <c r="AF39" i="5"/>
  <c r="AF40" i="5"/>
  <c r="AF41" i="5"/>
  <c r="AF43" i="5"/>
  <c r="AF44" i="5"/>
  <c r="AF45" i="5"/>
  <c r="AF47" i="5"/>
  <c r="AF48" i="5"/>
  <c r="AF49" i="5"/>
  <c r="AF50" i="5"/>
  <c r="AF51" i="5"/>
  <c r="AF52" i="5"/>
  <c r="AF55" i="5"/>
  <c r="AF56" i="5"/>
  <c r="AF57" i="5"/>
  <c r="AF58" i="5"/>
  <c r="AF59" i="5"/>
  <c r="AF60" i="5"/>
  <c r="AF61" i="5"/>
  <c r="AF62" i="5"/>
  <c r="AF63" i="5"/>
  <c r="AF64" i="5"/>
  <c r="AF65" i="5"/>
  <c r="AF66" i="5"/>
  <c r="AF67" i="5"/>
  <c r="AF68" i="5"/>
  <c r="AF69" i="5"/>
  <c r="AF73" i="5"/>
  <c r="AF74" i="5"/>
  <c r="AF76" i="5"/>
  <c r="AF77" i="5"/>
  <c r="AF78" i="5"/>
  <c r="AF80" i="5"/>
  <c r="AF81" i="5"/>
  <c r="AF82" i="5"/>
  <c r="AF83" i="5"/>
  <c r="AF84" i="5"/>
  <c r="AF85" i="5"/>
  <c r="AF88" i="5"/>
  <c r="AF89" i="5"/>
  <c r="AF90" i="5"/>
  <c r="AF91" i="5"/>
  <c r="AF92" i="5"/>
  <c r="AF93" i="5"/>
  <c r="AF94" i="5"/>
  <c r="AF95" i="5"/>
  <c r="AF96" i="5"/>
  <c r="AF97" i="5"/>
  <c r="AF98" i="5"/>
  <c r="AF99" i="5"/>
  <c r="AF100" i="5"/>
  <c r="AF101" i="5"/>
  <c r="AF102" i="5"/>
  <c r="AF103" i="5"/>
  <c r="AF104" i="5"/>
  <c r="AF106" i="5"/>
  <c r="AF109" i="5"/>
  <c r="AF110" i="5"/>
  <c r="AF111" i="5"/>
  <c r="AF112" i="5"/>
  <c r="AF113" i="5"/>
  <c r="AF114" i="5"/>
  <c r="AF115" i="5"/>
  <c r="AF116" i="5"/>
  <c r="AF117" i="5"/>
  <c r="AF118" i="5"/>
  <c r="AF119" i="5"/>
  <c r="AF120" i="5"/>
  <c r="AF121" i="5"/>
  <c r="AF122" i="5"/>
  <c r="AF123" i="5"/>
  <c r="AF124" i="5"/>
  <c r="AF125" i="5"/>
  <c r="AF126" i="5"/>
  <c r="AF127" i="5"/>
  <c r="AF128" i="5"/>
  <c r="AF129" i="5"/>
  <c r="AF130" i="5"/>
  <c r="AF132" i="5"/>
  <c r="AF133" i="5"/>
  <c r="AF134" i="5"/>
  <c r="AF135" i="5"/>
  <c r="AF138" i="5"/>
  <c r="AF139" i="5"/>
  <c r="AF140" i="5"/>
  <c r="AF141" i="5"/>
  <c r="AF142" i="5"/>
  <c r="AF143" i="5"/>
  <c r="AF144" i="5"/>
  <c r="AG2" i="5"/>
  <c r="AG3" i="5"/>
  <c r="AG4" i="5"/>
  <c r="AG5" i="5"/>
  <c r="AG6" i="5"/>
  <c r="AG9" i="5"/>
  <c r="AG10" i="5"/>
  <c r="AG11" i="5"/>
  <c r="AG16" i="5"/>
  <c r="AG19" i="5"/>
  <c r="AG20" i="5"/>
  <c r="AG21" i="5"/>
  <c r="AG22" i="5"/>
  <c r="AG23" i="5"/>
  <c r="AG25" i="5"/>
  <c r="AG26" i="5"/>
  <c r="AG27" i="5"/>
  <c r="AG28" i="5"/>
  <c r="AG29" i="5"/>
  <c r="AG30" i="5"/>
  <c r="AG31" i="5"/>
  <c r="AG33" i="5"/>
  <c r="AG36" i="5"/>
  <c r="AG37" i="5"/>
  <c r="AG40" i="5"/>
  <c r="AG41" i="5"/>
  <c r="AG44" i="5"/>
  <c r="AG45" i="5"/>
  <c r="AG47" i="5"/>
  <c r="AG48" i="5"/>
  <c r="AG49" i="5"/>
  <c r="AG50" i="5"/>
  <c r="AG51" i="5"/>
  <c r="AG52" i="5"/>
  <c r="AG55" i="5"/>
  <c r="AG56" i="5"/>
  <c r="AG57" i="5"/>
  <c r="AG58" i="5"/>
  <c r="AG59" i="5"/>
  <c r="AG60" i="5"/>
  <c r="AG62" i="5"/>
  <c r="AG63" i="5"/>
  <c r="AG64" i="5"/>
  <c r="AG66" i="5"/>
  <c r="AG68" i="5"/>
  <c r="AG69" i="5"/>
  <c r="AG74" i="5"/>
  <c r="AG76" i="5"/>
  <c r="AG77" i="5"/>
  <c r="AG78" i="5"/>
  <c r="AG79" i="5"/>
  <c r="AG80" i="5"/>
  <c r="AG81" i="5"/>
  <c r="AG82" i="5"/>
  <c r="AG83" i="5"/>
  <c r="AG84" i="5"/>
  <c r="AG85" i="5"/>
  <c r="AG88" i="5"/>
  <c r="AG89" i="5"/>
  <c r="AG90" i="5"/>
  <c r="AG91" i="5"/>
  <c r="AG92" i="5"/>
  <c r="AG93" i="5"/>
  <c r="AG95" i="5"/>
  <c r="AG97" i="5"/>
  <c r="AG98" i="5"/>
  <c r="AG99" i="5"/>
  <c r="AG100" i="5"/>
  <c r="AG101" i="5"/>
  <c r="AG102" i="5"/>
  <c r="AG103" i="5"/>
  <c r="AG104" i="5"/>
  <c r="AG106" i="5"/>
  <c r="AG109" i="5"/>
  <c r="AG110" i="5"/>
  <c r="AG111" i="5"/>
  <c r="AG112" i="5"/>
  <c r="AG115" i="5"/>
  <c r="AG116" i="5"/>
  <c r="AG118" i="5"/>
  <c r="AG119" i="5"/>
  <c r="AG120" i="5"/>
  <c r="AG121" i="5"/>
  <c r="AG122" i="5"/>
  <c r="AG123" i="5"/>
  <c r="AG124" i="5"/>
  <c r="AG125" i="5"/>
  <c r="AG126" i="5"/>
  <c r="AG127" i="5"/>
  <c r="AG129" i="5"/>
  <c r="AG133" i="5"/>
  <c r="AG134" i="5"/>
  <c r="AG135" i="5"/>
  <c r="AG138" i="5"/>
  <c r="AG139" i="5"/>
  <c r="AG140" i="5"/>
  <c r="AG141" i="5"/>
  <c r="AG142" i="5"/>
  <c r="AG143" i="5"/>
  <c r="AH2" i="5"/>
  <c r="AH3" i="5"/>
  <c r="AH4" i="5"/>
  <c r="AH5" i="5"/>
  <c r="AH6" i="5"/>
  <c r="AH7" i="5"/>
  <c r="AH9" i="5"/>
  <c r="AH11" i="5"/>
  <c r="AH12" i="5"/>
  <c r="AH14" i="5"/>
  <c r="AH16" i="5"/>
  <c r="AH20" i="5"/>
  <c r="AH21" i="5"/>
  <c r="AH22" i="5"/>
  <c r="AH23" i="5"/>
  <c r="AH25" i="5"/>
  <c r="AH26" i="5"/>
  <c r="AH27" i="5"/>
  <c r="AH28" i="5"/>
  <c r="AH29" i="5"/>
  <c r="AH30" i="5"/>
  <c r="AH31" i="5"/>
  <c r="AH32" i="5"/>
  <c r="AH33" i="5"/>
  <c r="AH34" i="5"/>
  <c r="AH35" i="5"/>
  <c r="AH36" i="5"/>
  <c r="AH37" i="5"/>
  <c r="AH40" i="5"/>
  <c r="AH41" i="5"/>
  <c r="AH43" i="5"/>
  <c r="AH44" i="5"/>
  <c r="AH45" i="5"/>
  <c r="AH47" i="5"/>
  <c r="AH48" i="5"/>
  <c r="AH49" i="5"/>
  <c r="AH50" i="5"/>
  <c r="AH51" i="5"/>
  <c r="AH52" i="5"/>
  <c r="AH55" i="5"/>
  <c r="AH56" i="5"/>
  <c r="AH57" i="5"/>
  <c r="AH58" i="5"/>
  <c r="AH59" i="5"/>
  <c r="AH60" i="5"/>
  <c r="AH61" i="5"/>
  <c r="AH62" i="5"/>
  <c r="AH63" i="5"/>
  <c r="AH64" i="5"/>
  <c r="AH65" i="5"/>
  <c r="AH66" i="5"/>
  <c r="AH68" i="5"/>
  <c r="AH69" i="5"/>
  <c r="AH73" i="5"/>
  <c r="AH74" i="5"/>
  <c r="AH76" i="5"/>
  <c r="AH77" i="5"/>
  <c r="AH78" i="5"/>
  <c r="AH79" i="5"/>
  <c r="AH81" i="5"/>
  <c r="AH82" i="5"/>
  <c r="AH83" i="5"/>
  <c r="AH84" i="5"/>
  <c r="AH85" i="5"/>
  <c r="AH88" i="5"/>
  <c r="AH90" i="5"/>
  <c r="AH91" i="5"/>
  <c r="AH92" i="5"/>
  <c r="AH93" i="5"/>
  <c r="AH94" i="5"/>
  <c r="AH96" i="5"/>
  <c r="AH97" i="5"/>
  <c r="AH98" i="5"/>
  <c r="AH99" i="5"/>
  <c r="AH100" i="5"/>
  <c r="AH102" i="5"/>
  <c r="AH103" i="5"/>
  <c r="AH104" i="5"/>
  <c r="AH106" i="5"/>
  <c r="AH109" i="5"/>
  <c r="AH110" i="5"/>
  <c r="AH111" i="5"/>
  <c r="AH112" i="5"/>
  <c r="AH113" i="5"/>
  <c r="AH114" i="5"/>
  <c r="AH115" i="5"/>
  <c r="AH116" i="5"/>
  <c r="AH117" i="5"/>
  <c r="AH118" i="5"/>
  <c r="AH119" i="5"/>
  <c r="AH120" i="5"/>
  <c r="AH121" i="5"/>
  <c r="AH122" i="5"/>
  <c r="AH123" i="5"/>
  <c r="AH124" i="5"/>
  <c r="AH125" i="5"/>
  <c r="AH126" i="5"/>
  <c r="AH127" i="5"/>
  <c r="AH128" i="5"/>
  <c r="AH129" i="5"/>
  <c r="AH133" i="5"/>
  <c r="AH134" i="5"/>
  <c r="AH135" i="5"/>
  <c r="AH139" i="5"/>
  <c r="AH140" i="5"/>
  <c r="AH142" i="5"/>
  <c r="AH144" i="5"/>
  <c r="AJ2" i="5"/>
  <c r="AJ3" i="5"/>
  <c r="AJ4" i="5"/>
  <c r="AJ5" i="5"/>
  <c r="AJ6" i="5"/>
  <c r="AJ7" i="5"/>
  <c r="AJ9" i="5"/>
  <c r="AJ10" i="5"/>
  <c r="AJ11" i="5"/>
  <c r="AJ12" i="5"/>
  <c r="AJ14" i="5"/>
  <c r="AJ16" i="5"/>
  <c r="AJ19" i="5"/>
  <c r="AJ20" i="5"/>
  <c r="AJ21" i="5"/>
  <c r="AJ22" i="5"/>
  <c r="AJ23" i="5"/>
  <c r="AJ24" i="5"/>
  <c r="AJ25" i="5"/>
  <c r="AJ26" i="5"/>
  <c r="AJ27" i="5"/>
  <c r="AJ28" i="5"/>
  <c r="AJ29" i="5"/>
  <c r="AJ30" i="5"/>
  <c r="AJ31" i="5"/>
  <c r="AJ32" i="5"/>
  <c r="AJ33" i="5"/>
  <c r="AJ35" i="5"/>
  <c r="AJ36" i="5"/>
  <c r="AJ37" i="5"/>
  <c r="AJ39" i="5"/>
  <c r="AJ40" i="5"/>
  <c r="AJ41" i="5"/>
  <c r="AJ43" i="5"/>
  <c r="AJ44" i="5"/>
  <c r="AJ45" i="5"/>
  <c r="AJ47" i="5"/>
  <c r="AJ48" i="5"/>
  <c r="AJ49" i="5"/>
  <c r="AJ50" i="5"/>
  <c r="AJ51" i="5"/>
  <c r="AJ52" i="5"/>
  <c r="AJ55" i="5"/>
  <c r="AJ56" i="5"/>
  <c r="AJ57" i="5"/>
  <c r="AJ58" i="5"/>
  <c r="AJ59" i="5"/>
  <c r="AJ60" i="5"/>
  <c r="AJ61" i="5"/>
  <c r="AJ62" i="5"/>
  <c r="AJ63" i="5"/>
  <c r="AJ64" i="5"/>
  <c r="AJ65" i="5"/>
  <c r="AJ66" i="5"/>
  <c r="AJ67" i="5"/>
  <c r="AJ68" i="5"/>
  <c r="AJ69" i="5"/>
  <c r="AJ73" i="5"/>
  <c r="AJ74" i="5"/>
  <c r="AJ76" i="5"/>
  <c r="AJ77" i="5"/>
  <c r="AJ78" i="5"/>
  <c r="AJ81" i="5"/>
  <c r="AJ82" i="5"/>
  <c r="AJ83" i="5"/>
  <c r="AJ84" i="5"/>
  <c r="AJ85" i="5"/>
  <c r="AJ86" i="5"/>
  <c r="AJ88" i="5"/>
  <c r="AJ89" i="5"/>
  <c r="AJ90" i="5"/>
  <c r="AJ91" i="5"/>
  <c r="AJ92" i="5"/>
  <c r="AJ93" i="5"/>
  <c r="AJ94" i="5"/>
  <c r="AJ95" i="5"/>
  <c r="AJ96" i="5"/>
  <c r="AJ97" i="5"/>
  <c r="AJ98" i="5"/>
  <c r="AJ99" i="5"/>
  <c r="AJ101" i="5"/>
  <c r="AJ102" i="5"/>
  <c r="AJ103" i="5"/>
  <c r="AJ104" i="5"/>
  <c r="AJ109" i="5"/>
  <c r="AJ110" i="5"/>
  <c r="AJ111" i="5"/>
  <c r="AJ112" i="5"/>
  <c r="AJ113" i="5"/>
  <c r="AJ114" i="5"/>
  <c r="AJ115" i="5"/>
  <c r="AJ116" i="5"/>
  <c r="AJ117" i="5"/>
  <c r="AJ118" i="5"/>
  <c r="AJ119" i="5"/>
  <c r="AJ120" i="5"/>
  <c r="AJ121" i="5"/>
  <c r="AJ122" i="5"/>
  <c r="AJ123" i="5"/>
  <c r="AJ124" i="5"/>
  <c r="AJ125" i="5"/>
  <c r="AJ126" i="5"/>
  <c r="AJ127" i="5"/>
  <c r="AJ128" i="5"/>
  <c r="AJ129" i="5"/>
  <c r="AJ130" i="5"/>
  <c r="AJ132" i="5"/>
  <c r="AJ133" i="5"/>
  <c r="AJ134" i="5"/>
  <c r="AJ135" i="5"/>
  <c r="AJ138" i="5"/>
  <c r="AJ139" i="5"/>
  <c r="AJ140" i="5"/>
  <c r="AJ141" i="5"/>
  <c r="AJ142" i="5"/>
  <c r="AJ143" i="5"/>
  <c r="AJ144" i="5"/>
  <c r="AK2" i="5"/>
  <c r="AK3" i="5"/>
  <c r="AK4" i="5"/>
  <c r="AK5" i="5"/>
  <c r="AK6" i="5"/>
  <c r="AK7" i="5"/>
  <c r="AK9" i="5"/>
  <c r="AK10" i="5"/>
  <c r="AK11" i="5"/>
  <c r="AK12" i="5"/>
  <c r="AK14" i="5"/>
  <c r="AK16" i="5"/>
  <c r="AK19" i="5"/>
  <c r="AK20" i="5"/>
  <c r="AK21" i="5"/>
  <c r="AK22" i="5"/>
  <c r="AK23" i="5"/>
  <c r="AK24" i="5"/>
  <c r="AK25" i="5"/>
  <c r="AK26" i="5"/>
  <c r="AK27" i="5"/>
  <c r="AK28" i="5"/>
  <c r="AK29" i="5"/>
  <c r="AK30" i="5"/>
  <c r="AK31" i="5"/>
  <c r="AK32" i="5"/>
  <c r="AK33" i="5"/>
  <c r="AK34" i="5"/>
  <c r="AK35" i="5"/>
  <c r="AK36" i="5"/>
  <c r="AK37" i="5"/>
  <c r="AK39" i="5"/>
  <c r="AK40" i="5"/>
  <c r="AK41" i="5"/>
  <c r="AK43" i="5"/>
  <c r="AK44" i="5"/>
  <c r="AK45" i="5"/>
  <c r="AK47" i="5"/>
  <c r="AK48" i="5"/>
  <c r="AK49" i="5"/>
  <c r="AK50" i="5"/>
  <c r="AK51" i="5"/>
  <c r="AK52" i="5"/>
  <c r="AK55" i="5"/>
  <c r="AK56" i="5"/>
  <c r="AK57" i="5"/>
  <c r="AK58" i="5"/>
  <c r="AK59" i="5"/>
  <c r="AK60" i="5"/>
  <c r="AK61" i="5"/>
  <c r="AK62" i="5"/>
  <c r="AK63" i="5"/>
  <c r="AK64" i="5"/>
  <c r="AK65" i="5"/>
  <c r="AK66" i="5"/>
  <c r="AK67" i="5"/>
  <c r="AK68" i="5"/>
  <c r="AK69" i="5"/>
  <c r="AK73" i="5"/>
  <c r="AK74" i="5"/>
  <c r="AK76" i="5"/>
  <c r="AK77" i="5"/>
  <c r="AK78" i="5"/>
  <c r="AK79" i="5"/>
  <c r="AK80" i="5"/>
  <c r="AK81" i="5"/>
  <c r="AK82" i="5"/>
  <c r="AK83" i="5"/>
  <c r="AK84" i="5"/>
  <c r="AK85" i="5"/>
  <c r="AK86" i="5"/>
  <c r="AK88" i="5"/>
  <c r="AK89" i="5"/>
  <c r="AK90" i="5"/>
  <c r="AK91" i="5"/>
  <c r="AK92" i="5"/>
  <c r="AK93" i="5"/>
  <c r="AK94" i="5"/>
  <c r="AK95" i="5"/>
  <c r="AK96" i="5"/>
  <c r="AK97" i="5"/>
  <c r="AK98" i="5"/>
  <c r="AK99" i="5"/>
  <c r="AK100" i="5"/>
  <c r="AK101" i="5"/>
  <c r="AK102" i="5"/>
  <c r="AK103" i="5"/>
  <c r="AK104" i="5"/>
  <c r="AK106" i="5"/>
  <c r="AK109" i="5"/>
  <c r="AK110" i="5"/>
  <c r="AK111" i="5"/>
  <c r="AK112" i="5"/>
  <c r="AK113" i="5"/>
  <c r="AK114" i="5"/>
  <c r="AK115" i="5"/>
  <c r="AK118" i="5"/>
  <c r="AK119" i="5"/>
  <c r="AK120" i="5"/>
  <c r="AK121" i="5"/>
  <c r="AK122" i="5"/>
  <c r="AK123" i="5"/>
  <c r="AK124" i="5"/>
  <c r="AK125" i="5"/>
  <c r="AK126" i="5"/>
  <c r="AK127" i="5"/>
  <c r="AK128" i="5"/>
  <c r="AK130" i="5"/>
  <c r="AK132" i="5"/>
  <c r="AK133" i="5"/>
  <c r="AK134" i="5"/>
  <c r="AK135" i="5"/>
  <c r="AK138" i="5"/>
  <c r="AK139" i="5"/>
  <c r="AK140" i="5"/>
  <c r="AK141" i="5"/>
  <c r="AK142" i="5"/>
  <c r="AK143" i="5"/>
  <c r="AK144" i="5"/>
  <c r="AL2" i="5"/>
  <c r="AL3" i="5"/>
  <c r="AL4" i="5"/>
  <c r="AL5" i="5"/>
  <c r="AL6" i="5"/>
  <c r="AL7" i="5"/>
  <c r="AL9" i="5"/>
  <c r="AL10" i="5"/>
  <c r="AL11" i="5"/>
  <c r="AL12" i="5"/>
  <c r="AL14" i="5"/>
  <c r="AL16" i="5"/>
  <c r="AL19" i="5"/>
  <c r="AL20" i="5"/>
  <c r="AL21" i="5"/>
  <c r="AL22" i="5"/>
  <c r="AL23" i="5"/>
  <c r="AL25" i="5"/>
  <c r="AL26" i="5"/>
  <c r="AL27" i="5"/>
  <c r="AL28" i="5"/>
  <c r="AL29" i="5"/>
  <c r="AL30" i="5"/>
  <c r="AL31" i="5"/>
  <c r="AL32" i="5"/>
  <c r="AL33" i="5"/>
  <c r="AL34" i="5"/>
  <c r="AL35" i="5"/>
  <c r="AL36" i="5"/>
  <c r="AL37" i="5"/>
  <c r="AL39" i="5"/>
  <c r="AL40" i="5"/>
  <c r="AL41" i="5"/>
  <c r="AL43" i="5"/>
  <c r="AL44" i="5"/>
  <c r="AL45" i="5"/>
  <c r="AL47" i="5"/>
  <c r="AL48" i="5"/>
  <c r="AL49" i="5"/>
  <c r="AL50" i="5"/>
  <c r="AL51" i="5"/>
  <c r="AL55" i="5"/>
  <c r="AL56" i="5"/>
  <c r="AL57" i="5"/>
  <c r="AL58" i="5"/>
  <c r="AL59" i="5"/>
  <c r="AL60" i="5"/>
  <c r="AL61" i="5"/>
  <c r="AL62" i="5"/>
  <c r="AL63" i="5"/>
  <c r="AL64" i="5"/>
  <c r="AL65" i="5"/>
  <c r="AL66" i="5"/>
  <c r="AL67" i="5"/>
  <c r="AL68" i="5"/>
  <c r="AL69" i="5"/>
  <c r="AL73" i="5"/>
  <c r="AL74" i="5"/>
  <c r="AL76" i="5"/>
  <c r="AL77" i="5"/>
  <c r="AL78" i="5"/>
  <c r="AL79" i="5"/>
  <c r="AL80" i="5"/>
  <c r="AL81" i="5"/>
  <c r="AL82" i="5"/>
  <c r="AL83" i="5"/>
  <c r="AL84" i="5"/>
  <c r="AL85" i="5"/>
  <c r="AL86" i="5"/>
  <c r="AL88" i="5"/>
  <c r="AL89" i="5"/>
  <c r="AL90" i="5"/>
  <c r="AL91" i="5"/>
  <c r="AL92" i="5"/>
  <c r="AL93" i="5"/>
  <c r="AL94" i="5"/>
  <c r="AL95" i="5"/>
  <c r="AL96" i="5"/>
  <c r="AL97" i="5"/>
  <c r="AL98" i="5"/>
  <c r="AL99" i="5"/>
  <c r="AL100" i="5"/>
  <c r="AL101" i="5"/>
  <c r="AL102" i="5"/>
  <c r="AL103" i="5"/>
  <c r="AL104" i="5"/>
  <c r="AL106" i="5"/>
  <c r="AL109" i="5"/>
  <c r="AL110" i="5"/>
  <c r="AL111" i="5"/>
  <c r="AL112" i="5"/>
  <c r="AL113" i="5"/>
  <c r="AL114" i="5"/>
  <c r="AL115" i="5"/>
  <c r="AL116" i="5"/>
  <c r="AL118" i="5"/>
  <c r="AL119" i="5"/>
  <c r="AL120" i="5"/>
  <c r="AL121" i="5"/>
  <c r="AL122" i="5"/>
  <c r="AL123" i="5"/>
  <c r="AL124" i="5"/>
  <c r="AL125" i="5"/>
  <c r="AL127" i="5"/>
  <c r="AL128" i="5"/>
  <c r="AL129" i="5"/>
  <c r="AL130" i="5"/>
  <c r="AL132" i="5"/>
  <c r="AL133" i="5"/>
  <c r="AL134" i="5"/>
  <c r="AL135" i="5"/>
  <c r="AL138" i="5"/>
  <c r="AL139" i="5"/>
  <c r="AL140" i="5"/>
  <c r="AL141" i="5"/>
  <c r="AL142" i="5"/>
  <c r="AL143" i="5"/>
  <c r="AL144" i="5"/>
  <c r="AM55" i="5"/>
  <c r="AM56" i="5"/>
  <c r="AM57" i="5"/>
  <c r="AM58" i="5"/>
  <c r="AM59" i="5"/>
  <c r="AM60" i="5"/>
  <c r="AM61" i="5"/>
  <c r="AM62" i="5"/>
  <c r="AM63" i="5"/>
  <c r="AM64" i="5"/>
  <c r="AM66" i="5"/>
  <c r="AM67" i="5"/>
  <c r="AM68" i="5"/>
  <c r="AM69" i="5"/>
  <c r="AM73" i="5"/>
  <c r="AM74" i="5"/>
  <c r="AM76" i="5"/>
  <c r="AM77" i="5"/>
  <c r="AM78" i="5"/>
  <c r="AM79" i="5"/>
  <c r="AM80" i="5"/>
  <c r="AM81" i="5"/>
  <c r="AM82" i="5"/>
  <c r="AM83" i="5"/>
  <c r="AM84" i="5"/>
  <c r="AM85" i="5"/>
  <c r="AM86" i="5"/>
  <c r="AM88" i="5"/>
  <c r="AM89" i="5"/>
  <c r="AM90" i="5"/>
  <c r="AM91" i="5"/>
  <c r="AM92" i="5"/>
  <c r="AM93" i="5"/>
  <c r="AM94" i="5"/>
  <c r="AM97" i="5"/>
  <c r="AM98" i="5"/>
  <c r="AM99" i="5"/>
  <c r="AM100" i="5"/>
  <c r="AM102" i="5"/>
  <c r="AM103" i="5"/>
  <c r="AM104" i="5"/>
  <c r="AM106" i="5"/>
  <c r="AM110" i="5"/>
  <c r="AM111" i="5"/>
  <c r="AM112" i="5"/>
  <c r="AM115" i="5"/>
  <c r="AM116" i="5"/>
  <c r="AM118" i="5"/>
  <c r="AM119" i="5"/>
  <c r="AM120" i="5"/>
  <c r="AM121" i="5"/>
  <c r="AM122" i="5"/>
  <c r="AM123" i="5"/>
  <c r="AM124" i="5"/>
  <c r="AM125" i="5"/>
  <c r="AM127" i="5"/>
  <c r="AM129" i="5"/>
  <c r="AM130" i="5"/>
  <c r="AM133" i="5"/>
  <c r="AM134" i="5"/>
  <c r="AM135" i="5"/>
  <c r="AM138" i="5"/>
  <c r="AM139" i="5"/>
  <c r="AM140" i="5"/>
  <c r="AM141" i="5"/>
  <c r="AM142" i="5"/>
  <c r="AM143" i="5"/>
  <c r="AM144" i="5"/>
  <c r="AO2" i="5"/>
  <c r="AO3" i="5"/>
  <c r="AO4" i="5"/>
  <c r="AO5" i="5"/>
  <c r="AO6" i="5"/>
  <c r="AO7" i="5"/>
  <c r="AO9" i="5"/>
  <c r="AO10" i="5"/>
  <c r="AO11" i="5"/>
  <c r="AO12" i="5"/>
  <c r="AO14" i="5"/>
  <c r="AO16" i="5"/>
  <c r="AO19" i="5"/>
  <c r="AO20" i="5"/>
  <c r="AO21" i="5"/>
  <c r="AO22" i="5"/>
  <c r="AO23" i="5"/>
  <c r="AO24" i="5"/>
  <c r="AO25" i="5"/>
  <c r="AO26" i="5"/>
  <c r="AO27" i="5"/>
  <c r="AO28" i="5"/>
  <c r="AO29" i="5"/>
  <c r="AO30" i="5"/>
  <c r="AO31" i="5"/>
  <c r="AO32" i="5"/>
  <c r="AO33" i="5"/>
  <c r="AO34" i="5"/>
  <c r="AO35" i="5"/>
  <c r="AO36" i="5"/>
  <c r="AO37" i="5"/>
  <c r="AO39" i="5"/>
  <c r="AO40" i="5"/>
  <c r="AO41" i="5"/>
  <c r="AO43" i="5"/>
  <c r="AO44" i="5"/>
  <c r="AO45" i="5"/>
  <c r="AO47" i="5"/>
  <c r="AO48" i="5"/>
  <c r="AO49" i="5"/>
  <c r="AO50" i="5"/>
  <c r="AO51" i="5"/>
  <c r="AO52" i="5"/>
  <c r="AO53" i="5"/>
  <c r="AO55" i="5"/>
  <c r="AO56" i="5"/>
  <c r="AO57" i="5"/>
  <c r="AO58" i="5"/>
  <c r="AO59" i="5"/>
  <c r="AO60" i="5"/>
  <c r="AO61" i="5"/>
  <c r="AO62" i="5"/>
  <c r="AO63" i="5"/>
  <c r="AO64" i="5"/>
  <c r="AO65" i="5"/>
  <c r="AO66" i="5"/>
  <c r="AO67" i="5"/>
  <c r="AO68" i="5"/>
  <c r="AO69" i="5"/>
  <c r="AO72" i="5"/>
  <c r="AO73" i="5"/>
  <c r="AO74" i="5"/>
  <c r="AO76" i="5"/>
  <c r="AO77" i="5"/>
  <c r="AO78" i="5"/>
  <c r="AO79" i="5"/>
  <c r="AO80" i="5"/>
  <c r="AO81" i="5"/>
  <c r="AO82" i="5"/>
  <c r="AO83" i="5"/>
  <c r="AO84" i="5"/>
  <c r="AO85" i="5"/>
  <c r="AO86" i="5"/>
  <c r="AO88" i="5"/>
  <c r="AO89" i="5"/>
  <c r="AO90" i="5"/>
  <c r="AO91" i="5"/>
  <c r="AO92" i="5"/>
  <c r="AO93" i="5"/>
  <c r="AO94" i="5"/>
  <c r="AO95" i="5"/>
  <c r="AO96" i="5"/>
  <c r="AO97" i="5"/>
  <c r="AO98" i="5"/>
  <c r="AO99" i="5"/>
  <c r="AO100" i="5"/>
  <c r="AO101" i="5"/>
  <c r="AO102" i="5"/>
  <c r="AO103" i="5"/>
  <c r="AO104" i="5"/>
  <c r="AO106" i="5"/>
  <c r="AO109" i="5"/>
  <c r="AO110" i="5"/>
  <c r="AO111" i="5"/>
  <c r="AO112" i="5"/>
  <c r="AO113" i="5"/>
  <c r="AO114" i="5"/>
  <c r="AO115" i="5"/>
  <c r="AO116" i="5"/>
  <c r="AO117" i="5"/>
  <c r="AO118" i="5"/>
  <c r="AO119" i="5"/>
  <c r="AO120" i="5"/>
  <c r="AO121" i="5"/>
  <c r="AO122" i="5"/>
  <c r="AO123" i="5"/>
  <c r="AO124" i="5"/>
  <c r="AO125" i="5"/>
  <c r="AO126" i="5"/>
  <c r="AO127" i="5"/>
  <c r="AO129" i="5"/>
  <c r="AO130" i="5"/>
  <c r="AO132" i="5"/>
  <c r="AO133" i="5"/>
  <c r="AO134" i="5"/>
  <c r="AO135" i="5"/>
  <c r="AO138" i="5"/>
  <c r="AO139" i="5"/>
  <c r="AO140" i="5"/>
  <c r="AO141" i="5"/>
  <c r="AO142" i="5"/>
  <c r="AO143" i="5"/>
  <c r="AO144"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70" i="9"/>
  <c r="C22" i="9"/>
  <c r="C21"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14" i="8"/>
  <c r="F33" i="8"/>
  <c r="F55" i="8"/>
  <c r="F56" i="8"/>
  <c r="F69" i="8"/>
  <c r="F73" i="8"/>
  <c r="F97" i="8"/>
  <c r="F116" i="8"/>
  <c r="F117" i="8"/>
  <c r="F124" i="8"/>
  <c r="F130" i="8"/>
  <c r="E147" i="8"/>
  <c r="J5" i="11"/>
  <c r="E56" i="8"/>
  <c r="E69" i="8"/>
  <c r="E97" i="8"/>
  <c r="E101" i="8"/>
  <c r="E116" i="8"/>
  <c r="E117" i="8"/>
  <c r="E124" i="8"/>
  <c r="E130" i="8"/>
  <c r="D147" i="8"/>
  <c r="D5" i="11"/>
  <c r="D27" i="8"/>
  <c r="D55" i="8"/>
  <c r="D69" i="8"/>
  <c r="D97" i="8"/>
  <c r="D116" i="8"/>
  <c r="D117" i="8"/>
  <c r="Q19" i="11"/>
  <c r="C147" i="8"/>
  <c r="C69" i="8"/>
  <c r="C76" i="8"/>
  <c r="C97" i="8"/>
  <c r="C116" i="8"/>
  <c r="C117"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P1435" i="1"/>
  <c r="M1435" i="1"/>
  <c r="P1434" i="1"/>
  <c r="M1434" i="1"/>
  <c r="P1433" i="1"/>
  <c r="M1433"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BL16" i="4"/>
  <c r="BL15" i="4"/>
  <c r="BL14" i="4"/>
  <c r="BL13" i="4"/>
  <c r="BL12" i="4"/>
  <c r="BL11" i="4"/>
  <c r="BL10" i="4"/>
  <c r="BL9" i="4"/>
  <c r="BL8" i="4"/>
  <c r="BB75" i="4"/>
  <c r="BB74" i="4"/>
  <c r="BB48" i="4"/>
  <c r="BB47" i="4"/>
  <c r="BB46" i="4"/>
  <c r="BB45" i="4"/>
  <c r="BB44" i="4"/>
  <c r="BB43" i="4"/>
  <c r="BB42" i="4"/>
  <c r="BB41" i="4"/>
  <c r="BB40" i="4"/>
  <c r="BB39" i="4"/>
  <c r="BB38" i="4"/>
  <c r="BB37" i="4"/>
  <c r="BB36" i="4"/>
  <c r="BB35" i="4"/>
  <c r="BB34" i="4"/>
  <c r="BB33" i="4"/>
  <c r="BB32" i="4"/>
  <c r="BB31" i="4"/>
  <c r="BB30" i="4"/>
  <c r="BB29" i="4"/>
  <c r="BB28" i="4"/>
  <c r="AW4" i="4"/>
  <c r="AW5" i="4"/>
  <c r="AW6" i="4"/>
  <c r="AW7" i="4"/>
  <c r="AW8" i="4"/>
  <c r="AW9" i="4"/>
  <c r="AW10" i="4"/>
  <c r="AW11" i="4"/>
  <c r="AW12" i="4"/>
  <c r="AW13" i="4"/>
  <c r="AW14" i="4"/>
  <c r="AW15" i="4"/>
  <c r="AW16" i="4"/>
  <c r="AR75" i="4"/>
  <c r="AR74" i="4"/>
  <c r="AR48" i="4"/>
  <c r="AR47" i="4"/>
  <c r="AR46" i="4"/>
  <c r="AR45" i="4"/>
  <c r="AR44" i="4"/>
  <c r="AR43" i="4"/>
  <c r="AR42" i="4"/>
  <c r="AR41" i="4"/>
  <c r="AR40" i="4"/>
  <c r="AR39" i="4"/>
  <c r="AR38" i="4"/>
  <c r="AR37" i="4"/>
  <c r="AR36" i="4"/>
  <c r="AR35" i="4"/>
  <c r="AR34" i="4"/>
  <c r="AR33" i="4"/>
  <c r="AR32" i="4"/>
  <c r="AR31" i="4"/>
  <c r="AR30" i="4"/>
  <c r="AR29" i="4"/>
  <c r="AR28" i="4"/>
  <c r="AR27" i="4"/>
  <c r="AR26" i="4"/>
  <c r="AR25" i="4"/>
  <c r="AR24" i="4"/>
  <c r="AR23" i="4"/>
  <c r="AR22" i="4"/>
  <c r="AR21" i="4"/>
  <c r="AH75" i="4"/>
  <c r="AH74" i="4"/>
  <c r="AH48" i="4"/>
  <c r="AH47" i="4"/>
  <c r="AH46" i="4"/>
  <c r="AH45" i="4"/>
  <c r="AH44" i="4"/>
  <c r="AH43" i="4"/>
  <c r="AH42" i="4"/>
  <c r="AH41" i="4"/>
  <c r="AH40" i="4"/>
  <c r="AH39" i="4"/>
  <c r="AH38" i="4"/>
  <c r="AH37" i="4"/>
  <c r="AH36" i="4"/>
  <c r="AH35" i="4"/>
  <c r="AH34" i="4"/>
  <c r="AH33" i="4"/>
  <c r="AH32" i="4"/>
  <c r="AH26" i="4"/>
  <c r="AH27" i="4"/>
  <c r="AH28" i="4"/>
  <c r="AH29" i="4"/>
  <c r="AH30"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P1432" i="1"/>
  <c r="M1432" i="1"/>
  <c r="P1431" i="1"/>
  <c r="M1431" i="1"/>
  <c r="P1430" i="1"/>
  <c r="M1430" i="1"/>
  <c r="P1427" i="1"/>
  <c r="M1427" i="1"/>
  <c r="P1426" i="1"/>
  <c r="M1426"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M1380" i="1"/>
  <c r="P1379" i="1"/>
  <c r="M1379" i="1"/>
  <c r="P1378" i="1"/>
  <c r="M1378" i="1"/>
  <c r="M1377" i="1"/>
  <c r="P1376" i="1"/>
  <c r="M1376" i="1"/>
  <c r="M1375" i="1"/>
  <c r="M1374" i="1"/>
  <c r="P1373" i="1"/>
  <c r="M1373" i="1"/>
  <c r="M1372" i="1"/>
  <c r="P1372" i="1"/>
  <c r="M1371" i="1"/>
  <c r="P1370" i="1"/>
  <c r="M1370" i="1"/>
  <c r="P1369" i="1"/>
  <c r="M1369" i="1"/>
  <c r="M1368" i="1"/>
  <c r="M1367" i="1"/>
  <c r="P1367" i="1"/>
  <c r="P1366" i="1"/>
  <c r="M1366" i="1"/>
  <c r="M1365" i="1"/>
  <c r="P1364" i="1"/>
  <c r="M1364" i="1"/>
  <c r="P1363" i="1"/>
  <c r="M1363" i="1"/>
  <c r="M1362" i="1"/>
  <c r="M1361" i="1"/>
  <c r="P1360" i="1"/>
  <c r="M1360" i="1"/>
  <c r="M1359" i="1"/>
  <c r="P1358" i="1"/>
  <c r="M1358" i="1"/>
  <c r="P1357" i="1"/>
  <c r="M1357" i="1"/>
  <c r="M1356" i="1"/>
  <c r="P1355" i="1"/>
  <c r="M1355" i="1"/>
  <c r="P1354" i="1"/>
  <c r="M1354" i="1"/>
  <c r="M1353" i="1"/>
  <c r="P1352" i="1"/>
  <c r="M1352" i="1"/>
  <c r="P1351" i="1"/>
  <c r="M1351" i="1"/>
  <c r="M1350" i="1"/>
  <c r="P1349" i="1"/>
  <c r="M1349" i="1"/>
  <c r="P1348" i="1"/>
  <c r="M1348" i="1"/>
  <c r="M1347" i="1"/>
  <c r="P1346" i="1"/>
  <c r="M1346" i="1"/>
  <c r="M1345" i="1"/>
  <c r="M1344" i="1"/>
  <c r="P1343" i="1"/>
  <c r="M1343" i="1"/>
  <c r="P1342" i="1"/>
  <c r="M1342" i="1"/>
  <c r="M1341" i="1"/>
  <c r="M1340" i="1"/>
  <c r="P1340" i="1"/>
  <c r="P1339" i="1"/>
  <c r="M1339" i="1"/>
  <c r="M1338" i="1"/>
  <c r="P1337" i="1"/>
  <c r="M1337" i="1"/>
  <c r="P1336" i="1"/>
  <c r="M1336" i="1"/>
  <c r="M1335" i="1"/>
  <c r="M1334" i="1"/>
  <c r="P1333" i="1"/>
  <c r="M1333" i="1"/>
  <c r="M1332" i="1"/>
  <c r="P1331" i="1"/>
  <c r="M1331" i="1"/>
  <c r="P1330" i="1"/>
  <c r="M1330" i="1"/>
  <c r="M1329" i="1"/>
  <c r="P1328" i="1"/>
  <c r="M1328" i="1"/>
  <c r="P1327" i="1"/>
  <c r="M1327" i="1"/>
  <c r="M1326" i="1"/>
  <c r="P1325" i="1"/>
  <c r="M1325" i="1"/>
  <c r="P1324" i="1"/>
  <c r="M1324" i="1"/>
  <c r="M1323" i="1"/>
  <c r="P1322" i="1"/>
  <c r="M1322" i="1"/>
  <c r="P1321" i="1"/>
  <c r="M1321" i="1"/>
  <c r="M1320" i="1"/>
  <c r="P1319" i="1"/>
  <c r="M1319" i="1"/>
  <c r="M1318" i="1"/>
  <c r="M1317" i="1"/>
  <c r="P1315" i="1"/>
  <c r="P1316" i="1"/>
  <c r="M1316" i="1"/>
  <c r="M1315" i="1"/>
  <c r="M1314" i="1"/>
  <c r="L55" i="8"/>
  <c r="L56" i="8"/>
  <c r="L69" i="8"/>
  <c r="L92" i="8"/>
  <c r="L97" i="8"/>
  <c r="L99" i="8"/>
  <c r="L102" i="8"/>
  <c r="L115" i="8"/>
  <c r="L116" i="8"/>
  <c r="L117" i="8"/>
  <c r="L127" i="8"/>
  <c r="L133" i="8"/>
  <c r="J55" i="8"/>
  <c r="J56" i="8"/>
  <c r="J57" i="8"/>
  <c r="J69" i="8"/>
  <c r="J93" i="8"/>
  <c r="J97" i="8"/>
  <c r="J99" i="8"/>
  <c r="J115" i="8"/>
  <c r="J116" i="8"/>
  <c r="J117" i="8"/>
  <c r="J119" i="8"/>
  <c r="J124" i="8"/>
  <c r="J127" i="8"/>
  <c r="J129" i="8"/>
  <c r="J133" i="8"/>
  <c r="I14" i="8"/>
  <c r="I27" i="8"/>
  <c r="I37" i="8"/>
  <c r="I56" i="8"/>
  <c r="I57" i="8"/>
  <c r="I69" i="8"/>
  <c r="I76" i="8"/>
  <c r="I92" i="8"/>
  <c r="I97" i="8"/>
  <c r="I99" i="8"/>
  <c r="I102" i="8"/>
  <c r="I115" i="8"/>
  <c r="I116" i="8"/>
  <c r="I117" i="8"/>
  <c r="I127" i="8"/>
  <c r="I130" i="8"/>
  <c r="I133" i="8"/>
  <c r="H6" i="8"/>
  <c r="H27" i="8"/>
  <c r="H28" i="8"/>
  <c r="H39" i="8"/>
  <c r="H56" i="8"/>
  <c r="H57" i="8"/>
  <c r="H62" i="8"/>
  <c r="H69" i="8"/>
  <c r="H73" i="8"/>
  <c r="H92" i="8"/>
  <c r="H97" i="8"/>
  <c r="H99" i="8"/>
  <c r="H102" i="8"/>
  <c r="H115" i="8"/>
  <c r="H116" i="8"/>
  <c r="H117" i="8"/>
  <c r="H127" i="8"/>
  <c r="H133"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M1287" i="1"/>
  <c r="P1286" i="1"/>
  <c r="M1286" i="1"/>
  <c r="P1285" i="1"/>
  <c r="M1285" i="1"/>
  <c r="M1284" i="1"/>
  <c r="K19" i="11"/>
  <c r="L153" i="8"/>
  <c r="J153" i="8"/>
  <c r="L152" i="8"/>
  <c r="J152" i="8"/>
  <c r="L151" i="8"/>
  <c r="J151" i="8"/>
  <c r="L150" i="8"/>
  <c r="J150" i="8"/>
  <c r="L149" i="8"/>
  <c r="J149" i="8"/>
  <c r="L148" i="8"/>
  <c r="J148" i="8"/>
  <c r="I153" i="8"/>
  <c r="H153" i="8"/>
  <c r="I152" i="8"/>
  <c r="H152" i="8"/>
  <c r="I151" i="8"/>
  <c r="H151" i="8"/>
  <c r="I150" i="8"/>
  <c r="H150" i="8"/>
  <c r="I149" i="8"/>
  <c r="H149" i="8"/>
  <c r="I148" i="8"/>
  <c r="H148" i="8"/>
  <c r="M1283" i="1"/>
  <c r="P1282" i="1"/>
  <c r="M1282" i="1"/>
  <c r="M1281" i="1"/>
  <c r="P1280" i="1"/>
  <c r="M1280" i="1"/>
  <c r="P1279" i="1"/>
  <c r="M1279" i="1"/>
  <c r="M1278" i="1"/>
  <c r="P1277" i="1"/>
  <c r="M1277" i="1"/>
  <c r="P1276" i="1"/>
  <c r="M1276" i="1"/>
  <c r="M1275" i="1"/>
  <c r="P1274" i="1"/>
  <c r="M1274" i="1"/>
  <c r="M1273" i="1"/>
  <c r="P1273"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59" i="1"/>
  <c r="M1259" i="1"/>
  <c r="P1258" i="1"/>
  <c r="M1258" i="1"/>
  <c r="M1257" i="1"/>
  <c r="P1256" i="1"/>
  <c r="M1256" i="1"/>
  <c r="P1255" i="1"/>
  <c r="M1255" i="1"/>
  <c r="M1254" i="1"/>
  <c r="P1253" i="1"/>
  <c r="M1253" i="1"/>
  <c r="P1252" i="1"/>
  <c r="M1252" i="1"/>
  <c r="M1251" i="1"/>
  <c r="P1250" i="1"/>
  <c r="M1250" i="1"/>
  <c r="P1249" i="1"/>
  <c r="M1249" i="1"/>
  <c r="M1248" i="1"/>
  <c r="P1247" i="1"/>
  <c r="M1247" i="1"/>
  <c r="P1246" i="1"/>
  <c r="M1246" i="1"/>
  <c r="M1245" i="1"/>
  <c r="P1244" i="1"/>
  <c r="M1244" i="1"/>
  <c r="P1243" i="1"/>
  <c r="M1243" i="1"/>
  <c r="M1242" i="1"/>
  <c r="P1241" i="1"/>
  <c r="M1241" i="1"/>
  <c r="P1240" i="1"/>
  <c r="M1240" i="1"/>
  <c r="M1239" i="1"/>
  <c r="P1238" i="1"/>
  <c r="M1238" i="1"/>
  <c r="P1237" i="1"/>
  <c r="M1237" i="1"/>
  <c r="M1236" i="1"/>
  <c r="P1235" i="1"/>
  <c r="M1235" i="1"/>
  <c r="P1234" i="1"/>
  <c r="M1234" i="1"/>
  <c r="M1233" i="1"/>
  <c r="P1232" i="1"/>
  <c r="M1232" i="1"/>
  <c r="P1231" i="1"/>
  <c r="M1231" i="1"/>
  <c r="M1230" i="1"/>
  <c r="M1229" i="1"/>
  <c r="P1229" i="1"/>
  <c r="P1228" i="1"/>
  <c r="M1228" i="1"/>
  <c r="M1227" i="1"/>
  <c r="P1226" i="1"/>
  <c r="M1226" i="1"/>
  <c r="M1225" i="1"/>
  <c r="P1224" i="1"/>
  <c r="M1224" i="1"/>
  <c r="P1223" i="1"/>
  <c r="M1223" i="1"/>
  <c r="M1222" i="1"/>
  <c r="P1221" i="1"/>
  <c r="M1221" i="1"/>
  <c r="P1220" i="1"/>
  <c r="M1220" i="1"/>
  <c r="M1219" i="1"/>
  <c r="P1218" i="1"/>
  <c r="M1218" i="1"/>
  <c r="P1217" i="1"/>
  <c r="M1217" i="1"/>
  <c r="M1216" i="1"/>
  <c r="P1215" i="1"/>
  <c r="M1215" i="1"/>
  <c r="P1214" i="1"/>
  <c r="M1214" i="1"/>
  <c r="M1213" i="1"/>
  <c r="P1212" i="1"/>
  <c r="M1212" i="1"/>
  <c r="P544" i="1"/>
  <c r="P658" i="1"/>
  <c r="P661" i="1"/>
  <c r="P676" i="1"/>
  <c r="P695" i="1"/>
  <c r="P713" i="1"/>
  <c r="P719" i="1"/>
  <c r="P740" i="1"/>
  <c r="P802" i="1"/>
  <c r="P815" i="1"/>
  <c r="P818" i="1"/>
  <c r="P830" i="1"/>
  <c r="P977" i="1"/>
  <c r="P1009" i="1"/>
  <c r="P1099" i="1"/>
  <c r="P1114" i="1"/>
  <c r="P1128" i="1"/>
  <c r="P1169" i="1"/>
  <c r="P1194" i="1"/>
  <c r="P1211" i="1"/>
  <c r="M1211" i="1"/>
  <c r="P1210" i="1"/>
  <c r="M1210" i="1"/>
  <c r="M1209" i="1"/>
  <c r="M1208" i="1"/>
  <c r="P1208" i="1"/>
  <c r="P1207" i="1"/>
  <c r="M1207" i="1"/>
  <c r="M1206" i="1"/>
  <c r="P1205" i="1"/>
  <c r="M1205" i="1"/>
  <c r="P1204" i="1"/>
  <c r="M1204" i="1"/>
  <c r="M1203" i="1"/>
  <c r="P1202" i="1"/>
  <c r="M1202" i="1"/>
  <c r="P1201" i="1"/>
  <c r="M1201" i="1"/>
  <c r="M1200" i="1"/>
  <c r="P1199" i="1"/>
  <c r="M1199" i="1"/>
  <c r="P1198" i="1"/>
  <c r="M1198" i="1"/>
  <c r="M1197" i="1"/>
  <c r="P1197" i="1"/>
  <c r="P1196" i="1"/>
  <c r="M1196" i="1"/>
  <c r="P1195" i="1"/>
  <c r="M1195" i="1"/>
  <c r="M1194" i="1"/>
  <c r="M1193" i="1"/>
  <c r="P1192" i="1"/>
  <c r="M1192" i="1"/>
  <c r="M1191" i="1"/>
  <c r="P1190" i="1"/>
  <c r="M1190" i="1"/>
  <c r="P1189" i="1"/>
  <c r="M1189" i="1"/>
  <c r="M1188" i="1"/>
  <c r="P1187" i="1"/>
  <c r="M1187" i="1"/>
  <c r="P1186" i="1"/>
  <c r="M1186" i="1"/>
  <c r="M1185" i="1"/>
  <c r="P1184" i="1"/>
  <c r="M1184" i="1"/>
  <c r="P1183" i="1"/>
  <c r="M1183" i="1"/>
  <c r="M1182" i="1"/>
  <c r="P1181" i="1"/>
  <c r="M1181" i="1"/>
  <c r="P1180" i="1"/>
  <c r="M1180" i="1"/>
  <c r="M1179" i="1"/>
  <c r="P1178" i="1"/>
  <c r="M1178" i="1"/>
  <c r="M1177" i="1"/>
  <c r="P1176" i="1"/>
  <c r="M1176" i="1"/>
  <c r="P1175" i="1"/>
  <c r="M1175" i="1"/>
  <c r="M1174" i="1"/>
  <c r="P1174" i="1"/>
  <c r="P1173" i="1"/>
  <c r="M1173" i="1"/>
  <c r="P1172" i="1"/>
  <c r="M1172" i="1"/>
  <c r="M1171" i="1"/>
  <c r="P1170" i="1"/>
  <c r="M1170" i="1"/>
  <c r="M1169" i="1"/>
  <c r="M1168" i="1"/>
  <c r="M1167" i="1"/>
  <c r="P1166" i="1"/>
  <c r="M1166" i="1"/>
  <c r="P1165" i="1"/>
  <c r="M1165" i="1"/>
  <c r="M1164" i="1"/>
  <c r="P1163" i="1"/>
  <c r="M1163" i="1"/>
  <c r="P1162" i="1"/>
  <c r="M1162" i="1"/>
  <c r="M1161" i="1"/>
  <c r="P1160" i="1"/>
  <c r="M1160" i="1"/>
  <c r="P1159" i="1"/>
  <c r="M1159" i="1"/>
  <c r="M1158" i="1"/>
  <c r="M1157" i="1"/>
  <c r="P1156" i="1"/>
  <c r="M1156" i="1"/>
  <c r="C130" i="9"/>
  <c r="M1155" i="1"/>
  <c r="P1154" i="1"/>
  <c r="M1154" i="1"/>
  <c r="P1153" i="1"/>
  <c r="M1153" i="1"/>
  <c r="M1152" i="1"/>
  <c r="M1151" i="1"/>
  <c r="P1151" i="1"/>
  <c r="P1150" i="1"/>
  <c r="M1150" i="1"/>
  <c r="M1149" i="1"/>
  <c r="P1148" i="1"/>
  <c r="M1148" i="1"/>
  <c r="P1147" i="1"/>
  <c r="M1147" i="1"/>
  <c r="M1146" i="1"/>
  <c r="P1145" i="1"/>
  <c r="M1145" i="1"/>
  <c r="P1144" i="1"/>
  <c r="M1144" i="1"/>
  <c r="M1143" i="1"/>
  <c r="P1142" i="1"/>
  <c r="M1142" i="1"/>
  <c r="M1141" i="1"/>
  <c r="M1140" i="1"/>
  <c r="P1139" i="1"/>
  <c r="M1139" i="1"/>
  <c r="P1138" i="1"/>
  <c r="M1138" i="1"/>
  <c r="M1137" i="1"/>
  <c r="P1136" i="1"/>
  <c r="M1136" i="1"/>
  <c r="P1135" i="1"/>
  <c r="M1135" i="1"/>
  <c r="M1134" i="1"/>
  <c r="P1133" i="1"/>
  <c r="M1133" i="1"/>
  <c r="P1132" i="1"/>
  <c r="M1132" i="1"/>
  <c r="M1131" i="1"/>
  <c r="M1130" i="1"/>
  <c r="P1129" i="1"/>
  <c r="M1129" i="1"/>
  <c r="M1128" i="1"/>
  <c r="M1127" i="1"/>
  <c r="P1126" i="1"/>
  <c r="M1126" i="1"/>
  <c r="M1125" i="1"/>
  <c r="P1124" i="1"/>
  <c r="M1124" i="1"/>
  <c r="P1123" i="1"/>
  <c r="M1123" i="1"/>
  <c r="M1122" i="1"/>
  <c r="P1121" i="1"/>
  <c r="M1121" i="1"/>
  <c r="P1120" i="1"/>
  <c r="M1120" i="1"/>
  <c r="M1119" i="1"/>
  <c r="P1118" i="1"/>
  <c r="M1118" i="1"/>
  <c r="P1117" i="1"/>
  <c r="M1117"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M1098" i="1"/>
  <c r="P1097" i="1"/>
  <c r="M1097" i="1"/>
  <c r="M1096" i="1"/>
  <c r="M1095" i="1"/>
  <c r="P1094" i="1"/>
  <c r="M1094" i="1"/>
  <c r="P1093" i="1"/>
  <c r="M1093" i="1"/>
  <c r="M1092" i="1"/>
  <c r="P1091" i="1"/>
  <c r="M1091" i="1"/>
  <c r="P1090" i="1"/>
  <c r="M1090" i="1"/>
  <c r="M1089" i="1"/>
  <c r="P1088" i="1"/>
  <c r="M1088" i="1"/>
  <c r="P1087" i="1"/>
  <c r="M1087" i="1"/>
  <c r="M1086" i="1"/>
  <c r="M1085" i="1"/>
  <c r="P1084" i="1"/>
  <c r="M1084" i="1"/>
  <c r="M1083" i="1"/>
  <c r="P1082" i="1"/>
  <c r="M1082" i="1"/>
  <c r="P1081" i="1"/>
  <c r="M1081" i="1"/>
  <c r="M1080" i="1"/>
  <c r="P1079" i="1"/>
  <c r="M1079" i="1"/>
  <c r="M1078" i="1"/>
  <c r="P1078" i="1"/>
  <c r="M1077" i="1"/>
  <c r="P1076" i="1"/>
  <c r="M1076" i="1"/>
  <c r="P1075" i="1"/>
  <c r="M1075" i="1"/>
  <c r="M1074" i="1"/>
  <c r="P1073" i="1"/>
  <c r="M1073" i="1"/>
  <c r="P1072" i="1"/>
  <c r="M1072" i="1"/>
  <c r="M1071" i="1"/>
  <c r="P1070" i="1"/>
  <c r="M1070" i="1"/>
  <c r="P1069" i="1"/>
  <c r="M1069" i="1"/>
  <c r="M1068" i="1"/>
  <c r="P1067" i="1"/>
  <c r="M1067" i="1"/>
  <c r="P1066" i="1"/>
  <c r="M1066" i="1"/>
  <c r="M1065" i="1"/>
  <c r="P1064" i="1"/>
  <c r="M1064" i="1"/>
  <c r="P1063" i="1"/>
  <c r="M1063" i="1"/>
  <c r="M1062" i="1"/>
  <c r="P1061" i="1"/>
  <c r="M1061" i="1"/>
  <c r="M1060" i="1"/>
  <c r="M1059" i="1"/>
  <c r="P1058" i="1"/>
  <c r="M1058" i="1"/>
  <c r="P1057" i="1"/>
  <c r="M1057" i="1"/>
  <c r="M1056" i="1"/>
  <c r="P1055" i="1"/>
  <c r="M1055" i="1"/>
  <c r="P1054" i="1"/>
  <c r="M1054" i="1"/>
  <c r="M1053" i="1"/>
  <c r="P1052" i="1"/>
  <c r="M1052" i="1"/>
  <c r="P1051" i="1"/>
  <c r="M1051" i="1"/>
  <c r="M1050" i="1"/>
  <c r="M1049" i="1"/>
  <c r="P1048" i="1"/>
  <c r="M1048" i="1"/>
  <c r="M1047" i="1"/>
  <c r="P1046" i="1"/>
  <c r="M1046" i="1"/>
  <c r="P1045" i="1"/>
  <c r="M1045" i="1"/>
  <c r="M1044" i="1"/>
  <c r="M1043" i="1"/>
  <c r="P1043" i="1"/>
  <c r="M1042" i="1"/>
  <c r="P1042" i="1"/>
  <c r="M1041" i="1"/>
  <c r="P1040" i="1"/>
  <c r="M1040" i="1"/>
  <c r="P1039" i="1"/>
  <c r="M1039" i="1"/>
  <c r="M1038" i="1"/>
  <c r="P1037" i="1"/>
  <c r="M1037" i="1"/>
  <c r="P1036" i="1"/>
  <c r="M1036" i="1"/>
  <c r="M1035" i="1"/>
  <c r="P1034" i="1"/>
  <c r="M1034" i="1"/>
  <c r="M1033" i="1"/>
  <c r="AC148" i="5"/>
  <c r="AB148" i="5"/>
  <c r="AA148" i="5"/>
  <c r="Z148" i="5"/>
  <c r="Y148" i="5"/>
  <c r="X148" i="5"/>
  <c r="W148" i="5"/>
  <c r="V148" i="5"/>
  <c r="U148" i="5"/>
  <c r="T148" i="5"/>
  <c r="S148" i="5"/>
  <c r="R148" i="5"/>
  <c r="Q148" i="5"/>
  <c r="P148" i="5"/>
  <c r="O148" i="5"/>
  <c r="N148" i="5"/>
  <c r="M148" i="5"/>
  <c r="L148" i="5"/>
  <c r="K148" i="5"/>
  <c r="J148" i="5"/>
  <c r="I148" i="5"/>
  <c r="H148" i="5"/>
  <c r="G148" i="5"/>
  <c r="F148" i="5"/>
  <c r="M1032" i="1"/>
  <c r="P1031" i="1"/>
  <c r="M1031" i="1"/>
  <c r="P1030" i="1"/>
  <c r="M1030" i="1"/>
  <c r="M1029" i="1"/>
  <c r="P1028" i="1"/>
  <c r="M1028" i="1"/>
  <c r="P1027" i="1"/>
  <c r="M1027" i="1"/>
  <c r="M1026" i="1"/>
  <c r="M1025" i="1"/>
  <c r="P1025" i="1"/>
  <c r="P1024" i="1"/>
  <c r="M1024" i="1"/>
  <c r="M1023" i="1"/>
  <c r="M1022" i="1"/>
  <c r="P1021" i="1"/>
  <c r="M1021" i="1"/>
  <c r="M1020" i="1"/>
  <c r="P1019" i="1"/>
  <c r="M1019" i="1"/>
  <c r="P1018" i="1"/>
  <c r="M1018" i="1"/>
  <c r="M1017" i="1"/>
  <c r="P1016" i="1"/>
  <c r="M1016" i="1"/>
  <c r="P1015" i="1"/>
  <c r="M1015" i="1"/>
  <c r="M1014" i="1"/>
  <c r="P1013" i="1"/>
  <c r="M1013" i="1"/>
  <c r="P1012" i="1"/>
  <c r="M1012" i="1"/>
  <c r="M1011" i="1"/>
  <c r="P1010" i="1"/>
  <c r="M1010" i="1"/>
  <c r="M1009" i="1"/>
  <c r="M1008" i="1"/>
  <c r="P1007" i="1"/>
  <c r="M1007" i="1"/>
  <c r="P1006" i="1"/>
  <c r="M1006" i="1"/>
  <c r="M1005" i="1"/>
  <c r="P1004" i="1"/>
  <c r="M1004" i="1"/>
  <c r="P1003" i="1"/>
  <c r="M1003" i="1"/>
  <c r="M1002" i="1"/>
  <c r="P1001" i="1"/>
  <c r="M1001" i="1"/>
  <c r="P1000" i="1"/>
  <c r="M1000" i="1"/>
  <c r="M999" i="1"/>
  <c r="P998" i="1"/>
  <c r="M998" i="1"/>
  <c r="P997" i="1"/>
  <c r="M997" i="1"/>
  <c r="M993" i="1"/>
  <c r="P996" i="1"/>
  <c r="M996" i="1"/>
  <c r="P995" i="1"/>
  <c r="M995" i="1"/>
  <c r="P994" i="1"/>
  <c r="M994" i="1"/>
  <c r="P992" i="1"/>
  <c r="M992" i="1"/>
  <c r="M991" i="1"/>
  <c r="P991" i="1"/>
  <c r="M990" i="1"/>
  <c r="P989" i="1"/>
  <c r="M989" i="1"/>
  <c r="P988" i="1"/>
  <c r="M988" i="1"/>
  <c r="M987" i="1"/>
  <c r="M986" i="1"/>
  <c r="P986" i="1"/>
  <c r="P985" i="1"/>
  <c r="M985" i="1"/>
  <c r="M984" i="1"/>
  <c r="P983" i="1"/>
  <c r="M983" i="1"/>
  <c r="P982" i="1"/>
  <c r="M982" i="1"/>
  <c r="M981" i="1"/>
  <c r="P980" i="1"/>
  <c r="M980" i="1"/>
  <c r="P979" i="1"/>
  <c r="M979" i="1"/>
  <c r="M978" i="1"/>
  <c r="M977" i="1"/>
  <c r="P976" i="1"/>
  <c r="M976" i="1"/>
  <c r="M975" i="1"/>
  <c r="P974" i="1"/>
  <c r="M974" i="1"/>
  <c r="P973" i="1"/>
  <c r="M973" i="1"/>
  <c r="M972" i="1"/>
  <c r="P971" i="1"/>
  <c r="M971" i="1"/>
  <c r="P970" i="1"/>
  <c r="M970" i="1"/>
  <c r="M969" i="1"/>
  <c r="P968" i="1"/>
  <c r="M968" i="1"/>
  <c r="M967" i="1"/>
  <c r="P967" i="1"/>
  <c r="M966" i="1"/>
  <c r="P965" i="1"/>
  <c r="M965" i="1"/>
  <c r="P964" i="1"/>
  <c r="M964" i="1"/>
  <c r="M963" i="1"/>
  <c r="P962" i="1"/>
  <c r="M962" i="1"/>
  <c r="P961" i="1"/>
  <c r="M961" i="1"/>
  <c r="M960" i="1"/>
  <c r="P959" i="1"/>
  <c r="M959" i="1"/>
  <c r="P958" i="1"/>
  <c r="M958" i="1"/>
  <c r="M957" i="1"/>
  <c r="P956" i="1"/>
  <c r="M956" i="1"/>
  <c r="P955" i="1"/>
  <c r="M955"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M911" i="1"/>
  <c r="P911" i="1"/>
  <c r="P910" i="1"/>
  <c r="M910" i="1"/>
  <c r="M909" i="1"/>
  <c r="P908" i="1"/>
  <c r="M908" i="1"/>
  <c r="P907" i="1"/>
  <c r="M907" i="1"/>
  <c r="M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M873" i="1"/>
  <c r="P872" i="1"/>
  <c r="M872" i="1"/>
  <c r="P871" i="1"/>
  <c r="M871" i="1"/>
  <c r="M870" i="1"/>
  <c r="P869" i="1"/>
  <c r="M869" i="1"/>
  <c r="M868" i="1"/>
  <c r="P868" i="1"/>
  <c r="M867" i="1"/>
  <c r="P866" i="1"/>
  <c r="M866" i="1"/>
  <c r="P865" i="1"/>
  <c r="M865" i="1"/>
  <c r="M864" i="1"/>
  <c r="P863" i="1"/>
  <c r="M863" i="1"/>
  <c r="P862" i="1"/>
  <c r="M862" i="1"/>
  <c r="M861" i="1"/>
  <c r="P860" i="1"/>
  <c r="M860" i="1"/>
  <c r="P859" i="1"/>
  <c r="M859" i="1"/>
  <c r="M858" i="1"/>
  <c r="P857" i="1"/>
  <c r="M857" i="1"/>
  <c r="M856" i="1"/>
  <c r="M855" i="1"/>
  <c r="P854" i="1"/>
  <c r="M854" i="1"/>
  <c r="M853" i="1"/>
  <c r="P853" i="1"/>
  <c r="M852" i="1"/>
  <c r="P851" i="1"/>
  <c r="M851" i="1"/>
  <c r="P850" i="1"/>
  <c r="M850" i="1"/>
  <c r="M849" i="1"/>
  <c r="P848" i="1"/>
  <c r="M848" i="1"/>
  <c r="P847" i="1"/>
  <c r="M847" i="1"/>
  <c r="M846" i="1"/>
  <c r="P845" i="1"/>
  <c r="M845" i="1"/>
  <c r="P844" i="1"/>
  <c r="M844" i="1"/>
  <c r="M843" i="1"/>
  <c r="P842" i="1"/>
  <c r="M842" i="1"/>
  <c r="P841" i="1"/>
  <c r="M841" i="1"/>
  <c r="M840" i="1"/>
  <c r="P839" i="1"/>
  <c r="M839" i="1"/>
  <c r="P838" i="1"/>
  <c r="M838" i="1"/>
  <c r="M837" i="1"/>
  <c r="P836" i="1"/>
  <c r="M836" i="1"/>
  <c r="P835" i="1"/>
  <c r="M835" i="1"/>
  <c r="M834" i="1"/>
  <c r="P833" i="1"/>
  <c r="M833" i="1"/>
  <c r="P832" i="1"/>
  <c r="M832" i="1"/>
  <c r="P831" i="1"/>
  <c r="M831" i="1"/>
  <c r="M830" i="1"/>
  <c r="M829" i="1"/>
  <c r="P829" i="1"/>
  <c r="M828" i="1"/>
  <c r="P828" i="1"/>
  <c r="P827" i="1"/>
  <c r="M827" i="1"/>
  <c r="M826" i="1"/>
  <c r="P826" i="1"/>
  <c r="M825" i="1"/>
  <c r="P824" i="1"/>
  <c r="M824" i="1"/>
  <c r="M823" i="1"/>
  <c r="M822" i="1"/>
  <c r="P821" i="1"/>
  <c r="M821" i="1"/>
  <c r="P820" i="1"/>
  <c r="M820" i="1"/>
  <c r="M819" i="1"/>
  <c r="M818" i="1"/>
  <c r="P817" i="1"/>
  <c r="M817"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M801" i="1"/>
  <c r="M800" i="1"/>
  <c r="M799" i="1"/>
  <c r="P799" i="1"/>
  <c r="M798" i="1"/>
  <c r="P798" i="1"/>
  <c r="M797" i="1"/>
  <c r="P796" i="1"/>
  <c r="M796" i="1"/>
  <c r="M795" i="1"/>
  <c r="P794" i="1"/>
  <c r="M794" i="1"/>
  <c r="P793" i="1"/>
  <c r="M793" i="1"/>
  <c r="M792" i="1"/>
  <c r="P791" i="1"/>
  <c r="M791" i="1"/>
  <c r="P790" i="1"/>
  <c r="M790" i="1"/>
  <c r="M789" i="1"/>
  <c r="P788" i="1"/>
  <c r="M788" i="1"/>
  <c r="P787" i="1"/>
  <c r="M787" i="1"/>
  <c r="M786" i="1"/>
  <c r="P785" i="1"/>
  <c r="M785" i="1"/>
  <c r="P784" i="1"/>
  <c r="M784" i="1"/>
  <c r="M783" i="1"/>
  <c r="P782" i="1"/>
  <c r="M782" i="1"/>
  <c r="M781" i="1"/>
  <c r="M780" i="1"/>
  <c r="P779" i="1"/>
  <c r="M779" i="1"/>
  <c r="P778" i="1"/>
  <c r="M778" i="1"/>
  <c r="M777" i="1"/>
  <c r="P776" i="1"/>
  <c r="M776" i="1"/>
  <c r="P775" i="1"/>
  <c r="M775" i="1"/>
  <c r="M774" i="1"/>
  <c r="M773" i="1"/>
  <c r="P773" i="1"/>
  <c r="P772" i="1"/>
  <c r="M772" i="1"/>
  <c r="M771" i="1"/>
  <c r="P771" i="1"/>
  <c r="P770" i="1"/>
  <c r="M770" i="1"/>
  <c r="P769" i="1"/>
  <c r="M769" i="1"/>
  <c r="M768" i="1"/>
  <c r="M767" i="1"/>
  <c r="P767" i="1"/>
  <c r="M766" i="1"/>
  <c r="P766" i="1"/>
  <c r="M765" i="1"/>
  <c r="P764" i="1"/>
  <c r="M764" i="1"/>
  <c r="M763" i="1"/>
  <c r="P763" i="1"/>
  <c r="M762" i="1"/>
  <c r="P761" i="1"/>
  <c r="M761" i="1"/>
  <c r="P760" i="1"/>
  <c r="M760" i="1"/>
  <c r="M759" i="1"/>
  <c r="M758" i="1"/>
  <c r="P758" i="1"/>
  <c r="P757" i="1"/>
  <c r="M757" i="1"/>
  <c r="M756" i="1"/>
  <c r="P755" i="1"/>
  <c r="M755" i="1"/>
  <c r="P754" i="1"/>
  <c r="M754" i="1"/>
  <c r="M753" i="1"/>
  <c r="P752" i="1"/>
  <c r="M752" i="1"/>
  <c r="M751" i="1"/>
  <c r="M750" i="1"/>
  <c r="P749" i="1"/>
  <c r="M749" i="1"/>
  <c r="P748" i="1"/>
  <c r="M748" i="1"/>
  <c r="M747" i="1"/>
  <c r="P746" i="1"/>
  <c r="M746" i="1"/>
  <c r="P745" i="1"/>
  <c r="M745" i="1"/>
  <c r="M744" i="1"/>
  <c r="P743" i="1"/>
  <c r="M743" i="1"/>
  <c r="P742" i="1"/>
  <c r="M742" i="1"/>
  <c r="M741" i="1"/>
  <c r="M740" i="1"/>
  <c r="P739" i="1"/>
  <c r="M739" i="1"/>
  <c r="M738" i="1"/>
  <c r="P737" i="1"/>
  <c r="M737" i="1"/>
  <c r="P736" i="1"/>
  <c r="M736"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M717" i="1"/>
  <c r="P716" i="1"/>
  <c r="M716" i="1"/>
  <c r="P681" i="1"/>
  <c r="M715" i="1"/>
  <c r="M714" i="1"/>
  <c r="M713" i="1"/>
  <c r="P712" i="1"/>
  <c r="M712" i="1"/>
  <c r="M711" i="1"/>
  <c r="P710" i="1"/>
  <c r="M710" i="1"/>
  <c r="P709" i="1"/>
  <c r="M709" i="1"/>
  <c r="M708" i="1"/>
  <c r="P707" i="1"/>
  <c r="M707" i="1"/>
  <c r="M706" i="1"/>
  <c r="P706" i="1"/>
  <c r="F1" i="5"/>
  <c r="E1" i="5"/>
  <c r="M705" i="1"/>
  <c r="P704" i="1"/>
  <c r="M704" i="1"/>
  <c r="P703" i="1"/>
  <c r="M703" i="1"/>
  <c r="P702" i="1"/>
  <c r="M702" i="1"/>
  <c r="P701" i="1"/>
  <c r="M701" i="1"/>
  <c r="P700" i="1"/>
  <c r="M700" i="1"/>
  <c r="P698" i="1"/>
  <c r="M698" i="1"/>
  <c r="P699" i="1"/>
  <c r="M699" i="1"/>
  <c r="P697" i="1"/>
  <c r="M697" i="1"/>
  <c r="P696" i="1"/>
  <c r="M696" i="1"/>
  <c r="C124" i="9"/>
  <c r="P581" i="1"/>
  <c r="P612" i="1"/>
  <c r="P624" i="1"/>
  <c r="P635" i="1"/>
  <c r="P645" i="1"/>
  <c r="P659" i="1"/>
  <c r="P670" i="1"/>
  <c r="P675" i="1"/>
  <c r="P688" i="1"/>
  <c r="P689" i="1"/>
  <c r="P693" i="1"/>
  <c r="C143" i="9"/>
  <c r="C140" i="9"/>
  <c r="C100" i="9"/>
  <c r="C85" i="9"/>
  <c r="C77" i="9"/>
  <c r="C64" i="9"/>
  <c r="C29" i="9"/>
  <c r="C27"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M669" i="1"/>
  <c r="P668" i="1"/>
  <c r="M668" i="1"/>
  <c r="P667" i="1"/>
  <c r="M667"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M633" i="1"/>
  <c r="P632" i="1"/>
  <c r="M632" i="1"/>
  <c r="P631" i="1"/>
  <c r="M631" i="1"/>
  <c r="M630" i="1"/>
  <c r="P629" i="1"/>
  <c r="M629" i="1"/>
  <c r="P628" i="1"/>
  <c r="M628"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M610" i="1"/>
  <c r="P609" i="1"/>
  <c r="M609" i="1"/>
  <c r="P608" i="1"/>
  <c r="M608" i="1"/>
  <c r="M607" i="1"/>
  <c r="P606" i="1"/>
  <c r="M606" i="1"/>
  <c r="P605" i="1"/>
  <c r="M605" i="1"/>
  <c r="M604" i="1"/>
  <c r="P603" i="1"/>
  <c r="M603" i="1"/>
  <c r="P602" i="1"/>
  <c r="M602" i="1"/>
  <c r="M601" i="1"/>
  <c r="P600" i="1"/>
  <c r="M600" i="1"/>
  <c r="P599" i="1"/>
  <c r="M599" i="1"/>
  <c r="M598" i="1"/>
  <c r="P597" i="1"/>
  <c r="M597" i="1"/>
  <c r="P596" i="1"/>
  <c r="M596" i="1"/>
  <c r="M595" i="1"/>
  <c r="P594" i="1"/>
  <c r="M594" i="1"/>
  <c r="P593" i="1"/>
  <c r="M593" i="1"/>
  <c r="M592" i="1"/>
  <c r="P591" i="1"/>
  <c r="M591" i="1"/>
  <c r="P590" i="1"/>
  <c r="M590" i="1"/>
  <c r="M589" i="1"/>
  <c r="P588" i="1"/>
  <c r="M588" i="1"/>
  <c r="P587" i="1"/>
  <c r="M587" i="1"/>
  <c r="M586" i="1"/>
  <c r="P585" i="1"/>
  <c r="M585" i="1"/>
  <c r="P584" i="1"/>
  <c r="M584" i="1"/>
  <c r="M583" i="1"/>
  <c r="P582" i="1"/>
  <c r="M582" i="1"/>
  <c r="M581" i="1"/>
  <c r="P580" i="1"/>
  <c r="M580" i="1"/>
  <c r="M579" i="1"/>
  <c r="P578" i="1"/>
  <c r="M578" i="1"/>
  <c r="P577" i="1"/>
  <c r="M577" i="1"/>
  <c r="M576" i="1"/>
  <c r="P575" i="1"/>
  <c r="M575" i="1"/>
  <c r="P574" i="1"/>
  <c r="M574" i="1"/>
  <c r="M573" i="1"/>
  <c r="P572" i="1"/>
  <c r="M572" i="1"/>
  <c r="C98" i="9"/>
  <c r="C91" i="9"/>
  <c r="C75" i="9"/>
  <c r="C26"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5" i="1"/>
  <c r="M385" i="1"/>
  <c r="P384" i="1"/>
  <c r="M384" i="1"/>
  <c r="P383" i="1"/>
  <c r="M383" i="1"/>
  <c r="P382" i="1"/>
  <c r="M382" i="1"/>
  <c r="P381" i="1"/>
  <c r="M381" i="1"/>
  <c r="P380" i="1"/>
  <c r="M380" i="1"/>
  <c r="P379" i="1"/>
  <c r="M379" i="1"/>
  <c r="P378" i="1"/>
  <c r="M378" i="1"/>
  <c r="M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M340" i="1"/>
  <c r="P340" i="1"/>
  <c r="M339" i="1"/>
  <c r="P339" i="1"/>
  <c r="P338" i="1"/>
  <c r="M338" i="1"/>
  <c r="P337" i="1"/>
  <c r="M337" i="1"/>
  <c r="M336" i="1"/>
  <c r="P336" i="1"/>
  <c r="P335" i="1"/>
  <c r="M335" i="1"/>
  <c r="P334" i="1"/>
  <c r="M334" i="1"/>
  <c r="P333" i="1"/>
  <c r="M333" i="1"/>
  <c r="P332" i="1"/>
  <c r="M332" i="1"/>
  <c r="P331" i="1"/>
  <c r="M331" i="1"/>
  <c r="M329" i="1"/>
  <c r="P330" i="1"/>
  <c r="M330" i="1"/>
  <c r="P328" i="1"/>
  <c r="M328" i="1"/>
  <c r="P327" i="1"/>
  <c r="M327" i="1"/>
  <c r="P326" i="1"/>
  <c r="M326" i="1"/>
  <c r="P325" i="1"/>
  <c r="M325" i="1"/>
  <c r="P324" i="1"/>
  <c r="M324" i="1"/>
  <c r="M323" i="1"/>
  <c r="P322" i="1"/>
  <c r="M322" i="1"/>
  <c r="P321" i="1"/>
  <c r="M321" i="1"/>
  <c r="P320" i="1"/>
  <c r="M320" i="1"/>
  <c r="P319" i="1"/>
  <c r="M319" i="1"/>
  <c r="P318" i="1"/>
  <c r="M318" i="1"/>
  <c r="P317" i="1"/>
  <c r="M317" i="1"/>
  <c r="M316" i="1"/>
  <c r="P316" i="1"/>
  <c r="P315" i="1"/>
  <c r="M315" i="1"/>
  <c r="P314" i="1"/>
  <c r="M314" i="1"/>
  <c r="P313" i="1"/>
  <c r="M313" i="1"/>
  <c r="P312" i="1"/>
  <c r="M312" i="1"/>
  <c r="M311" i="1"/>
  <c r="M310" i="1"/>
  <c r="M309" i="1"/>
  <c r="P309" i="1"/>
  <c r="M308" i="1"/>
  <c r="P308" i="1"/>
  <c r="P307" i="1"/>
  <c r="M307"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1" i="1"/>
  <c r="P300" i="1"/>
  <c r="P298" i="1"/>
  <c r="P297" i="1"/>
  <c r="P295" i="1"/>
  <c r="P294" i="1"/>
  <c r="P292" i="1"/>
  <c r="P291" i="1"/>
  <c r="P289" i="1"/>
  <c r="P288" i="1"/>
  <c r="P286" i="1"/>
  <c r="P285" i="1"/>
  <c r="P283" i="1"/>
  <c r="P282" i="1"/>
  <c r="P280" i="1"/>
  <c r="P277" i="1"/>
  <c r="P279" i="1"/>
  <c r="P9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1" i="1"/>
  <c r="P52" i="1"/>
  <c r="P54" i="1"/>
  <c r="P55" i="1"/>
  <c r="P57" i="1"/>
  <c r="P58" i="1"/>
  <c r="P60" i="1"/>
  <c r="P61" i="1"/>
  <c r="P63" i="1"/>
  <c r="P64" i="1"/>
  <c r="P66" i="1"/>
  <c r="P67" i="1"/>
  <c r="P70" i="1"/>
  <c r="P71" i="1"/>
  <c r="P72" i="1"/>
  <c r="P73" i="1"/>
  <c r="P74" i="1"/>
  <c r="P75" i="1"/>
  <c r="P76" i="1"/>
  <c r="P77" i="1"/>
  <c r="P78" i="1"/>
  <c r="P79" i="1"/>
  <c r="P80" i="1"/>
  <c r="P81" i="1"/>
  <c r="P82" i="1"/>
  <c r="P83" i="1"/>
  <c r="P84" i="1"/>
  <c r="P85" i="1"/>
  <c r="P86" i="1"/>
  <c r="P87" i="1"/>
  <c r="P88" i="1"/>
  <c r="P89" i="1"/>
  <c r="P90" i="1"/>
  <c r="P91" i="1"/>
  <c r="P92" i="1"/>
  <c r="P93" i="1"/>
  <c r="P94" i="1"/>
  <c r="P95"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2" i="1"/>
  <c r="P153" i="1"/>
  <c r="P155" i="1"/>
  <c r="P156" i="1"/>
  <c r="P158" i="1"/>
  <c r="P159" i="1"/>
  <c r="P161" i="1"/>
  <c r="P162" i="1"/>
  <c r="P164" i="1"/>
  <c r="P165" i="1"/>
  <c r="P167" i="1"/>
  <c r="P168" i="1"/>
  <c r="P170" i="1"/>
  <c r="P171" i="1"/>
  <c r="P173" i="1"/>
  <c r="P174" i="1"/>
  <c r="P176" i="1"/>
  <c r="P177" i="1"/>
  <c r="P179" i="1"/>
  <c r="P180" i="1"/>
  <c r="P182" i="1"/>
  <c r="P183" i="1"/>
  <c r="P185" i="1"/>
  <c r="P186" i="1"/>
  <c r="P188" i="1"/>
  <c r="P189" i="1"/>
  <c r="P191" i="1"/>
  <c r="P192" i="1"/>
  <c r="P194" i="1"/>
  <c r="P195" i="1"/>
  <c r="P198" i="1"/>
  <c r="P199" i="1"/>
  <c r="P200" i="1"/>
  <c r="P202" i="1"/>
  <c r="P203" i="1"/>
  <c r="P204" i="1"/>
  <c r="P205" i="1"/>
  <c r="P206" i="1"/>
  <c r="P207" i="1"/>
  <c r="P208" i="1"/>
  <c r="P209" i="1"/>
  <c r="P210" i="1"/>
  <c r="P211" i="1"/>
  <c r="P212" i="1"/>
  <c r="P213" i="1"/>
  <c r="P214" i="1"/>
  <c r="P215" i="1"/>
  <c r="P216" i="1"/>
  <c r="P217" i="1"/>
  <c r="P218" i="1"/>
  <c r="P219" i="1"/>
  <c r="P220" i="1"/>
  <c r="P222" i="1"/>
  <c r="P224" i="1"/>
  <c r="P225"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7" i="1"/>
  <c r="P268" i="1"/>
  <c r="P270" i="1"/>
  <c r="P271" i="1"/>
  <c r="P274" i="1"/>
  <c r="L2" i="1"/>
  <c r="P2" i="1"/>
  <c r="P273" i="1"/>
  <c r="P263" i="1"/>
  <c r="P221" i="1"/>
  <c r="P201" i="1"/>
  <c r="P197" i="1"/>
  <c r="P119" i="1"/>
  <c r="P99" i="1"/>
  <c r="P69" i="1"/>
  <c r="P694" i="1"/>
  <c r="P715" i="1"/>
  <c r="P571" i="1"/>
  <c r="P732" i="1"/>
  <c r="BB97" i="5"/>
  <c r="BB23" i="5"/>
  <c r="P2067" i="1"/>
  <c r="BA138" i="9"/>
  <c r="C138" i="9"/>
  <c r="BA137" i="9"/>
  <c r="C137" i="9"/>
  <c r="BA135" i="9"/>
  <c r="C135" i="9"/>
  <c r="BA121" i="9"/>
  <c r="C121" i="9"/>
  <c r="BA118" i="9"/>
  <c r="C118" i="9"/>
  <c r="BA104" i="9"/>
  <c r="C104" i="9"/>
  <c r="BA95" i="9"/>
  <c r="C95" i="9"/>
  <c r="BA86" i="9"/>
  <c r="C86" i="9"/>
  <c r="BA71" i="9"/>
  <c r="C71" i="9"/>
  <c r="BA60" i="9"/>
  <c r="C60" i="9"/>
  <c r="BA55" i="9"/>
  <c r="C55" i="9"/>
  <c r="BA42" i="9"/>
  <c r="C42" i="9"/>
  <c r="BA41" i="9"/>
  <c r="C41" i="9"/>
  <c r="BA39" i="9"/>
  <c r="C39" i="9"/>
  <c r="BA36" i="9"/>
  <c r="C36" i="9"/>
  <c r="BA16" i="9"/>
  <c r="C16" i="9"/>
  <c r="BA10" i="9"/>
  <c r="C10" i="9"/>
  <c r="BA2" i="9"/>
  <c r="C2" i="9"/>
  <c r="BA132" i="9"/>
  <c r="C132" i="9"/>
  <c r="BA94" i="9"/>
  <c r="C94" i="9"/>
  <c r="BA89" i="9"/>
  <c r="C89" i="9"/>
  <c r="BA79" i="9"/>
  <c r="BA78" i="9"/>
  <c r="C78" i="9"/>
  <c r="BA67" i="9"/>
  <c r="C67" i="9"/>
  <c r="BA62" i="9"/>
  <c r="C62" i="9"/>
  <c r="BA54" i="9"/>
  <c r="BA53" i="9"/>
  <c r="C53" i="9"/>
  <c r="BA48" i="9"/>
  <c r="C48" i="9"/>
  <c r="BA33" i="9"/>
  <c r="C33" i="9"/>
  <c r="BA13" i="9"/>
  <c r="C13" i="9"/>
  <c r="AC145" i="5"/>
  <c r="BB68" i="5"/>
  <c r="Z145" i="5"/>
  <c r="BB29" i="5"/>
  <c r="BB71" i="5"/>
  <c r="Y145" i="5"/>
  <c r="L37" i="14"/>
  <c r="BB26" i="5"/>
  <c r="BB58" i="5"/>
  <c r="BB17" i="5"/>
  <c r="AL146" i="9"/>
  <c r="AM146" i="5"/>
  <c r="AJ146" i="9"/>
  <c r="AK146" i="5"/>
  <c r="AF146" i="9"/>
  <c r="AG146" i="5"/>
  <c r="BA43" i="9"/>
  <c r="C43" i="9"/>
  <c r="AM38" i="5"/>
  <c r="L4" i="1"/>
  <c r="BB122" i="5"/>
  <c r="BB27" i="5"/>
  <c r="BB25" i="5"/>
  <c r="BB103" i="5"/>
  <c r="BB82" i="5"/>
  <c r="BB62" i="5"/>
  <c r="BB56" i="5"/>
  <c r="BB45" i="5"/>
  <c r="BB57" i="5"/>
  <c r="BB22" i="5"/>
  <c r="AO145" i="5"/>
  <c r="BB111" i="5"/>
  <c r="BB55" i="5"/>
  <c r="BB30" i="5"/>
  <c r="E145" i="5"/>
  <c r="AB145" i="5"/>
  <c r="AG24" i="5"/>
  <c r="AJ106" i="5"/>
  <c r="BB93" i="5"/>
  <c r="BB78" i="5"/>
  <c r="BB3" i="5"/>
  <c r="BB139" i="5"/>
  <c r="BB120" i="5"/>
  <c r="BB9"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2" i="14"/>
  <c r="J22" i="14"/>
  <c r="L24" i="14"/>
  <c r="J24" i="14"/>
  <c r="L59" i="14"/>
  <c r="L60" i="14"/>
  <c r="L2691" i="1"/>
  <c r="AD146" i="9"/>
  <c r="AE146" i="5"/>
  <c r="AG145" i="9"/>
  <c r="AJ145" i="9"/>
  <c r="AQ145" i="5"/>
  <c r="AS145" i="5"/>
  <c r="AW145" i="5"/>
  <c r="AY145" i="5"/>
  <c r="BA40" i="9"/>
  <c r="C40" i="9"/>
  <c r="AK145" i="9"/>
  <c r="A13" i="5"/>
  <c r="A15" i="5"/>
  <c r="A17" i="5"/>
  <c r="A19" i="5"/>
  <c r="A21" i="5"/>
  <c r="A52" i="5"/>
  <c r="A55" i="5"/>
  <c r="A81" i="5"/>
  <c r="A83" i="5"/>
  <c r="A85" i="5"/>
  <c r="A95" i="5"/>
  <c r="A134" i="5"/>
  <c r="A140" i="5"/>
  <c r="A143" i="5"/>
  <c r="B142" i="8"/>
  <c r="B138" i="8"/>
  <c r="B130" i="8"/>
  <c r="B126" i="8"/>
  <c r="B118" i="8"/>
  <c r="B114" i="8"/>
  <c r="B110" i="8"/>
  <c r="B104" i="8"/>
  <c r="B100" i="8"/>
  <c r="B96" i="8"/>
  <c r="B92" i="8"/>
  <c r="B88" i="8"/>
  <c r="B84" i="8"/>
  <c r="B80" i="8"/>
  <c r="B76" i="8"/>
  <c r="B72" i="8"/>
  <c r="B68" i="8"/>
  <c r="B63" i="8"/>
  <c r="B59" i="8"/>
  <c r="B55" i="8"/>
  <c r="B50" i="8"/>
  <c r="B46" i="8"/>
  <c r="B42" i="8"/>
  <c r="B38" i="8"/>
  <c r="B33" i="8"/>
  <c r="B29" i="8"/>
  <c r="B25" i="8"/>
  <c r="B21" i="8"/>
  <c r="B17" i="8"/>
  <c r="B11" i="8"/>
  <c r="B7" i="8"/>
  <c r="B3" i="8"/>
  <c r="W147" i="9"/>
  <c r="X147" i="5"/>
  <c r="J146" i="9"/>
  <c r="K146" i="5"/>
  <c r="R146" i="9"/>
  <c r="S146" i="5"/>
  <c r="V147" i="9"/>
  <c r="W147" i="5"/>
  <c r="W146" i="9"/>
  <c r="X146" i="5"/>
  <c r="Y145" i="9"/>
  <c r="Y148" i="9"/>
  <c r="U147" i="9"/>
  <c r="V147" i="5"/>
  <c r="M147" i="9"/>
  <c r="N147" i="5"/>
  <c r="E147" i="9"/>
  <c r="F147" i="5"/>
  <c r="L2693" i="1"/>
  <c r="L2692" i="1"/>
  <c r="E28" i="8"/>
  <c r="D28" i="8"/>
  <c r="F28" i="8"/>
  <c r="C28" i="8"/>
  <c r="E37" i="8"/>
  <c r="D37" i="8"/>
  <c r="L37" i="8"/>
  <c r="F37" i="8"/>
  <c r="C37" i="8"/>
  <c r="L47" i="8"/>
  <c r="I47" i="8"/>
  <c r="F47" i="8"/>
  <c r="D47" i="8"/>
  <c r="J47" i="8"/>
  <c r="H47" i="8"/>
  <c r="E47" i="8"/>
  <c r="C47" i="8"/>
  <c r="E57" i="8"/>
  <c r="D57" i="8"/>
  <c r="L57" i="8"/>
  <c r="F57" i="8"/>
  <c r="C57" i="8"/>
  <c r="F62" i="8"/>
  <c r="C62" i="8"/>
  <c r="E62" i="8"/>
  <c r="D62" i="8"/>
  <c r="E65" i="8"/>
  <c r="D65" i="8"/>
  <c r="F65" i="8"/>
  <c r="C65" i="8"/>
  <c r="F99" i="8"/>
  <c r="C99" i="8"/>
  <c r="E99" i="8"/>
  <c r="D99" i="8"/>
  <c r="E102" i="8"/>
  <c r="D102" i="8"/>
  <c r="F102" i="8"/>
  <c r="C102" i="8"/>
  <c r="E119" i="8"/>
  <c r="D119" i="8"/>
  <c r="F119" i="8"/>
  <c r="C119" i="8"/>
  <c r="E127" i="8"/>
  <c r="D127" i="8"/>
  <c r="F127" i="8"/>
  <c r="C127" i="8"/>
  <c r="E6" i="8"/>
  <c r="D6" i="8"/>
  <c r="L6" i="8"/>
  <c r="F6" i="8"/>
  <c r="C6" i="8"/>
  <c r="F58" i="8"/>
  <c r="C58" i="8"/>
  <c r="E58" i="8"/>
  <c r="D58" i="8"/>
  <c r="E61" i="8"/>
  <c r="D61" i="8"/>
  <c r="F61" i="8"/>
  <c r="C61" i="8"/>
  <c r="F67" i="8"/>
  <c r="C67" i="8"/>
  <c r="E67" i="8"/>
  <c r="D67" i="8"/>
  <c r="E70" i="8"/>
  <c r="D70" i="8"/>
  <c r="F70" i="8"/>
  <c r="C70" i="8"/>
  <c r="E78" i="8"/>
  <c r="D78" i="8"/>
  <c r="F78" i="8"/>
  <c r="C78" i="8"/>
  <c r="E98" i="8"/>
  <c r="D98" i="8"/>
  <c r="F98" i="8"/>
  <c r="C98" i="8"/>
  <c r="E115" i="8"/>
  <c r="D115" i="8"/>
  <c r="F115" i="8"/>
  <c r="C115" i="8"/>
  <c r="E133" i="8"/>
  <c r="D133" i="8"/>
  <c r="F133" i="8"/>
  <c r="C133" i="8"/>
  <c r="AG146" i="9"/>
  <c r="AH146" i="5"/>
  <c r="AE146" i="9"/>
  <c r="AF146" i="5"/>
  <c r="A110" i="8"/>
  <c r="K110" i="8" s="1"/>
  <c r="A128" i="8"/>
  <c r="K128" i="8" s="1"/>
  <c r="H128" i="8"/>
  <c r="C9" i="9"/>
  <c r="C28" i="9"/>
  <c r="C32" i="9"/>
  <c r="BA72" i="9"/>
  <c r="C72" i="9"/>
  <c r="C126" i="9"/>
  <c r="C144" i="9"/>
  <c r="A3" i="5"/>
  <c r="A23" i="5"/>
  <c r="A26" i="5"/>
  <c r="A32" i="5"/>
  <c r="A38" i="5"/>
  <c r="A42" i="5"/>
  <c r="A47" i="5"/>
  <c r="A79" i="5"/>
  <c r="A103" i="5"/>
  <c r="A142" i="5"/>
  <c r="B144" i="8"/>
  <c r="B136" i="8"/>
  <c r="B128" i="8"/>
  <c r="B120" i="8"/>
  <c r="B112" i="8"/>
  <c r="B102" i="8"/>
  <c r="B94" i="8"/>
  <c r="B86" i="8"/>
  <c r="B78" i="8"/>
  <c r="B70" i="8"/>
  <c r="B61" i="8"/>
  <c r="B53" i="8"/>
  <c r="B44" i="8"/>
  <c r="B36" i="8"/>
  <c r="B27" i="8"/>
  <c r="B19" i="8"/>
  <c r="B9" i="8"/>
  <c r="D146" i="9"/>
  <c r="E146" i="5"/>
  <c r="F146" i="9"/>
  <c r="G146" i="5"/>
  <c r="T146" i="9"/>
  <c r="U146" i="5"/>
  <c r="D147" i="9"/>
  <c r="E147" i="5"/>
  <c r="Z146" i="9"/>
  <c r="AA146" i="5"/>
  <c r="S147" i="9"/>
  <c r="T147" i="5"/>
  <c r="K147" i="9"/>
  <c r="L147" i="5"/>
  <c r="S146" i="9"/>
  <c r="T146" i="5"/>
  <c r="I145" i="9"/>
  <c r="I148" i="9"/>
  <c r="H145" i="9"/>
  <c r="H148" i="9"/>
  <c r="B51" i="8"/>
  <c r="AH145" i="9"/>
  <c r="AF145" i="9"/>
  <c r="AL145"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AX145" i="5"/>
  <c r="AV145" i="5"/>
  <c r="BA129" i="9"/>
  <c r="C129" i="9"/>
  <c r="AC146" i="9"/>
  <c r="AD146" i="5"/>
  <c r="AK146" i="9"/>
  <c r="AL146" i="5"/>
  <c r="AE145" i="9"/>
  <c r="B64" i="5"/>
  <c r="B15" i="8"/>
  <c r="E145" i="9"/>
  <c r="E148" i="9"/>
  <c r="E146" i="9"/>
  <c r="F146" i="5"/>
  <c r="K146" i="9"/>
  <c r="L146" i="5"/>
  <c r="K145" i="9"/>
  <c r="K148" i="9"/>
  <c r="BA8" i="9"/>
  <c r="C8" i="9"/>
  <c r="F145" i="9"/>
  <c r="F148" i="9"/>
  <c r="F147" i="9"/>
  <c r="G147" i="5"/>
  <c r="C50" i="9"/>
  <c r="A5" i="5"/>
  <c r="A10" i="5"/>
  <c r="A16" i="5"/>
  <c r="A34" i="5"/>
  <c r="A66" i="5"/>
  <c r="A77" i="5"/>
  <c r="A80" i="5"/>
  <c r="A84" i="5"/>
  <c r="A88" i="5"/>
  <c r="A99" i="5"/>
  <c r="A109" i="5"/>
  <c r="A115" i="5"/>
  <c r="A120" i="5"/>
  <c r="A127" i="5"/>
  <c r="A144" i="5"/>
  <c r="A21" i="8"/>
  <c r="K21" i="8" s="1"/>
  <c r="A50" i="8"/>
  <c r="K50" i="8" s="1"/>
  <c r="A132" i="8"/>
  <c r="K132" i="8" s="1"/>
  <c r="G132" i="8"/>
  <c r="B123" i="5"/>
  <c r="B85" i="5"/>
  <c r="B81" i="5"/>
  <c r="B52" i="5"/>
  <c r="B47" i="5"/>
  <c r="B32" i="5"/>
  <c r="B6" i="5"/>
  <c r="B65" i="5"/>
  <c r="G147" i="9"/>
  <c r="H147" i="5"/>
  <c r="N145" i="9"/>
  <c r="N148" i="9"/>
  <c r="L145" i="9"/>
  <c r="L148" i="9"/>
  <c r="L147" i="9"/>
  <c r="M147" i="5"/>
  <c r="N147" i="9"/>
  <c r="O147" i="5"/>
  <c r="P147" i="9"/>
  <c r="Q147" i="5"/>
  <c r="V145" i="9"/>
  <c r="V148" i="9"/>
  <c r="Q146" i="9"/>
  <c r="R146" i="5"/>
  <c r="U145" i="9"/>
  <c r="U148" i="9"/>
  <c r="J147" i="9"/>
  <c r="K147" i="5"/>
  <c r="T147" i="9"/>
  <c r="U147" i="5"/>
  <c r="T145" i="9"/>
  <c r="T148" i="9"/>
  <c r="O146" i="9"/>
  <c r="P146" i="5"/>
  <c r="O147" i="9"/>
  <c r="P147" i="5"/>
  <c r="BA112" i="9"/>
  <c r="C112" i="9"/>
  <c r="AB147" i="9"/>
  <c r="AC147" i="5"/>
  <c r="AB146" i="9"/>
  <c r="AC146" i="5"/>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BA128" i="9"/>
  <c r="C128" i="9"/>
  <c r="AA146" i="9"/>
  <c r="AB146" i="5"/>
  <c r="AA147" i="9"/>
  <c r="AB147" i="5"/>
  <c r="Y147" i="9"/>
  <c r="Z147" i="5"/>
  <c r="D33" i="8"/>
  <c r="C33" i="8"/>
  <c r="L33" i="8"/>
  <c r="J33" i="8"/>
  <c r="D56" i="8"/>
  <c r="C56" i="8"/>
  <c r="F92" i="8"/>
  <c r="E92" i="8"/>
  <c r="D14" i="8"/>
  <c r="C14" i="8"/>
  <c r="L14" i="8"/>
  <c r="J14" i="8"/>
  <c r="F27" i="8"/>
  <c r="E27" i="8"/>
  <c r="J27" i="8"/>
  <c r="D40" i="8"/>
  <c r="C40" i="8"/>
  <c r="L40" i="8"/>
  <c r="F59" i="8"/>
  <c r="E59" i="8"/>
  <c r="A7" i="5"/>
  <c r="A14" i="5"/>
  <c r="A31" i="5"/>
  <c r="A30" i="5"/>
  <c r="A36" i="5"/>
  <c r="A50" i="5"/>
  <c r="A60" i="5"/>
  <c r="A68" i="5"/>
  <c r="A72" i="5"/>
  <c r="A96" i="5"/>
  <c r="A117" i="5"/>
  <c r="A121" i="5"/>
  <c r="A5" i="8"/>
  <c r="K5" i="8" s="1"/>
  <c r="A25" i="8"/>
  <c r="K25" i="8" s="1"/>
  <c r="A72" i="8"/>
  <c r="K72" i="8" s="1"/>
  <c r="G72" i="8"/>
  <c r="A82" i="8"/>
  <c r="K82" i="8" s="1"/>
  <c r="A90" i="8"/>
  <c r="K90" i="8" s="1"/>
  <c r="B30" i="5"/>
  <c r="B26" i="5"/>
  <c r="B69" i="5"/>
  <c r="B67" i="5"/>
  <c r="B75" i="5"/>
  <c r="B5" i="8"/>
  <c r="B27" i="5"/>
  <c r="B23" i="8"/>
  <c r="B49" i="8"/>
  <c r="B44" i="5"/>
  <c r="B54" i="8"/>
  <c r="B11" i="5"/>
  <c r="B22" i="5"/>
  <c r="B74" i="8"/>
  <c r="B93" i="8"/>
  <c r="B100" i="5"/>
  <c r="B134" i="5"/>
  <c r="B97" i="8"/>
  <c r="B101" i="8"/>
  <c r="B83" i="5"/>
  <c r="B133" i="8"/>
  <c r="B127" i="5"/>
  <c r="B137" i="8"/>
  <c r="B138" i="5"/>
  <c r="Q145" i="9"/>
  <c r="Q148" i="9"/>
  <c r="U146" i="9"/>
  <c r="V146" i="5"/>
  <c r="M145" i="9"/>
  <c r="M148" i="9"/>
  <c r="X146" i="9"/>
  <c r="Y146" i="5"/>
  <c r="X145" i="9"/>
  <c r="X148" i="9"/>
  <c r="AJ100" i="5"/>
  <c r="AJ79" i="5"/>
  <c r="AG128" i="5"/>
  <c r="AG73" i="5"/>
  <c r="AH72" i="5"/>
  <c r="AG42" i="5"/>
  <c r="B8" i="8"/>
  <c r="B60" i="5"/>
  <c r="B12" i="8"/>
  <c r="B71" i="5"/>
  <c r="B68" i="5"/>
  <c r="B14" i="8"/>
  <c r="B26" i="8"/>
  <c r="B3" i="5"/>
  <c r="B4" i="5"/>
  <c r="B30" i="8"/>
  <c r="B35" i="8"/>
  <c r="B9" i="5"/>
  <c r="A103" i="8"/>
  <c r="K103" i="8" s="1"/>
  <c r="N146" i="9"/>
  <c r="O146" i="5"/>
  <c r="O145" i="9"/>
  <c r="O148" i="9"/>
  <c r="V146" i="9"/>
  <c r="W146" i="5"/>
  <c r="R147" i="9"/>
  <c r="S147" i="5"/>
  <c r="BA88" i="9"/>
  <c r="C88" i="9"/>
  <c r="BA90" i="9"/>
  <c r="C90" i="9"/>
  <c r="AA145" i="9"/>
  <c r="AA148" i="9"/>
  <c r="A109" i="8"/>
  <c r="K109" i="8" s="1"/>
  <c r="A105" i="5"/>
  <c r="C109" i="9"/>
  <c r="B109" i="8"/>
  <c r="B105" i="5"/>
  <c r="BB38" i="5"/>
  <c r="J21" i="8"/>
  <c r="A45" i="8"/>
  <c r="K45" i="8" s="1"/>
  <c r="A40" i="5"/>
  <c r="A48" i="8"/>
  <c r="K48" i="8" s="1"/>
  <c r="I48" i="8"/>
  <c r="A58" i="5"/>
  <c r="A52" i="8"/>
  <c r="K52" i="8" s="1"/>
  <c r="H52" i="8"/>
  <c r="A9" i="5"/>
  <c r="A35" i="8"/>
  <c r="K35" i="8" s="1"/>
  <c r="A20" i="5"/>
  <c r="A63" i="8"/>
  <c r="K63" i="8" s="1"/>
  <c r="C30" i="9"/>
  <c r="A86" i="5"/>
  <c r="A97" i="5"/>
  <c r="A126" i="5"/>
  <c r="A135" i="5"/>
  <c r="A100" i="8"/>
  <c r="K100" i="8" s="1"/>
  <c r="D100" i="8"/>
  <c r="A111" i="8"/>
  <c r="K111" i="8" s="1"/>
  <c r="A85" i="8"/>
  <c r="K85" i="8" s="1"/>
  <c r="D85" i="8"/>
  <c r="B36" i="5"/>
  <c r="B40" i="8"/>
  <c r="B52" i="8"/>
  <c r="B58" i="5"/>
  <c r="B69" i="8"/>
  <c r="B49" i="5"/>
  <c r="B117" i="8"/>
  <c r="B109" i="5"/>
  <c r="G146" i="9"/>
  <c r="H146" i="5"/>
  <c r="R145" i="9"/>
  <c r="R148" i="9"/>
  <c r="B13" i="8"/>
  <c r="B74" i="5"/>
  <c r="B62" i="8"/>
  <c r="B19" i="5"/>
  <c r="B79" i="8"/>
  <c r="B80" i="5"/>
  <c r="B95" i="8"/>
  <c r="B101" i="5"/>
  <c r="B108" i="8"/>
  <c r="B104" i="5"/>
  <c r="B140" i="5"/>
  <c r="B131" i="8"/>
  <c r="J145" i="9"/>
  <c r="J148" i="9"/>
  <c r="P145" i="9"/>
  <c r="P148" i="9"/>
  <c r="G145" i="9"/>
  <c r="G148" i="9"/>
  <c r="H147" i="9"/>
  <c r="I147" i="5"/>
  <c r="B43" i="8"/>
  <c r="B38" i="5"/>
  <c r="B53" i="5"/>
  <c r="B65" i="8"/>
  <c r="B87" i="8"/>
  <c r="B95" i="5"/>
  <c r="B125" i="8"/>
  <c r="B121" i="5"/>
  <c r="A51" i="8"/>
  <c r="K51" i="8" s="1"/>
  <c r="C51" i="8"/>
  <c r="AR145" i="5"/>
  <c r="E132" i="8"/>
  <c r="BB107" i="5"/>
  <c r="AU145" i="5"/>
  <c r="BA145" i="5"/>
  <c r="BB39" i="5"/>
  <c r="BB115" i="5"/>
  <c r="E93" i="8"/>
  <c r="E33" i="8"/>
  <c r="C39" i="8"/>
  <c r="I55" i="8"/>
  <c r="W140" i="5"/>
  <c r="BB140" i="5"/>
  <c r="Q67" i="5"/>
  <c r="P110" i="5"/>
  <c r="J63" i="5"/>
  <c r="BB63" i="5"/>
  <c r="BB76" i="5"/>
  <c r="BB5" i="5"/>
  <c r="BB2" i="5"/>
  <c r="BB124" i="5"/>
  <c r="F121" i="5"/>
  <c r="BB118" i="5"/>
  <c r="F33" i="5"/>
  <c r="BB21" i="5"/>
  <c r="G53" i="5"/>
  <c r="AM20" i="5"/>
  <c r="BB20" i="5"/>
  <c r="G15" i="5"/>
  <c r="E114" i="8"/>
  <c r="BA92" i="9"/>
  <c r="C92" i="9"/>
  <c r="BA87" i="9"/>
  <c r="C87" i="9"/>
  <c r="AH95" i="5"/>
  <c r="G76" i="8"/>
  <c r="L76" i="8"/>
  <c r="J76" i="8"/>
  <c r="F76" i="8"/>
  <c r="E76" i="8"/>
  <c r="D76" i="8"/>
  <c r="H76" i="8"/>
  <c r="A79" i="8"/>
  <c r="K79" i="8" s="1"/>
  <c r="C79" i="9"/>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BB4" i="5"/>
  <c r="BB90" i="5"/>
  <c r="BB64" i="5"/>
  <c r="BB50" i="5"/>
  <c r="BB47" i="5"/>
  <c r="BB6" i="5"/>
  <c r="AN125" i="5"/>
  <c r="AN145" i="5"/>
  <c r="AM75" i="5"/>
  <c r="BB75" i="5"/>
  <c r="BA5" i="9"/>
  <c r="C5" i="9"/>
  <c r="A64" i="5"/>
  <c r="C15" i="9"/>
  <c r="A74" i="8"/>
  <c r="K74" i="8" s="1"/>
  <c r="C74" i="9"/>
  <c r="G113" i="8"/>
  <c r="F113" i="8"/>
  <c r="E113" i="8"/>
  <c r="D113" i="8"/>
  <c r="J113" i="8"/>
  <c r="C113" i="8"/>
  <c r="L113" i="8"/>
  <c r="H113" i="8"/>
  <c r="A131" i="8"/>
  <c r="K131" i="8" s="1"/>
  <c r="A134" i="8"/>
  <c r="K134" i="8" s="1"/>
  <c r="A128" i="5"/>
  <c r="G123" i="5"/>
  <c r="BB123" i="5"/>
  <c r="BA141" i="9"/>
  <c r="C141" i="9"/>
  <c r="L27" i="14"/>
  <c r="J27" i="14"/>
  <c r="AP146" i="9"/>
  <c r="AQ146" i="5"/>
  <c r="AP145" i="9"/>
  <c r="AN145" i="9"/>
  <c r="AN146" i="9"/>
  <c r="AO146" i="5"/>
  <c r="D50" i="8"/>
  <c r="D82" i="8"/>
  <c r="E50" i="8"/>
  <c r="E5" i="8"/>
  <c r="AA145" i="5"/>
  <c r="BB31" i="5"/>
  <c r="BB28" i="5"/>
  <c r="BB108" i="5"/>
  <c r="AJ13" i="5"/>
  <c r="AI146" i="9"/>
  <c r="AJ146" i="5"/>
  <c r="AI11" i="5"/>
  <c r="AH146" i="9"/>
  <c r="AI146" i="5"/>
  <c r="AE35" i="5"/>
  <c r="AE145" i="5"/>
  <c r="AD145" i="9"/>
  <c r="BA37" i="9"/>
  <c r="C37" i="9"/>
  <c r="AG32" i="5"/>
  <c r="G114" i="8"/>
  <c r="J114" i="8"/>
  <c r="F114" i="8"/>
  <c r="C114" i="8"/>
  <c r="I114" i="8"/>
  <c r="D114" i="8"/>
  <c r="H114" i="8"/>
  <c r="A3" i="8"/>
  <c r="K3" i="8" s="1"/>
  <c r="G28" i="8"/>
  <c r="J28" i="8"/>
  <c r="I28" i="8"/>
  <c r="L28" i="8"/>
  <c r="A31" i="8"/>
  <c r="K31" i="8" s="1"/>
  <c r="C31" i="9"/>
  <c r="A11" i="5"/>
  <c r="A54" i="8"/>
  <c r="K54" i="8" s="1"/>
  <c r="C54" i="9"/>
  <c r="I58" i="8"/>
  <c r="J58" i="8"/>
  <c r="I62" i="8"/>
  <c r="J62" i="8"/>
  <c r="G70" i="8"/>
  <c r="I70" i="8"/>
  <c r="J70" i="8"/>
  <c r="A112" i="5"/>
  <c r="A106" i="8"/>
  <c r="K106" i="8" s="1"/>
  <c r="B45" i="8"/>
  <c r="B40" i="5"/>
  <c r="B43" i="5"/>
  <c r="B48" i="8"/>
  <c r="B58" i="8"/>
  <c r="B15" i="5"/>
  <c r="B103" i="5"/>
  <c r="B98" i="8"/>
  <c r="B118" i="5"/>
  <c r="B122" i="8"/>
  <c r="B128" i="5"/>
  <c r="B134" i="8"/>
  <c r="B110" i="5"/>
  <c r="B140" i="8"/>
  <c r="L23" i="14"/>
  <c r="J23" i="14"/>
  <c r="F67" i="5"/>
  <c r="BA4" i="9"/>
  <c r="C4" i="9"/>
  <c r="I67" i="5"/>
  <c r="I145" i="5"/>
  <c r="H146" i="9"/>
  <c r="I146" i="5"/>
  <c r="A7" i="8"/>
  <c r="K7" i="8" s="1"/>
  <c r="A63" i="5"/>
  <c r="AD60" i="5"/>
  <c r="AC145" i="9"/>
  <c r="R69" i="5"/>
  <c r="Q147" i="9"/>
  <c r="R147" i="5"/>
  <c r="H24" i="5"/>
  <c r="BA20" i="9"/>
  <c r="C20" i="9"/>
  <c r="BA44" i="9"/>
  <c r="C44" i="9"/>
  <c r="BA49" i="9"/>
  <c r="C49" i="9"/>
  <c r="G44" i="5"/>
  <c r="G13" i="5"/>
  <c r="BA56" i="9"/>
  <c r="C56" i="9"/>
  <c r="G18" i="5"/>
  <c r="BB18" i="5"/>
  <c r="BA61" i="9"/>
  <c r="C61" i="9"/>
  <c r="H48" i="5"/>
  <c r="BA68" i="9"/>
  <c r="C68" i="9"/>
  <c r="BA84" i="9"/>
  <c r="C84" i="9"/>
  <c r="G91" i="5"/>
  <c r="BA101" i="9"/>
  <c r="C101" i="9"/>
  <c r="F83" i="5"/>
  <c r="BB83" i="5"/>
  <c r="V113" i="5"/>
  <c r="BB113" i="5"/>
  <c r="BA107" i="9"/>
  <c r="C107" i="9"/>
  <c r="BA108" i="9"/>
  <c r="C108" i="9"/>
  <c r="F104" i="5"/>
  <c r="BB104" i="5"/>
  <c r="A112" i="8"/>
  <c r="K112" i="8" s="1"/>
  <c r="A133" i="5"/>
  <c r="BA113" i="9"/>
  <c r="C113" i="9"/>
  <c r="L135" i="5"/>
  <c r="BB135" i="5"/>
  <c r="BA115" i="9"/>
  <c r="C115" i="9"/>
  <c r="K143" i="5"/>
  <c r="M109" i="5"/>
  <c r="BA117" i="9"/>
  <c r="C117" i="9"/>
  <c r="R116" i="5"/>
  <c r="BA120" i="9"/>
  <c r="C120" i="9"/>
  <c r="L119" i="5"/>
  <c r="BA123" i="9"/>
  <c r="C123" i="9"/>
  <c r="F132" i="5"/>
  <c r="BA136" i="9"/>
  <c r="C136" i="9"/>
  <c r="P1380" i="1"/>
  <c r="P1371" i="1"/>
  <c r="P1251" i="1"/>
  <c r="P1080" i="1"/>
  <c r="P978" i="1"/>
  <c r="P323" i="1"/>
  <c r="A141" i="8"/>
  <c r="K141" i="8" s="1"/>
  <c r="A123" i="5"/>
  <c r="L2748" i="1"/>
  <c r="BA110" i="9"/>
  <c r="C110" i="9"/>
  <c r="AR5" i="4"/>
  <c r="AR6" i="4"/>
  <c r="AR7" i="4"/>
  <c r="AR8" i="4"/>
  <c r="AR9" i="4"/>
  <c r="AR10" i="4"/>
  <c r="AR11" i="4"/>
  <c r="AR12" i="4"/>
  <c r="AR13" i="4"/>
  <c r="AR14" i="4"/>
  <c r="AR15" i="4"/>
  <c r="AR16" i="4"/>
  <c r="A19" i="8"/>
  <c r="K19" i="8" s="1"/>
  <c r="A57" i="5"/>
  <c r="A30" i="8"/>
  <c r="K30" i="8" s="1"/>
  <c r="H30" i="8"/>
  <c r="A37" i="5"/>
  <c r="A42" i="8"/>
  <c r="K42" i="8" s="1"/>
  <c r="B6" i="8"/>
  <c r="B72" i="5"/>
  <c r="B13" i="5"/>
  <c r="B56" i="8"/>
  <c r="BA76" i="9"/>
  <c r="C76" i="9"/>
  <c r="BA106" i="9"/>
  <c r="C106" i="9"/>
  <c r="BA119" i="9"/>
  <c r="C119" i="9"/>
  <c r="X147" i="9"/>
  <c r="Y147" i="5"/>
  <c r="AP15" i="5"/>
  <c r="AP145" i="5"/>
  <c r="AO145" i="9"/>
  <c r="BA82" i="9"/>
  <c r="C82" i="9"/>
  <c r="BA57" i="9"/>
  <c r="C57" i="9"/>
  <c r="BA99" i="9"/>
  <c r="C99" i="9"/>
  <c r="A2" i="8"/>
  <c r="K2" i="8" s="1"/>
  <c r="A65" i="5"/>
  <c r="B23" i="5"/>
  <c r="G157" i="8"/>
  <c r="I77"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BA134" i="9"/>
  <c r="C134" i="9"/>
  <c r="BA102" i="9"/>
  <c r="C102" i="9"/>
  <c r="BA93" i="9"/>
  <c r="C93" i="9"/>
  <c r="BA47" i="9"/>
  <c r="C47" i="9"/>
  <c r="BA96" i="9"/>
  <c r="C96" i="9"/>
  <c r="BA97" i="9"/>
  <c r="L67" i="14"/>
  <c r="C128" i="8"/>
  <c r="H109" i="8"/>
  <c r="D103" i="8"/>
  <c r="J82" i="8"/>
  <c r="C103" i="8"/>
  <c r="BB138" i="5"/>
  <c r="AZ145" i="5"/>
  <c r="BB131" i="5"/>
  <c r="F103" i="8"/>
  <c r="J52" i="8"/>
  <c r="H25" i="8"/>
  <c r="E103" i="8"/>
  <c r="H103" i="8"/>
  <c r="C90" i="8"/>
  <c r="J25" i="8"/>
  <c r="C132" i="8"/>
  <c r="I52" i="8"/>
  <c r="C25" i="8"/>
  <c r="F90" i="8"/>
  <c r="I132" i="8"/>
  <c r="C97" i="9"/>
  <c r="E52" i="8"/>
  <c r="E25" i="8"/>
  <c r="D90" i="8"/>
  <c r="F25" i="8"/>
  <c r="L25" i="8"/>
  <c r="E21" i="8"/>
  <c r="J90" i="8"/>
  <c r="E90" i="8"/>
  <c r="I25" i="8"/>
  <c r="D25" i="8"/>
  <c r="J100" i="8"/>
  <c r="J111" i="8"/>
  <c r="L52" i="8"/>
  <c r="G52" i="8"/>
  <c r="F72" i="8"/>
  <c r="I109" i="8"/>
  <c r="G109" i="8"/>
  <c r="E82" i="8"/>
  <c r="G82" i="8"/>
  <c r="G5" i="8"/>
  <c r="H132" i="8"/>
  <c r="L132" i="8"/>
  <c r="D132" i="8"/>
  <c r="L21" i="8"/>
  <c r="G51" i="8"/>
  <c r="E100" i="8"/>
  <c r="E85" i="8"/>
  <c r="G85" i="8"/>
  <c r="L63" i="8"/>
  <c r="G63" i="8"/>
  <c r="L48" i="8"/>
  <c r="G48" i="8"/>
  <c r="C72" i="8"/>
  <c r="L72" i="8"/>
  <c r="J132" i="8"/>
  <c r="F132" i="8"/>
  <c r="I21" i="8"/>
  <c r="I50" i="8"/>
  <c r="J6" i="8"/>
  <c r="G6" i="8"/>
  <c r="L58" i="8"/>
  <c r="G58" i="8"/>
  <c r="L62" i="8"/>
  <c r="G62" i="8"/>
  <c r="F52" i="8"/>
  <c r="L85" i="8"/>
  <c r="F128" i="8"/>
  <c r="L128" i="8"/>
  <c r="E109" i="8"/>
  <c r="F21" i="8"/>
  <c r="C21" i="8"/>
  <c r="H21" i="8"/>
  <c r="D128" i="8"/>
  <c r="I128" i="8"/>
  <c r="E128" i="8"/>
  <c r="L109" i="8"/>
  <c r="C109" i="8"/>
  <c r="I82" i="8"/>
  <c r="H82" i="8"/>
  <c r="L5" i="8"/>
  <c r="D21" i="8"/>
  <c r="L110" i="8"/>
  <c r="A4" i="8"/>
  <c r="K4" i="8" s="1"/>
  <c r="A67" i="5"/>
  <c r="A24" i="8"/>
  <c r="K24" i="8" s="1"/>
  <c r="A2" i="5"/>
  <c r="A41" i="8"/>
  <c r="K41" i="8" s="1"/>
  <c r="A35" i="5"/>
  <c r="A77" i="8"/>
  <c r="K77" i="8" s="1"/>
  <c r="E77" i="8"/>
  <c r="A78" i="5"/>
  <c r="A94" i="5"/>
  <c r="A86" i="8"/>
  <c r="K86" i="8" s="1"/>
  <c r="A118" i="5"/>
  <c r="A122" i="8"/>
  <c r="K122" i="8" s="1"/>
  <c r="H122" i="8"/>
  <c r="C122" i="9"/>
  <c r="B24" i="8"/>
  <c r="B2" i="5"/>
  <c r="B14" i="5"/>
  <c r="B57" i="8"/>
  <c r="B81" i="8"/>
  <c r="B88" i="5"/>
  <c r="B111" i="8"/>
  <c r="B107" i="5"/>
  <c r="B120" i="5"/>
  <c r="B124" i="8"/>
  <c r="B131" i="5"/>
  <c r="B139" i="8"/>
  <c r="AT145" i="5"/>
  <c r="BA6" i="9"/>
  <c r="C6" i="9"/>
  <c r="C24" i="9"/>
  <c r="C83" i="9"/>
  <c r="A53" i="8"/>
  <c r="K53" i="8" s="1"/>
  <c r="A59" i="5"/>
  <c r="A84" i="8"/>
  <c r="K84" i="8" s="1"/>
  <c r="G84" i="8"/>
  <c r="A91" i="5"/>
  <c r="A102" i="5"/>
  <c r="A96" i="8"/>
  <c r="K96" i="8" s="1"/>
  <c r="A116" i="5"/>
  <c r="A120" i="8"/>
  <c r="K120" i="8" s="1"/>
  <c r="J120" i="8"/>
  <c r="B56" i="5"/>
  <c r="B64" i="8"/>
  <c r="B143" i="5"/>
  <c r="B115" i="8"/>
  <c r="S145" i="9"/>
  <c r="S148" i="9"/>
  <c r="BA103" i="9"/>
  <c r="C103" i="9"/>
  <c r="A24" i="5"/>
  <c r="A20" i="8"/>
  <c r="K20" i="8" s="1"/>
  <c r="B135" i="8"/>
  <c r="B129" i="5"/>
  <c r="AM146" i="9"/>
  <c r="AN146" i="5"/>
  <c r="A130" i="5"/>
  <c r="A23" i="8"/>
  <c r="K23" i="8" s="1"/>
  <c r="A46" i="8"/>
  <c r="K46" i="8" s="1"/>
  <c r="A64" i="8"/>
  <c r="K64" i="8" s="1"/>
  <c r="A101" i="5"/>
  <c r="B61" i="5"/>
  <c r="B41" i="8"/>
  <c r="BA46" i="9"/>
  <c r="C46" i="9"/>
  <c r="BA73" i="9"/>
  <c r="C73" i="9"/>
  <c r="BA80" i="9"/>
  <c r="C80" i="9"/>
  <c r="D145" i="9"/>
  <c r="Z147" i="9"/>
  <c r="AA147" i="5"/>
  <c r="BB46" i="5"/>
  <c r="I85" i="8"/>
  <c r="C85" i="8"/>
  <c r="F85" i="8"/>
  <c r="J85" i="8"/>
  <c r="F63" i="8"/>
  <c r="E63" i="8"/>
  <c r="J63" i="8"/>
  <c r="I63" i="8"/>
  <c r="H63" i="8"/>
  <c r="H48" i="8"/>
  <c r="D48" i="8"/>
  <c r="F45" i="8"/>
  <c r="I51" i="8"/>
  <c r="D51" i="8"/>
  <c r="F51" i="8"/>
  <c r="C63" i="8"/>
  <c r="H85" i="8"/>
  <c r="D63" i="8"/>
  <c r="L82" i="8"/>
  <c r="C82" i="8"/>
  <c r="I5" i="8"/>
  <c r="C5" i="8"/>
  <c r="H111" i="8"/>
  <c r="F111" i="8"/>
  <c r="F109" i="8"/>
  <c r="D109" i="8"/>
  <c r="L103" i="8"/>
  <c r="I103" i="8"/>
  <c r="J103" i="8"/>
  <c r="D72" i="8"/>
  <c r="H72" i="8"/>
  <c r="J72" i="8"/>
  <c r="F3" i="8"/>
  <c r="I3" i="8"/>
  <c r="H3" i="8"/>
  <c r="C19" i="8"/>
  <c r="F40" i="8"/>
  <c r="J40" i="8"/>
  <c r="I40" i="8"/>
  <c r="E40" i="8"/>
  <c r="H40" i="8"/>
  <c r="D53" i="8"/>
  <c r="J53" i="8"/>
  <c r="C59" i="8"/>
  <c r="I59" i="8"/>
  <c r="L59" i="8"/>
  <c r="H59" i="8"/>
  <c r="D59" i="8"/>
  <c r="J59" i="8"/>
  <c r="H65" i="8"/>
  <c r="L65" i="8"/>
  <c r="J65" i="8"/>
  <c r="I65" i="8"/>
  <c r="I67" i="8"/>
  <c r="H67" i="8"/>
  <c r="L67" i="8"/>
  <c r="J67" i="8"/>
  <c r="I98" i="8"/>
  <c r="H98" i="8"/>
  <c r="L98" i="8"/>
  <c r="J98" i="8"/>
  <c r="L134" i="8"/>
  <c r="B127" i="8"/>
  <c r="B142" i="5"/>
  <c r="C12" i="9"/>
  <c r="A6" i="5"/>
  <c r="A71" i="5"/>
  <c r="A17" i="8"/>
  <c r="K17" i="8" s="1"/>
  <c r="G17" i="8"/>
  <c r="A10" i="8"/>
  <c r="K10" i="8" s="1"/>
  <c r="B20" i="8"/>
  <c r="B24" i="5"/>
  <c r="B60" i="8"/>
  <c r="B17" i="5"/>
  <c r="B77" i="8"/>
  <c r="B78" i="5"/>
  <c r="B98" i="5"/>
  <c r="B90" i="8"/>
  <c r="B141" i="5"/>
  <c r="B132" i="8"/>
  <c r="L146" i="9"/>
  <c r="M146" i="5"/>
  <c r="W145" i="9"/>
  <c r="W148" i="9"/>
  <c r="A100" i="5"/>
  <c r="A9" i="8"/>
  <c r="K9" i="8" s="1"/>
  <c r="A15" i="8"/>
  <c r="K15" i="8" s="1"/>
  <c r="J15" i="8"/>
  <c r="A118" i="8"/>
  <c r="K118" i="8" s="1"/>
  <c r="A126" i="8"/>
  <c r="K126" i="8" s="1"/>
  <c r="H126" i="8"/>
  <c r="A140" i="8"/>
  <c r="K140" i="8" s="1"/>
  <c r="I140" i="8"/>
  <c r="A22" i="5"/>
  <c r="B82" i="8"/>
  <c r="B85" i="8"/>
  <c r="B93" i="5"/>
  <c r="B113" i="8"/>
  <c r="B135" i="5"/>
  <c r="I146" i="9"/>
  <c r="J146" i="5"/>
  <c r="M146" i="9"/>
  <c r="N146" i="5"/>
  <c r="BA7" i="9"/>
  <c r="C7" i="9"/>
  <c r="AB145" i="9"/>
  <c r="AB148" i="9"/>
  <c r="Y146" i="9"/>
  <c r="Z146" i="5"/>
  <c r="BA45" i="9"/>
  <c r="C45" i="9"/>
  <c r="BA69" i="9"/>
  <c r="C69" i="9"/>
  <c r="BA133" i="9"/>
  <c r="C133" i="9"/>
  <c r="Z145" i="9"/>
  <c r="Z148" i="9"/>
  <c r="AI145" i="9"/>
  <c r="L68" i="14"/>
  <c r="G31" i="8"/>
  <c r="F31" i="8"/>
  <c r="E31" i="8"/>
  <c r="C31" i="8"/>
  <c r="J31" i="8"/>
  <c r="I31" i="8"/>
  <c r="D31" i="8"/>
  <c r="L31" i="8"/>
  <c r="H31" i="8"/>
  <c r="C134" i="8"/>
  <c r="C2" i="8"/>
  <c r="E2" i="8"/>
  <c r="I2" i="8"/>
  <c r="G42" i="8"/>
  <c r="D42" i="8"/>
  <c r="L42" i="8"/>
  <c r="I42" i="8"/>
  <c r="F42" i="8"/>
  <c r="E42" i="8"/>
  <c r="C42" i="8"/>
  <c r="J42" i="8"/>
  <c r="H42" i="8"/>
  <c r="G141" i="8"/>
  <c r="C141" i="8"/>
  <c r="J141" i="8"/>
  <c r="L141" i="8"/>
  <c r="F141" i="8"/>
  <c r="E141" i="8"/>
  <c r="I141" i="8"/>
  <c r="H141" i="8"/>
  <c r="D141" i="8"/>
  <c r="G54" i="8"/>
  <c r="F54" i="8"/>
  <c r="E54" i="8"/>
  <c r="J54" i="8"/>
  <c r="H54" i="8"/>
  <c r="D54" i="8"/>
  <c r="I54" i="8"/>
  <c r="E7" i="8"/>
  <c r="H7" i="8"/>
  <c r="I7" i="8"/>
  <c r="G131" i="8"/>
  <c r="C131" i="8"/>
  <c r="J131" i="8"/>
  <c r="L131" i="8"/>
  <c r="H131" i="8"/>
  <c r="F131" i="8"/>
  <c r="E131" i="8"/>
  <c r="D131" i="8"/>
  <c r="I131" i="8"/>
  <c r="H53" i="8"/>
  <c r="C53" i="8"/>
  <c r="F53" i="8"/>
  <c r="E53" i="8"/>
  <c r="G30" i="8"/>
  <c r="F30" i="8"/>
  <c r="J30" i="8"/>
  <c r="L30" i="8"/>
  <c r="I30" i="8"/>
  <c r="L2749" i="1"/>
  <c r="G112" i="8"/>
  <c r="D112" i="8"/>
  <c r="H112" i="8"/>
  <c r="F112" i="8"/>
  <c r="L112" i="8"/>
  <c r="C112" i="8"/>
  <c r="I112" i="8"/>
  <c r="E112" i="8"/>
  <c r="J112" i="8"/>
  <c r="G106" i="8"/>
  <c r="D106" i="8"/>
  <c r="L106" i="8"/>
  <c r="G74" i="8"/>
  <c r="J74" i="8"/>
  <c r="E74" i="8"/>
  <c r="I79" i="8"/>
  <c r="E79" i="8"/>
  <c r="L79" i="8"/>
  <c r="H118" i="8"/>
  <c r="G118" i="8"/>
  <c r="L61" i="14"/>
  <c r="L62" i="14"/>
  <c r="D20" i="8"/>
  <c r="C120" i="8"/>
  <c r="E41" i="8"/>
  <c r="C4" i="8"/>
  <c r="L4" i="8"/>
  <c r="F64" i="8"/>
  <c r="E64" i="8"/>
  <c r="C64" i="8"/>
  <c r="L64" i="8"/>
  <c r="J64" i="8"/>
  <c r="I64" i="8"/>
  <c r="H64" i="8"/>
  <c r="D64" i="8"/>
  <c r="F84" i="8"/>
  <c r="C84" i="8"/>
  <c r="E84" i="8"/>
  <c r="D84" i="8"/>
  <c r="J84" i="8"/>
  <c r="I84" i="8"/>
  <c r="H84" i="8"/>
  <c r="L84" i="8"/>
  <c r="E122" i="8"/>
  <c r="L122" i="8"/>
  <c r="D46" i="8"/>
  <c r="E96" i="8"/>
  <c r="J96" i="8"/>
  <c r="D96" i="8"/>
  <c r="L77" i="8"/>
  <c r="D77" i="8"/>
  <c r="H77" i="8"/>
  <c r="F77" i="8"/>
  <c r="C24" i="8"/>
  <c r="L24" i="8"/>
  <c r="F24" i="8"/>
  <c r="I24" i="8"/>
  <c r="H24" i="8"/>
  <c r="D23" i="8"/>
  <c r="L23" i="8"/>
  <c r="F23" i="8"/>
  <c r="J23" i="8"/>
  <c r="I23" i="8"/>
  <c r="H23" i="8"/>
  <c r="E23" i="8"/>
  <c r="C23" i="8"/>
  <c r="F86" i="8"/>
  <c r="J86" i="8"/>
  <c r="I86" i="8"/>
  <c r="L10" i="8"/>
  <c r="J10" i="8"/>
  <c r="F140" i="8"/>
  <c r="J140" i="8"/>
  <c r="D140" i="8"/>
  <c r="D126" i="8"/>
  <c r="I118" i="8"/>
  <c r="E118" i="8"/>
  <c r="F118" i="8"/>
  <c r="L118" i="8"/>
  <c r="J118" i="8"/>
  <c r="F15" i="8"/>
  <c r="D15" i="8"/>
  <c r="C15" i="8"/>
  <c r="L15" i="8"/>
  <c r="E15" i="8"/>
  <c r="H15" i="8"/>
  <c r="D9" i="8"/>
  <c r="J9" i="8"/>
  <c r="C9" i="8"/>
  <c r="L9" i="8"/>
  <c r="I10" i="8"/>
  <c r="E10" i="8"/>
  <c r="E17" i="8"/>
  <c r="J17" i="8"/>
  <c r="L2750" i="1"/>
  <c r="L69" i="14"/>
  <c r="E9" i="8"/>
  <c r="G9" i="8"/>
  <c r="I9" i="8"/>
  <c r="H9" i="8"/>
  <c r="J2" i="8"/>
  <c r="D2" i="8"/>
  <c r="F2" i="8"/>
  <c r="G2" i="8"/>
  <c r="H2" i="8"/>
  <c r="L2" i="8"/>
  <c r="E134" i="8"/>
  <c r="J134" i="8"/>
  <c r="G134" i="8"/>
  <c r="H134" i="8"/>
  <c r="C110" i="8"/>
  <c r="D110" i="8"/>
  <c r="J110" i="8"/>
  <c r="H110" i="8"/>
  <c r="F110" i="8"/>
  <c r="G110" i="8"/>
  <c r="E110" i="8"/>
  <c r="I110" i="8"/>
  <c r="AJ145" i="5"/>
  <c r="G96" i="8"/>
  <c r="C96" i="8"/>
  <c r="I96" i="8"/>
  <c r="F96" i="8"/>
  <c r="L96" i="8"/>
  <c r="H96" i="8"/>
  <c r="E86" i="8"/>
  <c r="G86" i="8"/>
  <c r="C86" i="8"/>
  <c r="G24" i="8"/>
  <c r="D24" i="8"/>
  <c r="J24" i="8"/>
  <c r="E24" i="8"/>
  <c r="G3" i="8"/>
  <c r="D3" i="8"/>
  <c r="C3" i="8"/>
  <c r="E3" i="8"/>
  <c r="J3" i="8"/>
  <c r="L3" i="8"/>
  <c r="G100" i="8"/>
  <c r="H100" i="8"/>
  <c r="I100" i="8"/>
  <c r="C100" i="8"/>
  <c r="F100" i="8"/>
  <c r="L100" i="8"/>
  <c r="I45" i="8"/>
  <c r="L45" i="8"/>
  <c r="D45" i="8"/>
  <c r="C45" i="8"/>
  <c r="E45" i="8"/>
  <c r="L55" i="14"/>
  <c r="G46" i="8"/>
  <c r="J46" i="8"/>
  <c r="L46" i="8"/>
  <c r="I46" i="8"/>
  <c r="F20" i="8"/>
  <c r="G20" i="8"/>
  <c r="I20" i="8"/>
  <c r="C20" i="8"/>
  <c r="H20" i="8"/>
  <c r="G7" i="8"/>
  <c r="D7" i="8"/>
  <c r="C7" i="8"/>
  <c r="F7" i="8"/>
  <c r="L7" i="8"/>
  <c r="J7" i="8"/>
  <c r="I74" i="8"/>
  <c r="H74" i="8"/>
  <c r="C74" i="8"/>
  <c r="L74" i="8"/>
  <c r="D74" i="8"/>
  <c r="F74" i="8"/>
  <c r="BB110" i="5"/>
  <c r="G35" i="8"/>
  <c r="D35" i="8"/>
  <c r="F35" i="8"/>
  <c r="L35" i="8"/>
  <c r="H35" i="8"/>
  <c r="I35" i="8"/>
  <c r="G140" i="8"/>
  <c r="L140" i="8"/>
  <c r="E140" i="8"/>
  <c r="G120" i="8"/>
  <c r="I120" i="8"/>
  <c r="E120" i="8"/>
  <c r="G122" i="8"/>
  <c r="C122" i="8"/>
  <c r="J122" i="8"/>
  <c r="F122" i="8"/>
  <c r="D122" i="8"/>
  <c r="I122" i="8"/>
  <c r="G41" i="8"/>
  <c r="I41" i="8"/>
  <c r="F41" i="8"/>
  <c r="H41" i="8"/>
  <c r="G4" i="8"/>
  <c r="J4" i="8"/>
  <c r="E4" i="8"/>
  <c r="F4" i="8"/>
  <c r="I4" i="8"/>
  <c r="D4" i="8"/>
  <c r="G19" i="8"/>
  <c r="I19" i="8"/>
  <c r="F106" i="8"/>
  <c r="J106" i="8"/>
  <c r="H106" i="8"/>
  <c r="E106" i="8"/>
  <c r="C106" i="8"/>
  <c r="I106" i="8"/>
  <c r="G79" i="8"/>
  <c r="F79" i="8"/>
  <c r="J79" i="8"/>
  <c r="H79" i="8"/>
  <c r="D79" i="8"/>
  <c r="C79" i="8"/>
  <c r="H10" i="8"/>
  <c r="F10" i="8"/>
  <c r="I15" i="8"/>
  <c r="E126" i="8"/>
  <c r="D10" i="8"/>
  <c r="L53" i="8"/>
  <c r="BB109" i="5"/>
  <c r="AH70" i="5"/>
  <c r="BB70" i="5"/>
  <c r="AM136" i="5"/>
  <c r="BB136" i="5"/>
  <c r="A44" i="8"/>
  <c r="K44" i="8" s="1"/>
  <c r="AM145" i="9"/>
  <c r="BA145" i="9"/>
  <c r="C1" i="9"/>
  <c r="C145" i="9" s="1"/>
  <c r="A131" i="5"/>
  <c r="A107" i="8"/>
  <c r="K107" i="8" s="1"/>
  <c r="B76" i="5"/>
  <c r="B107" i="8"/>
  <c r="BA65" i="9"/>
  <c r="C65" i="9"/>
  <c r="N5" i="4"/>
  <c r="N6" i="4"/>
  <c r="N7" i="4"/>
  <c r="B117" i="5"/>
  <c r="B90" i="5"/>
  <c r="B39" i="8"/>
  <c r="BG5" i="4"/>
  <c r="BG6" i="4"/>
  <c r="BG7" i="4"/>
  <c r="BG8" i="4"/>
  <c r="BG9" i="4"/>
  <c r="BG10" i="4"/>
  <c r="BG11" i="4"/>
  <c r="BG12" i="4"/>
  <c r="BG13" i="4"/>
  <c r="BG14" i="4"/>
  <c r="BG15" i="4"/>
  <c r="BG16" i="4"/>
  <c r="D9" i="4"/>
  <c r="BB105" i="5"/>
  <c r="L2752" i="1"/>
  <c r="I34" i="4"/>
  <c r="I35" i="4"/>
  <c r="I36" i="4"/>
  <c r="I37" i="4"/>
  <c r="I38" i="4"/>
  <c r="I39" i="4"/>
  <c r="I40" i="4"/>
  <c r="I41" i="4"/>
  <c r="I42" i="4"/>
  <c r="I43" i="4"/>
  <c r="I44" i="4"/>
  <c r="I45" i="4"/>
  <c r="I46" i="4"/>
  <c r="I47" i="4"/>
  <c r="I48" i="4"/>
  <c r="F126" i="8"/>
  <c r="C126" i="8"/>
  <c r="A13" i="8"/>
  <c r="K13" i="8" s="1"/>
  <c r="I22" i="8"/>
  <c r="A28" i="5"/>
  <c r="C25" i="9"/>
  <c r="G39" i="8"/>
  <c r="E39" i="8"/>
  <c r="J39" i="8"/>
  <c r="F39" i="8"/>
  <c r="D39" i="8"/>
  <c r="L39" i="8"/>
  <c r="I39" i="8"/>
  <c r="C52" i="9"/>
  <c r="A53" i="5"/>
  <c r="G73" i="8"/>
  <c r="I73" i="8"/>
  <c r="E73" i="8"/>
  <c r="D73" i="8"/>
  <c r="C73" i="8"/>
  <c r="L73" i="8"/>
  <c r="J73" i="8"/>
  <c r="A123" i="8"/>
  <c r="K123" i="8" s="1"/>
  <c r="A119" i="5"/>
  <c r="A136" i="8"/>
  <c r="K136" i="8" s="1"/>
  <c r="A132" i="5"/>
  <c r="A143" i="8"/>
  <c r="K143" i="8" s="1"/>
  <c r="I143" i="8"/>
  <c r="A76" i="5"/>
  <c r="BA59" i="9"/>
  <c r="C59" i="9"/>
  <c r="F16" i="5"/>
  <c r="E19" i="8"/>
  <c r="H19" i="8"/>
  <c r="F17" i="8"/>
  <c r="L17" i="8"/>
  <c r="F9" i="8"/>
  <c r="D118" i="8"/>
  <c r="J126" i="8"/>
  <c r="D86" i="8"/>
  <c r="L86" i="8"/>
  <c r="I77" i="8"/>
  <c r="C77" i="8"/>
  <c r="E46" i="8"/>
  <c r="C46" i="8"/>
  <c r="L41" i="8"/>
  <c r="J41" i="8"/>
  <c r="F120" i="8"/>
  <c r="L120" i="8"/>
  <c r="J20" i="8"/>
  <c r="E20" i="8"/>
  <c r="G126" i="8"/>
  <c r="C30" i="8"/>
  <c r="E30" i="8"/>
  <c r="L54" i="8"/>
  <c r="D134" i="8"/>
  <c r="I134" i="8"/>
  <c r="F134" i="8"/>
  <c r="J19" i="8"/>
  <c r="D19" i="8"/>
  <c r="H51" i="8"/>
  <c r="L51" i="8"/>
  <c r="E48" i="8"/>
  <c r="J48" i="8"/>
  <c r="G128" i="8"/>
  <c r="G45" i="8"/>
  <c r="L111" i="8"/>
  <c r="E51" i="8"/>
  <c r="D5" i="8"/>
  <c r="E35" i="8"/>
  <c r="H90" i="8"/>
  <c r="J35" i="8"/>
  <c r="H50" i="8"/>
  <c r="L50" i="8"/>
  <c r="J50" i="8"/>
  <c r="I111" i="8"/>
  <c r="F50" i="8"/>
  <c r="G55" i="8"/>
  <c r="H55" i="8"/>
  <c r="E55" i="8"/>
  <c r="C55" i="8"/>
  <c r="A44" i="5"/>
  <c r="A49" i="8"/>
  <c r="K49" i="8" s="1"/>
  <c r="G92" i="8"/>
  <c r="D92" i="8"/>
  <c r="C92" i="8"/>
  <c r="J92" i="8"/>
  <c r="G94" i="8"/>
  <c r="L94" i="8"/>
  <c r="G101" i="8"/>
  <c r="J101" i="8"/>
  <c r="F101" i="8"/>
  <c r="D101" i="8"/>
  <c r="C101" i="8"/>
  <c r="L101" i="8"/>
  <c r="I101" i="8"/>
  <c r="H101" i="8"/>
  <c r="E104" i="8"/>
  <c r="H104" i="8"/>
  <c r="G119" i="8"/>
  <c r="L119" i="8"/>
  <c r="H119" i="8"/>
  <c r="I119" i="8"/>
  <c r="L124" i="8"/>
  <c r="H124" i="8"/>
  <c r="G124" i="8"/>
  <c r="D124" i="8"/>
  <c r="C124" i="8"/>
  <c r="I124" i="8"/>
  <c r="D129" i="8"/>
  <c r="C129" i="8"/>
  <c r="L129" i="8"/>
  <c r="H129" i="8"/>
  <c r="G129" i="8"/>
  <c r="F129" i="8"/>
  <c r="E129" i="8"/>
  <c r="I129" i="8"/>
  <c r="B31" i="8"/>
  <c r="B5" i="5"/>
  <c r="I147" i="9"/>
  <c r="J147" i="5"/>
  <c r="J65" i="5"/>
  <c r="BA17" i="9"/>
  <c r="C17" i="9"/>
  <c r="H73" i="5"/>
  <c r="BB73" i="5"/>
  <c r="BA81" i="9"/>
  <c r="C81" i="9"/>
  <c r="F88" i="5"/>
  <c r="BB88" i="5"/>
  <c r="BA127" i="9"/>
  <c r="C127" i="9"/>
  <c r="L142" i="5"/>
  <c r="D17" i="8"/>
  <c r="I17" i="8"/>
  <c r="H17" i="8"/>
  <c r="C17" i="8"/>
  <c r="I126" i="8"/>
  <c r="L126" i="8"/>
  <c r="H86" i="8"/>
  <c r="J77" i="8"/>
  <c r="H46" i="8"/>
  <c r="F46" i="8"/>
  <c r="D41" i="8"/>
  <c r="C41" i="8"/>
  <c r="H120" i="8"/>
  <c r="D120" i="8"/>
  <c r="L20" i="8"/>
  <c r="D30" i="8"/>
  <c r="L19" i="8"/>
  <c r="F19" i="8"/>
  <c r="J5" i="8"/>
  <c r="C48" i="8"/>
  <c r="J51" i="8"/>
  <c r="F48" i="8"/>
  <c r="J45" i="8"/>
  <c r="H5" i="8"/>
  <c r="J128" i="8"/>
  <c r="H45" i="8"/>
  <c r="E111" i="8"/>
  <c r="I72" i="8"/>
  <c r="G111" i="8"/>
  <c r="C35" i="8"/>
  <c r="I90" i="8"/>
  <c r="L90" i="8"/>
  <c r="C50" i="8"/>
  <c r="I1" i="5"/>
  <c r="G1" i="5"/>
  <c r="G130" i="8"/>
  <c r="J130" i="8"/>
  <c r="D130" i="8"/>
  <c r="C130" i="8"/>
  <c r="L130" i="8"/>
  <c r="H130" i="8"/>
  <c r="E14" i="8"/>
  <c r="G14" i="8"/>
  <c r="H14" i="8"/>
  <c r="A27" i="5"/>
  <c r="C23" i="9"/>
  <c r="C27" i="8"/>
  <c r="G27" i="8"/>
  <c r="L27" i="8"/>
  <c r="I36" i="8"/>
  <c r="J61" i="8"/>
  <c r="G61" i="8"/>
  <c r="L61" i="8"/>
  <c r="I61" i="8"/>
  <c r="H61" i="8"/>
  <c r="G75" i="8"/>
  <c r="G78" i="8"/>
  <c r="L78" i="8"/>
  <c r="J78" i="8"/>
  <c r="I78" i="8"/>
  <c r="H78" i="8"/>
  <c r="A90" i="5"/>
  <c r="A83" i="8"/>
  <c r="K83" i="8" s="1"/>
  <c r="L87" i="8"/>
  <c r="I87" i="8"/>
  <c r="A104" i="5"/>
  <c r="A108" i="8"/>
  <c r="K108" i="8" s="1"/>
  <c r="F125" i="8"/>
  <c r="G125" i="8"/>
  <c r="B129" i="8"/>
  <c r="B126" i="5"/>
  <c r="H66" i="5"/>
  <c r="BA3" i="9"/>
  <c r="C3" i="9"/>
  <c r="BA125" i="9"/>
  <c r="C125" i="9"/>
  <c r="G107" i="8"/>
  <c r="F107" i="8"/>
  <c r="J107" i="8"/>
  <c r="E107" i="8"/>
  <c r="L107" i="8"/>
  <c r="I107" i="8"/>
  <c r="H107" i="8"/>
  <c r="G33" i="8"/>
  <c r="I33" i="8"/>
  <c r="H33" i="8"/>
  <c r="H37" i="8"/>
  <c r="G37" i="8"/>
  <c r="J37" i="8"/>
  <c r="L70" i="8"/>
  <c r="H70" i="8"/>
  <c r="G93" i="8"/>
  <c r="L93" i="8"/>
  <c r="I93" i="8"/>
  <c r="H93" i="8"/>
  <c r="F93" i="8"/>
  <c r="D93" i="8"/>
  <c r="C93" i="8"/>
  <c r="G102" i="8"/>
  <c r="J102" i="8"/>
  <c r="A135" i="8"/>
  <c r="K135" i="8" s="1"/>
  <c r="G135" i="8"/>
  <c r="A129" i="5"/>
  <c r="A124" i="5"/>
  <c r="A142" i="8"/>
  <c r="K142" i="8" s="1"/>
  <c r="A137" i="5"/>
  <c r="A80" i="8"/>
  <c r="K80" i="8" s="1"/>
  <c r="BA38" i="9"/>
  <c r="C38" i="9"/>
  <c r="BA58" i="9"/>
  <c r="C58" i="9"/>
  <c r="N8" i="4"/>
  <c r="N9" i="4"/>
  <c r="N10" i="4"/>
  <c r="N11" i="4"/>
  <c r="N12" i="4"/>
  <c r="N13" i="4"/>
  <c r="N14" i="4"/>
  <c r="N15" i="4"/>
  <c r="N16" i="4"/>
  <c r="N17" i="4"/>
  <c r="N18" i="4"/>
  <c r="N19" i="4"/>
  <c r="N20" i="4"/>
  <c r="N21" i="4"/>
  <c r="N22" i="4"/>
  <c r="N23" i="4"/>
  <c r="N24" i="4"/>
  <c r="N25" i="4"/>
  <c r="N26" i="4"/>
  <c r="N27" i="4"/>
  <c r="N28" i="4"/>
  <c r="N29" i="4"/>
  <c r="N30" i="4"/>
  <c r="N31" i="4"/>
  <c r="N32" i="4"/>
  <c r="B123" i="8"/>
  <c r="B116" i="8"/>
  <c r="B55" i="5"/>
  <c r="BA131" i="9"/>
  <c r="C131" i="9"/>
  <c r="X6" i="4"/>
  <c r="X7" i="4"/>
  <c r="X8" i="4"/>
  <c r="D7" i="4"/>
  <c r="A46" i="5"/>
  <c r="A105" i="8"/>
  <c r="K105" i="8" s="1"/>
  <c r="A87" i="5"/>
  <c r="C105" i="9"/>
  <c r="B105" i="8"/>
  <c r="B87" i="5"/>
  <c r="D107" i="8"/>
  <c r="C107" i="8"/>
  <c r="I44" i="8"/>
  <c r="E44" i="8"/>
  <c r="L44" i="8"/>
  <c r="G44" i="8"/>
  <c r="J44" i="8"/>
  <c r="C44" i="8"/>
  <c r="F44" i="8"/>
  <c r="H44" i="8"/>
  <c r="D44" i="8"/>
  <c r="L56" i="14"/>
  <c r="L70" i="14"/>
  <c r="D108" i="8"/>
  <c r="C108" i="8"/>
  <c r="G108" i="8"/>
  <c r="F108" i="8"/>
  <c r="J108" i="8"/>
  <c r="E108" i="8"/>
  <c r="L108" i="8"/>
  <c r="H108" i="8"/>
  <c r="I108" i="8"/>
  <c r="G142" i="8"/>
  <c r="H142" i="8"/>
  <c r="BB66" i="5"/>
  <c r="H145" i="5"/>
  <c r="H1" i="5"/>
  <c r="BB16" i="5"/>
  <c r="F136" i="8"/>
  <c r="L136" i="8"/>
  <c r="J136" i="8"/>
  <c r="G136" i="8"/>
  <c r="H136" i="8"/>
  <c r="D136" i="8"/>
  <c r="I136" i="8"/>
  <c r="C136" i="8"/>
  <c r="E136" i="8"/>
  <c r="L145" i="5"/>
  <c r="I83" i="8"/>
  <c r="C83" i="8"/>
  <c r="F83" i="8"/>
  <c r="L83" i="8"/>
  <c r="L63" i="14"/>
  <c r="L65" i="14"/>
  <c r="I123" i="8"/>
  <c r="G123" i="8"/>
  <c r="J123" i="8"/>
  <c r="C123" i="8"/>
  <c r="L123" i="8"/>
  <c r="E123" i="8"/>
  <c r="H123" i="8"/>
  <c r="D123" i="8"/>
  <c r="F123" i="8"/>
  <c r="L105" i="8"/>
  <c r="I105" i="8"/>
  <c r="H105" i="8"/>
  <c r="F105" i="8"/>
  <c r="E105" i="8"/>
  <c r="C105" i="8"/>
  <c r="L80" i="8"/>
  <c r="H135" i="8"/>
  <c r="I135" i="8"/>
  <c r="L135" i="8"/>
  <c r="E135" i="8"/>
  <c r="BB65" i="5"/>
  <c r="C49" i="8"/>
  <c r="J49" i="8"/>
  <c r="L49" i="8"/>
  <c r="G49" i="8"/>
  <c r="I49" i="8"/>
  <c r="H49" i="8"/>
  <c r="F49" i="8"/>
  <c r="E49" i="8"/>
  <c r="D49" i="8"/>
  <c r="L143" i="8"/>
  <c r="H143" i="8"/>
  <c r="J143" i="8"/>
  <c r="E143" i="8"/>
  <c r="G13" i="8"/>
  <c r="D13" i="8"/>
  <c r="F13" i="8"/>
  <c r="C13" i="8"/>
  <c r="I13" i="8"/>
  <c r="L13" i="8"/>
  <c r="L2753" i="1"/>
  <c r="L2754" i="1"/>
  <c r="L71" i="14"/>
  <c r="L72" i="14"/>
  <c r="L57" i="14"/>
  <c r="L58" i="14"/>
  <c r="L64" i="14"/>
  <c r="L2755" i="1"/>
  <c r="L73" i="14"/>
  <c r="L66" i="14"/>
  <c r="J1" i="5"/>
  <c r="L75" i="14"/>
  <c r="L1" i="5"/>
  <c r="K1" i="5"/>
  <c r="M1" i="5"/>
  <c r="G15" i="8"/>
  <c r="BB43" i="5"/>
  <c r="BB86" i="5"/>
  <c r="BB129" i="5"/>
  <c r="BB126" i="5"/>
  <c r="BB101" i="5"/>
  <c r="BB59" i="5"/>
  <c r="BB19" i="5"/>
  <c r="BB12" i="5"/>
  <c r="BB130" i="5"/>
  <c r="BB141" i="5"/>
  <c r="AK145" i="5"/>
  <c r="BB61" i="5"/>
  <c r="BB67" i="5"/>
  <c r="BB42" i="5"/>
  <c r="AL145" i="5"/>
  <c r="BB72" i="5"/>
  <c r="BB60" i="5"/>
  <c r="BB69" i="5"/>
  <c r="BB74" i="5"/>
  <c r="BB10" i="5"/>
  <c r="BB32" i="5"/>
  <c r="BB33" i="5"/>
  <c r="O145" i="5"/>
  <c r="BB40" i="5"/>
  <c r="BB44" i="5"/>
  <c r="X145" i="5"/>
  <c r="BB15" i="5"/>
  <c r="F145" i="5"/>
  <c r="BB53" i="5"/>
  <c r="BB51" i="5"/>
  <c r="BB77" i="5"/>
  <c r="BB137" i="5"/>
  <c r="BB89" i="5"/>
  <c r="BB91" i="5"/>
  <c r="BB95" i="5"/>
  <c r="BB98" i="5"/>
  <c r="BB99" i="5"/>
  <c r="BB144" i="5"/>
  <c r="BB102" i="5"/>
  <c r="BB134" i="5"/>
  <c r="BB84" i="5"/>
  <c r="BB85" i="5"/>
  <c r="BB112" i="5"/>
  <c r="BB106" i="5"/>
  <c r="BB133" i="5"/>
  <c r="BB143" i="5"/>
  <c r="BB119" i="5"/>
  <c r="BB127" i="5"/>
  <c r="BB128" i="5"/>
  <c r="G77" i="8"/>
  <c r="I49" i="4"/>
  <c r="I50" i="4"/>
  <c r="I51" i="4"/>
  <c r="I52" i="4"/>
  <c r="I53" i="4"/>
  <c r="I54" i="4"/>
  <c r="I55" i="4"/>
  <c r="I56" i="4"/>
  <c r="I57" i="4"/>
  <c r="I58" i="4"/>
  <c r="I59" i="4"/>
  <c r="I60"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D4" i="4"/>
  <c r="D83" i="8"/>
  <c r="E83" i="8"/>
  <c r="G83" i="8"/>
  <c r="H13" i="8"/>
  <c r="J13" i="8"/>
  <c r="E13" i="8"/>
  <c r="BB96" i="5"/>
  <c r="AI145" i="5"/>
  <c r="D18" i="8"/>
  <c r="G18" i="8"/>
  <c r="E18" i="8"/>
  <c r="H18" i="8"/>
  <c r="L18" i="8"/>
  <c r="I18" i="8"/>
  <c r="F18" i="8"/>
  <c r="C18" i="8"/>
  <c r="J18" i="8"/>
  <c r="L43" i="8"/>
  <c r="D43" i="8"/>
  <c r="E43" i="8"/>
  <c r="G43" i="8"/>
  <c r="I43" i="8"/>
  <c r="J43" i="8"/>
  <c r="C43" i="8"/>
  <c r="F43" i="8"/>
  <c r="H43" i="8"/>
  <c r="D94" i="8"/>
  <c r="E94" i="8"/>
  <c r="I94" i="8"/>
  <c r="J94" i="8"/>
  <c r="H94" i="8"/>
  <c r="F94" i="8"/>
  <c r="C94" i="8"/>
  <c r="C121" i="8"/>
  <c r="G121" i="8"/>
  <c r="F121" i="8"/>
  <c r="J121" i="8"/>
  <c r="E121" i="8"/>
  <c r="D121" i="8"/>
  <c r="L121" i="8"/>
  <c r="I121" i="8"/>
  <c r="H121" i="8"/>
  <c r="E137" i="8"/>
  <c r="C137" i="8"/>
  <c r="G137" i="8"/>
  <c r="J137" i="8"/>
  <c r="D137" i="8"/>
  <c r="I137" i="8"/>
  <c r="L137" i="8"/>
  <c r="F137" i="8"/>
  <c r="H137" i="8"/>
  <c r="BB37" i="5"/>
  <c r="BB11" i="5"/>
  <c r="J145" i="5"/>
  <c r="BB81" i="5"/>
  <c r="BB121" i="5"/>
  <c r="BB142" i="5"/>
  <c r="L76" i="14"/>
  <c r="F143" i="8"/>
  <c r="D80" i="8"/>
  <c r="G80" i="8"/>
  <c r="L74" i="14"/>
  <c r="H80" i="8"/>
  <c r="BB114" i="5"/>
  <c r="AG145" i="5"/>
  <c r="AM145" i="5"/>
  <c r="AF145" i="5"/>
  <c r="D8" i="8"/>
  <c r="J8" i="8"/>
  <c r="G8" i="8"/>
  <c r="H8" i="8"/>
  <c r="I8" i="8"/>
  <c r="C8" i="8"/>
  <c r="F8" i="8"/>
  <c r="L8" i="8"/>
  <c r="E8" i="8"/>
  <c r="L22" i="8"/>
  <c r="G22" i="8"/>
  <c r="H22" i="8"/>
  <c r="E22" i="8"/>
  <c r="F22" i="8"/>
  <c r="J22" i="8"/>
  <c r="D22" i="8"/>
  <c r="C22" i="8"/>
  <c r="E26" i="8"/>
  <c r="F26" i="8"/>
  <c r="H26" i="8"/>
  <c r="G26" i="8"/>
  <c r="D26" i="8"/>
  <c r="C26" i="8"/>
  <c r="J26" i="8"/>
  <c r="L26" i="8"/>
  <c r="I26" i="8"/>
  <c r="J60" i="8"/>
  <c r="L60" i="8"/>
  <c r="G60" i="8"/>
  <c r="H60" i="8"/>
  <c r="D60" i="8"/>
  <c r="F60" i="8"/>
  <c r="I60" i="8"/>
  <c r="C60" i="8"/>
  <c r="E60" i="8"/>
  <c r="H68" i="8"/>
  <c r="D68" i="8"/>
  <c r="C68" i="8"/>
  <c r="J68" i="8"/>
  <c r="G68" i="8"/>
  <c r="F68" i="8"/>
  <c r="I68" i="8"/>
  <c r="L68" i="8"/>
  <c r="E68" i="8"/>
  <c r="E87" i="8"/>
  <c r="G87" i="8"/>
  <c r="D87" i="8"/>
  <c r="C87" i="8"/>
  <c r="F87" i="8"/>
  <c r="J87" i="8"/>
  <c r="H87" i="8"/>
  <c r="I95" i="8"/>
  <c r="E95" i="8"/>
  <c r="G95" i="8"/>
  <c r="F95" i="8"/>
  <c r="C95" i="8"/>
  <c r="L95" i="8"/>
  <c r="D95" i="8"/>
  <c r="H95" i="8"/>
  <c r="J95" i="8"/>
  <c r="D125" i="8"/>
  <c r="I125" i="8"/>
  <c r="E125" i="8"/>
  <c r="L125" i="8"/>
  <c r="C125" i="8"/>
  <c r="J125" i="8"/>
  <c r="H125" i="8"/>
  <c r="L138" i="8"/>
  <c r="J138" i="8"/>
  <c r="G138" i="8"/>
  <c r="F138" i="8"/>
  <c r="E138" i="8"/>
  <c r="D138" i="8"/>
  <c r="I138" i="8"/>
  <c r="C138" i="8"/>
  <c r="H138" i="8"/>
  <c r="BB7" i="5"/>
  <c r="G145" i="5"/>
  <c r="BB35" i="5"/>
  <c r="T145" i="5"/>
  <c r="BB14" i="5"/>
  <c r="Q145" i="5"/>
  <c r="W145" i="5"/>
  <c r="C80" i="8"/>
  <c r="J80" i="8"/>
  <c r="E80" i="8"/>
  <c r="BB117" i="5"/>
  <c r="BB94" i="5"/>
  <c r="C11" i="8"/>
  <c r="E11" i="8"/>
  <c r="D11" i="8"/>
  <c r="G11" i="8"/>
  <c r="L11" i="8"/>
  <c r="J11" i="8"/>
  <c r="F11" i="8"/>
  <c r="I11" i="8"/>
  <c r="H11" i="8"/>
  <c r="F16" i="8"/>
  <c r="I16" i="8"/>
  <c r="H16" i="8"/>
  <c r="G16" i="8"/>
  <c r="E16" i="8"/>
  <c r="D16" i="8"/>
  <c r="C16" i="8"/>
  <c r="L16" i="8"/>
  <c r="J16" i="8"/>
  <c r="E32" i="8"/>
  <c r="F32" i="8"/>
  <c r="H32" i="8"/>
  <c r="G32" i="8"/>
  <c r="D32" i="8"/>
  <c r="C32" i="8"/>
  <c r="I32" i="8"/>
  <c r="L32" i="8"/>
  <c r="J32" i="8"/>
  <c r="J71" i="8"/>
  <c r="E71" i="8"/>
  <c r="I71" i="8"/>
  <c r="F71" i="8"/>
  <c r="D71" i="8"/>
  <c r="L71" i="8"/>
  <c r="C71" i="8"/>
  <c r="H71" i="8"/>
  <c r="G71" i="8"/>
  <c r="L81" i="8"/>
  <c r="G81" i="8"/>
  <c r="F81" i="8"/>
  <c r="I81" i="8"/>
  <c r="H81" i="8"/>
  <c r="D81" i="8"/>
  <c r="E81" i="8"/>
  <c r="J81" i="8"/>
  <c r="C81" i="8"/>
  <c r="I89" i="8"/>
  <c r="H89" i="8"/>
  <c r="C89" i="8"/>
  <c r="L89" i="8"/>
  <c r="J89" i="8"/>
  <c r="E89" i="8"/>
  <c r="G89" i="8"/>
  <c r="F89" i="8"/>
  <c r="D89" i="8"/>
  <c r="L104" i="8"/>
  <c r="F104" i="8"/>
  <c r="C104" i="8"/>
  <c r="G104" i="8"/>
  <c r="I104" i="8"/>
  <c r="D104" i="8"/>
  <c r="J104" i="8"/>
  <c r="E139" i="8"/>
  <c r="I139" i="8"/>
  <c r="G139" i="8"/>
  <c r="J139" i="8"/>
  <c r="C139" i="8"/>
  <c r="F139" i="8"/>
  <c r="H139" i="8"/>
  <c r="L139" i="8"/>
  <c r="D139" i="8"/>
  <c r="V145" i="5"/>
  <c r="BB41" i="5"/>
  <c r="N145" i="5"/>
  <c r="M145" i="5"/>
  <c r="S145" i="5"/>
  <c r="BB48" i="5"/>
  <c r="BB49" i="5"/>
  <c r="BB52" i="5"/>
  <c r="BB92" i="5"/>
  <c r="BB116" i="5"/>
  <c r="BB125" i="5"/>
  <c r="G143" i="8"/>
  <c r="C143" i="8"/>
  <c r="D143" i="8"/>
  <c r="BB13" i="5"/>
  <c r="AH145" i="5"/>
  <c r="AD145" i="5"/>
  <c r="C12" i="8"/>
  <c r="L12" i="8"/>
  <c r="G12" i="8"/>
  <c r="J12" i="8"/>
  <c r="I12" i="8"/>
  <c r="H12" i="8"/>
  <c r="F12" i="8"/>
  <c r="E12" i="8"/>
  <c r="D12" i="8"/>
  <c r="H36" i="8"/>
  <c r="E36" i="8"/>
  <c r="C36" i="8"/>
  <c r="J36" i="8"/>
  <c r="D36" i="8"/>
  <c r="G36" i="8"/>
  <c r="L36" i="8"/>
  <c r="F36" i="8"/>
  <c r="L75" i="8"/>
  <c r="F75" i="8"/>
  <c r="D75" i="8"/>
  <c r="H75" i="8"/>
  <c r="J75" i="8"/>
  <c r="C75" i="8"/>
  <c r="I75" i="8"/>
  <c r="E75" i="8"/>
  <c r="G91" i="8"/>
  <c r="C91" i="8"/>
  <c r="H91" i="8"/>
  <c r="I91" i="8"/>
  <c r="F91" i="8"/>
  <c r="J91" i="8"/>
  <c r="D91" i="8"/>
  <c r="E91" i="8"/>
  <c r="L91" i="8"/>
  <c r="BA146" i="9"/>
  <c r="Q146" i="5"/>
  <c r="BB146" i="5"/>
  <c r="BB24" i="5"/>
  <c r="BB34" i="5"/>
  <c r="K145" i="5"/>
  <c r="BB36" i="5"/>
  <c r="U145" i="5"/>
  <c r="R145" i="5"/>
  <c r="P145" i="5"/>
  <c r="BB79" i="5"/>
  <c r="BB80" i="5"/>
  <c r="BB100" i="5"/>
  <c r="BB132" i="5"/>
  <c r="D135" i="8"/>
  <c r="C135" i="8"/>
  <c r="F142" i="8"/>
  <c r="L142" i="8"/>
  <c r="L2751" i="1"/>
  <c r="H140" i="8"/>
  <c r="C140" i="8"/>
  <c r="E72" i="8"/>
  <c r="C52" i="8"/>
  <c r="D52" i="8"/>
  <c r="A48" i="5"/>
  <c r="A29" i="8"/>
  <c r="K29" i="8" s="1"/>
  <c r="A144" i="8"/>
  <c r="A88" i="8"/>
  <c r="K88" i="8" s="1"/>
  <c r="B115" i="5"/>
  <c r="B96" i="5"/>
  <c r="C139" i="9"/>
  <c r="A138" i="5"/>
  <c r="A38" i="8"/>
  <c r="K38" i="8" s="1"/>
  <c r="L2756" i="1"/>
  <c r="N1" i="5"/>
  <c r="D29" i="8"/>
  <c r="F29" i="8"/>
  <c r="G29" i="8"/>
  <c r="E29" i="8"/>
  <c r="C29" i="8"/>
  <c r="J29" i="8"/>
  <c r="BB145" i="5"/>
  <c r="D5" i="4"/>
  <c r="J88" i="8"/>
  <c r="D88" i="8"/>
  <c r="L88" i="8"/>
  <c r="F88" i="8"/>
  <c r="G88" i="8"/>
  <c r="I88" i="8"/>
  <c r="E88" i="8"/>
  <c r="C88" i="8"/>
  <c r="H88" i="8"/>
  <c r="D38" i="8"/>
  <c r="L38" i="8"/>
  <c r="I38" i="8"/>
  <c r="L2757" i="1"/>
  <c r="O1" i="5"/>
  <c r="L2758" i="1"/>
  <c r="P1" i="5"/>
  <c r="Q1" i="5"/>
  <c r="L2759" i="1"/>
  <c r="L2760" i="1"/>
  <c r="R1" i="5"/>
  <c r="S1" i="5"/>
  <c r="L2761" i="1"/>
  <c r="L2762" i="1"/>
  <c r="T1" i="5"/>
  <c r="U1" i="5"/>
  <c r="L2763" i="1"/>
  <c r="L2764" i="1"/>
  <c r="V1" i="5"/>
  <c r="W1" i="5"/>
  <c r="L2765" i="1"/>
  <c r="L2766" i="1"/>
  <c r="X1" i="5"/>
  <c r="Y1" i="5"/>
  <c r="H156" i="8"/>
  <c r="H157" i="8"/>
  <c r="C156" i="8"/>
  <c r="C157" i="8"/>
  <c r="I156" i="8"/>
  <c r="I157" i="8" s="1"/>
  <c r="L156" i="8"/>
  <c r="L157" i="8"/>
  <c r="J156" i="8"/>
  <c r="J157" i="8"/>
  <c r="L2767" i="1"/>
  <c r="Z1" i="5"/>
  <c r="L2768" i="1"/>
  <c r="L2769" i="1"/>
  <c r="AA1" i="5"/>
  <c r="AB1" i="5"/>
  <c r="L2770" i="1"/>
  <c r="L2771" i="1"/>
  <c r="AC1" i="5"/>
  <c r="AD1" i="5"/>
  <c r="L2772" i="1"/>
  <c r="L2773" i="1"/>
  <c r="AE1" i="5"/>
  <c r="AF1" i="5"/>
  <c r="L2774" i="1"/>
  <c r="L2775" i="1"/>
  <c r="AG1" i="5"/>
  <c r="L2776" i="1"/>
  <c r="AH1" i="5"/>
  <c r="E156" i="8"/>
  <c r="E157" i="8"/>
  <c r="D156" i="8"/>
  <c r="D157" i="8" s="1"/>
  <c r="F156" i="8"/>
  <c r="F157" i="8"/>
  <c r="AI1" i="5"/>
  <c r="L2777" i="1"/>
  <c r="L2778" i="1"/>
  <c r="AJ1" i="5"/>
  <c r="L2779" i="1"/>
  <c r="AK1" i="5"/>
  <c r="AL1" i="5"/>
  <c r="L2780" i="1"/>
  <c r="AM1" i="5"/>
  <c r="L2781" i="1"/>
  <c r="L2782" i="1"/>
  <c r="AN1" i="5"/>
  <c r="AI149" i="9"/>
  <c r="AJ149" i="9"/>
  <c r="AM151" i="9"/>
  <c r="AN150" i="5"/>
  <c r="AM150" i="9"/>
  <c r="AN149" i="5"/>
  <c r="AM148" i="9"/>
  <c r="AN148" i="5"/>
  <c r="AM147" i="9"/>
  <c r="AN147" i="5"/>
  <c r="AO1" i="5"/>
  <c r="AJ151" i="9"/>
  <c r="AK150" i="5"/>
  <c r="AJ147" i="9"/>
  <c r="AK147" i="5"/>
  <c r="AK148" i="5"/>
  <c r="AJ150" i="9"/>
  <c r="AK149" i="5"/>
  <c r="AJ148" i="9"/>
  <c r="L2783" i="1"/>
  <c r="AI152" i="9"/>
  <c r="AJ152" i="9"/>
  <c r="AI150" i="9"/>
  <c r="AJ149" i="5"/>
  <c r="AI147" i="9"/>
  <c r="AJ147" i="5"/>
  <c r="AI151" i="9"/>
  <c r="AJ150" i="5"/>
  <c r="AJ148" i="5"/>
  <c r="AI148" i="9"/>
  <c r="AH149" i="9"/>
  <c r="AH150" i="9"/>
  <c r="AI149" i="5"/>
  <c r="AK149" i="9"/>
  <c r="AK152" i="9" s="1"/>
  <c r="AC149" i="9"/>
  <c r="AC147" i="9"/>
  <c r="AD147" i="5"/>
  <c r="AD149" i="9"/>
  <c r="AD147" i="9"/>
  <c r="AE147" i="5"/>
  <c r="AE149" i="9"/>
  <c r="AF149" i="9"/>
  <c r="AG148" i="5"/>
  <c r="AG149" i="9"/>
  <c r="AG151" i="9"/>
  <c r="AH150" i="5"/>
  <c r="AF148" i="9"/>
  <c r="AF150" i="9"/>
  <c r="AG149" i="5"/>
  <c r="AE150" i="9"/>
  <c r="AF149" i="5"/>
  <c r="AE147" i="9"/>
  <c r="AF147" i="5"/>
  <c r="AE148" i="9"/>
  <c r="AE151" i="9"/>
  <c r="AF150" i="5"/>
  <c r="AF148" i="5"/>
  <c r="L2784" i="1"/>
  <c r="AH147" i="9"/>
  <c r="AI147" i="5"/>
  <c r="AH151" i="9"/>
  <c r="AI150" i="5"/>
  <c r="AH148" i="9"/>
  <c r="AI148" i="5"/>
  <c r="AE148" i="5"/>
  <c r="AD151" i="9"/>
  <c r="AE150" i="5"/>
  <c r="AD148" i="9"/>
  <c r="AN150" i="9"/>
  <c r="AO149" i="5"/>
  <c r="AN147" i="9"/>
  <c r="AO147" i="5"/>
  <c r="AN151" i="9"/>
  <c r="AO150" i="5"/>
  <c r="AO148" i="5"/>
  <c r="AN148" i="9"/>
  <c r="AG150" i="9"/>
  <c r="AH149" i="5"/>
  <c r="AH148" i="5"/>
  <c r="AG147" i="9"/>
  <c r="AH147" i="5"/>
  <c r="AC148" i="9"/>
  <c r="AD148" i="5"/>
  <c r="AC150" i="9"/>
  <c r="AD149" i="5"/>
  <c r="AM148" i="5"/>
  <c r="AL151" i="9"/>
  <c r="AM150" i="5"/>
  <c r="AL150" i="9"/>
  <c r="AM149" i="5"/>
  <c r="AL147" i="9"/>
  <c r="AM147" i="5"/>
  <c r="AL148" i="9"/>
  <c r="AK147" i="9"/>
  <c r="AL147" i="5"/>
  <c r="AK151" i="9"/>
  <c r="AL150" i="5"/>
  <c r="AK148" i="9"/>
  <c r="AK150" i="9"/>
  <c r="AL149" i="5"/>
  <c r="AL148" i="5"/>
  <c r="AP1" i="5"/>
  <c r="AO151" i="9"/>
  <c r="AP150" i="5"/>
  <c r="AO148" i="9"/>
  <c r="AO147" i="9"/>
  <c r="AP147" i="5"/>
  <c r="AP148" i="5"/>
  <c r="AO150" i="9"/>
  <c r="AP149" i="5"/>
  <c r="L2785" i="1"/>
  <c r="AQ1" i="5"/>
  <c r="AP150" i="9"/>
  <c r="AQ149" i="5"/>
  <c r="AQ148" i="5"/>
  <c r="AP151" i="9"/>
  <c r="AQ150" i="5"/>
  <c r="AP147" i="9"/>
  <c r="AQ147" i="5"/>
  <c r="AP148" i="9"/>
  <c r="L2786" i="1"/>
  <c r="AR1" i="5"/>
  <c r="AS1" i="5"/>
  <c r="AQ150" i="9"/>
  <c r="AR149" i="5"/>
  <c r="AQ151" i="9"/>
  <c r="AR150" i="5"/>
  <c r="AQ148" i="9"/>
  <c r="AR148" i="5"/>
  <c r="AQ147" i="9"/>
  <c r="AR147" i="5"/>
  <c r="L2787" i="1"/>
  <c r="L2788" i="1"/>
  <c r="AS148" i="5"/>
  <c r="AR151" i="9"/>
  <c r="AS150" i="5"/>
  <c r="AR148" i="9"/>
  <c r="AR150" i="9"/>
  <c r="AS149" i="5"/>
  <c r="AR147" i="9"/>
  <c r="AT1" i="5"/>
  <c r="AS151" i="9"/>
  <c r="AT150" i="5"/>
  <c r="AS148" i="9"/>
  <c r="AS147" i="9"/>
  <c r="AT147" i="5"/>
  <c r="AT148" i="5"/>
  <c r="AS150" i="9"/>
  <c r="AT149" i="5"/>
  <c r="AU1" i="5"/>
  <c r="L2789" i="1"/>
  <c r="AS147" i="5"/>
  <c r="AV1" i="5"/>
  <c r="L2790" i="1"/>
  <c r="AT151" i="9"/>
  <c r="AU150" i="5"/>
  <c r="AU148" i="5"/>
  <c r="AT148" i="9"/>
  <c r="AT150" i="9"/>
  <c r="AU149" i="5"/>
  <c r="AT147" i="9"/>
  <c r="AU147" i="5"/>
  <c r="L2791" i="1"/>
  <c r="AW1" i="5"/>
  <c r="AU148" i="9"/>
  <c r="AU147" i="9"/>
  <c r="AV147" i="5"/>
  <c r="AU150" i="9"/>
  <c r="AV149" i="5"/>
  <c r="AU151" i="9"/>
  <c r="AV150" i="5"/>
  <c r="AV148" i="5"/>
  <c r="AX1" i="5"/>
  <c r="AV147" i="9"/>
  <c r="AW147" i="5"/>
  <c r="AV151" i="9"/>
  <c r="AW150" i="5"/>
  <c r="AV150" i="9"/>
  <c r="AW149" i="5"/>
  <c r="AW148" i="5"/>
  <c r="AV148" i="9"/>
  <c r="L2792" i="1"/>
  <c r="AW151" i="9"/>
  <c r="AX150" i="5"/>
  <c r="AW147" i="9"/>
  <c r="AX147" i="5"/>
  <c r="AX148" i="5"/>
  <c r="AW150" i="9"/>
  <c r="AX149" i="5"/>
  <c r="AW148" i="9"/>
  <c r="L2793" i="1"/>
  <c r="AY1" i="5"/>
  <c r="L2794" i="1"/>
  <c r="AX147" i="9"/>
  <c r="AY147" i="5"/>
  <c r="AX148" i="9"/>
  <c r="AY148" i="5"/>
  <c r="AX150" i="9"/>
  <c r="AY149" i="5"/>
  <c r="AX151" i="9"/>
  <c r="AY150" i="5"/>
  <c r="AZ1" i="5"/>
  <c r="BA1" i="5"/>
  <c r="AZ148" i="5"/>
  <c r="AY147" i="9"/>
  <c r="AZ147" i="5"/>
  <c r="AY148" i="9"/>
  <c r="AY151" i="9"/>
  <c r="AZ150" i="5"/>
  <c r="AY150" i="9"/>
  <c r="AZ149" i="5"/>
  <c r="L2795" i="1"/>
  <c r="L2796" i="1"/>
  <c r="AZ151" i="9"/>
  <c r="BA150" i="5"/>
  <c r="AZ147" i="9"/>
  <c r="BA148" i="5"/>
  <c r="AZ150" i="9"/>
  <c r="BA149" i="5"/>
  <c r="AZ148" i="9"/>
  <c r="BA147" i="5"/>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5" i="1"/>
  <c r="L3074" i="1"/>
  <c r="L3076" i="1"/>
  <c r="L3077" i="1"/>
  <c r="L3078" i="1"/>
  <c r="L3079" i="1"/>
  <c r="L3080" i="1"/>
  <c r="L3081" i="1"/>
  <c r="L3082" i="1"/>
  <c r="L3083" i="1"/>
  <c r="L3084" i="1"/>
  <c r="L3096" i="1"/>
  <c r="L3097" i="1"/>
  <c r="L3098" i="1"/>
  <c r="L3099" i="1"/>
  <c r="L3100" i="1"/>
  <c r="Q3101" i="1"/>
  <c r="Q3100" i="1"/>
  <c r="Q3098" i="1"/>
  <c r="Q3097" i="1"/>
  <c r="Q3095" i="1"/>
  <c r="Q3094" i="1"/>
  <c r="Q3092" i="1"/>
  <c r="Q3090" i="1"/>
  <c r="Q3088" i="1"/>
  <c r="Q3086" i="1"/>
  <c r="Q3084" i="1"/>
  <c r="Q3082" i="1"/>
  <c r="Q3081" i="1"/>
  <c r="Q3079" i="1"/>
  <c r="Q3077" i="1"/>
  <c r="Q3076" i="1"/>
  <c r="Q3073" i="1"/>
  <c r="Q3071" i="1"/>
  <c r="Q3069" i="1"/>
  <c r="Q3068" i="1"/>
  <c r="Q3066" i="1"/>
  <c r="Q3064" i="1"/>
  <c r="Q3062" i="1"/>
  <c r="Q3060" i="1"/>
  <c r="Q3057" i="1"/>
  <c r="Q3055" i="1"/>
  <c r="Q3053" i="1"/>
  <c r="Q3051" i="1"/>
  <c r="Q3048" i="1"/>
  <c r="Q3046" i="1"/>
  <c r="Q3044" i="1"/>
  <c r="Q3040" i="1"/>
  <c r="Q3037" i="1"/>
  <c r="Q3031" i="1"/>
  <c r="Q3028" i="1"/>
  <c r="Q3015" i="1"/>
  <c r="Q3004" i="1"/>
  <c r="Q2982" i="1"/>
  <c r="Q2968" i="1"/>
  <c r="Q2951" i="1"/>
  <c r="Q2935" i="1"/>
  <c r="Q2920" i="1"/>
  <c r="Q2903" i="1"/>
  <c r="Q2882" i="1"/>
  <c r="Q2864" i="1"/>
  <c r="Q2855" i="1"/>
  <c r="Q2834" i="1"/>
  <c r="Q2823" i="1"/>
  <c r="Q2806" i="1"/>
  <c r="Q2776" i="1"/>
  <c r="Q2763" i="1"/>
  <c r="Q3014" i="1"/>
  <c r="Q2996" i="1"/>
  <c r="Q2985" i="1"/>
  <c r="Q2965" i="1"/>
  <c r="Q2950" i="1"/>
  <c r="Q2934" i="1"/>
  <c r="Q2916" i="1"/>
  <c r="Q2902" i="1"/>
  <c r="Q2889" i="1"/>
  <c r="Q2876" i="1"/>
  <c r="Q2858" i="1"/>
  <c r="Q2842" i="1"/>
  <c r="Q2820" i="1"/>
  <c r="Q2807" i="1"/>
  <c r="Q2792" i="1"/>
  <c r="Q319" i="1"/>
  <c r="Q3013" i="1"/>
  <c r="Q2998" i="1"/>
  <c r="Q2981" i="1"/>
  <c r="Q2967" i="1"/>
  <c r="Q2949" i="1"/>
  <c r="Q2933" i="1"/>
  <c r="Q2919" i="1"/>
  <c r="Q2900" i="1"/>
  <c r="Q2879" i="1"/>
  <c r="Q2867" i="1"/>
  <c r="Q2849" i="1"/>
  <c r="Q2833" i="1"/>
  <c r="Q2825" i="1"/>
  <c r="Q2805" i="1"/>
  <c r="Q1418" i="1"/>
  <c r="Q2709" i="1"/>
  <c r="Q3012" i="1"/>
  <c r="Q2995" i="1"/>
  <c r="Q2979" i="1"/>
  <c r="Q2964" i="1"/>
  <c r="Q2948" i="1"/>
  <c r="Q2932" i="1"/>
  <c r="Q2915" i="1"/>
  <c r="Q2901" i="1"/>
  <c r="Q3050" i="1"/>
  <c r="Q3041" i="1"/>
  <c r="Q3036" i="1"/>
  <c r="Q3033" i="1"/>
  <c r="Q3030" i="1"/>
  <c r="Q3010" i="1"/>
  <c r="Q2983" i="1"/>
  <c r="Q2946" i="1"/>
  <c r="Q2917" i="1"/>
  <c r="Q2878" i="1"/>
  <c r="Q2850" i="1"/>
  <c r="Q2817" i="1"/>
  <c r="Q2745" i="1"/>
  <c r="Q3008" i="1"/>
  <c r="Q2975" i="1"/>
  <c r="Q2947" i="1"/>
  <c r="Q2912" i="1"/>
  <c r="Q2885" i="1"/>
  <c r="Q2856" i="1"/>
  <c r="Q2824" i="1"/>
  <c r="Q2791" i="1"/>
  <c r="Q3011" i="1"/>
  <c r="Q2977" i="1"/>
  <c r="Q2945" i="1"/>
  <c r="Q2914" i="1"/>
  <c r="Q2875" i="1"/>
  <c r="Q2845" i="1"/>
  <c r="Q2816" i="1"/>
  <c r="Q2638" i="1"/>
  <c r="Q3009" i="1"/>
  <c r="Q2971" i="1"/>
  <c r="Q2944" i="1"/>
  <c r="Q2911" i="1"/>
  <c r="Q2887" i="1"/>
  <c r="Q2874" i="1"/>
  <c r="Q2851" i="1"/>
  <c r="Q3099" i="1"/>
  <c r="Q3096" i="1"/>
  <c r="Q3093" i="1"/>
  <c r="Q3091" i="1"/>
  <c r="Q3089" i="1"/>
  <c r="Q3087" i="1"/>
  <c r="Q3085" i="1"/>
  <c r="Q3083" i="1"/>
  <c r="Q3080" i="1"/>
  <c r="Q3078" i="1"/>
  <c r="Q3075" i="1"/>
  <c r="Q3074" i="1"/>
  <c r="Q3072" i="1"/>
  <c r="Q3070" i="1"/>
  <c r="Q3067" i="1"/>
  <c r="Q3065" i="1"/>
  <c r="Q3063" i="1"/>
  <c r="Q3061" i="1"/>
  <c r="Q3059" i="1"/>
  <c r="Q3058" i="1"/>
  <c r="Q3056" i="1"/>
  <c r="Q3054" i="1"/>
  <c r="Q3052" i="1"/>
  <c r="Q3049" i="1"/>
  <c r="Q3047" i="1"/>
  <c r="Q3045" i="1"/>
  <c r="Q3042" i="1"/>
  <c r="Q3039" i="1"/>
  <c r="Q3035" i="1"/>
  <c r="Q3032" i="1"/>
  <c r="Q3021" i="1"/>
  <c r="Q3007" i="1"/>
  <c r="Q2992" i="1"/>
  <c r="Q2973" i="1"/>
  <c r="Q2955" i="1"/>
  <c r="Q2942" i="1"/>
  <c r="Q2926" i="1"/>
  <c r="Q2913" i="1"/>
  <c r="Q2893" i="1"/>
  <c r="Q2873" i="1"/>
  <c r="Q2860" i="1"/>
  <c r="Q2844" i="1"/>
  <c r="Q2829" i="1"/>
  <c r="Q2813" i="1"/>
  <c r="Q2798" i="1"/>
  <c r="Q2669" i="1"/>
  <c r="Q3023" i="1"/>
  <c r="Q3006" i="1"/>
  <c r="Q2988" i="1"/>
  <c r="Q2970" i="1"/>
  <c r="Q2953" i="1"/>
  <c r="Q2943" i="1"/>
  <c r="Q2924" i="1"/>
  <c r="Q2908" i="1"/>
  <c r="Q2897" i="1"/>
  <c r="Q2883" i="1"/>
  <c r="Q2865" i="1"/>
  <c r="Q2848" i="1"/>
  <c r="Q2836" i="1"/>
  <c r="Q2815" i="1"/>
  <c r="Q2799" i="1"/>
  <c r="Q2619" i="1"/>
  <c r="Q3019" i="1"/>
  <c r="Q3005" i="1"/>
  <c r="Q2991" i="1"/>
  <c r="Q2969" i="1"/>
  <c r="Q2962" i="1"/>
  <c r="Q2940" i="1"/>
  <c r="Q2927" i="1"/>
  <c r="Q2910" i="1"/>
  <c r="Q2890" i="1"/>
  <c r="Q2872" i="1"/>
  <c r="Q2852" i="1"/>
  <c r="Q2841" i="1"/>
  <c r="Q2827" i="1"/>
  <c r="Q2811" i="1"/>
  <c r="Q2794" i="1"/>
  <c r="Q95" i="1"/>
  <c r="Q3022" i="1"/>
  <c r="Q3001" i="1"/>
  <c r="Q2986" i="1"/>
  <c r="Q2976" i="1"/>
  <c r="Q2960" i="1"/>
  <c r="Q2941" i="1"/>
  <c r="Q2925" i="1"/>
  <c r="Q2907" i="1"/>
  <c r="Q2892" i="1"/>
  <c r="Q3043" i="1"/>
  <c r="Q3038" i="1"/>
  <c r="Q3034" i="1"/>
  <c r="Q3029" i="1"/>
  <c r="Q3027" i="1"/>
  <c r="Q2997" i="1"/>
  <c r="Q2963" i="1"/>
  <c r="Q2931" i="1"/>
  <c r="Q2896" i="1"/>
  <c r="Q2866" i="1"/>
  <c r="Q2832" i="1"/>
  <c r="Q2802" i="1"/>
  <c r="Q3026" i="1"/>
  <c r="Q2993" i="1"/>
  <c r="Q2961" i="1"/>
  <c r="Q2929" i="1"/>
  <c r="Q2899" i="1"/>
  <c r="Q2868" i="1"/>
  <c r="Q2837" i="1"/>
  <c r="Q2803" i="1"/>
  <c r="Q3025" i="1"/>
  <c r="Q2994" i="1"/>
  <c r="Q2959" i="1"/>
  <c r="Q2928" i="1"/>
  <c r="Q2895" i="1"/>
  <c r="Q2861" i="1"/>
  <c r="Q2831" i="1"/>
  <c r="Q2800" i="1"/>
  <c r="Q3024" i="1"/>
  <c r="Q2990" i="1"/>
  <c r="Q2957" i="1"/>
  <c r="Q2930" i="1"/>
  <c r="Q2898" i="1"/>
  <c r="Q2881" i="1"/>
  <c r="Q2862" i="1"/>
  <c r="Q2847" i="1"/>
  <c r="Q2839" i="1"/>
  <c r="Q2822" i="1"/>
  <c r="Q2804" i="1"/>
  <c r="Q2789" i="1"/>
  <c r="Q423" i="1"/>
  <c r="Q2782" i="1"/>
  <c r="Q1407" i="1"/>
  <c r="Q2767" i="1"/>
  <c r="Q297" i="1"/>
  <c r="Q2778" i="1"/>
  <c r="Q2269" i="1"/>
  <c r="Q2775" i="1"/>
  <c r="Q1710" i="1"/>
  <c r="Q2613" i="1"/>
  <c r="Q2337" i="1"/>
  <c r="Q2534" i="1"/>
  <c r="Q159" i="1"/>
  <c r="Q2373" i="1"/>
  <c r="Q762" i="1"/>
  <c r="Q2701" i="1"/>
  <c r="Q845" i="1"/>
  <c r="Q437" i="1"/>
  <c r="Q744" i="1"/>
  <c r="Q1876" i="1"/>
  <c r="Q806" i="1"/>
  <c r="Q1045" i="1"/>
  <c r="Q937" i="1"/>
  <c r="Q147" i="1"/>
  <c r="Q74" i="1"/>
  <c r="Q2720" i="1"/>
  <c r="Q1220" i="1"/>
  <c r="Q2785" i="1"/>
  <c r="Q1638" i="1"/>
  <c r="Q2717" i="1"/>
  <c r="Q447" i="1"/>
  <c r="Q767" i="1"/>
  <c r="Q2298" i="1"/>
  <c r="Q2574" i="1"/>
  <c r="Q2098" i="1"/>
  <c r="Q1848" i="1"/>
  <c r="Q578" i="1"/>
  <c r="Q1131" i="1"/>
  <c r="Q918" i="1"/>
  <c r="Q2593" i="1"/>
  <c r="Q1336" i="1"/>
  <c r="Q1567" i="1"/>
  <c r="Q576" i="1"/>
  <c r="Q2089" i="1"/>
  <c r="Q2382" i="1"/>
  <c r="Q2265" i="1"/>
  <c r="Q833" i="1"/>
  <c r="Q1316" i="1"/>
  <c r="Q1816" i="1"/>
  <c r="Q653" i="1"/>
  <c r="Q1611" i="1"/>
  <c r="Q2198" i="1"/>
  <c r="Q977" i="1"/>
  <c r="Q2134" i="1"/>
  <c r="Q1547" i="1"/>
  <c r="Q2161" i="1"/>
  <c r="Q843" i="1"/>
  <c r="Q1168" i="1"/>
  <c r="Q2787" i="1"/>
  <c r="Q2040" i="1"/>
  <c r="Q2703" i="1"/>
  <c r="Q1643" i="1"/>
  <c r="Q2770" i="1"/>
  <c r="Q1362" i="1"/>
  <c r="Q643" i="1"/>
  <c r="Q2253" i="1"/>
  <c r="Q1787" i="1"/>
  <c r="Q1582" i="1"/>
  <c r="Q728" i="1"/>
  <c r="Q1749" i="1"/>
  <c r="Q811" i="1"/>
  <c r="Q1584" i="1"/>
  <c r="Q1464" i="1"/>
  <c r="Q2777" i="1"/>
  <c r="Q648" i="1"/>
  <c r="Q93" i="1"/>
  <c r="Q1539" i="1"/>
  <c r="Q1068" i="1"/>
  <c r="Q2160" i="1"/>
  <c r="Q1704" i="1"/>
  <c r="Q1586" i="1"/>
  <c r="Q1687" i="1"/>
  <c r="Q1762" i="1"/>
  <c r="Q2488" i="1"/>
  <c r="Q2150" i="1"/>
  <c r="Q2572" i="1"/>
  <c r="Q1520" i="1"/>
  <c r="Q1925" i="1"/>
  <c r="Q1115" i="1"/>
  <c r="Q657" i="1"/>
  <c r="Q2551" i="1"/>
  <c r="Q471" i="1"/>
  <c r="Q2343" i="1"/>
  <c r="Q2989" i="1"/>
  <c r="Q2922" i="1"/>
  <c r="Q2857" i="1"/>
  <c r="Q2793" i="1"/>
  <c r="Q2984" i="1"/>
  <c r="Q2923" i="1"/>
  <c r="Q2863" i="1"/>
  <c r="Q2796" i="1"/>
  <c r="Q2987" i="1"/>
  <c r="Q2921" i="1"/>
  <c r="Q2854" i="1"/>
  <c r="Q2790" i="1"/>
  <c r="Q2980" i="1"/>
  <c r="Q2918" i="1"/>
  <c r="Q2877" i="1"/>
  <c r="Q2843" i="1"/>
  <c r="Q2808" i="1"/>
  <c r="Q1808" i="1"/>
  <c r="Q1140" i="1"/>
  <c r="Q2730" i="1"/>
  <c r="Q152" i="1"/>
  <c r="Q2761" i="1"/>
  <c r="Q2755" i="1"/>
  <c r="Q1677" i="1"/>
  <c r="Q1574" i="1"/>
  <c r="Q2481" i="1"/>
  <c r="Q512" i="1"/>
  <c r="Q1313" i="1"/>
  <c r="Q1485" i="1"/>
  <c r="Q2830" i="1"/>
  <c r="Q2814" i="1"/>
  <c r="Q2797" i="1"/>
  <c r="Q2642" i="1"/>
  <c r="Q2788" i="1"/>
  <c r="Q1686" i="1"/>
  <c r="Q2779" i="1"/>
  <c r="Q2766" i="1"/>
  <c r="Q2786" i="1"/>
  <c r="Q457" i="1"/>
  <c r="Q2783" i="1"/>
  <c r="Q2772" i="1"/>
  <c r="Q2764" i="1"/>
  <c r="Q2771" i="1"/>
  <c r="Q1778" i="1"/>
  <c r="Q1840" i="1"/>
  <c r="Q466" i="1"/>
  <c r="Q478" i="1"/>
  <c r="Q2754" i="1"/>
  <c r="Q2762" i="1"/>
  <c r="Q2322" i="1"/>
  <c r="Q2681" i="1"/>
  <c r="Q58" i="1"/>
  <c r="Q2698" i="1"/>
  <c r="Q2706" i="1"/>
  <c r="Q989" i="1"/>
  <c r="Q2327" i="1"/>
  <c r="Q1898" i="1"/>
  <c r="Q1966" i="1"/>
  <c r="Q2339" i="1"/>
  <c r="Q2780" i="1"/>
  <c r="Q2274" i="1"/>
  <c r="Q140" i="1"/>
  <c r="Q2724" i="1"/>
  <c r="Q490" i="1"/>
  <c r="Q2078" i="1"/>
  <c r="Q1942" i="1"/>
  <c r="Q81" i="1"/>
  <c r="Q2708" i="1"/>
  <c r="Q2088" i="1"/>
  <c r="Q1153" i="1"/>
  <c r="Q495" i="1"/>
  <c r="Q2626" i="1"/>
  <c r="Q285" i="1"/>
  <c r="Q1052" i="1"/>
  <c r="Q1868" i="1"/>
  <c r="Q1050" i="1"/>
  <c r="Q2502" i="1"/>
  <c r="Q1927" i="1"/>
  <c r="Q668" i="1"/>
  <c r="Q333" i="1"/>
  <c r="Q1308" i="1"/>
  <c r="Q1415" i="1"/>
  <c r="Q1853" i="1"/>
  <c r="Q1980" i="1"/>
  <c r="Q1249" i="1"/>
  <c r="Q738" i="1"/>
  <c r="Q2229" i="1"/>
  <c r="Q854" i="1"/>
  <c r="Q89" i="1"/>
  <c r="Q2193" i="1"/>
  <c r="Q1355" i="1"/>
  <c r="Q2212" i="1"/>
  <c r="Q2539" i="1"/>
  <c r="Q2540" i="1"/>
  <c r="Q2578" i="1"/>
  <c r="Q535" i="1"/>
  <c r="Q365" i="1"/>
  <c r="Q637" i="1"/>
  <c r="Q54" i="1"/>
  <c r="Q814" i="1"/>
  <c r="Q1309" i="1"/>
  <c r="Q1009" i="1"/>
  <c r="Q108" i="1"/>
  <c r="Q1963" i="1"/>
  <c r="Q2475" i="1"/>
  <c r="Q2773" i="1"/>
  <c r="Q2597" i="1"/>
  <c r="Q239" i="1"/>
  <c r="Q684" i="1"/>
  <c r="Q182" i="1"/>
  <c r="Q2326" i="1"/>
  <c r="Q610" i="1"/>
  <c r="Q632" i="1"/>
  <c r="Q1830" i="1"/>
  <c r="Q669" i="1"/>
  <c r="Q2290" i="1"/>
  <c r="Q1721" i="1"/>
  <c r="Q2245" i="1"/>
  <c r="Q2627" i="1"/>
  <c r="Q2124" i="1"/>
  <c r="Q1324" i="1"/>
  <c r="Q2472" i="1"/>
  <c r="Q1266" i="1"/>
  <c r="Q1380" i="1"/>
  <c r="Q1381" i="1"/>
  <c r="Q3018" i="1"/>
  <c r="Q2958" i="1"/>
  <c r="Q2888" i="1"/>
  <c r="Q2819" i="1"/>
  <c r="Q3020" i="1"/>
  <c r="Q2956" i="1"/>
  <c r="Q2894" i="1"/>
  <c r="Q2828" i="1"/>
  <c r="Q3016" i="1"/>
  <c r="Q2954" i="1"/>
  <c r="Q2886" i="1"/>
  <c r="Q2821" i="1"/>
  <c r="Q3017" i="1"/>
  <c r="Q2952" i="1"/>
  <c r="Q2891" i="1"/>
  <c r="Q2859" i="1"/>
  <c r="Q2818" i="1"/>
  <c r="Q2795" i="1"/>
  <c r="Q618" i="1"/>
  <c r="Q1916" i="1"/>
  <c r="Q1974" i="1"/>
  <c r="Q1867" i="1"/>
  <c r="Q2143" i="1"/>
  <c r="Q1678" i="1"/>
  <c r="Q502" i="1"/>
  <c r="Q2425" i="1"/>
  <c r="Q2260" i="1"/>
  <c r="Q2750" i="1"/>
  <c r="Q2715" i="1"/>
  <c r="Q796" i="1"/>
  <c r="Q2577" i="1"/>
  <c r="Q2479" i="1"/>
  <c r="Q2029" i="1"/>
  <c r="Q334" i="1"/>
  <c r="Q306" i="1"/>
  <c r="Q1640" i="1"/>
  <c r="Q2685" i="1"/>
  <c r="Q1330" i="1"/>
  <c r="Q1914" i="1"/>
  <c r="Q377" i="1"/>
  <c r="Q581" i="1"/>
  <c r="Q328" i="1"/>
  <c r="Q1455" i="1"/>
  <c r="Q2344" i="1"/>
  <c r="Q2573" i="1"/>
  <c r="Q1786" i="1"/>
  <c r="Q1604" i="1"/>
  <c r="Q2079" i="1"/>
  <c r="Q60" i="1"/>
  <c r="Q1253" i="1"/>
  <c r="Q2768" i="1"/>
  <c r="Q553" i="1"/>
  <c r="Q1863" i="1"/>
  <c r="Q1237" i="1"/>
  <c r="Q2156" i="1"/>
  <c r="Q2716" i="1"/>
  <c r="Q476" i="1"/>
  <c r="Q2415" i="1"/>
  <c r="Q1902" i="1"/>
  <c r="Q1494" i="1"/>
  <c r="Q1329" i="1"/>
  <c r="Q484" i="1"/>
  <c r="Q494" i="1"/>
  <c r="Q2661" i="1"/>
  <c r="Q1033" i="1"/>
  <c r="Q2034" i="1"/>
  <c r="Q1508" i="1"/>
  <c r="Q1273" i="1"/>
  <c r="Q2741" i="1"/>
  <c r="Q148" i="1"/>
  <c r="Q709" i="1"/>
  <c r="Q713" i="1"/>
  <c r="Q1679" i="1"/>
  <c r="Q692" i="1"/>
  <c r="Q2633" i="1"/>
  <c r="Q790" i="1"/>
  <c r="Q1722" i="1"/>
  <c r="Q2355" i="1"/>
  <c r="Q1082" i="1"/>
  <c r="Q1172" i="1"/>
  <c r="Q2411" i="1"/>
  <c r="Q707" i="1"/>
  <c r="Q938" i="1"/>
  <c r="Q460" i="1"/>
  <c r="Q2680" i="1"/>
  <c r="Q1805" i="1"/>
  <c r="Q448" i="1"/>
  <c r="Q2106" i="1"/>
  <c r="Q888" i="1"/>
  <c r="Q1130" i="1"/>
  <c r="Q1783" i="1"/>
  <c r="Q2402" i="1"/>
  <c r="Q1552" i="1"/>
  <c r="Q76" i="1"/>
  <c r="Q9" i="1"/>
  <c r="Q521" i="1"/>
  <c r="Q1968" i="1"/>
  <c r="Q598" i="1"/>
  <c r="Q200" i="1"/>
  <c r="Q583" i="1"/>
  <c r="Q31" i="1"/>
  <c r="Q2176" i="1"/>
  <c r="Q527" i="1"/>
  <c r="Q2023" i="1"/>
  <c r="Q2275" i="1"/>
  <c r="Q1870" i="1"/>
  <c r="Q699" i="1"/>
  <c r="Q743" i="1"/>
  <c r="Q1861" i="1"/>
  <c r="Q1529" i="1"/>
  <c r="Q2549" i="1"/>
  <c r="Q1937" i="1"/>
  <c r="Q2356" i="1"/>
  <c r="Q2620" i="1"/>
  <c r="Q409" i="1"/>
  <c r="Q2433" i="1"/>
  <c r="Q1367" i="1"/>
  <c r="Q1206" i="1"/>
  <c r="Q2192" i="1"/>
  <c r="Q1278" i="1"/>
  <c r="Q2756" i="1"/>
  <c r="Q295" i="1"/>
  <c r="Q270" i="1"/>
  <c r="Q928" i="1"/>
  <c r="Q984" i="1"/>
  <c r="Q1532" i="1"/>
  <c r="Q1652" i="1"/>
  <c r="Q1177" i="1"/>
  <c r="Q932" i="1"/>
  <c r="Q360" i="1"/>
  <c r="Q1503" i="1"/>
  <c r="Q584" i="1"/>
  <c r="Q1395" i="1"/>
  <c r="Q2234" i="1"/>
  <c r="Q861" i="1"/>
  <c r="Q741" i="1"/>
  <c r="Q1545" i="1"/>
  <c r="Q2279" i="1"/>
  <c r="Q85" i="1"/>
  <c r="Q520" i="1"/>
  <c r="Q1612" i="1"/>
  <c r="Q1275" i="1"/>
  <c r="Q8" i="1"/>
  <c r="Q1328" i="1"/>
  <c r="Q1268" i="1"/>
  <c r="Q956" i="1"/>
  <c r="Q2051" i="1"/>
  <c r="Q1702" i="1"/>
  <c r="Q32" i="1"/>
  <c r="Q532" i="1"/>
  <c r="Q1164" i="1"/>
  <c r="Q677" i="1"/>
  <c r="Q1537" i="1"/>
  <c r="Q1383" i="1"/>
  <c r="Q1346" i="1"/>
  <c r="Q1234" i="1"/>
  <c r="Q115" i="1"/>
  <c r="Q283" i="1"/>
  <c r="Q2243" i="1"/>
  <c r="Q2439" i="1"/>
  <c r="Q992" i="1"/>
  <c r="Q407" i="1"/>
  <c r="Q2390" i="1"/>
  <c r="Q543" i="1"/>
  <c r="Q759" i="1"/>
  <c r="Q2718" i="1"/>
  <c r="Q550" i="1"/>
  <c r="Q1363" i="1"/>
  <c r="Q1134" i="1"/>
  <c r="Q1132" i="1"/>
  <c r="Q135" i="1"/>
  <c r="Q286" i="1"/>
  <c r="Q1183" i="1"/>
  <c r="Q505" i="1"/>
  <c r="Q2352" i="1"/>
  <c r="Q2753" i="1"/>
  <c r="Q2007" i="1"/>
  <c r="Q300" i="1"/>
  <c r="Q1543" i="1"/>
  <c r="Q579" i="1"/>
  <c r="Q1353" i="1"/>
  <c r="Q2471" i="1"/>
  <c r="Q2408" i="1"/>
  <c r="Q605" i="1"/>
  <c r="Q1542" i="1"/>
  <c r="Q1284" i="1"/>
  <c r="Q1619" i="1"/>
  <c r="Q564" i="1"/>
  <c r="Q1419" i="1"/>
  <c r="Q2589" i="1"/>
  <c r="Q930" i="1"/>
  <c r="Q691" i="1"/>
  <c r="Q2286" i="1"/>
  <c r="Q1450" i="1"/>
  <c r="Q1548" i="1"/>
  <c r="Q1176" i="1"/>
  <c r="Q740" i="1"/>
  <c r="Q998" i="1"/>
  <c r="Q1248" i="1"/>
  <c r="Q435" i="1"/>
  <c r="Q1244" i="1"/>
  <c r="Q2463" i="1"/>
  <c r="Q2090" i="1"/>
  <c r="Q207" i="1"/>
  <c r="Q1890" i="1"/>
  <c r="Q644" i="1"/>
  <c r="Q1352" i="1"/>
  <c r="Q2520" i="1"/>
  <c r="Q883" i="1"/>
  <c r="Q1015" i="1"/>
  <c r="Q1645" i="1"/>
  <c r="Q1191" i="1"/>
  <c r="Q1558" i="1"/>
  <c r="Q289" i="1"/>
  <c r="Q987" i="1"/>
  <c r="Q134" i="1"/>
  <c r="Q1008" i="1"/>
  <c r="Q1767" i="1"/>
  <c r="Q2182" i="1"/>
  <c r="Q1964" i="1"/>
  <c r="Q2740" i="1"/>
  <c r="Q1651" i="1"/>
  <c r="Q126" i="1"/>
  <c r="Q2197" i="1"/>
  <c r="Q548" i="1"/>
  <c r="Q917" i="1"/>
  <c r="Q1157" i="1"/>
  <c r="Q2529" i="1"/>
  <c r="Q1208" i="1"/>
  <c r="Q2662" i="1"/>
  <c r="Q800" i="1"/>
  <c r="Q1295" i="1"/>
  <c r="Q1777" i="1"/>
  <c r="Q1096" i="1"/>
  <c r="Q1043" i="1"/>
  <c r="Q837" i="1"/>
  <c r="Q384" i="1"/>
  <c r="Q2506" i="1"/>
  <c r="Q1457" i="1"/>
  <c r="Q2276" i="1"/>
  <c r="Q1780" i="1"/>
  <c r="Q2749" i="1"/>
  <c r="Q1394" i="1"/>
  <c r="Q235" i="1"/>
  <c r="Q2076" i="1"/>
  <c r="Q2311" i="1"/>
  <c r="Q2101" i="1"/>
  <c r="Q695" i="1"/>
  <c r="Q827" i="1"/>
  <c r="Q920" i="1"/>
  <c r="Q972" i="1"/>
  <c r="Q2250" i="1"/>
  <c r="Q1854" i="1"/>
  <c r="Q233" i="1"/>
  <c r="Q415" i="1"/>
  <c r="Q607" i="1"/>
  <c r="Q1838" i="1"/>
  <c r="Q2909" i="1"/>
  <c r="Q1486" i="1"/>
  <c r="Q2905" i="1"/>
  <c r="Q2784" i="1"/>
  <c r="Q2906" i="1"/>
  <c r="Q955" i="1"/>
  <c r="Q2904" i="1"/>
  <c r="Q2835" i="1"/>
  <c r="Q1021" i="1"/>
  <c r="Q2021" i="1"/>
  <c r="Q773" i="1"/>
  <c r="Q492" i="1"/>
  <c r="Q1924" i="1"/>
  <c r="Q1715" i="1"/>
  <c r="Q2109" i="1"/>
  <c r="Q356" i="1"/>
  <c r="Q244" i="1"/>
  <c r="Q2380" i="1"/>
  <c r="Q1453" i="1"/>
  <c r="Q111" i="1"/>
  <c r="Q417" i="1"/>
  <c r="Q318" i="1"/>
  <c r="Q342" i="1"/>
  <c r="Q2588" i="1"/>
  <c r="Q1804" i="1"/>
  <c r="Q783" i="1"/>
  <c r="Q725" i="1"/>
  <c r="Q1035" i="1"/>
  <c r="Q822" i="1"/>
  <c r="Q251" i="1"/>
  <c r="Q171" i="1"/>
  <c r="Q2518" i="1"/>
  <c r="Q2006" i="1"/>
  <c r="Q1188" i="1"/>
  <c r="Q2477" i="1"/>
  <c r="Q2628" i="1"/>
  <c r="Q2375" i="1"/>
  <c r="Q717" i="1"/>
  <c r="Q1934" i="1"/>
  <c r="Q325" i="1"/>
  <c r="Q2673" i="1"/>
  <c r="Q641" i="1"/>
  <c r="Q2732" i="1"/>
  <c r="Q155" i="1"/>
  <c r="Q213" i="1"/>
  <c r="Q1163" i="1"/>
  <c r="Q2391" i="1"/>
  <c r="Q1971" i="1"/>
  <c r="Q2508" i="1"/>
  <c r="Q2277" i="1"/>
  <c r="Q914" i="1"/>
  <c r="Q1081" i="1"/>
  <c r="Q174" i="1"/>
  <c r="Q787" i="1"/>
  <c r="Q1795" i="1"/>
  <c r="Q2636" i="1"/>
  <c r="Q2453" i="1"/>
  <c r="Q432" i="1"/>
  <c r="Q1674" i="1"/>
  <c r="Q1443" i="1"/>
  <c r="Q634" i="1"/>
  <c r="Q22" i="1"/>
  <c r="Q55" i="1"/>
  <c r="Q2117" i="1"/>
  <c r="Q729" i="1"/>
  <c r="Q2687" i="1"/>
  <c r="Q780" i="1"/>
  <c r="Q2108" i="1"/>
  <c r="Q408" i="1"/>
  <c r="Q1432" i="1"/>
  <c r="Q1038" i="1"/>
  <c r="Q2203" i="1"/>
  <c r="Q1769" i="1"/>
  <c r="Q1405" i="1"/>
  <c r="Q823" i="1"/>
  <c r="Q1262" i="1"/>
  <c r="Q1342" i="1"/>
  <c r="Q2035" i="1"/>
  <c r="Q1423" i="1"/>
  <c r="Q2489" i="1"/>
  <c r="Q463" i="1"/>
  <c r="Q296" i="1"/>
  <c r="Q2758" i="1"/>
  <c r="Q404" i="1"/>
  <c r="Q1071" i="1"/>
  <c r="Q1049" i="1"/>
  <c r="Q2677" i="1"/>
  <c r="Q2219" i="1"/>
  <c r="Q426" i="1"/>
  <c r="Q1886" i="1"/>
  <c r="Q1985" i="1"/>
  <c r="Q1333" i="1"/>
  <c r="Q558" i="1"/>
  <c r="Q2280" i="1"/>
  <c r="Q523" i="1"/>
  <c r="Q1004" i="1"/>
  <c r="Q1527" i="1"/>
  <c r="Q2759" i="1"/>
  <c r="Q795" i="1"/>
  <c r="Q549" i="1"/>
  <c r="Q2155" i="1"/>
  <c r="Q1315" i="1"/>
  <c r="Q250" i="1"/>
  <c r="Q2725" i="1"/>
  <c r="Q1010" i="1"/>
  <c r="Q168" i="1"/>
  <c r="Q1482" i="1"/>
  <c r="Q733" i="1"/>
  <c r="Q489" i="1"/>
  <c r="Q1307" i="1"/>
  <c r="Q842" i="1"/>
  <c r="Q2639" i="1"/>
  <c r="Q2138" i="1"/>
  <c r="Q1597" i="1"/>
  <c r="Q2645" i="1"/>
  <c r="Q881" i="1"/>
  <c r="Q1595" i="1"/>
  <c r="Q2656" i="1"/>
  <c r="Q715" i="1"/>
  <c r="Q1298" i="1"/>
  <c r="Q1119" i="1"/>
  <c r="Q2735" i="1"/>
  <c r="Q2421" i="1"/>
  <c r="Q326" i="1"/>
  <c r="Q46" i="1"/>
  <c r="Q122" i="1"/>
  <c r="Q893" i="1"/>
  <c r="Q1935" i="1"/>
  <c r="Q2074" i="1"/>
  <c r="Q422" i="1"/>
  <c r="Q1489" i="1"/>
  <c r="Q1672" i="1"/>
  <c r="Q949" i="1"/>
  <c r="Q163" i="1"/>
  <c r="Q673" i="1"/>
  <c r="Q1588" i="1"/>
  <c r="Q2413" i="1"/>
  <c r="Q923" i="1"/>
  <c r="Q1796" i="1"/>
  <c r="Q1403" i="1"/>
  <c r="Q990" i="1"/>
  <c r="Q782" i="1"/>
  <c r="Q2388" i="1"/>
  <c r="Q301" i="1"/>
  <c r="Q1706" i="1"/>
  <c r="Q597" i="1"/>
  <c r="Q934" i="1"/>
  <c r="Q114" i="1"/>
  <c r="Q982" i="1"/>
  <c r="Q104" i="1"/>
  <c r="Q1195" i="1"/>
  <c r="Q1148" i="1"/>
  <c r="Q1820" i="1"/>
  <c r="Q1509" i="1"/>
  <c r="Q2263" i="1"/>
  <c r="Q2204" i="1"/>
  <c r="Q1255" i="1"/>
  <c r="Q1272" i="1"/>
  <c r="Q596" i="1"/>
  <c r="Q311" i="1"/>
  <c r="Q2452" i="1"/>
  <c r="Q1059" i="1"/>
  <c r="Q2469" i="1"/>
  <c r="Q2468" i="1"/>
  <c r="Q1593" i="1"/>
  <c r="Q206" i="1"/>
  <c r="Q232" i="1"/>
  <c r="Q363" i="1"/>
  <c r="Q1953" i="1"/>
  <c r="Q935" i="1"/>
  <c r="Q1714" i="1"/>
  <c r="Q506" i="1"/>
  <c r="Q1632" i="1"/>
  <c r="Q1940" i="1"/>
  <c r="Q1513" i="1"/>
  <c r="Q291" i="1"/>
  <c r="Q2002" i="1"/>
  <c r="Q533" i="1"/>
  <c r="Q580" i="1"/>
  <c r="Q808" i="1"/>
  <c r="Q1019" i="1"/>
  <c r="Q1600" i="1"/>
  <c r="Q646" i="1"/>
  <c r="Q1998" i="1"/>
  <c r="Q1874" i="1"/>
  <c r="Q61" i="1"/>
  <c r="Q2126" i="1"/>
  <c r="Q2584" i="1"/>
  <c r="Q2037" i="1"/>
  <c r="Q123" i="1"/>
  <c r="Q425" i="1"/>
  <c r="Q1133" i="1"/>
  <c r="Q529" i="1"/>
  <c r="Q2407" i="1"/>
  <c r="Q1859" i="1"/>
  <c r="Q1865" i="1"/>
  <c r="Q1069" i="1"/>
  <c r="Q274" i="1"/>
  <c r="Q2348" i="1"/>
  <c r="Q2319" i="1"/>
  <c r="Q305" i="1"/>
  <c r="Q1037" i="1"/>
  <c r="Q2342" i="1"/>
  <c r="Q1549" i="1"/>
  <c r="Q868" i="1"/>
  <c r="Q1430" i="1"/>
  <c r="Q2019" i="1"/>
  <c r="Q320" i="1"/>
  <c r="Q1073" i="1"/>
  <c r="Q2605" i="1"/>
  <c r="Q832" i="1"/>
  <c r="Q2107" i="1"/>
  <c r="Q2435" i="1"/>
  <c r="Q403" i="1"/>
  <c r="Q205" i="1"/>
  <c r="Q1647" i="1"/>
  <c r="Q1554" i="1"/>
  <c r="Q2694" i="1"/>
  <c r="Q2507" i="1"/>
  <c r="Q2473" i="1"/>
  <c r="Q2152" i="1"/>
  <c r="Q1797" i="1"/>
  <c r="Q2568" i="1"/>
  <c r="Q2516" i="1"/>
  <c r="Q821" i="1"/>
  <c r="Q2691" i="1"/>
  <c r="Q1261" i="1"/>
  <c r="Q2733" i="1"/>
  <c r="Q1984" i="1"/>
  <c r="Q225" i="1"/>
  <c r="Q877" i="1"/>
  <c r="Q1074" i="1"/>
  <c r="Q781" i="1"/>
  <c r="Q1478" i="1"/>
  <c r="Q2436" i="1"/>
  <c r="Q2394" i="1"/>
  <c r="Q1112" i="1"/>
  <c r="Q469" i="1"/>
  <c r="Q2104" i="1"/>
  <c r="Q2384" i="1"/>
  <c r="Q2096" i="1"/>
  <c r="Q2118" i="1"/>
  <c r="Q375" i="1"/>
  <c r="Q1080" i="1"/>
  <c r="Q158" i="1"/>
  <c r="Q991" i="1"/>
  <c r="Q1150" i="1"/>
  <c r="Q1158" i="1"/>
  <c r="Q2447" i="1"/>
  <c r="Q1302" i="1"/>
  <c r="Q2308" i="1"/>
  <c r="Q1182" i="1"/>
  <c r="Q97" i="1"/>
  <c r="Q1923" i="1"/>
  <c r="Q2978" i="1"/>
  <c r="Q2840" i="1"/>
  <c r="Q2972" i="1"/>
  <c r="Q2846" i="1"/>
  <c r="Q2974" i="1"/>
  <c r="Q2838" i="1"/>
  <c r="Q2966" i="1"/>
  <c r="Q2871" i="1"/>
  <c r="Q2801" i="1"/>
  <c r="Q2424" i="1"/>
  <c r="Q2222" i="1"/>
  <c r="Q2370" i="1"/>
  <c r="Q69" i="1"/>
  <c r="Q1449" i="1"/>
  <c r="Q1724" i="1"/>
  <c r="Q2201" i="1"/>
  <c r="Q83" i="1"/>
  <c r="Q2061" i="1"/>
  <c r="Q797" i="1"/>
  <c r="Q1569" i="1"/>
  <c r="Q80" i="1"/>
  <c r="Q2616" i="1"/>
  <c r="Q654" i="1"/>
  <c r="Q2781" i="1"/>
  <c r="Q2747" i="1"/>
  <c r="Q2223" i="1"/>
  <c r="Q350" i="1"/>
  <c r="Q633" i="1"/>
  <c r="Q340" i="1"/>
  <c r="Q891" i="1"/>
  <c r="Q2055" i="1"/>
  <c r="Q169" i="1"/>
  <c r="Q1736" i="1"/>
  <c r="Q1699" i="1"/>
  <c r="Q1181" i="1"/>
  <c r="Q2202" i="1"/>
  <c r="Q370" i="1"/>
  <c r="Q2187" i="1"/>
  <c r="Q2145" i="1"/>
  <c r="Q705" i="1"/>
  <c r="Q2248" i="1"/>
  <c r="Q1495" i="1"/>
  <c r="Q1233" i="1"/>
  <c r="Q287" i="1"/>
  <c r="Q1498" i="1"/>
  <c r="Q1682" i="1"/>
  <c r="Q867" i="1"/>
  <c r="Q834" i="1"/>
  <c r="Q792" i="1"/>
  <c r="Q736" i="1"/>
  <c r="Q1655" i="1"/>
  <c r="Q2194" i="1"/>
  <c r="Q2722" i="1"/>
  <c r="Q2690" i="1"/>
  <c r="Q2769" i="1"/>
  <c r="Q2607" i="1"/>
  <c r="Q2774" i="1"/>
  <c r="Q1581" i="1"/>
  <c r="Q1875" i="1"/>
  <c r="Q2704" i="1"/>
  <c r="Q2514" i="1"/>
  <c r="Q1136" i="1"/>
  <c r="Q2102" i="1"/>
  <c r="Q1179" i="1"/>
  <c r="Q2560" i="1"/>
  <c r="Q2300" i="1"/>
  <c r="Q1111" i="1"/>
  <c r="Q1029" i="1"/>
  <c r="Q346" i="1"/>
  <c r="Q1128" i="1"/>
  <c r="Q2643" i="1"/>
  <c r="Q500" i="1"/>
  <c r="Q491" i="1"/>
  <c r="Q338" i="1"/>
  <c r="Q2254" i="1"/>
  <c r="Q758" i="1"/>
  <c r="Q803" i="1"/>
  <c r="Q487" i="1"/>
  <c r="Q1224" i="1"/>
  <c r="Q865" i="1"/>
  <c r="Q1003" i="1"/>
  <c r="Q1170" i="1"/>
  <c r="Q2742" i="1"/>
  <c r="Q2711" i="1"/>
  <c r="Q2664" i="1"/>
  <c r="Q2524" i="1"/>
  <c r="Q2671" i="1"/>
  <c r="Q799" i="1"/>
  <c r="Q818" i="1"/>
  <c r="Q392" i="1"/>
  <c r="Q2562" i="1"/>
  <c r="Q2199" i="1"/>
  <c r="Q2683" i="1"/>
  <c r="Q2522" i="1"/>
  <c r="Q1479" i="1"/>
  <c r="Q1271" i="1"/>
  <c r="Q2200" i="1"/>
  <c r="Q1416" i="1"/>
  <c r="Q801" i="1"/>
  <c r="Q1698" i="1"/>
  <c r="Q2707" i="1"/>
  <c r="Q312" i="1"/>
  <c r="Q1954" i="1"/>
  <c r="Q875" i="1"/>
  <c r="Q1481" i="1"/>
  <c r="Q2237" i="1"/>
  <c r="Q1945" i="1"/>
  <c r="Q2372" i="1"/>
  <c r="Q1534" i="1"/>
  <c r="Q515" i="1"/>
  <c r="Q208" i="1"/>
  <c r="Q2053" i="1"/>
  <c r="Q1960" i="1"/>
  <c r="Q1166" i="1"/>
  <c r="Q1922" i="1"/>
  <c r="Q2266" i="1"/>
  <c r="Q2041" i="1"/>
  <c r="Q1145" i="1"/>
  <c r="Q1257" i="1"/>
  <c r="Q2530" i="1"/>
  <c r="Q1734" i="1"/>
  <c r="Q681" i="1"/>
  <c r="Q1986" i="1"/>
  <c r="Q1252" i="1"/>
  <c r="Q2064" i="1"/>
  <c r="Q72" i="1"/>
  <c r="Q586" i="1"/>
  <c r="Q1999" i="1"/>
  <c r="Q570" i="1"/>
  <c r="Q1763" i="1"/>
  <c r="Q2043" i="1"/>
  <c r="Q224" i="1"/>
  <c r="Q2450" i="1"/>
  <c r="Q2346" i="1"/>
  <c r="Q1603" i="1"/>
  <c r="Q304" i="1"/>
  <c r="Q132" i="1"/>
  <c r="Q1729" i="1"/>
  <c r="Q666" i="1"/>
  <c r="Q2235" i="1"/>
  <c r="Q926" i="1"/>
  <c r="Q1633" i="1"/>
  <c r="Q522" i="1"/>
  <c r="Q2226" i="1"/>
  <c r="Q2137" i="1"/>
  <c r="Q2115" i="1"/>
  <c r="Q2309" i="1"/>
  <c r="Q2405" i="1"/>
  <c r="Q613" i="1"/>
  <c r="Q652" i="1"/>
  <c r="Q623" i="1"/>
  <c r="Q1384" i="1"/>
  <c r="Q1573" i="1"/>
  <c r="Q2499" i="1"/>
  <c r="Q1290" i="1"/>
  <c r="Q144" i="1"/>
  <c r="Q2215" i="1"/>
  <c r="Q711" i="1"/>
  <c r="Q1337" i="1"/>
  <c r="Q2513" i="1"/>
  <c r="Q1263" i="1"/>
  <c r="Q536" i="1"/>
  <c r="Q210" i="1"/>
  <c r="Q1716" i="1"/>
  <c r="Q2437" i="1"/>
  <c r="Q395" i="1"/>
  <c r="Q735" i="1"/>
  <c r="Q687" i="1"/>
  <c r="Q2239" i="1"/>
  <c r="Q1245" i="1"/>
  <c r="Q1305" i="1"/>
  <c r="Q975" i="1"/>
  <c r="Q2247" i="1"/>
  <c r="Q2581" i="1"/>
  <c r="Q1609" i="1"/>
  <c r="Q456" i="1"/>
  <c r="Q1223" i="1"/>
  <c r="Q234" i="1"/>
  <c r="Q272" i="1"/>
  <c r="Q2542" i="1"/>
  <c r="Q499" i="1"/>
  <c r="Q2532" i="1"/>
  <c r="Q1938" i="1"/>
  <c r="Q2449" i="1"/>
  <c r="Q665" i="1"/>
  <c r="Q2353" i="1"/>
  <c r="Q1212" i="1"/>
  <c r="Q689" i="1"/>
  <c r="Q211" i="1"/>
  <c r="Q2092" i="1"/>
  <c r="Q748" i="1"/>
  <c r="Q138" i="1"/>
  <c r="Q944" i="1"/>
  <c r="Q2315" i="1"/>
  <c r="Q1064" i="1"/>
  <c r="Q2070" i="1"/>
  <c r="Q1229" i="1"/>
  <c r="Q2365" i="1"/>
  <c r="Q1406" i="1"/>
  <c r="Q714" i="1"/>
  <c r="Q2189" i="1"/>
  <c r="Q999" i="1"/>
  <c r="Q1850" i="1"/>
  <c r="Q2602" i="1"/>
  <c r="Q864" i="1"/>
  <c r="Q1020" i="1"/>
  <c r="Q2010" i="1"/>
  <c r="Q2238" i="1"/>
  <c r="Q2257" i="1"/>
  <c r="Q1835" i="1"/>
  <c r="Q1648" i="1"/>
  <c r="Q2558" i="1"/>
  <c r="Q2651" i="1"/>
  <c r="Q98" i="1"/>
  <c r="Q981" i="1"/>
  <c r="Q1331" i="1"/>
  <c r="Q1936" i="1"/>
  <c r="Q1654" i="1"/>
  <c r="Q1614" i="1"/>
  <c r="Q343" i="1"/>
  <c r="Q612" i="1"/>
  <c r="Q2650" i="1"/>
  <c r="Q2340" i="1"/>
  <c r="Q2608" i="1"/>
  <c r="Q746" i="1"/>
  <c r="Q2142" i="1"/>
  <c r="Q2492" i="1"/>
  <c r="Q96" i="1"/>
  <c r="Q1054" i="1"/>
  <c r="Q2185" i="1"/>
  <c r="Q458" i="1"/>
  <c r="Q1718" i="1"/>
  <c r="Q1903" i="1"/>
  <c r="Q1669" i="1"/>
  <c r="Q1776" i="1"/>
  <c r="Q847" i="1"/>
  <c r="Q912" i="1"/>
  <c r="Q710" i="1"/>
  <c r="Q1858" i="1"/>
  <c r="Q2011" i="1"/>
  <c r="Q2289" i="1"/>
  <c r="Q1304" i="1"/>
  <c r="Q545" i="1"/>
  <c r="Q1107" i="1"/>
  <c r="Q440" i="1"/>
  <c r="Q836" i="1"/>
  <c r="Q1798" i="1"/>
  <c r="Q1466" i="1"/>
  <c r="Q1127" i="1"/>
  <c r="Q2218" i="1"/>
  <c r="Q2072" i="1"/>
  <c r="Q2206" i="1"/>
  <c r="Q14" i="1"/>
  <c r="Q757" i="1"/>
  <c r="Q1138" i="1"/>
  <c r="Q2493" i="1"/>
  <c r="Q2486" i="1"/>
  <c r="Q2281" i="1"/>
  <c r="Q1911" i="1"/>
  <c r="Q967" i="1"/>
  <c r="Q1417" i="1"/>
  <c r="Q846" i="1"/>
  <c r="Q1283" i="1"/>
  <c r="Q793" i="1"/>
  <c r="Q1809" i="1"/>
  <c r="Q1646" i="1"/>
  <c r="Q2025" i="1"/>
  <c r="Q2164" i="1"/>
  <c r="Q1226" i="1"/>
  <c r="Q2130" i="1"/>
  <c r="Q694" i="1"/>
  <c r="Q913" i="1"/>
  <c r="Q872" i="1"/>
  <c r="Q175" i="1"/>
  <c r="Q20" i="1"/>
  <c r="Q30" i="1"/>
  <c r="Q1709" i="1"/>
  <c r="Q784" i="1"/>
  <c r="Q1951" i="1"/>
  <c r="Q221" i="1"/>
  <c r="Q1771" i="1"/>
  <c r="Q585" i="1"/>
  <c r="Q2285" i="1"/>
  <c r="Q1350" i="1"/>
  <c r="Q774" i="1"/>
  <c r="Q661" i="1"/>
  <c r="Q1949" i="1"/>
  <c r="Q1546" i="1"/>
  <c r="Q336" i="1"/>
  <c r="Q716" i="1"/>
  <c r="Q1476" i="1"/>
  <c r="Q945" i="1"/>
  <c r="Q1433" i="1"/>
  <c r="Q1955" i="1"/>
  <c r="Q2119" i="1"/>
  <c r="Q2528" i="1"/>
  <c r="Q63" i="1"/>
  <c r="Q2404" i="1"/>
  <c r="Q2330" i="1"/>
  <c r="Q187" i="1"/>
  <c r="Q974" i="1"/>
  <c r="Q1920" i="1"/>
  <c r="Q788" i="1"/>
  <c r="Q1030" i="1"/>
  <c r="Q770" i="1"/>
  <c r="Q910" i="1"/>
  <c r="Q464" i="1"/>
  <c r="Q1517" i="1"/>
  <c r="Q1712" i="1"/>
  <c r="Q904" i="1"/>
  <c r="Q503" i="1"/>
  <c r="Q21" i="1"/>
  <c r="Q1891" i="1"/>
  <c r="Q139" i="1"/>
  <c r="Q480" i="1"/>
  <c r="Q2065" i="1"/>
  <c r="Q1824" i="1"/>
  <c r="Q1592" i="1"/>
  <c r="Q1057" i="1"/>
  <c r="Q2451" i="1"/>
  <c r="Q1232" i="1"/>
  <c r="Q1836" i="1"/>
  <c r="Q303" i="1"/>
  <c r="Q593" i="1"/>
  <c r="Q1556" i="1"/>
  <c r="Q858" i="1"/>
  <c r="Q1205" i="1"/>
  <c r="Q924" i="1"/>
  <c r="Q1887" i="1"/>
  <c r="Q2531" i="1"/>
  <c r="Q2083" i="1"/>
  <c r="Q1496" i="1"/>
  <c r="Q2191" i="1"/>
  <c r="Q948" i="1"/>
  <c r="Q1733" i="1"/>
  <c r="Q589" i="1"/>
  <c r="Q145" i="1"/>
  <c r="Q1659" i="1"/>
  <c r="Q1857" i="1"/>
  <c r="Q2723" i="1"/>
  <c r="Q1505" i="1"/>
  <c r="Q625" i="1"/>
  <c r="Q2167" i="1"/>
  <c r="Q109" i="1"/>
  <c r="Q639" i="1"/>
  <c r="Q514" i="1"/>
  <c r="Q2347" i="1"/>
  <c r="Q2196" i="1"/>
  <c r="Q1089" i="1"/>
  <c r="Q763" i="1"/>
  <c r="Q1060" i="1"/>
  <c r="Q1477" i="1"/>
  <c r="Q2721" i="1"/>
  <c r="Q192" i="1"/>
  <c r="Q1287" i="1"/>
  <c r="Q1293" i="1"/>
  <c r="Q1768" i="1"/>
  <c r="Q2601" i="1"/>
  <c r="Q2631" i="1"/>
  <c r="Q921" i="1"/>
  <c r="Q953" i="1"/>
  <c r="Q2165" i="1"/>
  <c r="Q1631" i="1"/>
  <c r="Q933" i="1"/>
  <c r="Q1211" i="1"/>
  <c r="Q2497" i="1"/>
  <c r="Q397" i="1"/>
  <c r="Q24" i="1"/>
  <c r="Q1781" i="1"/>
  <c r="Q1551" i="1"/>
  <c r="Q557" i="1"/>
  <c r="Q361" i="1"/>
  <c r="Q815" i="1"/>
  <c r="Q672" i="1"/>
  <c r="Q196" i="1"/>
  <c r="Q2314" i="1"/>
  <c r="Q1555" i="1"/>
  <c r="Q2615" i="1"/>
  <c r="Q37" i="1"/>
  <c r="Q1387" i="1"/>
  <c r="Q1642" i="1"/>
  <c r="Q1236" i="1"/>
  <c r="Q71" i="1"/>
  <c r="Q640" i="1"/>
  <c r="Q1483" i="1"/>
  <c r="Q560" i="1"/>
  <c r="Q1665" i="1"/>
  <c r="Q2606" i="1"/>
  <c r="Q2310" i="1"/>
  <c r="Q2014" i="1"/>
  <c r="Q1691" i="1"/>
  <c r="Q1318" i="1"/>
  <c r="Q2030" i="1"/>
  <c r="Q38" i="1"/>
  <c r="Q2604" i="1"/>
  <c r="Q1222" i="1"/>
  <c r="Q2210" i="1"/>
  <c r="Q2306" i="1"/>
  <c r="Q1741" i="1"/>
  <c r="Q1791" i="1"/>
  <c r="Q1757" i="1"/>
  <c r="Q199" i="1"/>
  <c r="Q25" i="1"/>
  <c r="Q732" i="1"/>
  <c r="Q1345" i="1"/>
  <c r="Q1688" i="1"/>
  <c r="Q2066" i="1"/>
  <c r="Q1550" i="1"/>
  <c r="Q1365" i="1"/>
  <c r="Q760" i="1"/>
  <c r="Q411" i="1"/>
  <c r="Q1760" i="1"/>
  <c r="Q1348" i="1"/>
  <c r="Q1065" i="1"/>
  <c r="Q2039" i="1"/>
  <c r="Q1566" i="1"/>
  <c r="Q1062" i="1"/>
  <c r="Q2726" i="1"/>
  <c r="Q366" i="1"/>
  <c r="Q2166" i="1"/>
  <c r="Q1026" i="1"/>
  <c r="Q1594" i="1"/>
  <c r="Q260" i="1"/>
  <c r="Q1306" i="1"/>
  <c r="Q70" i="1"/>
  <c r="Q1198" i="1"/>
  <c r="Q2227" i="1"/>
  <c r="Q2267" i="1"/>
  <c r="Q2188" i="1"/>
  <c r="Q424" i="1"/>
  <c r="Q265" i="1"/>
  <c r="Q1144" i="1"/>
  <c r="Q1458" i="1"/>
  <c r="Q1866" i="1"/>
  <c r="Q367" i="1"/>
  <c r="Q575" i="1"/>
  <c r="Q1497" i="1"/>
  <c r="Q765" i="1"/>
  <c r="Q133" i="1"/>
  <c r="Q1664" i="1"/>
  <c r="Q1340" i="1"/>
  <c r="Q51" i="1"/>
  <c r="Q2054" i="1"/>
  <c r="Q1079" i="1"/>
  <c r="Q660" i="1"/>
  <c r="Q352" i="1"/>
  <c r="Q734" i="1"/>
  <c r="Q1277" i="1"/>
  <c r="Q64" i="1"/>
  <c r="Q519" i="1"/>
  <c r="Q2312" i="1"/>
  <c r="Q2136" i="1"/>
  <c r="Q444" i="1"/>
  <c r="Q1401" i="1"/>
  <c r="Q2403" i="1"/>
  <c r="Q2183" i="1"/>
  <c r="Q1219" i="1"/>
  <c r="Q2093" i="1"/>
  <c r="Q2349" i="1"/>
  <c r="Q775" i="1"/>
  <c r="Q2057" i="1"/>
  <c r="Q1088" i="1"/>
  <c r="Q1377" i="1"/>
  <c r="Q1695" i="1"/>
  <c r="Q281" i="1"/>
  <c r="Q2242" i="1"/>
  <c r="Q1282" i="1"/>
  <c r="Q227" i="1"/>
  <c r="Q146" i="1"/>
  <c r="Q518" i="1"/>
  <c r="Q1882" i="1"/>
  <c r="Q441" i="1"/>
  <c r="Q778" i="1"/>
  <c r="Q753" i="1"/>
  <c r="Q467" i="1"/>
  <c r="Q1731" i="1"/>
  <c r="Q1006" i="1"/>
  <c r="Q1279" i="1"/>
  <c r="Q1668" i="1"/>
  <c r="Q3" i="1"/>
  <c r="Q1735" i="1"/>
  <c r="Q620" i="1"/>
  <c r="Q2033" i="1"/>
  <c r="Q2320" i="1"/>
  <c r="Q2366" i="1"/>
  <c r="Q1864" i="1"/>
  <c r="Q1856" i="1"/>
  <c r="Q1990" i="1"/>
  <c r="Q1944" i="1"/>
  <c r="Q1442" i="1"/>
  <c r="Q2170" i="1"/>
  <c r="Q1572" i="1"/>
  <c r="Q1300" i="1"/>
  <c r="Q2432" i="1"/>
  <c r="Q676" i="1"/>
  <c r="Q1730" i="1"/>
  <c r="Q2112" i="1"/>
  <c r="Q1766" i="1"/>
  <c r="Q679" i="1"/>
  <c r="Q1512" i="1"/>
  <c r="Q1666" i="1"/>
  <c r="Q1921" i="1"/>
  <c r="Q1126" i="1"/>
  <c r="Q1042" i="1"/>
  <c r="Q688" i="1"/>
  <c r="Q1474" i="1"/>
  <c r="Q860" i="1"/>
  <c r="Q1078" i="1"/>
  <c r="Q53" i="1"/>
  <c r="Q642" i="1"/>
  <c r="Q1499" i="1"/>
  <c r="Q1577" i="1"/>
  <c r="Q3003" i="1"/>
  <c r="Q3000" i="1"/>
  <c r="Q2999" i="1"/>
  <c r="Q3002" i="1"/>
  <c r="Q2826" i="1"/>
  <c r="Q1470" i="1"/>
  <c r="Q1801" i="1"/>
  <c r="Q1151" i="1"/>
  <c r="Q1563" i="1"/>
  <c r="Q78" i="1"/>
  <c r="Q1502" i="1"/>
  <c r="Q1382" i="1"/>
  <c r="Q2668" i="1"/>
  <c r="Q1947" i="1"/>
  <c r="Q1463" i="1"/>
  <c r="Q1323" i="1"/>
  <c r="Q1837" i="1"/>
  <c r="Q524" i="1"/>
  <c r="Q94" i="1"/>
  <c r="Q2599" i="1"/>
  <c r="Q390" i="1"/>
  <c r="Q1448" i="1"/>
  <c r="Q373" i="1"/>
  <c r="Q337" i="1"/>
  <c r="Q143" i="1"/>
  <c r="Q1893" i="1"/>
  <c r="Q2752" i="1"/>
  <c r="Q2765" i="1"/>
  <c r="Q2617" i="1"/>
  <c r="Q565" i="1"/>
  <c r="Q2042" i="1"/>
  <c r="Q1807" i="1"/>
  <c r="Q2603" i="1"/>
  <c r="Q1247" i="1"/>
  <c r="Q1058" i="1"/>
  <c r="Q1794" i="1"/>
  <c r="Q1397" i="1"/>
  <c r="Q388" i="1"/>
  <c r="Q1286" i="1"/>
  <c r="Q2244" i="1"/>
  <c r="Q2618" i="1"/>
  <c r="Q2122" i="1"/>
  <c r="Q2654" i="1"/>
  <c r="Q427" i="1"/>
  <c r="Q2359" i="1"/>
  <c r="Q2728" i="1"/>
  <c r="Q2383" i="1"/>
  <c r="Q1471" i="1"/>
  <c r="Q2719" i="1"/>
  <c r="Q951" i="1"/>
  <c r="Q2713" i="1"/>
  <c r="Q1187" i="1"/>
  <c r="Q2517" i="1"/>
  <c r="Q317" i="1"/>
  <c r="Q2648" i="1"/>
  <c r="Q590" i="1"/>
  <c r="Q572" i="1"/>
  <c r="Q898" i="1"/>
  <c r="Q2350" i="1"/>
  <c r="Q1320" i="1"/>
  <c r="Q1155" i="1"/>
  <c r="Q1217" i="1"/>
  <c r="Q386" i="1"/>
  <c r="Q651" i="1"/>
  <c r="Q2303" i="1"/>
  <c r="Q2550" i="1"/>
  <c r="Q99" i="1"/>
  <c r="Q656" i="1"/>
  <c r="Q919" i="1"/>
  <c r="Q2684" i="1"/>
  <c r="Q591" i="1"/>
  <c r="Q528" i="1"/>
  <c r="Q1338" i="1"/>
  <c r="Q2464" i="1"/>
  <c r="Q1895" i="1"/>
  <c r="Q1514" i="1"/>
  <c r="Q1842" i="1"/>
  <c r="Q2676" i="1"/>
  <c r="Q1488" i="1"/>
  <c r="Q1690" i="1"/>
  <c r="Q2714" i="1"/>
  <c r="Q2760" i="1"/>
  <c r="Q856" i="1"/>
  <c r="Q245" i="1"/>
  <c r="Q1833" i="1"/>
  <c r="Q908" i="1"/>
  <c r="Q1713" i="1"/>
  <c r="Q1738" i="1"/>
  <c r="Q2614" i="1"/>
  <c r="Q2172" i="1"/>
  <c r="Q44" i="1"/>
  <c r="Q2062" i="1"/>
  <c r="Q59" i="1"/>
  <c r="Q1118" i="1"/>
  <c r="Q269" i="1"/>
  <c r="Q857" i="1"/>
  <c r="Q50" i="1"/>
  <c r="Q1544" i="1"/>
  <c r="Q1213" i="1"/>
  <c r="Q431" i="1"/>
  <c r="Q1460" i="1"/>
  <c r="Q475" i="1"/>
  <c r="Q2377" i="1"/>
  <c r="Q2457" i="1"/>
  <c r="Q1919" i="1"/>
  <c r="Q2580" i="1"/>
  <c r="Q1660" i="1"/>
  <c r="Q1843" i="1"/>
  <c r="Q1356" i="1"/>
  <c r="Q1238" i="1"/>
  <c r="Q2272" i="1"/>
  <c r="Q2423" i="1"/>
  <c r="Q2561" i="1"/>
  <c r="Q2510" i="1"/>
  <c r="Q1422" i="1"/>
  <c r="Q2387" i="1"/>
  <c r="Q2443" i="1"/>
  <c r="Q766" i="1"/>
  <c r="Q2114" i="1"/>
  <c r="Q2240" i="1"/>
  <c r="Q1165" i="1"/>
  <c r="Q1445" i="1"/>
  <c r="Q202" i="1"/>
  <c r="Q1855" i="1"/>
  <c r="Q601" i="1"/>
  <c r="Q2205" i="1"/>
  <c r="Q185" i="1"/>
  <c r="Q428" i="1"/>
  <c r="Q2125" i="1"/>
  <c r="Q1024" i="1"/>
  <c r="Q1515" i="1"/>
  <c r="Q400" i="1"/>
  <c r="Q616" i="1"/>
  <c r="Q2500" i="1"/>
  <c r="Q2554" i="1"/>
  <c r="Q1589" i="1"/>
  <c r="Q2697" i="1"/>
  <c r="Q292" i="1"/>
  <c r="Q1692" i="1"/>
  <c r="Q1587" i="1"/>
  <c r="Q1051" i="1"/>
  <c r="Q2036" i="1"/>
  <c r="Q1097" i="1"/>
  <c r="Q347" i="1"/>
  <c r="Q970" i="1"/>
  <c r="Q719" i="1"/>
  <c r="Q2287" i="1"/>
  <c r="Q1909" i="1"/>
  <c r="Q1518" i="1"/>
  <c r="Q2004" i="1"/>
  <c r="Q2231" i="1"/>
  <c r="Q1092" i="1"/>
  <c r="Q1959" i="1"/>
  <c r="Q1635" i="1"/>
  <c r="Q1201" i="1"/>
  <c r="Q398" i="1"/>
  <c r="Q2419" i="1"/>
  <c r="Q172" i="1"/>
  <c r="Q1524" i="1"/>
  <c r="Q113" i="1"/>
  <c r="Q1105" i="1"/>
  <c r="Q129" i="1"/>
  <c r="Q1637" i="1"/>
  <c r="Q2376" i="1"/>
  <c r="Q498" i="1"/>
  <c r="Q2523" i="1"/>
  <c r="Q2318" i="1"/>
  <c r="Q1299" i="1"/>
  <c r="Q2081" i="1"/>
  <c r="Q2480" i="1"/>
  <c r="Q824" i="1"/>
  <c r="Q1354" i="1"/>
  <c r="Q2230" i="1"/>
  <c r="Q103" i="1"/>
  <c r="Q2465" i="1"/>
  <c r="Q879" i="1"/>
  <c r="Q966" i="1"/>
  <c r="Q1055" i="1"/>
  <c r="Q2596" i="1"/>
  <c r="Q1012" i="1"/>
  <c r="Q1327" i="1"/>
  <c r="Q1575" i="1"/>
  <c r="Q1752" i="1"/>
  <c r="Q2169" i="1"/>
  <c r="Q399" i="1"/>
  <c r="Q1952" i="1"/>
  <c r="Q2512" i="1"/>
  <c r="Q1561" i="1"/>
  <c r="Q1210" i="1"/>
  <c r="Q2209" i="1"/>
  <c r="Q136" i="1"/>
  <c r="Q2158" i="1"/>
  <c r="Q170" i="1"/>
  <c r="Q1739" i="1"/>
  <c r="Q2186" i="1"/>
  <c r="Q242" i="1"/>
  <c r="Q2116" i="1"/>
  <c r="Q866" i="1"/>
  <c r="Q27" i="1"/>
  <c r="Q1839" i="1"/>
  <c r="Q2389" i="1"/>
  <c r="Q559" i="1"/>
  <c r="Q2361" i="1"/>
  <c r="Q895" i="1"/>
  <c r="Q1264" i="1"/>
  <c r="Q574" i="1"/>
  <c r="Q2295" i="1"/>
  <c r="Q602" i="1"/>
  <c r="Q1720" i="1"/>
  <c r="Q2175" i="1"/>
  <c r="Q1399" i="1"/>
  <c r="Q1426" i="1"/>
  <c r="Q2494" i="1"/>
  <c r="Q258" i="1"/>
  <c r="Q2282" i="1"/>
  <c r="Q595" i="1"/>
  <c r="Q922" i="1"/>
  <c r="Q1995" i="1"/>
  <c r="Q401" i="1"/>
  <c r="Q1475" i="1"/>
  <c r="Q184" i="1"/>
  <c r="Q2341" i="1"/>
  <c r="Q1480" i="1"/>
  <c r="Q1467" i="1"/>
  <c r="Q911" i="1"/>
  <c r="Q294" i="1"/>
  <c r="Q615" i="1"/>
  <c r="Q223" i="1"/>
  <c r="Q237" i="1"/>
  <c r="Q321" i="1"/>
  <c r="Q2401" i="1"/>
  <c r="Q308" i="1"/>
  <c r="Q7" i="1"/>
  <c r="Q100" i="1"/>
  <c r="Q2693" i="1"/>
  <c r="Q2071" i="1"/>
  <c r="Q2001" i="1"/>
  <c r="Q698" i="1"/>
  <c r="Q181" i="1"/>
  <c r="Q1490" i="1"/>
  <c r="Q2700" i="1"/>
  <c r="Q2162" i="1"/>
  <c r="Q29" i="1"/>
  <c r="Q454" i="1"/>
  <c r="Q997" i="1"/>
  <c r="Q848" i="1"/>
  <c r="Q1880" i="1"/>
  <c r="Q2410" i="1"/>
  <c r="Q1900" i="1"/>
  <c r="Q2360" i="1"/>
  <c r="Q369" i="1"/>
  <c r="Q980" i="1"/>
  <c r="Q1085" i="1"/>
  <c r="Q986" i="1"/>
  <c r="Q791" i="1"/>
  <c r="Q751" i="1"/>
  <c r="Q873" i="1"/>
  <c r="Q1070" i="1"/>
  <c r="Q511" i="1"/>
  <c r="Q1347" i="1"/>
  <c r="Q884" i="1"/>
  <c r="Q1392" i="1"/>
  <c r="Q1823" i="1"/>
  <c r="Q1779" i="1"/>
  <c r="Q1017" i="1"/>
  <c r="Q455" i="1"/>
  <c r="Q307" i="1"/>
  <c r="Q789" i="1"/>
  <c r="Q1756" i="1"/>
  <c r="Q2378" i="1"/>
  <c r="Q278" i="1"/>
  <c r="Q2426" i="1"/>
  <c r="Q2068" i="1"/>
  <c r="Q2038" i="1"/>
  <c r="Q2163" i="1"/>
  <c r="Q577" i="1"/>
  <c r="Q220" i="1"/>
  <c r="Q978" i="1"/>
  <c r="Q1939" i="1"/>
  <c r="Q1811" i="1"/>
  <c r="Q747" i="1"/>
  <c r="Q1473" i="1"/>
  <c r="Q483" i="1"/>
  <c r="Q273" i="1"/>
  <c r="Q1693" i="1"/>
  <c r="Q831" i="1"/>
  <c r="Q2491" i="1"/>
  <c r="Q2544" i="1"/>
  <c r="Q2625" i="1"/>
  <c r="Q1680" i="1"/>
  <c r="Q1325" i="1"/>
  <c r="Q1590" i="1"/>
  <c r="Q1230" i="1"/>
  <c r="Q2441" i="1"/>
  <c r="Q941" i="1"/>
  <c r="Q345" i="1"/>
  <c r="Q1743" i="1"/>
  <c r="Q1174" i="1"/>
  <c r="Q88" i="1"/>
  <c r="Q805" i="1"/>
  <c r="Q965" i="1"/>
  <c r="Q1579" i="1"/>
  <c r="Q1162" i="1"/>
  <c r="Q2016" i="1"/>
  <c r="Q1746" i="1"/>
  <c r="Q1411" i="1"/>
  <c r="Q2208" i="1"/>
  <c r="Q150" i="1"/>
  <c r="Q2446" i="1"/>
  <c r="Q2207" i="1"/>
  <c r="Q6" i="1"/>
  <c r="Q701" i="1"/>
  <c r="Q339" i="1"/>
  <c r="Q1254" i="1"/>
  <c r="Q194" i="1"/>
  <c r="Q10" i="1"/>
  <c r="Q166" i="1"/>
  <c r="Q525" i="1"/>
  <c r="Q1663" i="1"/>
  <c r="Q994" i="1"/>
  <c r="Q617" i="1"/>
  <c r="Q1671" i="1"/>
  <c r="Q1639" i="1"/>
  <c r="Q160" i="1"/>
  <c r="Q33" i="1"/>
  <c r="Q1280" i="1"/>
  <c r="Q1335" i="1"/>
  <c r="Q1421" i="1"/>
  <c r="Q372" i="1"/>
  <c r="Q2434" i="1"/>
  <c r="Q2261" i="1"/>
  <c r="Q2398" i="1"/>
  <c r="Q952" i="1"/>
  <c r="Q87" i="1"/>
  <c r="Q2374" i="1"/>
  <c r="Q1946" i="1"/>
  <c r="Q678" i="1"/>
  <c r="Q1169" i="1"/>
  <c r="Q1745" i="1"/>
  <c r="Q943" i="1"/>
  <c r="Q438" i="1"/>
  <c r="Q282" i="1"/>
  <c r="Q2590" i="1"/>
  <c r="Q276" i="1"/>
  <c r="Q1536" i="1"/>
  <c r="Q2301" i="1"/>
  <c r="Q118" i="1"/>
  <c r="Q23" i="1"/>
  <c r="Q1764" i="1"/>
  <c r="Q125" i="1"/>
  <c r="Q406" i="1"/>
  <c r="Q2644" i="1"/>
  <c r="Q936" i="1"/>
  <c r="Q493" i="1"/>
  <c r="Q1970" i="1"/>
  <c r="Q562" i="1"/>
  <c r="Q1439" i="1"/>
  <c r="Q414" i="1"/>
  <c r="Q1106" i="1"/>
  <c r="Q1086" i="1"/>
  <c r="Q1221" i="1"/>
  <c r="Q587" i="1"/>
  <c r="Q816" i="1"/>
  <c r="Q1650" i="1"/>
  <c r="Q1834" i="1"/>
  <c r="Q1225" i="1"/>
  <c r="Q92" i="1"/>
  <c r="Q2368" i="1"/>
  <c r="Q1897" i="1"/>
  <c r="Q2091" i="1"/>
  <c r="Q219" i="1"/>
  <c r="Q961" i="1"/>
  <c r="Q1259" i="1"/>
  <c r="Q465" i="1"/>
  <c r="Q119" i="1"/>
  <c r="Q1149" i="1"/>
  <c r="Q2159" i="1"/>
  <c r="Q756" i="1"/>
  <c r="Q2058" i="1"/>
  <c r="Q1250" i="1"/>
  <c r="Q120" i="1"/>
  <c r="Q731" i="1"/>
  <c r="Q461" i="1"/>
  <c r="Q645" i="1"/>
  <c r="Q451" i="1"/>
  <c r="Q247" i="1"/>
  <c r="Q267" i="1"/>
  <c r="Q2338" i="1"/>
  <c r="Q246" i="1"/>
  <c r="Q474" i="1"/>
  <c r="Q1400" i="1"/>
  <c r="Q2635" i="1"/>
  <c r="Q39" i="1"/>
  <c r="Q1775" i="1"/>
  <c r="Q1200" i="1"/>
  <c r="Q2594" i="1"/>
  <c r="Q2028" i="1"/>
  <c r="Q1562" i="1"/>
  <c r="Q509" i="1"/>
  <c r="Q1173" i="1"/>
  <c r="Q2067" i="1"/>
  <c r="Q1727" i="1"/>
  <c r="Q450" i="1"/>
  <c r="Q2400" i="1"/>
  <c r="Q2003" i="1"/>
  <c r="Q1077" i="1"/>
  <c r="Q1398" i="1"/>
  <c r="Q1396" i="1"/>
  <c r="Q878" i="1"/>
  <c r="Q261" i="1"/>
  <c r="Q588" i="1"/>
  <c r="Q2527" i="1"/>
  <c r="Q2455" i="1"/>
  <c r="Q1744" i="1"/>
  <c r="Q2133" i="1"/>
  <c r="Q2653" i="1"/>
  <c r="Q1185" i="1"/>
  <c r="Q1193" i="1"/>
  <c r="Q1991" i="1"/>
  <c r="Q1274" i="1"/>
  <c r="Q1402" i="1"/>
  <c r="Q2570" i="1"/>
  <c r="Q979" i="1"/>
  <c r="Q2545" i="1"/>
  <c r="Q2179" i="1"/>
  <c r="Q1599" i="1"/>
  <c r="Q2478" i="1"/>
  <c r="Q73" i="1"/>
  <c r="Q2564" i="1"/>
  <c r="Q2121" i="1"/>
  <c r="Q2224" i="1"/>
  <c r="Q1608" i="1"/>
  <c r="Q2427" i="1"/>
  <c r="Q1438" i="1"/>
  <c r="Q2307" i="1"/>
  <c r="Q1994" i="1"/>
  <c r="Q2586" i="1"/>
  <c r="Q2498" i="1"/>
  <c r="Q1027" i="1"/>
  <c r="Q1926" i="1"/>
  <c r="Q1493" i="1"/>
  <c r="Q670" i="1"/>
  <c r="Q1103" i="1"/>
  <c r="Q2105" i="1"/>
  <c r="Q243" i="1"/>
  <c r="Q1351" i="1"/>
  <c r="Q1215" i="1"/>
  <c r="Q813" i="1"/>
  <c r="Q2262" i="1"/>
  <c r="Q886" i="1"/>
  <c r="Q622" i="1"/>
  <c r="Q704" i="1"/>
  <c r="Q1359" i="1"/>
  <c r="Q445" i="1"/>
  <c r="Q2292" i="1"/>
  <c r="Q255" i="1"/>
  <c r="Q663" i="1"/>
  <c r="Q462" i="1"/>
  <c r="Q349" i="1"/>
  <c r="Q379" i="1"/>
  <c r="Q1120" i="1"/>
  <c r="Q1621" i="1"/>
  <c r="Q1813" i="1"/>
  <c r="Q2181" i="1"/>
  <c r="Q1110" i="1"/>
  <c r="Q335" i="1"/>
  <c r="Q1845" i="1"/>
  <c r="Q62" i="1"/>
  <c r="Q752" i="1"/>
  <c r="Q1339" i="1"/>
  <c r="Q650" i="1"/>
  <c r="Q121" i="1"/>
  <c r="Q2582" i="1"/>
  <c r="Q2688" i="1"/>
  <c r="Q2367" i="1"/>
  <c r="Q1175" i="1"/>
  <c r="Q2576" i="1"/>
  <c r="Q1011" i="1"/>
  <c r="Q2729" i="1"/>
  <c r="Q2299" i="1"/>
  <c r="Q1915" i="1"/>
  <c r="Q973" i="1"/>
  <c r="Q2712" i="1"/>
  <c r="Q2328" i="1"/>
  <c r="Q1667" i="1"/>
  <c r="Q1932" i="1"/>
  <c r="Q855" i="1"/>
  <c r="Q2216" i="1"/>
  <c r="Q1662" i="1"/>
  <c r="Q703" i="1"/>
  <c r="Q1644" i="1"/>
  <c r="Q2665" i="1"/>
  <c r="Q449" i="1"/>
  <c r="Q2640" i="1"/>
  <c r="Q1440" i="1"/>
  <c r="Q2598" i="1"/>
  <c r="Q1428" i="1"/>
  <c r="Q433" i="1"/>
  <c r="Q389" i="1"/>
  <c r="Q2144" i="1"/>
  <c r="Q2674" i="1"/>
  <c r="Q2264" i="1"/>
  <c r="Q2579" i="1"/>
  <c r="Q995" i="1"/>
  <c r="Q826" i="1"/>
  <c r="Q288" i="1"/>
  <c r="Q1046" i="1"/>
  <c r="Q420" i="1"/>
  <c r="Q102" i="1"/>
  <c r="Q1137" i="1"/>
  <c r="Q2032" i="1"/>
  <c r="Q2869" i="1"/>
  <c r="Q2880" i="1"/>
  <c r="Q2870" i="1"/>
  <c r="Q2884" i="1"/>
  <c r="Q1815" i="1"/>
  <c r="Q1314" i="1"/>
  <c r="Q2406" i="1"/>
  <c r="Q667" i="1"/>
  <c r="Q2739" i="1"/>
  <c r="Q1793" i="1"/>
  <c r="Q1231" i="1"/>
  <c r="Q391" i="1"/>
  <c r="Q1251" i="1"/>
  <c r="Q1246" i="1"/>
  <c r="Q5" i="1"/>
  <c r="Q2371" i="1"/>
  <c r="Q2305" i="1"/>
  <c r="Q263" i="1"/>
  <c r="Q1301" i="1"/>
  <c r="Q547" i="1"/>
  <c r="Q280" i="1"/>
  <c r="Q1602" i="1"/>
  <c r="Q2297" i="1"/>
  <c r="Q2324" i="1"/>
  <c r="Q218" i="1"/>
  <c r="Q2505" i="1"/>
  <c r="Q2705" i="1"/>
  <c r="Q1878" i="1"/>
  <c r="Q1511" i="1"/>
  <c r="Q2379" i="1"/>
  <c r="Q2727" i="1"/>
  <c r="Q1851" i="1"/>
  <c r="Q702" i="1"/>
  <c r="Q167" i="1"/>
  <c r="Q1694" i="1"/>
  <c r="Q544" i="1"/>
  <c r="Q277" i="1"/>
  <c r="Q1410" i="1"/>
  <c r="Q1523" i="1"/>
  <c r="Q1578" i="1"/>
  <c r="Q2555" i="1"/>
  <c r="Q1379" i="1"/>
  <c r="Q2569" i="1"/>
  <c r="Q2692" i="1"/>
  <c r="Q2672" i="1"/>
  <c r="Q214" i="1"/>
  <c r="Q554" i="1"/>
  <c r="Q2460" i="1"/>
  <c r="Q962" i="1"/>
  <c r="Q497" i="1"/>
  <c r="Q1689" i="1"/>
  <c r="Q2363" i="1"/>
  <c r="Q2331" i="1"/>
  <c r="Q1747" i="1"/>
  <c r="Q2056" i="1"/>
  <c r="Q2414" i="1"/>
  <c r="Q1977" i="1"/>
  <c r="Q344" i="1"/>
  <c r="Q2293" i="1"/>
  <c r="Q266" i="1"/>
  <c r="Q1535" i="1"/>
  <c r="Q1084" i="1"/>
  <c r="Q659" i="1"/>
  <c r="Q2221" i="1"/>
  <c r="Q2501" i="1"/>
  <c r="Q2022" i="1"/>
  <c r="Q896" i="1"/>
  <c r="Q2525" i="1"/>
  <c r="Q2211" i="1"/>
  <c r="Q1326" i="1"/>
  <c r="Q1930" i="1"/>
  <c r="Q1591" i="1"/>
  <c r="Q880" i="1"/>
  <c r="Q1510" i="1"/>
  <c r="Q112" i="1"/>
  <c r="Q2445" i="1"/>
  <c r="Q2012" i="1"/>
  <c r="Q1790" i="1"/>
  <c r="Q680" i="1"/>
  <c r="Q1332" i="1"/>
  <c r="Q2073" i="1"/>
  <c r="Q2127" i="1"/>
  <c r="Q439" i="1"/>
  <c r="Q1063" i="1"/>
  <c r="Q2548" i="1"/>
  <c r="Q229" i="1"/>
  <c r="Q2129" i="1"/>
  <c r="Q412" i="1"/>
  <c r="Q2100" i="1"/>
  <c r="Q2333" i="1"/>
  <c r="Q2321" i="1"/>
  <c r="Q1289" i="1"/>
  <c r="Q1005" i="1"/>
  <c r="Q2430" i="1"/>
  <c r="Q627" i="1"/>
  <c r="Q1568" i="1"/>
  <c r="Q191" i="1"/>
  <c r="Q190" i="1"/>
  <c r="Q238" i="1"/>
  <c r="Q315" i="1"/>
  <c r="Q1311" i="1"/>
  <c r="Q1373" i="1"/>
  <c r="Q1047" i="1"/>
  <c r="Q1414" i="1"/>
  <c r="Q2284" i="1"/>
  <c r="Q621" i="1"/>
  <c r="Q2232" i="1"/>
  <c r="Q1492" i="1"/>
  <c r="Q137" i="1"/>
  <c r="Q1461" i="1"/>
  <c r="Q1472" i="1"/>
  <c r="Q947" i="1"/>
  <c r="Q839" i="1"/>
  <c r="Q1194" i="1"/>
  <c r="Q983" i="1"/>
  <c r="Q1123" i="1"/>
  <c r="Q2595" i="1"/>
  <c r="Q1812" i="1"/>
  <c r="Q178" i="1"/>
  <c r="Q1879" i="1"/>
  <c r="Q739" i="1"/>
  <c r="Q940" i="1"/>
  <c r="Q1239" i="1"/>
  <c r="Q1393" i="1"/>
  <c r="Q683" i="1"/>
  <c r="Q647" i="1"/>
  <c r="Q2458" i="1"/>
  <c r="Q696" i="1"/>
  <c r="Q2393" i="1"/>
  <c r="Q2351" i="1"/>
  <c r="Q2099" i="1"/>
  <c r="Q614" i="1"/>
  <c r="Q2236" i="1"/>
  <c r="Q1041" i="1"/>
  <c r="Q130" i="1"/>
  <c r="Q1420" i="1"/>
  <c r="Q332" i="1"/>
  <c r="Q1540" i="1"/>
  <c r="Q329" i="1"/>
  <c r="Q101" i="1"/>
  <c r="Q682" i="1"/>
  <c r="Q2" i="1"/>
  <c r="Q2485" i="1"/>
  <c r="Q2278" i="1"/>
  <c r="Q2174" i="1"/>
  <c r="Q1378" i="1"/>
  <c r="Q2031" i="1"/>
  <c r="Q2313" i="1"/>
  <c r="Q2744" i="1"/>
  <c r="Q619" i="1"/>
  <c r="Q1957" i="1"/>
  <c r="Q1585" i="1"/>
  <c r="Q2273" i="1"/>
  <c r="Q916" i="1"/>
  <c r="Q812" i="1"/>
  <c r="Q542" i="1"/>
  <c r="Q36" i="1"/>
  <c r="Q1341" i="1"/>
  <c r="Q2395" i="1"/>
  <c r="Q1656" i="1"/>
  <c r="Q1901" i="1"/>
  <c r="Q1675" i="1"/>
  <c r="Q1522" i="1"/>
  <c r="Q1141" i="1"/>
  <c r="Q2442" i="1"/>
  <c r="Q1319" i="1"/>
  <c r="Q1412" i="1"/>
  <c r="Q1161" i="1"/>
  <c r="Q1726" i="1"/>
  <c r="Q1528" i="1"/>
  <c r="Q1789" i="1"/>
  <c r="Q2515" i="1"/>
  <c r="Q410" i="1"/>
  <c r="Q882" i="1"/>
  <c r="Q271" i="1"/>
  <c r="Q1636" i="1"/>
  <c r="Q142" i="1"/>
  <c r="Q1189" i="1"/>
  <c r="Q2566" i="1"/>
  <c r="Q2256" i="1"/>
  <c r="Q517" i="1"/>
  <c r="Q116" i="1"/>
  <c r="Q1683" i="1"/>
  <c r="Q1606" i="1"/>
  <c r="Q513" i="1"/>
  <c r="Q2476" i="1"/>
  <c r="Q1580" i="1"/>
  <c r="Q1117" i="1"/>
  <c r="Q1143" i="1"/>
  <c r="Q2585" i="1"/>
  <c r="Q927" i="1"/>
  <c r="Q629" i="1"/>
  <c r="Q1993" i="1"/>
  <c r="Q551" i="1"/>
  <c r="Q413" i="1"/>
  <c r="Q1456" i="1"/>
  <c r="Q482" i="1"/>
  <c r="Q1075" i="1"/>
  <c r="Q863" i="1"/>
  <c r="Q1967" i="1"/>
  <c r="Q1981" i="1"/>
  <c r="Q421" i="1"/>
  <c r="Q374" i="1"/>
  <c r="Q488" i="1"/>
  <c r="Q2535" i="1"/>
  <c r="Q1625" i="1"/>
  <c r="Q1841" i="1"/>
  <c r="Q1610" i="1"/>
  <c r="Q635" i="1"/>
  <c r="Q2135" i="1"/>
  <c r="Q2015" i="1"/>
  <c r="Q1818" i="1"/>
  <c r="Q582" i="1"/>
  <c r="Q1285" i="1"/>
  <c r="Q1039" i="1"/>
  <c r="Q1748" i="1"/>
  <c r="Q1962" i="1"/>
  <c r="Q1827" i="1"/>
  <c r="Q1484" i="1"/>
  <c r="Q628" i="1"/>
  <c r="Q49" i="1"/>
  <c r="Q1849" i="1"/>
  <c r="Q256" i="1"/>
  <c r="Q2736" i="1"/>
  <c r="Q1269" i="1"/>
  <c r="Q1385" i="1"/>
  <c r="Q1296" i="1"/>
  <c r="Q45" i="1"/>
  <c r="Q107" i="1"/>
  <c r="Q706" i="1"/>
  <c r="Q2559" i="1"/>
  <c r="Q592" i="1"/>
  <c r="Q1622" i="1"/>
  <c r="Q230" i="1"/>
  <c r="Q2184" i="1"/>
  <c r="Q26" i="1"/>
  <c r="Q2354" i="1"/>
  <c r="Q609" i="1"/>
  <c r="Q697" i="1"/>
  <c r="Q75" i="1"/>
  <c r="Q1192" i="1"/>
  <c r="Q35" i="1"/>
  <c r="Q1101" i="1"/>
  <c r="Q1950" i="1"/>
  <c r="Q2537" i="1"/>
  <c r="Q1294" i="1"/>
  <c r="Q2679" i="1"/>
  <c r="Q2462" i="1"/>
  <c r="Q1108" i="1"/>
  <c r="Q485" i="1"/>
  <c r="Q1708" i="1"/>
  <c r="Q1634" i="1"/>
  <c r="Q2304" i="1"/>
  <c r="Q1207" i="1"/>
  <c r="Q2085" i="1"/>
  <c r="Q2323" i="1"/>
  <c r="Q402" i="1"/>
  <c r="Q1711" i="1"/>
  <c r="Q496" i="1"/>
  <c r="Q724" i="1"/>
  <c r="Q674" i="1"/>
  <c r="Q2587" i="1"/>
  <c r="Q1997" i="1"/>
  <c r="Q1732" i="1"/>
  <c r="Q222" i="1"/>
  <c r="Q1742" i="1"/>
  <c r="Q128" i="1"/>
  <c r="Q1087" i="1"/>
  <c r="Q631" i="1"/>
  <c r="Q1452" i="1"/>
  <c r="Q1541" i="1"/>
  <c r="Q2113" i="1"/>
  <c r="Q2495" i="1"/>
  <c r="Q67" i="1"/>
  <c r="Q2317" i="1"/>
  <c r="Q1122" i="1"/>
  <c r="Q963" i="1"/>
  <c r="Q1404" i="1"/>
  <c r="Q1753" i="1"/>
  <c r="Q942" i="1"/>
  <c r="Q2547" i="1"/>
  <c r="Q2810" i="1"/>
  <c r="Q2812" i="1"/>
  <c r="Q2809" i="1"/>
  <c r="Q2853" i="1"/>
  <c r="Q2490" i="1"/>
  <c r="Q177" i="1"/>
  <c r="Q382" i="1"/>
  <c r="Q313" i="1"/>
  <c r="Q383" i="1"/>
  <c r="Q2658" i="1"/>
  <c r="Q1104" i="1"/>
  <c r="Q2467" i="1"/>
  <c r="Q453" i="1"/>
  <c r="Q750" i="1"/>
  <c r="Q2504" i="1"/>
  <c r="Q354" i="1"/>
  <c r="Q1317" i="1"/>
  <c r="Q964" i="1"/>
  <c r="Q1454" i="1"/>
  <c r="Q90" i="1"/>
  <c r="Q804" i="1"/>
  <c r="Q501" i="1"/>
  <c r="Q203" i="1"/>
  <c r="Q197" i="1"/>
  <c r="Q2686" i="1"/>
  <c r="Q1719" i="1"/>
  <c r="Q552" i="1"/>
  <c r="Q2461" i="1"/>
  <c r="Q2699" i="1"/>
  <c r="Q1653" i="1"/>
  <c r="Q2575" i="1"/>
  <c r="Q1034" i="1"/>
  <c r="Q1615" i="1"/>
  <c r="Q829" i="1"/>
  <c r="Q2538" i="1"/>
  <c r="Q1982" i="1"/>
  <c r="Q1310" i="1"/>
  <c r="Q2657" i="1"/>
  <c r="Q507" i="1"/>
  <c r="Q52" i="1"/>
  <c r="Q2748" i="1"/>
  <c r="Q1630" i="1"/>
  <c r="Q2294" i="1"/>
  <c r="Q2153" i="1"/>
  <c r="Q186" i="1"/>
  <c r="Q2659" i="1"/>
  <c r="Q2050" i="1"/>
  <c r="Q1109" i="1"/>
  <c r="Q2013" i="1"/>
  <c r="Q2302" i="1"/>
  <c r="Q2291" i="1"/>
  <c r="Q40" i="1"/>
  <c r="Q2168" i="1"/>
  <c r="Q794" i="1"/>
  <c r="Q228" i="1"/>
  <c r="Q690" i="1"/>
  <c r="Q2649" i="1"/>
  <c r="Q1723" i="1"/>
  <c r="Q204" i="1"/>
  <c r="Q1684" i="1"/>
  <c r="Q284" i="1"/>
  <c r="Q2095" i="1"/>
  <c r="Q929" i="1"/>
  <c r="Q2045" i="1"/>
  <c r="Q2629" i="1"/>
  <c r="Q807" i="1"/>
  <c r="Q1506" i="1"/>
  <c r="Q1873" i="1"/>
  <c r="Q2483" i="1"/>
  <c r="Q541" i="1"/>
  <c r="Q567" i="1"/>
  <c r="Q1852" i="1"/>
  <c r="Q568" i="1"/>
  <c r="Q1066" i="1"/>
  <c r="Q2080" i="1"/>
  <c r="Q355" i="1"/>
  <c r="Q899" i="1"/>
  <c r="Q1759" i="1"/>
  <c r="Q1559" i="1"/>
  <c r="Q1973" i="1"/>
  <c r="Q2647" i="1"/>
  <c r="Q110" i="1"/>
  <c r="Q141" i="1"/>
  <c r="Q2082" i="1"/>
  <c r="Q1526" i="1"/>
  <c r="Q849" i="1"/>
  <c r="Q2110" i="1"/>
  <c r="Q2325" i="1"/>
  <c r="Q566" i="1"/>
  <c r="Q903" i="1"/>
  <c r="Q2609" i="1"/>
  <c r="Q2399" i="1"/>
  <c r="Q380" i="1"/>
  <c r="Q971" i="1"/>
  <c r="Q66" i="1"/>
  <c r="Q2731" i="1"/>
  <c r="Q176" i="1"/>
  <c r="Q161" i="1"/>
  <c r="Q2087" i="1"/>
  <c r="Q1828" i="1"/>
  <c r="Q1469" i="1"/>
  <c r="Q84" i="1"/>
  <c r="Q82" i="1"/>
  <c r="Q745" i="1"/>
  <c r="Q1413" i="1"/>
  <c r="Q2417" i="1"/>
  <c r="Q1386" i="1"/>
  <c r="Q1447" i="1"/>
  <c r="Q1147" i="1"/>
  <c r="Q889" i="1"/>
  <c r="Q124" i="1"/>
  <c r="Q1862" i="1"/>
  <c r="Q259" i="1"/>
  <c r="Q1364" i="1"/>
  <c r="Q769" i="1"/>
  <c r="Q1576" i="1"/>
  <c r="Q2009" i="1"/>
  <c r="Q721" i="1"/>
  <c r="Q48" i="1"/>
  <c r="Q1516" i="1"/>
  <c r="Q563" i="1"/>
  <c r="Q1740" i="1"/>
  <c r="Q1139" i="1"/>
  <c r="Q154" i="1"/>
  <c r="Q1016" i="1"/>
  <c r="Q2459" i="1"/>
  <c r="Q636" i="1"/>
  <c r="Q1846" i="1"/>
  <c r="Q416" i="1"/>
  <c r="Q1209" i="1"/>
  <c r="Q1641" i="1"/>
  <c r="Q2213" i="1"/>
  <c r="Q853" i="1"/>
  <c r="Q1565" i="1"/>
  <c r="Q310" i="1"/>
  <c r="Q1459" i="1"/>
  <c r="Q2334" i="1"/>
  <c r="Q231" i="1"/>
  <c r="Q2454" i="1"/>
  <c r="Q1697" i="1"/>
  <c r="Q2509" i="1"/>
  <c r="Q2283" i="1"/>
  <c r="Q2546" i="1"/>
  <c r="Q2422" i="1"/>
  <c r="Q2611" i="1"/>
  <c r="Q2511" i="1"/>
  <c r="Q685" i="1"/>
  <c r="Q2474" i="1"/>
  <c r="Q1681" i="1"/>
  <c r="Q1670" i="1"/>
  <c r="Q86" i="1"/>
  <c r="Q353" i="1"/>
  <c r="Q1765" i="1"/>
  <c r="Q1270" i="1"/>
  <c r="Q1507" i="1"/>
  <c r="Q1996" i="1"/>
  <c r="Q241" i="1"/>
  <c r="Q624" i="1"/>
  <c r="Q2259" i="1"/>
  <c r="Q279" i="1"/>
  <c r="Q526" i="1"/>
  <c r="Q1825" i="1"/>
  <c r="Q662" i="1"/>
  <c r="Q1976" i="1"/>
  <c r="Q1425" i="1"/>
  <c r="Q371" i="1"/>
  <c r="Q1788" i="1"/>
  <c r="Q2362" i="1"/>
  <c r="Q1121" i="1"/>
  <c r="Q958" i="1"/>
  <c r="Q2521" i="1"/>
  <c r="Q571" i="1"/>
  <c r="Q1884" i="1"/>
  <c r="Q1649" i="1"/>
  <c r="Q768" i="1"/>
  <c r="Q561" i="1"/>
  <c r="Q183" i="1"/>
  <c r="Q2049" i="1"/>
  <c r="Q1214" i="1"/>
  <c r="Q1941" i="1"/>
  <c r="Q2557" i="1"/>
  <c r="Q1178" i="1"/>
  <c r="Q1972" i="1"/>
  <c r="Q2077" i="1"/>
  <c r="Q2228" i="1"/>
  <c r="Q381" i="1"/>
  <c r="Q41" i="1"/>
  <c r="Q1061" i="1"/>
  <c r="Q1557" i="1"/>
  <c r="Q2420" i="1"/>
  <c r="Q131" i="1"/>
  <c r="Q1001" i="1"/>
  <c r="Q950" i="1"/>
  <c r="Q1053" i="1"/>
  <c r="Q851" i="1"/>
  <c r="Q378" i="1"/>
  <c r="Q1375" i="1"/>
  <c r="Q2646" i="1"/>
  <c r="Q1596" i="1"/>
  <c r="Q988" i="1"/>
  <c r="Q2667" i="1"/>
  <c r="Q1802" i="1"/>
  <c r="Q754" i="1"/>
  <c r="Q1918" i="1"/>
  <c r="Q1931" i="1"/>
  <c r="Q2336" i="1"/>
  <c r="Q1100" i="1"/>
  <c r="Q2565" i="1"/>
  <c r="Q2252" i="1"/>
  <c r="Q1388" i="1"/>
  <c r="Q2026" i="1"/>
  <c r="Q442" i="1"/>
  <c r="Q2296" i="1"/>
  <c r="Q2241" i="1"/>
  <c r="Q1871" i="1"/>
  <c r="Q1090" i="1"/>
  <c r="Q1297" i="1"/>
  <c r="Q2737" i="1"/>
  <c r="Q2623" i="1"/>
  <c r="Q446" i="1"/>
  <c r="Q1391" i="1"/>
  <c r="Q1905" i="1"/>
  <c r="Q2655" i="1"/>
  <c r="Q671" i="1"/>
  <c r="Q262" i="1"/>
  <c r="Q217" i="1"/>
  <c r="Q2416" i="1"/>
  <c r="Q117" i="1"/>
  <c r="Q434" i="1"/>
  <c r="Q819" i="1"/>
  <c r="Q2397" i="1"/>
  <c r="Q430" i="1"/>
  <c r="Q2128" i="1"/>
  <c r="Q2217" i="1"/>
  <c r="Q1965" i="1"/>
  <c r="Q1125" i="1"/>
  <c r="Q1761" i="1"/>
  <c r="Q1737" i="1"/>
  <c r="Q2583" i="1"/>
  <c r="Q2543" i="1"/>
  <c r="Q2571" i="1"/>
  <c r="Q1135" i="1"/>
  <c r="Q357" i="1"/>
  <c r="Q2086" i="1"/>
  <c r="Q2743" i="1"/>
  <c r="Q1091" i="1"/>
  <c r="Q2734" i="1"/>
  <c r="Q1910" i="1"/>
  <c r="Q1618" i="1"/>
  <c r="Q2689" i="1"/>
  <c r="Q1235" i="1"/>
  <c r="Q1491" i="1"/>
  <c r="Q1992" i="1"/>
  <c r="Q1624" i="1"/>
  <c r="Q216" i="1"/>
  <c r="Q153" i="1"/>
  <c r="Q180" i="1"/>
  <c r="Q179" i="1"/>
  <c r="Q2220" i="1"/>
  <c r="Q1349" i="1"/>
  <c r="Q1913" i="1"/>
  <c r="Q2020" i="1"/>
  <c r="Q1487" i="1"/>
  <c r="Q785" i="1"/>
  <c r="Q324" i="1"/>
  <c r="Q323" i="1"/>
  <c r="Q1095" i="1"/>
  <c r="Q1657" i="1"/>
  <c r="Q1389" i="1"/>
  <c r="Q42" i="1"/>
  <c r="Q1228" i="1"/>
  <c r="Q959" i="1"/>
  <c r="Q1814" i="1"/>
  <c r="Q931" i="1"/>
  <c r="Q1504" i="1"/>
  <c r="Q2177" i="1"/>
  <c r="Q12" i="1"/>
  <c r="Q828" i="1"/>
  <c r="Q1056" i="1"/>
  <c r="Q1661" i="1"/>
  <c r="Q1358" i="1"/>
  <c r="Q2288" i="1"/>
  <c r="Q189" i="1"/>
  <c r="Q771" i="1"/>
  <c r="Q2682" i="1"/>
  <c r="Q2438" i="1"/>
  <c r="Q198" i="1"/>
  <c r="Q1696" i="1"/>
  <c r="Q925" i="1"/>
  <c r="Q960" i="1"/>
  <c r="Q1260" i="1"/>
  <c r="Q1844" i="1"/>
  <c r="Q915" i="1"/>
  <c r="Q65" i="1"/>
  <c r="Q299" i="1"/>
  <c r="Q2178" i="1"/>
  <c r="Q1889" i="1"/>
  <c r="Q901" i="1"/>
  <c r="Q906" i="1"/>
  <c r="Q1956" i="1"/>
  <c r="Q626" i="1"/>
  <c r="Q2180" i="1"/>
  <c r="Q2392" i="1"/>
  <c r="Q364" i="1"/>
  <c r="Q1881" i="1"/>
  <c r="Q1969" i="1"/>
  <c r="Q1799" i="1"/>
  <c r="Q1369" i="1"/>
  <c r="Q2612" i="1"/>
  <c r="Q1800" i="1"/>
  <c r="Q1755" i="1"/>
  <c r="Q418" i="1"/>
  <c r="Q985" i="1"/>
  <c r="Q573" i="1"/>
  <c r="Q1988" i="1"/>
  <c r="Q2418" i="1"/>
  <c r="Q1000" i="1"/>
  <c r="Q452" i="1"/>
  <c r="Q2251" i="1"/>
  <c r="Q2358" i="1"/>
  <c r="Q473" i="1"/>
  <c r="Q1627" i="1"/>
  <c r="Q1468" i="1"/>
  <c r="Q1199" i="1"/>
  <c r="Q19" i="1"/>
  <c r="Q1894" i="1"/>
  <c r="Q1705" i="1"/>
  <c r="Q2005" i="1"/>
  <c r="Q1617" i="1"/>
  <c r="Q1896" i="1"/>
  <c r="Q540" i="1"/>
  <c r="Q2008" i="1"/>
  <c r="Q1570" i="1"/>
  <c r="Q897" i="1"/>
  <c r="Q1975" i="1"/>
  <c r="Q1883" i="1"/>
  <c r="Q394" i="1"/>
  <c r="Q47" i="1"/>
  <c r="Q946" i="1"/>
  <c r="Q600" i="1"/>
  <c r="Q2246" i="1"/>
  <c r="Q887" i="1"/>
  <c r="Q2448" i="1"/>
  <c r="Q957" i="1"/>
  <c r="Q252" i="1"/>
  <c r="Q569" i="1"/>
  <c r="Q1424" i="1"/>
  <c r="Q1376" i="1"/>
  <c r="Q2396" i="1"/>
  <c r="Q43" i="1"/>
  <c r="Q1409" i="1"/>
  <c r="Q1190" i="1"/>
  <c r="Q1822" i="1"/>
  <c r="Q1623" i="1"/>
  <c r="Q1978" i="1"/>
  <c r="Q1334" i="1"/>
  <c r="Q1431" i="1"/>
  <c r="Q1435" i="1"/>
  <c r="Q1601" i="1"/>
  <c r="Q2552" i="1"/>
  <c r="Q2233" i="1"/>
  <c r="Q1928" i="1"/>
  <c r="Q1571" i="1"/>
  <c r="Q2024" i="1"/>
  <c r="Q2440" i="1"/>
  <c r="Q976" i="1"/>
  <c r="Q546" i="1"/>
  <c r="Q1629" i="1"/>
  <c r="Q1772" i="1"/>
  <c r="Q1892" i="1"/>
  <c r="Q1156" i="1"/>
  <c r="Q1072" i="1"/>
  <c r="Q481" i="1"/>
  <c r="Q1186" i="1"/>
  <c r="Q1142" i="1"/>
  <c r="Q655" i="1"/>
  <c r="Q2429" i="1"/>
  <c r="Q1366" i="1"/>
  <c r="Q105" i="1"/>
  <c r="Q314" i="1"/>
  <c r="Q1014" i="1"/>
  <c r="Q1372" i="1"/>
  <c r="Q2663" i="1"/>
  <c r="Q1987" i="1"/>
  <c r="Q1344" i="1"/>
  <c r="Q876" i="1"/>
  <c r="Q1028" i="1"/>
  <c r="Q2316" i="1"/>
  <c r="Q254" i="1"/>
  <c r="Q1607" i="1"/>
  <c r="Q1434" i="1"/>
  <c r="Q1258" i="1"/>
  <c r="Q1036" i="1"/>
  <c r="Q2610" i="1"/>
  <c r="Q151" i="1"/>
  <c r="Q718" i="1"/>
  <c r="Q459" i="1"/>
  <c r="Q859" i="1"/>
  <c r="Q723" i="1"/>
  <c r="Q1929" i="1"/>
  <c r="Q1322" i="1"/>
  <c r="Q1007" i="1"/>
  <c r="Q2332" i="1"/>
  <c r="Q1032" i="1"/>
  <c r="Q1265" i="1"/>
  <c r="Q686" i="1"/>
  <c r="Q850" i="1"/>
  <c r="Q1204" i="1"/>
  <c r="Q1093" i="1"/>
  <c r="Q358" i="1"/>
  <c r="Q1821" i="1"/>
  <c r="Q2059" i="1"/>
  <c r="Q2600" i="1"/>
  <c r="Q1370" i="1"/>
  <c r="Q1750" i="1"/>
  <c r="Q2637" i="1"/>
  <c r="Q825" i="1"/>
  <c r="Q874" i="1"/>
  <c r="Q664" i="1"/>
  <c r="Q730" i="1"/>
  <c r="Q1292" i="1"/>
  <c r="Q900" i="1"/>
  <c r="Q608" i="1"/>
  <c r="Q1196" i="1"/>
  <c r="Q1025" i="1"/>
  <c r="Q1685" i="1"/>
  <c r="Q599" i="1"/>
  <c r="Q1018" i="1"/>
  <c r="Q1094" i="1"/>
  <c r="Q2132" i="1"/>
  <c r="Q693" i="1"/>
  <c r="Q298" i="1"/>
  <c r="Q1831" i="1"/>
  <c r="Q249" i="1"/>
  <c r="Q840" i="1"/>
  <c r="Q2249" i="1"/>
  <c r="Q538" i="1"/>
  <c r="Q359" i="1"/>
  <c r="Q1146" i="1"/>
  <c r="Q2381" i="1"/>
  <c r="Q2503" i="1"/>
  <c r="Q1754" i="1"/>
  <c r="Q1829" i="1"/>
  <c r="Q436" i="1"/>
  <c r="Q2357" i="1"/>
  <c r="Q1465" i="1"/>
  <c r="Q1390" i="1"/>
  <c r="Q1819" i="1"/>
  <c r="Q2225" i="1"/>
  <c r="Q2484" i="1"/>
  <c r="Q1908" i="1"/>
  <c r="Q1810" i="1"/>
  <c r="Q2255" i="1"/>
  <c r="Q2018" i="1"/>
  <c r="Q1374" i="1"/>
  <c r="Q472" i="1"/>
  <c r="Q1728" i="1"/>
  <c r="Q761" i="1"/>
  <c r="Q1917" i="1"/>
  <c r="Q1521" i="1"/>
  <c r="Q2496" i="1"/>
  <c r="Q2146" i="1"/>
  <c r="Q1242" i="1"/>
  <c r="Q2386" i="1"/>
  <c r="Q17" i="1"/>
  <c r="Q193" i="1"/>
  <c r="Q1167" i="1"/>
  <c r="Q1160" i="1"/>
  <c r="Q348" i="1"/>
  <c r="Q1083" i="1"/>
  <c r="Q1048" i="1"/>
  <c r="Q1906" i="1"/>
  <c r="Q2060" i="1"/>
  <c r="Q2553" i="1"/>
  <c r="Q2444" i="1"/>
  <c r="Q1658" i="1"/>
  <c r="Q892" i="1"/>
  <c r="Q1243" i="1"/>
  <c r="Q1312" i="1"/>
  <c r="Q1368" i="1"/>
  <c r="Q2190" i="1"/>
  <c r="Q429" i="1"/>
  <c r="Q510" i="1"/>
  <c r="Q2148" i="1"/>
  <c r="Q106" i="1"/>
  <c r="Q468" i="1"/>
  <c r="Q226" i="1"/>
  <c r="Q327" i="1"/>
  <c r="Q1361" i="1"/>
  <c r="Q4" i="1"/>
  <c r="Q34" i="1"/>
  <c r="Q1427" i="1"/>
  <c r="Q18" i="1"/>
  <c r="Q1676" i="1"/>
  <c r="Q149" i="1"/>
  <c r="Q2938" i="1"/>
  <c r="Q2939" i="1"/>
  <c r="Q2936" i="1"/>
  <c r="Q2937" i="1"/>
  <c r="Q1869" i="1"/>
  <c r="Q1613" i="1"/>
  <c r="Q2670" i="1"/>
  <c r="Q248" i="1"/>
  <c r="Q2746" i="1"/>
  <c r="Q2084" i="1"/>
  <c r="Q2751" i="1"/>
  <c r="Q817" i="1"/>
  <c r="Q772" i="1"/>
  <c r="Q13" i="1"/>
  <c r="Q1152" i="1"/>
  <c r="Q1076" i="1"/>
  <c r="Q1116" i="1"/>
  <c r="Q2652" i="1"/>
  <c r="Q954" i="1"/>
  <c r="Q1022" i="1"/>
  <c r="Q1276" i="1"/>
  <c r="Q996" i="1"/>
  <c r="Q902" i="1"/>
  <c r="Q1067" i="1"/>
  <c r="Q516" i="1"/>
  <c r="Q2592" i="1"/>
  <c r="Q555" i="1"/>
  <c r="Q2157" i="1"/>
  <c r="Q2052" i="1"/>
  <c r="Q2630" i="1"/>
  <c r="Q1885" i="1"/>
  <c r="Q2634" i="1"/>
  <c r="Q1888" i="1"/>
  <c r="Q658" i="1"/>
  <c r="Q835" i="1"/>
  <c r="Q786" i="1"/>
  <c r="Q2069" i="1"/>
  <c r="Q195" i="1"/>
  <c r="Q2556" i="1"/>
  <c r="Q470" i="1"/>
  <c r="Q1267" i="1"/>
  <c r="Q534" i="1"/>
  <c r="Q830" i="1"/>
  <c r="Q1451" i="1"/>
  <c r="Q969" i="1"/>
  <c r="Q2140" i="1"/>
  <c r="Q1446" i="1"/>
  <c r="Q2757" i="1"/>
  <c r="Q968" i="1"/>
  <c r="Q240" i="1"/>
  <c r="Q1240" i="1"/>
  <c r="Q1040" i="1"/>
  <c r="Q162" i="1"/>
  <c r="Q387" i="1"/>
  <c r="Q764" i="1"/>
  <c r="Q341" i="1"/>
  <c r="Q1958" i="1"/>
  <c r="Q2456" i="1"/>
  <c r="Q1013" i="1"/>
  <c r="Q630" i="1"/>
  <c r="Q1408" i="1"/>
  <c r="Q1159" i="1"/>
  <c r="Q1553" i="1"/>
  <c r="Q2131" i="1"/>
  <c r="Q1533" i="1"/>
  <c r="Q1288" i="1"/>
  <c r="Q477" i="1"/>
  <c r="Q1098" i="1"/>
  <c r="Q1943" i="1"/>
  <c r="Q594" i="1"/>
  <c r="Q2710" i="1"/>
  <c r="Q1538" i="1"/>
  <c r="Q2660" i="1"/>
  <c r="Q726" i="1"/>
  <c r="Q2563" i="1"/>
  <c r="Q2195" i="1"/>
  <c r="Q539" i="1"/>
  <c r="Q2044" i="1"/>
  <c r="Q1462" i="1"/>
  <c r="Q1605" i="1"/>
  <c r="Q649" i="1"/>
  <c r="Q2696" i="1"/>
  <c r="Q1357" i="1"/>
  <c r="Q1203" i="1"/>
  <c r="Q675" i="1"/>
  <c r="Q2678" i="1"/>
  <c r="Q1500" i="1"/>
  <c r="Q1303" i="1"/>
  <c r="Q1429" i="1"/>
  <c r="Q2541" i="1"/>
  <c r="Q2526" i="1"/>
  <c r="Q57" i="1"/>
  <c r="Q393" i="1"/>
  <c r="Q885" i="1"/>
  <c r="Q2622" i="1"/>
  <c r="Q56" i="1"/>
  <c r="Q2409" i="1"/>
  <c r="Q1907" i="1"/>
  <c r="Q209" i="1"/>
  <c r="Q1002" i="1"/>
  <c r="Q737" i="1"/>
  <c r="Q2173" i="1"/>
  <c r="Q841" i="1"/>
  <c r="Q1782" i="1"/>
  <c r="Q1832" i="1"/>
  <c r="Q894" i="1"/>
  <c r="Q1560" i="1"/>
  <c r="Q2591" i="1"/>
  <c r="Q77" i="1"/>
  <c r="Q869" i="1"/>
  <c r="Q1371" i="1"/>
  <c r="Q1530" i="1"/>
  <c r="Q852" i="1"/>
  <c r="Q2345" i="1"/>
  <c r="Q2027" i="1"/>
  <c r="Q720" i="1"/>
  <c r="Q1197" i="1"/>
  <c r="Q396" i="1"/>
  <c r="Q1983" i="1"/>
  <c r="Q2738" i="1"/>
  <c r="Q1044" i="1"/>
  <c r="Q157" i="1"/>
  <c r="Q1343" i="1"/>
  <c r="Q1099" i="1"/>
  <c r="Q939" i="1"/>
  <c r="Q1792" i="1"/>
  <c r="Q1817" i="1"/>
  <c r="Q15" i="1"/>
  <c r="Q777" i="1"/>
  <c r="Q530" i="1"/>
  <c r="Q1583" i="1"/>
  <c r="Q844" i="1"/>
  <c r="Q1519" i="1"/>
  <c r="Q1847" i="1"/>
  <c r="Q802" i="1"/>
  <c r="Q870" i="1"/>
  <c r="Q2641" i="1"/>
  <c r="Q2567" i="1"/>
  <c r="Q722" i="1"/>
  <c r="Q2154" i="1"/>
  <c r="Q1628" i="1"/>
  <c r="Q2047" i="1"/>
  <c r="Q1113" i="1"/>
  <c r="Q2470" i="1"/>
  <c r="Q2214" i="1"/>
  <c r="Q316" i="1"/>
  <c r="Q993" i="1"/>
  <c r="Q2385" i="1"/>
  <c r="Q236" i="1"/>
  <c r="Q2123" i="1"/>
  <c r="Q890" i="1"/>
  <c r="Q2271" i="1"/>
  <c r="Q606" i="1"/>
  <c r="Q443" i="1"/>
  <c r="Q742" i="1"/>
  <c r="Q28" i="1"/>
  <c r="Q362" i="1"/>
  <c r="Q708" i="1"/>
  <c r="Q2075" i="1"/>
  <c r="Q127" i="1"/>
  <c r="Q165" i="1"/>
  <c r="Q1806" i="1"/>
  <c r="Q1360" i="1"/>
  <c r="Q604" i="1"/>
  <c r="Q2329" i="1"/>
  <c r="Q1673" i="1"/>
  <c r="Q1102" i="1"/>
  <c r="Q257" i="1"/>
  <c r="Q351" i="1"/>
  <c r="Q909" i="1"/>
  <c r="Q809" i="1"/>
  <c r="Q309" i="1"/>
  <c r="Q2139" i="1"/>
  <c r="Q79" i="1"/>
  <c r="Q1773" i="1"/>
  <c r="Q290" i="1"/>
  <c r="Q2482" i="1"/>
  <c r="Q2412" i="1"/>
  <c r="Q2335" i="1"/>
  <c r="Q331" i="1"/>
  <c r="Q1626" i="1"/>
  <c r="Q68" i="1"/>
  <c r="Q727" i="1"/>
  <c r="Q1256" i="1"/>
  <c r="Q1281" i="1"/>
  <c r="Q2621" i="1"/>
  <c r="Q1785" i="1"/>
  <c r="Q798" i="1"/>
  <c r="Q2369" i="1"/>
  <c r="Q1184" i="1"/>
  <c r="Q1872" i="1"/>
  <c r="Q1826" i="1"/>
  <c r="Q1218" i="1"/>
  <c r="Q2141" i="1"/>
  <c r="Q531" i="1"/>
  <c r="Q253" i="1"/>
  <c r="Q1436" i="1"/>
  <c r="Q2258" i="1"/>
  <c r="Q1717" i="1"/>
  <c r="Q385" i="1"/>
  <c r="Q2268" i="1"/>
  <c r="Q1531" i="1"/>
  <c r="Q1444" i="1"/>
  <c r="Q1441" i="1"/>
  <c r="Q1124" i="1"/>
  <c r="Q2120" i="1"/>
  <c r="Q776" i="1"/>
  <c r="Q1437" i="1"/>
  <c r="Q1598" i="1"/>
  <c r="Q2675" i="1"/>
  <c r="Q1860" i="1"/>
  <c r="Q2063" i="1"/>
  <c r="Q2017" i="1"/>
  <c r="Q322" i="1"/>
  <c r="Q91" i="1"/>
  <c r="Q1770" i="1"/>
  <c r="Q820" i="1"/>
  <c r="Q2151" i="1"/>
  <c r="Q1703" i="1"/>
  <c r="Q1291" i="1"/>
  <c r="Q1725" i="1"/>
  <c r="Q838" i="1"/>
  <c r="Q1129" i="1"/>
  <c r="Q556" i="1"/>
  <c r="Q2000" i="1"/>
  <c r="Q2536" i="1"/>
  <c r="Q603" i="1"/>
  <c r="Q1501" i="1"/>
  <c r="Q2695" i="1"/>
  <c r="Q1933" i="1"/>
  <c r="Q1758" i="1"/>
  <c r="Q1751" i="1"/>
  <c r="Q1620" i="1"/>
  <c r="Q1701" i="1"/>
  <c r="Q1227" i="1"/>
  <c r="Q749" i="1"/>
  <c r="Q264" i="1"/>
  <c r="Q1979" i="1"/>
  <c r="Q2046" i="1"/>
  <c r="Q2466" i="1"/>
  <c r="Q2624" i="1"/>
  <c r="Q537" i="1"/>
  <c r="Q2428" i="1"/>
  <c r="Q2702" i="1"/>
  <c r="Q293" i="1"/>
  <c r="Q156" i="1"/>
  <c r="Q504" i="1"/>
  <c r="Q2097" i="1"/>
  <c r="Q1948" i="1"/>
  <c r="Q173" i="1"/>
  <c r="Q1321" i="1"/>
  <c r="Q1700" i="1"/>
  <c r="Q1202" i="1"/>
  <c r="Q1525" i="1"/>
  <c r="Q862" i="1"/>
  <c r="Q376" i="1"/>
  <c r="Q905" i="1"/>
  <c r="Q1114" i="1"/>
  <c r="Q11" i="1"/>
  <c r="Q16" i="1"/>
  <c r="Q779" i="1"/>
  <c r="Q368" i="1"/>
  <c r="Q508" i="1"/>
  <c r="Q2431" i="1"/>
  <c r="Q1784" i="1"/>
  <c r="Q1171" i="1"/>
  <c r="Q1241" i="1"/>
  <c r="Q2519" i="1"/>
  <c r="Q1154" i="1"/>
  <c r="Q871" i="1"/>
  <c r="Q1031" i="1"/>
  <c r="Q268" i="1"/>
  <c r="Q638" i="1"/>
  <c r="Q1961" i="1"/>
  <c r="Q1774" i="1"/>
  <c r="Q2487" i="1"/>
  <c r="Q2666" i="1"/>
  <c r="Q907" i="1"/>
  <c r="Q2048" i="1"/>
  <c r="Q712" i="1"/>
  <c r="Q302" i="1"/>
  <c r="Q1899" i="1"/>
  <c r="Q1180" i="1"/>
  <c r="Q1564" i="1"/>
  <c r="Q2103" i="1"/>
  <c r="Q188" i="1"/>
  <c r="Q1912" i="1"/>
  <c r="Q611" i="1"/>
  <c r="Q1616" i="1"/>
  <c r="Q2111" i="1"/>
  <c r="Q275" i="1"/>
  <c r="Q1803" i="1"/>
  <c r="Q2364" i="1"/>
  <c r="Q479" i="1"/>
  <c r="Q212" i="1"/>
  <c r="Q2270" i="1"/>
  <c r="Q1904" i="1"/>
  <c r="Q1023" i="1"/>
  <c r="Q201" i="1"/>
  <c r="Q2149" i="1"/>
  <c r="Q810" i="1"/>
  <c r="Q2171" i="1"/>
  <c r="Q700" i="1"/>
  <c r="Q330" i="1"/>
  <c r="Q2147" i="1"/>
  <c r="Q2632" i="1"/>
  <c r="Q2094" i="1"/>
  <c r="Q1216" i="1"/>
  <c r="Q419" i="1"/>
  <c r="Q1989" i="1"/>
  <c r="Q164" i="1"/>
  <c r="Q1707" i="1"/>
  <c r="Q755" i="1"/>
  <c r="Q2533" i="1"/>
  <c r="Q215" i="1"/>
  <c r="Q486" i="1"/>
  <c r="Q1877" i="1"/>
  <c r="L3102" i="1"/>
  <c r="L3103" i="1"/>
  <c r="L3104" i="1"/>
  <c r="L3105" i="1"/>
  <c r="L3106" i="1"/>
  <c r="L3107" i="1"/>
  <c r="L3108" i="1"/>
  <c r="A3109" i="1"/>
  <c r="L3109" i="1"/>
  <c r="L3111" i="1"/>
  <c r="L3110" i="1"/>
  <c r="AH17" i="4"/>
  <c r="AH18" i="4"/>
  <c r="AH19" i="4"/>
  <c r="AH20" i="4"/>
  <c r="AH21" i="4"/>
  <c r="AH22" i="4"/>
  <c r="AH23" i="4"/>
  <c r="AH24" i="4"/>
  <c r="AH25" i="4"/>
  <c r="BB17" i="4"/>
  <c r="BB18" i="4"/>
  <c r="BB19" i="4"/>
  <c r="BB20" i="4"/>
  <c r="BB21" i="4"/>
  <c r="BB22" i="4"/>
  <c r="BB23" i="4"/>
  <c r="BB24" i="4"/>
  <c r="BB25" i="4"/>
  <c r="BB26" i="4"/>
  <c r="BB27" i="4"/>
  <c r="AR17" i="4"/>
  <c r="AR18" i="4"/>
  <c r="AR19" i="4"/>
  <c r="AR20" i="4"/>
  <c r="D10" i="4"/>
  <c r="AW17" i="4"/>
  <c r="AW18" i="4"/>
  <c r="D11" i="4"/>
  <c r="D8" i="4"/>
  <c r="BL7" i="4"/>
  <c r="AC151" i="9"/>
  <c r="AD150" i="5"/>
  <c r="AG148" i="9"/>
  <c r="BA148" i="9"/>
  <c r="AD150" i="9"/>
  <c r="AE149" i="5"/>
  <c r="AF147" i="9"/>
  <c r="AF151" i="9"/>
  <c r="AG150" i="5"/>
  <c r="L3112" i="1"/>
  <c r="D12" i="4"/>
  <c r="D6" i="4"/>
  <c r="L3113" i="1"/>
  <c r="A3114" i="1"/>
  <c r="AG147" i="5"/>
  <c r="BB147" i="5"/>
  <c r="BA147" i="9"/>
  <c r="L3114" i="1"/>
  <c r="L3115" i="1"/>
  <c r="A3116" i="1"/>
  <c r="L3116" i="1"/>
  <c r="L3117" i="1"/>
  <c r="L3118" i="1"/>
  <c r="L3156" i="1" l="1"/>
  <c r="C142" i="8"/>
  <c r="I142" i="8"/>
  <c r="G10" i="8"/>
  <c r="I53" i="8"/>
  <c r="K146" i="8"/>
  <c r="K154" i="8" s="1"/>
  <c r="K145" i="8"/>
  <c r="J109" i="8"/>
  <c r="F82" i="8"/>
  <c r="F5" i="8"/>
  <c r="G21" i="8"/>
  <c r="J38" i="8"/>
  <c r="G38" i="8"/>
  <c r="C38" i="8"/>
  <c r="F38" i="8"/>
  <c r="E38" i="8"/>
  <c r="H38" i="8"/>
  <c r="H29" i="8"/>
  <c r="L29" i="8"/>
  <c r="I29" i="8"/>
  <c r="F135" i="8"/>
  <c r="J135" i="8"/>
  <c r="I80" i="8"/>
  <c r="D105" i="8"/>
  <c r="G105" i="8"/>
  <c r="J105" i="8"/>
  <c r="H83" i="8"/>
  <c r="J83" i="8"/>
  <c r="J142" i="8"/>
  <c r="D142" i="8"/>
  <c r="F80" i="8"/>
  <c r="F150" i="8" s="1"/>
  <c r="O8" i="11" s="1"/>
  <c r="E142" i="8"/>
  <c r="E153" i="8" s="1"/>
  <c r="K9" i="11" s="1"/>
  <c r="C118" i="8"/>
  <c r="C10" i="8"/>
  <c r="G64" i="8"/>
  <c r="G23" i="8"/>
  <c r="G53" i="8"/>
  <c r="H4" i="8"/>
  <c r="H146" i="8" s="1"/>
  <c r="H154" i="8" s="1"/>
  <c r="C54" i="8"/>
  <c r="D111" i="8"/>
  <c r="G103" i="8"/>
  <c r="G90" i="8"/>
  <c r="G25" i="8"/>
  <c r="G50" i="8"/>
  <c r="L3128" i="1"/>
  <c r="A3129" i="1"/>
  <c r="F153" i="8"/>
  <c r="Q9" i="11" s="1"/>
  <c r="L146" i="8"/>
  <c r="L154" i="8" s="1"/>
  <c r="F152" i="8"/>
  <c r="O9" i="11" s="1"/>
  <c r="I146" i="8"/>
  <c r="I154" i="8" s="1"/>
  <c r="L145" i="8"/>
  <c r="F151" i="8"/>
  <c r="Q8" i="11" s="1"/>
  <c r="F148" i="8"/>
  <c r="O7" i="11" s="1"/>
  <c r="F146" i="8"/>
  <c r="I145" i="8"/>
  <c r="D146" i="8"/>
  <c r="L3157" i="1" l="1"/>
  <c r="A3158" i="1"/>
  <c r="F145" i="8"/>
  <c r="F149" i="8"/>
  <c r="Q7" i="11" s="1"/>
  <c r="D153" i="8"/>
  <c r="E9" i="11" s="1"/>
  <c r="E150" i="8"/>
  <c r="I8" i="11" s="1"/>
  <c r="C150" i="8"/>
  <c r="D145" i="8"/>
  <c r="D149" i="8"/>
  <c r="E7" i="11" s="1"/>
  <c r="D150" i="8"/>
  <c r="C8" i="11" s="1"/>
  <c r="D151" i="8"/>
  <c r="E8" i="11" s="1"/>
  <c r="J145" i="8"/>
  <c r="E152" i="8"/>
  <c r="I9" i="11" s="1"/>
  <c r="E146" i="8"/>
  <c r="C145" i="8"/>
  <c r="C146" i="8"/>
  <c r="C153" i="8"/>
  <c r="C148" i="8"/>
  <c r="C151" i="8"/>
  <c r="C152" i="8"/>
  <c r="C149" i="8"/>
  <c r="J146" i="8"/>
  <c r="J154" i="8" s="1"/>
  <c r="E149" i="8"/>
  <c r="K7" i="11" s="1"/>
  <c r="E148" i="8"/>
  <c r="I7" i="11" s="1"/>
  <c r="E151" i="8"/>
  <c r="K8" i="11" s="1"/>
  <c r="E145" i="8"/>
  <c r="E154" i="8" s="1"/>
  <c r="D148" i="8"/>
  <c r="C7" i="11" s="1"/>
  <c r="D152" i="8"/>
  <c r="C9" i="11" s="1"/>
  <c r="G150" i="8"/>
  <c r="E10" i="11"/>
  <c r="E21" i="11" s="1"/>
  <c r="D154" i="8"/>
  <c r="H145" i="8"/>
  <c r="G148" i="8"/>
  <c r="G153" i="8"/>
  <c r="G146" i="8"/>
  <c r="G145" i="8"/>
  <c r="G151" i="8"/>
  <c r="G149" i="8"/>
  <c r="G152" i="8"/>
  <c r="L3129" i="1"/>
  <c r="Q10" i="11"/>
  <c r="Q21" i="11" s="1"/>
  <c r="F154" i="8"/>
  <c r="L3158" i="1" l="1"/>
  <c r="A3159" i="1"/>
  <c r="C154" i="8"/>
  <c r="K10" i="11"/>
  <c r="K21" i="11" s="1"/>
  <c r="G154" i="8"/>
  <c r="L3130" i="1"/>
  <c r="A3131" i="1"/>
  <c r="L3159" i="1" l="1"/>
  <c r="A3160" i="1"/>
  <c r="L3160" i="1" s="1"/>
  <c r="L3131" i="1"/>
  <c r="L3132" i="1" l="1"/>
  <c r="A3133" i="1"/>
  <c r="L3133" i="1" l="1"/>
  <c r="L3134" i="1" l="1"/>
  <c r="L3135" i="1" l="1"/>
  <c r="L3136" i="1" l="1"/>
  <c r="L3137" i="1" l="1"/>
  <c r="A3138" i="1"/>
  <c r="L3138" i="1" l="1"/>
  <c r="A3139" i="1"/>
  <c r="L3139" i="1" l="1"/>
  <c r="L314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2"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3"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0"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12"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4"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8"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U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tc={480D3F0C-2BC6-4617-B556-AA843D6BD589}</author>
  </authors>
  <commentList>
    <comment ref="C16"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8"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0" authorId="2" shapeId="0" xr:uid="{00000000-0006-0000-0400-000003000000}">
      <text>
        <r>
          <rPr>
            <b/>
            <sz val="9"/>
            <color indexed="81"/>
            <rFont val="Tahoma"/>
            <charset val="1"/>
          </rPr>
          <t>MColosso:</t>
        </r>
        <r>
          <rPr>
            <sz val="9"/>
            <color indexed="81"/>
            <rFont val="Tahoma"/>
            <charset val="1"/>
          </rPr>
          <t xml:space="preserve">
Hasta enero 2020</t>
        </r>
      </text>
    </comment>
    <comment ref="B21" authorId="3" shapeId="0" xr:uid="{00000000-0006-0000-04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2" authorId="4" shapeId="0" xr:uid="{00000000-0006-0000-04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39" authorId="5" shapeId="0" xr:uid="{00000000-0006-0000-04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1" authorId="6" shapeId="0" xr:uid="{00000000-0006-0000-0400-000007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2" authorId="2" shapeId="0" xr:uid="{00000000-0006-0000-0400-000008000000}">
      <text>
        <r>
          <rPr>
            <b/>
            <sz val="9"/>
            <color indexed="81"/>
            <rFont val="Tahoma"/>
            <charset val="1"/>
          </rPr>
          <t>MColosso:</t>
        </r>
        <r>
          <rPr>
            <sz val="9"/>
            <color indexed="81"/>
            <rFont val="Tahoma"/>
            <charset val="1"/>
          </rPr>
          <t xml:space="preserve">
Hasta enero 2020</t>
        </r>
      </text>
    </comment>
    <comment ref="D62" authorId="7" shapeId="0" xr:uid="{00000000-0006-0000-0400-000009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4" authorId="8" shapeId="0" xr:uid="{00000000-0006-0000-0400-00000A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84" authorId="9" shapeId="0" xr:uid="{00000000-0006-0000-0400-00000B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9" authorId="10" shapeId="0" xr:uid="{00000000-0006-0000-04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04" authorId="11" shapeId="0" xr:uid="{00000000-0006-0000-0400-00000D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4" authorId="2" shapeId="0" xr:uid="{00000000-0006-0000-0400-00000E000000}">
      <text>
        <r>
          <rPr>
            <b/>
            <sz val="9"/>
            <color indexed="81"/>
            <rFont val="Tahoma"/>
            <charset val="1"/>
          </rPr>
          <t>MColosso:</t>
        </r>
        <r>
          <rPr>
            <sz val="9"/>
            <color indexed="81"/>
            <rFont val="Tahoma"/>
            <charset val="1"/>
          </rPr>
          <t xml:space="preserve">
Hasta enero 2020</t>
        </r>
      </text>
    </comment>
    <comment ref="D141" authorId="12" shapeId="0" xr:uid="{00000000-0006-0000-0400-00000F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8"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2"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3"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2"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3"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<sst xmlns="http://schemas.openxmlformats.org/spreadsheetml/2006/main" count="20623" uniqueCount="1642">
  <si>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</si>
  <si>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</si>
  <si>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</si>
  <si>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</si>
  <si>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</si>
  <si>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</si>
  <si>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</si>
  <si>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</si>
  <si>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</si>
  <si>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</si>
  <si>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</si>
  <si>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</si>
  <si>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</si>
  <si>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</si>
  <si>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</si>
  <si>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</si>
  <si>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</si>
  <si>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</si>
  <si>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</si>
  <si>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</si>
  <si>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</si>
  <si>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</si>
  <si>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</si>
  <si>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</si>
  <si>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</si>
  <si>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</si>
  <si>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</si>
  <si>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</si>
  <si>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</si>
  <si>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</si>
  <si>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</si>
  <si>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</si>
  <si>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</si>
  <si>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</si>
  <si>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</si>
  <si>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</si>
  <si>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</si>
  <si>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</si>
  <si>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</si>
  <si>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</si>
  <si>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</si>
  <si>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</si>
  <si>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</si>
  <si>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</si>
  <si>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</si>
  <si>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</si>
  <si>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</si>
  <si>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</si>
  <si>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</si>
  <si>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</si>
  <si>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</si>
  <si>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</si>
  <si>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</si>
  <si>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</si>
  <si>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</si>
  <si>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</si>
  <si>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</si>
  <si>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</si>
  <si>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</si>
  <si>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</si>
  <si>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</si>
  <si>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</si>
  <si>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</si>
  <si>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</si>
  <si>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</si>
  <si>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</si>
  <si>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</si>
  <si>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</si>
  <si>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</si>
  <si>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</si>
  <si>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</si>
  <si>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</si>
  <si>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</si>
  <si>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</si>
  <si>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</si>
  <si>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</si>
  <si>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</si>
  <si>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</si>
  <si>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</si>
  <si>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</si>
  <si>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</si>
  <si>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</si>
  <si>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</si>
  <si>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</si>
  <si>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</si>
  <si>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</si>
  <si>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</si>
  <si>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</si>
  <si>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</si>
  <si>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</si>
  <si>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</si>
  <si>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</si>
  <si>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</si>
  <si>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</si>
  <si>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</si>
  <si>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</si>
  <si>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</si>
  <si>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</si>
  <si>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</si>
  <si>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</si>
  <si>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</si>
  <si>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</si>
  <si>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</si>
  <si>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</si>
  <si>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</si>
  <si>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</si>
  <si>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</si>
  <si>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</si>
  <si>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</si>
  <si>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</si>
  <si>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</si>
  <si>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</si>
  <si>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</si>
  <si>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</si>
  <si>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</si>
  <si>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</si>
  <si>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</si>
  <si>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</si>
  <si>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</si>
  <si>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</si>
  <si>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</si>
  <si>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</si>
  <si>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</si>
  <si>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</si>
  <si>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</si>
  <si>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</si>
  <si>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</si>
  <si>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</si>
  <si>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</si>
  <si>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</si>
  <si>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</si>
  <si>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</si>
  <si>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</si>
  <si>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</si>
  <si>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</si>
  <si>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</si>
  <si>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</si>
  <si>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</si>
  <si>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</si>
  <si>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</si>
  <si>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</si>
  <si>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</si>
  <si>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</si>
  <si>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</si>
  <si>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</si>
  <si>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</si>
  <si>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</si>
  <si>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</si>
  <si>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</si>
  <si>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</si>
  <si>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</si>
  <si>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</si>
  <si>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</si>
  <si>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</si>
  <si>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</si>
  <si>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</si>
  <si>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</si>
  <si>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</si>
  <si>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</si>
  <si>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</si>
  <si>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</si>
  <si>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</si>
  <si>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</si>
  <si>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</si>
  <si>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</si>
  <si>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</si>
  <si>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</si>
  <si>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</si>
  <si>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</si>
  <si>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</si>
  <si>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</si>
  <si>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</si>
  <si>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</si>
  <si>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</si>
  <si>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</si>
  <si>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</si>
  <si>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</si>
  <si>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</si>
  <si>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</si>
  <si>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</si>
  <si>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</si>
  <si>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</si>
  <si>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</si>
  <si>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</si>
  <si>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</si>
  <si>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</si>
  <si>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</si>
  <si>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</si>
  <si>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</si>
  <si>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</si>
  <si>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</si>
  <si>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</si>
  <si>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</si>
  <si>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</si>
  <si>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</si>
  <si>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</si>
  <si>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</si>
  <si>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</si>
  <si>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</si>
  <si>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</si>
  <si>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</si>
  <si>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</si>
  <si>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</si>
  <si>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</si>
  <si>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</si>
  <si>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</si>
  <si>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</si>
  <si>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</si>
  <si>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</si>
  <si>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</si>
  <si>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</si>
  <si>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</si>
  <si>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</si>
  <si>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</si>
  <si>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</si>
  <si>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</si>
  <si>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</si>
  <si>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</si>
  <si>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</si>
  <si>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</si>
  <si>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</si>
  <si>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</si>
  <si>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</si>
  <si>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</si>
  <si>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</si>
  <si>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</si>
  <si>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</si>
  <si>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</si>
  <si>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</si>
  <si>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</si>
  <si>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</si>
  <si>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</si>
  <si>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</si>
  <si>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</si>
  <si>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</si>
  <si>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</si>
  <si>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</si>
  <si>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</si>
  <si>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</si>
  <si>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</si>
  <si>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</si>
  <si>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</si>
  <si>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</si>
  <si>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</si>
  <si>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</si>
  <si>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</si>
  <si>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</si>
  <si>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</si>
  <si>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</si>
  <si>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</si>
  <si>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</si>
  <si>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</si>
  <si>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</si>
  <si>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</si>
  <si>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</si>
  <si>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</si>
  <si>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</si>
  <si>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</si>
  <si>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</si>
  <si>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</si>
  <si>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</si>
  <si>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</si>
  <si>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</si>
  <si>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</si>
  <si>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</si>
  <si>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</si>
  <si>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</si>
  <si>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</si>
  <si>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</si>
  <si>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</si>
  <si>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</si>
  <si>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</si>
  <si>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</si>
  <si>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</si>
  <si>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</si>
  <si>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</si>
  <si>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</si>
  <si>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</si>
  <si>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</si>
  <si>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</si>
  <si>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</si>
  <si>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</si>
  <si>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</si>
  <si>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</si>
  <si>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</si>
  <si>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</si>
  <si>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</si>
  <si>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</si>
  <si>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</si>
  <si>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</si>
  <si>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</si>
  <si>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</si>
  <si>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</si>
  <si>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</si>
  <si>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</si>
  <si>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</si>
  <si>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</si>
  <si>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</si>
  <si>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</si>
  <si>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</si>
  <si>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</si>
  <si>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</si>
  <si>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</si>
  <si>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</si>
  <si>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</si>
  <si>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</si>
  <si>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</si>
  <si>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</si>
  <si>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</si>
  <si>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</si>
  <si>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</si>
  <si>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</si>
  <si>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</si>
  <si>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</si>
  <si>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</si>
  <si>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</si>
  <si>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</si>
  <si>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</si>
  <si>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</si>
  <si>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</si>
  <si>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</si>
  <si>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</si>
  <si>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</si>
  <si>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</si>
  <si>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</si>
  <si>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</si>
  <si>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</si>
  <si>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</si>
  <si>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</si>
  <si>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</si>
  <si>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</si>
  <si>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</si>
  <si>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</si>
  <si>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</si>
  <si>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</si>
  <si>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</si>
  <si>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</si>
  <si>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</si>
  <si>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</si>
  <si>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</si>
  <si>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</si>
  <si>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</si>
  <si>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</si>
  <si>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</si>
  <si>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</si>
  <si>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</si>
  <si>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</si>
  <si>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</si>
  <si>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</si>
  <si>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</si>
  <si>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</si>
  <si>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</si>
  <si>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</si>
  <si>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</si>
  <si>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</si>
  <si>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</si>
  <si>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</si>
  <si>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</si>
  <si>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</si>
  <si>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</si>
  <si>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</si>
  <si>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</si>
  <si>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</si>
  <si>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</si>
  <si>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</si>
  <si>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</si>
  <si>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</si>
  <si>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</si>
  <si>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</si>
  <si>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</si>
  <si>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</si>
  <si>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</si>
  <si>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</si>
  <si>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</si>
  <si>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</si>
  <si>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</si>
  <si>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</si>
  <si>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</si>
  <si>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</si>
  <si>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</si>
  <si>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</si>
  <si>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</si>
  <si>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</si>
  <si>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</si>
  <si>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</si>
  <si>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</si>
  <si>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</si>
  <si>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</si>
  <si>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</si>
  <si>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</si>
  <si>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</si>
  <si>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</si>
  <si>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</si>
  <si>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</si>
  <si>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</si>
  <si>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</si>
  <si>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</si>
  <si>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</si>
  <si>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</si>
  <si>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</si>
  <si>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</si>
  <si>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</si>
  <si>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</si>
  <si>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</si>
  <si>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</si>
  <si>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</si>
  <si>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</si>
  <si>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</si>
  <si>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</si>
  <si>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</si>
  <si>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</si>
  <si>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</si>
  <si>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</si>
  <si>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</si>
  <si>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</si>
  <si>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</si>
  <si>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</si>
  <si>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</si>
  <si>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</si>
  <si>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</si>
  <si>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</si>
  <si>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</si>
  <si>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</si>
  <si>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</si>
  <si>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</si>
  <si>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</si>
  <si>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</si>
  <si>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</si>
  <si>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</si>
  <si>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</si>
  <si>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</si>
  <si>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</si>
  <si>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</si>
  <si>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</si>
  <si>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</si>
  <si>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</si>
  <si>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</si>
  <si>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</si>
  <si>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</si>
  <si>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</si>
  <si>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</si>
  <si>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</si>
  <si>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</si>
  <si>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</si>
  <si>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</si>
  <si>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</si>
  <si>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</si>
  <si>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</si>
  <si>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</si>
  <si>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</si>
  <si>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</si>
  <si>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</si>
  <si>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</si>
  <si>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</si>
  <si>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</si>
  <si>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</si>
  <si>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</si>
  <si>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</si>
  <si>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</si>
  <si>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</si>
  <si>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</si>
  <si>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</si>
  <si>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</si>
  <si>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</si>
  <si>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</si>
  <si>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</si>
  <si>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</si>
  <si>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</si>
  <si>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</si>
  <si>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</si>
  <si>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</si>
  <si>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</si>
  <si>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</si>
  <si>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</si>
  <si>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</si>
  <si>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</si>
  <si>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</si>
  <si>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</si>
  <si>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</si>
  <si>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</si>
  <si>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</si>
  <si>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</si>
  <si>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</si>
  <si>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</si>
  <si>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</si>
  <si>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</si>
  <si>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</si>
  <si>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</si>
  <si>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</si>
  <si>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</si>
  <si>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</si>
  <si>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</si>
  <si>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</si>
  <si>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</si>
  <si>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</si>
  <si>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</si>
  <si>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</si>
  <si>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</si>
  <si>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</si>
  <si>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</si>
  <si>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</si>
  <si>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</si>
  <si>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</si>
  <si>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</si>
  <si>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</si>
  <si>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</si>
  <si>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</si>
  <si>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</si>
  <si>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</si>
  <si>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</si>
  <si>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</si>
  <si>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</si>
  <si>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</si>
  <si>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</si>
  <si>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</si>
  <si>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</si>
  <si>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</si>
  <si>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</si>
  <si>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</si>
  <si>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</si>
  <si>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</si>
  <si>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</si>
  <si>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</si>
  <si>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</si>
  <si>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</si>
  <si>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</si>
  <si>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</si>
  <si>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</si>
  <si>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</si>
  <si>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</si>
  <si>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</si>
  <si>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</si>
  <si>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</si>
  <si>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</si>
  <si>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</si>
  <si>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</si>
  <si>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</si>
  <si>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</si>
  <si>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</si>
  <si>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</si>
  <si>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</si>
  <si>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</si>
  <si>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</si>
  <si>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</si>
  <si>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</si>
  <si>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</si>
  <si>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</si>
  <si>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</si>
  <si>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</si>
  <si>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</si>
  <si>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</si>
  <si>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</si>
  <si>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</si>
  <si>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</si>
  <si>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</si>
  <si>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</si>
  <si>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</si>
  <si>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</si>
  <si>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</si>
  <si>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</si>
  <si>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</si>
  <si>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</si>
  <si>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</si>
  <si>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</si>
  <si>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</si>
  <si>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</si>
  <si>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</si>
  <si>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</si>
  <si>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</si>
  <si>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</si>
  <si>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</si>
  <si>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</si>
  <si>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</si>
  <si>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</si>
  <si>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</si>
  <si>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</si>
  <si>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</si>
  <si>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</si>
  <si>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</si>
  <si>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</si>
  <si>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</si>
  <si>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</si>
  <si>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</si>
  <si>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</si>
  <si>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</si>
  <si>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</si>
  <si>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</si>
  <si>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</si>
  <si>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</si>
  <si>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</si>
  <si>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</si>
  <si>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</si>
  <si>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</si>
  <si>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</si>
  <si>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</si>
  <si>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</si>
  <si>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</si>
  <si>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</si>
  <si>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</si>
  <si>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</si>
  <si>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</si>
  <si>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</si>
  <si>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</si>
  <si>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</si>
  <si>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</si>
  <si>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</si>
  <si>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</si>
  <si>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</si>
  <si>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</si>
  <si>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</si>
  <si>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</si>
  <si>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</si>
  <si>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</si>
  <si>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</si>
  <si>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</si>
  <si>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</si>
  <si>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</si>
  <si>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</si>
  <si>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</si>
  <si>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</si>
  <si>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</si>
  <si>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</si>
  <si>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</si>
  <si>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</si>
  <si>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</si>
  <si>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</si>
  <si>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</si>
  <si>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</si>
  <si>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</si>
  <si>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</si>
  <si>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</si>
  <si>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</si>
  <si>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</si>
  <si>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</si>
  <si>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</si>
  <si>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</si>
  <si>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</si>
  <si>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</si>
  <si>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</si>
  <si>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</si>
  <si>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</si>
  <si>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</si>
  <si>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</si>
  <si>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</si>
  <si>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</si>
  <si>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</si>
  <si>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</si>
  <si>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</si>
  <si>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</si>
  <si>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</si>
  <si>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</si>
  <si>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</si>
  <si>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</si>
  <si>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</si>
  <si>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</si>
  <si>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</si>
  <si>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</si>
  <si>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</si>
  <si>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</si>
  <si>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</si>
  <si>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</si>
  <si>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</si>
  <si>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</si>
  <si>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</si>
  <si>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</si>
  <si>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</si>
  <si>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</si>
  <si>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</si>
  <si>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</si>
  <si>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</si>
  <si>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</si>
  <si>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</si>
  <si>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</si>
  <si>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</si>
  <si>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</si>
  <si>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</si>
  <si>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</si>
  <si>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</si>
  <si>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</si>
  <si>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</si>
  <si>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</si>
  <si>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</si>
  <si>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</si>
  <si>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</si>
  <si>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</si>
  <si>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</si>
  <si>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</si>
  <si>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</si>
  <si>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</si>
  <si>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</si>
  <si>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</si>
  <si>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</si>
  <si>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</si>
  <si>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</si>
  <si>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</si>
  <si>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</si>
  <si>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</si>
  <si>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</si>
  <si>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</si>
  <si>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</si>
  <si>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</si>
  <si>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</si>
  <si>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</si>
  <si>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</si>
  <si>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</si>
  <si>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</si>
  <si>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</si>
  <si>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</si>
  <si>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</si>
  <si>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</si>
  <si>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</si>
  <si>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</si>
  <si>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</si>
  <si>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</si>
  <si>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</si>
  <si>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</si>
  <si>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</si>
  <si>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</si>
  <si>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</si>
  <si>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</si>
  <si>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</si>
  <si>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</si>
  <si>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</si>
  <si>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</si>
  <si>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</si>
  <si>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</si>
  <si>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</si>
  <si>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</si>
  <si>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</si>
  <si>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</si>
  <si>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</si>
  <si>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</si>
  <si>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</si>
  <si>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</si>
  <si>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</si>
  <si>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</si>
  <si>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</si>
  <si>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</si>
  <si>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</si>
  <si>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</si>
  <si>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</si>
  <si>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</si>
  <si>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</si>
  <si>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</si>
  <si>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</si>
  <si>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</si>
  <si>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</si>
  <si>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</si>
  <si>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</si>
  <si>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</si>
  <si>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</si>
  <si>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</si>
  <si>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</si>
  <si>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</si>
  <si>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</si>
  <si>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</si>
  <si>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</si>
  <si>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</si>
  <si>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</si>
  <si>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</si>
  <si>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</si>
  <si>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</si>
  <si>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</si>
  <si>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</si>
  <si>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</si>
  <si>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</si>
  <si>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</si>
  <si>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</si>
  <si>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</si>
  <si>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</si>
  <si>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</si>
  <si>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</si>
  <si>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</si>
  <si>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</si>
  <si>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</si>
  <si>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</si>
  <si>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</si>
  <si>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</si>
  <si>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</si>
  <si>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</si>
  <si>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</si>
  <si>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</si>
  <si>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</si>
  <si>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</si>
  <si>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</si>
  <si>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</si>
  <si>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</si>
  <si>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</si>
  <si>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</si>
  <si>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</si>
  <si>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</si>
  <si>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</si>
  <si>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</si>
  <si>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</si>
  <si>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</si>
  <si>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</si>
  <si>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</si>
  <si>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</si>
  <si>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</si>
  <si>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</si>
  <si>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</si>
  <si>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</si>
  <si>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</si>
  <si>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</si>
  <si>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</si>
  <si>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</si>
  <si>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</si>
  <si>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</si>
  <si>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</si>
  <si>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</si>
  <si>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</si>
  <si>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</si>
  <si>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</si>
  <si>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</si>
  <si>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</si>
  <si>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</si>
  <si>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</si>
  <si>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</si>
  <si>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</si>
  <si>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</si>
  <si>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</si>
  <si>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</si>
  <si>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</si>
  <si>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</si>
  <si>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</si>
  <si>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</si>
  <si>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</si>
  <si>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</si>
  <si>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</si>
  <si>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</si>
  <si>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</si>
  <si>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</si>
  <si>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</si>
  <si>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</si>
  <si>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</si>
  <si>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</si>
  <si>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</si>
  <si>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</si>
  <si>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</si>
  <si>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</si>
  <si>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</si>
  <si>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</si>
  <si>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</si>
  <si>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</si>
  <si>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</si>
  <si>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</si>
  <si>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</si>
  <si>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</si>
  <si>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</si>
  <si>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</si>
  <si>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</si>
  <si>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</si>
  <si>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</si>
  <si>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</si>
  <si>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</si>
  <si>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</si>
  <si>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</si>
  <si>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</si>
  <si>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</si>
  <si>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</si>
  <si>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</si>
  <si>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</si>
  <si>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</si>
  <si>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</si>
  <si>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</si>
  <si>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</si>
  <si>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</si>
  <si>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</si>
  <si>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</si>
  <si>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</si>
  <si>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</si>
  <si>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</si>
  <si>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</si>
  <si>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</si>
  <si>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</si>
  <si>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</si>
  <si>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</si>
  <si>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</si>
  <si>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</si>
  <si>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</si>
  <si>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</si>
  <si>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</si>
  <si>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</si>
  <si>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</si>
  <si>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</si>
  <si>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</si>
  <si>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</si>
  <si>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</si>
  <si>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</si>
  <si>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</si>
  <si>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</si>
  <si>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</si>
  <si>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</si>
  <si>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</si>
  <si>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</si>
  <si>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</si>
  <si>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</si>
  <si>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</si>
  <si>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</si>
  <si>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</si>
  <si>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</si>
  <si>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</si>
  <si>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</si>
  <si>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</si>
  <si>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</si>
  <si>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</si>
  <si>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</si>
  <si>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</si>
  <si>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</si>
  <si>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</si>
  <si>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</si>
  <si>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</si>
  <si>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</si>
  <si>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</si>
  <si>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</si>
  <si>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</si>
  <si>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</si>
  <si>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</si>
  <si>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</si>
  <si>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</si>
  <si>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</si>
  <si>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</si>
  <si>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</si>
  <si>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</si>
  <si>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</si>
  <si>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</si>
  <si>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</si>
  <si>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</si>
  <si>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</si>
  <si>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</si>
  <si>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</si>
  <si>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</si>
  <si>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</si>
  <si>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</si>
  <si>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</si>
  <si>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</si>
  <si>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</si>
  <si>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</si>
  <si>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</si>
  <si>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</si>
  <si>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</si>
  <si>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</si>
  <si>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</si>
  <si>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</si>
  <si>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</si>
  <si>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</si>
  <si>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</si>
  <si>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</si>
  <si>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</si>
  <si>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</si>
  <si>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</si>
  <si>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</si>
  <si>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</si>
  <si>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</si>
  <si>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</si>
  <si>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</si>
  <si>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</si>
  <si>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</si>
  <si>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</si>
  <si>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</si>
  <si>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</si>
  <si>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</si>
  <si>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</si>
  <si>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</si>
  <si>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</si>
  <si>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</si>
  <si>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</si>
  <si>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</si>
  <si>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</si>
  <si>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</si>
  <si>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</si>
  <si>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</si>
  <si>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</si>
  <si>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</si>
  <si>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</si>
  <si>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</si>
  <si>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</si>
  <si>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</si>
  <si>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</si>
  <si>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</si>
  <si>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</si>
  <si>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</si>
  <si>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</si>
  <si>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</si>
  <si>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</si>
  <si>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</si>
  <si>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</si>
  <si>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</si>
  <si>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</si>
  <si>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</si>
  <si>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</si>
  <si>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</si>
  <si>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</si>
  <si>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</si>
  <si>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</si>
  <si>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</si>
  <si>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</si>
  <si>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</si>
  <si>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</si>
  <si>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</si>
  <si>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</si>
  <si>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</si>
  <si>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</si>
  <si>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</si>
  <si>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</si>
  <si>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</si>
  <si>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</si>
  <si>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</si>
  <si>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</si>
  <si>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</si>
  <si>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</si>
  <si>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</si>
  <si>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</si>
  <si>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</si>
  <si>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</si>
  <si>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</si>
  <si>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</si>
  <si>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</si>
  <si>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</si>
  <si>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</si>
  <si>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</si>
  <si>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</si>
  <si>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</si>
  <si>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</si>
  <si>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</si>
  <si>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</si>
  <si>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</si>
  <si>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</si>
  <si>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</si>
  <si>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</si>
  <si>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</si>
  <si>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</si>
  <si>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</si>
  <si>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</si>
  <si>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</si>
  <si>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</si>
  <si>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</si>
  <si>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</si>
  <si>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</si>
  <si>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</si>
  <si>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</si>
  <si>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</si>
  <si>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</si>
  <si>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</si>
  <si>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</si>
  <si>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</si>
  <si>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</si>
  <si>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</si>
  <si>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</si>
  <si>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</si>
  <si>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</si>
  <si>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</si>
  <si>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</si>
  <si>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</si>
  <si>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</si>
  <si>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</si>
  <si>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</si>
  <si>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</si>
  <si>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</si>
  <si>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</si>
  <si>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</si>
  <si>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</si>
  <si>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</si>
  <si>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</si>
  <si>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</si>
  <si>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</si>
  <si>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</si>
  <si>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</si>
  <si>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</si>
  <si>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</si>
  <si>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</si>
  <si>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</si>
  <si>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</si>
  <si>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</si>
  <si>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</si>
  <si>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</si>
  <si>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</si>
  <si>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</si>
  <si>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</si>
  <si>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</si>
  <si>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</si>
  <si>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</si>
  <si>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</si>
  <si>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</si>
  <si>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</si>
  <si>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</si>
  <si>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</si>
  <si>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</si>
  <si>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</si>
  <si>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</si>
  <si>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</si>
  <si>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</si>
  <si>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</si>
  <si>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</si>
  <si>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</si>
  <si>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</si>
  <si>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</si>
  <si>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</si>
  <si>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</si>
  <si>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</si>
  <si>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</si>
  <si>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</si>
  <si>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</si>
  <si>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</si>
  <si>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</si>
  <si>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</si>
  <si>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</si>
  <si>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</si>
  <si>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</si>
  <si>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</si>
  <si>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</si>
  <si>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</si>
  <si>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</si>
  <si>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</si>
  <si>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</si>
  <si>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</si>
  <si>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</si>
  <si>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</si>
  <si>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</si>
  <si>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</si>
  <si>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</si>
  <si>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</si>
  <si>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</si>
  <si>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</si>
  <si>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</si>
  <si>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</si>
  <si>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</si>
  <si>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</si>
  <si>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</si>
  <si>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</si>
  <si>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</si>
  <si>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</si>
  <si>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</si>
  <si>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</si>
  <si>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</si>
  <si>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</si>
  <si>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</si>
  <si>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</si>
  <si>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</si>
  <si>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</si>
  <si>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</si>
  <si>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</si>
  <si>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</si>
  <si>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</si>
  <si>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</si>
  <si>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</si>
  <si>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</si>
  <si>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</si>
  <si>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</si>
  <si>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</si>
  <si>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</si>
  <si>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</si>
  <si>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</si>
  <si>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</si>
  <si>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</si>
  <si>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</si>
  <si>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</si>
  <si>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</si>
  <si>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</si>
  <si>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</si>
  <si>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</si>
  <si>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</si>
  <si>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</si>
  <si>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</si>
  <si>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</si>
  <si>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</si>
  <si>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</si>
  <si>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</si>
  <si>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</si>
  <si>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</si>
  <si>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</si>
  <si>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</si>
  <si>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</si>
  <si>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</si>
  <si>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</si>
  <si>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</si>
  <si>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</si>
  <si>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</si>
  <si>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</si>
  <si>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</si>
  <si>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</si>
  <si>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</si>
  <si>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</si>
  <si>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</si>
  <si>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</si>
  <si>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</si>
  <si>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</si>
  <si>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</si>
  <si>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</si>
  <si>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</si>
  <si>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</si>
  <si>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</si>
  <si>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</si>
  <si>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</si>
  <si>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</si>
  <si>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</si>
  <si>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</si>
  <si>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</si>
  <si>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</si>
  <si>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</si>
  <si>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</si>
  <si>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</si>
  <si>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</si>
  <si>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</si>
  <si>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</si>
  <si>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</si>
  <si>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</si>
  <si>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</si>
  <si>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</si>
  <si>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</si>
  <si>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</si>
  <si>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</si>
  <si>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anticipo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</si>
  <si>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</si>
  <si>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</si>
  <si>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</si>
  <si>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</si>
  <si>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</si>
  <si>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</si>
  <si>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</si>
  <si>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</si>
  <si>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</si>
  <si>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</si>
  <si>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</si>
  <si>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</si>
  <si>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mes de Mayo 2020 (saldo a favor: Bs. 285.202,00)</t>
  </si>
  <si>
    <t>Cuota especial: Teléfono Vigilancia (saldo a favor: Bs. 235.202,00)</t>
  </si>
  <si>
    <t>0412-684.8327</t>
  </si>
  <si>
    <t>Cancelación Vigilancia, mes de Junio 2020</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</si>
  <si>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</si>
  <si>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</si>
  <si>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</si>
  <si>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</si>
  <si>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</si>
  <si>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</si>
  <si>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</si>
  <si>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</si>
  <si>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</si>
  <si>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</si>
  <si>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</si>
  <si>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</si>
  <si>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</si>
  <si>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</si>
  <si>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</si>
  <si>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</si>
  <si>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</si>
  <si>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</si>
  <si>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</si>
  <si>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</si>
  <si>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</si>
  <si>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</si>
  <si>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</si>
  <si>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</si>
  <si>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</si>
  <si>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</si>
  <si>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</si>
  <si>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</si>
  <si>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</si>
  <si>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</si>
  <si>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</si>
  <si>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</si>
  <si>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</si>
  <si>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</si>
  <si>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</si>
  <si>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</si>
  <si>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</si>
  <si>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</si>
  <si>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</si>
  <si>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</si>
  <si>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</si>
  <si>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</si>
  <si>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</si>
  <si>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</si>
  <si>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</si>
  <si>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</si>
  <si>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</si>
  <si>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</si>
  <si>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</si>
  <si>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</si>
  <si>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</si>
  <si>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</si>
  <si>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</si>
  <si>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</si>
  <si>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</si>
  <si>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</si>
  <si>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</si>
  <si>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</si>
  <si>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t>Ma. de Jesus Alonso, Calle Güigue Nro. 88-30</t>
  </si>
  <si>
    <r>
      <rPr>
        <b/>
        <sz val="14"/>
        <color theme="1"/>
        <rFont val="Calibri"/>
        <family val="2"/>
        <scheme val="minor"/>
      </rPr>
      <t>Familia Wu Acevedo</t>
    </r>
    <r>
      <rPr>
        <b/>
        <sz val="11"/>
        <color theme="1"/>
        <rFont val="Calibri"/>
        <family val="2"/>
        <scheme val="minor"/>
      </rPr>
      <t>, Calle Guacara Nro. 88-A-10</t>
    </r>
  </si>
  <si>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</si>
  <si>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</si>
  <si>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</si>
  <si>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</si>
  <si>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</si>
  <si>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</si>
  <si>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</si>
  <si>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</si>
  <si>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</si>
  <si>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</si>
  <si>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</si>
  <si>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</si>
  <si>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</si>
  <si>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</si>
  <si>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</si>
  <si>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</si>
  <si>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</si>
  <si>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</si>
  <si>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</si>
  <si>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</si>
  <si>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</si>
  <si>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</si>
  <si>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</si>
  <si>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</si>
  <si>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Anticipo Vigilancia, Nov. 2019 (saldo Bs. 36.420)</t>
  </si>
  <si>
    <t>Compra de remaches p/cerradura</t>
  </si>
  <si>
    <t>&gt;&gt; Anulación de saldo &lt;&lt;</t>
  </si>
  <si>
    <t>Cancelación Vigilancia, saldo mes de Septiembre 2018</t>
  </si>
  <si>
    <t>Dic/2019:  Bs. 100.042</t>
  </si>
  <si>
    <t>Compra de rejilla p/baño rep. Caseta</t>
  </si>
  <si>
    <t>» Transferencia 9957128286 de Banesco</t>
  </si>
  <si>
    <t>Ene/2020:  Bs. 130.050</t>
  </si>
  <si>
    <t>Feb/2020:  Bs. 136.250</t>
  </si>
  <si>
    <t>Compra de materiales p/rep. Caseta</t>
  </si>
  <si>
    <t>» Deposito 10964404396, Banesco</t>
  </si>
  <si>
    <t>Mar/2020:  Bs. 185.250</t>
  </si>
  <si>
    <t>Reverso anticipo mes de Septiembre</t>
  </si>
  <si>
    <t>Abr/2020:  Bs. 185.250</t>
  </si>
  <si>
    <t>Vigilancia: cancelación meses de Septiembre, Octubre, Noviembre, Diciembre 2018 y Enero 2019</t>
  </si>
  <si>
    <t>Cancelación Vigilancia, Mayo 2020</t>
  </si>
  <si>
    <t>» Transferencia 74630425, Bco. Provincial</t>
  </si>
  <si>
    <t>Cancelación Dayana Alonso: Vigilancia 30-06-2018</t>
  </si>
  <si>
    <t>» Transferencia 11062598286, Banesco</t>
  </si>
  <si>
    <t>Cancelación Vigilancia, Junio 2020</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</si>
  <si>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</si>
  <si>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</si>
  <si>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</si>
  <si>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</si>
  <si>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</si>
  <si>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</si>
  <si>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</si>
  <si>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 Transferencia 58642661, Bco. Provincial</t>
  </si>
  <si>
    <t>Cancelación Vigilancia, meses de Mayo y Junio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</si>
  <si>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</si>
  <si>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</si>
  <si>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</si>
  <si>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</si>
  <si>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</si>
  <si>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</si>
  <si>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</si>
  <si>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</si>
  <si>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</si>
  <si>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</si>
  <si>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</si>
  <si>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Recuerde insertar esta fila en las siguientes para asegurar la correctitud de las fórmulas</t>
  </si>
  <si>
    <t>Comida</t>
  </si>
  <si>
    <t>F.Desde</t>
  </si>
  <si>
    <t>F.Hasta</t>
  </si>
  <si>
    <t xml:space="preserve"> </t>
  </si>
  <si>
    <t>Cuota completa</t>
  </si>
  <si>
    <t>OCULTO</t>
  </si>
  <si>
    <t>No participa</t>
  </si>
  <si>
    <t>Colaboración</t>
  </si>
  <si>
    <t>Sólo comida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</si>
  <si>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</si>
  <si>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</si>
  <si>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</si>
  <si>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</si>
  <si>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</si>
  <si>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</si>
  <si>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</si>
  <si>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</si>
  <si>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</si>
  <si>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</si>
  <si>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</si>
  <si>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</si>
  <si>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</si>
  <si>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</si>
  <si>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</si>
  <si>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</si>
  <si>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</si>
  <si>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</si>
  <si>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</si>
  <si>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</si>
  <si>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</si>
  <si>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</si>
  <si>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</si>
  <si>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</si>
  <si>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</si>
  <si>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</si>
  <si>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</si>
  <si>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</si>
  <si>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</si>
  <si>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</si>
  <si>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</si>
  <si>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</si>
  <si>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</si>
  <si>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</si>
  <si>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</si>
  <si>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</si>
  <si>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</si>
  <si>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</si>
  <si>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</si>
  <si>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</si>
  <si>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</si>
  <si>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</si>
  <si>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</si>
  <si>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</si>
  <si>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</si>
  <si>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</si>
  <si>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</si>
  <si>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</si>
  <si>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</si>
  <si>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</si>
  <si>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</si>
  <si>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</si>
  <si>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</si>
  <si>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</si>
  <si>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</si>
  <si>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</si>
  <si>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</si>
  <si>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</si>
  <si>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</si>
  <si>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</si>
  <si>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</si>
  <si>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</si>
  <si>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</si>
  <si>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</si>
  <si>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</si>
  <si>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</si>
  <si>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</si>
  <si>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</si>
  <si>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</si>
  <si>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</si>
  <si>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</si>
  <si>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</si>
  <si>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</si>
  <si>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</si>
  <si>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</si>
  <si>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</si>
  <si>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</si>
  <si>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</si>
  <si>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</si>
  <si>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</si>
  <si>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</si>
  <si>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</si>
  <si>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</si>
  <si>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</si>
  <si>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</si>
  <si>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</si>
  <si>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</si>
  <si>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</si>
  <si>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</si>
  <si>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</si>
  <si>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</si>
  <si>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</si>
  <si>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</si>
  <si>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</si>
  <si>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</si>
  <si>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</si>
  <si>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</si>
  <si>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</si>
  <si>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</si>
  <si>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</si>
  <si>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</si>
  <si>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</si>
  <si>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</si>
  <si>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</si>
  <si>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</si>
  <si>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</si>
  <si>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</si>
  <si>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</si>
  <si>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</si>
  <si>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</si>
  <si>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</si>
  <si>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</si>
  <si>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</si>
  <si>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</si>
  <si>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</si>
  <si>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</si>
  <si>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</si>
  <si>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</si>
  <si>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</si>
  <si>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</si>
  <si>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</si>
  <si>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</si>
  <si>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</si>
  <si>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</si>
  <si>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</si>
  <si>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</si>
  <si>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</si>
  <si>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</si>
  <si>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</si>
  <si>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</si>
  <si>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</si>
  <si>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</si>
  <si>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</si>
  <si>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</si>
  <si>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</si>
  <si>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</si>
  <si>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</si>
  <si>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</si>
  <si>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</si>
  <si>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</si>
  <si>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</si>
  <si>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Alejandro Saade</t>
  </si>
  <si>
    <t>0414-408.6179</t>
  </si>
  <si>
    <t>Neila Gómez</t>
  </si>
  <si>
    <t>0424-473.0993</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</si>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</sst>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sz val="11"/>
      <color theme="1"/>
      <name val="Courier New"/>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25">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9"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177" fontId="17" fillId="0" borderId="119" xfId="0" applyNumberFormat="1" applyFont="1" applyBorder="1" applyAlignment="1">
      <alignment horizontal="right" vertical="center" indent="1"/>
    </xf>
    <xf numFmtId="0" fontId="31" fillId="0" borderId="0" xfId="0" applyFont="1"/>
    <xf numFmtId="14" fontId="4" fillId="0" borderId="0" xfId="0" applyNumberFormat="1" applyFont="1" applyAlignment="1"/>
    <xf numFmtId="14" fontId="4" fillId="0" borderId="0" xfId="0" applyNumberFormat="1" applyFont="1" applyAlignment="1">
      <alignment horizontal="left"/>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956">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5008"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I61"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2" personId="{83E57F0F-77DB-46B2-9417-DD17A5D4CA1D}" id="{28900678-92FF-459B-AED8-6120B57FC98B}">
    <text>Marisol dice que es 89-93, y no 90</text>
  </threadedComment>
  <threadedComment ref="B73" personId="{83E57F0F-77DB-46B2-9417-DD17A5D4CA1D}" id="{4B9DED9D-F6E1-4C97-BA82-D0B62F52AF85}">
    <text>Marisol indica que el número de la casa es 89-110</text>
  </threadedComment>
  <threadedComment ref="Q110" personId="{83E57F0F-77DB-46B2-9417-DD17A5D4CA1D}" id="{81052E88-2125-463B-8443-D25839B4767D}">
    <text>Condonado por donación de pego y fondo anticorrosivo</text>
  </threadedComment>
  <threadedComment ref="Q112" personId="{83E57F0F-77DB-46B2-9417-DD17A5D4CA1D}" id="{429E367C-080F-4103-8262-A9E124D83CAB}">
    <text>Bs. 50.000 anticipo
Bs. 12.450 cancelados al Sr. Francisco
Bs. 17550 diferencia</text>
  </threadedComment>
  <threadedComment ref="U124" personId="{83E57F0F-77DB-46B2-9417-DD17A5D4CA1D}" id="{1779862F-85EA-48AC-8478-0DA31E0410E9}">
    <text>Donación de tubo estructural para reparación de la caseta de vitilancia: Enero a Diciembre/2018</text>
  </threadedComment>
  <threadedComment ref="AL128"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U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6" dT="2019-12-28T17:56:59.75" personId="{9C042599-BB1B-4767-9133-4A877AA7D484}" id="{D012610D-39B3-4534-A812-18FD8FCE22F9}">
    <text xml:space="preserve">Anteriormente "Cuota completa"
</text>
  </threadedComment>
  <threadedComment ref="J18"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1" personId="{83E57F0F-77DB-46B2-9417-DD17A5D4CA1D}" id="{BAC0DF17-C194-4E98-81CB-6312E25EED7D}">
    <text>Marisol indica que el número de la casa es 89-110</text>
  </threadedComment>
  <threadedComment ref="D32" dT="2020-05-14T18:37:43.66" personId="{9C042599-BB1B-4767-9133-4A877AA7D484}" id="{2493079A-D9B5-4EB5-A38B-DC6514C0C9FD}">
    <text xml:space="preserve">Hasta Mayo 2020
</text>
  </threadedComment>
  <threadedComment ref="D39" personId="{83E57F0F-77DB-46B2-9417-DD17A5D4CA1D}" id="{8AA48C56-AFDF-48F9-A5EB-34697D8F1182}">
    <text>Incorporado el 01 de Julio de 2019</text>
  </threadedComment>
  <threadedComment ref="B51" personId="{83E57F0F-77DB-46B2-9417-DD17A5D4CA1D}" id="{4AF21287-5CD9-4695-AE65-DA618CC23733}">
    <text>Marisol dice que es 89-93, y no 90</text>
  </threadedComment>
  <threadedComment ref="D62" dT="2020-05-14T18:33:46.63" personId="{9C042599-BB1B-4767-9133-4A877AA7D484}" id="{089D2621-C954-4392-AFC6-C5D45CFA29E4}">
    <text xml:space="preserve">Hasta Marzo 2020
</text>
  </threadedComment>
  <threadedComment ref="D64" dT="2020-05-14T18:34:14.15" personId="{9C042599-BB1B-4767-9133-4A877AA7D484}" id="{A9C02588-A342-48C1-92BC-F8EECBA0CF52}">
    <text xml:space="preserve">Hasta Febrero 2020
</text>
  </threadedComment>
  <threadedComment ref="C84" dT="2019-12-28T17:56:05.76" personId="{9C042599-BB1B-4767-9133-4A877AA7D484}" id="{51961700-5B93-4183-8AAE-35BD0D40006C}">
    <text xml:space="preserve">Anteriormente "Cuota completa"
</text>
  </threadedComment>
  <threadedComment ref="C89" dT="2019-12-28T17:58:13.10" personId="{9C042599-BB1B-4767-9133-4A877AA7D484}" id="{8BEAA087-D0E9-4908-8834-4786EFAACC57}">
    <text xml:space="preserve">Anteriormente "Cuota completa"
</text>
  </threadedComment>
  <threadedComment ref="D104" dT="2020-05-14T18:35:25.64" personId="{9C042599-BB1B-4767-9133-4A877AA7D484}" id="{2D58886B-ACED-4987-85DC-C2EC5C6D44FD}">
    <text xml:space="preserve">Hasta Enero 2020
</text>
  </threadedComment>
  <threadedComment ref="D141" personId="{83E57F0F-77DB-46B2-9417-DD17A5D4CA1D}" id="{480D3F0C-2BC6-4617-B556-AA843D6BD589}">
    <text>Eliminado el 01 de Julio de 2019</text>
  </threadedComment>
  <threadedComment ref="D141"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58" personId="{83E57F0F-77DB-46B2-9417-DD17A5D4CA1D}" id="{3DAC56FE-504E-4B89-8DF2-0110B4EB5076}">
    <text>Donación de tres (03) camisas para los vigilantes (5 MMBs c/u)</text>
  </threadedComment>
  <threadedComment ref="B72" personId="{83E57F0F-77DB-46B2-9417-DD17A5D4CA1D}" id="{25088AD0-CA0F-4C1C-9145-20DBCEF5310E}">
    <text>Marisol dice que es 89-93, y no 90</text>
  </threadedComment>
  <threadedComment ref="B73"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2" personId="{83E57F0F-77DB-46B2-9417-DD17A5D4CA1D}" id="{18891FC0-C5E1-4335-835C-743808DB2F5C}">
    <text>Marisol dice que es 89-93, y no 90</text>
  </threadedComment>
  <threadedComment ref="C73"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9" Type="http://schemas.openxmlformats.org/officeDocument/2006/relationships/hyperlink" Target="mailto:mcolosso@gmail.com" TargetMode="External"/><Relationship Id="rId21" Type="http://schemas.openxmlformats.org/officeDocument/2006/relationships/hyperlink" Target="mailto:lopez.humberto14@yahoo.com.ve" TargetMode="External"/><Relationship Id="rId34" Type="http://schemas.openxmlformats.org/officeDocument/2006/relationships/hyperlink" Target="mailto:chanalberto10@hotmail.com%20%7C%20favemocacompras@hotmail.com%20%7C%20admonfavemoca@hotmail.com" TargetMode="External"/><Relationship Id="rId42" Type="http://schemas.openxmlformats.org/officeDocument/2006/relationships/hyperlink" Target="mailto:lisbethmsambranok@gmail.com" TargetMode="External"/><Relationship Id="rId47"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58" Type="http://schemas.openxmlformats.org/officeDocument/2006/relationships/comments" Target="../comments1.xml"/><Relationship Id="rId5" Type="http://schemas.openxmlformats.org/officeDocument/2006/relationships/hyperlink" Target="mailto:redjc01@gmail.com" TargetMode="External"/><Relationship Id="rId19" Type="http://schemas.openxmlformats.org/officeDocument/2006/relationships/hyperlink" Target="mailto:redjc01@g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56" Type="http://schemas.openxmlformats.org/officeDocument/2006/relationships/printerSettings" Target="../printerSettings/printerSettings1.bin"/><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3"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46" Type="http://schemas.openxmlformats.org/officeDocument/2006/relationships/hyperlink" Target="mailto:lopez.humberto14@yahoo.com.ve" TargetMode="External"/><Relationship Id="rId59" Type="http://schemas.microsoft.com/office/2017/10/relationships/threadedComment" Target="../threadedComments/threadedComment1.xm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54" Type="http://schemas.openxmlformats.org/officeDocument/2006/relationships/hyperlink" Target="mailto:mcolosso@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49" Type="http://schemas.openxmlformats.org/officeDocument/2006/relationships/hyperlink" Target="mailto:mcolosso@gmail.com" TargetMode="External"/><Relationship Id="rId57" Type="http://schemas.openxmlformats.org/officeDocument/2006/relationships/vmlDrawing" Target="../drawings/vmlDrawing1.vm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44" Type="http://schemas.openxmlformats.org/officeDocument/2006/relationships/hyperlink" Target="mailto:liliamagallanes2010@gmail.com%20%7C%200414-341.5549" TargetMode="External"/><Relationship Id="rId52" Type="http://schemas.openxmlformats.org/officeDocument/2006/relationships/hyperlink" Target="mailto:lopez.humberto14@yahoo.com.v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microsoft.com/office/2017/10/relationships/threadedComment" Target="../threadedComments/threadedComment6.xm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3160"/>
  <sheetViews>
    <sheetView tabSelected="1" workbookViewId="0">
      <pane ySplit="1" topLeftCell="A3154" activePane="bottomLeft" state="frozen"/>
      <selection pane="bottomLeft" activeCell="A3158" sqref="A3158"/>
      <selection activeCell="D2603" sqref="D2603"/>
    </sheetView>
  </sheetViews>
  <sheetFormatPr defaultColWidth="10.7109375" defaultRowHeight="15"/>
  <cols>
    <col min="1" max="1" width="8.28515625" style="1" customWidth="1"/>
    <col min="2" max="2" width="6" style="540"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1" bestFit="1" customWidth="1"/>
    <col min="11" max="11" width="14.140625" style="11" customWidth="1"/>
    <col min="12" max="12" width="7" style="5" bestFit="1" customWidth="1"/>
    <col min="13" max="13" width="10.7109375" style="5" bestFit="1" customWidth="1"/>
    <col min="14" max="14" width="6" style="5" bestFit="1" customWidth="1"/>
    <col min="15" max="15" width="9.28515625" style="24" bestFit="1" customWidth="1"/>
    <col min="16" max="16" width="11" style="5" bestFit="1" customWidth="1"/>
    <col min="17" max="17" width="48" style="4" bestFit="1" customWidth="1"/>
  </cols>
  <sheetData>
    <row r="1" spans="1:17">
      <c r="A1" s="576" t="s">
        <v>0</v>
      </c>
      <c r="B1" s="576" t="s">
        <v>1</v>
      </c>
      <c r="C1" s="576" t="s">
        <v>2</v>
      </c>
      <c r="D1" s="576" t="s">
        <v>3</v>
      </c>
      <c r="E1" s="576" t="s">
        <v>4</v>
      </c>
      <c r="F1" s="576" t="s">
        <v>5</v>
      </c>
      <c r="G1" s="576" t="s">
        <v>6</v>
      </c>
      <c r="H1" s="576" t="s">
        <v>7</v>
      </c>
      <c r="I1" s="576" t="s">
        <v>8</v>
      </c>
      <c r="J1" s="576" t="s">
        <v>9</v>
      </c>
      <c r="K1" s="571" t="s">
        <v>10</v>
      </c>
      <c r="L1" s="571" t="s">
        <v>11</v>
      </c>
      <c r="M1" s="571" t="s">
        <v>12</v>
      </c>
      <c r="N1" s="571" t="s">
        <v>13</v>
      </c>
      <c r="O1" s="571" t="s">
        <v>14</v>
      </c>
      <c r="P1" s="571" t="s">
        <v>15</v>
      </c>
      <c r="Q1" s="571" t="s">
        <v>16</v>
      </c>
    </row>
    <row r="2" spans="1:17">
      <c r="A2" s="1">
        <v>1</v>
      </c>
      <c r="C2" s="8" t="s">
        <v>17</v>
      </c>
      <c r="D2" s="2">
        <v>42713</v>
      </c>
      <c r="E2" s="3">
        <f>10500/100000</f>
        <v>0.105</v>
      </c>
      <c r="F2" t="s">
        <v>18</v>
      </c>
      <c r="G2" t="s">
        <v>19</v>
      </c>
      <c r="H2" t="s">
        <v>20</v>
      </c>
      <c r="I2" s="6" t="s">
        <v>21</v>
      </c>
      <c r="J2" s="59" t="s">
        <v>22</v>
      </c>
      <c r="K2" s="11" t="s">
        <v>23</v>
      </c>
      <c r="L2" s="5" t="str">
        <f t="shared" ref="L2:L65" si="0">IF(ISBLANK(A2),"",TEXT(A2,"00000"))</f>
        <v>00001</v>
      </c>
      <c r="M2" s="46" t="str">
        <f t="shared" ref="M2:M65" si="1">IF(ISBLANK(D2),"",TEXT(D2,"dd")&amp;" de "&amp;TEXT(D2,"mmmm")&amp;" de "&amp;TEXT(YEAR(D2),"0"))</f>
        <v>09 de diciembre de 2016</v>
      </c>
      <c r="N2" s="318">
        <f>DAY(D2)</f>
        <v>9</v>
      </c>
      <c r="O2" s="24">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59" t="s">
        <v>22</v>
      </c>
      <c r="K3" s="11" t="s">
        <v>27</v>
      </c>
      <c r="L3" s="5" t="str">
        <f t="shared" si="0"/>
        <v>00002</v>
      </c>
      <c r="M3" s="46" t="str">
        <f t="shared" si="1"/>
        <v>13 de diciembre de 2016</v>
      </c>
      <c r="N3" s="318">
        <f t="shared" ref="N3:N66" si="5">DAY(D3)</f>
        <v>13</v>
      </c>
      <c r="O3" s="24">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59" t="s">
        <v>22</v>
      </c>
      <c r="K4" s="11" t="s">
        <v>31</v>
      </c>
      <c r="L4" s="5" t="str">
        <f t="shared" si="0"/>
        <v>00003</v>
      </c>
      <c r="M4" s="46" t="str">
        <f t="shared" si="1"/>
        <v>20 de diciembre de 2016</v>
      </c>
      <c r="N4" s="318">
        <f t="shared" si="5"/>
        <v>20</v>
      </c>
      <c r="O4" s="24">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59" t="s">
        <v>22</v>
      </c>
      <c r="K5" s="11" t="s">
        <v>35</v>
      </c>
      <c r="L5" s="5" t="str">
        <f t="shared" si="0"/>
        <v>00004</v>
      </c>
      <c r="M5" s="46" t="str">
        <f t="shared" si="1"/>
        <v>02 de enero de 2017</v>
      </c>
      <c r="N5" s="318">
        <f t="shared" si="5"/>
        <v>2</v>
      </c>
      <c r="O5" s="24">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59" t="s">
        <v>22</v>
      </c>
      <c r="K6" s="11" t="s">
        <v>39</v>
      </c>
      <c r="L6" s="5" t="str">
        <f t="shared" si="0"/>
        <v>00005</v>
      </c>
      <c r="M6" s="46" t="str">
        <f t="shared" si="1"/>
        <v>06 de enero de 2017</v>
      </c>
      <c r="N6" s="318">
        <f t="shared" si="5"/>
        <v>6</v>
      </c>
      <c r="O6" s="24">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59" t="s">
        <v>22</v>
      </c>
      <c r="K7" s="11" t="s">
        <v>43</v>
      </c>
      <c r="L7" s="5" t="str">
        <f t="shared" si="0"/>
        <v>00006</v>
      </c>
      <c r="M7" s="46" t="str">
        <f t="shared" si="1"/>
        <v>07 de enero de 2017</v>
      </c>
      <c r="N7" s="318">
        <f t="shared" si="5"/>
        <v>7</v>
      </c>
      <c r="O7" s="24">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59" t="s">
        <v>22</v>
      </c>
      <c r="K8" s="11" t="s">
        <v>47</v>
      </c>
      <c r="L8" s="5" t="str">
        <f t="shared" si="0"/>
        <v>00007</v>
      </c>
      <c r="M8" s="46" t="str">
        <f t="shared" si="1"/>
        <v>10 de enero de 2017</v>
      </c>
      <c r="N8" s="318">
        <f t="shared" si="5"/>
        <v>10</v>
      </c>
      <c r="O8" s="24">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59" t="s">
        <v>22</v>
      </c>
      <c r="K9" s="11" t="s">
        <v>52</v>
      </c>
      <c r="L9" s="5" t="str">
        <f t="shared" si="0"/>
        <v>00008</v>
      </c>
      <c r="M9" s="46" t="str">
        <f t="shared" si="1"/>
        <v>11 de enero de 2017</v>
      </c>
      <c r="N9" s="318">
        <f t="shared" si="5"/>
        <v>11</v>
      </c>
      <c r="O9" s="24">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59" t="s">
        <v>22</v>
      </c>
      <c r="K10" s="11" t="s">
        <v>56</v>
      </c>
      <c r="L10" s="5" t="str">
        <f t="shared" si="0"/>
        <v>00009</v>
      </c>
      <c r="M10" s="46" t="str">
        <f t="shared" si="1"/>
        <v>11 de enero de 2017</v>
      </c>
      <c r="N10" s="318">
        <f t="shared" si="5"/>
        <v>11</v>
      </c>
      <c r="O10" s="24">
        <f t="shared" si="2"/>
        <v>42736</v>
      </c>
      <c r="P10" s="5" t="str">
        <f t="shared" si="3"/>
        <v>0,11</v>
      </c>
      <c r="Q10" s="4" t="e">
        <f t="shared" ca="1" si="4"/>
        <v>#NAME?</v>
      </c>
    </row>
    <row r="11" spans="1:17">
      <c r="A11" s="1">
        <f t="shared" si="6"/>
        <v>10</v>
      </c>
      <c r="C11" s="8" t="s">
        <v>17</v>
      </c>
      <c r="D11" s="2">
        <v>42750</v>
      </c>
      <c r="E11" s="3">
        <f>12000/100000</f>
        <v>0.12</v>
      </c>
      <c r="F11" s="19" t="s">
        <v>57</v>
      </c>
      <c r="G11" s="18" t="s">
        <v>58</v>
      </c>
      <c r="H11" s="20" t="s">
        <v>59</v>
      </c>
      <c r="I11" s="6" t="s">
        <v>60</v>
      </c>
      <c r="J11" s="59" t="s">
        <v>22</v>
      </c>
      <c r="K11" s="21" t="s">
        <v>61</v>
      </c>
      <c r="L11" s="5" t="str">
        <f t="shared" si="0"/>
        <v>00010</v>
      </c>
      <c r="M11" s="46" t="str">
        <f t="shared" si="1"/>
        <v>15 de enero de 2017</v>
      </c>
      <c r="N11" s="318">
        <f t="shared" si="5"/>
        <v>15</v>
      </c>
      <c r="O11" s="24">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59" t="s">
        <v>22</v>
      </c>
      <c r="K12" s="11" t="s">
        <v>65</v>
      </c>
      <c r="L12" s="5" t="str">
        <f t="shared" si="0"/>
        <v>00011</v>
      </c>
      <c r="M12" s="46" t="str">
        <f t="shared" si="1"/>
        <v>13 de enero de 2017</v>
      </c>
      <c r="N12" s="318">
        <f t="shared" si="5"/>
        <v>13</v>
      </c>
      <c r="O12" s="24">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59" t="s">
        <v>22</v>
      </c>
      <c r="K13" s="11" t="s">
        <v>69</v>
      </c>
      <c r="L13" s="5" t="str">
        <f t="shared" si="0"/>
        <v>00012</v>
      </c>
      <c r="M13" s="46" t="str">
        <f t="shared" si="1"/>
        <v>15 de enero de 2017</v>
      </c>
      <c r="N13" s="318">
        <f t="shared" si="5"/>
        <v>15</v>
      </c>
      <c r="O13" s="24">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59" t="s">
        <v>22</v>
      </c>
      <c r="K14" s="11" t="s">
        <v>73</v>
      </c>
      <c r="L14" s="5" t="str">
        <f t="shared" si="0"/>
        <v>00013</v>
      </c>
      <c r="M14" s="46" t="str">
        <f t="shared" si="1"/>
        <v>19 de enero de 2017</v>
      </c>
      <c r="N14" s="318">
        <f t="shared" si="5"/>
        <v>19</v>
      </c>
      <c r="O14" s="24">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59" t="s">
        <v>22</v>
      </c>
      <c r="K15" s="11" t="s">
        <v>76</v>
      </c>
      <c r="L15" s="5" t="str">
        <f t="shared" si="0"/>
        <v>00014</v>
      </c>
      <c r="M15" s="46" t="str">
        <f t="shared" si="1"/>
        <v>19 de enero de 2017</v>
      </c>
      <c r="N15" s="318">
        <f t="shared" si="5"/>
        <v>19</v>
      </c>
      <c r="O15" s="24">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59" t="s">
        <v>22</v>
      </c>
      <c r="K16" s="11" t="s">
        <v>78</v>
      </c>
      <c r="L16" s="5" t="str">
        <f t="shared" si="0"/>
        <v>00015</v>
      </c>
      <c r="M16" s="46" t="str">
        <f t="shared" si="1"/>
        <v>20 de enero de 2017</v>
      </c>
      <c r="N16" s="318">
        <f t="shared" si="5"/>
        <v>20</v>
      </c>
      <c r="O16" s="24">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59" t="s">
        <v>22</v>
      </c>
      <c r="K17" s="11" t="s">
        <v>79</v>
      </c>
      <c r="L17" s="5" t="str">
        <f t="shared" si="0"/>
        <v>00016</v>
      </c>
      <c r="M17" s="46" t="str">
        <f t="shared" si="1"/>
        <v>20 de enero de 2017</v>
      </c>
      <c r="N17" s="318">
        <f t="shared" si="5"/>
        <v>20</v>
      </c>
      <c r="O17" s="24">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59" t="s">
        <v>22</v>
      </c>
      <c r="K18" s="11" t="s">
        <v>83</v>
      </c>
      <c r="L18" s="5" t="str">
        <f t="shared" si="0"/>
        <v>00017</v>
      </c>
      <c r="M18" s="46" t="str">
        <f t="shared" si="1"/>
        <v>20 de enero de 2017</v>
      </c>
      <c r="N18" s="318">
        <f t="shared" si="5"/>
        <v>20</v>
      </c>
      <c r="O18" s="24">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59" t="s">
        <v>22</v>
      </c>
      <c r="K19" s="11" t="s">
        <v>87</v>
      </c>
      <c r="L19" s="5" t="str">
        <f t="shared" si="0"/>
        <v>00018</v>
      </c>
      <c r="M19" s="46" t="str">
        <f t="shared" si="1"/>
        <v>20 de enero de 2017</v>
      </c>
      <c r="N19" s="318">
        <f t="shared" si="5"/>
        <v>20</v>
      </c>
      <c r="O19" s="24">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59" t="s">
        <v>22</v>
      </c>
      <c r="K20" s="11" t="s">
        <v>88</v>
      </c>
      <c r="L20" s="5" t="str">
        <f t="shared" si="0"/>
        <v>00019</v>
      </c>
      <c r="M20" s="46" t="str">
        <f t="shared" si="1"/>
        <v>24 de enero de 2017</v>
      </c>
      <c r="N20" s="318">
        <f t="shared" si="5"/>
        <v>24</v>
      </c>
      <c r="O20" s="24">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59" t="s">
        <v>22</v>
      </c>
      <c r="K21" s="11" t="s">
        <v>89</v>
      </c>
      <c r="L21" s="5" t="str">
        <f t="shared" si="0"/>
        <v>00020</v>
      </c>
      <c r="M21" s="46" t="str">
        <f t="shared" si="1"/>
        <v>24 de enero de 2017</v>
      </c>
      <c r="N21" s="318">
        <f t="shared" si="5"/>
        <v>24</v>
      </c>
      <c r="O21" s="24">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59" t="s">
        <v>22</v>
      </c>
      <c r="K22" s="11" t="s">
        <v>93</v>
      </c>
      <c r="L22" s="5" t="str">
        <f t="shared" si="0"/>
        <v>00021</v>
      </c>
      <c r="M22" s="46" t="str">
        <f t="shared" si="1"/>
        <v>24 de enero de 2017</v>
      </c>
      <c r="N22" s="318">
        <f t="shared" si="5"/>
        <v>24</v>
      </c>
      <c r="O22" s="24">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59" t="s">
        <v>22</v>
      </c>
      <c r="K23" s="11" t="s">
        <v>97</v>
      </c>
      <c r="L23" s="5" t="str">
        <f t="shared" si="0"/>
        <v>00022</v>
      </c>
      <c r="M23" s="46" t="str">
        <f t="shared" si="1"/>
        <v>25 de enero de 2017</v>
      </c>
      <c r="N23" s="318">
        <f t="shared" si="5"/>
        <v>25</v>
      </c>
      <c r="O23" s="24">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59" t="s">
        <v>22</v>
      </c>
      <c r="K24" s="11" t="s">
        <v>99</v>
      </c>
      <c r="L24" s="5" t="str">
        <f t="shared" si="0"/>
        <v>00023</v>
      </c>
      <c r="M24" s="46" t="str">
        <f t="shared" si="1"/>
        <v>25 de enero de 2017</v>
      </c>
      <c r="N24" s="318">
        <f t="shared" si="5"/>
        <v>25</v>
      </c>
      <c r="O24" s="24">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59" t="s">
        <v>22</v>
      </c>
      <c r="K25" s="11" t="s">
        <v>102</v>
      </c>
      <c r="L25" s="5" t="str">
        <f t="shared" si="0"/>
        <v>00024</v>
      </c>
      <c r="M25" s="46" t="str">
        <f t="shared" si="1"/>
        <v>25 de enero de 2017</v>
      </c>
      <c r="N25" s="318">
        <f t="shared" si="5"/>
        <v>25</v>
      </c>
      <c r="O25" s="24">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59" t="s">
        <v>22</v>
      </c>
      <c r="K26" s="11" t="s">
        <v>106</v>
      </c>
      <c r="L26" s="5" t="str">
        <f t="shared" si="0"/>
        <v>00025</v>
      </c>
      <c r="M26" s="46" t="str">
        <f t="shared" si="1"/>
        <v>26 de enero de 2017</v>
      </c>
      <c r="N26" s="318">
        <f t="shared" si="5"/>
        <v>26</v>
      </c>
      <c r="O26" s="24">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59" t="s">
        <v>22</v>
      </c>
      <c r="K27" s="11" t="s">
        <v>110</v>
      </c>
      <c r="L27" s="5" t="str">
        <f t="shared" si="0"/>
        <v>00026</v>
      </c>
      <c r="M27" s="46" t="str">
        <f t="shared" si="1"/>
        <v>27 de enero de 2017</v>
      </c>
      <c r="N27" s="318">
        <f t="shared" si="5"/>
        <v>27</v>
      </c>
      <c r="O27" s="24">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59" t="s">
        <v>22</v>
      </c>
      <c r="K28" s="11" t="s">
        <v>111</v>
      </c>
      <c r="L28" s="5" t="str">
        <f t="shared" si="0"/>
        <v>00027</v>
      </c>
      <c r="M28" s="46" t="str">
        <f t="shared" si="1"/>
        <v>30 de enero de 2017</v>
      </c>
      <c r="N28" s="318">
        <f t="shared" si="5"/>
        <v>30</v>
      </c>
      <c r="O28" s="24">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59" t="s">
        <v>22</v>
      </c>
      <c r="K29" s="11" t="s">
        <v>113</v>
      </c>
      <c r="L29" s="5" t="str">
        <f t="shared" si="0"/>
        <v>00028</v>
      </c>
      <c r="M29" s="46" t="str">
        <f t="shared" si="1"/>
        <v>30 de enero de 2017</v>
      </c>
      <c r="N29" s="318">
        <f t="shared" si="5"/>
        <v>30</v>
      </c>
      <c r="O29" s="24">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59" t="s">
        <v>22</v>
      </c>
      <c r="K30" s="11" t="s">
        <v>117</v>
      </c>
      <c r="L30" s="5" t="str">
        <f t="shared" si="0"/>
        <v>00029</v>
      </c>
      <c r="M30" s="46" t="str">
        <f t="shared" si="1"/>
        <v>31 de enero de 2017</v>
      </c>
      <c r="N30" s="318">
        <f t="shared" si="5"/>
        <v>31</v>
      </c>
      <c r="O30" s="24">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59" t="s">
        <v>22</v>
      </c>
      <c r="K31" s="11" t="s">
        <v>121</v>
      </c>
      <c r="L31" s="5" t="str">
        <f t="shared" si="0"/>
        <v>00030</v>
      </c>
      <c r="M31" s="46" t="str">
        <f t="shared" si="1"/>
        <v>31 de enero de 2017</v>
      </c>
      <c r="N31" s="318">
        <f t="shared" si="5"/>
        <v>31</v>
      </c>
      <c r="O31" s="24">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59" t="s">
        <v>22</v>
      </c>
      <c r="K32" s="11" t="s">
        <v>125</v>
      </c>
      <c r="L32" s="5" t="str">
        <f t="shared" si="0"/>
        <v>00031</v>
      </c>
      <c r="M32" s="46" t="str">
        <f t="shared" si="1"/>
        <v>01 de febrero de 2017</v>
      </c>
      <c r="N32" s="318">
        <f t="shared" si="5"/>
        <v>1</v>
      </c>
      <c r="O32" s="24">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59" t="s">
        <v>22</v>
      </c>
      <c r="K33" s="11" t="s">
        <v>129</v>
      </c>
      <c r="L33" s="5" t="str">
        <f t="shared" si="0"/>
        <v>00032</v>
      </c>
      <c r="M33" s="46" t="str">
        <f t="shared" si="1"/>
        <v>01 de febrero de 2017</v>
      </c>
      <c r="N33" s="318">
        <f t="shared" si="5"/>
        <v>1</v>
      </c>
      <c r="O33" s="24">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59" t="s">
        <v>22</v>
      </c>
      <c r="K34" s="11" t="s">
        <v>133</v>
      </c>
      <c r="L34" s="5" t="str">
        <f t="shared" si="0"/>
        <v>00033</v>
      </c>
      <c r="M34" s="46" t="str">
        <f t="shared" si="1"/>
        <v>01 de febrero de 2017</v>
      </c>
      <c r="N34" s="318">
        <f t="shared" si="5"/>
        <v>1</v>
      </c>
      <c r="O34" s="24">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59" t="s">
        <v>22</v>
      </c>
      <c r="K35" s="11" t="s">
        <v>137</v>
      </c>
      <c r="L35" s="5" t="str">
        <f t="shared" si="0"/>
        <v>00034</v>
      </c>
      <c r="M35" s="46" t="str">
        <f t="shared" si="1"/>
        <v>02 de febrero de 2017</v>
      </c>
      <c r="N35" s="318">
        <f t="shared" si="5"/>
        <v>2</v>
      </c>
      <c r="O35" s="24">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59" t="s">
        <v>22</v>
      </c>
      <c r="K36" s="11" t="s">
        <v>141</v>
      </c>
      <c r="L36" s="5" t="str">
        <f t="shared" si="0"/>
        <v>00035</v>
      </c>
      <c r="M36" s="46" t="str">
        <f t="shared" si="1"/>
        <v>02 de febrero de 2017</v>
      </c>
      <c r="N36" s="318">
        <f t="shared" si="5"/>
        <v>2</v>
      </c>
      <c r="O36" s="24">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59" t="s">
        <v>22</v>
      </c>
      <c r="K37" s="11" t="s">
        <v>143</v>
      </c>
      <c r="L37" s="5" t="str">
        <f t="shared" si="0"/>
        <v>00036</v>
      </c>
      <c r="M37" s="46" t="str">
        <f t="shared" si="1"/>
        <v>02 de febrero de 2017</v>
      </c>
      <c r="N37" s="318">
        <f t="shared" si="5"/>
        <v>2</v>
      </c>
      <c r="O37" s="24">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59" t="s">
        <v>22</v>
      </c>
      <c r="K38" s="11" t="s">
        <v>147</v>
      </c>
      <c r="L38" s="5" t="str">
        <f t="shared" si="0"/>
        <v>00037</v>
      </c>
      <c r="M38" s="46" t="str">
        <f t="shared" si="1"/>
        <v>02 de febrero de 2017</v>
      </c>
      <c r="N38" s="318">
        <f t="shared" si="5"/>
        <v>2</v>
      </c>
      <c r="O38" s="24">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59" t="s">
        <v>22</v>
      </c>
      <c r="K39" s="11" t="s">
        <v>151</v>
      </c>
      <c r="L39" s="5" t="str">
        <f t="shared" si="0"/>
        <v>00038</v>
      </c>
      <c r="M39" s="46" t="str">
        <f t="shared" si="1"/>
        <v>03 de febrero de 2017</v>
      </c>
      <c r="N39" s="318">
        <f t="shared" si="5"/>
        <v>3</v>
      </c>
      <c r="O39" s="24">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59" t="s">
        <v>22</v>
      </c>
      <c r="K40" s="11" t="s">
        <v>155</v>
      </c>
      <c r="L40" s="5" t="str">
        <f t="shared" si="0"/>
        <v>00039</v>
      </c>
      <c r="M40" s="46" t="str">
        <f t="shared" si="1"/>
        <v>03 de febrero de 2017</v>
      </c>
      <c r="N40" s="318">
        <f t="shared" si="5"/>
        <v>3</v>
      </c>
      <c r="O40" s="24">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59" t="s">
        <v>22</v>
      </c>
      <c r="K41" s="11" t="s">
        <v>157</v>
      </c>
      <c r="L41" s="5" t="str">
        <f t="shared" si="0"/>
        <v>00040</v>
      </c>
      <c r="M41" s="46" t="str">
        <f t="shared" si="1"/>
        <v>04 de febrero de 2017</v>
      </c>
      <c r="N41" s="318">
        <f t="shared" si="5"/>
        <v>4</v>
      </c>
      <c r="O41" s="24">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59" t="s">
        <v>22</v>
      </c>
      <c r="K42" s="11" t="s">
        <v>159</v>
      </c>
      <c r="L42" s="5" t="str">
        <f t="shared" si="0"/>
        <v>00041</v>
      </c>
      <c r="M42" s="46" t="str">
        <f t="shared" si="1"/>
        <v>05 de febrero de 2017</v>
      </c>
      <c r="N42" s="318">
        <f t="shared" si="5"/>
        <v>5</v>
      </c>
      <c r="O42" s="24">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59" t="s">
        <v>22</v>
      </c>
      <c r="K43" s="11" t="s">
        <v>160</v>
      </c>
      <c r="L43" s="5" t="str">
        <f t="shared" si="0"/>
        <v>00042</v>
      </c>
      <c r="M43" s="46" t="str">
        <f t="shared" si="1"/>
        <v>05 de febrero de 2017</v>
      </c>
      <c r="N43" s="318">
        <f t="shared" si="5"/>
        <v>5</v>
      </c>
      <c r="O43" s="24">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59" t="s">
        <v>22</v>
      </c>
      <c r="K44" s="11" t="s">
        <v>161</v>
      </c>
      <c r="L44" s="5" t="str">
        <f t="shared" si="0"/>
        <v>00043</v>
      </c>
      <c r="M44" s="46" t="str">
        <f t="shared" si="1"/>
        <v>07 de febrero de 2017</v>
      </c>
      <c r="N44" s="318">
        <f t="shared" si="5"/>
        <v>7</v>
      </c>
      <c r="O44" s="24">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59" t="s">
        <v>22</v>
      </c>
      <c r="K45" s="11" t="s">
        <v>165</v>
      </c>
      <c r="L45" s="5" t="str">
        <f t="shared" si="0"/>
        <v>00044</v>
      </c>
      <c r="M45" s="46" t="str">
        <f t="shared" si="1"/>
        <v>08 de febrero de 2017</v>
      </c>
      <c r="N45" s="318">
        <f t="shared" si="5"/>
        <v>8</v>
      </c>
      <c r="O45" s="24">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59" t="s">
        <v>22</v>
      </c>
      <c r="K46" s="11" t="s">
        <v>166</v>
      </c>
      <c r="L46" s="5" t="str">
        <f t="shared" si="0"/>
        <v>00045</v>
      </c>
      <c r="M46" s="46" t="str">
        <f t="shared" si="1"/>
        <v>08 de febrero de 2017</v>
      </c>
      <c r="N46" s="318">
        <f t="shared" si="5"/>
        <v>8</v>
      </c>
      <c r="O46" s="24">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59" t="s">
        <v>22</v>
      </c>
      <c r="K47" s="11" t="s">
        <v>170</v>
      </c>
      <c r="L47" s="5" t="str">
        <f t="shared" si="0"/>
        <v>00046</v>
      </c>
      <c r="M47" s="46" t="str">
        <f t="shared" si="1"/>
        <v>08 de febrero de 2017</v>
      </c>
      <c r="N47" s="318">
        <f t="shared" si="5"/>
        <v>8</v>
      </c>
      <c r="O47" s="24">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59" t="s">
        <v>22</v>
      </c>
      <c r="K48" s="11" t="s">
        <v>173</v>
      </c>
      <c r="L48" s="5" t="str">
        <f t="shared" si="0"/>
        <v>00047</v>
      </c>
      <c r="M48" s="46" t="str">
        <f t="shared" si="1"/>
        <v>08 de febrero de 2017</v>
      </c>
      <c r="N48" s="318">
        <f t="shared" si="5"/>
        <v>8</v>
      </c>
      <c r="O48" s="24">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59" t="s">
        <v>22</v>
      </c>
      <c r="K49" s="11" t="s">
        <v>174</v>
      </c>
      <c r="L49" s="5" t="str">
        <f t="shared" si="0"/>
        <v>00048</v>
      </c>
      <c r="M49" s="46" t="str">
        <f t="shared" si="1"/>
        <v>08 de febrero de 2017</v>
      </c>
      <c r="N49" s="318">
        <f t="shared" si="5"/>
        <v>8</v>
      </c>
      <c r="O49" s="24">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59" t="s">
        <v>22</v>
      </c>
      <c r="K50" s="11" t="s">
        <v>175</v>
      </c>
      <c r="L50" s="5" t="str">
        <f t="shared" si="0"/>
        <v>00049</v>
      </c>
      <c r="M50" s="46" t="str">
        <f t="shared" si="1"/>
        <v>08 de febrero de 2017</v>
      </c>
      <c r="N50" s="318">
        <f t="shared" si="5"/>
        <v>8</v>
      </c>
      <c r="O50" s="24">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59" t="s">
        <v>22</v>
      </c>
      <c r="K51" s="11" t="s">
        <v>176</v>
      </c>
      <c r="L51" s="5" t="str">
        <f t="shared" si="0"/>
        <v>00050</v>
      </c>
      <c r="M51" s="46" t="str">
        <f t="shared" si="1"/>
        <v>09 de febrero de 2017</v>
      </c>
      <c r="N51" s="318">
        <f t="shared" si="5"/>
        <v>9</v>
      </c>
      <c r="O51" s="24">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59" t="s">
        <v>22</v>
      </c>
      <c r="K52" s="11" t="s">
        <v>180</v>
      </c>
      <c r="L52" s="5" t="str">
        <f t="shared" si="0"/>
        <v>00051</v>
      </c>
      <c r="M52" s="46" t="str">
        <f t="shared" si="1"/>
        <v>09 de febrero de 2017</v>
      </c>
      <c r="N52" s="318">
        <f t="shared" si="5"/>
        <v>9</v>
      </c>
      <c r="O52" s="24">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59" t="s">
        <v>22</v>
      </c>
      <c r="K53" s="11" t="s">
        <v>184</v>
      </c>
      <c r="L53" s="5" t="str">
        <f t="shared" si="0"/>
        <v>00052</v>
      </c>
      <c r="M53" s="46" t="str">
        <f t="shared" si="1"/>
        <v>09 de febrero de 2017</v>
      </c>
      <c r="N53" s="318">
        <f t="shared" si="5"/>
        <v>9</v>
      </c>
      <c r="O53" s="24">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59" t="s">
        <v>22</v>
      </c>
      <c r="K54" s="11" t="s">
        <v>188</v>
      </c>
      <c r="L54" s="5" t="str">
        <f t="shared" si="0"/>
        <v>00053</v>
      </c>
      <c r="M54" s="46" t="str">
        <f t="shared" si="1"/>
        <v>11 de febrero de 2017</v>
      </c>
      <c r="N54" s="318">
        <f t="shared" si="5"/>
        <v>11</v>
      </c>
      <c r="O54" s="24">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59" t="s">
        <v>22</v>
      </c>
      <c r="K55" s="11" t="s">
        <v>189</v>
      </c>
      <c r="L55" s="5" t="str">
        <f t="shared" si="0"/>
        <v>00054</v>
      </c>
      <c r="M55" s="46" t="str">
        <f t="shared" si="1"/>
        <v>12 de febrero de 2017</v>
      </c>
      <c r="N55" s="318">
        <f t="shared" si="5"/>
        <v>12</v>
      </c>
      <c r="O55" s="24">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59" t="s">
        <v>22</v>
      </c>
      <c r="K56" s="11" t="s">
        <v>190</v>
      </c>
      <c r="L56" s="5" t="str">
        <f t="shared" si="0"/>
        <v>00055</v>
      </c>
      <c r="M56" s="46" t="str">
        <f t="shared" si="1"/>
        <v>12 de febrero de 2017</v>
      </c>
      <c r="N56" s="318">
        <f t="shared" si="5"/>
        <v>12</v>
      </c>
      <c r="O56" s="24">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59" t="s">
        <v>22</v>
      </c>
      <c r="K57" s="11" t="s">
        <v>191</v>
      </c>
      <c r="L57" s="5" t="str">
        <f t="shared" si="0"/>
        <v>00056</v>
      </c>
      <c r="M57" s="46" t="str">
        <f t="shared" si="1"/>
        <v>12 de febrero de 2017</v>
      </c>
      <c r="N57" s="318">
        <f t="shared" si="5"/>
        <v>12</v>
      </c>
      <c r="O57" s="24">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59" t="s">
        <v>22</v>
      </c>
      <c r="K58" s="11" t="s">
        <v>192</v>
      </c>
      <c r="L58" s="5" t="str">
        <f t="shared" si="0"/>
        <v>00057</v>
      </c>
      <c r="M58" s="46" t="str">
        <f t="shared" si="1"/>
        <v>13 de febrero de 2017</v>
      </c>
      <c r="N58" s="318">
        <f t="shared" si="5"/>
        <v>13</v>
      </c>
      <c r="O58" s="24">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59" t="s">
        <v>22</v>
      </c>
      <c r="K59" s="11" t="s">
        <v>193</v>
      </c>
      <c r="L59" s="5" t="str">
        <f t="shared" si="0"/>
        <v>00058</v>
      </c>
      <c r="M59" s="46" t="str">
        <f t="shared" si="1"/>
        <v>14 de febrero de 2017</v>
      </c>
      <c r="N59" s="318">
        <f t="shared" si="5"/>
        <v>14</v>
      </c>
      <c r="O59" s="24">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59" t="s">
        <v>22</v>
      </c>
      <c r="K60" s="11" t="s">
        <v>194</v>
      </c>
      <c r="L60" s="5" t="str">
        <f t="shared" si="0"/>
        <v>00059</v>
      </c>
      <c r="M60" s="46" t="str">
        <f t="shared" si="1"/>
        <v>14 de febrero de 2017</v>
      </c>
      <c r="N60" s="318">
        <f t="shared" si="5"/>
        <v>14</v>
      </c>
      <c r="O60" s="24">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59" t="s">
        <v>22</v>
      </c>
      <c r="K61" s="11" t="s">
        <v>196</v>
      </c>
      <c r="L61" s="5" t="str">
        <f t="shared" si="0"/>
        <v>00060</v>
      </c>
      <c r="M61" s="46" t="str">
        <f t="shared" si="1"/>
        <v>14 de febrero de 2017</v>
      </c>
      <c r="N61" s="318">
        <f t="shared" si="5"/>
        <v>14</v>
      </c>
      <c r="O61" s="24">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59" t="s">
        <v>22</v>
      </c>
      <c r="K62" s="11" t="s">
        <v>200</v>
      </c>
      <c r="L62" s="5" t="str">
        <f t="shared" si="0"/>
        <v>00061</v>
      </c>
      <c r="M62" s="46" t="str">
        <f t="shared" si="1"/>
        <v>14 de febrero de 2017</v>
      </c>
      <c r="N62" s="318">
        <f t="shared" si="5"/>
        <v>14</v>
      </c>
      <c r="O62" s="24">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59" t="s">
        <v>22</v>
      </c>
      <c r="K63" s="11" t="s">
        <v>204</v>
      </c>
      <c r="L63" s="5" t="str">
        <f t="shared" si="0"/>
        <v>00062</v>
      </c>
      <c r="M63" s="46" t="str">
        <f t="shared" si="1"/>
        <v>14 de febrero de 2017</v>
      </c>
      <c r="N63" s="318">
        <f t="shared" si="5"/>
        <v>14</v>
      </c>
      <c r="O63" s="24">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59" t="s">
        <v>22</v>
      </c>
      <c r="K64" s="11" t="s">
        <v>205</v>
      </c>
      <c r="L64" s="5" t="str">
        <f t="shared" si="0"/>
        <v>00063</v>
      </c>
      <c r="M64" s="46" t="str">
        <f t="shared" si="1"/>
        <v>14 de febrero de 2017</v>
      </c>
      <c r="N64" s="318">
        <f t="shared" si="5"/>
        <v>14</v>
      </c>
      <c r="O64" s="24">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59" t="s">
        <v>22</v>
      </c>
      <c r="K65" s="11" t="s">
        <v>209</v>
      </c>
      <c r="L65" s="5" t="str">
        <f t="shared" si="0"/>
        <v>00064</v>
      </c>
      <c r="M65" s="46" t="str">
        <f t="shared" si="1"/>
        <v>15 de febrero de 2017</v>
      </c>
      <c r="N65" s="318">
        <f t="shared" si="5"/>
        <v>15</v>
      </c>
      <c r="O65" s="24">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59" t="s">
        <v>22</v>
      </c>
      <c r="K66" s="11" t="s">
        <v>210</v>
      </c>
      <c r="L66" s="5" t="str">
        <f t="shared" ref="L66:L129" si="8">IF(ISBLANK(A66),"",TEXT(A66,"00000"))</f>
        <v>00065</v>
      </c>
      <c r="M66" s="46" t="str">
        <f t="shared" ref="M66:M129" si="9">IF(ISBLANK(D66),"",TEXT(D66,"dd")&amp;" de "&amp;TEXT(D66,"mmmm")&amp;" de "&amp;TEXT(YEAR(D66),"0"))</f>
        <v>15 de febrero de 2017</v>
      </c>
      <c r="N66" s="318">
        <f t="shared" si="5"/>
        <v>15</v>
      </c>
      <c r="O66" s="24">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59" t="s">
        <v>22</v>
      </c>
      <c r="K67" s="11" t="s">
        <v>214</v>
      </c>
      <c r="L67" s="5" t="str">
        <f t="shared" si="8"/>
        <v>00066</v>
      </c>
      <c r="M67" s="46" t="str">
        <f t="shared" si="9"/>
        <v>15 de febrero de 2017</v>
      </c>
      <c r="N67" s="318">
        <f t="shared" ref="N67:N130" si="13">DAY(D67)</f>
        <v>15</v>
      </c>
      <c r="O67" s="24">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59" t="s">
        <v>22</v>
      </c>
      <c r="K68" s="11" t="s">
        <v>218</v>
      </c>
      <c r="L68" s="5" t="str">
        <f t="shared" si="8"/>
        <v>00067</v>
      </c>
      <c r="M68" s="46" t="str">
        <f t="shared" si="9"/>
        <v>15 de febrero de 2017</v>
      </c>
      <c r="N68" s="318">
        <f t="shared" si="13"/>
        <v>15</v>
      </c>
      <c r="O68" s="24">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59" t="s">
        <v>22</v>
      </c>
      <c r="K69" s="11" t="s">
        <v>223</v>
      </c>
      <c r="L69" s="5" t="str">
        <f t="shared" si="8"/>
        <v>00068</v>
      </c>
      <c r="M69" s="46" t="str">
        <f t="shared" si="9"/>
        <v>15 de febrero de 2017</v>
      </c>
      <c r="N69" s="318">
        <f t="shared" si="13"/>
        <v>15</v>
      </c>
      <c r="O69" s="24">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59" t="s">
        <v>22</v>
      </c>
      <c r="K70" s="11" t="s">
        <v>224</v>
      </c>
      <c r="L70" s="5" t="str">
        <f t="shared" si="8"/>
        <v>00069</v>
      </c>
      <c r="M70" s="46" t="str">
        <f t="shared" si="9"/>
        <v>15 de febrero de 2017</v>
      </c>
      <c r="N70" s="318">
        <f t="shared" si="13"/>
        <v>15</v>
      </c>
      <c r="O70" s="24">
        <f t="shared" si="10"/>
        <v>42767</v>
      </c>
      <c r="P70" s="5" t="str">
        <f t="shared" si="11"/>
        <v>0,10</v>
      </c>
      <c r="Q70" s="4" t="e">
        <f t="shared" ca="1" si="12"/>
        <v>#NAME?</v>
      </c>
    </row>
    <row r="71" spans="1:17">
      <c r="A71" s="1">
        <f t="shared" si="14"/>
        <v>70</v>
      </c>
      <c r="B71" s="541"/>
      <c r="C71" s="12" t="s">
        <v>225</v>
      </c>
      <c r="D71" s="17">
        <v>42782</v>
      </c>
      <c r="E71" s="13">
        <f>170000/100000</f>
        <v>1.7</v>
      </c>
      <c r="F71" s="14" t="s">
        <v>18</v>
      </c>
      <c r="G71" s="14" t="s">
        <v>19</v>
      </c>
      <c r="H71" s="14" t="s">
        <v>20</v>
      </c>
      <c r="I71" s="15" t="s">
        <v>226</v>
      </c>
      <c r="J71" s="60" t="s">
        <v>227</v>
      </c>
      <c r="K71" s="16" t="s">
        <v>228</v>
      </c>
      <c r="L71" s="5" t="str">
        <f t="shared" si="8"/>
        <v>00070</v>
      </c>
      <c r="M71" s="46" t="str">
        <f t="shared" si="9"/>
        <v>16 de febrero de 2017</v>
      </c>
      <c r="N71" s="318">
        <f t="shared" si="13"/>
        <v>16</v>
      </c>
      <c r="O71" s="24">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59" t="s">
        <v>22</v>
      </c>
      <c r="K72" s="11" t="s">
        <v>229</v>
      </c>
      <c r="L72" s="5" t="str">
        <f t="shared" si="8"/>
        <v>00071</v>
      </c>
      <c r="M72" s="46" t="str">
        <f t="shared" si="9"/>
        <v>16 de febrero de 2017</v>
      </c>
      <c r="N72" s="318">
        <f t="shared" si="13"/>
        <v>16</v>
      </c>
      <c r="O72" s="24">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59" t="s">
        <v>22</v>
      </c>
      <c r="K73" s="11" t="s">
        <v>233</v>
      </c>
      <c r="L73" s="5" t="str">
        <f t="shared" si="8"/>
        <v>00072</v>
      </c>
      <c r="M73" s="46" t="str">
        <f t="shared" si="9"/>
        <v>16 de febrero de 2017</v>
      </c>
      <c r="N73" s="318">
        <f t="shared" si="13"/>
        <v>16</v>
      </c>
      <c r="O73" s="24">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59" t="s">
        <v>22</v>
      </c>
      <c r="K74" s="11" t="s">
        <v>234</v>
      </c>
      <c r="L74" s="5" t="str">
        <f t="shared" si="8"/>
        <v>00073</v>
      </c>
      <c r="M74" s="46" t="str">
        <f t="shared" si="9"/>
        <v>16 de febrero de 2017</v>
      </c>
      <c r="N74" s="318">
        <f t="shared" si="13"/>
        <v>16</v>
      </c>
      <c r="O74" s="24">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59" t="s">
        <v>22</v>
      </c>
      <c r="K75" s="11" t="s">
        <v>235</v>
      </c>
      <c r="L75" s="5" t="str">
        <f t="shared" si="8"/>
        <v>00074</v>
      </c>
      <c r="M75" s="46" t="str">
        <f t="shared" si="9"/>
        <v>17 de febrero de 2017</v>
      </c>
      <c r="N75" s="318">
        <f t="shared" si="13"/>
        <v>17</v>
      </c>
      <c r="O75" s="24">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59" t="s">
        <v>22</v>
      </c>
      <c r="K76" s="11" t="s">
        <v>236</v>
      </c>
      <c r="L76" s="5" t="str">
        <f t="shared" si="8"/>
        <v>00075</v>
      </c>
      <c r="M76" s="46" t="str">
        <f t="shared" si="9"/>
        <v>17 de febrero de 2017</v>
      </c>
      <c r="N76" s="318">
        <f t="shared" si="13"/>
        <v>17</v>
      </c>
      <c r="O76" s="24">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59" t="s">
        <v>22</v>
      </c>
      <c r="K77" s="11" t="s">
        <v>237</v>
      </c>
      <c r="L77" s="5" t="str">
        <f t="shared" si="8"/>
        <v>00076</v>
      </c>
      <c r="M77" s="46" t="str">
        <f t="shared" si="9"/>
        <v>18 de febrero de 2017</v>
      </c>
      <c r="N77" s="318">
        <f t="shared" si="13"/>
        <v>18</v>
      </c>
      <c r="O77" s="24">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59" t="s">
        <v>22</v>
      </c>
      <c r="K78" s="11" t="s">
        <v>238</v>
      </c>
      <c r="L78" s="5" t="str">
        <f t="shared" si="8"/>
        <v>00077</v>
      </c>
      <c r="M78" s="46" t="str">
        <f t="shared" si="9"/>
        <v>18 de febrero de 2017</v>
      </c>
      <c r="N78" s="318">
        <f t="shared" si="13"/>
        <v>18</v>
      </c>
      <c r="O78" s="24">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59" t="s">
        <v>22</v>
      </c>
      <c r="K79" s="11" t="s">
        <v>242</v>
      </c>
      <c r="L79" s="5" t="str">
        <f t="shared" si="8"/>
        <v>00078</v>
      </c>
      <c r="M79" s="46" t="str">
        <f t="shared" si="9"/>
        <v>18 de febrero de 2017</v>
      </c>
      <c r="N79" s="318">
        <f t="shared" si="13"/>
        <v>18</v>
      </c>
      <c r="O79" s="24">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59" t="s">
        <v>22</v>
      </c>
      <c r="K80" s="11" t="s">
        <v>246</v>
      </c>
      <c r="L80" s="5" t="str">
        <f t="shared" si="8"/>
        <v>00079</v>
      </c>
      <c r="M80" s="46" t="str">
        <f t="shared" si="9"/>
        <v>18 de febrero de 2017</v>
      </c>
      <c r="N80" s="318">
        <f t="shared" si="13"/>
        <v>18</v>
      </c>
      <c r="O80" s="24">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59" t="s">
        <v>22</v>
      </c>
      <c r="K81" s="11" t="s">
        <v>247</v>
      </c>
      <c r="L81" s="5" t="str">
        <f t="shared" si="8"/>
        <v>00080</v>
      </c>
      <c r="M81" s="46" t="str">
        <f t="shared" si="9"/>
        <v>18 de febrero de 2017</v>
      </c>
      <c r="N81" s="318">
        <f t="shared" si="13"/>
        <v>18</v>
      </c>
      <c r="O81" s="24">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59" t="s">
        <v>22</v>
      </c>
      <c r="K82" s="11" t="s">
        <v>251</v>
      </c>
      <c r="L82" s="5" t="str">
        <f t="shared" si="8"/>
        <v>00081</v>
      </c>
      <c r="M82" s="46" t="str">
        <f t="shared" si="9"/>
        <v>18 de febrero de 2017</v>
      </c>
      <c r="N82" s="318">
        <f t="shared" si="13"/>
        <v>18</v>
      </c>
      <c r="O82" s="24">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59" t="s">
        <v>22</v>
      </c>
      <c r="K83" s="11" t="s">
        <v>255</v>
      </c>
      <c r="L83" s="5" t="str">
        <f t="shared" si="8"/>
        <v>00082</v>
      </c>
      <c r="M83" s="46" t="str">
        <f t="shared" si="9"/>
        <v>19 de febrero de 2017</v>
      </c>
      <c r="N83" s="318">
        <f t="shared" si="13"/>
        <v>19</v>
      </c>
      <c r="O83" s="24">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59" t="s">
        <v>22</v>
      </c>
      <c r="K84" s="11" t="s">
        <v>256</v>
      </c>
      <c r="L84" s="5" t="str">
        <f t="shared" si="8"/>
        <v>00083</v>
      </c>
      <c r="M84" s="46" t="str">
        <f t="shared" si="9"/>
        <v>20 de febrero de 2017</v>
      </c>
      <c r="N84" s="318">
        <f t="shared" si="13"/>
        <v>20</v>
      </c>
      <c r="O84" s="24">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59" t="s">
        <v>22</v>
      </c>
      <c r="K85" s="11" t="s">
        <v>257</v>
      </c>
      <c r="L85" s="5" t="str">
        <f t="shared" si="8"/>
        <v>00084</v>
      </c>
      <c r="M85" s="46" t="str">
        <f t="shared" si="9"/>
        <v>20 de febrero de 2017</v>
      </c>
      <c r="N85" s="318">
        <f t="shared" si="13"/>
        <v>20</v>
      </c>
      <c r="O85" s="24">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59" t="s">
        <v>22</v>
      </c>
      <c r="K86" s="11" t="s">
        <v>258</v>
      </c>
      <c r="L86" s="5" t="str">
        <f t="shared" si="8"/>
        <v>00085</v>
      </c>
      <c r="M86" s="46" t="str">
        <f t="shared" si="9"/>
        <v>20 de febrero de 2017</v>
      </c>
      <c r="N86" s="318">
        <f t="shared" si="13"/>
        <v>20</v>
      </c>
      <c r="O86" s="24">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59" t="s">
        <v>22</v>
      </c>
      <c r="K87" s="11" t="s">
        <v>262</v>
      </c>
      <c r="L87" s="5" t="str">
        <f t="shared" si="8"/>
        <v>00086</v>
      </c>
      <c r="M87" s="46" t="str">
        <f t="shared" si="9"/>
        <v>20 de febrero de 2017</v>
      </c>
      <c r="N87" s="318">
        <f t="shared" si="13"/>
        <v>20</v>
      </c>
      <c r="O87" s="24">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59" t="s">
        <v>22</v>
      </c>
      <c r="K88" s="11" t="s">
        <v>263</v>
      </c>
      <c r="L88" s="5" t="str">
        <f t="shared" si="8"/>
        <v>00087</v>
      </c>
      <c r="M88" s="46" t="str">
        <f t="shared" si="9"/>
        <v>20 de febrero de 2017</v>
      </c>
      <c r="N88" s="318">
        <f t="shared" si="13"/>
        <v>20</v>
      </c>
      <c r="O88" s="24">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59" t="s">
        <v>22</v>
      </c>
      <c r="K89" s="11" t="s">
        <v>267</v>
      </c>
      <c r="L89" s="5" t="str">
        <f t="shared" si="8"/>
        <v>00088</v>
      </c>
      <c r="M89" s="46" t="str">
        <f t="shared" si="9"/>
        <v>22 de febrero de 2017</v>
      </c>
      <c r="N89" s="318">
        <f t="shared" si="13"/>
        <v>22</v>
      </c>
      <c r="O89" s="24">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59" t="s">
        <v>22</v>
      </c>
      <c r="K90" s="11" t="s">
        <v>268</v>
      </c>
      <c r="L90" s="5" t="str">
        <f t="shared" si="8"/>
        <v>00089</v>
      </c>
      <c r="M90" s="46" t="str">
        <f t="shared" si="9"/>
        <v>22 de febrero de 2017</v>
      </c>
      <c r="N90" s="318">
        <f t="shared" si="13"/>
        <v>22</v>
      </c>
      <c r="O90" s="24">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59" t="s">
        <v>22</v>
      </c>
      <c r="K91" s="11" t="s">
        <v>269</v>
      </c>
      <c r="L91" s="5" t="str">
        <f t="shared" si="8"/>
        <v>00090</v>
      </c>
      <c r="M91" s="46" t="str">
        <f t="shared" si="9"/>
        <v>23 de febrero de 2017</v>
      </c>
      <c r="N91" s="318">
        <f t="shared" si="13"/>
        <v>23</v>
      </c>
      <c r="O91" s="24">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59" t="s">
        <v>22</v>
      </c>
      <c r="K92" s="11" t="s">
        <v>273</v>
      </c>
      <c r="L92" s="5" t="str">
        <f t="shared" si="8"/>
        <v>00091</v>
      </c>
      <c r="M92" s="46" t="str">
        <f t="shared" si="9"/>
        <v>23 de febrero de 2017</v>
      </c>
      <c r="N92" s="318">
        <f t="shared" si="13"/>
        <v>23</v>
      </c>
      <c r="O92" s="24">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59" t="s">
        <v>22</v>
      </c>
      <c r="K93" s="11" t="s">
        <v>274</v>
      </c>
      <c r="L93" s="5" t="str">
        <f t="shared" si="8"/>
        <v>00092</v>
      </c>
      <c r="M93" s="46" t="str">
        <f t="shared" si="9"/>
        <v>23 de febrero de 2017</v>
      </c>
      <c r="N93" s="318">
        <f t="shared" si="13"/>
        <v>23</v>
      </c>
      <c r="O93" s="24">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59" t="s">
        <v>22</v>
      </c>
      <c r="K94" s="11" t="s">
        <v>279</v>
      </c>
      <c r="L94" s="5" t="str">
        <f t="shared" si="8"/>
        <v>00093</v>
      </c>
      <c r="M94" s="46" t="str">
        <f t="shared" si="9"/>
        <v>24 de febrero de 2017</v>
      </c>
      <c r="N94" s="318">
        <f t="shared" si="13"/>
        <v>24</v>
      </c>
      <c r="O94" s="24">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59" t="s">
        <v>22</v>
      </c>
      <c r="K95" s="11" t="s">
        <v>283</v>
      </c>
      <c r="L95" s="5" t="str">
        <f t="shared" si="8"/>
        <v>00094</v>
      </c>
      <c r="M95" s="46" t="str">
        <f t="shared" si="9"/>
        <v>24 de febrero de 2017</v>
      </c>
      <c r="N95" s="318">
        <f t="shared" si="13"/>
        <v>24</v>
      </c>
      <c r="O95" s="24">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59" t="s">
        <v>22</v>
      </c>
      <c r="K96" s="11" t="s">
        <v>286</v>
      </c>
      <c r="L96" s="5" t="str">
        <f t="shared" si="8"/>
        <v>00095</v>
      </c>
      <c r="M96" s="46" t="str">
        <f t="shared" si="9"/>
        <v>23 de febrero de 2017</v>
      </c>
      <c r="N96" s="318">
        <f t="shared" si="13"/>
        <v>23</v>
      </c>
      <c r="O96" s="24">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59" t="s">
        <v>22</v>
      </c>
      <c r="K97" s="11" t="s">
        <v>290</v>
      </c>
      <c r="L97" s="5" t="str">
        <f t="shared" si="8"/>
        <v>00096</v>
      </c>
      <c r="M97" s="46" t="str">
        <f t="shared" si="9"/>
        <v>24 de febrero de 2017</v>
      </c>
      <c r="N97" s="318">
        <f t="shared" si="13"/>
        <v>24</v>
      </c>
      <c r="O97" s="24">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59" t="s">
        <v>22</v>
      </c>
      <c r="K98" s="11" t="s">
        <v>295</v>
      </c>
      <c r="L98" s="5" t="str">
        <f t="shared" si="8"/>
        <v>00097</v>
      </c>
      <c r="M98" s="46" t="str">
        <f t="shared" si="9"/>
        <v>24 de febrero de 2017</v>
      </c>
      <c r="N98" s="318">
        <f t="shared" si="13"/>
        <v>24</v>
      </c>
      <c r="O98" s="24">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59" t="s">
        <v>22</v>
      </c>
      <c r="K99" s="11" t="s">
        <v>299</v>
      </c>
      <c r="L99" s="5" t="str">
        <f t="shared" si="8"/>
        <v>00098</v>
      </c>
      <c r="M99" s="46" t="str">
        <f t="shared" si="9"/>
        <v>25 de febrero de 2017</v>
      </c>
      <c r="N99" s="318">
        <f t="shared" si="13"/>
        <v>25</v>
      </c>
      <c r="O99" s="24">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59" t="s">
        <v>22</v>
      </c>
      <c r="K100" s="11" t="s">
        <v>300</v>
      </c>
      <c r="L100" s="5" t="str">
        <f t="shared" si="8"/>
        <v>00099</v>
      </c>
      <c r="M100" s="46" t="str">
        <f t="shared" si="9"/>
        <v>25 de febrero de 2017</v>
      </c>
      <c r="N100" s="318">
        <f t="shared" si="13"/>
        <v>25</v>
      </c>
      <c r="O100" s="24">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59" t="s">
        <v>22</v>
      </c>
      <c r="K101" s="11" t="s">
        <v>302</v>
      </c>
      <c r="L101" s="5" t="str">
        <f t="shared" si="8"/>
        <v>00100</v>
      </c>
      <c r="M101" s="46" t="str">
        <f t="shared" si="9"/>
        <v>01 de marzo de 2017</v>
      </c>
      <c r="N101" s="318">
        <f t="shared" si="13"/>
        <v>1</v>
      </c>
      <c r="O101" s="24">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59" t="s">
        <v>22</v>
      </c>
      <c r="K102" s="11" t="s">
        <v>305</v>
      </c>
      <c r="L102" s="5" t="str">
        <f t="shared" si="8"/>
        <v>00101</v>
      </c>
      <c r="M102" s="46" t="str">
        <f t="shared" si="9"/>
        <v>02 de marzo de 2017</v>
      </c>
      <c r="N102" s="318">
        <f t="shared" si="13"/>
        <v>2</v>
      </c>
      <c r="O102" s="24">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59" t="s">
        <v>22</v>
      </c>
      <c r="K103" s="11" t="s">
        <v>307</v>
      </c>
      <c r="L103" s="5" t="str">
        <f t="shared" si="8"/>
        <v>00102</v>
      </c>
      <c r="M103" s="46" t="str">
        <f t="shared" si="9"/>
        <v>02 de marzo de 2017</v>
      </c>
      <c r="N103" s="318">
        <f t="shared" si="13"/>
        <v>2</v>
      </c>
      <c r="O103" s="24">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59" t="s">
        <v>22</v>
      </c>
      <c r="K104" s="11" t="s">
        <v>309</v>
      </c>
      <c r="L104" s="5" t="str">
        <f t="shared" si="8"/>
        <v>00103</v>
      </c>
      <c r="M104" s="46" t="str">
        <f t="shared" si="9"/>
        <v>02 de marzo de 2017</v>
      </c>
      <c r="N104" s="318">
        <f t="shared" si="13"/>
        <v>2</v>
      </c>
      <c r="O104" s="24">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59" t="s">
        <v>22</v>
      </c>
      <c r="K105" s="11" t="s">
        <v>311</v>
      </c>
      <c r="L105" s="5" t="str">
        <f t="shared" si="8"/>
        <v>00104</v>
      </c>
      <c r="M105" s="46" t="str">
        <f t="shared" si="9"/>
        <v>03 de marzo de 2017</v>
      </c>
      <c r="N105" s="318">
        <f t="shared" si="13"/>
        <v>3</v>
      </c>
      <c r="O105" s="24">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59" t="s">
        <v>22</v>
      </c>
      <c r="K106" s="11" t="s">
        <v>316</v>
      </c>
      <c r="L106" s="5" t="str">
        <f t="shared" si="8"/>
        <v>00105</v>
      </c>
      <c r="M106" s="46" t="str">
        <f t="shared" si="9"/>
        <v>03 de marzo de 2017</v>
      </c>
      <c r="N106" s="318">
        <f t="shared" si="13"/>
        <v>3</v>
      </c>
      <c r="O106" s="24">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59" t="s">
        <v>22</v>
      </c>
      <c r="K107" s="11" t="s">
        <v>318</v>
      </c>
      <c r="L107" s="5" t="str">
        <f t="shared" si="8"/>
        <v>00106</v>
      </c>
      <c r="M107" s="46" t="str">
        <f t="shared" si="9"/>
        <v>05 de marzo de 2017</v>
      </c>
      <c r="N107" s="318">
        <f t="shared" si="13"/>
        <v>5</v>
      </c>
      <c r="O107" s="24">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59" t="s">
        <v>22</v>
      </c>
      <c r="K108" s="11" t="s">
        <v>321</v>
      </c>
      <c r="L108" s="5" t="str">
        <f t="shared" si="8"/>
        <v>00107</v>
      </c>
      <c r="M108" s="46" t="str">
        <f t="shared" si="9"/>
        <v>05 de marzo de 2017</v>
      </c>
      <c r="N108" s="318">
        <f t="shared" si="13"/>
        <v>5</v>
      </c>
      <c r="O108" s="24">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59" t="s">
        <v>22</v>
      </c>
      <c r="K109" s="11" t="s">
        <v>323</v>
      </c>
      <c r="L109" s="5" t="str">
        <f t="shared" si="8"/>
        <v>00108</v>
      </c>
      <c r="M109" s="46" t="str">
        <f t="shared" si="9"/>
        <v>05 de marzo de 2017</v>
      </c>
      <c r="N109" s="318">
        <f t="shared" si="13"/>
        <v>5</v>
      </c>
      <c r="O109" s="24">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59" t="s">
        <v>22</v>
      </c>
      <c r="K110" s="11" t="s">
        <v>327</v>
      </c>
      <c r="L110" s="5" t="str">
        <f t="shared" si="8"/>
        <v>00109</v>
      </c>
      <c r="M110" s="46" t="str">
        <f t="shared" si="9"/>
        <v>06 de marzo de 2017</v>
      </c>
      <c r="N110" s="318">
        <f t="shared" si="13"/>
        <v>6</v>
      </c>
      <c r="O110" s="24">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59" t="s">
        <v>22</v>
      </c>
      <c r="K111" s="11" t="s">
        <v>328</v>
      </c>
      <c r="L111" s="5" t="str">
        <f t="shared" si="8"/>
        <v>00110</v>
      </c>
      <c r="M111" s="46" t="str">
        <f t="shared" si="9"/>
        <v>08 de marzo de 2017</v>
      </c>
      <c r="N111" s="318">
        <f t="shared" si="13"/>
        <v>8</v>
      </c>
      <c r="O111" s="24">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59" t="s">
        <v>22</v>
      </c>
      <c r="K112" s="11" t="s">
        <v>329</v>
      </c>
      <c r="L112" s="5" t="str">
        <f t="shared" si="8"/>
        <v>00111</v>
      </c>
      <c r="M112" s="46" t="str">
        <f t="shared" si="9"/>
        <v>08 de marzo de 2017</v>
      </c>
      <c r="N112" s="318">
        <f t="shared" si="13"/>
        <v>8</v>
      </c>
      <c r="O112" s="24">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59" t="s">
        <v>22</v>
      </c>
      <c r="K113" s="11" t="s">
        <v>330</v>
      </c>
      <c r="L113" s="5" t="str">
        <f t="shared" si="8"/>
        <v>00112</v>
      </c>
      <c r="M113" s="46" t="str">
        <f t="shared" si="9"/>
        <v>08 de marzo de 2017</v>
      </c>
      <c r="N113" s="318">
        <f t="shared" si="13"/>
        <v>8</v>
      </c>
      <c r="O113" s="24">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59" t="s">
        <v>22</v>
      </c>
      <c r="K114" s="11" t="s">
        <v>332</v>
      </c>
      <c r="L114" s="5" t="str">
        <f t="shared" si="8"/>
        <v>00113</v>
      </c>
      <c r="M114" s="46" t="str">
        <f t="shared" si="9"/>
        <v>08 de marzo de 2017</v>
      </c>
      <c r="N114" s="318">
        <f t="shared" si="13"/>
        <v>8</v>
      </c>
      <c r="O114" s="24">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59" t="s">
        <v>22</v>
      </c>
      <c r="K115" s="11" t="s">
        <v>333</v>
      </c>
      <c r="L115" s="5" t="str">
        <f t="shared" si="8"/>
        <v>00114</v>
      </c>
      <c r="M115" s="46" t="str">
        <f t="shared" si="9"/>
        <v>08 de marzo de 2017</v>
      </c>
      <c r="N115" s="318">
        <f t="shared" si="13"/>
        <v>8</v>
      </c>
      <c r="O115" s="24">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59" t="s">
        <v>22</v>
      </c>
      <c r="K116" s="11" t="s">
        <v>336</v>
      </c>
      <c r="L116" s="5" t="str">
        <f t="shared" si="8"/>
        <v>00115</v>
      </c>
      <c r="M116" s="46" t="str">
        <f t="shared" si="9"/>
        <v>08 de marzo de 2017</v>
      </c>
      <c r="N116" s="318">
        <f t="shared" si="13"/>
        <v>8</v>
      </c>
      <c r="O116" s="24">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59" t="s">
        <v>22</v>
      </c>
      <c r="K117" s="11" t="s">
        <v>340</v>
      </c>
      <c r="L117" s="5" t="str">
        <f t="shared" si="8"/>
        <v>00116</v>
      </c>
      <c r="M117" s="46" t="str">
        <f t="shared" si="9"/>
        <v>08 de marzo de 2017</v>
      </c>
      <c r="N117" s="318">
        <f t="shared" si="13"/>
        <v>8</v>
      </c>
      <c r="O117" s="24">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59" t="s">
        <v>22</v>
      </c>
      <c r="K118" s="11" t="s">
        <v>341</v>
      </c>
      <c r="L118" s="5" t="str">
        <f t="shared" si="8"/>
        <v>00117</v>
      </c>
      <c r="M118" s="46" t="str">
        <f t="shared" si="9"/>
        <v>10 de marzo de 2017</v>
      </c>
      <c r="N118" s="318">
        <f t="shared" si="13"/>
        <v>10</v>
      </c>
      <c r="O118" s="24">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59" t="s">
        <v>22</v>
      </c>
      <c r="K119" s="11" t="s">
        <v>345</v>
      </c>
      <c r="L119" s="5" t="str">
        <f t="shared" si="8"/>
        <v>00118</v>
      </c>
      <c r="M119" s="46" t="str">
        <f t="shared" si="9"/>
        <v>10 de marzo de 2017</v>
      </c>
      <c r="N119" s="318">
        <f t="shared" si="13"/>
        <v>10</v>
      </c>
      <c r="O119" s="24">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59" t="s">
        <v>22</v>
      </c>
      <c r="K120" s="11" t="s">
        <v>346</v>
      </c>
      <c r="L120" s="5" t="str">
        <f t="shared" si="8"/>
        <v>00119</v>
      </c>
      <c r="M120" s="46" t="str">
        <f t="shared" si="9"/>
        <v>10 de marzo de 2017</v>
      </c>
      <c r="N120" s="318">
        <f t="shared" si="13"/>
        <v>10</v>
      </c>
      <c r="O120" s="24">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59" t="s">
        <v>22</v>
      </c>
      <c r="K121" s="11" t="s">
        <v>347</v>
      </c>
      <c r="L121" s="5" t="str">
        <f t="shared" si="8"/>
        <v>00120</v>
      </c>
      <c r="M121" s="46" t="str">
        <f t="shared" si="9"/>
        <v>06 de marzo de 2017</v>
      </c>
      <c r="N121" s="318">
        <f t="shared" si="13"/>
        <v>6</v>
      </c>
      <c r="O121" s="24">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59" t="s">
        <v>22</v>
      </c>
      <c r="K122" s="11" t="s">
        <v>348</v>
      </c>
      <c r="L122" s="5" t="str">
        <f t="shared" si="8"/>
        <v>00121</v>
      </c>
      <c r="M122" s="46" t="str">
        <f t="shared" si="9"/>
        <v>10 de marzo de 2017</v>
      </c>
      <c r="N122" s="318">
        <f t="shared" si="13"/>
        <v>10</v>
      </c>
      <c r="O122" s="24">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59" t="s">
        <v>22</v>
      </c>
      <c r="K123" s="11" t="s">
        <v>350</v>
      </c>
      <c r="L123" s="5" t="str">
        <f t="shared" si="8"/>
        <v>00122</v>
      </c>
      <c r="M123" s="46" t="str">
        <f t="shared" si="9"/>
        <v>10 de marzo de 2017</v>
      </c>
      <c r="N123" s="318">
        <f t="shared" si="13"/>
        <v>10</v>
      </c>
      <c r="O123" s="24">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59" t="s">
        <v>22</v>
      </c>
      <c r="K124" s="11" t="s">
        <v>351</v>
      </c>
      <c r="L124" s="5" t="str">
        <f t="shared" si="8"/>
        <v>00123</v>
      </c>
      <c r="M124" s="46" t="str">
        <f t="shared" si="9"/>
        <v>10 de marzo de 2017</v>
      </c>
      <c r="N124" s="318">
        <f t="shared" si="13"/>
        <v>10</v>
      </c>
      <c r="O124" s="24">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59" t="s">
        <v>22</v>
      </c>
      <c r="K125" s="11" t="s">
        <v>352</v>
      </c>
      <c r="L125" s="5" t="str">
        <f t="shared" si="8"/>
        <v>00124</v>
      </c>
      <c r="M125" s="46" t="str">
        <f t="shared" si="9"/>
        <v>11 de marzo de 2017</v>
      </c>
      <c r="N125" s="318">
        <f t="shared" si="13"/>
        <v>11</v>
      </c>
      <c r="O125" s="24">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59" t="s">
        <v>22</v>
      </c>
      <c r="K126" s="11" t="s">
        <v>356</v>
      </c>
      <c r="L126" s="5" t="str">
        <f t="shared" si="8"/>
        <v>00125</v>
      </c>
      <c r="M126" s="46" t="str">
        <f t="shared" si="9"/>
        <v>11 de marzo de 2017</v>
      </c>
      <c r="N126" s="318">
        <f t="shared" si="13"/>
        <v>11</v>
      </c>
      <c r="O126" s="24">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59" t="s">
        <v>22</v>
      </c>
      <c r="K127" s="11" t="s">
        <v>357</v>
      </c>
      <c r="L127" s="5" t="str">
        <f t="shared" si="8"/>
        <v>00126</v>
      </c>
      <c r="M127" s="46" t="str">
        <f t="shared" si="9"/>
        <v>14 de marzo de 2017</v>
      </c>
      <c r="N127" s="318">
        <f t="shared" si="13"/>
        <v>14</v>
      </c>
      <c r="O127" s="24">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59" t="s">
        <v>22</v>
      </c>
      <c r="K128" s="11" t="s">
        <v>358</v>
      </c>
      <c r="L128" s="5" t="str">
        <f t="shared" si="8"/>
        <v>00127</v>
      </c>
      <c r="M128" s="46" t="str">
        <f t="shared" si="9"/>
        <v>10 de marzo de 2017</v>
      </c>
      <c r="N128" s="318">
        <f t="shared" si="13"/>
        <v>10</v>
      </c>
      <c r="O128" s="24">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59" t="s">
        <v>22</v>
      </c>
      <c r="K129" s="11" t="s">
        <v>359</v>
      </c>
      <c r="L129" s="5" t="str">
        <f t="shared" si="8"/>
        <v>00128</v>
      </c>
      <c r="M129" s="46" t="str">
        <f t="shared" si="9"/>
        <v>13 de enero de 2017</v>
      </c>
      <c r="N129" s="318">
        <f t="shared" si="13"/>
        <v>13</v>
      </c>
      <c r="O129" s="24">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59" t="s">
        <v>22</v>
      </c>
      <c r="K130" s="11" t="s">
        <v>360</v>
      </c>
      <c r="L130" s="5" t="str">
        <f t="shared" ref="L130:L193" si="16">IF(ISBLANK(A130),"",TEXT(A130,"00000"))</f>
        <v>00129</v>
      </c>
      <c r="M130" s="46" t="str">
        <f t="shared" ref="M130:M193" si="17">IF(ISBLANK(D130),"",TEXT(D130,"dd")&amp;" de "&amp;TEXT(D130,"mmmm")&amp;" de "&amp;TEXT(YEAR(D130),"0"))</f>
        <v>01 de marzo de 2017</v>
      </c>
      <c r="N130" s="318">
        <f t="shared" si="13"/>
        <v>1</v>
      </c>
      <c r="O130" s="24">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59" t="s">
        <v>22</v>
      </c>
      <c r="K131" s="11" t="s">
        <v>361</v>
      </c>
      <c r="L131" s="5" t="str">
        <f t="shared" si="16"/>
        <v>00130</v>
      </c>
      <c r="M131" s="46" t="str">
        <f t="shared" si="17"/>
        <v>06 de marzo de 2017</v>
      </c>
      <c r="N131" s="318">
        <f t="shared" ref="N131:N194" si="21">DAY(D131)</f>
        <v>6</v>
      </c>
      <c r="O131" s="24">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59" t="s">
        <v>22</v>
      </c>
      <c r="K132" s="11" t="s">
        <v>365</v>
      </c>
      <c r="L132" s="5" t="str">
        <f t="shared" si="16"/>
        <v>00131</v>
      </c>
      <c r="M132" s="46" t="str">
        <f t="shared" si="17"/>
        <v>27 de febrero de 2017</v>
      </c>
      <c r="N132" s="318">
        <f t="shared" si="21"/>
        <v>27</v>
      </c>
      <c r="O132" s="24">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59" t="s">
        <v>22</v>
      </c>
      <c r="K133" s="11" t="s">
        <v>366</v>
      </c>
      <c r="L133" s="5" t="str">
        <f t="shared" si="16"/>
        <v>00132</v>
      </c>
      <c r="M133" s="46" t="str">
        <f t="shared" si="17"/>
        <v>14 de febrero de 2017</v>
      </c>
      <c r="N133" s="318">
        <f t="shared" si="21"/>
        <v>14</v>
      </c>
      <c r="O133" s="24">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59" t="s">
        <v>368</v>
      </c>
      <c r="K134" s="11" t="s">
        <v>369</v>
      </c>
      <c r="L134" s="5" t="str">
        <f t="shared" si="16"/>
        <v>00133</v>
      </c>
      <c r="M134" s="46" t="str">
        <f t="shared" si="17"/>
        <v>14 de febrero de 2017</v>
      </c>
      <c r="N134" s="318">
        <f t="shared" si="21"/>
        <v>14</v>
      </c>
      <c r="O134" s="24">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59" t="s">
        <v>22</v>
      </c>
      <c r="K135" s="11" t="s">
        <v>370</v>
      </c>
      <c r="L135" s="5" t="str">
        <f t="shared" si="16"/>
        <v>00134</v>
      </c>
      <c r="M135" s="46" t="str">
        <f t="shared" si="17"/>
        <v>11 de enero de 2017</v>
      </c>
      <c r="N135" s="318">
        <f t="shared" si="21"/>
        <v>11</v>
      </c>
      <c r="O135" s="24">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59" t="s">
        <v>22</v>
      </c>
      <c r="K136" s="11" t="s">
        <v>374</v>
      </c>
      <c r="L136" s="5" t="str">
        <f t="shared" si="16"/>
        <v>00135</v>
      </c>
      <c r="M136" s="46" t="str">
        <f t="shared" si="17"/>
        <v>20 de febrero de 2017</v>
      </c>
      <c r="N136" s="318">
        <f t="shared" si="21"/>
        <v>20</v>
      </c>
      <c r="O136" s="24">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59" t="s">
        <v>22</v>
      </c>
      <c r="K137" s="11" t="s">
        <v>375</v>
      </c>
      <c r="L137" s="5" t="str">
        <f t="shared" si="16"/>
        <v>00136</v>
      </c>
      <c r="M137" s="46" t="str">
        <f t="shared" si="17"/>
        <v>14 de marzo de 2017</v>
      </c>
      <c r="N137" s="318">
        <f t="shared" si="21"/>
        <v>14</v>
      </c>
      <c r="O137" s="24">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59" t="s">
        <v>22</v>
      </c>
      <c r="K138" s="11" t="s">
        <v>376</v>
      </c>
      <c r="L138" s="5" t="str">
        <f t="shared" si="16"/>
        <v>00137</v>
      </c>
      <c r="M138" s="46" t="str">
        <f t="shared" si="17"/>
        <v>14 de marzo de 2017</v>
      </c>
      <c r="N138" s="318">
        <f t="shared" si="21"/>
        <v>14</v>
      </c>
      <c r="O138" s="24">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59" t="s">
        <v>22</v>
      </c>
      <c r="K139" s="11" t="s">
        <v>377</v>
      </c>
      <c r="L139" s="5" t="str">
        <f t="shared" si="16"/>
        <v>00138</v>
      </c>
      <c r="M139" s="46" t="str">
        <f t="shared" si="17"/>
        <v>10 de marzo de 2017</v>
      </c>
      <c r="N139" s="318">
        <f t="shared" si="21"/>
        <v>10</v>
      </c>
      <c r="O139" s="24">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59" t="s">
        <v>22</v>
      </c>
      <c r="K140" s="11" t="s">
        <v>378</v>
      </c>
      <c r="L140" s="5" t="str">
        <f t="shared" si="16"/>
        <v>00139</v>
      </c>
      <c r="M140" s="46" t="str">
        <f t="shared" si="17"/>
        <v>16 de marzo de 2017</v>
      </c>
      <c r="N140" s="318">
        <f t="shared" si="21"/>
        <v>16</v>
      </c>
      <c r="O140" s="24">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59" t="s">
        <v>22</v>
      </c>
      <c r="K141" s="11" t="s">
        <v>379</v>
      </c>
      <c r="L141" s="5" t="str">
        <f t="shared" si="16"/>
        <v>00140</v>
      </c>
      <c r="M141" s="46" t="str">
        <f t="shared" si="17"/>
        <v>19 de marzo de 2017</v>
      </c>
      <c r="N141" s="318">
        <f t="shared" si="21"/>
        <v>19</v>
      </c>
      <c r="O141" s="24">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59" t="s">
        <v>22</v>
      </c>
      <c r="K142" s="11" t="s">
        <v>380</v>
      </c>
      <c r="L142" s="5" t="str">
        <f t="shared" si="16"/>
        <v>00141</v>
      </c>
      <c r="M142" s="46" t="str">
        <f t="shared" si="17"/>
        <v>18 de marzo de 2017</v>
      </c>
      <c r="N142" s="318">
        <f t="shared" si="21"/>
        <v>18</v>
      </c>
      <c r="O142" s="24">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59" t="s">
        <v>22</v>
      </c>
      <c r="K143" s="11" t="s">
        <v>382</v>
      </c>
      <c r="L143" s="5" t="str">
        <f t="shared" si="16"/>
        <v>00142</v>
      </c>
      <c r="M143" s="46" t="str">
        <f t="shared" si="17"/>
        <v>16 de marzo de 2017</v>
      </c>
      <c r="N143" s="318">
        <f t="shared" si="21"/>
        <v>16</v>
      </c>
      <c r="O143" s="24">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59" t="s">
        <v>22</v>
      </c>
      <c r="K144" s="11" t="s">
        <v>383</v>
      </c>
      <c r="L144" s="5" t="str">
        <f t="shared" si="16"/>
        <v>00143</v>
      </c>
      <c r="M144" s="46" t="str">
        <f t="shared" si="17"/>
        <v>15 de marzo de 2017</v>
      </c>
      <c r="N144" s="318">
        <f t="shared" si="21"/>
        <v>15</v>
      </c>
      <c r="O144" s="24">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59" t="s">
        <v>22</v>
      </c>
      <c r="K145" s="11" t="s">
        <v>384</v>
      </c>
      <c r="L145" s="5" t="str">
        <f t="shared" si="16"/>
        <v>00144</v>
      </c>
      <c r="M145" s="46" t="str">
        <f t="shared" si="17"/>
        <v>16 de marzo de 2017</v>
      </c>
      <c r="N145" s="318">
        <f t="shared" si="21"/>
        <v>16</v>
      </c>
      <c r="O145" s="24">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59" t="s">
        <v>22</v>
      </c>
      <c r="K146" s="11" t="s">
        <v>385</v>
      </c>
      <c r="L146" s="5" t="str">
        <f t="shared" si="16"/>
        <v>00145</v>
      </c>
      <c r="M146" s="46" t="str">
        <f t="shared" si="17"/>
        <v>15 de marzo de 2017</v>
      </c>
      <c r="N146" s="318">
        <f t="shared" si="21"/>
        <v>15</v>
      </c>
      <c r="O146" s="24">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59" t="s">
        <v>22</v>
      </c>
      <c r="K147" s="11" t="s">
        <v>386</v>
      </c>
      <c r="L147" s="5" t="str">
        <f t="shared" si="16"/>
        <v>00146</v>
      </c>
      <c r="M147" s="46" t="str">
        <f t="shared" si="17"/>
        <v>15 de marzo de 2017</v>
      </c>
      <c r="N147" s="318">
        <f t="shared" si="21"/>
        <v>15</v>
      </c>
      <c r="O147" s="24">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59" t="s">
        <v>22</v>
      </c>
      <c r="K148" s="11" t="s">
        <v>388</v>
      </c>
      <c r="L148" s="5" t="str">
        <f t="shared" si="16"/>
        <v>00147</v>
      </c>
      <c r="M148" s="46" t="str">
        <f t="shared" si="17"/>
        <v>25 de marzo de 2017</v>
      </c>
      <c r="N148" s="318">
        <f t="shared" si="21"/>
        <v>25</v>
      </c>
      <c r="O148" s="24">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59" t="s">
        <v>22</v>
      </c>
      <c r="K149" s="11" t="s">
        <v>389</v>
      </c>
      <c r="L149" s="5" t="str">
        <f t="shared" si="16"/>
        <v>00148</v>
      </c>
      <c r="M149" s="46" t="str">
        <f t="shared" si="17"/>
        <v>21 de marzo de 2017</v>
      </c>
      <c r="N149" s="318">
        <f t="shared" si="21"/>
        <v>21</v>
      </c>
      <c r="O149" s="24">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59" t="s">
        <v>22</v>
      </c>
      <c r="K150" s="11" t="s">
        <v>390</v>
      </c>
      <c r="L150" s="5" t="str">
        <f t="shared" si="16"/>
        <v>00149</v>
      </c>
      <c r="M150" s="46" t="str">
        <f t="shared" si="17"/>
        <v>24 de marzo de 2017</v>
      </c>
      <c r="N150" s="318">
        <f t="shared" si="21"/>
        <v>24</v>
      </c>
      <c r="O150" s="24">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59" t="s">
        <v>22</v>
      </c>
      <c r="K151" s="11" t="s">
        <v>391</v>
      </c>
      <c r="L151" s="5" t="str">
        <f t="shared" si="16"/>
        <v>00150</v>
      </c>
      <c r="M151" s="46" t="str">
        <f t="shared" si="17"/>
        <v>26 de marzo de 2017</v>
      </c>
      <c r="N151" s="318">
        <f t="shared" si="21"/>
        <v>26</v>
      </c>
      <c r="O151" s="24">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59" t="s">
        <v>22</v>
      </c>
      <c r="K152" s="11" t="s">
        <v>392</v>
      </c>
      <c r="L152" s="5" t="str">
        <f t="shared" si="16"/>
        <v>00151</v>
      </c>
      <c r="M152" s="46" t="str">
        <f t="shared" si="17"/>
        <v>27 de marzo de 2017</v>
      </c>
      <c r="N152" s="318">
        <f t="shared" si="21"/>
        <v>27</v>
      </c>
      <c r="O152" s="24">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59" t="s">
        <v>22</v>
      </c>
      <c r="K153" s="11" t="s">
        <v>393</v>
      </c>
      <c r="L153" s="5" t="str">
        <f t="shared" si="16"/>
        <v>00152</v>
      </c>
      <c r="M153" s="46" t="str">
        <f t="shared" si="17"/>
        <v>30 de marzo de 2017</v>
      </c>
      <c r="N153" s="318">
        <f t="shared" si="21"/>
        <v>30</v>
      </c>
      <c r="O153" s="24">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59" t="s">
        <v>22</v>
      </c>
      <c r="K154" s="11" t="s">
        <v>394</v>
      </c>
      <c r="L154" s="5" t="str">
        <f t="shared" si="16"/>
        <v>00153</v>
      </c>
      <c r="M154" s="46" t="str">
        <f t="shared" si="17"/>
        <v>30 de marzo de 2017</v>
      </c>
      <c r="N154" s="318">
        <f t="shared" si="21"/>
        <v>30</v>
      </c>
      <c r="O154" s="24">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59" t="s">
        <v>22</v>
      </c>
      <c r="L155" s="5" t="str">
        <f t="shared" si="16"/>
        <v>00154</v>
      </c>
      <c r="M155" s="46" t="str">
        <f t="shared" si="17"/>
        <v>04 de abril de 2017</v>
      </c>
      <c r="N155" s="318">
        <f t="shared" si="21"/>
        <v>4</v>
      </c>
      <c r="O155" s="24">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59" t="s">
        <v>22</v>
      </c>
      <c r="L156" s="5" t="str">
        <f t="shared" si="16"/>
        <v>00155</v>
      </c>
      <c r="M156" s="46" t="str">
        <f t="shared" si="17"/>
        <v>04 de abril de 2017</v>
      </c>
      <c r="N156" s="318">
        <f t="shared" si="21"/>
        <v>4</v>
      </c>
      <c r="O156" s="24">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59" t="s">
        <v>22</v>
      </c>
      <c r="L157" s="5" t="str">
        <f t="shared" si="16"/>
        <v>00156</v>
      </c>
      <c r="M157" s="46" t="str">
        <f t="shared" si="17"/>
        <v>27 de marzo de 2017</v>
      </c>
      <c r="N157" s="318">
        <f t="shared" si="21"/>
        <v>27</v>
      </c>
      <c r="O157" s="24">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59" t="s">
        <v>22</v>
      </c>
      <c r="L158" s="5" t="str">
        <f t="shared" si="16"/>
        <v>00157</v>
      </c>
      <c r="M158" s="46" t="str">
        <f t="shared" si="17"/>
        <v>24 de marzo de 2017</v>
      </c>
      <c r="N158" s="318">
        <f t="shared" si="21"/>
        <v>24</v>
      </c>
      <c r="O158" s="24">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59" t="s">
        <v>22</v>
      </c>
      <c r="L159" s="5" t="str">
        <f t="shared" si="16"/>
        <v>00158</v>
      </c>
      <c r="M159" s="46" t="str">
        <f t="shared" si="17"/>
        <v>26 de marzo de 2017</v>
      </c>
      <c r="N159" s="318">
        <f t="shared" si="21"/>
        <v>26</v>
      </c>
      <c r="O159" s="24">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59" t="s">
        <v>22</v>
      </c>
      <c r="L160" s="5" t="str">
        <f t="shared" si="16"/>
        <v>00159</v>
      </c>
      <c r="M160" s="46" t="str">
        <f t="shared" si="17"/>
        <v>31 de marzo de 2017</v>
      </c>
      <c r="N160" s="318">
        <f t="shared" si="21"/>
        <v>31</v>
      </c>
      <c r="O160" s="24">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59" t="s">
        <v>22</v>
      </c>
      <c r="L161" s="5" t="str">
        <f t="shared" si="16"/>
        <v>00160</v>
      </c>
      <c r="M161" s="46" t="str">
        <f t="shared" si="17"/>
        <v>31 de marzo de 2017</v>
      </c>
      <c r="N161" s="318">
        <f t="shared" si="21"/>
        <v>31</v>
      </c>
      <c r="O161" s="24">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59" t="s">
        <v>22</v>
      </c>
      <c r="L162" s="5" t="str">
        <f t="shared" si="16"/>
        <v>00161</v>
      </c>
      <c r="M162" s="46" t="str">
        <f t="shared" si="17"/>
        <v>27 de marzo de 2017</v>
      </c>
      <c r="N162" s="318">
        <f t="shared" si="21"/>
        <v>27</v>
      </c>
      <c r="O162" s="24">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59" t="s">
        <v>22</v>
      </c>
      <c r="L163" s="5" t="str">
        <f t="shared" si="16"/>
        <v>00162</v>
      </c>
      <c r="M163" s="46" t="str">
        <f t="shared" si="17"/>
        <v>03 de abril de 2017</v>
      </c>
      <c r="N163" s="318">
        <f t="shared" si="21"/>
        <v>3</v>
      </c>
      <c r="O163" s="24">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59" t="s">
        <v>22</v>
      </c>
      <c r="L164" s="5" t="str">
        <f t="shared" si="16"/>
        <v>00163</v>
      </c>
      <c r="M164" s="46" t="str">
        <f t="shared" si="17"/>
        <v>05 de abril de 2017</v>
      </c>
      <c r="N164" s="318">
        <f t="shared" si="21"/>
        <v>5</v>
      </c>
      <c r="O164" s="24">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59" t="s">
        <v>22</v>
      </c>
      <c r="L165" s="5" t="str">
        <f t="shared" si="16"/>
        <v>00164</v>
      </c>
      <c r="M165" s="46" t="str">
        <f t="shared" si="17"/>
        <v>06 de abril de 2017</v>
      </c>
      <c r="N165" s="318">
        <f t="shared" si="21"/>
        <v>6</v>
      </c>
      <c r="O165" s="24">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59" t="s">
        <v>22</v>
      </c>
      <c r="L166" s="5" t="str">
        <f t="shared" si="16"/>
        <v>00165</v>
      </c>
      <c r="M166" s="46" t="str">
        <f t="shared" si="17"/>
        <v>06 de abril de 2017</v>
      </c>
      <c r="N166" s="318">
        <f t="shared" si="21"/>
        <v>6</v>
      </c>
      <c r="O166" s="24">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59" t="s">
        <v>22</v>
      </c>
      <c r="L167" s="5" t="str">
        <f t="shared" si="16"/>
        <v>00166</v>
      </c>
      <c r="M167" s="46" t="str">
        <f t="shared" si="17"/>
        <v>06 de abril de 2017</v>
      </c>
      <c r="N167" s="318">
        <f t="shared" si="21"/>
        <v>6</v>
      </c>
      <c r="O167" s="24">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59" t="s">
        <v>22</v>
      </c>
      <c r="L168" s="5" t="str">
        <f t="shared" si="16"/>
        <v>00167</v>
      </c>
      <c r="M168" s="46" t="str">
        <f t="shared" si="17"/>
        <v>15 de marzo de 2017</v>
      </c>
      <c r="N168" s="318">
        <f t="shared" si="21"/>
        <v>15</v>
      </c>
      <c r="O168" s="24">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59" t="s">
        <v>22</v>
      </c>
      <c r="L169" s="5" t="str">
        <f t="shared" si="16"/>
        <v>00168</v>
      </c>
      <c r="M169" s="46" t="str">
        <f t="shared" si="17"/>
        <v>05 de abril de 2017</v>
      </c>
      <c r="N169" s="318">
        <f t="shared" si="21"/>
        <v>5</v>
      </c>
      <c r="O169" s="24">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59" t="s">
        <v>22</v>
      </c>
      <c r="L170" s="5" t="str">
        <f t="shared" si="16"/>
        <v>00169</v>
      </c>
      <c r="M170" s="46" t="str">
        <f t="shared" si="17"/>
        <v>06 de abril de 2017</v>
      </c>
      <c r="N170" s="318">
        <f t="shared" si="21"/>
        <v>6</v>
      </c>
      <c r="O170" s="24">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59" t="s">
        <v>22</v>
      </c>
      <c r="L171" s="5" t="str">
        <f t="shared" si="16"/>
        <v>00170</v>
      </c>
      <c r="M171" s="46" t="str">
        <f t="shared" si="17"/>
        <v>09 de abril de 2017</v>
      </c>
      <c r="N171" s="318">
        <f t="shared" si="21"/>
        <v>9</v>
      </c>
      <c r="O171" s="24">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59" t="s">
        <v>22</v>
      </c>
      <c r="L172" s="5" t="str">
        <f t="shared" si="16"/>
        <v>00171</v>
      </c>
      <c r="M172" s="46" t="str">
        <f t="shared" si="17"/>
        <v>13 de marzo de 2017</v>
      </c>
      <c r="N172" s="318">
        <f t="shared" si="21"/>
        <v>13</v>
      </c>
      <c r="O172" s="24">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59" t="s">
        <v>22</v>
      </c>
      <c r="L173" s="5" t="str">
        <f t="shared" si="16"/>
        <v>00172</v>
      </c>
      <c r="M173" s="46" t="str">
        <f t="shared" si="17"/>
        <v>08 de abril de 2017</v>
      </c>
      <c r="N173" s="318">
        <f t="shared" si="21"/>
        <v>8</v>
      </c>
      <c r="O173" s="24">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59" t="s">
        <v>22</v>
      </c>
      <c r="L174" s="5" t="str">
        <f t="shared" si="16"/>
        <v>00173</v>
      </c>
      <c r="M174" s="46" t="str">
        <f t="shared" si="17"/>
        <v>11 de abril de 2017</v>
      </c>
      <c r="N174" s="318">
        <f t="shared" si="21"/>
        <v>11</v>
      </c>
      <c r="O174" s="24">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59" t="s">
        <v>22</v>
      </c>
      <c r="L175" s="5" t="str">
        <f t="shared" si="16"/>
        <v>00174</v>
      </c>
      <c r="M175" s="46" t="str">
        <f t="shared" si="17"/>
        <v>12 de abril de 2017</v>
      </c>
      <c r="N175" s="318">
        <f t="shared" si="21"/>
        <v>12</v>
      </c>
      <c r="O175" s="24">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59" t="s">
        <v>22</v>
      </c>
      <c r="L176" s="5" t="str">
        <f t="shared" si="16"/>
        <v>00175</v>
      </c>
      <c r="M176" s="46" t="str">
        <f t="shared" si="17"/>
        <v>06 de abril de 2017</v>
      </c>
      <c r="N176" s="318">
        <f t="shared" si="21"/>
        <v>6</v>
      </c>
      <c r="O176" s="24">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59" t="s">
        <v>22</v>
      </c>
      <c r="L177" s="5" t="str">
        <f t="shared" si="16"/>
        <v>00176</v>
      </c>
      <c r="M177" s="46" t="str">
        <f t="shared" si="17"/>
        <v>06 de abril de 2017</v>
      </c>
      <c r="N177" s="318">
        <f t="shared" si="21"/>
        <v>6</v>
      </c>
      <c r="O177" s="24">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59" t="s">
        <v>22</v>
      </c>
      <c r="L178" s="5" t="str">
        <f t="shared" si="16"/>
        <v>00177</v>
      </c>
      <c r="M178" s="46" t="str">
        <f t="shared" si="17"/>
        <v>16 de abril de 2017</v>
      </c>
      <c r="N178" s="318">
        <f t="shared" si="21"/>
        <v>16</v>
      </c>
      <c r="O178" s="24">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59" t="s">
        <v>22</v>
      </c>
      <c r="L179" s="5" t="str">
        <f t="shared" si="16"/>
        <v>00178</v>
      </c>
      <c r="M179" s="46" t="str">
        <f t="shared" si="17"/>
        <v>17 de abril de 2017</v>
      </c>
      <c r="N179" s="318">
        <f t="shared" si="21"/>
        <v>17</v>
      </c>
      <c r="O179" s="24">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59" t="s">
        <v>22</v>
      </c>
      <c r="L180" s="5" t="str">
        <f t="shared" si="16"/>
        <v>00179</v>
      </c>
      <c r="M180" s="46" t="str">
        <f t="shared" si="17"/>
        <v>17 de abril de 2017</v>
      </c>
      <c r="N180" s="318">
        <f t="shared" si="21"/>
        <v>17</v>
      </c>
      <c r="O180" s="24">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59" t="s">
        <v>22</v>
      </c>
      <c r="L181" s="5" t="str">
        <f t="shared" si="16"/>
        <v>00180</v>
      </c>
      <c r="M181" s="46" t="str">
        <f t="shared" si="17"/>
        <v>17 de abril de 2017</v>
      </c>
      <c r="N181" s="318">
        <f t="shared" si="21"/>
        <v>17</v>
      </c>
      <c r="O181" s="24">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59" t="s">
        <v>22</v>
      </c>
      <c r="L182" s="5" t="str">
        <f t="shared" si="16"/>
        <v>00181</v>
      </c>
      <c r="M182" s="46" t="str">
        <f t="shared" si="17"/>
        <v>16 de abril de 2017</v>
      </c>
      <c r="N182" s="318">
        <f t="shared" si="21"/>
        <v>16</v>
      </c>
      <c r="O182" s="24">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59" t="s">
        <v>22</v>
      </c>
      <c r="L183" s="5" t="str">
        <f t="shared" si="16"/>
        <v>00182</v>
      </c>
      <c r="M183" s="46" t="str">
        <f t="shared" si="17"/>
        <v>17 de abril de 2017</v>
      </c>
      <c r="N183" s="318">
        <f t="shared" si="21"/>
        <v>17</v>
      </c>
      <c r="O183" s="24">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59" t="s">
        <v>22</v>
      </c>
      <c r="L184" s="5" t="str">
        <f t="shared" si="16"/>
        <v>00183</v>
      </c>
      <c r="M184" s="46" t="str">
        <f t="shared" si="17"/>
        <v>18 de abril de 2017</v>
      </c>
      <c r="N184" s="318">
        <f t="shared" si="21"/>
        <v>18</v>
      </c>
      <c r="O184" s="24">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59" t="s">
        <v>22</v>
      </c>
      <c r="L185" s="5" t="str">
        <f t="shared" si="16"/>
        <v>00184</v>
      </c>
      <c r="M185" s="46" t="str">
        <f t="shared" si="17"/>
        <v>17 de abril de 2017</v>
      </c>
      <c r="N185" s="318">
        <f t="shared" si="21"/>
        <v>17</v>
      </c>
      <c r="O185" s="24">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59" t="s">
        <v>22</v>
      </c>
      <c r="L186" s="5" t="str">
        <f t="shared" si="16"/>
        <v>00185</v>
      </c>
      <c r="M186" s="46" t="str">
        <f t="shared" si="17"/>
        <v>17 de abril de 2017</v>
      </c>
      <c r="N186" s="318">
        <f t="shared" si="21"/>
        <v>17</v>
      </c>
      <c r="O186" s="24">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59" t="s">
        <v>22</v>
      </c>
      <c r="L187" s="5" t="str">
        <f t="shared" si="16"/>
        <v>00186</v>
      </c>
      <c r="M187" s="46" t="str">
        <f t="shared" si="17"/>
        <v>20 de abril de 2017</v>
      </c>
      <c r="N187" s="318">
        <f t="shared" si="21"/>
        <v>20</v>
      </c>
      <c r="O187" s="24">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59" t="s">
        <v>22</v>
      </c>
      <c r="L188" s="5" t="str">
        <f t="shared" si="16"/>
        <v>00187</v>
      </c>
      <c r="M188" s="46" t="str">
        <f t="shared" si="17"/>
        <v>06 de abril de 2017</v>
      </c>
      <c r="N188" s="318">
        <f t="shared" si="21"/>
        <v>6</v>
      </c>
      <c r="O188" s="24">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59" t="s">
        <v>22</v>
      </c>
      <c r="L189" s="5" t="str">
        <f t="shared" si="16"/>
        <v>00188</v>
      </c>
      <c r="M189" s="46" t="str">
        <f t="shared" si="17"/>
        <v>20 de abril de 2017</v>
      </c>
      <c r="N189" s="318">
        <f t="shared" si="21"/>
        <v>20</v>
      </c>
      <c r="O189" s="24">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59" t="s">
        <v>22</v>
      </c>
      <c r="L190" s="5" t="str">
        <f t="shared" si="16"/>
        <v>00189</v>
      </c>
      <c r="M190" s="46" t="str">
        <f t="shared" si="17"/>
        <v>15 de enero de 2017</v>
      </c>
      <c r="N190" s="318">
        <f t="shared" si="21"/>
        <v>15</v>
      </c>
      <c r="O190" s="24">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59" t="s">
        <v>22</v>
      </c>
      <c r="L191" s="5" t="str">
        <f t="shared" si="16"/>
        <v>00190</v>
      </c>
      <c r="M191" s="46" t="str">
        <f t="shared" si="17"/>
        <v>16 de febrero de 2017</v>
      </c>
      <c r="N191" s="318">
        <f t="shared" si="21"/>
        <v>16</v>
      </c>
      <c r="O191" s="24">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59" t="s">
        <v>22</v>
      </c>
      <c r="L192" s="5" t="str">
        <f t="shared" si="16"/>
        <v>00191</v>
      </c>
      <c r="M192" s="46" t="str">
        <f t="shared" si="17"/>
        <v>15 de marzo de 2017</v>
      </c>
      <c r="N192" s="318">
        <f t="shared" si="21"/>
        <v>15</v>
      </c>
      <c r="O192" s="24">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59" t="s">
        <v>22</v>
      </c>
      <c r="L193" s="5" t="str">
        <f t="shared" si="16"/>
        <v>00192</v>
      </c>
      <c r="M193" s="46" t="str">
        <f t="shared" si="17"/>
        <v>21 de abril de 2017</v>
      </c>
      <c r="N193" s="318">
        <f t="shared" si="21"/>
        <v>21</v>
      </c>
      <c r="O193" s="24">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59" t="s">
        <v>22</v>
      </c>
      <c r="L194" s="5" t="str">
        <f t="shared" ref="L194:L257" si="24">IF(ISBLANK(A194),"",TEXT(A194,"00000"))</f>
        <v>00193</v>
      </c>
      <c r="M194" s="46" t="str">
        <f t="shared" ref="M194:M257" si="25">IF(ISBLANK(D194),"",TEXT(D194,"dd")&amp;" de "&amp;TEXT(D194,"mmmm")&amp;" de "&amp;TEXT(YEAR(D194),"0"))</f>
        <v>21 de abril de 2017</v>
      </c>
      <c r="N194" s="318">
        <f t="shared" si="21"/>
        <v>21</v>
      </c>
      <c r="O194" s="24">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59" t="s">
        <v>22</v>
      </c>
      <c r="L195" s="5" t="str">
        <f t="shared" si="24"/>
        <v>00194</v>
      </c>
      <c r="M195" s="46" t="str">
        <f t="shared" si="25"/>
        <v>20 de abril de 2017</v>
      </c>
      <c r="N195" s="318">
        <f t="shared" ref="N195:N258" si="29">DAY(D195)</f>
        <v>20</v>
      </c>
      <c r="O195" s="24">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59" t="s">
        <v>22</v>
      </c>
      <c r="L196" s="5" t="str">
        <f t="shared" si="24"/>
        <v>00195</v>
      </c>
      <c r="M196" s="46" t="str">
        <f t="shared" si="25"/>
        <v>22 de abril de 2017</v>
      </c>
      <c r="N196" s="318">
        <f t="shared" si="29"/>
        <v>22</v>
      </c>
      <c r="O196" s="24">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59" t="s">
        <v>22</v>
      </c>
      <c r="L197" s="5" t="str">
        <f t="shared" si="24"/>
        <v>00196</v>
      </c>
      <c r="M197" s="46" t="str">
        <f t="shared" si="25"/>
        <v>22 de abril de 2017</v>
      </c>
      <c r="N197" s="318">
        <f t="shared" si="29"/>
        <v>22</v>
      </c>
      <c r="O197" s="24">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59" t="s">
        <v>22</v>
      </c>
      <c r="L198" s="5" t="str">
        <f t="shared" si="24"/>
        <v>00197</v>
      </c>
      <c r="M198" s="46" t="str">
        <f t="shared" si="25"/>
        <v>23 de abril de 2017</v>
      </c>
      <c r="N198" s="318">
        <f t="shared" si="29"/>
        <v>23</v>
      </c>
      <c r="O198" s="24">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59" t="s">
        <v>22</v>
      </c>
      <c r="L199" s="5" t="str">
        <f t="shared" si="24"/>
        <v>00198</v>
      </c>
      <c r="M199" s="46" t="str">
        <f t="shared" si="25"/>
        <v>23 de abril de 2017</v>
      </c>
      <c r="N199" s="318">
        <f t="shared" si="29"/>
        <v>23</v>
      </c>
      <c r="O199" s="24">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59" t="s">
        <v>22</v>
      </c>
      <c r="L200" s="5" t="str">
        <f t="shared" si="24"/>
        <v>00199</v>
      </c>
      <c r="M200" s="46" t="str">
        <f t="shared" si="25"/>
        <v>24 de abril de 2017</v>
      </c>
      <c r="N200" s="318">
        <f t="shared" si="29"/>
        <v>24</v>
      </c>
      <c r="O200" s="24">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59" t="s">
        <v>22</v>
      </c>
      <c r="L201" s="5" t="str">
        <f t="shared" si="24"/>
        <v>00200</v>
      </c>
      <c r="M201" s="46" t="str">
        <f t="shared" si="25"/>
        <v>24 de abril de 2017</v>
      </c>
      <c r="N201" s="318">
        <f t="shared" si="29"/>
        <v>24</v>
      </c>
      <c r="O201" s="24">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59" t="s">
        <v>22</v>
      </c>
      <c r="L202" s="5" t="str">
        <f t="shared" si="24"/>
        <v>00201</v>
      </c>
      <c r="M202" s="46" t="str">
        <f t="shared" si="25"/>
        <v>10 de marzo de 2017</v>
      </c>
      <c r="N202" s="318">
        <f t="shared" si="29"/>
        <v>10</v>
      </c>
      <c r="O202" s="24">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59" t="s">
        <v>22</v>
      </c>
      <c r="L203" s="5" t="str">
        <f t="shared" si="24"/>
        <v>00202</v>
      </c>
      <c r="M203" s="46" t="str">
        <f t="shared" si="25"/>
        <v>21 de abril de 2017</v>
      </c>
      <c r="N203" s="318">
        <f t="shared" si="29"/>
        <v>21</v>
      </c>
      <c r="O203" s="24">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59" t="s">
        <v>22</v>
      </c>
      <c r="L204" s="5" t="str">
        <f t="shared" si="24"/>
        <v>00203</v>
      </c>
      <c r="M204" s="46" t="str">
        <f t="shared" si="25"/>
        <v>26 de abril de 2017</v>
      </c>
      <c r="N204" s="318">
        <f t="shared" si="29"/>
        <v>26</v>
      </c>
      <c r="O204" s="24">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59" t="s">
        <v>22</v>
      </c>
      <c r="L205" s="5" t="str">
        <f t="shared" si="24"/>
        <v>00204</v>
      </c>
      <c r="M205" s="46" t="str">
        <f t="shared" si="25"/>
        <v>27 de abril de 2017</v>
      </c>
      <c r="N205" s="318">
        <f t="shared" si="29"/>
        <v>27</v>
      </c>
      <c r="O205" s="24">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59" t="s">
        <v>22</v>
      </c>
      <c r="L206" s="5" t="str">
        <f t="shared" si="24"/>
        <v>00205</v>
      </c>
      <c r="M206" s="46" t="str">
        <f t="shared" si="25"/>
        <v>27 de abril de 2017</v>
      </c>
      <c r="N206" s="318">
        <f t="shared" si="29"/>
        <v>27</v>
      </c>
      <c r="O206" s="24">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59" t="s">
        <v>22</v>
      </c>
      <c r="L207" s="5" t="str">
        <f t="shared" si="24"/>
        <v>00206</v>
      </c>
      <c r="M207" s="46" t="str">
        <f t="shared" si="25"/>
        <v>27 de abril de 2017</v>
      </c>
      <c r="N207" s="318">
        <f t="shared" si="29"/>
        <v>27</v>
      </c>
      <c r="O207" s="24">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59" t="s">
        <v>22</v>
      </c>
      <c r="L208" s="5" t="str">
        <f t="shared" si="24"/>
        <v>00207</v>
      </c>
      <c r="M208" s="46" t="str">
        <f t="shared" si="25"/>
        <v>27 de marzo de 2017</v>
      </c>
      <c r="N208" s="318">
        <f t="shared" si="29"/>
        <v>27</v>
      </c>
      <c r="O208" s="24">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59" t="s">
        <v>22</v>
      </c>
      <c r="L209" s="5" t="str">
        <f t="shared" si="24"/>
        <v>00208</v>
      </c>
      <c r="M209" s="46" t="str">
        <f t="shared" si="25"/>
        <v>02 de mayo de 2017</v>
      </c>
      <c r="N209" s="318">
        <f t="shared" si="29"/>
        <v>2</v>
      </c>
      <c r="O209" s="24">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59" t="s">
        <v>22</v>
      </c>
      <c r="L210" s="5" t="str">
        <f t="shared" si="24"/>
        <v>00209</v>
      </c>
      <c r="M210" s="46" t="str">
        <f t="shared" si="25"/>
        <v>05 de mayo de 2017</v>
      </c>
      <c r="N210" s="318">
        <f t="shared" si="29"/>
        <v>5</v>
      </c>
      <c r="O210" s="24">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59" t="s">
        <v>22</v>
      </c>
      <c r="L211" s="5" t="str">
        <f t="shared" si="24"/>
        <v>00210</v>
      </c>
      <c r="M211" s="46" t="str">
        <f t="shared" si="25"/>
        <v>05 de mayo de 2017</v>
      </c>
      <c r="N211" s="318">
        <f t="shared" si="29"/>
        <v>5</v>
      </c>
      <c r="O211" s="24">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59" t="s">
        <v>22</v>
      </c>
      <c r="L212" s="5" t="str">
        <f t="shared" si="24"/>
        <v>00211</v>
      </c>
      <c r="M212" s="46" t="str">
        <f t="shared" si="25"/>
        <v>05 de mayo de 2017</v>
      </c>
      <c r="N212" s="318">
        <f t="shared" si="29"/>
        <v>5</v>
      </c>
      <c r="O212" s="24">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59" t="s">
        <v>22</v>
      </c>
      <c r="L213" s="5" t="str">
        <f t="shared" si="24"/>
        <v>00212</v>
      </c>
      <c r="M213" s="46" t="str">
        <f t="shared" si="25"/>
        <v>05 de mayo de 2017</v>
      </c>
      <c r="N213" s="318">
        <f t="shared" si="29"/>
        <v>5</v>
      </c>
      <c r="O213" s="24">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59" t="s">
        <v>22</v>
      </c>
      <c r="L214" s="5" t="str">
        <f t="shared" si="24"/>
        <v>00213</v>
      </c>
      <c r="M214" s="46" t="str">
        <f t="shared" si="25"/>
        <v>28 de abril de 2017</v>
      </c>
      <c r="N214" s="318">
        <f t="shared" si="29"/>
        <v>28</v>
      </c>
      <c r="O214" s="24">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59" t="s">
        <v>22</v>
      </c>
      <c r="L215" s="5" t="str">
        <f t="shared" si="24"/>
        <v>00214</v>
      </c>
      <c r="M215" s="46" t="str">
        <f t="shared" si="25"/>
        <v>06 de mayo de 2017</v>
      </c>
      <c r="N215" s="318">
        <f t="shared" si="29"/>
        <v>6</v>
      </c>
      <c r="O215" s="24">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59" t="s">
        <v>22</v>
      </c>
      <c r="L216" s="5" t="str">
        <f t="shared" si="24"/>
        <v>00215</v>
      </c>
      <c r="M216" s="46" t="str">
        <f t="shared" si="25"/>
        <v>05 de abril de 2017</v>
      </c>
      <c r="N216" s="318">
        <f t="shared" si="29"/>
        <v>5</v>
      </c>
      <c r="O216" s="24">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59" t="s">
        <v>22</v>
      </c>
      <c r="L217" s="5" t="str">
        <f t="shared" si="24"/>
        <v>00216</v>
      </c>
      <c r="M217" s="46" t="str">
        <f t="shared" si="25"/>
        <v>03 de mayo de 2017</v>
      </c>
      <c r="N217" s="318">
        <f t="shared" si="29"/>
        <v>3</v>
      </c>
      <c r="O217" s="24">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59" t="s">
        <v>22</v>
      </c>
      <c r="L218" s="5" t="str">
        <f t="shared" si="24"/>
        <v>00217</v>
      </c>
      <c r="M218" s="46" t="str">
        <f t="shared" si="25"/>
        <v>07 de mayo de 2017</v>
      </c>
      <c r="N218" s="318">
        <f t="shared" si="29"/>
        <v>7</v>
      </c>
      <c r="O218" s="24">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59" t="s">
        <v>22</v>
      </c>
      <c r="L219" s="5" t="str">
        <f t="shared" si="24"/>
        <v>00218</v>
      </c>
      <c r="M219" s="46" t="str">
        <f t="shared" si="25"/>
        <v>07 de mayo de 2017</v>
      </c>
      <c r="N219" s="318">
        <f t="shared" si="29"/>
        <v>7</v>
      </c>
      <c r="O219" s="24">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59" t="s">
        <v>22</v>
      </c>
      <c r="L220" s="5" t="str">
        <f t="shared" si="24"/>
        <v>00219</v>
      </c>
      <c r="M220" s="46" t="str">
        <f t="shared" si="25"/>
        <v>07 de mayo de 2017</v>
      </c>
      <c r="N220" s="318">
        <f t="shared" si="29"/>
        <v>7</v>
      </c>
      <c r="O220" s="24">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59" t="s">
        <v>22</v>
      </c>
      <c r="L221" s="5" t="str">
        <f t="shared" si="24"/>
        <v>00220</v>
      </c>
      <c r="M221" s="46" t="str">
        <f t="shared" si="25"/>
        <v>07 de mayo de 2017</v>
      </c>
      <c r="N221" s="318">
        <f t="shared" si="29"/>
        <v>7</v>
      </c>
      <c r="O221" s="24">
        <f t="shared" si="26"/>
        <v>42856</v>
      </c>
      <c r="P221" s="5" t="str">
        <f t="shared" si="27"/>
        <v>0,17</v>
      </c>
      <c r="Q221" s="4" t="e">
        <f t="shared" ca="1" si="28"/>
        <v>#NAME?</v>
      </c>
    </row>
    <row r="222" spans="1:17">
      <c r="A222" s="1">
        <f t="shared" si="30"/>
        <v>221</v>
      </c>
      <c r="C222" s="8" t="s">
        <v>17</v>
      </c>
      <c r="D222" s="2">
        <v>42781</v>
      </c>
      <c r="E222" s="3">
        <f>20000/100000</f>
        <v>0.2</v>
      </c>
      <c r="F222" s="19" t="s">
        <v>57</v>
      </c>
      <c r="G222" s="18" t="s">
        <v>58</v>
      </c>
      <c r="H222" s="20" t="s">
        <v>59</v>
      </c>
      <c r="I222" s="6" t="s">
        <v>142</v>
      </c>
      <c r="J222" s="59" t="s">
        <v>22</v>
      </c>
      <c r="K222" s="21"/>
      <c r="L222" s="5" t="str">
        <f t="shared" si="24"/>
        <v>00221</v>
      </c>
      <c r="M222" s="46" t="str">
        <f t="shared" si="25"/>
        <v>15 de febrero de 2017</v>
      </c>
      <c r="N222" s="318">
        <f t="shared" si="29"/>
        <v>15</v>
      </c>
      <c r="O222" s="24">
        <f t="shared" si="26"/>
        <v>42767</v>
      </c>
      <c r="P222" s="5" t="str">
        <f t="shared" si="27"/>
        <v>0,20</v>
      </c>
      <c r="Q222" s="4" t="e">
        <f t="shared" ca="1" si="28"/>
        <v>#NAME?</v>
      </c>
    </row>
    <row r="223" spans="1:17">
      <c r="A223" s="1">
        <f t="shared" si="30"/>
        <v>222</v>
      </c>
      <c r="C223" s="8" t="s">
        <v>17</v>
      </c>
      <c r="D223" s="2">
        <v>42750</v>
      </c>
      <c r="E223" s="3">
        <f>30000/100000</f>
        <v>0.3</v>
      </c>
      <c r="F223" s="22" t="s">
        <v>422</v>
      </c>
      <c r="G223" s="18" t="s">
        <v>58</v>
      </c>
      <c r="H223" t="s">
        <v>423</v>
      </c>
      <c r="I223" s="6" t="s">
        <v>60</v>
      </c>
      <c r="J223" s="59" t="s">
        <v>22</v>
      </c>
      <c r="L223" s="5" t="str">
        <f t="shared" si="24"/>
        <v>00222</v>
      </c>
      <c r="M223" s="46" t="str">
        <f t="shared" si="25"/>
        <v>15 de enero de 2017</v>
      </c>
      <c r="N223" s="318">
        <f t="shared" si="29"/>
        <v>15</v>
      </c>
      <c r="O223" s="24">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59" t="s">
        <v>22</v>
      </c>
      <c r="L224" s="5" t="str">
        <f t="shared" si="24"/>
        <v>00223</v>
      </c>
      <c r="M224" s="46" t="str">
        <f t="shared" si="25"/>
        <v>08 de mayo de 2017</v>
      </c>
      <c r="N224" s="318">
        <f t="shared" si="29"/>
        <v>8</v>
      </c>
      <c r="O224" s="24">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59" t="s">
        <v>22</v>
      </c>
      <c r="L225" s="5" t="str">
        <f t="shared" si="24"/>
        <v>00224</v>
      </c>
      <c r="M225" s="46" t="str">
        <f t="shared" si="25"/>
        <v>08 de mayo de 2017</v>
      </c>
      <c r="N225" s="318">
        <f t="shared" si="29"/>
        <v>8</v>
      </c>
      <c r="O225" s="24">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59" t="s">
        <v>22</v>
      </c>
      <c r="L226" s="5" t="str">
        <f t="shared" si="24"/>
        <v>00225</v>
      </c>
      <c r="M226" s="46" t="str">
        <f t="shared" si="25"/>
        <v>15 de marzo de 2017</v>
      </c>
      <c r="N226" s="318">
        <f t="shared" si="29"/>
        <v>15</v>
      </c>
      <c r="O226" s="24">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59" t="s">
        <v>22</v>
      </c>
      <c r="L227" s="5" t="str">
        <f t="shared" si="24"/>
        <v>00226</v>
      </c>
      <c r="M227" s="46" t="str">
        <f t="shared" si="25"/>
        <v>08 de mayo de 2017</v>
      </c>
      <c r="N227" s="318">
        <f t="shared" si="29"/>
        <v>8</v>
      </c>
      <c r="O227" s="24">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59" t="s">
        <v>22</v>
      </c>
      <c r="L228" s="5" t="str">
        <f t="shared" si="24"/>
        <v>00227</v>
      </c>
      <c r="M228" s="46" t="str">
        <f t="shared" si="25"/>
        <v>15 de marzo de 2017</v>
      </c>
      <c r="N228" s="318">
        <f t="shared" si="29"/>
        <v>15</v>
      </c>
      <c r="O228" s="24">
        <f t="shared" si="26"/>
        <v>42795</v>
      </c>
      <c r="P228" s="5" t="str">
        <f t="shared" si="27"/>
        <v>0,17</v>
      </c>
      <c r="Q228" s="4" t="e">
        <f t="shared" ca="1" si="28"/>
        <v>#NAME?</v>
      </c>
    </row>
    <row r="229" spans="1:17">
      <c r="A229" s="316">
        <f t="shared" si="30"/>
        <v>228</v>
      </c>
      <c r="B229" s="541"/>
      <c r="C229" s="12" t="s">
        <v>225</v>
      </c>
      <c r="D229" s="17"/>
      <c r="E229" s="13"/>
      <c r="F229" s="14" t="s">
        <v>362</v>
      </c>
      <c r="G229" s="14" t="s">
        <v>363</v>
      </c>
      <c r="H229" s="14" t="s">
        <v>364</v>
      </c>
      <c r="I229" s="15" t="s">
        <v>425</v>
      </c>
      <c r="J229" s="60" t="s">
        <v>426</v>
      </c>
      <c r="K229" s="16"/>
      <c r="L229" s="5" t="str">
        <f t="shared" si="24"/>
        <v>00228</v>
      </c>
      <c r="M229" s="46" t="str">
        <f t="shared" si="25"/>
        <v/>
      </c>
      <c r="N229" s="318">
        <f t="shared" si="29"/>
        <v>0</v>
      </c>
      <c r="O229" s="24">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59" t="s">
        <v>22</v>
      </c>
      <c r="L230" s="5" t="str">
        <f t="shared" si="24"/>
        <v>00229</v>
      </c>
      <c r="M230" s="46" t="str">
        <f t="shared" si="25"/>
        <v>05 de mayo de 2017</v>
      </c>
      <c r="N230" s="318">
        <f t="shared" si="29"/>
        <v>5</v>
      </c>
      <c r="O230" s="24">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59" t="s">
        <v>22</v>
      </c>
      <c r="L231" s="5" t="str">
        <f t="shared" si="24"/>
        <v>00230</v>
      </c>
      <c r="M231" s="46" t="str">
        <f t="shared" si="25"/>
        <v>08 de mayo de 2017</v>
      </c>
      <c r="N231" s="318">
        <f t="shared" si="29"/>
        <v>8</v>
      </c>
      <c r="O231" s="24">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59" t="s">
        <v>22</v>
      </c>
      <c r="L232" s="5" t="str">
        <f t="shared" si="24"/>
        <v>00231</v>
      </c>
      <c r="M232" s="46" t="str">
        <f t="shared" si="25"/>
        <v>09 de mayo de 2017</v>
      </c>
      <c r="N232" s="318">
        <f t="shared" si="29"/>
        <v>9</v>
      </c>
      <c r="O232" s="24">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59" t="s">
        <v>22</v>
      </c>
      <c r="L233" s="5" t="str">
        <f t="shared" si="24"/>
        <v>00232</v>
      </c>
      <c r="M233" s="46" t="str">
        <f t="shared" si="25"/>
        <v>09 de mayo de 2017</v>
      </c>
      <c r="N233" s="318">
        <f t="shared" si="29"/>
        <v>9</v>
      </c>
      <c r="O233" s="24">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59" t="s">
        <v>22</v>
      </c>
      <c r="L234" s="5" t="str">
        <f t="shared" si="24"/>
        <v>00233</v>
      </c>
      <c r="M234" s="46" t="str">
        <f t="shared" si="25"/>
        <v>30 de abril de 2017</v>
      </c>
      <c r="N234" s="318">
        <f t="shared" si="29"/>
        <v>30</v>
      </c>
      <c r="O234" s="24">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59" t="s">
        <v>22</v>
      </c>
      <c r="L235" s="5" t="str">
        <f t="shared" si="24"/>
        <v>00234</v>
      </c>
      <c r="M235" s="46" t="str">
        <f t="shared" si="25"/>
        <v>09 de mayo de 2017</v>
      </c>
      <c r="N235" s="318">
        <f t="shared" si="29"/>
        <v>9</v>
      </c>
      <c r="O235" s="24">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59" t="s">
        <v>22</v>
      </c>
      <c r="L236" s="5" t="str">
        <f t="shared" si="24"/>
        <v>00235</v>
      </c>
      <c r="M236" s="46" t="str">
        <f t="shared" si="25"/>
        <v>09 de mayo de 2017</v>
      </c>
      <c r="N236" s="318">
        <f t="shared" si="29"/>
        <v>9</v>
      </c>
      <c r="O236" s="24">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59" t="s">
        <v>22</v>
      </c>
      <c r="L237" s="5" t="str">
        <f t="shared" si="24"/>
        <v>00236</v>
      </c>
      <c r="M237" s="46" t="str">
        <f t="shared" si="25"/>
        <v>06 de abril de 2017</v>
      </c>
      <c r="N237" s="318">
        <f t="shared" si="29"/>
        <v>6</v>
      </c>
      <c r="O237" s="24">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59" t="s">
        <v>22</v>
      </c>
      <c r="L238" s="5" t="str">
        <f t="shared" si="24"/>
        <v>00237</v>
      </c>
      <c r="M238" s="46" t="str">
        <f t="shared" si="25"/>
        <v>09 de mayo de 2017</v>
      </c>
      <c r="N238" s="318">
        <f t="shared" si="29"/>
        <v>9</v>
      </c>
      <c r="O238" s="24">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59" t="s">
        <v>22</v>
      </c>
      <c r="L239" s="5" t="str">
        <f t="shared" si="24"/>
        <v>00238</v>
      </c>
      <c r="M239" s="46" t="str">
        <f t="shared" si="25"/>
        <v>09 de mayo de 2017</v>
      </c>
      <c r="N239" s="318">
        <f t="shared" si="29"/>
        <v>9</v>
      </c>
      <c r="O239" s="24">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59" t="s">
        <v>22</v>
      </c>
      <c r="L240" s="5" t="str">
        <f t="shared" si="24"/>
        <v>00239</v>
      </c>
      <c r="M240" s="46" t="str">
        <f t="shared" si="25"/>
        <v>09 de mayo de 2017</v>
      </c>
      <c r="N240" s="318">
        <f t="shared" si="29"/>
        <v>9</v>
      </c>
      <c r="O240" s="24">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59" t="s">
        <v>22</v>
      </c>
      <c r="L241" s="5" t="str">
        <f t="shared" si="24"/>
        <v>00240</v>
      </c>
      <c r="M241" s="46" t="str">
        <f t="shared" si="25"/>
        <v>10 de mayo de 2017</v>
      </c>
      <c r="N241" s="318">
        <f t="shared" si="29"/>
        <v>10</v>
      </c>
      <c r="O241" s="24">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59" t="s">
        <v>22</v>
      </c>
      <c r="L242" s="5" t="str">
        <f t="shared" si="24"/>
        <v>00241</v>
      </c>
      <c r="M242" s="46" t="str">
        <f t="shared" si="25"/>
        <v>10 de mayo de 2017</v>
      </c>
      <c r="N242" s="318">
        <f t="shared" si="29"/>
        <v>10</v>
      </c>
      <c r="O242" s="24">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59" t="s">
        <v>22</v>
      </c>
      <c r="L243" s="5" t="str">
        <f t="shared" si="24"/>
        <v>00242</v>
      </c>
      <c r="M243" s="46" t="str">
        <f t="shared" si="25"/>
        <v>10 de mayo de 2017</v>
      </c>
      <c r="N243" s="318">
        <f t="shared" si="29"/>
        <v>10</v>
      </c>
      <c r="O243" s="24">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59" t="s">
        <v>22</v>
      </c>
      <c r="L244" s="5" t="str">
        <f t="shared" si="24"/>
        <v>00243</v>
      </c>
      <c r="M244" s="46" t="str">
        <f t="shared" si="25"/>
        <v>11 de mayo de 2017</v>
      </c>
      <c r="N244" s="318">
        <f t="shared" si="29"/>
        <v>11</v>
      </c>
      <c r="O244" s="24">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59" t="s">
        <v>22</v>
      </c>
      <c r="L245" s="5" t="str">
        <f t="shared" si="24"/>
        <v>00244</v>
      </c>
      <c r="M245" s="46" t="str">
        <f t="shared" si="25"/>
        <v>11 de mayo de 2017</v>
      </c>
      <c r="N245" s="318">
        <f t="shared" si="29"/>
        <v>11</v>
      </c>
      <c r="O245" s="24">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59" t="s">
        <v>22</v>
      </c>
      <c r="L246" s="5" t="str">
        <f t="shared" si="24"/>
        <v>00245</v>
      </c>
      <c r="M246" s="46" t="str">
        <f t="shared" si="25"/>
        <v>11 de mayo de 2017</v>
      </c>
      <c r="N246" s="318">
        <f t="shared" si="29"/>
        <v>11</v>
      </c>
      <c r="O246" s="24">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59" t="s">
        <v>22</v>
      </c>
      <c r="L247" s="5" t="str">
        <f t="shared" si="24"/>
        <v>00246</v>
      </c>
      <c r="M247" s="46" t="str">
        <f t="shared" si="25"/>
        <v>13 de mayo de 2017</v>
      </c>
      <c r="N247" s="318">
        <f t="shared" si="29"/>
        <v>13</v>
      </c>
      <c r="O247" s="24">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59" t="s">
        <v>22</v>
      </c>
      <c r="L248" s="5" t="str">
        <f t="shared" si="24"/>
        <v>00247</v>
      </c>
      <c r="M248" s="46" t="str">
        <f t="shared" si="25"/>
        <v>15 de mayo de 2017</v>
      </c>
      <c r="N248" s="318">
        <f t="shared" si="29"/>
        <v>15</v>
      </c>
      <c r="O248" s="24">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59" t="s">
        <v>22</v>
      </c>
      <c r="L249" s="5" t="str">
        <f t="shared" si="24"/>
        <v>00248</v>
      </c>
      <c r="M249" s="46" t="str">
        <f t="shared" si="25"/>
        <v>15 de mayo de 2017</v>
      </c>
      <c r="N249" s="318">
        <f t="shared" si="29"/>
        <v>15</v>
      </c>
      <c r="O249" s="24">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59" t="s">
        <v>22</v>
      </c>
      <c r="L250" s="5" t="str">
        <f t="shared" si="24"/>
        <v>00249</v>
      </c>
      <c r="M250" s="46" t="str">
        <f t="shared" si="25"/>
        <v>15 de mayo de 2017</v>
      </c>
      <c r="N250" s="318">
        <f t="shared" si="29"/>
        <v>15</v>
      </c>
      <c r="O250" s="24">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59" t="s">
        <v>22</v>
      </c>
      <c r="L251" s="5" t="str">
        <f t="shared" si="24"/>
        <v>00250</v>
      </c>
      <c r="M251" s="46" t="str">
        <f t="shared" si="25"/>
        <v>15 de mayo de 2017</v>
      </c>
      <c r="N251" s="318">
        <f t="shared" si="29"/>
        <v>15</v>
      </c>
      <c r="O251" s="24">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59" t="s">
        <v>22</v>
      </c>
      <c r="L252" s="5" t="str">
        <f t="shared" si="24"/>
        <v>00251</v>
      </c>
      <c r="M252" s="46" t="str">
        <f t="shared" si="25"/>
        <v>15 de mayo de 2017</v>
      </c>
      <c r="N252" s="318">
        <f t="shared" si="29"/>
        <v>15</v>
      </c>
      <c r="O252" s="24">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59" t="s">
        <v>22</v>
      </c>
      <c r="L253" s="5" t="str">
        <f t="shared" si="24"/>
        <v>00252</v>
      </c>
      <c r="M253" s="46" t="str">
        <f t="shared" si="25"/>
        <v>09 de mayo de 2017</v>
      </c>
      <c r="N253" s="318">
        <f t="shared" si="29"/>
        <v>9</v>
      </c>
      <c r="O253" s="24">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59" t="s">
        <v>22</v>
      </c>
      <c r="L254" s="5" t="str">
        <f t="shared" si="24"/>
        <v>00253</v>
      </c>
      <c r="M254" s="46" t="str">
        <f t="shared" si="25"/>
        <v>16 de mayo de 2017</v>
      </c>
      <c r="N254" s="318">
        <f t="shared" si="29"/>
        <v>16</v>
      </c>
      <c r="O254" s="24">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59" t="s">
        <v>22</v>
      </c>
      <c r="L255" s="5" t="str">
        <f t="shared" si="24"/>
        <v>00254</v>
      </c>
      <c r="M255" s="46" t="str">
        <f t="shared" si="25"/>
        <v>17 de mayo de 2017</v>
      </c>
      <c r="N255" s="318">
        <f t="shared" si="29"/>
        <v>17</v>
      </c>
      <c r="O255" s="24">
        <f t="shared" si="26"/>
        <v>42856</v>
      </c>
      <c r="P255" s="5" t="str">
        <f t="shared" si="27"/>
        <v>0,26</v>
      </c>
      <c r="Q255" s="4" t="e">
        <f t="shared" ca="1" si="28"/>
        <v>#NAME?</v>
      </c>
    </row>
    <row r="256" spans="1:17">
      <c r="A256" s="1">
        <f t="shared" si="30"/>
        <v>255</v>
      </c>
      <c r="C256" s="8" t="s">
        <v>17</v>
      </c>
      <c r="D256" s="2">
        <v>42809</v>
      </c>
      <c r="E256" s="3">
        <f>20000/100000</f>
        <v>0.2</v>
      </c>
      <c r="F256" s="19" t="s">
        <v>57</v>
      </c>
      <c r="G256" s="18" t="s">
        <v>58</v>
      </c>
      <c r="H256" s="20" t="s">
        <v>59</v>
      </c>
      <c r="I256" s="6" t="s">
        <v>306</v>
      </c>
      <c r="J256" s="59" t="s">
        <v>22</v>
      </c>
      <c r="K256" s="21"/>
      <c r="L256" s="5" t="str">
        <f t="shared" si="24"/>
        <v>00255</v>
      </c>
      <c r="M256" s="46" t="str">
        <f t="shared" si="25"/>
        <v>15 de marzo de 2017</v>
      </c>
      <c r="N256" s="318">
        <f t="shared" si="29"/>
        <v>15</v>
      </c>
      <c r="O256" s="24">
        <f t="shared" si="26"/>
        <v>42795</v>
      </c>
      <c r="P256" s="5" t="str">
        <f t="shared" si="27"/>
        <v>0,20</v>
      </c>
      <c r="Q256" s="4" t="e">
        <f t="shared" ca="1" si="28"/>
        <v>#NAME?</v>
      </c>
    </row>
    <row r="257" spans="1:17">
      <c r="A257" s="1">
        <f t="shared" si="30"/>
        <v>256</v>
      </c>
      <c r="C257" s="8" t="s">
        <v>17</v>
      </c>
      <c r="D257" s="2">
        <v>42840</v>
      </c>
      <c r="E257" s="3">
        <f>20000/100000</f>
        <v>0.2</v>
      </c>
      <c r="F257" s="19" t="s">
        <v>57</v>
      </c>
      <c r="G257" s="18" t="s">
        <v>58</v>
      </c>
      <c r="H257" s="20" t="s">
        <v>59</v>
      </c>
      <c r="I257" s="6" t="s">
        <v>395</v>
      </c>
      <c r="J257" s="59" t="s">
        <v>22</v>
      </c>
      <c r="K257" s="21"/>
      <c r="L257" s="5" t="str">
        <f t="shared" si="24"/>
        <v>00256</v>
      </c>
      <c r="M257" s="46" t="str">
        <f t="shared" si="25"/>
        <v>15 de abril de 2017</v>
      </c>
      <c r="N257" s="318">
        <f t="shared" si="29"/>
        <v>15</v>
      </c>
      <c r="O257" s="24">
        <f t="shared" si="26"/>
        <v>42826</v>
      </c>
      <c r="P257" s="5" t="str">
        <f t="shared" si="27"/>
        <v>0,20</v>
      </c>
      <c r="Q257" s="4" t="e">
        <f t="shared" ca="1" si="28"/>
        <v>#NAME?</v>
      </c>
    </row>
    <row r="258" spans="1:17">
      <c r="A258" s="1">
        <f t="shared" si="30"/>
        <v>257</v>
      </c>
      <c r="C258" s="8" t="s">
        <v>17</v>
      </c>
      <c r="D258" s="2">
        <v>42781</v>
      </c>
      <c r="E258" s="3">
        <f>30000/100000</f>
        <v>0.3</v>
      </c>
      <c r="F258" s="22" t="s">
        <v>422</v>
      </c>
      <c r="G258" s="18" t="s">
        <v>58</v>
      </c>
      <c r="H258" t="s">
        <v>423</v>
      </c>
      <c r="I258" s="6" t="s">
        <v>142</v>
      </c>
      <c r="J258" s="59" t="s">
        <v>22</v>
      </c>
      <c r="L258" s="5" t="str">
        <f t="shared" ref="L258:L321" si="31">IF(ISBLANK(A258),"",TEXT(A258,"00000"))</f>
        <v>00257</v>
      </c>
      <c r="M258" s="46" t="str">
        <f t="shared" ref="M258:M321" si="32">IF(ISBLANK(D258),"",TEXT(D258,"dd")&amp;" de "&amp;TEXT(D258,"mmmm")&amp;" de "&amp;TEXT(YEAR(D258),"0"))</f>
        <v>15 de febrero de 2017</v>
      </c>
      <c r="N258" s="318">
        <f t="shared" si="29"/>
        <v>15</v>
      </c>
      <c r="O258" s="24">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2" t="s">
        <v>422</v>
      </c>
      <c r="G259" s="18" t="s">
        <v>58</v>
      </c>
      <c r="H259" t="s">
        <v>423</v>
      </c>
      <c r="I259" s="6" t="s">
        <v>306</v>
      </c>
      <c r="J259" s="59" t="s">
        <v>22</v>
      </c>
      <c r="L259" s="5" t="str">
        <f t="shared" si="31"/>
        <v>00258</v>
      </c>
      <c r="M259" s="46" t="str">
        <f t="shared" si="32"/>
        <v>15 de marzo de 2017</v>
      </c>
      <c r="N259" s="318">
        <f t="shared" ref="N259:N322" si="36">DAY(D259)</f>
        <v>15</v>
      </c>
      <c r="O259" s="24">
        <f t="shared" si="33"/>
        <v>42795</v>
      </c>
      <c r="P259" s="5" t="str">
        <f t="shared" si="34"/>
        <v>0,30</v>
      </c>
      <c r="Q259" s="4" t="e">
        <f t="shared" ca="1" si="35"/>
        <v>#NAME?</v>
      </c>
    </row>
    <row r="260" spans="1:17">
      <c r="A260" s="1">
        <f t="shared" ref="A260:A323" si="37">A259+1</f>
        <v>259</v>
      </c>
      <c r="C260" s="8" t="s">
        <v>17</v>
      </c>
      <c r="D260" s="2">
        <v>42840</v>
      </c>
      <c r="E260" s="3">
        <f>30000/100000</f>
        <v>0.3</v>
      </c>
      <c r="F260" s="22" t="s">
        <v>422</v>
      </c>
      <c r="G260" s="18" t="s">
        <v>58</v>
      </c>
      <c r="H260" t="s">
        <v>423</v>
      </c>
      <c r="I260" s="6" t="s">
        <v>395</v>
      </c>
      <c r="J260" s="59" t="s">
        <v>22</v>
      </c>
      <c r="L260" s="5" t="str">
        <f t="shared" si="31"/>
        <v>00259</v>
      </c>
      <c r="M260" s="46" t="str">
        <f t="shared" si="32"/>
        <v>15 de abril de 2017</v>
      </c>
      <c r="N260" s="318">
        <f t="shared" si="36"/>
        <v>15</v>
      </c>
      <c r="O260" s="24">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59" t="s">
        <v>22</v>
      </c>
      <c r="L261" s="5" t="str">
        <f t="shared" si="31"/>
        <v>00260</v>
      </c>
      <c r="M261" s="46" t="str">
        <f t="shared" si="32"/>
        <v>18 de mayo de 2017</v>
      </c>
      <c r="N261" s="318">
        <f t="shared" si="36"/>
        <v>18</v>
      </c>
      <c r="O261" s="24">
        <f t="shared" si="33"/>
        <v>42856</v>
      </c>
      <c r="P261" s="5" t="str">
        <f t="shared" si="34"/>
        <v>0,20</v>
      </c>
      <c r="Q261" s="4" t="e">
        <f t="shared" ca="1" si="35"/>
        <v>#NAME?</v>
      </c>
    </row>
    <row r="262" spans="1:17">
      <c r="A262" s="1">
        <f t="shared" si="37"/>
        <v>261</v>
      </c>
      <c r="C262" s="8" t="s">
        <v>17</v>
      </c>
      <c r="D262" s="2">
        <v>42877</v>
      </c>
      <c r="E262" s="3">
        <f>30000/100000</f>
        <v>0.3</v>
      </c>
      <c r="F262" s="19" t="s">
        <v>57</v>
      </c>
      <c r="G262" s="18" t="s">
        <v>58</v>
      </c>
      <c r="H262" s="20" t="s">
        <v>59</v>
      </c>
      <c r="I262" s="6" t="s">
        <v>420</v>
      </c>
      <c r="J262" s="59" t="s">
        <v>22</v>
      </c>
      <c r="K262" s="21"/>
      <c r="L262" s="5" t="str">
        <f t="shared" si="31"/>
        <v>00261</v>
      </c>
      <c r="M262" s="46" t="str">
        <f t="shared" si="32"/>
        <v>22 de mayo de 2017</v>
      </c>
      <c r="N262" s="318">
        <f t="shared" si="36"/>
        <v>22</v>
      </c>
      <c r="O262" s="24">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59" t="s">
        <v>22</v>
      </c>
      <c r="L263" s="5" t="str">
        <f t="shared" si="31"/>
        <v>00262</v>
      </c>
      <c r="M263" s="46" t="str">
        <f t="shared" si="32"/>
        <v>22 de mayo de 2017</v>
      </c>
      <c r="N263" s="318">
        <f t="shared" si="36"/>
        <v>22</v>
      </c>
      <c r="O263" s="24">
        <f t="shared" si="33"/>
        <v>42856</v>
      </c>
      <c r="P263" s="5" t="str">
        <f t="shared" si="34"/>
        <v>0,34</v>
      </c>
      <c r="Q263" s="4" t="e">
        <f t="shared" ca="1" si="35"/>
        <v>#NAME?</v>
      </c>
    </row>
    <row r="264" spans="1:17">
      <c r="A264" s="1">
        <f t="shared" si="37"/>
        <v>263</v>
      </c>
      <c r="C264" s="8" t="s">
        <v>17</v>
      </c>
      <c r="D264" s="2">
        <v>42878</v>
      </c>
      <c r="E264" s="3">
        <f>40000/100000</f>
        <v>0.4</v>
      </c>
      <c r="F264" s="22" t="s">
        <v>422</v>
      </c>
      <c r="G264" s="18" t="s">
        <v>58</v>
      </c>
      <c r="H264" t="s">
        <v>423</v>
      </c>
      <c r="I264" s="6" t="s">
        <v>420</v>
      </c>
      <c r="J264" s="59" t="s">
        <v>22</v>
      </c>
      <c r="L264" s="5" t="str">
        <f t="shared" si="31"/>
        <v>00263</v>
      </c>
      <c r="M264" s="46" t="str">
        <f t="shared" si="32"/>
        <v>23 de mayo de 2017</v>
      </c>
      <c r="N264" s="318">
        <f t="shared" si="36"/>
        <v>23</v>
      </c>
      <c r="O264" s="24">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59" t="s">
        <v>22</v>
      </c>
      <c r="L265" s="5" t="str">
        <f t="shared" si="31"/>
        <v>00264</v>
      </c>
      <c r="M265" s="46" t="str">
        <f t="shared" si="32"/>
        <v>24 de mayo de 2017</v>
      </c>
      <c r="N265" s="318">
        <f t="shared" si="36"/>
        <v>24</v>
      </c>
      <c r="O265" s="24">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59" t="s">
        <v>22</v>
      </c>
      <c r="L266" s="5" t="str">
        <f t="shared" si="31"/>
        <v>00265</v>
      </c>
      <c r="M266" s="46" t="str">
        <f t="shared" si="32"/>
        <v>26 de mayo de 2017</v>
      </c>
      <c r="N266" s="318">
        <f t="shared" si="36"/>
        <v>26</v>
      </c>
      <c r="O266" s="24">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59" t="s">
        <v>22</v>
      </c>
      <c r="L267" s="5" t="str">
        <f t="shared" si="31"/>
        <v>00266</v>
      </c>
      <c r="M267" s="46" t="str">
        <f t="shared" si="32"/>
        <v>24 de mayo de 2017</v>
      </c>
      <c r="N267" s="318">
        <f t="shared" si="36"/>
        <v>24</v>
      </c>
      <c r="O267" s="24">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59" t="s">
        <v>22</v>
      </c>
      <c r="L268" s="5" t="str">
        <f t="shared" si="31"/>
        <v>00267</v>
      </c>
      <c r="M268" s="46" t="str">
        <f t="shared" si="32"/>
        <v>26 de mayo de 2017</v>
      </c>
      <c r="N268" s="318">
        <f t="shared" si="36"/>
        <v>26</v>
      </c>
      <c r="O268" s="24">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59" t="s">
        <v>22</v>
      </c>
      <c r="L269" s="5" t="str">
        <f t="shared" si="31"/>
        <v>00268</v>
      </c>
      <c r="M269" s="46" t="str">
        <f t="shared" si="32"/>
        <v>27 de mayo de 2017</v>
      </c>
      <c r="N269" s="318">
        <f t="shared" si="36"/>
        <v>27</v>
      </c>
      <c r="O269" s="24">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59" t="s">
        <v>22</v>
      </c>
      <c r="L270" s="5" t="str">
        <f t="shared" si="31"/>
        <v>00269</v>
      </c>
      <c r="M270" s="46" t="str">
        <f t="shared" si="32"/>
        <v>27 de mayo de 2017</v>
      </c>
      <c r="N270" s="318">
        <f t="shared" si="36"/>
        <v>27</v>
      </c>
      <c r="O270" s="24">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59" t="s">
        <v>22</v>
      </c>
      <c r="L271" s="5" t="str">
        <f t="shared" si="31"/>
        <v>00270</v>
      </c>
      <c r="M271" s="46" t="str">
        <f t="shared" si="32"/>
        <v>28 de mayo de 2017</v>
      </c>
      <c r="N271" s="318">
        <f t="shared" si="36"/>
        <v>28</v>
      </c>
      <c r="O271" s="24">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59" t="s">
        <v>22</v>
      </c>
      <c r="L272" s="5" t="str">
        <f t="shared" si="31"/>
        <v>00271</v>
      </c>
      <c r="M272" s="46" t="str">
        <f t="shared" si="32"/>
        <v>28 de mayo de 2017</v>
      </c>
      <c r="N272" s="318">
        <f t="shared" si="36"/>
        <v>28</v>
      </c>
      <c r="O272" s="24">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59" t="s">
        <v>22</v>
      </c>
      <c r="L273" s="5" t="str">
        <f t="shared" si="31"/>
        <v>00272</v>
      </c>
      <c r="M273" s="46" t="str">
        <f t="shared" si="32"/>
        <v>29 de mayo de 2017</v>
      </c>
      <c r="N273" s="318">
        <f t="shared" si="36"/>
        <v>29</v>
      </c>
      <c r="O273" s="24">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59" t="s">
        <v>22</v>
      </c>
      <c r="L274" s="5" t="str">
        <f t="shared" si="31"/>
        <v>00273</v>
      </c>
      <c r="M274" s="46" t="str">
        <f t="shared" si="32"/>
        <v>29 de mayo de 2017</v>
      </c>
      <c r="N274" s="318">
        <f t="shared" si="36"/>
        <v>29</v>
      </c>
      <c r="O274" s="24">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59" t="s">
        <v>22</v>
      </c>
      <c r="L275" s="5" t="str">
        <f t="shared" si="31"/>
        <v>00274</v>
      </c>
      <c r="M275" s="46" t="str">
        <f t="shared" si="32"/>
        <v>29 de mayo de 2017</v>
      </c>
      <c r="N275" s="318">
        <f t="shared" si="36"/>
        <v>29</v>
      </c>
      <c r="O275" s="24">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59" t="s">
        <v>22</v>
      </c>
      <c r="L276" s="5" t="str">
        <f t="shared" si="31"/>
        <v>00275</v>
      </c>
      <c r="M276" s="46" t="str">
        <f t="shared" si="32"/>
        <v>01 de junio de 2017</v>
      </c>
      <c r="N276" s="318">
        <f t="shared" si="36"/>
        <v>1</v>
      </c>
      <c r="O276" s="24">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59" t="s">
        <v>22</v>
      </c>
      <c r="L277" s="5" t="str">
        <f t="shared" si="31"/>
        <v>00276</v>
      </c>
      <c r="M277" s="46" t="str">
        <f t="shared" si="32"/>
        <v>01 de junio de 2017</v>
      </c>
      <c r="N277" s="318">
        <f t="shared" si="36"/>
        <v>1</v>
      </c>
      <c r="O277" s="24">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59" t="s">
        <v>22</v>
      </c>
      <c r="L278" s="5" t="str">
        <f t="shared" si="31"/>
        <v>00277</v>
      </c>
      <c r="M278" s="46" t="str">
        <f t="shared" si="32"/>
        <v>01 de junio de 2017</v>
      </c>
      <c r="N278" s="318">
        <f t="shared" si="36"/>
        <v>1</v>
      </c>
      <c r="O278" s="24">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59" t="s">
        <v>22</v>
      </c>
      <c r="L279" s="5" t="str">
        <f t="shared" si="31"/>
        <v>00278</v>
      </c>
      <c r="M279" s="46" t="str">
        <f t="shared" si="32"/>
        <v>01 de junio de 2017</v>
      </c>
      <c r="N279" s="318">
        <f t="shared" si="36"/>
        <v>1</v>
      </c>
      <c r="O279" s="24">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59" t="s">
        <v>22</v>
      </c>
      <c r="L280" s="5" t="str">
        <f t="shared" si="31"/>
        <v>00279</v>
      </c>
      <c r="M280" s="46" t="str">
        <f t="shared" si="32"/>
        <v>04 de junio de 2017</v>
      </c>
      <c r="N280" s="318">
        <f t="shared" si="36"/>
        <v>4</v>
      </c>
      <c r="O280" s="24">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59" t="s">
        <v>22</v>
      </c>
      <c r="L281" s="5" t="str">
        <f t="shared" si="31"/>
        <v>00280</v>
      </c>
      <c r="M281" s="46" t="str">
        <f t="shared" si="32"/>
        <v>04 de junio de 2017</v>
      </c>
      <c r="N281" s="318">
        <f t="shared" si="36"/>
        <v>4</v>
      </c>
      <c r="O281" s="24">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59" t="s">
        <v>22</v>
      </c>
      <c r="L282" s="5" t="str">
        <f t="shared" si="31"/>
        <v>00281</v>
      </c>
      <c r="M282" s="46" t="str">
        <f t="shared" si="32"/>
        <v>05 de junio de 2017</v>
      </c>
      <c r="N282" s="318">
        <f t="shared" si="36"/>
        <v>5</v>
      </c>
      <c r="O282" s="24">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59" t="s">
        <v>22</v>
      </c>
      <c r="L283" s="5" t="str">
        <f t="shared" si="31"/>
        <v>00282</v>
      </c>
      <c r="M283" s="46" t="str">
        <f t="shared" si="32"/>
        <v>05 de junio de 2017</v>
      </c>
      <c r="N283" s="318">
        <f t="shared" si="36"/>
        <v>5</v>
      </c>
      <c r="O283" s="24">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59" t="s">
        <v>22</v>
      </c>
      <c r="L284" s="5" t="str">
        <f t="shared" si="31"/>
        <v>00283</v>
      </c>
      <c r="M284" s="46" t="str">
        <f t="shared" si="32"/>
        <v>06 de junio de 2017</v>
      </c>
      <c r="N284" s="318">
        <f t="shared" si="36"/>
        <v>6</v>
      </c>
      <c r="O284" s="24">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59" t="s">
        <v>420</v>
      </c>
      <c r="J285" s="59" t="s">
        <v>22</v>
      </c>
      <c r="L285" s="5" t="str">
        <f t="shared" si="31"/>
        <v>00284</v>
      </c>
      <c r="M285" s="46" t="str">
        <f t="shared" si="32"/>
        <v>06 de junio de 2017</v>
      </c>
      <c r="N285" s="318">
        <f t="shared" si="36"/>
        <v>6</v>
      </c>
      <c r="O285" s="24">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59" t="s">
        <v>22</v>
      </c>
      <c r="L286" s="5" t="str">
        <f t="shared" si="31"/>
        <v>00285</v>
      </c>
      <c r="M286" s="46" t="str">
        <f t="shared" si="32"/>
        <v>07 de junio de 2017</v>
      </c>
      <c r="N286" s="318">
        <f t="shared" si="36"/>
        <v>7</v>
      </c>
      <c r="O286" s="24">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59" t="s">
        <v>22</v>
      </c>
      <c r="L287" s="5" t="str">
        <f t="shared" si="31"/>
        <v>00286</v>
      </c>
      <c r="M287" s="46" t="str">
        <f t="shared" si="32"/>
        <v>07 de junio de 2017</v>
      </c>
      <c r="N287" s="318">
        <f t="shared" si="36"/>
        <v>7</v>
      </c>
      <c r="O287" s="24">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59" t="s">
        <v>22</v>
      </c>
      <c r="L288" s="5" t="str">
        <f t="shared" si="31"/>
        <v>00287</v>
      </c>
      <c r="M288" s="46" t="str">
        <f t="shared" si="32"/>
        <v>07 de junio de 2017</v>
      </c>
      <c r="N288" s="318">
        <f t="shared" si="36"/>
        <v>7</v>
      </c>
      <c r="O288" s="24">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59" t="s">
        <v>22</v>
      </c>
      <c r="L289" s="5" t="str">
        <f t="shared" si="31"/>
        <v>00288</v>
      </c>
      <c r="M289" s="46" t="str">
        <f t="shared" si="32"/>
        <v>07 de junio de 2017</v>
      </c>
      <c r="N289" s="318">
        <f t="shared" si="36"/>
        <v>7</v>
      </c>
      <c r="O289" s="24">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59" t="s">
        <v>22</v>
      </c>
      <c r="L290" s="5" t="str">
        <f t="shared" si="31"/>
        <v>00289</v>
      </c>
      <c r="M290" s="46" t="str">
        <f t="shared" si="32"/>
        <v>02 de junio de 2017</v>
      </c>
      <c r="N290" s="318">
        <f t="shared" si="36"/>
        <v>2</v>
      </c>
      <c r="O290" s="24">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59" t="s">
        <v>22</v>
      </c>
      <c r="L291" s="5" t="str">
        <f t="shared" si="31"/>
        <v>00290</v>
      </c>
      <c r="M291" s="46" t="str">
        <f t="shared" si="32"/>
        <v>02 de junio de 2017</v>
      </c>
      <c r="N291" s="318">
        <f t="shared" si="36"/>
        <v>2</v>
      </c>
      <c r="O291" s="24">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59" t="s">
        <v>22</v>
      </c>
      <c r="L292" s="5" t="str">
        <f t="shared" si="31"/>
        <v>00291</v>
      </c>
      <c r="M292" s="46" t="str">
        <f t="shared" si="32"/>
        <v>04 de junio de 2017</v>
      </c>
      <c r="N292" s="318">
        <f t="shared" si="36"/>
        <v>4</v>
      </c>
      <c r="O292" s="24">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59" t="s">
        <v>22</v>
      </c>
      <c r="L293" s="5" t="str">
        <f t="shared" si="31"/>
        <v>00292</v>
      </c>
      <c r="M293" s="46" t="str">
        <f t="shared" si="32"/>
        <v>06 de junio de 2017</v>
      </c>
      <c r="N293" s="318">
        <f t="shared" si="36"/>
        <v>6</v>
      </c>
      <c r="O293" s="24">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59" t="s">
        <v>22</v>
      </c>
      <c r="L294" s="5" t="str">
        <f t="shared" si="31"/>
        <v>00293</v>
      </c>
      <c r="M294" s="46" t="str">
        <f t="shared" si="32"/>
        <v>17 de mayo de 2017</v>
      </c>
      <c r="N294" s="318">
        <f t="shared" si="36"/>
        <v>17</v>
      </c>
      <c r="O294" s="24">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59" t="s">
        <v>22</v>
      </c>
      <c r="L295" s="5" t="str">
        <f t="shared" si="31"/>
        <v>00294</v>
      </c>
      <c r="M295" s="46" t="str">
        <f t="shared" si="32"/>
        <v>02 de junio de 2017</v>
      </c>
      <c r="N295" s="318">
        <f t="shared" si="36"/>
        <v>2</v>
      </c>
      <c r="O295" s="24">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59" t="s">
        <v>22</v>
      </c>
      <c r="L296" s="5" t="str">
        <f t="shared" si="31"/>
        <v>00295</v>
      </c>
      <c r="M296" s="46" t="str">
        <f t="shared" si="32"/>
        <v>09 de junio de 2017</v>
      </c>
      <c r="N296" s="318">
        <f t="shared" si="36"/>
        <v>9</v>
      </c>
      <c r="O296" s="24">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59" t="s">
        <v>22</v>
      </c>
      <c r="L297" s="5" t="str">
        <f t="shared" si="31"/>
        <v>00296</v>
      </c>
      <c r="M297" s="46" t="str">
        <f t="shared" si="32"/>
        <v>09 de junio de 2017</v>
      </c>
      <c r="N297" s="318">
        <f t="shared" si="36"/>
        <v>9</v>
      </c>
      <c r="O297" s="24">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59" t="s">
        <v>22</v>
      </c>
      <c r="L298" s="5" t="str">
        <f t="shared" si="31"/>
        <v>00297</v>
      </c>
      <c r="M298" s="46" t="str">
        <f t="shared" si="32"/>
        <v>01 de junio de 2017</v>
      </c>
      <c r="N298" s="318">
        <f t="shared" si="36"/>
        <v>1</v>
      </c>
      <c r="O298" s="24">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59" t="s">
        <v>22</v>
      </c>
      <c r="L299" s="5" t="str">
        <f t="shared" si="31"/>
        <v>00298</v>
      </c>
      <c r="M299" s="46" t="str">
        <f t="shared" si="32"/>
        <v>16 de junio de 2017</v>
      </c>
      <c r="N299" s="318">
        <f t="shared" si="36"/>
        <v>16</v>
      </c>
      <c r="O299" s="24">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59" t="s">
        <v>22</v>
      </c>
      <c r="L300" s="5" t="str">
        <f t="shared" si="31"/>
        <v>00299</v>
      </c>
      <c r="M300" s="46" t="str">
        <f t="shared" si="32"/>
        <v>16 de junio de 2017</v>
      </c>
      <c r="N300" s="318">
        <f t="shared" si="36"/>
        <v>16</v>
      </c>
      <c r="O300" s="24">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59" t="s">
        <v>22</v>
      </c>
      <c r="L301" s="5" t="str">
        <f t="shared" si="31"/>
        <v>00300</v>
      </c>
      <c r="M301" s="46" t="str">
        <f t="shared" si="32"/>
        <v>08 de junio de 2017</v>
      </c>
      <c r="N301" s="318">
        <f t="shared" si="36"/>
        <v>8</v>
      </c>
      <c r="O301" s="24">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59" t="s">
        <v>22</v>
      </c>
      <c r="L302" s="5" t="str">
        <f t="shared" si="31"/>
        <v>00301</v>
      </c>
      <c r="M302" s="46" t="str">
        <f t="shared" si="32"/>
        <v>15 de mayo de 2017</v>
      </c>
      <c r="N302" s="318">
        <f t="shared" si="36"/>
        <v>15</v>
      </c>
      <c r="O302" s="24">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59" t="s">
        <v>22</v>
      </c>
      <c r="L303" s="5" t="str">
        <f t="shared" si="31"/>
        <v>00302</v>
      </c>
      <c r="M303" s="46" t="str">
        <f t="shared" si="32"/>
        <v>05 de junio de 2017</v>
      </c>
      <c r="N303" s="318">
        <f t="shared" si="36"/>
        <v>5</v>
      </c>
      <c r="O303" s="24">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59" t="s">
        <v>452</v>
      </c>
      <c r="L304" s="5" t="str">
        <f t="shared" si="31"/>
        <v>00303</v>
      </c>
      <c r="M304" s="46" t="str">
        <f t="shared" si="32"/>
        <v>14 de junio de 2017</v>
      </c>
      <c r="N304" s="318">
        <f t="shared" si="36"/>
        <v>14</v>
      </c>
      <c r="O304" s="24">
        <f t="shared" si="33"/>
        <v>42887</v>
      </c>
      <c r="P304" s="5" t="str">
        <f t="shared" si="40"/>
        <v>0,10</v>
      </c>
      <c r="Q304" s="4" t="e">
        <f t="shared" ca="1" si="35"/>
        <v>#NAME?</v>
      </c>
    </row>
    <row r="305" spans="1:17">
      <c r="A305" s="1">
        <f t="shared" si="37"/>
        <v>304</v>
      </c>
      <c r="C305" s="8" t="s">
        <v>17</v>
      </c>
      <c r="D305" s="2">
        <v>42900</v>
      </c>
      <c r="E305" s="3">
        <f>40000/100000</f>
        <v>0.4</v>
      </c>
      <c r="F305" s="22" t="s">
        <v>422</v>
      </c>
      <c r="G305" s="18" t="s">
        <v>58</v>
      </c>
      <c r="H305" t="s">
        <v>423</v>
      </c>
      <c r="I305" s="6" t="s">
        <v>445</v>
      </c>
      <c r="J305" s="59" t="s">
        <v>22</v>
      </c>
      <c r="L305" s="5" t="str">
        <f t="shared" si="31"/>
        <v>00304</v>
      </c>
      <c r="M305" s="46" t="str">
        <f t="shared" si="32"/>
        <v>14 de junio de 2017</v>
      </c>
      <c r="N305" s="318">
        <f t="shared" si="36"/>
        <v>14</v>
      </c>
      <c r="O305" s="24">
        <f t="shared" si="33"/>
        <v>42887</v>
      </c>
      <c r="P305" s="5" t="str">
        <f t="shared" si="40"/>
        <v>0,40</v>
      </c>
      <c r="Q305" s="4" t="e">
        <f t="shared" ca="1" si="35"/>
        <v>#NAME?</v>
      </c>
    </row>
    <row r="306" spans="1:17">
      <c r="A306" s="1">
        <f t="shared" si="37"/>
        <v>305</v>
      </c>
      <c r="C306" s="8" t="s">
        <v>17</v>
      </c>
      <c r="D306" s="2">
        <v>42900</v>
      </c>
      <c r="E306" s="3">
        <f>7000/100000</f>
        <v>7.0000000000000007E-2</v>
      </c>
      <c r="F306" s="22" t="s">
        <v>422</v>
      </c>
      <c r="G306" s="18" t="s">
        <v>58</v>
      </c>
      <c r="H306" t="s">
        <v>423</v>
      </c>
      <c r="I306" s="6" t="s">
        <v>451</v>
      </c>
      <c r="J306" s="59" t="s">
        <v>452</v>
      </c>
      <c r="L306" s="5" t="str">
        <f t="shared" si="31"/>
        <v>00305</v>
      </c>
      <c r="M306" s="46" t="str">
        <f t="shared" si="32"/>
        <v>14 de junio de 2017</v>
      </c>
      <c r="N306" s="318">
        <f t="shared" si="36"/>
        <v>14</v>
      </c>
      <c r="O306" s="24">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59" t="s">
        <v>452</v>
      </c>
      <c r="L307" s="5" t="str">
        <f t="shared" si="31"/>
        <v>00306</v>
      </c>
      <c r="M307" s="46" t="str">
        <f t="shared" si="32"/>
        <v>14 de junio de 2017</v>
      </c>
      <c r="N307" s="318">
        <f t="shared" si="36"/>
        <v>14</v>
      </c>
      <c r="O307" s="24">
        <f t="shared" si="33"/>
        <v>42887</v>
      </c>
      <c r="P307" s="5" t="str">
        <f t="shared" si="40"/>
        <v>0,07</v>
      </c>
      <c r="Q307" s="4" t="e">
        <f t="shared" ca="1" si="35"/>
        <v>#NAME?</v>
      </c>
    </row>
    <row r="308" spans="1:17">
      <c r="A308" s="1">
        <f t="shared" si="37"/>
        <v>307</v>
      </c>
      <c r="C308" s="8" t="s">
        <v>17</v>
      </c>
      <c r="D308" s="2">
        <v>42900</v>
      </c>
      <c r="E308" s="3">
        <f>26000*2/100000</f>
        <v>0.52</v>
      </c>
      <c r="F308" t="s">
        <v>239</v>
      </c>
      <c r="G308" s="71" t="s">
        <v>240</v>
      </c>
      <c r="H308" t="s">
        <v>241</v>
      </c>
      <c r="I308" s="6" t="s">
        <v>448</v>
      </c>
      <c r="J308" s="59" t="s">
        <v>22</v>
      </c>
      <c r="L308" s="5" t="str">
        <f t="shared" si="31"/>
        <v>00307</v>
      </c>
      <c r="M308" s="46" t="str">
        <f t="shared" si="32"/>
        <v>14 de junio de 2017</v>
      </c>
      <c r="N308" s="318">
        <f t="shared" si="36"/>
        <v>14</v>
      </c>
      <c r="O308" s="24">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1" t="s">
        <v>240</v>
      </c>
      <c r="H309" t="s">
        <v>241</v>
      </c>
      <c r="I309" s="6" t="s">
        <v>451</v>
      </c>
      <c r="J309" s="59" t="s">
        <v>452</v>
      </c>
      <c r="L309" s="5" t="str">
        <f t="shared" si="31"/>
        <v>00308</v>
      </c>
      <c r="M309" s="46" t="str">
        <f t="shared" si="32"/>
        <v>14 de junio de 2017</v>
      </c>
      <c r="N309" s="318">
        <f t="shared" si="36"/>
        <v>14</v>
      </c>
      <c r="O309" s="24">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59" t="s">
        <v>22</v>
      </c>
      <c r="L310" s="5" t="str">
        <f t="shared" si="31"/>
        <v>00309</v>
      </c>
      <c r="M310" s="46" t="str">
        <f t="shared" si="32"/>
        <v>14 de junio de 2017</v>
      </c>
      <c r="N310" s="318">
        <f t="shared" si="36"/>
        <v>14</v>
      </c>
      <c r="O310" s="24">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59" t="s">
        <v>452</v>
      </c>
      <c r="L311" s="5" t="str">
        <f t="shared" si="31"/>
        <v>00310</v>
      </c>
      <c r="M311" s="46" t="str">
        <f t="shared" si="32"/>
        <v>14 de junio de 2017</v>
      </c>
      <c r="N311" s="318">
        <f t="shared" si="36"/>
        <v>14</v>
      </c>
      <c r="O311" s="24">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59" t="s">
        <v>452</v>
      </c>
      <c r="L312" s="5" t="str">
        <f t="shared" si="31"/>
        <v>00311</v>
      </c>
      <c r="M312" s="46" t="str">
        <f t="shared" si="32"/>
        <v>14 de junio de 2017</v>
      </c>
      <c r="N312" s="318">
        <f t="shared" si="36"/>
        <v>14</v>
      </c>
      <c r="O312" s="24">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59" t="s">
        <v>22</v>
      </c>
      <c r="L313" s="5" t="str">
        <f t="shared" si="31"/>
        <v>00312</v>
      </c>
      <c r="M313" s="46" t="str">
        <f t="shared" si="32"/>
        <v>14 de junio de 2017</v>
      </c>
      <c r="N313" s="318">
        <f t="shared" si="36"/>
        <v>14</v>
      </c>
      <c r="O313" s="24">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59" t="s">
        <v>452</v>
      </c>
      <c r="L314" s="5" t="str">
        <f t="shared" si="31"/>
        <v>00313</v>
      </c>
      <c r="M314" s="46" t="str">
        <f t="shared" si="32"/>
        <v>14 de junio de 2017</v>
      </c>
      <c r="N314" s="318">
        <f t="shared" si="36"/>
        <v>14</v>
      </c>
      <c r="O314" s="24">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59" t="s">
        <v>452</v>
      </c>
      <c r="L315" s="5" t="str">
        <f t="shared" si="31"/>
        <v>00314</v>
      </c>
      <c r="M315" s="46" t="str">
        <f t="shared" si="32"/>
        <v>14 de junio de 2017</v>
      </c>
      <c r="N315" s="318">
        <f t="shared" si="36"/>
        <v>14</v>
      </c>
      <c r="O315" s="24">
        <f t="shared" si="33"/>
        <v>42887</v>
      </c>
      <c r="P315" s="5" t="str">
        <f>TEXT(E315,"#.##0,00")</f>
        <v>0,07</v>
      </c>
      <c r="Q315" s="4" t="e">
        <f t="shared" ca="1" si="35"/>
        <v>#NAME?</v>
      </c>
    </row>
    <row r="316" spans="1:17">
      <c r="A316" s="1">
        <f t="shared" si="37"/>
        <v>315</v>
      </c>
      <c r="C316" s="8" t="s">
        <v>17</v>
      </c>
      <c r="D316" s="2">
        <v>42901</v>
      </c>
      <c r="E316" s="3">
        <f>15000/100000</f>
        <v>0.15</v>
      </c>
      <c r="F316" t="s">
        <v>397</v>
      </c>
      <c r="G316" s="47" t="s">
        <v>29</v>
      </c>
      <c r="H316" t="s">
        <v>398</v>
      </c>
      <c r="I316" s="6" t="s">
        <v>456</v>
      </c>
      <c r="J316" s="59" t="s">
        <v>22</v>
      </c>
      <c r="L316" s="5" t="str">
        <f t="shared" si="31"/>
        <v>00315</v>
      </c>
      <c r="M316" s="46" t="str">
        <f t="shared" si="32"/>
        <v>15 de junio de 2017</v>
      </c>
      <c r="N316" s="318">
        <f t="shared" si="36"/>
        <v>15</v>
      </c>
      <c r="O316" s="24">
        <f t="shared" si="33"/>
        <v>42887</v>
      </c>
      <c r="P316" s="5" t="str">
        <f>TEXT(E316,"#.##0,00")</f>
        <v>0,15</v>
      </c>
      <c r="Q316" s="4" t="e">
        <f t="shared" ca="1" si="35"/>
        <v>#NAME?</v>
      </c>
    </row>
    <row r="317" spans="1:17">
      <c r="A317" s="1">
        <f t="shared" si="37"/>
        <v>316</v>
      </c>
      <c r="C317" s="8" t="s">
        <v>17</v>
      </c>
      <c r="D317" s="2">
        <v>42901</v>
      </c>
      <c r="E317" s="3">
        <f>5000/100000</f>
        <v>0.05</v>
      </c>
      <c r="F317" t="s">
        <v>397</v>
      </c>
      <c r="G317" s="47" t="s">
        <v>29</v>
      </c>
      <c r="H317" t="s">
        <v>398</v>
      </c>
      <c r="I317" s="6" t="s">
        <v>457</v>
      </c>
      <c r="J317" s="59" t="s">
        <v>452</v>
      </c>
      <c r="L317" s="5" t="str">
        <f t="shared" si="31"/>
        <v>00316</v>
      </c>
      <c r="M317" s="46" t="str">
        <f t="shared" si="32"/>
        <v>15 de junio de 2017</v>
      </c>
      <c r="N317" s="318">
        <f t="shared" si="36"/>
        <v>15</v>
      </c>
      <c r="O317" s="24">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59" t="s">
        <v>22</v>
      </c>
      <c r="L318" s="5" t="str">
        <f t="shared" si="31"/>
        <v>00317</v>
      </c>
      <c r="M318" s="46" t="str">
        <f t="shared" si="32"/>
        <v>15 de junio de 2017</v>
      </c>
      <c r="N318" s="318">
        <f t="shared" si="36"/>
        <v>15</v>
      </c>
      <c r="O318" s="24">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59" t="s">
        <v>452</v>
      </c>
      <c r="L319" s="5" t="str">
        <f t="shared" si="31"/>
        <v>00318</v>
      </c>
      <c r="M319" s="46" t="str">
        <f t="shared" si="32"/>
        <v>15 de junio de 2017</v>
      </c>
      <c r="N319" s="318">
        <f t="shared" si="36"/>
        <v>15</v>
      </c>
      <c r="O319" s="24">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59" t="s">
        <v>459</v>
      </c>
      <c r="L320" s="5" t="str">
        <f t="shared" si="31"/>
        <v>00319</v>
      </c>
      <c r="M320" s="46" t="str">
        <f t="shared" si="32"/>
        <v>15 de junio de 2017</v>
      </c>
      <c r="N320" s="318">
        <f t="shared" si="36"/>
        <v>15</v>
      </c>
      <c r="O320" s="24">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59" t="s">
        <v>452</v>
      </c>
      <c r="L321" s="5" t="str">
        <f t="shared" si="31"/>
        <v>00320</v>
      </c>
      <c r="M321" s="46" t="str">
        <f t="shared" si="32"/>
        <v>15 de junio de 2017</v>
      </c>
      <c r="N321" s="318">
        <f t="shared" si="36"/>
        <v>15</v>
      </c>
      <c r="O321" s="24">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59" t="s">
        <v>452</v>
      </c>
      <c r="L322" s="5" t="str">
        <f t="shared" ref="L322:L385" si="42">IF(ISBLANK(A322),"",TEXT(A322,"00000"))</f>
        <v>00321</v>
      </c>
      <c r="M322" s="46" t="str">
        <f t="shared" ref="M322:M385" si="43">IF(ISBLANK(D322),"",TEXT(D322,"dd")&amp;" de "&amp;TEXT(D322,"mmmm")&amp;" de "&amp;TEXT(YEAR(D322),"0"))</f>
        <v>16 de junio de 2017</v>
      </c>
      <c r="N322" s="318">
        <f t="shared" si="36"/>
        <v>16</v>
      </c>
      <c r="O322" s="24">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59" t="s">
        <v>452</v>
      </c>
      <c r="L323" s="5" t="str">
        <f t="shared" si="42"/>
        <v>00322</v>
      </c>
      <c r="M323" s="46" t="str">
        <f t="shared" si="43"/>
        <v>16 de junio de 2017</v>
      </c>
      <c r="N323" s="318">
        <f t="shared" ref="N323:N386" si="46">DAY(D323)</f>
        <v>16</v>
      </c>
      <c r="O323" s="24">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59" t="s">
        <v>22</v>
      </c>
      <c r="L324" s="5" t="str">
        <f t="shared" si="42"/>
        <v>00323</v>
      </c>
      <c r="M324" s="46" t="str">
        <f t="shared" si="43"/>
        <v>16 de junio de 2017</v>
      </c>
      <c r="N324" s="318">
        <f t="shared" si="46"/>
        <v>16</v>
      </c>
      <c r="O324" s="24">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59" t="s">
        <v>22</v>
      </c>
      <c r="L325" s="5" t="str">
        <f t="shared" si="42"/>
        <v>00324</v>
      </c>
      <c r="M325" s="46" t="str">
        <f t="shared" si="43"/>
        <v>16 de junio de 2017</v>
      </c>
      <c r="N325" s="318">
        <f t="shared" si="46"/>
        <v>16</v>
      </c>
      <c r="O325" s="24">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59" t="s">
        <v>452</v>
      </c>
      <c r="L326" s="5" t="str">
        <f t="shared" si="42"/>
        <v>00325</v>
      </c>
      <c r="M326" s="46" t="str">
        <f t="shared" si="43"/>
        <v>16 de junio de 2017</v>
      </c>
      <c r="N326" s="318">
        <f t="shared" si="46"/>
        <v>16</v>
      </c>
      <c r="O326" s="24">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59" t="s">
        <v>22</v>
      </c>
      <c r="L327" s="5" t="str">
        <f t="shared" si="42"/>
        <v>00326</v>
      </c>
      <c r="M327" s="46" t="str">
        <f t="shared" si="43"/>
        <v>16 de junio de 2017</v>
      </c>
      <c r="N327" s="318">
        <f t="shared" si="46"/>
        <v>16</v>
      </c>
      <c r="O327" s="24">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59" t="s">
        <v>22</v>
      </c>
      <c r="L328" s="5" t="str">
        <f t="shared" si="42"/>
        <v>00327</v>
      </c>
      <c r="M328" s="46" t="str">
        <f t="shared" si="43"/>
        <v>17 de junio de 2017</v>
      </c>
      <c r="N328" s="318">
        <f t="shared" si="46"/>
        <v>17</v>
      </c>
      <c r="O328" s="24">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59" t="s">
        <v>22</v>
      </c>
      <c r="L329" s="5" t="str">
        <f t="shared" si="42"/>
        <v>00328</v>
      </c>
      <c r="M329" s="46" t="str">
        <f t="shared" si="43"/>
        <v>19 de junio de 2017</v>
      </c>
      <c r="N329" s="318">
        <f t="shared" si="46"/>
        <v>19</v>
      </c>
      <c r="O329" s="24">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59" t="s">
        <v>452</v>
      </c>
      <c r="L330" s="5" t="str">
        <f t="shared" si="42"/>
        <v>00329</v>
      </c>
      <c r="M330" s="46" t="str">
        <f t="shared" si="43"/>
        <v>19 de junio de 2017</v>
      </c>
      <c r="N330" s="318">
        <f t="shared" si="46"/>
        <v>19</v>
      </c>
      <c r="O330" s="24">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59" t="s">
        <v>452</v>
      </c>
      <c r="L331" s="5" t="str">
        <f t="shared" si="42"/>
        <v>00330</v>
      </c>
      <c r="M331" s="46" t="str">
        <f t="shared" si="43"/>
        <v>20 de junio de 2017</v>
      </c>
      <c r="N331" s="318">
        <f t="shared" si="46"/>
        <v>20</v>
      </c>
      <c r="O331" s="24">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59" t="s">
        <v>452</v>
      </c>
      <c r="L332" s="5" t="str">
        <f t="shared" si="42"/>
        <v>00331</v>
      </c>
      <c r="M332" s="46" t="str">
        <f t="shared" si="43"/>
        <v>20 de junio de 2017</v>
      </c>
      <c r="N332" s="318">
        <f t="shared" si="46"/>
        <v>20</v>
      </c>
      <c r="O332" s="24">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59" t="s">
        <v>22</v>
      </c>
      <c r="L333" s="5" t="str">
        <f t="shared" si="42"/>
        <v>00332</v>
      </c>
      <c r="M333" s="46" t="str">
        <f t="shared" si="43"/>
        <v>21 de junio de 2017</v>
      </c>
      <c r="N333" s="318">
        <f t="shared" si="46"/>
        <v>21</v>
      </c>
      <c r="O333" s="24">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59" t="s">
        <v>452</v>
      </c>
      <c r="L334" s="5" t="str">
        <f t="shared" si="42"/>
        <v>00333</v>
      </c>
      <c r="M334" s="46" t="str">
        <f t="shared" si="43"/>
        <v>21 de junio de 2017</v>
      </c>
      <c r="N334" s="318">
        <f t="shared" si="46"/>
        <v>21</v>
      </c>
      <c r="O334" s="24">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59" t="s">
        <v>452</v>
      </c>
      <c r="L335" s="5" t="str">
        <f t="shared" si="42"/>
        <v>00334</v>
      </c>
      <c r="M335" s="46" t="str">
        <f t="shared" si="43"/>
        <v>21 de junio de 2017</v>
      </c>
      <c r="N335" s="318">
        <f t="shared" si="46"/>
        <v>21</v>
      </c>
      <c r="O335" s="24">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59" t="s">
        <v>452</v>
      </c>
      <c r="L336" s="5" t="str">
        <f t="shared" si="42"/>
        <v>00335</v>
      </c>
      <c r="M336" s="46" t="str">
        <f t="shared" si="43"/>
        <v>21 de junio de 2017</v>
      </c>
      <c r="N336" s="318">
        <f t="shared" si="46"/>
        <v>21</v>
      </c>
      <c r="O336" s="24">
        <f t="shared" si="44"/>
        <v>42887</v>
      </c>
      <c r="P336" s="5" t="str">
        <f t="shared" si="49"/>
        <v>0,07</v>
      </c>
      <c r="Q336" s="4" t="e">
        <f t="shared" ca="1" si="45"/>
        <v>#NAME?</v>
      </c>
    </row>
    <row r="337" spans="1:17">
      <c r="A337" s="1">
        <f t="shared" si="47"/>
        <v>336</v>
      </c>
      <c r="C337" s="8" t="s">
        <v>17</v>
      </c>
      <c r="D337" s="2">
        <v>42907</v>
      </c>
      <c r="E337" s="3">
        <f>30000/100000</f>
        <v>0.3</v>
      </c>
      <c r="F337" s="19" t="s">
        <v>57</v>
      </c>
      <c r="G337" s="18" t="s">
        <v>58</v>
      </c>
      <c r="H337" s="20" t="s">
        <v>59</v>
      </c>
      <c r="I337" s="6" t="s">
        <v>445</v>
      </c>
      <c r="J337" s="59" t="s">
        <v>22</v>
      </c>
      <c r="K337" s="21"/>
      <c r="L337" s="5" t="str">
        <f t="shared" si="42"/>
        <v>00336</v>
      </c>
      <c r="M337" s="46" t="str">
        <f t="shared" si="43"/>
        <v>21 de junio de 2017</v>
      </c>
      <c r="N337" s="318">
        <f t="shared" si="46"/>
        <v>21</v>
      </c>
      <c r="O337" s="24">
        <f t="shared" si="44"/>
        <v>42887</v>
      </c>
      <c r="P337" s="5" t="str">
        <f t="shared" si="49"/>
        <v>0,30</v>
      </c>
      <c r="Q337" s="4" t="e">
        <f t="shared" ca="1" si="45"/>
        <v>#NAME?</v>
      </c>
    </row>
    <row r="338" spans="1:17">
      <c r="A338" s="1">
        <f t="shared" si="47"/>
        <v>337</v>
      </c>
      <c r="C338" s="8" t="s">
        <v>17</v>
      </c>
      <c r="D338" s="2">
        <v>42907</v>
      </c>
      <c r="E338" s="3">
        <f>7000/100000</f>
        <v>7.0000000000000007E-2</v>
      </c>
      <c r="F338" s="19" t="s">
        <v>57</v>
      </c>
      <c r="G338" s="18" t="s">
        <v>58</v>
      </c>
      <c r="H338" s="20" t="s">
        <v>59</v>
      </c>
      <c r="I338" s="6" t="s">
        <v>451</v>
      </c>
      <c r="J338" s="59" t="s">
        <v>452</v>
      </c>
      <c r="K338" s="21"/>
      <c r="L338" s="5" t="str">
        <f t="shared" si="42"/>
        <v>00337</v>
      </c>
      <c r="M338" s="46" t="str">
        <f t="shared" si="43"/>
        <v>21 de junio de 2017</v>
      </c>
      <c r="N338" s="318">
        <f t="shared" si="46"/>
        <v>21</v>
      </c>
      <c r="O338" s="24">
        <f t="shared" si="44"/>
        <v>42887</v>
      </c>
      <c r="P338" s="5" t="str">
        <f t="shared" si="49"/>
        <v>0,07</v>
      </c>
      <c r="Q338" s="4" t="e">
        <f t="shared" ca="1" si="45"/>
        <v>#NAME?</v>
      </c>
    </row>
    <row r="339" spans="1:17">
      <c r="A339" s="1">
        <f t="shared" si="47"/>
        <v>338</v>
      </c>
      <c r="C339" s="8" t="s">
        <v>17</v>
      </c>
      <c r="D339" s="2">
        <v>42907</v>
      </c>
      <c r="E339" s="3">
        <f>5000/100000</f>
        <v>0.05</v>
      </c>
      <c r="F339" t="s">
        <v>177</v>
      </c>
      <c r="G339" s="47" t="s">
        <v>178</v>
      </c>
      <c r="H339" t="s">
        <v>179</v>
      </c>
      <c r="I339" s="6" t="s">
        <v>467</v>
      </c>
      <c r="J339" s="59" t="s">
        <v>452</v>
      </c>
      <c r="L339" s="5" t="str">
        <f t="shared" si="42"/>
        <v>00338</v>
      </c>
      <c r="M339" s="46" t="str">
        <f t="shared" si="43"/>
        <v>21 de junio de 2017</v>
      </c>
      <c r="N339" s="318">
        <f t="shared" si="46"/>
        <v>21</v>
      </c>
      <c r="O339" s="24">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59" t="s">
        <v>22</v>
      </c>
      <c r="L340" s="5" t="str">
        <f t="shared" si="42"/>
        <v>00339</v>
      </c>
      <c r="M340" s="46" t="str">
        <f t="shared" si="43"/>
        <v>21 de junio de 2017</v>
      </c>
      <c r="N340" s="318">
        <f t="shared" si="46"/>
        <v>21</v>
      </c>
      <c r="O340" s="24">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59" t="s">
        <v>452</v>
      </c>
      <c r="L341" s="5" t="str">
        <f t="shared" si="42"/>
        <v>00340</v>
      </c>
      <c r="M341" s="46" t="str">
        <f t="shared" si="43"/>
        <v>21 de junio de 2017</v>
      </c>
      <c r="N341" s="318">
        <f t="shared" si="46"/>
        <v>21</v>
      </c>
      <c r="O341" s="24">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59" t="s">
        <v>452</v>
      </c>
      <c r="L342" s="5" t="str">
        <f t="shared" si="42"/>
        <v>00341</v>
      </c>
      <c r="M342" s="46" t="str">
        <f t="shared" si="43"/>
        <v>21 de junio de 2017</v>
      </c>
      <c r="N342" s="318">
        <f t="shared" si="46"/>
        <v>21</v>
      </c>
      <c r="O342" s="24">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59" t="s">
        <v>452</v>
      </c>
      <c r="L343" s="5" t="str">
        <f t="shared" si="42"/>
        <v>00342</v>
      </c>
      <c r="M343" s="46" t="str">
        <f t="shared" si="43"/>
        <v>21 de junio de 2017</v>
      </c>
      <c r="N343" s="318">
        <f t="shared" si="46"/>
        <v>21</v>
      </c>
      <c r="O343" s="24">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59" t="s">
        <v>22</v>
      </c>
      <c r="L344" s="5" t="str">
        <f t="shared" si="42"/>
        <v>00343</v>
      </c>
      <c r="M344" s="46" t="str">
        <f t="shared" si="43"/>
        <v>21 de junio de 2017</v>
      </c>
      <c r="N344" s="318">
        <f t="shared" si="46"/>
        <v>21</v>
      </c>
      <c r="O344" s="24">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59" t="s">
        <v>452</v>
      </c>
      <c r="L345" s="5" t="str">
        <f t="shared" si="42"/>
        <v>00344</v>
      </c>
      <c r="M345" s="46" t="str">
        <f t="shared" si="43"/>
        <v>21 de junio de 2017</v>
      </c>
      <c r="N345" s="318">
        <f t="shared" si="46"/>
        <v>21</v>
      </c>
      <c r="O345" s="24">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59" t="s">
        <v>452</v>
      </c>
      <c r="L346" s="5" t="str">
        <f t="shared" si="42"/>
        <v>00345</v>
      </c>
      <c r="M346" s="46" t="str">
        <f t="shared" si="43"/>
        <v>22 de junio de 2017</v>
      </c>
      <c r="N346" s="318">
        <f t="shared" si="46"/>
        <v>22</v>
      </c>
      <c r="O346" s="24">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59" t="s">
        <v>452</v>
      </c>
      <c r="L347" s="5" t="str">
        <f t="shared" si="42"/>
        <v>00346</v>
      </c>
      <c r="M347" s="46" t="str">
        <f t="shared" si="43"/>
        <v>22 de junio de 2017</v>
      </c>
      <c r="N347" s="318">
        <f t="shared" si="46"/>
        <v>22</v>
      </c>
      <c r="O347" s="24">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59" t="s">
        <v>452</v>
      </c>
      <c r="L348" s="5" t="str">
        <f t="shared" si="42"/>
        <v>00347</v>
      </c>
      <c r="M348" s="46" t="str">
        <f t="shared" si="43"/>
        <v>22 de junio de 2017</v>
      </c>
      <c r="N348" s="318">
        <f t="shared" si="46"/>
        <v>22</v>
      </c>
      <c r="O348" s="24">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59" t="s">
        <v>452</v>
      </c>
      <c r="L349" s="5" t="str">
        <f t="shared" si="42"/>
        <v>00348</v>
      </c>
      <c r="M349" s="46" t="str">
        <f t="shared" si="43"/>
        <v>22 de junio de 2017</v>
      </c>
      <c r="N349" s="318">
        <f t="shared" si="46"/>
        <v>22</v>
      </c>
      <c r="O349" s="24">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59" t="s">
        <v>22</v>
      </c>
      <c r="L350" s="5" t="str">
        <f t="shared" si="42"/>
        <v>00349</v>
      </c>
      <c r="M350" s="46" t="str">
        <f t="shared" si="43"/>
        <v>22 de junio de 2017</v>
      </c>
      <c r="N350" s="318">
        <f t="shared" si="46"/>
        <v>22</v>
      </c>
      <c r="O350" s="24">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59" t="s">
        <v>452</v>
      </c>
      <c r="L351" s="5" t="str">
        <f t="shared" si="42"/>
        <v>00350</v>
      </c>
      <c r="M351" s="46" t="str">
        <f t="shared" si="43"/>
        <v>22 de junio de 2017</v>
      </c>
      <c r="N351" s="318">
        <f t="shared" si="46"/>
        <v>22</v>
      </c>
      <c r="O351" s="24">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59" t="s">
        <v>22</v>
      </c>
      <c r="L352" s="5" t="str">
        <f t="shared" si="42"/>
        <v>00351</v>
      </c>
      <c r="M352" s="46" t="str">
        <f t="shared" si="43"/>
        <v>22 de junio de 2017</v>
      </c>
      <c r="N352" s="318">
        <f t="shared" si="46"/>
        <v>22</v>
      </c>
      <c r="O352" s="24">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59" t="s">
        <v>452</v>
      </c>
      <c r="L353" s="5" t="str">
        <f t="shared" si="42"/>
        <v>00352</v>
      </c>
      <c r="M353" s="46" t="str">
        <f t="shared" si="43"/>
        <v>22 de junio de 2017</v>
      </c>
      <c r="N353" s="318">
        <f t="shared" si="46"/>
        <v>22</v>
      </c>
      <c r="O353" s="24">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59" t="s">
        <v>452</v>
      </c>
      <c r="L354" s="5" t="str">
        <f t="shared" si="42"/>
        <v>00353</v>
      </c>
      <c r="M354" s="46" t="str">
        <f t="shared" si="43"/>
        <v>23 de junio de 2017</v>
      </c>
      <c r="N354" s="318">
        <f t="shared" si="46"/>
        <v>23</v>
      </c>
      <c r="O354" s="24">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59" t="s">
        <v>22</v>
      </c>
      <c r="L355" s="5" t="str">
        <f t="shared" si="42"/>
        <v>00354</v>
      </c>
      <c r="M355" s="46" t="str">
        <f t="shared" si="43"/>
        <v>24 de junio de 2017</v>
      </c>
      <c r="N355" s="318">
        <f t="shared" si="46"/>
        <v>24</v>
      </c>
      <c r="O355" s="24">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59" t="s">
        <v>22</v>
      </c>
      <c r="L356" s="5" t="str">
        <f t="shared" si="42"/>
        <v>00355</v>
      </c>
      <c r="M356" s="46" t="str">
        <f t="shared" si="43"/>
        <v>24 de junio de 2017</v>
      </c>
      <c r="N356" s="318">
        <f t="shared" si="46"/>
        <v>24</v>
      </c>
      <c r="O356" s="24">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59" t="s">
        <v>452</v>
      </c>
      <c r="L357" s="5" t="str">
        <f t="shared" si="42"/>
        <v>00356</v>
      </c>
      <c r="M357" s="46" t="str">
        <f t="shared" si="43"/>
        <v>26 de junio de 2017</v>
      </c>
      <c r="N357" s="318">
        <f t="shared" si="46"/>
        <v>26</v>
      </c>
      <c r="O357" s="24">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59" t="s">
        <v>22</v>
      </c>
      <c r="L358" s="5" t="str">
        <f t="shared" si="42"/>
        <v>00357</v>
      </c>
      <c r="M358" s="46" t="str">
        <f t="shared" si="43"/>
        <v>26 de junio de 2017</v>
      </c>
      <c r="N358" s="318">
        <f t="shared" si="46"/>
        <v>26</v>
      </c>
      <c r="O358" s="24">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59" t="s">
        <v>22</v>
      </c>
      <c r="L359" s="5" t="str">
        <f t="shared" si="42"/>
        <v>00358</v>
      </c>
      <c r="M359" s="46" t="str">
        <f t="shared" si="43"/>
        <v>26 de junio de 2017</v>
      </c>
      <c r="N359" s="318">
        <f t="shared" si="46"/>
        <v>26</v>
      </c>
      <c r="O359" s="24">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59" t="s">
        <v>452</v>
      </c>
      <c r="L360" s="5" t="str">
        <f t="shared" si="42"/>
        <v>00359</v>
      </c>
      <c r="M360" s="46" t="str">
        <f t="shared" si="43"/>
        <v>26 de junio de 2017</v>
      </c>
      <c r="N360" s="318">
        <f t="shared" si="46"/>
        <v>26</v>
      </c>
      <c r="O360" s="24">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59" t="s">
        <v>452</v>
      </c>
      <c r="L361" s="5" t="str">
        <f t="shared" si="42"/>
        <v>00360</v>
      </c>
      <c r="M361" s="46" t="str">
        <f t="shared" si="43"/>
        <v>26 de junio de 2017</v>
      </c>
      <c r="N361" s="318">
        <f t="shared" si="46"/>
        <v>26</v>
      </c>
      <c r="O361" s="24">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59" t="s">
        <v>452</v>
      </c>
      <c r="L362" s="5" t="str">
        <f t="shared" si="42"/>
        <v>00361</v>
      </c>
      <c r="M362" s="46" t="str">
        <f t="shared" si="43"/>
        <v>27 de junio de 2017</v>
      </c>
      <c r="N362" s="318">
        <f t="shared" si="46"/>
        <v>27</v>
      </c>
      <c r="O362" s="24">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59" t="s">
        <v>22</v>
      </c>
      <c r="L363" s="5" t="str">
        <f t="shared" si="42"/>
        <v>00362</v>
      </c>
      <c r="M363" s="46" t="str">
        <f t="shared" si="43"/>
        <v>28 de junio de 2017</v>
      </c>
      <c r="N363" s="318">
        <f t="shared" si="46"/>
        <v>28</v>
      </c>
      <c r="O363" s="24">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59" t="s">
        <v>22</v>
      </c>
      <c r="L364" s="5" t="str">
        <f t="shared" si="42"/>
        <v>00363</v>
      </c>
      <c r="M364" s="46" t="str">
        <f t="shared" si="43"/>
        <v>20 de junio de 2017</v>
      </c>
      <c r="N364" s="318">
        <f t="shared" si="46"/>
        <v>20</v>
      </c>
      <c r="O364" s="24">
        <f t="shared" si="44"/>
        <v>42887</v>
      </c>
      <c r="P364" s="5" t="str">
        <f t="shared" si="50"/>
        <v>0,26</v>
      </c>
      <c r="Q364" s="4" t="e">
        <f t="shared" ca="1" si="45"/>
        <v>#NAME?</v>
      </c>
    </row>
    <row r="365" spans="1:17">
      <c r="A365" s="316">
        <f t="shared" si="47"/>
        <v>364</v>
      </c>
      <c r="B365" s="541"/>
      <c r="C365" s="12" t="s">
        <v>225</v>
      </c>
      <c r="D365" s="17">
        <v>42914</v>
      </c>
      <c r="E365" s="13">
        <f>7000/100000</f>
        <v>7.0000000000000007E-2</v>
      </c>
      <c r="F365" s="14" t="s">
        <v>103</v>
      </c>
      <c r="G365" s="14" t="s">
        <v>104</v>
      </c>
      <c r="H365" s="14" t="s">
        <v>105</v>
      </c>
      <c r="I365" s="15" t="s">
        <v>469</v>
      </c>
      <c r="J365" s="60" t="s">
        <v>426</v>
      </c>
      <c r="K365" s="16"/>
      <c r="L365" s="5" t="str">
        <f t="shared" si="42"/>
        <v>00364</v>
      </c>
      <c r="M365" s="46" t="str">
        <f t="shared" si="43"/>
        <v>28 de junio de 2017</v>
      </c>
      <c r="N365" s="318">
        <f t="shared" si="46"/>
        <v>28</v>
      </c>
      <c r="O365" s="24">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59" t="s">
        <v>22</v>
      </c>
      <c r="L366" s="5" t="str">
        <f t="shared" si="42"/>
        <v>00365</v>
      </c>
      <c r="M366" s="46" t="str">
        <f t="shared" si="43"/>
        <v>28 de junio de 2017</v>
      </c>
      <c r="N366" s="318">
        <f t="shared" si="46"/>
        <v>28</v>
      </c>
      <c r="O366" s="24">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59" t="s">
        <v>22</v>
      </c>
      <c r="L367" s="5" t="str">
        <f t="shared" si="42"/>
        <v>00366</v>
      </c>
      <c r="M367" s="46" t="str">
        <f t="shared" si="43"/>
        <v>28 de junio de 2017</v>
      </c>
      <c r="N367" s="318">
        <f t="shared" si="46"/>
        <v>28</v>
      </c>
      <c r="O367" s="24">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59" t="s">
        <v>452</v>
      </c>
      <c r="L368" s="5" t="str">
        <f t="shared" si="42"/>
        <v>00367</v>
      </c>
      <c r="M368" s="46" t="str">
        <f t="shared" si="43"/>
        <v>29 de junio de 2017</v>
      </c>
      <c r="N368" s="318">
        <f t="shared" si="46"/>
        <v>29</v>
      </c>
      <c r="O368" s="24">
        <f t="shared" si="44"/>
        <v>42887</v>
      </c>
      <c r="P368" s="5" t="str">
        <f>TEXT(E368,"#.##0,00")</f>
        <v>0,07</v>
      </c>
      <c r="Q368" s="4" t="e">
        <f ca="1">CONVERTIRNUM(E368)</f>
        <v>#NAME?</v>
      </c>
    </row>
    <row r="369" spans="1:17">
      <c r="A369" s="1">
        <f t="shared" si="47"/>
        <v>368</v>
      </c>
      <c r="C369" s="8" t="s">
        <v>17</v>
      </c>
      <c r="D369" s="2">
        <v>42916</v>
      </c>
      <c r="E369" s="3">
        <f>2000/100000</f>
        <v>0.02</v>
      </c>
      <c r="F369" t="s">
        <v>177</v>
      </c>
      <c r="G369" s="47" t="s">
        <v>178</v>
      </c>
      <c r="H369" t="s">
        <v>179</v>
      </c>
      <c r="I369" s="6" t="s">
        <v>470</v>
      </c>
      <c r="J369" s="59" t="s">
        <v>452</v>
      </c>
      <c r="L369" s="5" t="str">
        <f t="shared" si="42"/>
        <v>00368</v>
      </c>
      <c r="M369" s="46" t="str">
        <f t="shared" si="43"/>
        <v>30 de junio de 2017</v>
      </c>
      <c r="N369" s="318">
        <f t="shared" si="46"/>
        <v>30</v>
      </c>
      <c r="O369" s="24">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59" t="s">
        <v>452</v>
      </c>
      <c r="L370" s="5" t="str">
        <f t="shared" si="42"/>
        <v>00369</v>
      </c>
      <c r="M370" s="46" t="str">
        <f t="shared" si="43"/>
        <v>30 de junio de 2017</v>
      </c>
      <c r="N370" s="318">
        <f t="shared" si="46"/>
        <v>30</v>
      </c>
      <c r="O370" s="24">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59" t="s">
        <v>452</v>
      </c>
      <c r="L371" s="5" t="str">
        <f t="shared" si="42"/>
        <v>00370</v>
      </c>
      <c r="M371" s="46" t="str">
        <f t="shared" si="43"/>
        <v>30 de junio de 2017</v>
      </c>
      <c r="N371" s="318">
        <f t="shared" si="46"/>
        <v>30</v>
      </c>
      <c r="O371" s="24">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59" t="s">
        <v>22</v>
      </c>
      <c r="L372" s="5" t="str">
        <f t="shared" si="42"/>
        <v>00371</v>
      </c>
      <c r="M372" s="46" t="str">
        <f t="shared" si="43"/>
        <v>30 de junio de 2017</v>
      </c>
      <c r="N372" s="318">
        <f t="shared" si="46"/>
        <v>30</v>
      </c>
      <c r="O372" s="24">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59" t="s">
        <v>452</v>
      </c>
      <c r="L373" s="5" t="str">
        <f t="shared" si="42"/>
        <v>00372</v>
      </c>
      <c r="M373" s="46" t="str">
        <f t="shared" si="43"/>
        <v>02 de julio de 2017</v>
      </c>
      <c r="N373" s="318">
        <f t="shared" si="46"/>
        <v>2</v>
      </c>
      <c r="O373" s="24">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59" t="s">
        <v>22</v>
      </c>
      <c r="L374" s="5" t="str">
        <f t="shared" si="42"/>
        <v>00373</v>
      </c>
      <c r="M374" s="46" t="str">
        <f t="shared" si="43"/>
        <v>02 de julio de 2017</v>
      </c>
      <c r="N374" s="318">
        <f t="shared" si="46"/>
        <v>2</v>
      </c>
      <c r="O374" s="24">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59" t="s">
        <v>452</v>
      </c>
      <c r="L375" s="5" t="str">
        <f t="shared" si="42"/>
        <v>00374</v>
      </c>
      <c r="M375" s="46" t="str">
        <f t="shared" si="43"/>
        <v>02 de julio de 2017</v>
      </c>
      <c r="N375" s="318">
        <f t="shared" si="46"/>
        <v>2</v>
      </c>
      <c r="O375" s="24">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59" t="s">
        <v>22</v>
      </c>
      <c r="L376" s="5" t="str">
        <f t="shared" si="42"/>
        <v>00375</v>
      </c>
      <c r="M376" s="46" t="str">
        <f t="shared" si="43"/>
        <v>01 de julio de 2017</v>
      </c>
      <c r="N376" s="318">
        <f t="shared" si="46"/>
        <v>1</v>
      </c>
      <c r="O376" s="24">
        <f t="shared" si="44"/>
        <v>42917</v>
      </c>
      <c r="P376" s="5" t="str">
        <f t="shared" si="51"/>
        <v>0,26</v>
      </c>
      <c r="Q376" s="4" t="e">
        <f t="shared" ca="1" si="52"/>
        <v>#NAME?</v>
      </c>
    </row>
    <row r="377" spans="1:17">
      <c r="A377" s="175">
        <f t="shared" si="47"/>
        <v>376</v>
      </c>
      <c r="C377" s="8" t="s">
        <v>17</v>
      </c>
      <c r="D377" s="2">
        <v>42917</v>
      </c>
      <c r="E377" s="3">
        <f>26000/100000</f>
        <v>0.26</v>
      </c>
      <c r="F377" t="s">
        <v>438</v>
      </c>
      <c r="G377" t="s">
        <v>439</v>
      </c>
      <c r="H377" t="s">
        <v>440</v>
      </c>
      <c r="I377" s="6" t="s">
        <v>476</v>
      </c>
      <c r="J377" s="59" t="s">
        <v>22</v>
      </c>
      <c r="L377" s="5" t="str">
        <f t="shared" si="42"/>
        <v>00376</v>
      </c>
      <c r="M377" s="46" t="str">
        <f t="shared" si="43"/>
        <v>01 de julio de 2017</v>
      </c>
      <c r="N377" s="318">
        <f t="shared" si="46"/>
        <v>1</v>
      </c>
      <c r="O377" s="24">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59" t="s">
        <v>452</v>
      </c>
      <c r="L378" s="5" t="str">
        <f t="shared" si="42"/>
        <v>00377</v>
      </c>
      <c r="M378" s="46" t="str">
        <f t="shared" si="43"/>
        <v>02 de julio de 2017</v>
      </c>
      <c r="N378" s="318">
        <f t="shared" si="46"/>
        <v>2</v>
      </c>
      <c r="O378" s="24">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59" t="s">
        <v>22</v>
      </c>
      <c r="L379" s="5" t="str">
        <f t="shared" si="42"/>
        <v>00378</v>
      </c>
      <c r="M379" s="46" t="str">
        <f t="shared" si="43"/>
        <v>03 de julio de 2017</v>
      </c>
      <c r="N379" s="318">
        <f t="shared" si="46"/>
        <v>3</v>
      </c>
      <c r="O379" s="24">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59" t="s">
        <v>452</v>
      </c>
      <c r="L380" s="5" t="str">
        <f t="shared" si="42"/>
        <v>00379</v>
      </c>
      <c r="M380" s="46" t="str">
        <f t="shared" si="43"/>
        <v>03 de julio de 2017</v>
      </c>
      <c r="N380" s="318">
        <f t="shared" si="46"/>
        <v>3</v>
      </c>
      <c r="O380" s="24">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59" t="s">
        <v>22</v>
      </c>
      <c r="L381" s="5" t="str">
        <f t="shared" si="42"/>
        <v>00380</v>
      </c>
      <c r="M381" s="46" t="str">
        <f t="shared" si="43"/>
        <v>03 de julio de 2017</v>
      </c>
      <c r="N381" s="318">
        <f t="shared" si="46"/>
        <v>3</v>
      </c>
      <c r="O381" s="24">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59" t="s">
        <v>22</v>
      </c>
      <c r="L382" s="5" t="str">
        <f t="shared" si="42"/>
        <v>00381</v>
      </c>
      <c r="M382" s="46" t="str">
        <f t="shared" si="43"/>
        <v>03 de julio de 2017</v>
      </c>
      <c r="N382" s="318">
        <f t="shared" si="46"/>
        <v>3</v>
      </c>
      <c r="O382" s="24">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59" t="s">
        <v>22</v>
      </c>
      <c r="L383" s="5" t="str">
        <f t="shared" si="42"/>
        <v>00382</v>
      </c>
      <c r="M383" s="46" t="str">
        <f t="shared" si="43"/>
        <v>03 de julio de 2017</v>
      </c>
      <c r="N383" s="318">
        <f t="shared" si="46"/>
        <v>3</v>
      </c>
      <c r="O383" s="24">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59" t="s">
        <v>452</v>
      </c>
      <c r="L384" s="5" t="str">
        <f t="shared" si="42"/>
        <v>00383</v>
      </c>
      <c r="M384" s="46" t="str">
        <f t="shared" si="43"/>
        <v>03 de julio de 2017</v>
      </c>
      <c r="N384" s="318">
        <f t="shared" si="46"/>
        <v>3</v>
      </c>
      <c r="O384" s="24">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59" t="s">
        <v>22</v>
      </c>
      <c r="L385" s="5" t="str">
        <f t="shared" si="42"/>
        <v>00384</v>
      </c>
      <c r="M385" s="46" t="str">
        <f t="shared" si="43"/>
        <v>04 de julio de 2017</v>
      </c>
      <c r="N385" s="318">
        <f t="shared" si="46"/>
        <v>4</v>
      </c>
      <c r="O385" s="24">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59" t="s">
        <v>452</v>
      </c>
      <c r="L386" s="5" t="str">
        <f t="shared" ref="L386:L449" si="55">IF(ISBLANK(A386),"",TEXT(A386,"00000"))</f>
        <v>00385</v>
      </c>
      <c r="M386" s="46" t="str">
        <f t="shared" ref="M386:M449" si="56">IF(ISBLANK(D386),"",TEXT(D386,"dd")&amp;" de "&amp;TEXT(D386,"mmmm")&amp;" de "&amp;TEXT(YEAR(D386),"0"))</f>
        <v>04 de julio de 2017</v>
      </c>
      <c r="N386" s="318">
        <f t="shared" si="46"/>
        <v>4</v>
      </c>
      <c r="O386" s="24">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59" t="s">
        <v>22</v>
      </c>
      <c r="L387" s="5" t="str">
        <f t="shared" si="55"/>
        <v>00386</v>
      </c>
      <c r="M387" s="46" t="str">
        <f t="shared" si="56"/>
        <v>05 de julio de 2017</v>
      </c>
      <c r="N387" s="318">
        <f t="shared" ref="N387:N450" si="58">DAY(D387)</f>
        <v>5</v>
      </c>
      <c r="O387" s="24">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59" t="s">
        <v>22</v>
      </c>
      <c r="L388" s="5" t="str">
        <f t="shared" si="55"/>
        <v>00387</v>
      </c>
      <c r="M388" s="46" t="str">
        <f t="shared" si="56"/>
        <v>06 de julio de 2017</v>
      </c>
      <c r="N388" s="318">
        <f t="shared" si="58"/>
        <v>6</v>
      </c>
      <c r="O388" s="24">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59" t="s">
        <v>22</v>
      </c>
      <c r="L389" s="5" t="str">
        <f t="shared" si="55"/>
        <v>00388</v>
      </c>
      <c r="M389" s="46" t="str">
        <f t="shared" si="56"/>
        <v>06 de julio de 2017</v>
      </c>
      <c r="N389" s="318">
        <f t="shared" si="58"/>
        <v>6</v>
      </c>
      <c r="O389" s="24">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59" t="s">
        <v>452</v>
      </c>
      <c r="L390" s="5" t="str">
        <f t="shared" si="55"/>
        <v>00389</v>
      </c>
      <c r="M390" s="46" t="str">
        <f t="shared" si="56"/>
        <v>06 de julio de 2017</v>
      </c>
      <c r="N390" s="318">
        <f t="shared" si="58"/>
        <v>6</v>
      </c>
      <c r="O390" s="24">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59" t="s">
        <v>22</v>
      </c>
      <c r="L391" s="5" t="str">
        <f t="shared" si="55"/>
        <v>00390</v>
      </c>
      <c r="M391" s="46" t="str">
        <f t="shared" si="56"/>
        <v>06 de julio de 2017</v>
      </c>
      <c r="N391" s="318">
        <f t="shared" si="58"/>
        <v>6</v>
      </c>
      <c r="O391" s="24">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59" t="s">
        <v>22</v>
      </c>
      <c r="L392" s="5" t="str">
        <f t="shared" si="55"/>
        <v>00391</v>
      </c>
      <c r="M392" s="46" t="str">
        <f t="shared" si="56"/>
        <v>07 de julio de 2017</v>
      </c>
      <c r="N392" s="318">
        <f t="shared" si="58"/>
        <v>7</v>
      </c>
      <c r="O392" s="24">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59" t="s">
        <v>452</v>
      </c>
      <c r="L393" s="5" t="str">
        <f t="shared" si="55"/>
        <v>00392</v>
      </c>
      <c r="M393" s="46" t="str">
        <f t="shared" si="56"/>
        <v>07 de julio de 2017</v>
      </c>
      <c r="N393" s="318">
        <f t="shared" si="58"/>
        <v>7</v>
      </c>
      <c r="O393" s="24">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59" t="s">
        <v>22</v>
      </c>
      <c r="L394" s="5" t="str">
        <f t="shared" si="55"/>
        <v>00393</v>
      </c>
      <c r="M394" s="46" t="str">
        <f t="shared" si="56"/>
        <v>06 de junio de 2017</v>
      </c>
      <c r="N394" s="318">
        <f t="shared" si="58"/>
        <v>6</v>
      </c>
      <c r="O394" s="24">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59" t="s">
        <v>22</v>
      </c>
      <c r="L395" s="5" t="str">
        <f t="shared" si="55"/>
        <v>00394</v>
      </c>
      <c r="M395" s="46" t="str">
        <f t="shared" si="56"/>
        <v>09 de julio de 2017</v>
      </c>
      <c r="N395" s="318">
        <f t="shared" si="58"/>
        <v>9</v>
      </c>
      <c r="O395" s="24">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59" t="s">
        <v>452</v>
      </c>
      <c r="L396" s="5" t="str">
        <f t="shared" si="55"/>
        <v>00395</v>
      </c>
      <c r="M396" s="46" t="str">
        <f t="shared" si="56"/>
        <v>10 de julio de 2017</v>
      </c>
      <c r="N396" s="318">
        <f t="shared" si="58"/>
        <v>10</v>
      </c>
      <c r="O396" s="24">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59" t="s">
        <v>22</v>
      </c>
      <c r="L397" s="5" t="str">
        <f t="shared" si="55"/>
        <v>00396</v>
      </c>
      <c r="M397" s="46" t="str">
        <f t="shared" si="56"/>
        <v>10 de julio de 2017</v>
      </c>
      <c r="N397" s="318">
        <f t="shared" si="58"/>
        <v>10</v>
      </c>
      <c r="O397" s="24">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59" t="s">
        <v>22</v>
      </c>
      <c r="L398" s="5" t="str">
        <f t="shared" si="55"/>
        <v>00397</v>
      </c>
      <c r="M398" s="46" t="str">
        <f t="shared" si="56"/>
        <v>02 de junio de 2017</v>
      </c>
      <c r="N398" s="318">
        <f t="shared" si="58"/>
        <v>2</v>
      </c>
      <c r="O398" s="24">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59" t="s">
        <v>22</v>
      </c>
      <c r="L399" s="5" t="str">
        <f t="shared" si="55"/>
        <v>00398</v>
      </c>
      <c r="M399" s="46" t="str">
        <f t="shared" si="56"/>
        <v>11 de julio de 2017</v>
      </c>
      <c r="N399" s="318">
        <f t="shared" si="58"/>
        <v>11</v>
      </c>
      <c r="O399" s="24">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59" t="s">
        <v>22</v>
      </c>
      <c r="L400" s="5" t="str">
        <f t="shared" si="55"/>
        <v>00399</v>
      </c>
      <c r="M400" s="46" t="str">
        <f t="shared" si="56"/>
        <v>14 de junio de 2017</v>
      </c>
      <c r="N400" s="318">
        <f t="shared" si="58"/>
        <v>14</v>
      </c>
      <c r="O400" s="24">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59" t="s">
        <v>452</v>
      </c>
      <c r="L401" s="5" t="str">
        <f t="shared" si="55"/>
        <v>00400</v>
      </c>
      <c r="M401" s="46" t="str">
        <f t="shared" si="56"/>
        <v>14 de junio de 2017</v>
      </c>
      <c r="N401" s="318">
        <f t="shared" si="58"/>
        <v>14</v>
      </c>
      <c r="O401" s="24">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59" t="s">
        <v>22</v>
      </c>
      <c r="L402" s="5" t="str">
        <f t="shared" si="55"/>
        <v>00401</v>
      </c>
      <c r="M402" s="46" t="str">
        <f t="shared" si="56"/>
        <v>11 de julio de 2017</v>
      </c>
      <c r="N402" s="318">
        <f t="shared" si="58"/>
        <v>11</v>
      </c>
      <c r="O402" s="24">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59" t="s">
        <v>22</v>
      </c>
      <c r="L403" s="5" t="str">
        <f t="shared" si="55"/>
        <v>00402</v>
      </c>
      <c r="M403" s="46" t="str">
        <f t="shared" si="56"/>
        <v>11 de julio de 2017</v>
      </c>
      <c r="N403" s="318">
        <f t="shared" si="58"/>
        <v>11</v>
      </c>
      <c r="O403" s="24">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59" t="s">
        <v>452</v>
      </c>
      <c r="L404" s="5" t="str">
        <f t="shared" si="55"/>
        <v>00403</v>
      </c>
      <c r="M404" s="46" t="str">
        <f t="shared" si="56"/>
        <v>11 de julio de 2017</v>
      </c>
      <c r="N404" s="318">
        <f t="shared" si="58"/>
        <v>11</v>
      </c>
      <c r="O404" s="24">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59" t="s">
        <v>488</v>
      </c>
      <c r="L405" s="5" t="str">
        <f t="shared" si="55"/>
        <v>00404</v>
      </c>
      <c r="M405" s="5" t="str">
        <f t="shared" si="56"/>
        <v>11 de julio de 2017</v>
      </c>
      <c r="N405" s="318">
        <f t="shared" si="58"/>
        <v>11</v>
      </c>
      <c r="O405" s="24">
        <f t="shared" si="57"/>
        <v>42917</v>
      </c>
      <c r="P405" s="48" t="s">
        <v>489</v>
      </c>
      <c r="Q405" s="49" t="s">
        <v>490</v>
      </c>
    </row>
    <row r="406" spans="1:17">
      <c r="A406" s="1">
        <f t="shared" si="59"/>
        <v>405</v>
      </c>
      <c r="C406" s="8" t="s">
        <v>17</v>
      </c>
      <c r="D406" s="2">
        <v>42928</v>
      </c>
      <c r="E406" s="3">
        <f>66000/100000</f>
        <v>0.66</v>
      </c>
      <c r="F406" t="s">
        <v>342</v>
      </c>
      <c r="G406" t="s">
        <v>343</v>
      </c>
      <c r="H406" t="s">
        <v>344</v>
      </c>
      <c r="I406" s="6" t="s">
        <v>491</v>
      </c>
      <c r="J406" s="59" t="s">
        <v>22</v>
      </c>
      <c r="L406" s="5" t="str">
        <f t="shared" si="55"/>
        <v>00405</v>
      </c>
      <c r="M406" s="46" t="str">
        <f t="shared" si="56"/>
        <v>12 de julio de 2017</v>
      </c>
      <c r="N406" s="318">
        <f t="shared" si="58"/>
        <v>12</v>
      </c>
      <c r="O406" s="24">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59" t="s">
        <v>22</v>
      </c>
      <c r="L407" s="5" t="str">
        <f t="shared" si="55"/>
        <v>00406</v>
      </c>
      <c r="M407" s="46" t="str">
        <f t="shared" si="56"/>
        <v>12 de julio de 2017</v>
      </c>
      <c r="N407" s="318">
        <f t="shared" si="58"/>
        <v>12</v>
      </c>
      <c r="O407" s="24">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59" t="s">
        <v>22</v>
      </c>
      <c r="L408" s="5" t="str">
        <f t="shared" si="55"/>
        <v>00407</v>
      </c>
      <c r="M408" s="46" t="str">
        <f t="shared" si="56"/>
        <v>12 de julio de 2017</v>
      </c>
      <c r="N408" s="318">
        <f t="shared" si="58"/>
        <v>12</v>
      </c>
      <c r="O408" s="24">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59" t="s">
        <v>452</v>
      </c>
      <c r="L409" s="5" t="str">
        <f t="shared" si="55"/>
        <v>00408</v>
      </c>
      <c r="M409" s="46" t="str">
        <f t="shared" si="56"/>
        <v>12 de julio de 2017</v>
      </c>
      <c r="N409" s="318">
        <f t="shared" si="58"/>
        <v>12</v>
      </c>
      <c r="O409" s="24">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59" t="s">
        <v>22</v>
      </c>
      <c r="L410" s="5" t="str">
        <f t="shared" si="55"/>
        <v>00409</v>
      </c>
      <c r="M410" s="46" t="str">
        <f t="shared" si="56"/>
        <v>12 de julio de 2017</v>
      </c>
      <c r="N410" s="318">
        <f t="shared" si="58"/>
        <v>12</v>
      </c>
      <c r="O410" s="24">
        <f t="shared" si="57"/>
        <v>42917</v>
      </c>
      <c r="P410" s="5" t="str">
        <f t="shared" si="60"/>
        <v>0,26</v>
      </c>
      <c r="Q410" s="4" t="e">
        <f t="shared" ca="1" si="61"/>
        <v>#NAME?</v>
      </c>
    </row>
    <row r="411" spans="1:17">
      <c r="A411" s="1">
        <f t="shared" si="59"/>
        <v>410</v>
      </c>
      <c r="C411" s="83" t="s">
        <v>17</v>
      </c>
      <c r="D411" s="2">
        <v>42928</v>
      </c>
      <c r="E411" s="3">
        <f>10000/100000</f>
        <v>0.1</v>
      </c>
      <c r="F411" t="s">
        <v>492</v>
      </c>
      <c r="G411" s="18" t="s">
        <v>58</v>
      </c>
      <c r="H411" t="s">
        <v>493</v>
      </c>
      <c r="I411" s="6" t="s">
        <v>494</v>
      </c>
      <c r="J411" s="59" t="s">
        <v>22</v>
      </c>
      <c r="L411" s="5" t="str">
        <f t="shared" si="55"/>
        <v>00410</v>
      </c>
      <c r="M411" s="46" t="str">
        <f t="shared" si="56"/>
        <v>12 de julio de 2017</v>
      </c>
      <c r="N411" s="318">
        <f t="shared" si="58"/>
        <v>12</v>
      </c>
      <c r="O411" s="24">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59" t="s">
        <v>22</v>
      </c>
      <c r="L412" s="5" t="str">
        <f t="shared" si="55"/>
        <v>00411</v>
      </c>
      <c r="M412" s="46" t="str">
        <f t="shared" si="56"/>
        <v>04 de julio de 2017</v>
      </c>
      <c r="N412" s="318">
        <f t="shared" si="58"/>
        <v>4</v>
      </c>
      <c r="O412" s="24">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59" t="s">
        <v>22</v>
      </c>
      <c r="L413" s="5" t="str">
        <f t="shared" si="55"/>
        <v>00412</v>
      </c>
      <c r="M413" s="46" t="str">
        <f t="shared" si="56"/>
        <v>12 de julio de 2017</v>
      </c>
      <c r="N413" s="318">
        <f t="shared" si="58"/>
        <v>12</v>
      </c>
      <c r="O413" s="24">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59" t="s">
        <v>22</v>
      </c>
      <c r="L414" s="5" t="str">
        <f t="shared" si="55"/>
        <v>00413</v>
      </c>
      <c r="M414" s="46" t="str">
        <f t="shared" si="56"/>
        <v>13 de julio de 2017</v>
      </c>
      <c r="N414" s="318">
        <f t="shared" si="58"/>
        <v>13</v>
      </c>
      <c r="O414" s="24">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59" t="s">
        <v>22</v>
      </c>
      <c r="L415" s="5" t="str">
        <f t="shared" si="55"/>
        <v>00414</v>
      </c>
      <c r="M415" s="46" t="str">
        <f t="shared" si="56"/>
        <v>14 de julio de 2017</v>
      </c>
      <c r="N415" s="318">
        <f t="shared" si="58"/>
        <v>14</v>
      </c>
      <c r="O415" s="24">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59" t="s">
        <v>22</v>
      </c>
      <c r="L416" s="5" t="str">
        <f t="shared" si="55"/>
        <v>00415</v>
      </c>
      <c r="M416" s="46" t="str">
        <f t="shared" si="56"/>
        <v>14 de julio de 2017</v>
      </c>
      <c r="N416" s="318">
        <f t="shared" si="58"/>
        <v>14</v>
      </c>
      <c r="O416" s="24">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59" t="s">
        <v>22</v>
      </c>
      <c r="L417" s="5" t="str">
        <f t="shared" si="55"/>
        <v>00416</v>
      </c>
      <c r="M417" s="46" t="str">
        <f t="shared" si="56"/>
        <v>04 de julio de 2017</v>
      </c>
      <c r="N417" s="318">
        <f t="shared" si="58"/>
        <v>4</v>
      </c>
      <c r="O417" s="24">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59" t="s">
        <v>22</v>
      </c>
      <c r="L418" s="5" t="str">
        <f t="shared" si="55"/>
        <v>00417</v>
      </c>
      <c r="M418" s="46" t="str">
        <f t="shared" si="56"/>
        <v>14 de julio de 2017</v>
      </c>
      <c r="N418" s="318">
        <f t="shared" si="58"/>
        <v>14</v>
      </c>
      <c r="O418" s="24">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59" t="s">
        <v>22</v>
      </c>
      <c r="L419" s="5" t="str">
        <f t="shared" si="55"/>
        <v>00418</v>
      </c>
      <c r="M419" s="46" t="str">
        <f t="shared" si="56"/>
        <v>14 de julio de 2017</v>
      </c>
      <c r="N419" s="318">
        <f t="shared" si="58"/>
        <v>14</v>
      </c>
      <c r="O419" s="24">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59" t="s">
        <v>22</v>
      </c>
      <c r="L420" s="5" t="str">
        <f t="shared" si="55"/>
        <v>00419</v>
      </c>
      <c r="M420" s="46" t="str">
        <f t="shared" si="56"/>
        <v>30 de junio de 2017</v>
      </c>
      <c r="N420" s="318">
        <f t="shared" si="58"/>
        <v>30</v>
      </c>
      <c r="O420" s="24">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59" t="s">
        <v>22</v>
      </c>
      <c r="L421" s="5" t="str">
        <f t="shared" si="55"/>
        <v>00420</v>
      </c>
      <c r="M421" s="46" t="str">
        <f t="shared" si="56"/>
        <v>15 de julio de 2017</v>
      </c>
      <c r="N421" s="318">
        <f t="shared" si="58"/>
        <v>15</v>
      </c>
      <c r="O421" s="24">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59" t="s">
        <v>22</v>
      </c>
      <c r="L422" s="5" t="str">
        <f t="shared" si="55"/>
        <v>00421</v>
      </c>
      <c r="M422" s="46" t="str">
        <f t="shared" si="56"/>
        <v>17 de julio de 2017</v>
      </c>
      <c r="N422" s="318">
        <f t="shared" si="58"/>
        <v>17</v>
      </c>
      <c r="O422" s="24">
        <f t="shared" si="57"/>
        <v>42917</v>
      </c>
      <c r="P422" s="5" t="str">
        <f t="shared" si="60"/>
        <v>0,26</v>
      </c>
      <c r="Q422" s="4" t="e">
        <f t="shared" ca="1" si="61"/>
        <v>#NAME?</v>
      </c>
    </row>
    <row r="423" spans="1:17">
      <c r="A423" s="1">
        <f t="shared" si="59"/>
        <v>422</v>
      </c>
      <c r="C423" s="8" t="s">
        <v>17</v>
      </c>
      <c r="D423" s="2">
        <v>42933</v>
      </c>
      <c r="E423" s="3">
        <f>30000/100000</f>
        <v>0.3</v>
      </c>
      <c r="F423" s="19" t="s">
        <v>57</v>
      </c>
      <c r="G423" s="18" t="s">
        <v>58</v>
      </c>
      <c r="H423" s="20" t="s">
        <v>59</v>
      </c>
      <c r="I423" s="6" t="s">
        <v>473</v>
      </c>
      <c r="J423" s="59" t="s">
        <v>22</v>
      </c>
      <c r="K423" s="21"/>
      <c r="L423" s="5" t="str">
        <f t="shared" si="55"/>
        <v>00422</v>
      </c>
      <c r="M423" s="46" t="str">
        <f t="shared" si="56"/>
        <v>17 de julio de 2017</v>
      </c>
      <c r="N423" s="318">
        <f t="shared" si="58"/>
        <v>17</v>
      </c>
      <c r="O423" s="24">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59" t="s">
        <v>22</v>
      </c>
      <c r="L424" s="5" t="str">
        <f t="shared" si="55"/>
        <v>00423</v>
      </c>
      <c r="M424" s="46" t="str">
        <f t="shared" si="56"/>
        <v>17 de julio de 2017</v>
      </c>
      <c r="N424" s="318">
        <f t="shared" si="58"/>
        <v>17</v>
      </c>
      <c r="O424" s="24">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59" t="s">
        <v>22</v>
      </c>
      <c r="L425" s="5" t="str">
        <f t="shared" si="55"/>
        <v>00424</v>
      </c>
      <c r="M425" s="46" t="str">
        <f t="shared" si="56"/>
        <v>18 de julio de 2017</v>
      </c>
      <c r="N425" s="318">
        <f t="shared" si="58"/>
        <v>18</v>
      </c>
      <c r="O425" s="24">
        <f t="shared" si="57"/>
        <v>42917</v>
      </c>
      <c r="P425" s="5" t="str">
        <f t="shared" si="60"/>
        <v>0,09</v>
      </c>
      <c r="Q425" s="4" t="e">
        <f t="shared" ca="1" si="61"/>
        <v>#NAME?</v>
      </c>
    </row>
    <row r="426" spans="1:17">
      <c r="A426" s="1">
        <f t="shared" si="59"/>
        <v>425</v>
      </c>
      <c r="C426" s="8" t="s">
        <v>17</v>
      </c>
      <c r="D426" s="2">
        <v>42934</v>
      </c>
      <c r="E426" s="3">
        <f>10000/100000</f>
        <v>0.1</v>
      </c>
      <c r="F426" s="19" t="s">
        <v>57</v>
      </c>
      <c r="G426" s="18" t="s">
        <v>58</v>
      </c>
      <c r="H426" s="20" t="s">
        <v>59</v>
      </c>
      <c r="I426" s="6" t="s">
        <v>499</v>
      </c>
      <c r="J426" s="59" t="s">
        <v>22</v>
      </c>
      <c r="K426" s="21"/>
      <c r="L426" s="5" t="str">
        <f t="shared" si="55"/>
        <v>00425</v>
      </c>
      <c r="M426" s="46" t="str">
        <f t="shared" si="56"/>
        <v>18 de julio de 2017</v>
      </c>
      <c r="N426" s="318">
        <f t="shared" si="58"/>
        <v>18</v>
      </c>
      <c r="O426" s="24">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59" t="s">
        <v>22</v>
      </c>
      <c r="L427" s="5" t="str">
        <f t="shared" si="55"/>
        <v>00426</v>
      </c>
      <c r="M427" s="46" t="str">
        <f t="shared" si="56"/>
        <v>18 de julio de 2017</v>
      </c>
      <c r="N427" s="318">
        <f t="shared" si="58"/>
        <v>18</v>
      </c>
      <c r="O427" s="24">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59" t="s">
        <v>22</v>
      </c>
      <c r="L428" s="5" t="str">
        <f t="shared" si="55"/>
        <v>00427</v>
      </c>
      <c r="M428" s="46" t="str">
        <f t="shared" si="56"/>
        <v>18 de julio de 2017</v>
      </c>
      <c r="N428" s="318">
        <f t="shared" si="58"/>
        <v>18</v>
      </c>
      <c r="O428" s="24">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59" t="s">
        <v>22</v>
      </c>
      <c r="L429" s="5" t="str">
        <f t="shared" si="55"/>
        <v>00428</v>
      </c>
      <c r="M429" s="46" t="str">
        <f t="shared" si="56"/>
        <v>18 de julio de 2017</v>
      </c>
      <c r="N429" s="318">
        <f t="shared" si="58"/>
        <v>18</v>
      </c>
      <c r="O429" s="24">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59" t="s">
        <v>22</v>
      </c>
      <c r="L430" s="5" t="str">
        <f t="shared" si="55"/>
        <v>00429</v>
      </c>
      <c r="M430" s="46" t="str">
        <f t="shared" si="56"/>
        <v>18 de julio de 2017</v>
      </c>
      <c r="N430" s="318">
        <f t="shared" si="58"/>
        <v>18</v>
      </c>
      <c r="O430" s="24">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59" t="s">
        <v>22</v>
      </c>
      <c r="L431" s="5" t="str">
        <f t="shared" si="55"/>
        <v>00430</v>
      </c>
      <c r="M431" s="46" t="str">
        <f t="shared" si="56"/>
        <v>13 de julio de 2017</v>
      </c>
      <c r="N431" s="318">
        <f t="shared" si="58"/>
        <v>13</v>
      </c>
      <c r="O431" s="24">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59" t="s">
        <v>22</v>
      </c>
      <c r="L432" s="5" t="str">
        <f t="shared" si="55"/>
        <v>00431</v>
      </c>
      <c r="M432" s="46" t="str">
        <f t="shared" si="56"/>
        <v>18 de julio de 2017</v>
      </c>
      <c r="N432" s="318">
        <f t="shared" si="58"/>
        <v>18</v>
      </c>
      <c r="O432" s="24">
        <f t="shared" si="57"/>
        <v>42917</v>
      </c>
      <c r="P432" s="5" t="str">
        <f t="shared" si="62"/>
        <v>0,09</v>
      </c>
      <c r="Q432" s="4" t="e">
        <f t="shared" ca="1" si="63"/>
        <v>#NAME?</v>
      </c>
    </row>
    <row r="433" spans="1:17">
      <c r="A433" s="175">
        <f t="shared" si="59"/>
        <v>432</v>
      </c>
      <c r="C433" s="8" t="s">
        <v>17</v>
      </c>
      <c r="D433" s="2">
        <v>42934</v>
      </c>
      <c r="E433" s="3">
        <f>9000/100000</f>
        <v>0.09</v>
      </c>
      <c r="F433" t="s">
        <v>438</v>
      </c>
      <c r="G433" t="s">
        <v>439</v>
      </c>
      <c r="H433" t="s">
        <v>440</v>
      </c>
      <c r="I433" s="6" t="s">
        <v>504</v>
      </c>
      <c r="J433" s="59" t="s">
        <v>22</v>
      </c>
      <c r="L433" s="5" t="str">
        <f t="shared" si="55"/>
        <v>00432</v>
      </c>
      <c r="M433" s="46" t="str">
        <f t="shared" si="56"/>
        <v>18 de julio de 2017</v>
      </c>
      <c r="N433" s="318">
        <f t="shared" si="58"/>
        <v>18</v>
      </c>
      <c r="O433" s="24">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59" t="s">
        <v>22</v>
      </c>
      <c r="L434" s="5" t="str">
        <f t="shared" si="55"/>
        <v>00433</v>
      </c>
      <c r="M434" s="46" t="str">
        <f t="shared" si="56"/>
        <v>18 de julio de 2017</v>
      </c>
      <c r="N434" s="318">
        <f t="shared" si="58"/>
        <v>18</v>
      </c>
      <c r="O434" s="24">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59" t="s">
        <v>22</v>
      </c>
      <c r="L435" s="5" t="str">
        <f t="shared" si="55"/>
        <v>00434</v>
      </c>
      <c r="M435" s="46" t="str">
        <f t="shared" si="56"/>
        <v>18 de julio de 2017</v>
      </c>
      <c r="N435" s="318">
        <f t="shared" si="58"/>
        <v>18</v>
      </c>
      <c r="O435" s="24">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59" t="s">
        <v>22</v>
      </c>
      <c r="L436" s="5" t="str">
        <f t="shared" si="55"/>
        <v>00435</v>
      </c>
      <c r="M436" s="46" t="str">
        <f t="shared" si="56"/>
        <v>19 de julio de 2017</v>
      </c>
      <c r="N436" s="318">
        <f t="shared" si="58"/>
        <v>19</v>
      </c>
      <c r="O436" s="24">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59" t="s">
        <v>22</v>
      </c>
      <c r="L437" s="5" t="str">
        <f t="shared" si="55"/>
        <v>00436</v>
      </c>
      <c r="M437" s="46" t="str">
        <f t="shared" si="56"/>
        <v>19 de julio de 2017</v>
      </c>
      <c r="N437" s="318">
        <f t="shared" si="58"/>
        <v>19</v>
      </c>
      <c r="O437" s="24">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59" t="s">
        <v>22</v>
      </c>
      <c r="L438" s="5" t="str">
        <f t="shared" si="55"/>
        <v>00437</v>
      </c>
      <c r="M438" s="46" t="str">
        <f t="shared" si="56"/>
        <v>19 de julio de 2017</v>
      </c>
      <c r="N438" s="318">
        <f t="shared" si="58"/>
        <v>19</v>
      </c>
      <c r="O438" s="24">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59" t="s">
        <v>22</v>
      </c>
      <c r="L439" s="5" t="str">
        <f t="shared" si="55"/>
        <v>00438</v>
      </c>
      <c r="M439" s="46" t="str">
        <f t="shared" si="56"/>
        <v>19 de julio de 2017</v>
      </c>
      <c r="N439" s="318">
        <f t="shared" si="58"/>
        <v>19</v>
      </c>
      <c r="O439" s="24">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59" t="s">
        <v>22</v>
      </c>
      <c r="L440" s="5" t="str">
        <f t="shared" si="55"/>
        <v>00439</v>
      </c>
      <c r="M440" s="46" t="str">
        <f t="shared" si="56"/>
        <v>18 de julio de 2017</v>
      </c>
      <c r="N440" s="318">
        <f t="shared" si="58"/>
        <v>18</v>
      </c>
      <c r="O440" s="24">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59" t="s">
        <v>22</v>
      </c>
      <c r="L441" s="5" t="str">
        <f t="shared" si="55"/>
        <v>00440</v>
      </c>
      <c r="M441" s="46" t="str">
        <f t="shared" si="56"/>
        <v>19 de julio de 2017</v>
      </c>
      <c r="N441" s="318">
        <f t="shared" si="58"/>
        <v>19</v>
      </c>
      <c r="O441" s="24">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59" t="s">
        <v>22</v>
      </c>
      <c r="L442" s="5" t="str">
        <f t="shared" si="55"/>
        <v>00441</v>
      </c>
      <c r="M442" s="46" t="str">
        <f t="shared" si="56"/>
        <v>19 de julio de 2017</v>
      </c>
      <c r="N442" s="318">
        <f t="shared" si="58"/>
        <v>19</v>
      </c>
      <c r="O442" s="24">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59" t="s">
        <v>22</v>
      </c>
      <c r="L443" s="5" t="str">
        <f t="shared" si="55"/>
        <v>00442</v>
      </c>
      <c r="M443" s="46" t="str">
        <f t="shared" si="56"/>
        <v>17 de julio de 2017</v>
      </c>
      <c r="N443" s="318">
        <f t="shared" si="58"/>
        <v>17</v>
      </c>
      <c r="O443" s="24">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59" t="s">
        <v>22</v>
      </c>
      <c r="L444" s="5" t="str">
        <f t="shared" si="55"/>
        <v>00443</v>
      </c>
      <c r="M444" s="46" t="str">
        <f t="shared" si="56"/>
        <v>20 de julio de 2017</v>
      </c>
      <c r="N444" s="318">
        <f t="shared" si="58"/>
        <v>20</v>
      </c>
      <c r="O444" s="24">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59" t="s">
        <v>22</v>
      </c>
      <c r="L445" s="5" t="str">
        <f t="shared" si="55"/>
        <v>00444</v>
      </c>
      <c r="M445" s="46" t="str">
        <f t="shared" si="56"/>
        <v>20 de julio de 2017</v>
      </c>
      <c r="N445" s="318">
        <f t="shared" si="58"/>
        <v>20</v>
      </c>
      <c r="O445" s="24">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59" t="s">
        <v>22</v>
      </c>
      <c r="L446" s="5" t="str">
        <f t="shared" si="55"/>
        <v>00445</v>
      </c>
      <c r="M446" s="46" t="str">
        <f t="shared" si="56"/>
        <v>20 de julio de 2017</v>
      </c>
      <c r="N446" s="318">
        <f t="shared" si="58"/>
        <v>20</v>
      </c>
      <c r="O446" s="24">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59" t="s">
        <v>22</v>
      </c>
      <c r="L447" s="5" t="str">
        <f t="shared" si="55"/>
        <v>00446</v>
      </c>
      <c r="M447" s="46" t="str">
        <f t="shared" si="56"/>
        <v>21 de julio de 2017</v>
      </c>
      <c r="N447" s="318">
        <f t="shared" si="58"/>
        <v>21</v>
      </c>
      <c r="O447" s="24">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59" t="s">
        <v>22</v>
      </c>
      <c r="L448" s="5" t="str">
        <f t="shared" si="55"/>
        <v>00447</v>
      </c>
      <c r="M448" s="46" t="str">
        <f t="shared" si="56"/>
        <v>23 de julio de 2017</v>
      </c>
      <c r="N448" s="318">
        <f t="shared" si="58"/>
        <v>23</v>
      </c>
      <c r="O448" s="24">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59" t="s">
        <v>22</v>
      </c>
      <c r="L449" s="5" t="str">
        <f t="shared" si="55"/>
        <v>00448</v>
      </c>
      <c r="M449" s="46" t="str">
        <f t="shared" si="56"/>
        <v>07 de junio de 2017</v>
      </c>
      <c r="N449" s="318">
        <f t="shared" si="58"/>
        <v>7</v>
      </c>
      <c r="O449" s="24">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59" t="s">
        <v>22</v>
      </c>
      <c r="L450" s="5" t="str">
        <f t="shared" ref="L450:L513" si="66">IF(ISBLANK(A450),"",TEXT(A450,"00000"))</f>
        <v>00449</v>
      </c>
      <c r="M450" s="46" t="str">
        <f t="shared" ref="M450:M513" si="67">IF(ISBLANK(D450),"",TEXT(D450,"dd")&amp;" de "&amp;TEXT(D450,"mmmm")&amp;" de "&amp;TEXT(YEAR(D450),"0"))</f>
        <v>23 de julio de 2017</v>
      </c>
      <c r="N450" s="318">
        <f t="shared" si="58"/>
        <v>23</v>
      </c>
      <c r="O450" s="24">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2" t="s">
        <v>422</v>
      </c>
      <c r="G451" s="18" t="s">
        <v>58</v>
      </c>
      <c r="H451" t="s">
        <v>423</v>
      </c>
      <c r="I451" s="6" t="s">
        <v>508</v>
      </c>
      <c r="J451" s="59" t="s">
        <v>22</v>
      </c>
      <c r="L451" s="5" t="str">
        <f t="shared" si="66"/>
        <v>00450</v>
      </c>
      <c r="M451" s="46" t="str">
        <f t="shared" si="67"/>
        <v>24 de julio de 2017</v>
      </c>
      <c r="N451" s="318">
        <f t="shared" ref="N451:N514" si="69">DAY(D451)</f>
        <v>24</v>
      </c>
      <c r="O451" s="24">
        <f t="shared" si="68"/>
        <v>42917</v>
      </c>
      <c r="P451" s="5" t="str">
        <f t="shared" si="64"/>
        <v>1,08</v>
      </c>
      <c r="Q451" s="4" t="e">
        <f t="shared" ca="1" si="65"/>
        <v>#NAME?</v>
      </c>
    </row>
    <row r="452" spans="1:17">
      <c r="A452" s="316">
        <f t="shared" ref="A452:A515" si="70">A451+1</f>
        <v>451</v>
      </c>
      <c r="B452" s="541"/>
      <c r="C452" s="12" t="s">
        <v>225</v>
      </c>
      <c r="D452" s="17">
        <v>42831</v>
      </c>
      <c r="E452" s="13">
        <f>14000/100000</f>
        <v>0.14000000000000001</v>
      </c>
      <c r="F452" s="14" t="s">
        <v>275</v>
      </c>
      <c r="G452" s="14" t="s">
        <v>276</v>
      </c>
      <c r="H452" s="14" t="s">
        <v>277</v>
      </c>
      <c r="I452" s="15" t="s">
        <v>509</v>
      </c>
      <c r="J452" s="60" t="s">
        <v>426</v>
      </c>
      <c r="K452" s="16"/>
      <c r="L452" s="5" t="str">
        <f t="shared" si="66"/>
        <v>00451</v>
      </c>
      <c r="M452" s="46" t="str">
        <f t="shared" si="67"/>
        <v>06 de abril de 2017</v>
      </c>
      <c r="N452" s="318">
        <f t="shared" si="69"/>
        <v>6</v>
      </c>
      <c r="O452" s="24">
        <f t="shared" si="68"/>
        <v>42826</v>
      </c>
      <c r="P452" s="5" t="str">
        <f t="shared" si="64"/>
        <v>0,14</v>
      </c>
      <c r="Q452" s="4" t="e">
        <f t="shared" ca="1" si="65"/>
        <v>#NAME?</v>
      </c>
    </row>
    <row r="453" spans="1:17">
      <c r="A453" s="316">
        <f t="shared" si="70"/>
        <v>452</v>
      </c>
      <c r="B453" s="541"/>
      <c r="C453" s="12" t="s">
        <v>225</v>
      </c>
      <c r="D453" s="17">
        <v>42865</v>
      </c>
      <c r="E453" s="13">
        <f>17000/100000</f>
        <v>0.17</v>
      </c>
      <c r="F453" s="14" t="s">
        <v>275</v>
      </c>
      <c r="G453" s="14" t="s">
        <v>276</v>
      </c>
      <c r="H453" s="14" t="s">
        <v>277</v>
      </c>
      <c r="I453" s="15" t="s">
        <v>510</v>
      </c>
      <c r="J453" s="60" t="s">
        <v>426</v>
      </c>
      <c r="K453" s="16"/>
      <c r="L453" s="5" t="str">
        <f t="shared" si="66"/>
        <v>00452</v>
      </c>
      <c r="M453" s="46" t="str">
        <f t="shared" si="67"/>
        <v>10 de mayo de 2017</v>
      </c>
      <c r="N453" s="318">
        <f t="shared" si="69"/>
        <v>10</v>
      </c>
      <c r="O453" s="24">
        <f t="shared" si="68"/>
        <v>42856</v>
      </c>
      <c r="P453" s="5" t="str">
        <f t="shared" si="64"/>
        <v>0,17</v>
      </c>
      <c r="Q453" s="4" t="e">
        <f t="shared" ca="1" si="65"/>
        <v>#NAME?</v>
      </c>
    </row>
    <row r="454" spans="1:17">
      <c r="A454" s="316">
        <f t="shared" si="70"/>
        <v>453</v>
      </c>
      <c r="B454" s="541"/>
      <c r="C454" s="12" t="s">
        <v>225</v>
      </c>
      <c r="D454" s="17">
        <v>42929</v>
      </c>
      <c r="E454" s="13">
        <f>20000/100000</f>
        <v>0.2</v>
      </c>
      <c r="F454" s="14" t="s">
        <v>275</v>
      </c>
      <c r="G454" s="14" t="s">
        <v>276</v>
      </c>
      <c r="H454" s="14" t="s">
        <v>277</v>
      </c>
      <c r="I454" s="15" t="s">
        <v>511</v>
      </c>
      <c r="J454" s="60" t="s">
        <v>426</v>
      </c>
      <c r="K454" s="16"/>
      <c r="L454" s="5" t="str">
        <f t="shared" si="66"/>
        <v>00453</v>
      </c>
      <c r="M454" s="46" t="str">
        <f t="shared" si="67"/>
        <v>13 de julio de 2017</v>
      </c>
      <c r="N454" s="318">
        <f t="shared" si="69"/>
        <v>13</v>
      </c>
      <c r="O454" s="24">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59" t="s">
        <v>22</v>
      </c>
      <c r="L455" s="5" t="str">
        <f t="shared" si="66"/>
        <v>00454</v>
      </c>
      <c r="M455" s="46" t="str">
        <f t="shared" si="67"/>
        <v>28 de julio de 2017</v>
      </c>
      <c r="N455" s="318">
        <f t="shared" si="69"/>
        <v>28</v>
      </c>
      <c r="O455" s="24">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59" t="s">
        <v>22</v>
      </c>
      <c r="L456" s="5" t="str">
        <f t="shared" si="66"/>
        <v>00455</v>
      </c>
      <c r="M456" s="46" t="str">
        <f t="shared" si="67"/>
        <v>29 de julio de 2017</v>
      </c>
      <c r="N456" s="318">
        <f t="shared" si="69"/>
        <v>29</v>
      </c>
      <c r="O456" s="24">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59" t="s">
        <v>22</v>
      </c>
      <c r="L457" s="5" t="str">
        <f t="shared" si="66"/>
        <v>00456</v>
      </c>
      <c r="M457" s="46" t="str">
        <f t="shared" si="67"/>
        <v>20 de julio de 2017</v>
      </c>
      <c r="N457" s="318">
        <f t="shared" si="69"/>
        <v>20</v>
      </c>
      <c r="O457" s="24">
        <f t="shared" si="68"/>
        <v>42917</v>
      </c>
      <c r="P457" s="5" t="str">
        <f t="shared" si="64"/>
        <v>0,35</v>
      </c>
      <c r="Q457" s="4" t="e">
        <f t="shared" ca="1" si="65"/>
        <v>#NAME?</v>
      </c>
    </row>
    <row r="458" spans="1:17">
      <c r="A458" s="175">
        <f t="shared" si="70"/>
        <v>457</v>
      </c>
      <c r="C458" s="8" t="s">
        <v>17</v>
      </c>
      <c r="D458" s="2">
        <v>42945</v>
      </c>
      <c r="E458" s="3">
        <f>7000/100000</f>
        <v>7.0000000000000007E-2</v>
      </c>
      <c r="F458" t="s">
        <v>438</v>
      </c>
      <c r="G458" t="s">
        <v>439</v>
      </c>
      <c r="H458" t="s">
        <v>440</v>
      </c>
      <c r="I458" s="6" t="s">
        <v>512</v>
      </c>
      <c r="J458" s="59" t="s">
        <v>452</v>
      </c>
      <c r="L458" s="5" t="str">
        <f t="shared" si="66"/>
        <v>00457</v>
      </c>
      <c r="M458" s="46" t="str">
        <f t="shared" si="67"/>
        <v>29 de julio de 2017</v>
      </c>
      <c r="N458" s="318">
        <f t="shared" si="69"/>
        <v>29</v>
      </c>
      <c r="O458" s="24">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59" t="s">
        <v>22</v>
      </c>
      <c r="L459" s="5" t="str">
        <f t="shared" si="66"/>
        <v>00458</v>
      </c>
      <c r="M459" s="46" t="str">
        <f t="shared" si="67"/>
        <v>01 de agosto de 2017</v>
      </c>
      <c r="N459" s="318">
        <f t="shared" si="69"/>
        <v>1</v>
      </c>
      <c r="O459" s="24">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59" t="s">
        <v>22</v>
      </c>
      <c r="L460" s="5" t="str">
        <f t="shared" si="66"/>
        <v>00459</v>
      </c>
      <c r="M460" s="46" t="str">
        <f t="shared" si="67"/>
        <v>02 de agosto de 2017</v>
      </c>
      <c r="N460" s="318">
        <f t="shared" si="69"/>
        <v>2</v>
      </c>
      <c r="O460" s="24">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59" t="s">
        <v>22</v>
      </c>
      <c r="L461" s="5" t="str">
        <f t="shared" si="66"/>
        <v>00460</v>
      </c>
      <c r="M461" s="46" t="str">
        <f t="shared" si="67"/>
        <v>02 de agosto de 2017</v>
      </c>
      <c r="N461" s="318">
        <f t="shared" si="69"/>
        <v>2</v>
      </c>
      <c r="O461" s="24">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59" t="s">
        <v>22</v>
      </c>
      <c r="L462" s="5" t="str">
        <f t="shared" si="66"/>
        <v>00461</v>
      </c>
      <c r="M462" s="46" t="str">
        <f t="shared" si="67"/>
        <v>02 de agosto de 2017</v>
      </c>
      <c r="N462" s="318">
        <f t="shared" si="69"/>
        <v>2</v>
      </c>
      <c r="O462" s="24">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59" t="s">
        <v>22</v>
      </c>
      <c r="L463" s="5" t="str">
        <f t="shared" si="66"/>
        <v>00462</v>
      </c>
      <c r="M463" s="46" t="str">
        <f t="shared" si="67"/>
        <v>11 de julio de 2017</v>
      </c>
      <c r="N463" s="318">
        <f t="shared" si="69"/>
        <v>11</v>
      </c>
      <c r="O463" s="24">
        <f t="shared" si="68"/>
        <v>42917</v>
      </c>
      <c r="P463" s="5" t="str">
        <f t="shared" si="71"/>
        <v>0,26</v>
      </c>
      <c r="Q463" s="4" t="e">
        <f t="shared" ca="1" si="72"/>
        <v>#NAME?</v>
      </c>
    </row>
    <row r="464" spans="1:17">
      <c r="A464" s="1">
        <f t="shared" si="70"/>
        <v>463</v>
      </c>
      <c r="C464" s="8" t="s">
        <v>17</v>
      </c>
      <c r="D464" s="50">
        <v>42949</v>
      </c>
      <c r="E464" s="3">
        <f>26000/100000</f>
        <v>0.26</v>
      </c>
      <c r="F464" t="s">
        <v>259</v>
      </c>
      <c r="G464" s="18" t="s">
        <v>58</v>
      </c>
      <c r="H464" t="s">
        <v>261</v>
      </c>
      <c r="I464" s="6" t="s">
        <v>445</v>
      </c>
      <c r="J464" s="59" t="s">
        <v>22</v>
      </c>
      <c r="L464" s="5" t="str">
        <f t="shared" si="66"/>
        <v>00463</v>
      </c>
      <c r="M464" s="46" t="str">
        <f t="shared" si="67"/>
        <v>02 de agosto de 2017</v>
      </c>
      <c r="N464" s="318">
        <f t="shared" si="69"/>
        <v>2</v>
      </c>
      <c r="O464" s="24">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59" t="s">
        <v>22</v>
      </c>
      <c r="L465" s="5" t="str">
        <f t="shared" si="66"/>
        <v>00464</v>
      </c>
      <c r="M465" s="46" t="str">
        <f t="shared" si="67"/>
        <v>02 de agosto de 2017</v>
      </c>
      <c r="N465" s="318">
        <f t="shared" si="69"/>
        <v>2</v>
      </c>
      <c r="O465" s="24">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59" t="s">
        <v>22</v>
      </c>
      <c r="L466" s="5" t="str">
        <f t="shared" si="66"/>
        <v>00465</v>
      </c>
      <c r="M466" s="46" t="str">
        <f t="shared" si="67"/>
        <v>02 de agosto de 2017</v>
      </c>
      <c r="N466" s="318">
        <f t="shared" si="69"/>
        <v>2</v>
      </c>
      <c r="O466" s="24">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59" t="s">
        <v>22</v>
      </c>
      <c r="L467" s="5" t="str">
        <f t="shared" si="66"/>
        <v>00466</v>
      </c>
      <c r="M467" s="46" t="str">
        <f t="shared" si="67"/>
        <v>03 de agosto de 2017</v>
      </c>
      <c r="N467" s="318">
        <f t="shared" si="69"/>
        <v>3</v>
      </c>
      <c r="O467" s="24">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59" t="s">
        <v>22</v>
      </c>
      <c r="L468" s="5" t="str">
        <f t="shared" si="66"/>
        <v>00467</v>
      </c>
      <c r="M468" s="46" t="str">
        <f t="shared" si="67"/>
        <v>03 de agosto de 2017</v>
      </c>
      <c r="N468" s="318">
        <f t="shared" si="69"/>
        <v>3</v>
      </c>
      <c r="O468" s="24">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59" t="s">
        <v>22</v>
      </c>
      <c r="L469" s="5" t="str">
        <f t="shared" si="66"/>
        <v>00468</v>
      </c>
      <c r="M469" s="46" t="str">
        <f t="shared" si="67"/>
        <v>03 de agosto de 2017</v>
      </c>
      <c r="N469" s="318">
        <f t="shared" si="69"/>
        <v>3</v>
      </c>
      <c r="O469" s="24">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59" t="s">
        <v>22</v>
      </c>
      <c r="L470" s="5" t="str">
        <f t="shared" si="66"/>
        <v>00469</v>
      </c>
      <c r="M470" s="46" t="str">
        <f t="shared" si="67"/>
        <v>03 de agosto de 2017</v>
      </c>
      <c r="N470" s="318">
        <f t="shared" si="69"/>
        <v>3</v>
      </c>
      <c r="O470" s="24">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59" t="s">
        <v>22</v>
      </c>
      <c r="L471" s="5" t="str">
        <f t="shared" si="66"/>
        <v>00470</v>
      </c>
      <c r="M471" s="46" t="str">
        <f t="shared" si="67"/>
        <v>04 de agosto de 2017</v>
      </c>
      <c r="N471" s="318">
        <f t="shared" si="69"/>
        <v>4</v>
      </c>
      <c r="O471" s="24">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59" t="s">
        <v>22</v>
      </c>
      <c r="L472" s="5" t="str">
        <f t="shared" si="66"/>
        <v>00471</v>
      </c>
      <c r="M472" s="46" t="str">
        <f t="shared" si="67"/>
        <v>04 de agosto de 2017</v>
      </c>
      <c r="N472" s="318">
        <f t="shared" si="69"/>
        <v>4</v>
      </c>
      <c r="O472" s="24">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59" t="s">
        <v>22</v>
      </c>
      <c r="L473" s="5" t="str">
        <f t="shared" si="66"/>
        <v>00472</v>
      </c>
      <c r="M473" s="46" t="str">
        <f t="shared" si="67"/>
        <v>06 de agosto de 2017</v>
      </c>
      <c r="N473" s="318">
        <f t="shared" si="69"/>
        <v>6</v>
      </c>
      <c r="O473" s="24">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59" t="s">
        <v>22</v>
      </c>
      <c r="L474" s="5" t="str">
        <f t="shared" si="66"/>
        <v>00473</v>
      </c>
      <c r="M474" s="46" t="str">
        <f t="shared" si="67"/>
        <v>06 de agosto de 2017</v>
      </c>
      <c r="N474" s="318">
        <f t="shared" si="69"/>
        <v>6</v>
      </c>
      <c r="O474" s="24">
        <f t="shared" si="68"/>
        <v>42948</v>
      </c>
      <c r="P474" s="5" t="str">
        <f t="shared" si="71"/>
        <v>0,35</v>
      </c>
      <c r="Q474" s="4" t="e">
        <f t="shared" ca="1" si="72"/>
        <v>#NAME?</v>
      </c>
    </row>
    <row r="475" spans="1:17">
      <c r="A475" s="175">
        <f t="shared" si="70"/>
        <v>474</v>
      </c>
      <c r="C475" s="8" t="s">
        <v>17</v>
      </c>
      <c r="D475" s="2">
        <v>42953</v>
      </c>
      <c r="E475" s="3">
        <f>35000/100000</f>
        <v>0.35</v>
      </c>
      <c r="F475" t="s">
        <v>438</v>
      </c>
      <c r="G475" t="s">
        <v>439</v>
      </c>
      <c r="H475" t="s">
        <v>440</v>
      </c>
      <c r="I475" s="6" t="s">
        <v>517</v>
      </c>
      <c r="J475" s="59" t="s">
        <v>22</v>
      </c>
      <c r="L475" s="5" t="str">
        <f t="shared" si="66"/>
        <v>00474</v>
      </c>
      <c r="M475" s="46" t="str">
        <f t="shared" si="67"/>
        <v>06 de agosto de 2017</v>
      </c>
      <c r="N475" s="318">
        <f t="shared" si="69"/>
        <v>6</v>
      </c>
      <c r="O475" s="24">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59" t="s">
        <v>22</v>
      </c>
      <c r="L476" s="5" t="str">
        <f t="shared" si="66"/>
        <v>00475</v>
      </c>
      <c r="M476" s="46" t="str">
        <f t="shared" si="67"/>
        <v>07 de agosto de 2017</v>
      </c>
      <c r="N476" s="318">
        <f t="shared" si="69"/>
        <v>7</v>
      </c>
      <c r="O476" s="24">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59" t="s">
        <v>22</v>
      </c>
      <c r="L477" s="5" t="str">
        <f t="shared" si="66"/>
        <v>00476</v>
      </c>
      <c r="M477" s="46" t="str">
        <f t="shared" si="67"/>
        <v>07 de agosto de 2017</v>
      </c>
      <c r="N477" s="318">
        <f t="shared" si="69"/>
        <v>7</v>
      </c>
      <c r="O477" s="24">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59" t="s">
        <v>22</v>
      </c>
      <c r="L478" s="5" t="str">
        <f t="shared" si="66"/>
        <v>00477</v>
      </c>
      <c r="M478" s="46" t="str">
        <f t="shared" si="67"/>
        <v>08 de agosto de 2017</v>
      </c>
      <c r="N478" s="318">
        <f t="shared" si="69"/>
        <v>8</v>
      </c>
      <c r="O478" s="24">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59" t="s">
        <v>22</v>
      </c>
      <c r="L479" s="5" t="str">
        <f t="shared" si="66"/>
        <v>00478</v>
      </c>
      <c r="M479" s="46" t="str">
        <f t="shared" si="67"/>
        <v>09 de agosto de 2017</v>
      </c>
      <c r="N479" s="318">
        <f t="shared" si="69"/>
        <v>9</v>
      </c>
      <c r="O479" s="24">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59" t="s">
        <v>22</v>
      </c>
      <c r="L480" s="5" t="str">
        <f t="shared" si="66"/>
        <v>00479</v>
      </c>
      <c r="M480" s="46" t="str">
        <f t="shared" si="67"/>
        <v>09 de agosto de 2017</v>
      </c>
      <c r="N480" s="318">
        <f t="shared" si="69"/>
        <v>9</v>
      </c>
      <c r="O480" s="24">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59" t="s">
        <v>22</v>
      </c>
      <c r="L481" s="5" t="str">
        <f t="shared" si="66"/>
        <v>00480</v>
      </c>
      <c r="M481" s="46" t="str">
        <f t="shared" si="67"/>
        <v>09 de agosto de 2017</v>
      </c>
      <c r="N481" s="318">
        <f t="shared" si="69"/>
        <v>9</v>
      </c>
      <c r="O481" s="24">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59" t="s">
        <v>22</v>
      </c>
      <c r="L482" s="5" t="str">
        <f t="shared" si="66"/>
        <v>00481</v>
      </c>
      <c r="M482" s="46" t="str">
        <f t="shared" si="67"/>
        <v>09 de agosto de 2017</v>
      </c>
      <c r="N482" s="318">
        <f t="shared" si="69"/>
        <v>9</v>
      </c>
      <c r="O482" s="24">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59" t="s">
        <v>22</v>
      </c>
      <c r="L483" s="5" t="str">
        <f t="shared" si="66"/>
        <v>00482</v>
      </c>
      <c r="M483" s="46" t="str">
        <f t="shared" si="67"/>
        <v>10 de agosto de 2017</v>
      </c>
      <c r="N483" s="318">
        <f t="shared" si="69"/>
        <v>10</v>
      </c>
      <c r="O483" s="24">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59" t="s">
        <v>22</v>
      </c>
      <c r="L484" s="5" t="str">
        <f t="shared" si="66"/>
        <v>00483</v>
      </c>
      <c r="M484" s="46" t="str">
        <f t="shared" si="67"/>
        <v>10 de agosto de 2017</v>
      </c>
      <c r="N484" s="318">
        <f t="shared" si="69"/>
        <v>10</v>
      </c>
      <c r="O484" s="24">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59" t="s">
        <v>22</v>
      </c>
      <c r="L485" s="5" t="str">
        <f t="shared" si="66"/>
        <v>00484</v>
      </c>
      <c r="M485" s="46" t="str">
        <f t="shared" si="67"/>
        <v>10 de agosto de 2017</v>
      </c>
      <c r="N485" s="318">
        <f t="shared" si="69"/>
        <v>10</v>
      </c>
      <c r="O485" s="24">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59" t="s">
        <v>22</v>
      </c>
      <c r="L486" s="5" t="str">
        <f t="shared" si="66"/>
        <v>00485</v>
      </c>
      <c r="M486" s="46" t="str">
        <f t="shared" si="67"/>
        <v>10 de agosto de 2017</v>
      </c>
      <c r="N486" s="318">
        <f t="shared" si="69"/>
        <v>10</v>
      </c>
      <c r="O486" s="24">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59" t="s">
        <v>22</v>
      </c>
      <c r="L487" s="5" t="str">
        <f t="shared" si="66"/>
        <v>00486</v>
      </c>
      <c r="M487" s="46" t="str">
        <f t="shared" si="67"/>
        <v>10 de agosto de 2017</v>
      </c>
      <c r="N487" s="318">
        <f t="shared" si="69"/>
        <v>10</v>
      </c>
      <c r="O487" s="24">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59" t="s">
        <v>452</v>
      </c>
      <c r="L488" s="5" t="str">
        <f t="shared" si="66"/>
        <v>00487</v>
      </c>
      <c r="M488" s="46" t="str">
        <f t="shared" si="67"/>
        <v>10 de agosto de 2017</v>
      </c>
      <c r="N488" s="318">
        <f t="shared" si="69"/>
        <v>10</v>
      </c>
      <c r="O488" s="24">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59" t="s">
        <v>22</v>
      </c>
      <c r="L489" s="5" t="str">
        <f t="shared" si="66"/>
        <v>00488</v>
      </c>
      <c r="M489" s="46" t="str">
        <f t="shared" si="67"/>
        <v>10 de agosto de 2017</v>
      </c>
      <c r="N489" s="318">
        <f t="shared" si="69"/>
        <v>10</v>
      </c>
      <c r="O489" s="24">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59" t="s">
        <v>22</v>
      </c>
      <c r="L490" s="5" t="str">
        <f t="shared" si="66"/>
        <v>00489</v>
      </c>
      <c r="M490" s="46" t="str">
        <f t="shared" si="67"/>
        <v>13 de agosto de 2017</v>
      </c>
      <c r="N490" s="318">
        <f t="shared" si="69"/>
        <v>13</v>
      </c>
      <c r="O490" s="24">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59" t="s">
        <v>452</v>
      </c>
      <c r="L491" s="5" t="str">
        <f t="shared" si="66"/>
        <v>00490</v>
      </c>
      <c r="M491" s="46" t="str">
        <f t="shared" si="67"/>
        <v>13 de agosto de 2017</v>
      </c>
      <c r="N491" s="318">
        <f t="shared" si="69"/>
        <v>13</v>
      </c>
      <c r="O491" s="24">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59" t="s">
        <v>22</v>
      </c>
      <c r="L492" s="5" t="str">
        <f t="shared" si="66"/>
        <v>00491</v>
      </c>
      <c r="M492" s="46" t="str">
        <f t="shared" si="67"/>
        <v>14 de agosto de 2017</v>
      </c>
      <c r="N492" s="318">
        <f t="shared" si="69"/>
        <v>14</v>
      </c>
      <c r="O492" s="24">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59" t="s">
        <v>22</v>
      </c>
      <c r="L493" s="5" t="str">
        <f t="shared" si="66"/>
        <v>00492</v>
      </c>
      <c r="M493" s="46" t="str">
        <f t="shared" si="67"/>
        <v>14 de agosto de 2017</v>
      </c>
      <c r="N493" s="318">
        <f t="shared" si="69"/>
        <v>14</v>
      </c>
      <c r="O493" s="24">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59" t="s">
        <v>368</v>
      </c>
      <c r="L494" s="5" t="str">
        <f t="shared" si="66"/>
        <v>00493</v>
      </c>
      <c r="M494" s="46" t="str">
        <f t="shared" si="67"/>
        <v>14 de agosto de 2017</v>
      </c>
      <c r="N494" s="318">
        <f t="shared" si="69"/>
        <v>14</v>
      </c>
      <c r="O494" s="24">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59" t="s">
        <v>22</v>
      </c>
      <c r="L495" s="5" t="str">
        <f t="shared" si="66"/>
        <v>00494</v>
      </c>
      <c r="M495" s="46" t="str">
        <f t="shared" si="67"/>
        <v>15 de agosto de 2017</v>
      </c>
      <c r="N495" s="318">
        <f t="shared" si="69"/>
        <v>15</v>
      </c>
      <c r="O495" s="24">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59" t="s">
        <v>22</v>
      </c>
      <c r="L496" s="5" t="str">
        <f t="shared" si="66"/>
        <v>00495</v>
      </c>
      <c r="M496" s="46" t="str">
        <f t="shared" si="67"/>
        <v>15 de agosto de 2017</v>
      </c>
      <c r="N496" s="318">
        <f t="shared" si="69"/>
        <v>15</v>
      </c>
      <c r="O496" s="24">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59" t="s">
        <v>22</v>
      </c>
      <c r="L497" s="5" t="str">
        <f t="shared" si="66"/>
        <v>00496</v>
      </c>
      <c r="M497" s="46" t="str">
        <f t="shared" si="67"/>
        <v>15 de agosto de 2017</v>
      </c>
      <c r="N497" s="318">
        <f t="shared" si="69"/>
        <v>15</v>
      </c>
      <c r="O497" s="24">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59" t="s">
        <v>22</v>
      </c>
      <c r="L498" s="5" t="str">
        <f t="shared" si="66"/>
        <v>00497</v>
      </c>
      <c r="M498" s="46" t="str">
        <f t="shared" si="67"/>
        <v>25 de junio de 2017</v>
      </c>
      <c r="N498" s="318">
        <f t="shared" si="69"/>
        <v>25</v>
      </c>
      <c r="O498" s="24">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59" t="s">
        <v>22</v>
      </c>
      <c r="L499" s="5" t="str">
        <f t="shared" si="66"/>
        <v>00498</v>
      </c>
      <c r="M499" s="46" t="str">
        <f t="shared" si="67"/>
        <v>16 de agosto de 2017</v>
      </c>
      <c r="N499" s="318">
        <f t="shared" si="69"/>
        <v>16</v>
      </c>
      <c r="O499" s="24">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59" t="s">
        <v>22</v>
      </c>
      <c r="L500" s="5" t="str">
        <f t="shared" si="66"/>
        <v>00499</v>
      </c>
      <c r="M500" s="46" t="str">
        <f t="shared" si="67"/>
        <v>16 de agosto de 2017</v>
      </c>
      <c r="N500" s="318">
        <f t="shared" si="69"/>
        <v>16</v>
      </c>
      <c r="O500" s="24">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59" t="s">
        <v>22</v>
      </c>
      <c r="L501" s="5" t="str">
        <f t="shared" si="66"/>
        <v>00500</v>
      </c>
      <c r="M501" s="46" t="str">
        <f t="shared" si="67"/>
        <v>28 de julio de 2017</v>
      </c>
      <c r="N501" s="318">
        <f t="shared" si="69"/>
        <v>28</v>
      </c>
      <c r="O501" s="24">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59" t="s">
        <v>22</v>
      </c>
      <c r="L502" s="5" t="str">
        <f t="shared" si="66"/>
        <v>00501</v>
      </c>
      <c r="M502" s="46" t="str">
        <f t="shared" si="67"/>
        <v>25 de julio de 2017</v>
      </c>
      <c r="N502" s="318">
        <f t="shared" si="69"/>
        <v>25</v>
      </c>
      <c r="O502" s="24">
        <f t="shared" si="68"/>
        <v>42917</v>
      </c>
      <c r="P502" s="5" t="str">
        <f t="shared" si="73"/>
        <v>0,35</v>
      </c>
      <c r="Q502" s="4" t="e">
        <f t="shared" ca="1" si="74"/>
        <v>#NAME?</v>
      </c>
    </row>
    <row r="503" spans="1:17">
      <c r="A503" s="1">
        <f t="shared" si="70"/>
        <v>502</v>
      </c>
      <c r="C503" s="8" t="s">
        <v>17</v>
      </c>
      <c r="D503" s="2">
        <v>42964</v>
      </c>
      <c r="E503" s="3">
        <f>40000/100000</f>
        <v>0.4</v>
      </c>
      <c r="F503" s="19" t="s">
        <v>57</v>
      </c>
      <c r="G503" s="18" t="s">
        <v>58</v>
      </c>
      <c r="H503" s="20" t="s">
        <v>59</v>
      </c>
      <c r="I503" s="6" t="s">
        <v>514</v>
      </c>
      <c r="J503" s="59" t="s">
        <v>22</v>
      </c>
      <c r="K503" s="21"/>
      <c r="L503" s="5" t="str">
        <f t="shared" si="66"/>
        <v>00502</v>
      </c>
      <c r="M503" s="46" t="str">
        <f t="shared" si="67"/>
        <v>17 de agosto de 2017</v>
      </c>
      <c r="N503" s="318">
        <f t="shared" si="69"/>
        <v>17</v>
      </c>
      <c r="O503" s="24">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59" t="s">
        <v>22</v>
      </c>
      <c r="L504" s="5" t="str">
        <f t="shared" si="66"/>
        <v>00503</v>
      </c>
      <c r="M504" s="46" t="str">
        <f t="shared" si="67"/>
        <v>30 de julio de 2017</v>
      </c>
      <c r="N504" s="318">
        <f t="shared" si="69"/>
        <v>30</v>
      </c>
      <c r="O504" s="24">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59" t="s">
        <v>22</v>
      </c>
      <c r="L505" s="5" t="str">
        <f t="shared" si="66"/>
        <v>00504</v>
      </c>
      <c r="M505" s="46" t="str">
        <f t="shared" si="67"/>
        <v>17 de agosto de 2017</v>
      </c>
      <c r="N505" s="318">
        <f t="shared" si="69"/>
        <v>17</v>
      </c>
      <c r="O505" s="24">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59" t="s">
        <v>22</v>
      </c>
      <c r="L506" s="5" t="str">
        <f t="shared" si="66"/>
        <v>00505</v>
      </c>
      <c r="M506" s="46" t="str">
        <f t="shared" si="67"/>
        <v>17 de agosto de 2017</v>
      </c>
      <c r="N506" s="318">
        <f t="shared" si="69"/>
        <v>17</v>
      </c>
      <c r="O506" s="24">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59" t="s">
        <v>22</v>
      </c>
      <c r="L507" s="5" t="str">
        <f t="shared" si="66"/>
        <v>00506</v>
      </c>
      <c r="M507" s="46" t="str">
        <f t="shared" si="67"/>
        <v>17 de agosto de 2017</v>
      </c>
      <c r="N507" s="318">
        <f t="shared" si="69"/>
        <v>17</v>
      </c>
      <c r="O507" s="24">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59" t="s">
        <v>22</v>
      </c>
      <c r="L508" s="5" t="str">
        <f t="shared" si="66"/>
        <v>00507</v>
      </c>
      <c r="M508" s="46" t="str">
        <f t="shared" si="67"/>
        <v>18 de julio de 2017</v>
      </c>
      <c r="N508" s="318">
        <f t="shared" si="69"/>
        <v>18</v>
      </c>
      <c r="O508" s="24">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59" t="s">
        <v>22</v>
      </c>
      <c r="L509" s="5" t="str">
        <f t="shared" si="66"/>
        <v>00508</v>
      </c>
      <c r="M509" s="46" t="str">
        <f t="shared" si="67"/>
        <v>18 de agosto de 2017</v>
      </c>
      <c r="N509" s="318">
        <f t="shared" si="69"/>
        <v>18</v>
      </c>
      <c r="O509" s="24">
        <f t="shared" si="68"/>
        <v>42948</v>
      </c>
      <c r="P509" s="5" t="str">
        <f t="shared" si="73"/>
        <v>0,20</v>
      </c>
      <c r="Q509" s="4" t="e">
        <f t="shared" ca="1" si="74"/>
        <v>#NAME?</v>
      </c>
    </row>
    <row r="510" spans="1:17">
      <c r="A510" s="1">
        <f t="shared" si="70"/>
        <v>509</v>
      </c>
      <c r="C510" s="8" t="s">
        <v>17</v>
      </c>
      <c r="D510" s="2">
        <v>42965</v>
      </c>
      <c r="E510" s="3">
        <f>6000/100000+6500/100000</f>
        <v>0.125</v>
      </c>
      <c r="F510" t="s">
        <v>397</v>
      </c>
      <c r="G510" s="47" t="s">
        <v>29</v>
      </c>
      <c r="H510" t="s">
        <v>398</v>
      </c>
      <c r="I510" s="6" t="s">
        <v>523</v>
      </c>
      <c r="J510" s="59" t="s">
        <v>22</v>
      </c>
      <c r="L510" s="5" t="str">
        <f t="shared" si="66"/>
        <v>00509</v>
      </c>
      <c r="M510" s="46" t="str">
        <f t="shared" si="67"/>
        <v>18 de agosto de 2017</v>
      </c>
      <c r="N510" s="318">
        <f t="shared" si="69"/>
        <v>18</v>
      </c>
      <c r="O510" s="24">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59" t="s">
        <v>22</v>
      </c>
      <c r="L511" s="5" t="str">
        <f t="shared" si="66"/>
        <v>00510</v>
      </c>
      <c r="M511" s="46" t="str">
        <f t="shared" si="67"/>
        <v>18 de agosto de 2017</v>
      </c>
      <c r="N511" s="318">
        <f t="shared" si="69"/>
        <v>18</v>
      </c>
      <c r="O511" s="24">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59" t="s">
        <v>22</v>
      </c>
      <c r="L512" s="5" t="str">
        <f t="shared" si="66"/>
        <v>00511</v>
      </c>
      <c r="M512" s="46" t="str">
        <f t="shared" si="67"/>
        <v>19 de agosto de 2017</v>
      </c>
      <c r="N512" s="318">
        <f t="shared" si="69"/>
        <v>19</v>
      </c>
      <c r="O512" s="24">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59" t="s">
        <v>22</v>
      </c>
      <c r="L513" s="5" t="str">
        <f t="shared" si="66"/>
        <v>00512</v>
      </c>
      <c r="M513" s="46" t="str">
        <f t="shared" si="67"/>
        <v>19 de agosto de 2017</v>
      </c>
      <c r="N513" s="318">
        <f t="shared" si="69"/>
        <v>19</v>
      </c>
      <c r="O513" s="24">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59" t="s">
        <v>22</v>
      </c>
      <c r="L514" s="5" t="str">
        <f t="shared" ref="L514:L577" si="75">IF(ISBLANK(A514),"",TEXT(A514,"00000"))</f>
        <v>00513</v>
      </c>
      <c r="M514" s="46" t="str">
        <f t="shared" ref="M514:M577" si="76">IF(ISBLANK(D514),"",TEXT(D514,"dd")&amp;" de "&amp;TEXT(D514,"mmmm")&amp;" de "&amp;TEXT(YEAR(D514),"0"))</f>
        <v>19 de agosto de 2017</v>
      </c>
      <c r="N514" s="318">
        <f t="shared" si="69"/>
        <v>19</v>
      </c>
      <c r="O514" s="24">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59" t="s">
        <v>22</v>
      </c>
      <c r="L515" s="5" t="str">
        <f t="shared" si="75"/>
        <v>00514</v>
      </c>
      <c r="M515" s="46" t="str">
        <f t="shared" si="76"/>
        <v>19 de agosto de 2017</v>
      </c>
      <c r="N515" s="318">
        <f t="shared" ref="N515:N578" si="78">DAY(D515)</f>
        <v>19</v>
      </c>
      <c r="O515" s="24">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59" t="s">
        <v>22</v>
      </c>
      <c r="L516" s="5" t="str">
        <f t="shared" si="75"/>
        <v>00515</v>
      </c>
      <c r="M516" s="46" t="str">
        <f t="shared" si="76"/>
        <v>20 de agosto de 2017</v>
      </c>
      <c r="N516" s="318">
        <f t="shared" si="78"/>
        <v>20</v>
      </c>
      <c r="O516" s="24">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59" t="s">
        <v>22</v>
      </c>
      <c r="L517" s="5" t="str">
        <f t="shared" si="75"/>
        <v>00516</v>
      </c>
      <c r="M517" s="46" t="str">
        <f t="shared" si="76"/>
        <v>16 de agosto de 2017</v>
      </c>
      <c r="N517" s="318">
        <f t="shared" si="78"/>
        <v>16</v>
      </c>
      <c r="O517" s="24">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59" t="s">
        <v>22</v>
      </c>
      <c r="L518" s="5" t="str">
        <f t="shared" si="75"/>
        <v>00517</v>
      </c>
      <c r="M518" s="46" t="str">
        <f t="shared" si="76"/>
        <v>20 de agosto de 2017</v>
      </c>
      <c r="N518" s="318">
        <f t="shared" si="78"/>
        <v>20</v>
      </c>
      <c r="O518" s="24">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59" t="s">
        <v>22</v>
      </c>
      <c r="L519" s="5" t="str">
        <f t="shared" si="75"/>
        <v>00518</v>
      </c>
      <c r="M519" s="46" t="str">
        <f t="shared" si="76"/>
        <v>21 de agosto de 2017</v>
      </c>
      <c r="N519" s="318">
        <f t="shared" si="78"/>
        <v>21</v>
      </c>
      <c r="O519" s="24">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59" t="s">
        <v>22</v>
      </c>
      <c r="L520" s="5" t="str">
        <f t="shared" si="75"/>
        <v>00519</v>
      </c>
      <c r="M520" s="46" t="str">
        <f t="shared" si="76"/>
        <v>23 de agosto de 2017</v>
      </c>
      <c r="N520" s="318">
        <f t="shared" si="78"/>
        <v>23</v>
      </c>
      <c r="O520" s="24">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59" t="s">
        <v>22</v>
      </c>
      <c r="L521" s="5" t="str">
        <f t="shared" si="75"/>
        <v>00520</v>
      </c>
      <c r="M521" s="46" t="str">
        <f t="shared" si="76"/>
        <v>25 de agosto de 2017</v>
      </c>
      <c r="N521" s="318">
        <f t="shared" si="78"/>
        <v>25</v>
      </c>
      <c r="O521" s="24">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59" t="s">
        <v>22</v>
      </c>
      <c r="L522" s="5" t="str">
        <f t="shared" si="75"/>
        <v>00521</v>
      </c>
      <c r="M522" s="46" t="str">
        <f t="shared" si="76"/>
        <v>28 de agosto de 2017</v>
      </c>
      <c r="N522" s="318">
        <f t="shared" si="78"/>
        <v>28</v>
      </c>
      <c r="O522" s="24">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59" t="s">
        <v>22</v>
      </c>
      <c r="L523" s="5" t="str">
        <f t="shared" si="75"/>
        <v>00522</v>
      </c>
      <c r="M523" s="46" t="str">
        <f t="shared" si="76"/>
        <v>24 de agosto de 2017</v>
      </c>
      <c r="N523" s="318">
        <f t="shared" si="78"/>
        <v>24</v>
      </c>
      <c r="O523" s="24">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59" t="s">
        <v>22</v>
      </c>
      <c r="L524" s="5" t="str">
        <f t="shared" si="75"/>
        <v>00523</v>
      </c>
      <c r="M524" s="46" t="str">
        <f t="shared" si="76"/>
        <v>30 de agosto de 2017</v>
      </c>
      <c r="N524" s="318">
        <f t="shared" si="78"/>
        <v>30</v>
      </c>
      <c r="O524" s="24">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59" t="s">
        <v>22</v>
      </c>
      <c r="L525" s="5" t="str">
        <f t="shared" si="75"/>
        <v>00524</v>
      </c>
      <c r="M525" s="46" t="str">
        <f t="shared" si="76"/>
        <v>31 de agosto de 2017</v>
      </c>
      <c r="N525" s="318">
        <f t="shared" si="78"/>
        <v>31</v>
      </c>
      <c r="O525" s="24">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59" t="s">
        <v>22</v>
      </c>
      <c r="L526" s="5" t="str">
        <f t="shared" si="75"/>
        <v>00525</v>
      </c>
      <c r="M526" s="46" t="str">
        <f t="shared" si="76"/>
        <v>30 de agosto de 2017</v>
      </c>
      <c r="N526" s="318">
        <f t="shared" si="78"/>
        <v>30</v>
      </c>
      <c r="O526" s="24">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59" t="s">
        <v>22</v>
      </c>
      <c r="L527" s="5" t="str">
        <f t="shared" si="75"/>
        <v>00526</v>
      </c>
      <c r="M527" s="46" t="str">
        <f t="shared" si="76"/>
        <v>31 de agosto de 2017</v>
      </c>
      <c r="N527" s="318">
        <f t="shared" si="78"/>
        <v>31</v>
      </c>
      <c r="O527" s="24">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59" t="s">
        <v>22</v>
      </c>
      <c r="L528" s="5" t="str">
        <f t="shared" si="75"/>
        <v>00527</v>
      </c>
      <c r="M528" s="46" t="str">
        <f t="shared" si="76"/>
        <v>31 de agosto de 2017</v>
      </c>
      <c r="N528" s="318">
        <f t="shared" si="78"/>
        <v>31</v>
      </c>
      <c r="O528" s="24">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59" t="s">
        <v>22</v>
      </c>
      <c r="L529" s="5" t="str">
        <f t="shared" si="75"/>
        <v>00528</v>
      </c>
      <c r="M529" s="46" t="str">
        <f t="shared" si="76"/>
        <v>31 de julio de 2017</v>
      </c>
      <c r="N529" s="318">
        <f t="shared" si="78"/>
        <v>31</v>
      </c>
      <c r="O529" s="24">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59" t="s">
        <v>22</v>
      </c>
      <c r="L530" s="5" t="str">
        <f t="shared" si="75"/>
        <v>00529</v>
      </c>
      <c r="M530" s="46" t="str">
        <f t="shared" si="76"/>
        <v>01 de septiembre de 2017</v>
      </c>
      <c r="N530" s="318">
        <f t="shared" si="78"/>
        <v>1</v>
      </c>
      <c r="O530" s="24">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59" t="s">
        <v>22</v>
      </c>
      <c r="L531" s="5" t="str">
        <f t="shared" si="75"/>
        <v>00530</v>
      </c>
      <c r="M531" s="46" t="str">
        <f t="shared" si="76"/>
        <v>01 de septiembre de 2017</v>
      </c>
      <c r="N531" s="318">
        <f t="shared" si="78"/>
        <v>1</v>
      </c>
      <c r="O531" s="24">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59" t="s">
        <v>22</v>
      </c>
      <c r="L532" s="5" t="str">
        <f t="shared" si="75"/>
        <v>00531</v>
      </c>
      <c r="M532" s="46" t="str">
        <f t="shared" si="76"/>
        <v>01 de septiembre de 2017</v>
      </c>
      <c r="N532" s="318">
        <f t="shared" si="78"/>
        <v>1</v>
      </c>
      <c r="O532" s="24">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59" t="s">
        <v>22</v>
      </c>
      <c r="L533" s="5" t="str">
        <f t="shared" si="75"/>
        <v>00532</v>
      </c>
      <c r="M533" s="46" t="str">
        <f t="shared" si="76"/>
        <v>01 de septiembre de 2017</v>
      </c>
      <c r="N533" s="318">
        <f t="shared" si="78"/>
        <v>1</v>
      </c>
      <c r="O533" s="24">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59" t="s">
        <v>22</v>
      </c>
      <c r="L534" s="5" t="str">
        <f t="shared" si="75"/>
        <v>00533</v>
      </c>
      <c r="M534" s="46" t="str">
        <f t="shared" si="76"/>
        <v>01 de septiembre de 2017</v>
      </c>
      <c r="N534" s="318">
        <f t="shared" si="78"/>
        <v>1</v>
      </c>
      <c r="O534" s="24">
        <f t="shared" si="77"/>
        <v>42979</v>
      </c>
      <c r="P534" s="5" t="str">
        <f t="shared" si="80"/>
        <v>0,35</v>
      </c>
      <c r="Q534" s="4" t="e">
        <f t="shared" ca="1" si="81"/>
        <v>#NAME?</v>
      </c>
    </row>
    <row r="535" spans="1:17">
      <c r="A535" s="175">
        <f t="shared" si="79"/>
        <v>534</v>
      </c>
      <c r="C535" s="8" t="s">
        <v>17</v>
      </c>
      <c r="D535" s="2">
        <v>42979</v>
      </c>
      <c r="E535" s="3">
        <f t="shared" si="82"/>
        <v>0.35</v>
      </c>
      <c r="F535" t="s">
        <v>438</v>
      </c>
      <c r="G535" t="s">
        <v>439</v>
      </c>
      <c r="H535" t="s">
        <v>440</v>
      </c>
      <c r="I535" s="6" t="s">
        <v>532</v>
      </c>
      <c r="J535" s="59" t="s">
        <v>22</v>
      </c>
      <c r="L535" s="5" t="str">
        <f t="shared" si="75"/>
        <v>00534</v>
      </c>
      <c r="M535" s="46" t="str">
        <f t="shared" si="76"/>
        <v>01 de septiembre de 2017</v>
      </c>
      <c r="N535" s="318">
        <f t="shared" si="78"/>
        <v>1</v>
      </c>
      <c r="O535" s="24">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59" t="s">
        <v>22</v>
      </c>
      <c r="L536" s="5" t="str">
        <f t="shared" si="75"/>
        <v>00535</v>
      </c>
      <c r="M536" s="46" t="str">
        <f t="shared" si="76"/>
        <v>01 de septiembre de 2017</v>
      </c>
      <c r="N536" s="318">
        <f t="shared" si="78"/>
        <v>1</v>
      </c>
      <c r="O536" s="24">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59" t="s">
        <v>22</v>
      </c>
      <c r="L537" s="5" t="str">
        <f t="shared" si="75"/>
        <v>00536</v>
      </c>
      <c r="M537" s="46" t="str">
        <f t="shared" si="76"/>
        <v>01 de septiembre de 2017</v>
      </c>
      <c r="N537" s="318">
        <f t="shared" si="78"/>
        <v>1</v>
      </c>
      <c r="O537" s="24">
        <f t="shared" si="77"/>
        <v>42979</v>
      </c>
      <c r="P537" s="5" t="str">
        <f t="shared" si="80"/>
        <v>0,20</v>
      </c>
      <c r="Q537" s="4" t="e">
        <f t="shared" ca="1" si="81"/>
        <v>#NAME?</v>
      </c>
    </row>
    <row r="538" spans="1:17">
      <c r="A538" s="1">
        <f t="shared" si="79"/>
        <v>537</v>
      </c>
      <c r="C538" s="8" t="s">
        <v>17</v>
      </c>
      <c r="D538" s="2">
        <v>42979</v>
      </c>
      <c r="E538" s="3">
        <f>35000/100000</f>
        <v>0.35</v>
      </c>
      <c r="F538" t="s">
        <v>239</v>
      </c>
      <c r="G538" s="71" t="s">
        <v>240</v>
      </c>
      <c r="H538" t="s">
        <v>241</v>
      </c>
      <c r="I538" s="6" t="s">
        <v>500</v>
      </c>
      <c r="J538" s="59" t="s">
        <v>22</v>
      </c>
      <c r="L538" s="5" t="str">
        <f t="shared" si="75"/>
        <v>00537</v>
      </c>
      <c r="M538" s="46" t="str">
        <f t="shared" si="76"/>
        <v>01 de septiembre de 2017</v>
      </c>
      <c r="N538" s="318">
        <f t="shared" si="78"/>
        <v>1</v>
      </c>
      <c r="O538" s="24">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59" t="s">
        <v>22</v>
      </c>
      <c r="L539" s="5" t="str">
        <f t="shared" si="75"/>
        <v>00538</v>
      </c>
      <c r="M539" s="46" t="str">
        <f t="shared" si="76"/>
        <v>03 de septiembre de 2017</v>
      </c>
      <c r="N539" s="318">
        <f t="shared" si="78"/>
        <v>3</v>
      </c>
      <c r="O539" s="24">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59" t="s">
        <v>22</v>
      </c>
      <c r="L540" s="5" t="str">
        <f t="shared" si="75"/>
        <v>00539</v>
      </c>
      <c r="M540" s="46" t="str">
        <f t="shared" si="76"/>
        <v>04 de septiembre de 2017</v>
      </c>
      <c r="N540" s="318">
        <f t="shared" si="78"/>
        <v>4</v>
      </c>
      <c r="O540" s="24">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59" t="s">
        <v>22</v>
      </c>
      <c r="L541" s="5" t="str">
        <f t="shared" si="75"/>
        <v>00540</v>
      </c>
      <c r="M541" s="46" t="str">
        <f t="shared" si="76"/>
        <v>04 de septiembre de 2017</v>
      </c>
      <c r="N541" s="318">
        <f t="shared" si="78"/>
        <v>4</v>
      </c>
      <c r="O541" s="24">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59" t="s">
        <v>22</v>
      </c>
      <c r="L542" s="5" t="str">
        <f t="shared" si="75"/>
        <v>00541</v>
      </c>
      <c r="M542" s="46" t="str">
        <f t="shared" si="76"/>
        <v>05 de septiembre de 2017</v>
      </c>
      <c r="N542" s="318">
        <f t="shared" si="78"/>
        <v>5</v>
      </c>
      <c r="O542" s="24">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59" t="s">
        <v>22</v>
      </c>
      <c r="L543" s="5" t="str">
        <f t="shared" si="75"/>
        <v>00542</v>
      </c>
      <c r="M543" s="46" t="str">
        <f t="shared" si="76"/>
        <v>05 de septiembre de 2017</v>
      </c>
      <c r="N543" s="318">
        <f t="shared" si="78"/>
        <v>5</v>
      </c>
      <c r="O543" s="24">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59" t="s">
        <v>22</v>
      </c>
      <c r="L544" s="5" t="str">
        <f t="shared" si="75"/>
        <v>00543</v>
      </c>
      <c r="M544" s="46" t="str">
        <f t="shared" si="76"/>
        <v>05 de septiembre de 2017</v>
      </c>
      <c r="N544" s="318">
        <f t="shared" si="78"/>
        <v>5</v>
      </c>
      <c r="O544" s="24">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59" t="s">
        <v>22</v>
      </c>
      <c r="L545" s="5" t="str">
        <f t="shared" si="75"/>
        <v>00544</v>
      </c>
      <c r="M545" s="46" t="str">
        <f t="shared" si="76"/>
        <v>06 de septiembre de 2017</v>
      </c>
      <c r="N545" s="318">
        <f t="shared" si="78"/>
        <v>6</v>
      </c>
      <c r="O545" s="24">
        <f t="shared" si="77"/>
        <v>42979</v>
      </c>
      <c r="P545" s="5" t="str">
        <f t="shared" si="80"/>
        <v>0,35</v>
      </c>
      <c r="Q545" s="4" t="e">
        <f t="shared" ca="1" si="81"/>
        <v>#NAME?</v>
      </c>
    </row>
    <row r="546" spans="1:17">
      <c r="A546" s="1">
        <f t="shared" si="79"/>
        <v>545</v>
      </c>
      <c r="C546" s="8" t="s">
        <v>17</v>
      </c>
      <c r="D546" s="2">
        <v>42984</v>
      </c>
      <c r="E546" s="3">
        <f>54000/100000</f>
        <v>0.54</v>
      </c>
      <c r="F546" s="22" t="s">
        <v>422</v>
      </c>
      <c r="G546" s="18" t="s">
        <v>58</v>
      </c>
      <c r="H546" t="s">
        <v>423</v>
      </c>
      <c r="I546" s="6" t="s">
        <v>528</v>
      </c>
      <c r="J546" s="59" t="s">
        <v>22</v>
      </c>
      <c r="L546" s="5" t="str">
        <f t="shared" si="75"/>
        <v>00545</v>
      </c>
      <c r="M546" s="46" t="str">
        <f t="shared" si="76"/>
        <v>06 de septiembre de 2017</v>
      </c>
      <c r="N546" s="318">
        <f t="shared" si="78"/>
        <v>6</v>
      </c>
      <c r="O546" s="24">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59" t="s">
        <v>22</v>
      </c>
      <c r="L547" s="5" t="str">
        <f t="shared" si="75"/>
        <v>00546</v>
      </c>
      <c r="M547" s="46" t="str">
        <f t="shared" si="76"/>
        <v>06 de septiembre de 2017</v>
      </c>
      <c r="N547" s="318">
        <f t="shared" si="78"/>
        <v>6</v>
      </c>
      <c r="O547" s="24">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59" t="s">
        <v>22</v>
      </c>
      <c r="L548" s="5" t="str">
        <f t="shared" si="75"/>
        <v>00547</v>
      </c>
      <c r="M548" s="46" t="str">
        <f t="shared" si="76"/>
        <v>23 de agosto de 2017</v>
      </c>
      <c r="N548" s="318">
        <f t="shared" si="78"/>
        <v>23</v>
      </c>
      <c r="O548" s="24">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59" t="s">
        <v>22</v>
      </c>
      <c r="L549" s="5" t="str">
        <f t="shared" si="75"/>
        <v>00548</v>
      </c>
      <c r="M549" s="46" t="str">
        <f t="shared" si="76"/>
        <v>24 de agosto de 2017</v>
      </c>
      <c r="N549" s="318">
        <f t="shared" si="78"/>
        <v>24</v>
      </c>
      <c r="O549" s="24">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59" t="s">
        <v>22</v>
      </c>
      <c r="L550" s="5" t="str">
        <f t="shared" si="75"/>
        <v>00549</v>
      </c>
      <c r="M550" s="46" t="str">
        <f t="shared" si="76"/>
        <v>07 de septiembre de 2017</v>
      </c>
      <c r="N550" s="318">
        <f t="shared" si="78"/>
        <v>7</v>
      </c>
      <c r="O550" s="24">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59" t="s">
        <v>22</v>
      </c>
      <c r="L551" s="5" t="str">
        <f t="shared" si="75"/>
        <v>00550</v>
      </c>
      <c r="M551" s="46" t="str">
        <f t="shared" si="76"/>
        <v>10 de septiembre de 2017</v>
      </c>
      <c r="N551" s="318">
        <f t="shared" si="78"/>
        <v>10</v>
      </c>
      <c r="O551" s="24">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59" t="s">
        <v>22</v>
      </c>
      <c r="L552" s="5" t="str">
        <f t="shared" si="75"/>
        <v>00551</v>
      </c>
      <c r="M552" s="46" t="str">
        <f t="shared" si="76"/>
        <v>11 de septiembre de 2017</v>
      </c>
      <c r="N552" s="318">
        <f t="shared" si="78"/>
        <v>11</v>
      </c>
      <c r="O552" s="24">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59" t="s">
        <v>22</v>
      </c>
      <c r="L553" s="5" t="str">
        <f t="shared" si="75"/>
        <v>00552</v>
      </c>
      <c r="M553" s="46" t="str">
        <f t="shared" si="76"/>
        <v>12 de septiembre de 2017</v>
      </c>
      <c r="N553" s="318">
        <f t="shared" si="78"/>
        <v>12</v>
      </c>
      <c r="O553" s="24">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59" t="s">
        <v>22</v>
      </c>
      <c r="L554" s="5" t="str">
        <f t="shared" si="75"/>
        <v>00553</v>
      </c>
      <c r="M554" s="46" t="str">
        <f t="shared" si="76"/>
        <v>13 de septiembre de 2017</v>
      </c>
      <c r="N554" s="318">
        <f t="shared" si="78"/>
        <v>13</v>
      </c>
      <c r="O554" s="24">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59" t="s">
        <v>22</v>
      </c>
      <c r="L555" s="5" t="str">
        <f t="shared" si="75"/>
        <v>00554</v>
      </c>
      <c r="M555" s="46" t="str">
        <f t="shared" si="76"/>
        <v>13 de septiembre de 2017</v>
      </c>
      <c r="N555" s="318">
        <f t="shared" si="78"/>
        <v>13</v>
      </c>
      <c r="O555" s="24">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59" t="s">
        <v>22</v>
      </c>
      <c r="L556" s="5" t="str">
        <f t="shared" si="75"/>
        <v>00555</v>
      </c>
      <c r="M556" s="46" t="str">
        <f t="shared" si="76"/>
        <v>13 de septiembre de 2017</v>
      </c>
      <c r="N556" s="318">
        <f t="shared" si="78"/>
        <v>13</v>
      </c>
      <c r="O556" s="24">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59" t="s">
        <v>22</v>
      </c>
      <c r="L557" s="5" t="str">
        <f t="shared" si="75"/>
        <v>00556</v>
      </c>
      <c r="M557" s="46" t="str">
        <f t="shared" si="76"/>
        <v>13 de septiembre de 2017</v>
      </c>
      <c r="N557" s="318">
        <f t="shared" si="78"/>
        <v>13</v>
      </c>
      <c r="O557" s="24">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7" t="s">
        <v>29</v>
      </c>
      <c r="H558" t="s">
        <v>398</v>
      </c>
      <c r="I558" s="6" t="s">
        <v>534</v>
      </c>
      <c r="J558" s="59" t="s">
        <v>22</v>
      </c>
      <c r="L558" s="5" t="str">
        <f t="shared" si="75"/>
        <v>00557</v>
      </c>
      <c r="M558" s="46" t="str">
        <f t="shared" si="76"/>
        <v>14 de septiembre de 2017</v>
      </c>
      <c r="N558" s="318">
        <f t="shared" si="78"/>
        <v>14</v>
      </c>
      <c r="O558" s="24">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59" t="s">
        <v>22</v>
      </c>
      <c r="L559" s="5" t="str">
        <f t="shared" si="75"/>
        <v>00558</v>
      </c>
      <c r="M559" s="46" t="str">
        <f t="shared" si="76"/>
        <v>14 de septiembre de 2017</v>
      </c>
      <c r="N559" s="318">
        <f t="shared" si="78"/>
        <v>14</v>
      </c>
      <c r="O559" s="24">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59" t="s">
        <v>22</v>
      </c>
      <c r="L560" s="5" t="str">
        <f t="shared" si="75"/>
        <v>00559</v>
      </c>
      <c r="M560" s="46" t="str">
        <f t="shared" si="76"/>
        <v>15 de septiembre de 2017</v>
      </c>
      <c r="N560" s="318">
        <f t="shared" si="78"/>
        <v>15</v>
      </c>
      <c r="O560" s="24">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59" t="s">
        <v>22</v>
      </c>
      <c r="L561" s="5" t="str">
        <f t="shared" si="75"/>
        <v>00560</v>
      </c>
      <c r="M561" s="46" t="str">
        <f t="shared" si="76"/>
        <v>15 de septiembre de 2017</v>
      </c>
      <c r="N561" s="318">
        <f t="shared" si="78"/>
        <v>15</v>
      </c>
      <c r="O561" s="24">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59" t="s">
        <v>22</v>
      </c>
      <c r="L562" s="5" t="str">
        <f t="shared" si="75"/>
        <v>00561</v>
      </c>
      <c r="M562" s="46" t="str">
        <f t="shared" si="76"/>
        <v>15 de septiembre de 2017</v>
      </c>
      <c r="N562" s="318">
        <f t="shared" si="78"/>
        <v>15</v>
      </c>
      <c r="O562" s="24">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59" t="s">
        <v>22</v>
      </c>
      <c r="L563" s="5" t="str">
        <f t="shared" si="75"/>
        <v>00562</v>
      </c>
      <c r="M563" s="46" t="str">
        <f t="shared" si="76"/>
        <v>15 de septiembre de 2017</v>
      </c>
      <c r="N563" s="318">
        <f t="shared" si="78"/>
        <v>15</v>
      </c>
      <c r="O563" s="24">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59" t="s">
        <v>22</v>
      </c>
      <c r="L564" s="5" t="str">
        <f t="shared" si="75"/>
        <v>00563</v>
      </c>
      <c r="M564" s="46" t="str">
        <f t="shared" si="76"/>
        <v>16 de septiembre de 2017</v>
      </c>
      <c r="N564" s="318">
        <f t="shared" si="78"/>
        <v>16</v>
      </c>
      <c r="O564" s="24">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59" t="s">
        <v>22</v>
      </c>
      <c r="L565" s="5" t="str">
        <f t="shared" si="75"/>
        <v>00564</v>
      </c>
      <c r="M565" s="46" t="str">
        <f t="shared" si="76"/>
        <v>18 de septiembre de 2017</v>
      </c>
      <c r="N565" s="318">
        <f t="shared" si="78"/>
        <v>18</v>
      </c>
      <c r="O565" s="24">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59" t="s">
        <v>22</v>
      </c>
      <c r="L566" s="5" t="str">
        <f t="shared" si="75"/>
        <v>00565</v>
      </c>
      <c r="M566" s="46" t="str">
        <f t="shared" si="76"/>
        <v>18 de septiembre de 2017</v>
      </c>
      <c r="N566" s="318">
        <f t="shared" si="78"/>
        <v>18</v>
      </c>
      <c r="O566" s="24">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59" t="s">
        <v>22</v>
      </c>
      <c r="L567" s="5" t="str">
        <f t="shared" si="75"/>
        <v>00566</v>
      </c>
      <c r="M567" s="46" t="str">
        <f t="shared" si="76"/>
        <v>18 de septiembre de 2017</v>
      </c>
      <c r="N567" s="318">
        <f t="shared" si="78"/>
        <v>18</v>
      </c>
      <c r="O567" s="24">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59" t="s">
        <v>22</v>
      </c>
      <c r="L568" s="5" t="str">
        <f t="shared" si="75"/>
        <v>00567</v>
      </c>
      <c r="M568" s="46" t="str">
        <f t="shared" si="76"/>
        <v>18 de septiembre de 2017</v>
      </c>
      <c r="N568" s="318">
        <f t="shared" si="78"/>
        <v>18</v>
      </c>
      <c r="O568" s="24">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59" t="s">
        <v>22</v>
      </c>
      <c r="L569" s="5" t="str">
        <f t="shared" si="75"/>
        <v>00568</v>
      </c>
      <c r="M569" s="46" t="str">
        <f t="shared" si="76"/>
        <v>19 de septiembre de 2017</v>
      </c>
      <c r="N569" s="318">
        <f t="shared" si="78"/>
        <v>19</v>
      </c>
      <c r="O569" s="24">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59" t="s">
        <v>22</v>
      </c>
      <c r="L570" s="5" t="str">
        <f t="shared" si="75"/>
        <v>00569</v>
      </c>
      <c r="M570" s="46" t="str">
        <f t="shared" si="76"/>
        <v>19 de septiembre de 2017</v>
      </c>
      <c r="N570" s="318">
        <f t="shared" si="78"/>
        <v>19</v>
      </c>
      <c r="O570" s="24">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59" t="s">
        <v>22</v>
      </c>
      <c r="L571" s="5" t="str">
        <f t="shared" si="75"/>
        <v>00570</v>
      </c>
      <c r="M571" s="46" t="str">
        <f t="shared" si="76"/>
        <v>19 de septiembre de 2017</v>
      </c>
      <c r="N571" s="318">
        <f t="shared" si="78"/>
        <v>19</v>
      </c>
      <c r="O571" s="24">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59" t="s">
        <v>22</v>
      </c>
      <c r="L572" s="5" t="str">
        <f t="shared" si="75"/>
        <v>00571</v>
      </c>
      <c r="M572" s="46" t="str">
        <f t="shared" si="76"/>
        <v>20 de septiembre de 2017</v>
      </c>
      <c r="N572" s="318">
        <f t="shared" si="78"/>
        <v>20</v>
      </c>
      <c r="O572" s="24">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59" t="s">
        <v>22</v>
      </c>
      <c r="L573" s="5" t="str">
        <f t="shared" si="75"/>
        <v>00572</v>
      </c>
      <c r="M573" s="46" t="str">
        <f t="shared" si="76"/>
        <v>20 de septiembre de 2017</v>
      </c>
      <c r="N573" s="318">
        <f t="shared" si="78"/>
        <v>20</v>
      </c>
      <c r="O573" s="24">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59" t="s">
        <v>22</v>
      </c>
      <c r="L574" s="5" t="str">
        <f t="shared" si="75"/>
        <v>00573</v>
      </c>
      <c r="M574" s="46" t="str">
        <f t="shared" si="76"/>
        <v>20 de septiembre de 2017</v>
      </c>
      <c r="N574" s="318">
        <f t="shared" si="78"/>
        <v>20</v>
      </c>
      <c r="O574" s="24">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59" t="s">
        <v>227</v>
      </c>
      <c r="L575" s="5" t="str">
        <f t="shared" si="75"/>
        <v>00574</v>
      </c>
      <c r="M575" s="46" t="str">
        <f t="shared" si="76"/>
        <v>21 de septiembre de 2017</v>
      </c>
      <c r="N575" s="318">
        <f t="shared" si="78"/>
        <v>21</v>
      </c>
      <c r="O575" s="24">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59" t="s">
        <v>22</v>
      </c>
      <c r="L576" s="5" t="str">
        <f t="shared" si="75"/>
        <v>00575</v>
      </c>
      <c r="M576" s="46" t="str">
        <f t="shared" si="76"/>
        <v>21 de septiembre de 2017</v>
      </c>
      <c r="N576" s="318">
        <f t="shared" si="78"/>
        <v>21</v>
      </c>
      <c r="O576" s="24">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59" t="s">
        <v>22</v>
      </c>
      <c r="L577" s="5" t="str">
        <f t="shared" si="75"/>
        <v>00576</v>
      </c>
      <c r="M577" s="46" t="str">
        <f t="shared" si="76"/>
        <v>21 de septiembre de 2017</v>
      </c>
      <c r="N577" s="318">
        <f t="shared" si="78"/>
        <v>21</v>
      </c>
      <c r="O577" s="24">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59" t="s">
        <v>22</v>
      </c>
      <c r="L578" s="5" t="str">
        <f t="shared" ref="L578:L641" si="85">IF(ISBLANK(A578),"",TEXT(A578,"00000"))</f>
        <v>00577</v>
      </c>
      <c r="M578" s="46" t="str">
        <f t="shared" ref="M578:M641" si="86">IF(ISBLANK(D578),"",TEXT(D578,"dd")&amp;" de "&amp;TEXT(D578,"mmmm")&amp;" de "&amp;TEXT(YEAR(D578),"0"))</f>
        <v>21 de septiembre de 2017</v>
      </c>
      <c r="N578" s="318">
        <f t="shared" si="78"/>
        <v>21</v>
      </c>
      <c r="O578" s="24">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59" t="s">
        <v>22</v>
      </c>
      <c r="L579" s="5" t="str">
        <f t="shared" si="85"/>
        <v>00578</v>
      </c>
      <c r="M579" s="46" t="str">
        <f t="shared" si="86"/>
        <v>21 de septiembre de 2017</v>
      </c>
      <c r="N579" s="318">
        <f t="shared" ref="N579:N642" si="88">DAY(D579)</f>
        <v>21</v>
      </c>
      <c r="O579" s="24">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59" t="s">
        <v>22</v>
      </c>
      <c r="L580" s="5" t="str">
        <f t="shared" si="85"/>
        <v>00579</v>
      </c>
      <c r="M580" s="46" t="str">
        <f t="shared" si="86"/>
        <v>22 de septiembre de 2017</v>
      </c>
      <c r="N580" s="318">
        <f t="shared" si="88"/>
        <v>22</v>
      </c>
      <c r="O580" s="24">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59" t="s">
        <v>22</v>
      </c>
      <c r="L581" s="5" t="str">
        <f t="shared" si="85"/>
        <v>00580</v>
      </c>
      <c r="M581" s="46" t="str">
        <f t="shared" si="86"/>
        <v>23 de septiembre de 2017</v>
      </c>
      <c r="N581" s="318">
        <f t="shared" si="88"/>
        <v>23</v>
      </c>
      <c r="O581" s="24">
        <f t="shared" si="87"/>
        <v>42979</v>
      </c>
      <c r="P581" s="5" t="str">
        <f t="shared" si="89"/>
        <v>0,21</v>
      </c>
      <c r="Q581" s="4" t="e">
        <f t="shared" ca="1" si="90"/>
        <v>#NAME?</v>
      </c>
    </row>
    <row r="582" spans="1:17">
      <c r="A582" s="1">
        <f t="shared" si="91"/>
        <v>581</v>
      </c>
      <c r="C582" s="8" t="s">
        <v>17</v>
      </c>
      <c r="D582" s="2">
        <v>43003</v>
      </c>
      <c r="E582" s="3">
        <f>40000/100000</f>
        <v>0.4</v>
      </c>
      <c r="F582" s="19" t="s">
        <v>57</v>
      </c>
      <c r="G582" s="18" t="s">
        <v>58</v>
      </c>
      <c r="H582" s="20" t="s">
        <v>59</v>
      </c>
      <c r="I582" s="6" t="s">
        <v>528</v>
      </c>
      <c r="J582" s="59" t="s">
        <v>22</v>
      </c>
      <c r="K582" s="21"/>
      <c r="L582" s="5" t="str">
        <f t="shared" si="85"/>
        <v>00581</v>
      </c>
      <c r="M582" s="46" t="str">
        <f t="shared" si="86"/>
        <v>25 de septiembre de 2017</v>
      </c>
      <c r="N582" s="318">
        <f t="shared" si="88"/>
        <v>25</v>
      </c>
      <c r="O582" s="24">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59" t="s">
        <v>22</v>
      </c>
      <c r="L583" s="5" t="str">
        <f t="shared" si="85"/>
        <v>00582</v>
      </c>
      <c r="M583" s="46" t="str">
        <f t="shared" si="86"/>
        <v>25 de septiembre de 2017</v>
      </c>
      <c r="N583" s="318">
        <f t="shared" si="88"/>
        <v>25</v>
      </c>
      <c r="O583" s="24">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59" t="s">
        <v>22</v>
      </c>
      <c r="L584" s="5" t="str">
        <f t="shared" si="85"/>
        <v>00583</v>
      </c>
      <c r="M584" s="46" t="str">
        <f t="shared" si="86"/>
        <v>25 de septiembre de 2017</v>
      </c>
      <c r="N584" s="318">
        <f t="shared" si="88"/>
        <v>25</v>
      </c>
      <c r="O584" s="24">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59" t="s">
        <v>22</v>
      </c>
      <c r="L585" s="5" t="str">
        <f t="shared" si="85"/>
        <v>00584</v>
      </c>
      <c r="M585" s="46" t="str">
        <f t="shared" si="86"/>
        <v>26 de septiembre de 2017</v>
      </c>
      <c r="N585" s="318">
        <f t="shared" si="88"/>
        <v>26</v>
      </c>
      <c r="O585" s="24">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59" t="s">
        <v>22</v>
      </c>
      <c r="L586" s="5" t="str">
        <f t="shared" si="85"/>
        <v>00585</v>
      </c>
      <c r="M586" s="46" t="str">
        <f t="shared" si="86"/>
        <v>29 de septiembre de 2017</v>
      </c>
      <c r="N586" s="318">
        <f t="shared" si="88"/>
        <v>29</v>
      </c>
      <c r="O586" s="24">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59" t="s">
        <v>22</v>
      </c>
      <c r="L587" s="5" t="str">
        <f t="shared" si="85"/>
        <v>00586</v>
      </c>
      <c r="M587" s="46" t="str">
        <f t="shared" si="86"/>
        <v>02 de octubre de 2017</v>
      </c>
      <c r="N587" s="318">
        <f t="shared" si="88"/>
        <v>2</v>
      </c>
      <c r="O587" s="24">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59" t="s">
        <v>22</v>
      </c>
      <c r="L588" s="5" t="str">
        <f t="shared" si="85"/>
        <v>00587</v>
      </c>
      <c r="M588" s="46" t="str">
        <f t="shared" si="86"/>
        <v>02 de octubre de 2017</v>
      </c>
      <c r="N588" s="318">
        <f t="shared" si="88"/>
        <v>2</v>
      </c>
      <c r="O588" s="24">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59" t="s">
        <v>22</v>
      </c>
      <c r="L589" s="5" t="str">
        <f t="shared" si="85"/>
        <v>00588</v>
      </c>
      <c r="M589" s="46" t="str">
        <f t="shared" si="86"/>
        <v>03 de octubre de 2017</v>
      </c>
      <c r="N589" s="318">
        <f t="shared" si="88"/>
        <v>3</v>
      </c>
      <c r="O589" s="24">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59" t="s">
        <v>22</v>
      </c>
      <c r="L590" s="5" t="str">
        <f t="shared" si="85"/>
        <v>00589</v>
      </c>
      <c r="M590" s="46" t="str">
        <f t="shared" si="86"/>
        <v>03 de octubre de 2017</v>
      </c>
      <c r="N590" s="318">
        <f t="shared" si="88"/>
        <v>3</v>
      </c>
      <c r="O590" s="24">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59" t="s">
        <v>22</v>
      </c>
      <c r="L591" s="5" t="str">
        <f t="shared" si="85"/>
        <v>00590</v>
      </c>
      <c r="M591" s="46" t="str">
        <f t="shared" si="86"/>
        <v>03 de octubre de 2017</v>
      </c>
      <c r="N591" s="318">
        <f t="shared" si="88"/>
        <v>3</v>
      </c>
      <c r="O591" s="24">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59" t="s">
        <v>22</v>
      </c>
      <c r="L592" s="5" t="str">
        <f t="shared" si="85"/>
        <v>00591</v>
      </c>
      <c r="M592" s="46" t="str">
        <f t="shared" si="86"/>
        <v>03 de octubre de 2017</v>
      </c>
      <c r="N592" s="318">
        <f t="shared" si="88"/>
        <v>3</v>
      </c>
      <c r="O592" s="24">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59" t="s">
        <v>22</v>
      </c>
      <c r="L593" s="5" t="str">
        <f t="shared" si="85"/>
        <v>00592</v>
      </c>
      <c r="M593" s="46" t="str">
        <f t="shared" si="86"/>
        <v>03 de octubre de 2017</v>
      </c>
      <c r="N593" s="318">
        <f t="shared" si="88"/>
        <v>3</v>
      </c>
      <c r="O593" s="24">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59" t="s">
        <v>22</v>
      </c>
      <c r="L594" s="5" t="str">
        <f t="shared" si="85"/>
        <v>00593</v>
      </c>
      <c r="M594" s="46" t="str">
        <f t="shared" si="86"/>
        <v>04 de octubre de 2017</v>
      </c>
      <c r="N594" s="318">
        <f t="shared" si="88"/>
        <v>4</v>
      </c>
      <c r="O594" s="24">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59" t="s">
        <v>22</v>
      </c>
      <c r="L595" s="5" t="str">
        <f t="shared" si="85"/>
        <v>00594</v>
      </c>
      <c r="M595" s="46" t="str">
        <f t="shared" si="86"/>
        <v>04 de octubre de 2017</v>
      </c>
      <c r="N595" s="318">
        <f t="shared" si="88"/>
        <v>4</v>
      </c>
      <c r="O595" s="24">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59" t="s">
        <v>22</v>
      </c>
      <c r="L596" s="5" t="str">
        <f t="shared" si="85"/>
        <v>00595</v>
      </c>
      <c r="M596" s="46" t="str">
        <f t="shared" si="86"/>
        <v>04 de octubre de 2017</v>
      </c>
      <c r="N596" s="318">
        <f t="shared" si="88"/>
        <v>4</v>
      </c>
      <c r="O596" s="24">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59" t="s">
        <v>22</v>
      </c>
      <c r="L597" s="5" t="str">
        <f t="shared" si="85"/>
        <v>00596</v>
      </c>
      <c r="M597" s="46" t="str">
        <f t="shared" si="86"/>
        <v>04 de octubre de 2017</v>
      </c>
      <c r="N597" s="318">
        <f t="shared" si="88"/>
        <v>4</v>
      </c>
      <c r="O597" s="24">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59" t="s">
        <v>22</v>
      </c>
      <c r="L598" s="5" t="str">
        <f t="shared" si="85"/>
        <v>00597</v>
      </c>
      <c r="M598" s="46" t="str">
        <f t="shared" si="86"/>
        <v>04 de octubre de 2017</v>
      </c>
      <c r="N598" s="318">
        <f t="shared" si="88"/>
        <v>4</v>
      </c>
      <c r="O598" s="24">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59" t="s">
        <v>22</v>
      </c>
      <c r="L599" s="5" t="str">
        <f t="shared" si="85"/>
        <v>00598</v>
      </c>
      <c r="M599" s="46" t="str">
        <f t="shared" si="86"/>
        <v>05 de octubre de 2017</v>
      </c>
      <c r="N599" s="318">
        <f t="shared" si="88"/>
        <v>5</v>
      </c>
      <c r="O599" s="24">
        <f t="shared" si="87"/>
        <v>43009</v>
      </c>
      <c r="P599" s="5" t="str">
        <f t="shared" si="93"/>
        <v>0,35</v>
      </c>
      <c r="Q599" s="4" t="e">
        <f t="shared" ca="1" si="94"/>
        <v>#NAME?</v>
      </c>
    </row>
    <row r="600" spans="1:17">
      <c r="A600" s="175">
        <f t="shared" si="91"/>
        <v>599</v>
      </c>
      <c r="C600" s="8" t="s">
        <v>17</v>
      </c>
      <c r="D600" s="2">
        <v>43013</v>
      </c>
      <c r="E600" s="3">
        <f>35000/100000</f>
        <v>0.35</v>
      </c>
      <c r="F600" t="s">
        <v>438</v>
      </c>
      <c r="G600" t="s">
        <v>439</v>
      </c>
      <c r="H600" t="s">
        <v>440</v>
      </c>
      <c r="I600" s="6" t="s">
        <v>548</v>
      </c>
      <c r="J600" s="59" t="s">
        <v>22</v>
      </c>
      <c r="L600" s="5" t="str">
        <f t="shared" si="85"/>
        <v>00599</v>
      </c>
      <c r="M600" s="46" t="str">
        <f t="shared" si="86"/>
        <v>05 de octubre de 2017</v>
      </c>
      <c r="N600" s="318">
        <f t="shared" si="88"/>
        <v>5</v>
      </c>
      <c r="O600" s="24">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59" t="s">
        <v>22</v>
      </c>
      <c r="L601" s="5" t="str">
        <f t="shared" si="85"/>
        <v>00600</v>
      </c>
      <c r="M601" s="46" t="str">
        <f t="shared" si="86"/>
        <v>20 de septiembre de 2017</v>
      </c>
      <c r="N601" s="318">
        <f t="shared" si="88"/>
        <v>20</v>
      </c>
      <c r="O601" s="24">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59" t="s">
        <v>22</v>
      </c>
      <c r="L602" s="5" t="str">
        <f t="shared" si="85"/>
        <v>00601</v>
      </c>
      <c r="M602" s="46" t="str">
        <f t="shared" si="86"/>
        <v>05 de octubre de 2017</v>
      </c>
      <c r="N602" s="318">
        <f t="shared" si="88"/>
        <v>5</v>
      </c>
      <c r="O602" s="24">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59" t="s">
        <v>22</v>
      </c>
      <c r="L603" s="5" t="str">
        <f t="shared" si="85"/>
        <v>00602</v>
      </c>
      <c r="M603" s="46" t="str">
        <f t="shared" si="86"/>
        <v>06 de octubre de 2017</v>
      </c>
      <c r="N603" s="318">
        <f t="shared" si="88"/>
        <v>6</v>
      </c>
      <c r="O603" s="24">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59" t="s">
        <v>22</v>
      </c>
      <c r="L604" s="5" t="str">
        <f t="shared" si="85"/>
        <v>00603</v>
      </c>
      <c r="M604" s="46" t="str">
        <f t="shared" si="86"/>
        <v>06 de octubre de 2017</v>
      </c>
      <c r="N604" s="318">
        <f t="shared" si="88"/>
        <v>6</v>
      </c>
      <c r="O604" s="24">
        <f t="shared" si="87"/>
        <v>43009</v>
      </c>
      <c r="P604" s="5" t="str">
        <f t="shared" si="95"/>
        <v>0,35</v>
      </c>
      <c r="Q604" s="4" t="e">
        <f t="shared" ca="1" si="96"/>
        <v>#NAME?</v>
      </c>
    </row>
    <row r="605" spans="1:17">
      <c r="A605" s="1">
        <f t="shared" si="91"/>
        <v>604</v>
      </c>
      <c r="C605" s="8" t="s">
        <v>17</v>
      </c>
      <c r="D605" s="2">
        <v>43014</v>
      </c>
      <c r="E605" s="3">
        <f>54000/100000</f>
        <v>0.54</v>
      </c>
      <c r="F605" s="22" t="s">
        <v>422</v>
      </c>
      <c r="G605" s="18" t="s">
        <v>58</v>
      </c>
      <c r="H605" t="s">
        <v>423</v>
      </c>
      <c r="I605" s="6" t="s">
        <v>545</v>
      </c>
      <c r="J605" s="59" t="s">
        <v>22</v>
      </c>
      <c r="L605" s="5" t="str">
        <f t="shared" si="85"/>
        <v>00604</v>
      </c>
      <c r="M605" s="46" t="str">
        <f t="shared" si="86"/>
        <v>06 de octubre de 2017</v>
      </c>
      <c r="N605" s="318">
        <f t="shared" si="88"/>
        <v>6</v>
      </c>
      <c r="O605" s="24">
        <f t="shared" si="87"/>
        <v>43009</v>
      </c>
      <c r="P605" s="5" t="str">
        <f t="shared" si="95"/>
        <v>0,54</v>
      </c>
      <c r="Q605" s="4" t="e">
        <f t="shared" ca="1" si="96"/>
        <v>#NAME?</v>
      </c>
    </row>
    <row r="606" spans="1:17">
      <c r="A606" s="175">
        <f t="shared" si="91"/>
        <v>605</v>
      </c>
      <c r="C606" s="8" t="s">
        <v>225</v>
      </c>
      <c r="D606" s="2">
        <v>43017</v>
      </c>
      <c r="E606" s="3">
        <f>156000/100000</f>
        <v>1.56</v>
      </c>
      <c r="F606" t="s">
        <v>438</v>
      </c>
      <c r="G606" t="s">
        <v>439</v>
      </c>
      <c r="H606" t="s">
        <v>440</v>
      </c>
      <c r="I606" s="6" t="s">
        <v>549</v>
      </c>
      <c r="J606" s="59" t="s">
        <v>227</v>
      </c>
      <c r="L606" s="5" t="str">
        <f t="shared" si="85"/>
        <v>00605</v>
      </c>
      <c r="M606" s="46" t="str">
        <f t="shared" si="86"/>
        <v>09 de octubre de 2017</v>
      </c>
      <c r="N606" s="318">
        <f t="shared" si="88"/>
        <v>9</v>
      </c>
      <c r="O606" s="24">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59" t="s">
        <v>22</v>
      </c>
      <c r="L607" s="5" t="str">
        <f t="shared" si="85"/>
        <v>00606</v>
      </c>
      <c r="M607" s="46" t="str">
        <f t="shared" si="86"/>
        <v>10 de octubre de 2017</v>
      </c>
      <c r="N607" s="318">
        <f t="shared" si="88"/>
        <v>10</v>
      </c>
      <c r="O607" s="24">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59" t="s">
        <v>22</v>
      </c>
      <c r="L608" s="5" t="str">
        <f t="shared" si="85"/>
        <v>00607</v>
      </c>
      <c r="M608" s="46" t="str">
        <f t="shared" si="86"/>
        <v>11 de octubre de 2017</v>
      </c>
      <c r="N608" s="318">
        <f t="shared" si="88"/>
        <v>11</v>
      </c>
      <c r="O608" s="24">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59" t="s">
        <v>22</v>
      </c>
      <c r="L609" s="5" t="str">
        <f t="shared" si="85"/>
        <v>00608</v>
      </c>
      <c r="M609" s="46" t="str">
        <f t="shared" si="86"/>
        <v>11 de octubre de 2017</v>
      </c>
      <c r="N609" s="318">
        <f t="shared" si="88"/>
        <v>11</v>
      </c>
      <c r="O609" s="24">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59" t="s">
        <v>22</v>
      </c>
      <c r="L610" s="5" t="str">
        <f t="shared" si="85"/>
        <v>00609</v>
      </c>
      <c r="M610" s="46" t="str">
        <f t="shared" si="86"/>
        <v>11 de octubre de 2017</v>
      </c>
      <c r="N610" s="318">
        <f t="shared" si="88"/>
        <v>11</v>
      </c>
      <c r="O610" s="24">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59" t="s">
        <v>22</v>
      </c>
      <c r="L611" s="5" t="str">
        <f t="shared" si="85"/>
        <v>00610</v>
      </c>
      <c r="M611" s="46" t="str">
        <f t="shared" si="86"/>
        <v>11 de octubre de 2017</v>
      </c>
      <c r="N611" s="318">
        <f t="shared" si="88"/>
        <v>11</v>
      </c>
      <c r="O611" s="24">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59" t="s">
        <v>22</v>
      </c>
      <c r="L612" s="5" t="str">
        <f t="shared" si="85"/>
        <v>00611</v>
      </c>
      <c r="M612" s="46" t="str">
        <f t="shared" si="86"/>
        <v>12 de octubre de 2017</v>
      </c>
      <c r="N612" s="318">
        <f t="shared" si="88"/>
        <v>12</v>
      </c>
      <c r="O612" s="24">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59" t="s">
        <v>22</v>
      </c>
      <c r="L613" s="5" t="str">
        <f t="shared" si="85"/>
        <v>00612</v>
      </c>
      <c r="M613" s="46" t="str">
        <f t="shared" si="86"/>
        <v>15 de octubre de 2017</v>
      </c>
      <c r="N613" s="318">
        <f t="shared" si="88"/>
        <v>15</v>
      </c>
      <c r="O613" s="24">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59" t="s">
        <v>22</v>
      </c>
      <c r="L614" s="5" t="str">
        <f t="shared" si="85"/>
        <v>00613</v>
      </c>
      <c r="M614" s="46" t="str">
        <f t="shared" si="86"/>
        <v>15 de octubre de 2017</v>
      </c>
      <c r="N614" s="318">
        <f t="shared" si="88"/>
        <v>15</v>
      </c>
      <c r="O614" s="24">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59" t="s">
        <v>22</v>
      </c>
      <c r="L615" s="5" t="str">
        <f t="shared" si="85"/>
        <v>00614</v>
      </c>
      <c r="M615" s="46" t="str">
        <f t="shared" si="86"/>
        <v>14 de octubre de 2017</v>
      </c>
      <c r="N615" s="318">
        <f t="shared" si="88"/>
        <v>14</v>
      </c>
      <c r="O615" s="24">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59" t="s">
        <v>22</v>
      </c>
      <c r="L616" s="5" t="str">
        <f t="shared" si="85"/>
        <v>00615</v>
      </c>
      <c r="M616" s="46" t="str">
        <f t="shared" si="86"/>
        <v>16 de octubre de 2017</v>
      </c>
      <c r="N616" s="318">
        <f t="shared" si="88"/>
        <v>16</v>
      </c>
      <c r="O616" s="24">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59" t="s">
        <v>22</v>
      </c>
      <c r="L617" s="5" t="str">
        <f t="shared" si="85"/>
        <v>00616</v>
      </c>
      <c r="M617" s="46" t="str">
        <f t="shared" si="86"/>
        <v>16 de octubre de 2017</v>
      </c>
      <c r="N617" s="318">
        <f t="shared" si="88"/>
        <v>16</v>
      </c>
      <c r="O617" s="24">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59" t="s">
        <v>22</v>
      </c>
      <c r="L618" s="5" t="str">
        <f t="shared" si="85"/>
        <v>00617</v>
      </c>
      <c r="M618" s="46" t="str">
        <f t="shared" si="86"/>
        <v>16 de octubre de 2017</v>
      </c>
      <c r="N618" s="318">
        <f t="shared" si="88"/>
        <v>16</v>
      </c>
      <c r="O618" s="24">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59" t="s">
        <v>22</v>
      </c>
      <c r="L619" s="5" t="str">
        <f t="shared" si="85"/>
        <v>00618</v>
      </c>
      <c r="M619" s="46" t="str">
        <f t="shared" si="86"/>
        <v>16 de octubre de 2017</v>
      </c>
      <c r="N619" s="318">
        <f t="shared" si="88"/>
        <v>16</v>
      </c>
      <c r="O619" s="24">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59" t="s">
        <v>22</v>
      </c>
      <c r="L620" s="5" t="str">
        <f t="shared" si="85"/>
        <v>00619</v>
      </c>
      <c r="M620" s="46" t="str">
        <f t="shared" si="86"/>
        <v>18 de octubre de 2017</v>
      </c>
      <c r="N620" s="318">
        <f t="shared" si="88"/>
        <v>18</v>
      </c>
      <c r="O620" s="24">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59" t="s">
        <v>22</v>
      </c>
      <c r="L621" s="5" t="str">
        <f t="shared" si="85"/>
        <v>00620</v>
      </c>
      <c r="M621" s="46" t="str">
        <f t="shared" si="86"/>
        <v>18 de octubre de 2017</v>
      </c>
      <c r="N621" s="318">
        <f t="shared" si="88"/>
        <v>18</v>
      </c>
      <c r="O621" s="24">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59" t="s">
        <v>22</v>
      </c>
      <c r="L622" s="5" t="str">
        <f t="shared" si="85"/>
        <v>00621</v>
      </c>
      <c r="M622" s="46" t="str">
        <f t="shared" si="86"/>
        <v>19 de octubre de 2017</v>
      </c>
      <c r="N622" s="318">
        <f t="shared" si="88"/>
        <v>19</v>
      </c>
      <c r="O622" s="24">
        <f t="shared" si="87"/>
        <v>43009</v>
      </c>
      <c r="P622" s="5" t="str">
        <f t="shared" si="97"/>
        <v>0,35</v>
      </c>
      <c r="Q622" s="4" t="e">
        <f t="shared" ca="1" si="98"/>
        <v>#NAME?</v>
      </c>
    </row>
    <row r="623" spans="1:17">
      <c r="A623" s="1">
        <f t="shared" si="91"/>
        <v>622</v>
      </c>
      <c r="C623" s="8" t="s">
        <v>17</v>
      </c>
      <c r="D623" s="2">
        <v>43028</v>
      </c>
      <c r="E623" s="3">
        <f>40000/100000</f>
        <v>0.4</v>
      </c>
      <c r="F623" s="19" t="s">
        <v>57</v>
      </c>
      <c r="G623" s="18" t="s">
        <v>58</v>
      </c>
      <c r="H623" s="20" t="s">
        <v>59</v>
      </c>
      <c r="I623" s="6" t="s">
        <v>545</v>
      </c>
      <c r="J623" s="59" t="s">
        <v>22</v>
      </c>
      <c r="K623" s="21"/>
      <c r="L623" s="5" t="str">
        <f t="shared" si="85"/>
        <v>00622</v>
      </c>
      <c r="M623" s="46" t="str">
        <f t="shared" si="86"/>
        <v>20 de octubre de 2017</v>
      </c>
      <c r="N623" s="318">
        <f t="shared" si="88"/>
        <v>20</v>
      </c>
      <c r="O623" s="24">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59" t="s">
        <v>22</v>
      </c>
      <c r="L624" s="5" t="str">
        <f t="shared" si="85"/>
        <v>00623</v>
      </c>
      <c r="M624" s="46" t="str">
        <f t="shared" si="86"/>
        <v>21 de octubre de 2017</v>
      </c>
      <c r="N624" s="318">
        <f t="shared" si="88"/>
        <v>21</v>
      </c>
      <c r="O624" s="24">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59" t="s">
        <v>22</v>
      </c>
      <c r="L625" s="5" t="str">
        <f t="shared" si="85"/>
        <v>00624</v>
      </c>
      <c r="M625" s="46" t="str">
        <f t="shared" si="86"/>
        <v>21 de octubre de 2017</v>
      </c>
      <c r="N625" s="318">
        <f t="shared" si="88"/>
        <v>21</v>
      </c>
      <c r="O625" s="24">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59" t="s">
        <v>22</v>
      </c>
      <c r="L626" s="5" t="str">
        <f t="shared" si="85"/>
        <v>00625</v>
      </c>
      <c r="M626" s="46" t="str">
        <f t="shared" si="86"/>
        <v>21 de octubre de 2017</v>
      </c>
      <c r="N626" s="318">
        <f t="shared" si="88"/>
        <v>21</v>
      </c>
      <c r="O626" s="24">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59" t="s">
        <v>22</v>
      </c>
      <c r="L627" s="5" t="str">
        <f t="shared" si="85"/>
        <v>00626</v>
      </c>
      <c r="M627" s="46" t="str">
        <f t="shared" si="86"/>
        <v>23 de octubre de 2017</v>
      </c>
      <c r="N627" s="318">
        <f t="shared" si="88"/>
        <v>23</v>
      </c>
      <c r="O627" s="24">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59" t="s">
        <v>22</v>
      </c>
      <c r="L628" s="5" t="str">
        <f t="shared" si="85"/>
        <v>00627</v>
      </c>
      <c r="M628" s="46" t="str">
        <f t="shared" si="86"/>
        <v>23 de octubre de 2017</v>
      </c>
      <c r="N628" s="318">
        <f t="shared" si="88"/>
        <v>23</v>
      </c>
      <c r="O628" s="24">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59" t="s">
        <v>22</v>
      </c>
      <c r="L629" s="5" t="str">
        <f t="shared" si="85"/>
        <v>00628</v>
      </c>
      <c r="M629" s="46" t="str">
        <f t="shared" si="86"/>
        <v>23 de octubre de 2017</v>
      </c>
      <c r="N629" s="318">
        <f t="shared" si="88"/>
        <v>23</v>
      </c>
      <c r="O629" s="24">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59" t="s">
        <v>22</v>
      </c>
      <c r="L630" s="5" t="str">
        <f t="shared" si="85"/>
        <v>00629</v>
      </c>
      <c r="M630" s="46" t="str">
        <f t="shared" si="86"/>
        <v>23 de octubre de 2017</v>
      </c>
      <c r="N630" s="318">
        <f t="shared" si="88"/>
        <v>23</v>
      </c>
      <c r="O630" s="24">
        <f t="shared" si="87"/>
        <v>43009</v>
      </c>
      <c r="P630" s="5" t="str">
        <f t="shared" si="97"/>
        <v>0,70</v>
      </c>
      <c r="Q630" s="4" t="e">
        <f t="shared" ca="1" si="98"/>
        <v>#NAME?</v>
      </c>
    </row>
    <row r="631" spans="1:17">
      <c r="A631" s="1">
        <f t="shared" si="91"/>
        <v>630</v>
      </c>
      <c r="C631" s="8" t="s">
        <v>17</v>
      </c>
      <c r="D631" s="2">
        <v>43031</v>
      </c>
      <c r="E631" s="3">
        <f>70000/100000</f>
        <v>0.7</v>
      </c>
      <c r="F631" t="s">
        <v>239</v>
      </c>
      <c r="G631" s="71" t="s">
        <v>240</v>
      </c>
      <c r="H631" t="s">
        <v>241</v>
      </c>
      <c r="I631" s="6" t="s">
        <v>529</v>
      </c>
      <c r="J631" s="59" t="s">
        <v>22</v>
      </c>
      <c r="L631" s="5" t="str">
        <f t="shared" si="85"/>
        <v>00630</v>
      </c>
      <c r="M631" s="46" t="str">
        <f t="shared" si="86"/>
        <v>23 de octubre de 2017</v>
      </c>
      <c r="N631" s="318">
        <f t="shared" si="88"/>
        <v>23</v>
      </c>
      <c r="O631" s="24">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59" t="s">
        <v>22</v>
      </c>
      <c r="L632" s="5" t="str">
        <f t="shared" si="85"/>
        <v>00631</v>
      </c>
      <c r="M632" s="46" t="str">
        <f t="shared" si="86"/>
        <v>25 de octubre de 2017</v>
      </c>
      <c r="N632" s="318">
        <f t="shared" si="88"/>
        <v>25</v>
      </c>
      <c r="O632" s="24">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59" t="s">
        <v>22</v>
      </c>
      <c r="L633" s="5" t="str">
        <f t="shared" si="85"/>
        <v>00632</v>
      </c>
      <c r="M633" s="46" t="str">
        <f t="shared" si="86"/>
        <v>26 de octubre de 2017</v>
      </c>
      <c r="N633" s="318">
        <f t="shared" si="88"/>
        <v>26</v>
      </c>
      <c r="O633" s="24">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59" t="s">
        <v>22</v>
      </c>
      <c r="L634" s="5" t="str">
        <f t="shared" si="85"/>
        <v>00633</v>
      </c>
      <c r="M634" s="46" t="str">
        <f t="shared" si="86"/>
        <v>27 de octubre de 2017</v>
      </c>
      <c r="N634" s="318">
        <f t="shared" si="88"/>
        <v>27</v>
      </c>
      <c r="O634" s="24">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59" t="s">
        <v>22</v>
      </c>
      <c r="L635" s="5" t="str">
        <f t="shared" si="85"/>
        <v>00634</v>
      </c>
      <c r="M635" s="46" t="str">
        <f t="shared" si="86"/>
        <v>27 de octubre de 2017</v>
      </c>
      <c r="N635" s="318">
        <f t="shared" si="88"/>
        <v>27</v>
      </c>
      <c r="O635" s="24">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59" t="s">
        <v>22</v>
      </c>
      <c r="L636" s="5" t="str">
        <f t="shared" si="85"/>
        <v>00635</v>
      </c>
      <c r="M636" s="46" t="str">
        <f t="shared" si="86"/>
        <v>27 de octubre de 2017</v>
      </c>
      <c r="N636" s="318">
        <f t="shared" si="88"/>
        <v>27</v>
      </c>
      <c r="O636" s="24">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59" t="s">
        <v>22</v>
      </c>
      <c r="L637" s="5" t="str">
        <f t="shared" si="85"/>
        <v>00636</v>
      </c>
      <c r="M637" s="46" t="str">
        <f t="shared" si="86"/>
        <v>29 de octubre de 2017</v>
      </c>
      <c r="N637" s="318">
        <f t="shared" si="88"/>
        <v>29</v>
      </c>
      <c r="O637" s="24">
        <f t="shared" si="87"/>
        <v>43009</v>
      </c>
      <c r="P637" s="5" t="str">
        <f t="shared" si="97"/>
        <v>0,60</v>
      </c>
      <c r="Q637" s="4" t="e">
        <f t="shared" ca="1" si="98"/>
        <v>#NAME?</v>
      </c>
    </row>
    <row r="638" spans="1:17">
      <c r="A638" s="1">
        <f t="shared" si="91"/>
        <v>637</v>
      </c>
      <c r="C638" s="8" t="s">
        <v>17</v>
      </c>
      <c r="D638" s="2">
        <v>43038</v>
      </c>
      <c r="E638" s="3">
        <f>20000/100000</f>
        <v>0.2</v>
      </c>
      <c r="F638" t="s">
        <v>397</v>
      </c>
      <c r="G638" s="47" t="s">
        <v>29</v>
      </c>
      <c r="H638" t="s">
        <v>398</v>
      </c>
      <c r="I638" s="6" t="s">
        <v>546</v>
      </c>
      <c r="J638" s="59" t="s">
        <v>22</v>
      </c>
      <c r="L638" s="5" t="str">
        <f t="shared" si="85"/>
        <v>00637</v>
      </c>
      <c r="M638" s="46" t="str">
        <f t="shared" si="86"/>
        <v>30 de octubre de 2017</v>
      </c>
      <c r="N638" s="318">
        <f t="shared" si="88"/>
        <v>30</v>
      </c>
      <c r="O638" s="24">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59" t="s">
        <v>22</v>
      </c>
      <c r="L639" s="5" t="str">
        <f t="shared" si="85"/>
        <v>00638</v>
      </c>
      <c r="M639" s="46" t="str">
        <f t="shared" si="86"/>
        <v>30 de octubre de 2017</v>
      </c>
      <c r="N639" s="318">
        <f t="shared" si="88"/>
        <v>30</v>
      </c>
      <c r="O639" s="24">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59" t="s">
        <v>22</v>
      </c>
      <c r="L640" s="5" t="str">
        <f t="shared" si="85"/>
        <v>00639</v>
      </c>
      <c r="M640" s="46" t="str">
        <f t="shared" si="86"/>
        <v>31 de octubre de 2017</v>
      </c>
      <c r="N640" s="318">
        <f t="shared" si="88"/>
        <v>31</v>
      </c>
      <c r="O640" s="24">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59" t="s">
        <v>22</v>
      </c>
      <c r="L641" s="5" t="str">
        <f t="shared" si="85"/>
        <v>00640</v>
      </c>
      <c r="M641" s="46" t="str">
        <f t="shared" si="86"/>
        <v>19 de octubre de 2017</v>
      </c>
      <c r="N641" s="318">
        <f t="shared" si="88"/>
        <v>19</v>
      </c>
      <c r="O641" s="24">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59" t="s">
        <v>22</v>
      </c>
      <c r="L642" s="5" t="str">
        <f t="shared" ref="L642:L705" si="99">IF(ISBLANK(A642),"",TEXT(A642,"00000"))</f>
        <v>00641</v>
      </c>
      <c r="M642" s="46" t="str">
        <f t="shared" ref="M642:M705" si="100">IF(ISBLANK(D642),"",TEXT(D642,"dd")&amp;" de "&amp;TEXT(D642,"mmmm")&amp;" de "&amp;TEXT(YEAR(D642),"0"))</f>
        <v>01 de noviembre de 2017</v>
      </c>
      <c r="N642" s="318">
        <f t="shared" si="88"/>
        <v>1</v>
      </c>
      <c r="O642" s="24">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59" t="s">
        <v>22</v>
      </c>
      <c r="L643" s="5" t="str">
        <f t="shared" si="99"/>
        <v>00642</v>
      </c>
      <c r="M643" s="46" t="str">
        <f t="shared" si="100"/>
        <v>01 de noviembre de 2017</v>
      </c>
      <c r="N643" s="318">
        <f t="shared" ref="N643:N706" si="102">DAY(D643)</f>
        <v>1</v>
      </c>
      <c r="O643" s="24">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59" t="s">
        <v>22</v>
      </c>
      <c r="L644" s="5" t="str">
        <f t="shared" si="99"/>
        <v>00643</v>
      </c>
      <c r="M644" s="46" t="str">
        <f t="shared" si="100"/>
        <v>02 de noviembre de 2017</v>
      </c>
      <c r="N644" s="318">
        <f t="shared" si="102"/>
        <v>2</v>
      </c>
      <c r="O644" s="24">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59" t="s">
        <v>22</v>
      </c>
      <c r="L645" s="5" t="str">
        <f t="shared" si="99"/>
        <v>00644</v>
      </c>
      <c r="M645" s="46" t="str">
        <f t="shared" si="100"/>
        <v>01 de noviembre de 2017</v>
      </c>
      <c r="N645" s="318">
        <f t="shared" si="102"/>
        <v>1</v>
      </c>
      <c r="O645" s="24">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59" t="s">
        <v>22</v>
      </c>
      <c r="L646" s="5" t="str">
        <f t="shared" si="99"/>
        <v>00645</v>
      </c>
      <c r="M646" s="46" t="str">
        <f t="shared" si="100"/>
        <v>02 de noviembre de 2017</v>
      </c>
      <c r="N646" s="318">
        <f t="shared" si="102"/>
        <v>2</v>
      </c>
      <c r="O646" s="24">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59" t="s">
        <v>22</v>
      </c>
      <c r="L647" s="5" t="str">
        <f t="shared" si="99"/>
        <v>00646</v>
      </c>
      <c r="M647" s="46" t="str">
        <f t="shared" si="100"/>
        <v>02 de noviembre de 2017</v>
      </c>
      <c r="N647" s="318">
        <f t="shared" si="102"/>
        <v>2</v>
      </c>
      <c r="O647" s="24">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59" t="s">
        <v>22</v>
      </c>
      <c r="L648" s="5" t="str">
        <f t="shared" si="99"/>
        <v>00647</v>
      </c>
      <c r="M648" s="46" t="str">
        <f t="shared" si="100"/>
        <v>02 de noviembre de 2017</v>
      </c>
      <c r="N648" s="318">
        <f t="shared" si="102"/>
        <v>2</v>
      </c>
      <c r="O648" s="24">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59" t="s">
        <v>22</v>
      </c>
      <c r="L649" s="5" t="str">
        <f t="shared" si="99"/>
        <v>00648</v>
      </c>
      <c r="M649" s="46" t="str">
        <f t="shared" si="100"/>
        <v>02 de noviembre de 2017</v>
      </c>
      <c r="N649" s="318">
        <f t="shared" si="102"/>
        <v>2</v>
      </c>
      <c r="O649" s="24">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59" t="s">
        <v>22</v>
      </c>
      <c r="L650" s="5" t="str">
        <f t="shared" si="99"/>
        <v>00649</v>
      </c>
      <c r="M650" s="46" t="str">
        <f t="shared" si="100"/>
        <v>03 de noviembre de 2017</v>
      </c>
      <c r="N650" s="318">
        <f t="shared" si="102"/>
        <v>3</v>
      </c>
      <c r="O650" s="24">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59" t="s">
        <v>22</v>
      </c>
      <c r="L651" s="5" t="str">
        <f t="shared" si="99"/>
        <v>00650</v>
      </c>
      <c r="M651" s="46" t="str">
        <f t="shared" si="100"/>
        <v>04 de noviembre de 2017</v>
      </c>
      <c r="N651" s="318">
        <f t="shared" si="102"/>
        <v>4</v>
      </c>
      <c r="O651" s="24">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59" t="s">
        <v>22</v>
      </c>
      <c r="L652" s="5" t="str">
        <f t="shared" si="99"/>
        <v>00651</v>
      </c>
      <c r="M652" s="46" t="str">
        <f t="shared" si="100"/>
        <v>08 de noviembre de 2017</v>
      </c>
      <c r="N652" s="318">
        <f t="shared" si="102"/>
        <v>8</v>
      </c>
      <c r="O652" s="24">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59" t="s">
        <v>22</v>
      </c>
      <c r="L653" s="5" t="str">
        <f t="shared" si="99"/>
        <v>00652</v>
      </c>
      <c r="M653" s="46" t="str">
        <f t="shared" si="100"/>
        <v>07 de noviembre de 2017</v>
      </c>
      <c r="N653" s="318">
        <f t="shared" si="102"/>
        <v>7</v>
      </c>
      <c r="O653" s="24">
        <f t="shared" si="101"/>
        <v>43040</v>
      </c>
      <c r="P653" s="5" t="str">
        <f t="shared" si="104"/>
        <v>0,50</v>
      </c>
      <c r="Q653" s="4" t="e">
        <f t="shared" ca="1" si="105"/>
        <v>#NAME?</v>
      </c>
    </row>
    <row r="654" spans="1:17">
      <c r="A654" s="175">
        <f t="shared" si="103"/>
        <v>653</v>
      </c>
      <c r="C654" s="8" t="s">
        <v>17</v>
      </c>
      <c r="D654" s="2">
        <v>43046</v>
      </c>
      <c r="E654" s="3">
        <f>50000/100000</f>
        <v>0.5</v>
      </c>
      <c r="F654" t="s">
        <v>438</v>
      </c>
      <c r="G654" t="s">
        <v>439</v>
      </c>
      <c r="H654" t="s">
        <v>440</v>
      </c>
      <c r="I654" s="6" t="s">
        <v>565</v>
      </c>
      <c r="J654" s="59" t="s">
        <v>22</v>
      </c>
      <c r="L654" s="5" t="str">
        <f t="shared" si="99"/>
        <v>00653</v>
      </c>
      <c r="M654" s="46" t="str">
        <f t="shared" si="100"/>
        <v>07 de noviembre de 2017</v>
      </c>
      <c r="N654" s="318">
        <f t="shared" si="102"/>
        <v>7</v>
      </c>
      <c r="O654" s="24">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59" t="s">
        <v>22</v>
      </c>
      <c r="L655" s="5" t="str">
        <f t="shared" si="99"/>
        <v>00654</v>
      </c>
      <c r="M655" s="46" t="str">
        <f t="shared" si="100"/>
        <v>08 de noviembre de 2017</v>
      </c>
      <c r="N655" s="318">
        <f t="shared" si="102"/>
        <v>8</v>
      </c>
      <c r="O655" s="24">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59" t="s">
        <v>22</v>
      </c>
      <c r="L656" s="5" t="str">
        <f t="shared" si="99"/>
        <v>00655</v>
      </c>
      <c r="M656" s="46" t="str">
        <f t="shared" si="100"/>
        <v>10 de noviembre de 2017</v>
      </c>
      <c r="N656" s="318">
        <f t="shared" si="102"/>
        <v>10</v>
      </c>
      <c r="O656" s="24">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59" t="s">
        <v>22</v>
      </c>
      <c r="L657" s="5" t="str">
        <f t="shared" si="99"/>
        <v>00656</v>
      </c>
      <c r="M657" s="46" t="str">
        <f t="shared" si="100"/>
        <v>09 de noviembre de 2017</v>
      </c>
      <c r="N657" s="318">
        <f t="shared" si="102"/>
        <v>9</v>
      </c>
      <c r="O657" s="24">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59" t="s">
        <v>22</v>
      </c>
      <c r="L658" s="5" t="str">
        <f t="shared" si="99"/>
        <v>00657</v>
      </c>
      <c r="M658" s="46" t="str">
        <f t="shared" si="100"/>
        <v>09 de noviembre de 2017</v>
      </c>
      <c r="N658" s="318">
        <f t="shared" si="102"/>
        <v>9</v>
      </c>
      <c r="O658" s="24">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59" t="s">
        <v>22</v>
      </c>
      <c r="L659" s="5" t="str">
        <f t="shared" si="99"/>
        <v>00658</v>
      </c>
      <c r="M659" s="46" t="str">
        <f t="shared" si="100"/>
        <v>10 de noviembre de 2017</v>
      </c>
      <c r="N659" s="318">
        <f t="shared" si="102"/>
        <v>10</v>
      </c>
      <c r="O659" s="24">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59" t="s">
        <v>22</v>
      </c>
      <c r="L660" s="5" t="str">
        <f t="shared" si="99"/>
        <v>00659</v>
      </c>
      <c r="M660" s="46" t="str">
        <f t="shared" si="100"/>
        <v>10 de noviembre de 2017</v>
      </c>
      <c r="N660" s="318">
        <f t="shared" si="102"/>
        <v>10</v>
      </c>
      <c r="O660" s="24">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59" t="s">
        <v>22</v>
      </c>
      <c r="L661" s="5" t="str">
        <f t="shared" si="99"/>
        <v>00660</v>
      </c>
      <c r="M661" s="46" t="str">
        <f t="shared" si="100"/>
        <v>11 de noviembre de 2017</v>
      </c>
      <c r="N661" s="318">
        <f t="shared" si="102"/>
        <v>11</v>
      </c>
      <c r="O661" s="24">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59" t="s">
        <v>22</v>
      </c>
      <c r="L662" s="5" t="str">
        <f t="shared" si="99"/>
        <v>00661</v>
      </c>
      <c r="M662" s="46" t="str">
        <f t="shared" si="100"/>
        <v>11 de noviembre de 2017</v>
      </c>
      <c r="N662" s="318">
        <f t="shared" si="102"/>
        <v>11</v>
      </c>
      <c r="O662" s="24">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59" t="s">
        <v>22</v>
      </c>
      <c r="L663" s="5" t="str">
        <f t="shared" si="99"/>
        <v>00662</v>
      </c>
      <c r="M663" s="46" t="str">
        <f t="shared" si="100"/>
        <v>12 de noviembre de 2017</v>
      </c>
      <c r="N663" s="318">
        <f t="shared" si="102"/>
        <v>12</v>
      </c>
      <c r="O663" s="24">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59" t="s">
        <v>22</v>
      </c>
      <c r="L664" s="5" t="str">
        <f t="shared" si="99"/>
        <v>00663</v>
      </c>
      <c r="M664" s="46" t="str">
        <f t="shared" si="100"/>
        <v>12 de noviembre de 2017</v>
      </c>
      <c r="N664" s="318">
        <f t="shared" si="102"/>
        <v>12</v>
      </c>
      <c r="O664" s="24">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59" t="s">
        <v>22</v>
      </c>
      <c r="L665" s="5" t="str">
        <f t="shared" si="99"/>
        <v>00664</v>
      </c>
      <c r="M665" s="46" t="str">
        <f t="shared" si="100"/>
        <v>14 de noviembre de 2017</v>
      </c>
      <c r="N665" s="318">
        <f t="shared" si="102"/>
        <v>14</v>
      </c>
      <c r="O665" s="24">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59" t="s">
        <v>22</v>
      </c>
      <c r="L666" s="5" t="str">
        <f t="shared" si="99"/>
        <v>00665</v>
      </c>
      <c r="M666" s="46" t="str">
        <f t="shared" si="100"/>
        <v>13 de noviembre de 2017</v>
      </c>
      <c r="N666" s="318">
        <f t="shared" si="102"/>
        <v>13</v>
      </c>
      <c r="O666" s="24">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59" t="s">
        <v>22</v>
      </c>
      <c r="L667" s="5" t="str">
        <f t="shared" si="99"/>
        <v>00666</v>
      </c>
      <c r="M667" s="46" t="str">
        <f t="shared" si="100"/>
        <v>09 de noviembre de 2017</v>
      </c>
      <c r="N667" s="318">
        <f t="shared" si="102"/>
        <v>9</v>
      </c>
      <c r="O667" s="24">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59" t="s">
        <v>22</v>
      </c>
      <c r="L668" s="5" t="str">
        <f t="shared" si="99"/>
        <v>00667</v>
      </c>
      <c r="M668" s="46" t="str">
        <f t="shared" si="100"/>
        <v>14 de noviembre de 2017</v>
      </c>
      <c r="N668" s="318">
        <f t="shared" si="102"/>
        <v>14</v>
      </c>
      <c r="O668" s="24">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59" t="s">
        <v>22</v>
      </c>
      <c r="L669" s="5" t="str">
        <f t="shared" si="99"/>
        <v>00668</v>
      </c>
      <c r="M669" s="46" t="str">
        <f t="shared" si="100"/>
        <v>14 de noviembre de 2017</v>
      </c>
      <c r="N669" s="318">
        <f t="shared" si="102"/>
        <v>14</v>
      </c>
      <c r="O669" s="24">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59" t="s">
        <v>22</v>
      </c>
      <c r="L670" s="5" t="str">
        <f t="shared" si="99"/>
        <v>00669</v>
      </c>
      <c r="M670" s="46" t="str">
        <f t="shared" si="100"/>
        <v>14 de noviembre de 2017</v>
      </c>
      <c r="N670" s="318">
        <f t="shared" si="102"/>
        <v>14</v>
      </c>
      <c r="O670" s="24">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59" t="s">
        <v>22</v>
      </c>
      <c r="L671" s="5" t="str">
        <f t="shared" si="99"/>
        <v>00670</v>
      </c>
      <c r="M671" s="46" t="str">
        <f t="shared" si="100"/>
        <v>15 de noviembre de 2017</v>
      </c>
      <c r="N671" s="318">
        <f t="shared" si="102"/>
        <v>15</v>
      </c>
      <c r="O671" s="24">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59" t="s">
        <v>22</v>
      </c>
      <c r="L672" s="5" t="str">
        <f t="shared" si="99"/>
        <v>00671</v>
      </c>
      <c r="M672" s="46" t="str">
        <f t="shared" si="100"/>
        <v>15 de noviembre de 2017</v>
      </c>
      <c r="N672" s="318">
        <f t="shared" si="102"/>
        <v>15</v>
      </c>
      <c r="O672" s="24">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59" t="s">
        <v>22</v>
      </c>
      <c r="L673" s="5" t="str">
        <f t="shared" si="99"/>
        <v>00672</v>
      </c>
      <c r="M673" s="46" t="str">
        <f t="shared" si="100"/>
        <v>15 de noviembre de 2017</v>
      </c>
      <c r="N673" s="318">
        <f t="shared" si="102"/>
        <v>15</v>
      </c>
      <c r="O673" s="24">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59" t="s">
        <v>22</v>
      </c>
      <c r="L674" s="5" t="str">
        <f t="shared" si="99"/>
        <v>00673</v>
      </c>
      <c r="M674" s="46" t="str">
        <f t="shared" si="100"/>
        <v>10 de noviembre de 2017</v>
      </c>
      <c r="N674" s="318">
        <f t="shared" si="102"/>
        <v>10</v>
      </c>
      <c r="O674" s="24">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59" t="s">
        <v>22</v>
      </c>
      <c r="L675" s="5" t="str">
        <f t="shared" si="99"/>
        <v>00674</v>
      </c>
      <c r="M675" s="46" t="str">
        <f t="shared" si="100"/>
        <v>15 de noviembre de 2017</v>
      </c>
      <c r="N675" s="318">
        <f t="shared" si="102"/>
        <v>15</v>
      </c>
      <c r="O675" s="24">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1" t="s">
        <v>240</v>
      </c>
      <c r="H676" t="s">
        <v>241</v>
      </c>
      <c r="I676" s="6" t="s">
        <v>567</v>
      </c>
      <c r="J676" s="59" t="s">
        <v>22</v>
      </c>
      <c r="L676" s="5" t="str">
        <f t="shared" si="99"/>
        <v>00675</v>
      </c>
      <c r="M676" s="46" t="str">
        <f t="shared" si="100"/>
        <v>15 de noviembre de 2017</v>
      </c>
      <c r="N676" s="318">
        <f t="shared" si="102"/>
        <v>15</v>
      </c>
      <c r="O676" s="24">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59" t="s">
        <v>22</v>
      </c>
      <c r="L677" s="5" t="str">
        <f t="shared" si="99"/>
        <v>00676</v>
      </c>
      <c r="M677" s="46" t="str">
        <f t="shared" si="100"/>
        <v>15 de noviembre de 2017</v>
      </c>
      <c r="N677" s="318">
        <f t="shared" si="102"/>
        <v>15</v>
      </c>
      <c r="O677" s="24">
        <f t="shared" si="101"/>
        <v>43040</v>
      </c>
      <c r="P677" s="5" t="str">
        <f t="shared" si="104"/>
        <v>0,50</v>
      </c>
      <c r="Q677" s="4" t="e">
        <f t="shared" ca="1" si="105"/>
        <v>#NAME?</v>
      </c>
    </row>
    <row r="678" spans="1:17">
      <c r="A678" s="1">
        <f t="shared" si="103"/>
        <v>677</v>
      </c>
      <c r="C678" s="8" t="s">
        <v>17</v>
      </c>
      <c r="D678" s="2">
        <v>43055</v>
      </c>
      <c r="E678" s="3">
        <f>54000/100000</f>
        <v>0.54</v>
      </c>
      <c r="F678" s="19" t="s">
        <v>57</v>
      </c>
      <c r="G678" s="18" t="s">
        <v>58</v>
      </c>
      <c r="H678" s="20" t="s">
        <v>59</v>
      </c>
      <c r="I678" s="6" t="s">
        <v>561</v>
      </c>
      <c r="J678" s="59" t="s">
        <v>22</v>
      </c>
      <c r="K678" s="21"/>
      <c r="L678" s="5" t="str">
        <f t="shared" si="99"/>
        <v>00677</v>
      </c>
      <c r="M678" s="46" t="str">
        <f t="shared" si="100"/>
        <v>16 de noviembre de 2017</v>
      </c>
      <c r="N678" s="318">
        <f t="shared" si="102"/>
        <v>16</v>
      </c>
      <c r="O678" s="24">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59" t="s">
        <v>22</v>
      </c>
      <c r="L679" s="5" t="str">
        <f t="shared" si="99"/>
        <v>00678</v>
      </c>
      <c r="M679" s="46" t="str">
        <f t="shared" si="100"/>
        <v>16 de noviembre de 2017</v>
      </c>
      <c r="N679" s="318">
        <f t="shared" si="102"/>
        <v>16</v>
      </c>
      <c r="O679" s="24">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59" t="s">
        <v>22</v>
      </c>
      <c r="L680" s="5" t="str">
        <f t="shared" si="99"/>
        <v>00679</v>
      </c>
      <c r="M680" s="46" t="str">
        <f t="shared" si="100"/>
        <v>17 de noviembre de 2017</v>
      </c>
      <c r="N680" s="318">
        <f t="shared" si="102"/>
        <v>17</v>
      </c>
      <c r="O680" s="24">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59" t="s">
        <v>22</v>
      </c>
      <c r="L681" s="5" t="str">
        <f t="shared" si="99"/>
        <v>00680</v>
      </c>
      <c r="M681" s="46" t="str">
        <f t="shared" si="100"/>
        <v>17 de noviembre de 2017</v>
      </c>
      <c r="N681" s="318">
        <f t="shared" si="102"/>
        <v>17</v>
      </c>
      <c r="O681" s="24">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59" t="s">
        <v>22</v>
      </c>
      <c r="L682" s="5" t="str">
        <f t="shared" si="99"/>
        <v>00681</v>
      </c>
      <c r="M682" s="46" t="str">
        <f t="shared" si="100"/>
        <v>17 de noviembre de 2017</v>
      </c>
      <c r="N682" s="318">
        <f t="shared" si="102"/>
        <v>17</v>
      </c>
      <c r="O682" s="24">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59" t="s">
        <v>22</v>
      </c>
      <c r="L683" s="5" t="str">
        <f t="shared" si="99"/>
        <v>00682</v>
      </c>
      <c r="M683" s="46" t="str">
        <f t="shared" si="100"/>
        <v>17 de noviembre de 2017</v>
      </c>
      <c r="N683" s="318">
        <f t="shared" si="102"/>
        <v>17</v>
      </c>
      <c r="O683" s="24">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59" t="s">
        <v>22</v>
      </c>
      <c r="L684" s="5" t="str">
        <f t="shared" si="99"/>
        <v>00683</v>
      </c>
      <c r="M684" s="46" t="str">
        <f t="shared" si="100"/>
        <v>17 de noviembre de 2017</v>
      </c>
      <c r="N684" s="318">
        <f t="shared" si="102"/>
        <v>17</v>
      </c>
      <c r="O684" s="24">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59" t="s">
        <v>22</v>
      </c>
      <c r="L685" s="5" t="str">
        <f t="shared" si="99"/>
        <v>00684</v>
      </c>
      <c r="M685" s="46" t="str">
        <f t="shared" si="100"/>
        <v>19 de noviembre de 2017</v>
      </c>
      <c r="N685" s="318">
        <f t="shared" si="102"/>
        <v>19</v>
      </c>
      <c r="O685" s="24">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59" t="s">
        <v>22</v>
      </c>
      <c r="L686" s="5" t="str">
        <f t="shared" si="99"/>
        <v>00685</v>
      </c>
      <c r="M686" s="46" t="str">
        <f t="shared" si="100"/>
        <v>19 de noviembre de 2017</v>
      </c>
      <c r="N686" s="318">
        <f t="shared" si="102"/>
        <v>19</v>
      </c>
      <c r="O686" s="24">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59" t="s">
        <v>22</v>
      </c>
      <c r="L687" s="5" t="str">
        <f t="shared" si="99"/>
        <v>00686</v>
      </c>
      <c r="M687" s="46" t="str">
        <f t="shared" si="100"/>
        <v>20 de noviembre de 2017</v>
      </c>
      <c r="N687" s="318">
        <f t="shared" si="102"/>
        <v>20</v>
      </c>
      <c r="O687" s="24">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59" t="s">
        <v>22</v>
      </c>
      <c r="L688" s="5" t="str">
        <f t="shared" si="99"/>
        <v>00687</v>
      </c>
      <c r="M688" s="46" t="str">
        <f t="shared" si="100"/>
        <v>20 de noviembre de 2017</v>
      </c>
      <c r="N688" s="318">
        <f t="shared" si="102"/>
        <v>20</v>
      </c>
      <c r="O688" s="24">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59" t="s">
        <v>22</v>
      </c>
      <c r="L689" s="5" t="str">
        <f t="shared" si="99"/>
        <v>00688</v>
      </c>
      <c r="M689" s="46" t="str">
        <f t="shared" si="100"/>
        <v>21 de noviembre de 2017</v>
      </c>
      <c r="N689" s="318">
        <f t="shared" si="102"/>
        <v>21</v>
      </c>
      <c r="O689" s="24">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59" t="s">
        <v>22</v>
      </c>
      <c r="L690" s="5" t="str">
        <f t="shared" si="99"/>
        <v>00689</v>
      </c>
      <c r="M690" s="46" t="str">
        <f t="shared" si="100"/>
        <v>22 de noviembre de 2017</v>
      </c>
      <c r="N690" s="318">
        <f t="shared" si="102"/>
        <v>22</v>
      </c>
      <c r="O690" s="24">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59" t="s">
        <v>22</v>
      </c>
      <c r="L691" s="5" t="str">
        <f t="shared" si="99"/>
        <v>00690</v>
      </c>
      <c r="M691" s="46" t="str">
        <f t="shared" si="100"/>
        <v>22 de noviembre de 2017</v>
      </c>
      <c r="N691" s="318">
        <f t="shared" si="102"/>
        <v>22</v>
      </c>
      <c r="O691" s="24">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59" t="s">
        <v>22</v>
      </c>
      <c r="L692" s="5" t="str">
        <f t="shared" si="99"/>
        <v>00691</v>
      </c>
      <c r="M692" s="46" t="str">
        <f t="shared" si="100"/>
        <v>23 de noviembre de 2017</v>
      </c>
      <c r="N692" s="318">
        <f t="shared" si="102"/>
        <v>23</v>
      </c>
      <c r="O692" s="24">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59" t="s">
        <v>22</v>
      </c>
      <c r="L693" s="5" t="str">
        <f t="shared" si="99"/>
        <v>00692</v>
      </c>
      <c r="M693" s="46" t="str">
        <f t="shared" si="100"/>
        <v>28 de noviembre de 2017</v>
      </c>
      <c r="N693" s="318">
        <f t="shared" si="102"/>
        <v>28</v>
      </c>
      <c r="O693" s="24">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59" t="s">
        <v>22</v>
      </c>
      <c r="L694" s="5" t="str">
        <f t="shared" si="99"/>
        <v>00693</v>
      </c>
      <c r="M694" s="46" t="str">
        <f t="shared" si="100"/>
        <v>28 de noviembre de 2017</v>
      </c>
      <c r="N694" s="318">
        <f t="shared" si="102"/>
        <v>28</v>
      </c>
      <c r="O694" s="24">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59" t="s">
        <v>22</v>
      </c>
      <c r="L695" s="5" t="str">
        <f t="shared" si="99"/>
        <v>00694</v>
      </c>
      <c r="M695" s="46" t="str">
        <f t="shared" si="100"/>
        <v>28 de noviembre de 2017</v>
      </c>
      <c r="N695" s="318">
        <f t="shared" si="102"/>
        <v>28</v>
      </c>
      <c r="O695" s="24">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59" t="s">
        <v>22</v>
      </c>
      <c r="L696" s="5" t="str">
        <f t="shared" si="99"/>
        <v>00695</v>
      </c>
      <c r="M696" s="46" t="str">
        <f t="shared" si="100"/>
        <v>29 de noviembre de 2017</v>
      </c>
      <c r="N696" s="318">
        <f t="shared" si="102"/>
        <v>29</v>
      </c>
      <c r="O696" s="24">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59" t="s">
        <v>22</v>
      </c>
      <c r="L697" s="5" t="str">
        <f t="shared" si="99"/>
        <v>00696</v>
      </c>
      <c r="M697" s="46" t="str">
        <f t="shared" si="100"/>
        <v>03 de diciembre de 2017</v>
      </c>
      <c r="N697" s="318">
        <f t="shared" si="102"/>
        <v>3</v>
      </c>
      <c r="O697" s="24">
        <f t="shared" si="101"/>
        <v>43070</v>
      </c>
      <c r="P697" s="5" t="str">
        <f t="shared" si="106"/>
        <v>1,00</v>
      </c>
      <c r="Q697" s="4" t="e">
        <f t="shared" ca="1" si="107"/>
        <v>#NAME?</v>
      </c>
    </row>
    <row r="698" spans="1:17">
      <c r="A698" s="1">
        <f t="shared" si="103"/>
        <v>697</v>
      </c>
      <c r="C698" s="8" t="s">
        <v>17</v>
      </c>
      <c r="D698" s="2">
        <v>43060</v>
      </c>
      <c r="E698" s="3">
        <f>71000/100000</f>
        <v>0.71</v>
      </c>
      <c r="F698" s="22" t="s">
        <v>422</v>
      </c>
      <c r="G698" s="18" t="s">
        <v>58</v>
      </c>
      <c r="H698" t="s">
        <v>423</v>
      </c>
      <c r="I698" s="6" t="s">
        <v>561</v>
      </c>
      <c r="J698" s="59" t="s">
        <v>22</v>
      </c>
      <c r="L698" s="5" t="str">
        <f t="shared" si="99"/>
        <v>00697</v>
      </c>
      <c r="M698" s="46" t="str">
        <f t="shared" si="100"/>
        <v>21 de noviembre de 2017</v>
      </c>
      <c r="N698" s="318">
        <f t="shared" si="102"/>
        <v>21</v>
      </c>
      <c r="O698" s="24">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59" t="s">
        <v>22</v>
      </c>
      <c r="L699" s="5" t="str">
        <f t="shared" si="99"/>
        <v>00698</v>
      </c>
      <c r="M699" s="46" t="str">
        <f t="shared" si="100"/>
        <v>04 de diciembre de 2017</v>
      </c>
      <c r="N699" s="318">
        <f t="shared" si="102"/>
        <v>4</v>
      </c>
      <c r="O699" s="24">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59" t="s">
        <v>22</v>
      </c>
      <c r="L700" s="5" t="str">
        <f t="shared" si="99"/>
        <v>00699</v>
      </c>
      <c r="M700" s="46" t="str">
        <f t="shared" si="100"/>
        <v>04 de diciembre de 2017</v>
      </c>
      <c r="N700" s="318">
        <f t="shared" si="102"/>
        <v>4</v>
      </c>
      <c r="O700" s="24">
        <f t="shared" si="101"/>
        <v>43070</v>
      </c>
      <c r="P700" s="5" t="str">
        <f t="shared" si="108"/>
        <v>0,32</v>
      </c>
      <c r="Q700" s="4" t="e">
        <f t="shared" ca="1" si="109"/>
        <v>#NAME?</v>
      </c>
    </row>
    <row r="701" spans="1:17">
      <c r="A701" s="1">
        <f t="shared" si="103"/>
        <v>700</v>
      </c>
      <c r="C701" s="8" t="s">
        <v>17</v>
      </c>
      <c r="D701" s="2">
        <v>43073</v>
      </c>
      <c r="E701" s="3">
        <f>18000/100000</f>
        <v>0.18</v>
      </c>
      <c r="F701" t="s">
        <v>397</v>
      </c>
      <c r="G701" s="47" t="s">
        <v>29</v>
      </c>
      <c r="H701" t="s">
        <v>398</v>
      </c>
      <c r="I701" s="6" t="s">
        <v>566</v>
      </c>
      <c r="J701" s="59" t="s">
        <v>22</v>
      </c>
      <c r="L701" s="5" t="str">
        <f t="shared" si="99"/>
        <v>00700</v>
      </c>
      <c r="M701" s="46" t="str">
        <f t="shared" si="100"/>
        <v>04 de diciembre de 2017</v>
      </c>
      <c r="N701" s="318">
        <f t="shared" si="102"/>
        <v>4</v>
      </c>
      <c r="O701" s="24">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59" t="s">
        <v>22</v>
      </c>
      <c r="L702" s="5" t="str">
        <f t="shared" si="99"/>
        <v>00701</v>
      </c>
      <c r="M702" s="46" t="str">
        <f t="shared" si="100"/>
        <v>04 de diciembre de 2017</v>
      </c>
      <c r="N702" s="318">
        <f t="shared" si="102"/>
        <v>4</v>
      </c>
      <c r="O702" s="24">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59" t="s">
        <v>22</v>
      </c>
      <c r="L703" s="5" t="str">
        <f t="shared" si="99"/>
        <v>00702</v>
      </c>
      <c r="M703" s="46" t="str">
        <f t="shared" si="100"/>
        <v>04 de diciembre de 2017</v>
      </c>
      <c r="N703" s="318">
        <f t="shared" si="102"/>
        <v>4</v>
      </c>
      <c r="O703" s="24">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59" t="s">
        <v>22</v>
      </c>
      <c r="L704" s="5" t="str">
        <f t="shared" si="99"/>
        <v>00703</v>
      </c>
      <c r="M704" s="46" t="str">
        <f t="shared" si="100"/>
        <v>04 de diciembre de 2017</v>
      </c>
      <c r="N704" s="318">
        <f t="shared" si="102"/>
        <v>4</v>
      </c>
      <c r="O704" s="24">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59" t="s">
        <v>22</v>
      </c>
      <c r="L705" s="5" t="str">
        <f t="shared" si="99"/>
        <v>00704</v>
      </c>
      <c r="M705" s="46" t="str">
        <f t="shared" si="100"/>
        <v>04 de diciembre de 2017</v>
      </c>
      <c r="N705" s="318">
        <f t="shared" si="102"/>
        <v>4</v>
      </c>
      <c r="O705" s="24">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59" t="s">
        <v>22</v>
      </c>
      <c r="L706" s="5" t="str">
        <f t="shared" ref="L706:L769" si="110">IF(ISBLANK(A706),"",TEXT(A706,"00000"))</f>
        <v>00705</v>
      </c>
      <c r="M706" s="46" t="str">
        <f t="shared" ref="M706:M769" si="111">IF(ISBLANK(D706),"",TEXT(D706,"dd")&amp;" de "&amp;TEXT(D706,"mmmm")&amp;" de "&amp;TEXT(YEAR(D706),"0"))</f>
        <v>05 de diciembre de 2017</v>
      </c>
      <c r="N706" s="318">
        <f t="shared" si="102"/>
        <v>5</v>
      </c>
      <c r="O706" s="24">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59" t="s">
        <v>22</v>
      </c>
      <c r="L707" s="5" t="str">
        <f t="shared" si="110"/>
        <v>00706</v>
      </c>
      <c r="M707" s="46" t="str">
        <f t="shared" si="111"/>
        <v>05 de diciembre de 2017</v>
      </c>
      <c r="N707" s="318">
        <f t="shared" ref="N707:N770" si="113">DAY(D707)</f>
        <v>5</v>
      </c>
      <c r="O707" s="24">
        <f t="shared" si="112"/>
        <v>43070</v>
      </c>
      <c r="P707" s="5" t="str">
        <f t="shared" si="108"/>
        <v>0,50</v>
      </c>
      <c r="Q707" s="4" t="e">
        <f t="shared" ca="1" si="109"/>
        <v>#NAME?</v>
      </c>
    </row>
    <row r="708" spans="1:17">
      <c r="A708" s="175">
        <f t="shared" ref="A708:A771" si="114">A707+1</f>
        <v>707</v>
      </c>
      <c r="C708" s="8" t="s">
        <v>17</v>
      </c>
      <c r="D708" s="2">
        <v>43074</v>
      </c>
      <c r="E708" s="3">
        <f>50000/100000</f>
        <v>0.5</v>
      </c>
      <c r="F708" t="s">
        <v>438</v>
      </c>
      <c r="G708" t="s">
        <v>439</v>
      </c>
      <c r="H708" t="s">
        <v>440</v>
      </c>
      <c r="I708" s="6" t="s">
        <v>586</v>
      </c>
      <c r="J708" s="59" t="s">
        <v>22</v>
      </c>
      <c r="L708" s="5" t="str">
        <f t="shared" si="110"/>
        <v>00707</v>
      </c>
      <c r="M708" s="46" t="str">
        <f t="shared" si="111"/>
        <v>05 de diciembre de 2017</v>
      </c>
      <c r="N708" s="318">
        <f t="shared" si="113"/>
        <v>5</v>
      </c>
      <c r="O708" s="24">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59" t="s">
        <v>22</v>
      </c>
      <c r="L709" s="5" t="str">
        <f t="shared" si="110"/>
        <v>00708</v>
      </c>
      <c r="M709" s="46" t="str">
        <f t="shared" si="111"/>
        <v>05 de diciembre de 2017</v>
      </c>
      <c r="N709" s="318">
        <f t="shared" si="113"/>
        <v>5</v>
      </c>
      <c r="O709" s="24">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59" t="s">
        <v>22</v>
      </c>
      <c r="L710" s="5" t="str">
        <f t="shared" si="110"/>
        <v>00709</v>
      </c>
      <c r="M710" s="46" t="str">
        <f t="shared" si="111"/>
        <v>05 de diciembre de 2017</v>
      </c>
      <c r="N710" s="318">
        <f t="shared" si="113"/>
        <v>5</v>
      </c>
      <c r="O710" s="24">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59" t="s">
        <v>22</v>
      </c>
      <c r="L711" s="5" t="str">
        <f t="shared" si="110"/>
        <v>00710</v>
      </c>
      <c r="M711" s="46" t="str">
        <f t="shared" si="111"/>
        <v>05 de diciembre de 2017</v>
      </c>
      <c r="N711" s="318">
        <f t="shared" si="113"/>
        <v>5</v>
      </c>
      <c r="O711" s="24">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59" t="s">
        <v>22</v>
      </c>
      <c r="L712" s="5" t="str">
        <f t="shared" si="110"/>
        <v>00711</v>
      </c>
      <c r="M712" s="46" t="str">
        <f t="shared" si="111"/>
        <v>05 de diciembre de 2017</v>
      </c>
      <c r="N712" s="318">
        <f t="shared" si="113"/>
        <v>5</v>
      </c>
      <c r="O712" s="24">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59" t="s">
        <v>22</v>
      </c>
      <c r="L713" s="5" t="str">
        <f t="shared" si="110"/>
        <v>00712</v>
      </c>
      <c r="M713" s="46" t="str">
        <f t="shared" si="111"/>
        <v>05 de diciembre de 2017</v>
      </c>
      <c r="N713" s="318">
        <f t="shared" si="113"/>
        <v>5</v>
      </c>
      <c r="O713" s="24">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59" t="s">
        <v>22</v>
      </c>
      <c r="L714" s="5" t="str">
        <f t="shared" si="110"/>
        <v>00713</v>
      </c>
      <c r="M714" s="46" t="str">
        <f t="shared" si="111"/>
        <v>06 de diciembre de 2017</v>
      </c>
      <c r="N714" s="318">
        <f t="shared" si="113"/>
        <v>6</v>
      </c>
      <c r="O714" s="24">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59" t="s">
        <v>22</v>
      </c>
      <c r="L715" s="5" t="str">
        <f t="shared" si="110"/>
        <v>00714</v>
      </c>
      <c r="M715" s="46" t="str">
        <f t="shared" si="111"/>
        <v>06 de diciembre de 2017</v>
      </c>
      <c r="N715" s="318">
        <f t="shared" si="113"/>
        <v>6</v>
      </c>
      <c r="O715" s="24">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59" t="s">
        <v>22</v>
      </c>
      <c r="L716" s="5" t="str">
        <f t="shared" si="110"/>
        <v>00715</v>
      </c>
      <c r="M716" s="46" t="str">
        <f t="shared" si="111"/>
        <v>06 de diciembre de 2017</v>
      </c>
      <c r="N716" s="318">
        <f t="shared" si="113"/>
        <v>6</v>
      </c>
      <c r="O716" s="24">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59" t="s">
        <v>22</v>
      </c>
      <c r="L717" s="5" t="str">
        <f t="shared" si="110"/>
        <v>00716</v>
      </c>
      <c r="M717" s="46" t="str">
        <f t="shared" si="111"/>
        <v>07 de diciembre de 2017</v>
      </c>
      <c r="N717" s="318">
        <f t="shared" si="113"/>
        <v>7</v>
      </c>
      <c r="O717" s="24">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59" t="s">
        <v>22</v>
      </c>
      <c r="L718" s="5" t="str">
        <f t="shared" si="110"/>
        <v>00717</v>
      </c>
      <c r="M718" s="46" t="str">
        <f t="shared" si="111"/>
        <v>06 de diciembre de 2017</v>
      </c>
      <c r="N718" s="318">
        <f t="shared" si="113"/>
        <v>6</v>
      </c>
      <c r="O718" s="24">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59" t="s">
        <v>22</v>
      </c>
      <c r="L719" s="5" t="str">
        <f t="shared" si="110"/>
        <v>00718</v>
      </c>
      <c r="M719" s="46" t="str">
        <f t="shared" si="111"/>
        <v>06 de diciembre de 2017</v>
      </c>
      <c r="N719" s="318">
        <f t="shared" si="113"/>
        <v>6</v>
      </c>
      <c r="O719" s="24">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59" t="s">
        <v>22</v>
      </c>
      <c r="L720" s="5" t="str">
        <f t="shared" si="110"/>
        <v>00719</v>
      </c>
      <c r="M720" s="46" t="str">
        <f t="shared" si="111"/>
        <v>07 de diciembre de 2017</v>
      </c>
      <c r="N720" s="318">
        <f t="shared" si="113"/>
        <v>7</v>
      </c>
      <c r="O720" s="24">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59" t="s">
        <v>22</v>
      </c>
      <c r="L721" s="5" t="str">
        <f t="shared" si="110"/>
        <v>00720</v>
      </c>
      <c r="M721" s="46" t="str">
        <f t="shared" si="111"/>
        <v>07 de diciembre de 2017</v>
      </c>
      <c r="N721" s="318">
        <f t="shared" si="113"/>
        <v>7</v>
      </c>
      <c r="O721" s="24">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59" t="s">
        <v>22</v>
      </c>
      <c r="L722" s="5" t="str">
        <f t="shared" si="110"/>
        <v>00721</v>
      </c>
      <c r="M722" s="46" t="str">
        <f t="shared" si="111"/>
        <v>07 de diciembre de 2017</v>
      </c>
      <c r="N722" s="318">
        <f t="shared" si="113"/>
        <v>7</v>
      </c>
      <c r="O722" s="24">
        <f t="shared" si="112"/>
        <v>43070</v>
      </c>
      <c r="P722" s="5" t="str">
        <f t="shared" si="108"/>
        <v>0,50</v>
      </c>
      <c r="Q722" s="4" t="e">
        <f t="shared" ca="1" si="109"/>
        <v>#NAME?</v>
      </c>
    </row>
    <row r="723" spans="1:17">
      <c r="A723" s="1">
        <f t="shared" si="114"/>
        <v>722</v>
      </c>
      <c r="C723" s="8" t="s">
        <v>17</v>
      </c>
      <c r="D723" s="2">
        <v>43077</v>
      </c>
      <c r="E723" s="3">
        <f>54000/100000</f>
        <v>0.54</v>
      </c>
      <c r="F723" s="19" t="s">
        <v>57</v>
      </c>
      <c r="G723" s="18" t="s">
        <v>58</v>
      </c>
      <c r="H723" s="20" t="s">
        <v>59</v>
      </c>
      <c r="I723" s="6" t="s">
        <v>575</v>
      </c>
      <c r="J723" s="59" t="s">
        <v>22</v>
      </c>
      <c r="K723" s="21"/>
      <c r="L723" s="5" t="str">
        <f t="shared" si="110"/>
        <v>00722</v>
      </c>
      <c r="M723" s="46" t="str">
        <f t="shared" si="111"/>
        <v>08 de diciembre de 2017</v>
      </c>
      <c r="N723" s="318">
        <f t="shared" si="113"/>
        <v>8</v>
      </c>
      <c r="O723" s="24">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59" t="s">
        <v>22</v>
      </c>
      <c r="L724" s="5" t="str">
        <f t="shared" si="110"/>
        <v>00723</v>
      </c>
      <c r="M724" s="46" t="str">
        <f t="shared" si="111"/>
        <v>08 de diciembre de 2017</v>
      </c>
      <c r="N724" s="318">
        <f t="shared" si="113"/>
        <v>8</v>
      </c>
      <c r="O724" s="24">
        <f t="shared" si="112"/>
        <v>43070</v>
      </c>
      <c r="P724" s="5" t="str">
        <f t="shared" si="108"/>
        <v>0,50</v>
      </c>
      <c r="Q724" s="4" t="e">
        <f t="shared" ca="1" si="109"/>
        <v>#NAME?</v>
      </c>
    </row>
    <row r="725" spans="1:17">
      <c r="A725" s="1">
        <f t="shared" si="114"/>
        <v>724</v>
      </c>
      <c r="C725" s="8" t="s">
        <v>17</v>
      </c>
      <c r="D725" s="2">
        <v>43077</v>
      </c>
      <c r="E725" s="3">
        <f>20000/100000</f>
        <v>0.2</v>
      </c>
      <c r="F725" t="s">
        <v>397</v>
      </c>
      <c r="G725" s="47" t="s">
        <v>29</v>
      </c>
      <c r="H725" t="s">
        <v>398</v>
      </c>
      <c r="I725" s="6" t="s">
        <v>587</v>
      </c>
      <c r="J725" s="59" t="s">
        <v>22</v>
      </c>
      <c r="L725" s="5" t="str">
        <f t="shared" si="110"/>
        <v>00724</v>
      </c>
      <c r="M725" s="46" t="str">
        <f t="shared" si="111"/>
        <v>08 de diciembre de 2017</v>
      </c>
      <c r="N725" s="318">
        <f t="shared" si="113"/>
        <v>8</v>
      </c>
      <c r="O725" s="24">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2" t="s">
        <v>422</v>
      </c>
      <c r="G726" s="18" t="s">
        <v>58</v>
      </c>
      <c r="H726" t="s">
        <v>423</v>
      </c>
      <c r="I726" s="6" t="s">
        <v>575</v>
      </c>
      <c r="J726" s="59" t="s">
        <v>22</v>
      </c>
      <c r="L726" s="5" t="str">
        <f t="shared" si="110"/>
        <v>00725</v>
      </c>
      <c r="M726" s="46" t="str">
        <f t="shared" si="111"/>
        <v>12 de diciembre de 2017</v>
      </c>
      <c r="N726" s="318">
        <f t="shared" si="113"/>
        <v>12</v>
      </c>
      <c r="O726" s="24">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59" t="s">
        <v>22</v>
      </c>
      <c r="L727" s="5" t="str">
        <f t="shared" si="110"/>
        <v>00726</v>
      </c>
      <c r="M727" s="46" t="str">
        <f t="shared" si="111"/>
        <v>12 de diciembre de 2017</v>
      </c>
      <c r="N727" s="318">
        <f t="shared" si="113"/>
        <v>12</v>
      </c>
      <c r="O727" s="24">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59" t="s">
        <v>22</v>
      </c>
      <c r="L728" s="5" t="str">
        <f t="shared" si="110"/>
        <v>00727</v>
      </c>
      <c r="M728" s="46" t="str">
        <f t="shared" si="111"/>
        <v>12 de diciembre de 2017</v>
      </c>
      <c r="N728" s="318">
        <f t="shared" si="113"/>
        <v>12</v>
      </c>
      <c r="O728" s="24">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59" t="s">
        <v>22</v>
      </c>
      <c r="L729" s="5" t="str">
        <f t="shared" si="110"/>
        <v>00728</v>
      </c>
      <c r="M729" s="46" t="str">
        <f t="shared" si="111"/>
        <v>13 de diciembre de 2017</v>
      </c>
      <c r="N729" s="318">
        <f t="shared" si="113"/>
        <v>13</v>
      </c>
      <c r="O729" s="24">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59" t="s">
        <v>22</v>
      </c>
      <c r="L730" s="5" t="str">
        <f t="shared" si="110"/>
        <v>00729</v>
      </c>
      <c r="M730" s="46" t="str">
        <f t="shared" si="111"/>
        <v>11 de diciembre de 2017</v>
      </c>
      <c r="N730" s="318">
        <f t="shared" si="113"/>
        <v>11</v>
      </c>
      <c r="O730" s="24">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59" t="s">
        <v>22</v>
      </c>
      <c r="L731" s="5" t="str">
        <f t="shared" si="110"/>
        <v>00730</v>
      </c>
      <c r="M731" s="46" t="str">
        <f t="shared" si="111"/>
        <v>11 de diciembre de 2017</v>
      </c>
      <c r="N731" s="318">
        <f t="shared" si="113"/>
        <v>11</v>
      </c>
      <c r="O731" s="24">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59" t="s">
        <v>22</v>
      </c>
      <c r="L732" s="5" t="str">
        <f t="shared" si="110"/>
        <v>00731</v>
      </c>
      <c r="M732" s="46" t="str">
        <f t="shared" si="111"/>
        <v>10 de diciembre de 2017</v>
      </c>
      <c r="N732" s="318">
        <f t="shared" si="113"/>
        <v>10</v>
      </c>
      <c r="O732" s="24">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59" t="s">
        <v>22</v>
      </c>
      <c r="L733" s="5" t="str">
        <f t="shared" si="110"/>
        <v>00732</v>
      </c>
      <c r="M733" s="46" t="str">
        <f t="shared" si="111"/>
        <v>13 de diciembre de 2017</v>
      </c>
      <c r="N733" s="318">
        <f t="shared" si="113"/>
        <v>13</v>
      </c>
      <c r="O733" s="24">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59" t="s">
        <v>22</v>
      </c>
      <c r="L734" s="5" t="str">
        <f t="shared" si="110"/>
        <v>00733</v>
      </c>
      <c r="M734" s="46" t="str">
        <f t="shared" si="111"/>
        <v>15 de diciembre de 2017</v>
      </c>
      <c r="N734" s="318">
        <f t="shared" si="113"/>
        <v>15</v>
      </c>
      <c r="O734" s="24">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59" t="s">
        <v>22</v>
      </c>
      <c r="L735" s="5" t="str">
        <f t="shared" si="110"/>
        <v>00734</v>
      </c>
      <c r="M735" s="46" t="str">
        <f t="shared" si="111"/>
        <v>11 de octubre de 2017</v>
      </c>
      <c r="N735" s="318">
        <f t="shared" si="113"/>
        <v>11</v>
      </c>
      <c r="O735" s="24">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59" t="s">
        <v>22</v>
      </c>
      <c r="L736" s="5" t="str">
        <f t="shared" si="110"/>
        <v>00735</v>
      </c>
      <c r="M736" s="46" t="str">
        <f t="shared" si="111"/>
        <v>07 de julio de 2017</v>
      </c>
      <c r="N736" s="318">
        <f t="shared" si="113"/>
        <v>7</v>
      </c>
      <c r="O736" s="24">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59" t="s">
        <v>22</v>
      </c>
      <c r="L737" s="5" t="str">
        <f t="shared" si="110"/>
        <v>00736</v>
      </c>
      <c r="M737" s="46" t="str">
        <f t="shared" si="111"/>
        <v>17 de diciembre de 2017</v>
      </c>
      <c r="N737" s="318">
        <f t="shared" si="113"/>
        <v>17</v>
      </c>
      <c r="O737" s="24">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59" t="s">
        <v>22</v>
      </c>
      <c r="L738" s="5" t="str">
        <f t="shared" si="110"/>
        <v>00737</v>
      </c>
      <c r="M738" s="46" t="str">
        <f t="shared" si="111"/>
        <v>18 de diciembre de 2017</v>
      </c>
      <c r="N738" s="318">
        <f t="shared" si="113"/>
        <v>18</v>
      </c>
      <c r="O738" s="24">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59" t="s">
        <v>22</v>
      </c>
      <c r="L739" s="5" t="str">
        <f t="shared" si="110"/>
        <v>00738</v>
      </c>
      <c r="M739" s="46" t="str">
        <f t="shared" si="111"/>
        <v>19 de diciembre de 2017</v>
      </c>
      <c r="N739" s="318">
        <f t="shared" si="113"/>
        <v>19</v>
      </c>
      <c r="O739" s="24">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59" t="s">
        <v>22</v>
      </c>
      <c r="L740" s="5" t="str">
        <f t="shared" si="110"/>
        <v>00739</v>
      </c>
      <c r="M740" s="46" t="str">
        <f t="shared" si="111"/>
        <v>20 de diciembre de 2017</v>
      </c>
      <c r="N740" s="318">
        <f t="shared" si="113"/>
        <v>20</v>
      </c>
      <c r="O740" s="24">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59" t="s">
        <v>22</v>
      </c>
      <c r="L741" s="5" t="str">
        <f t="shared" si="110"/>
        <v>00740</v>
      </c>
      <c r="M741" s="46" t="str">
        <f t="shared" si="111"/>
        <v>20 de diciembre de 2017</v>
      </c>
      <c r="N741" s="318">
        <f t="shared" si="113"/>
        <v>20</v>
      </c>
      <c r="O741" s="24">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59" t="s">
        <v>22</v>
      </c>
      <c r="L742" s="5" t="str">
        <f t="shared" si="110"/>
        <v>00741</v>
      </c>
      <c r="M742" s="46" t="str">
        <f t="shared" si="111"/>
        <v>20 de diciembre de 2017</v>
      </c>
      <c r="N742" s="318">
        <f t="shared" si="113"/>
        <v>20</v>
      </c>
      <c r="O742" s="24">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59" t="s">
        <v>22</v>
      </c>
      <c r="L743" s="5" t="str">
        <f t="shared" si="110"/>
        <v>00742</v>
      </c>
      <c r="M743" s="46" t="str">
        <f t="shared" si="111"/>
        <v>22 de diciembre de 2017</v>
      </c>
      <c r="N743" s="318">
        <f t="shared" si="113"/>
        <v>22</v>
      </c>
      <c r="O743" s="24">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59" t="s">
        <v>22</v>
      </c>
      <c r="L744" s="5" t="str">
        <f t="shared" si="110"/>
        <v>00743</v>
      </c>
      <c r="M744" s="46" t="str">
        <f t="shared" si="111"/>
        <v>22 de diciembre de 2017</v>
      </c>
      <c r="N744" s="318">
        <f t="shared" si="113"/>
        <v>22</v>
      </c>
      <c r="O744" s="24">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59" t="s">
        <v>22</v>
      </c>
      <c r="L745" s="5" t="str">
        <f t="shared" si="110"/>
        <v>00744</v>
      </c>
      <c r="M745" s="46" t="str">
        <f t="shared" si="111"/>
        <v>23 de diciembre de 2017</v>
      </c>
      <c r="N745" s="318">
        <f t="shared" si="113"/>
        <v>23</v>
      </c>
      <c r="O745" s="24">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59" t="s">
        <v>22</v>
      </c>
      <c r="L746" s="5" t="str">
        <f t="shared" si="110"/>
        <v>00745</v>
      </c>
      <c r="M746" s="46" t="str">
        <f t="shared" si="111"/>
        <v>26 de diciembre de 2017</v>
      </c>
      <c r="N746" s="318">
        <f t="shared" si="113"/>
        <v>26</v>
      </c>
      <c r="O746" s="24">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59" t="s">
        <v>22</v>
      </c>
      <c r="L747" s="5" t="str">
        <f t="shared" si="110"/>
        <v>00746</v>
      </c>
      <c r="M747" s="46" t="str">
        <f t="shared" si="111"/>
        <v>26 de diciembre de 2017</v>
      </c>
      <c r="N747" s="318">
        <f t="shared" si="113"/>
        <v>26</v>
      </c>
      <c r="O747" s="24">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59" t="s">
        <v>22</v>
      </c>
      <c r="L748" s="5" t="str">
        <f t="shared" si="110"/>
        <v>00747</v>
      </c>
      <c r="M748" s="46" t="str">
        <f t="shared" si="111"/>
        <v>23 de diciembre de 2017</v>
      </c>
      <c r="N748" s="318">
        <f t="shared" si="113"/>
        <v>23</v>
      </c>
      <c r="O748" s="24">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59" t="s">
        <v>22</v>
      </c>
      <c r="L749" s="5" t="str">
        <f t="shared" si="110"/>
        <v>00748</v>
      </c>
      <c r="M749" s="46" t="str">
        <f t="shared" si="111"/>
        <v>26 de diciembre de 2017</v>
      </c>
      <c r="N749" s="318">
        <f t="shared" si="113"/>
        <v>26</v>
      </c>
      <c r="O749" s="24">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59" t="s">
        <v>22</v>
      </c>
      <c r="L750" s="5" t="str">
        <f t="shared" si="110"/>
        <v>00749</v>
      </c>
      <c r="M750" s="46" t="str">
        <f t="shared" si="111"/>
        <v>26 de diciembre de 2017</v>
      </c>
      <c r="N750" s="318">
        <f t="shared" si="113"/>
        <v>26</v>
      </c>
      <c r="O750" s="24">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59" t="s">
        <v>22</v>
      </c>
      <c r="L751" s="5" t="str">
        <f t="shared" si="110"/>
        <v>00750</v>
      </c>
      <c r="M751" s="46" t="str">
        <f t="shared" si="111"/>
        <v>27 de diciembre de 2017</v>
      </c>
      <c r="N751" s="318">
        <f t="shared" si="113"/>
        <v>27</v>
      </c>
      <c r="O751" s="24">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59" t="s">
        <v>22</v>
      </c>
      <c r="L752" s="5" t="str">
        <f t="shared" si="110"/>
        <v>00751</v>
      </c>
      <c r="M752" s="46" t="str">
        <f t="shared" si="111"/>
        <v>29 de diciembre de 2017</v>
      </c>
      <c r="N752" s="318">
        <f t="shared" si="113"/>
        <v>29</v>
      </c>
      <c r="O752" s="24">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59" t="s">
        <v>22</v>
      </c>
      <c r="L753" s="5" t="str">
        <f t="shared" si="110"/>
        <v>00752</v>
      </c>
      <c r="M753" s="46" t="str">
        <f t="shared" si="111"/>
        <v>02 de enero de 2018</v>
      </c>
      <c r="N753" s="318">
        <f t="shared" si="113"/>
        <v>2</v>
      </c>
      <c r="O753" s="24">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59" t="s">
        <v>22</v>
      </c>
      <c r="L754" s="5" t="str">
        <f t="shared" si="110"/>
        <v>00753</v>
      </c>
      <c r="M754" s="46" t="str">
        <f t="shared" si="111"/>
        <v>02 de enero de 2018</v>
      </c>
      <c r="N754" s="318">
        <f t="shared" si="113"/>
        <v>2</v>
      </c>
      <c r="O754" s="24">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59" t="s">
        <v>22</v>
      </c>
      <c r="L755" s="5" t="str">
        <f t="shared" si="110"/>
        <v>00754</v>
      </c>
      <c r="M755" s="46" t="str">
        <f t="shared" si="111"/>
        <v>04 de enero de 2018</v>
      </c>
      <c r="N755" s="318">
        <f t="shared" si="113"/>
        <v>4</v>
      </c>
      <c r="O755" s="24">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59" t="s">
        <v>22</v>
      </c>
      <c r="L756" s="5" t="str">
        <f t="shared" si="110"/>
        <v>00755</v>
      </c>
      <c r="M756" s="46" t="str">
        <f t="shared" si="111"/>
        <v>29 de diciembre de 2017</v>
      </c>
      <c r="N756" s="318">
        <f t="shared" si="113"/>
        <v>29</v>
      </c>
      <c r="O756" s="24">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59" t="s">
        <v>22</v>
      </c>
      <c r="L757" s="5" t="str">
        <f t="shared" si="110"/>
        <v>00756</v>
      </c>
      <c r="M757" s="46" t="str">
        <f t="shared" si="111"/>
        <v>07 de enero de 2018</v>
      </c>
      <c r="N757" s="318">
        <f t="shared" si="113"/>
        <v>7</v>
      </c>
      <c r="O757" s="24">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59" t="s">
        <v>22</v>
      </c>
      <c r="L758" s="5" t="str">
        <f t="shared" si="110"/>
        <v>00757</v>
      </c>
      <c r="M758" s="46" t="str">
        <f t="shared" si="111"/>
        <v>10 de enero de 2018</v>
      </c>
      <c r="N758" s="318">
        <f t="shared" si="113"/>
        <v>10</v>
      </c>
      <c r="O758" s="24">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59" t="s">
        <v>22</v>
      </c>
      <c r="L759" s="5" t="str">
        <f t="shared" si="110"/>
        <v>00758</v>
      </c>
      <c r="M759" s="46" t="str">
        <f t="shared" si="111"/>
        <v>10 de enero de 2018</v>
      </c>
      <c r="N759" s="318">
        <f t="shared" si="113"/>
        <v>10</v>
      </c>
      <c r="O759" s="24">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59" t="s">
        <v>22</v>
      </c>
      <c r="L760" s="5" t="str">
        <f t="shared" si="110"/>
        <v>00759</v>
      </c>
      <c r="M760" s="46" t="str">
        <f t="shared" si="111"/>
        <v>10 de enero de 2018</v>
      </c>
      <c r="N760" s="318">
        <f t="shared" si="113"/>
        <v>10</v>
      </c>
      <c r="O760" s="24">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59" t="s">
        <v>22</v>
      </c>
      <c r="L761" s="5" t="str">
        <f t="shared" si="110"/>
        <v>00760</v>
      </c>
      <c r="M761" s="46" t="str">
        <f t="shared" si="111"/>
        <v>10 de enero de 2018</v>
      </c>
      <c r="N761" s="318">
        <f t="shared" si="113"/>
        <v>10</v>
      </c>
      <c r="O761" s="24">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59" t="s">
        <v>22</v>
      </c>
      <c r="L762" s="5" t="str">
        <f t="shared" si="110"/>
        <v>00761</v>
      </c>
      <c r="M762" s="46" t="str">
        <f t="shared" si="111"/>
        <v>10 de enero de 2018</v>
      </c>
      <c r="N762" s="318">
        <f t="shared" si="113"/>
        <v>10</v>
      </c>
      <c r="O762" s="24">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59" t="s">
        <v>22</v>
      </c>
      <c r="L763" s="5" t="str">
        <f t="shared" si="110"/>
        <v>00762</v>
      </c>
      <c r="M763" s="46" t="str">
        <f t="shared" si="111"/>
        <v>10 de enero de 2018</v>
      </c>
      <c r="N763" s="318">
        <f t="shared" si="113"/>
        <v>10</v>
      </c>
      <c r="O763" s="24">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59" t="s">
        <v>22</v>
      </c>
      <c r="L764" s="5" t="str">
        <f t="shared" si="110"/>
        <v>00763</v>
      </c>
      <c r="M764" s="46" t="str">
        <f t="shared" si="111"/>
        <v>10 de enero de 2018</v>
      </c>
      <c r="N764" s="318">
        <f t="shared" si="113"/>
        <v>10</v>
      </c>
      <c r="O764" s="24">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59" t="s">
        <v>22</v>
      </c>
      <c r="L765" s="5" t="str">
        <f t="shared" si="110"/>
        <v>00764</v>
      </c>
      <c r="M765" s="46" t="str">
        <f t="shared" si="111"/>
        <v>10 de enero de 2018</v>
      </c>
      <c r="N765" s="318">
        <f t="shared" si="113"/>
        <v>10</v>
      </c>
      <c r="O765" s="24">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59" t="s">
        <v>22</v>
      </c>
      <c r="L766" s="5" t="str">
        <f t="shared" si="110"/>
        <v>00765</v>
      </c>
      <c r="M766" s="46" t="str">
        <f t="shared" si="111"/>
        <v>11 de enero de 2018</v>
      </c>
      <c r="N766" s="318">
        <f t="shared" si="113"/>
        <v>11</v>
      </c>
      <c r="O766" s="24">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59" t="s">
        <v>22</v>
      </c>
      <c r="L767" s="5" t="str">
        <f t="shared" si="110"/>
        <v>00766</v>
      </c>
      <c r="M767" s="46" t="str">
        <f t="shared" si="111"/>
        <v>11 de enero de 2018</v>
      </c>
      <c r="N767" s="318">
        <f t="shared" si="113"/>
        <v>11</v>
      </c>
      <c r="O767" s="24">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59" t="s">
        <v>22</v>
      </c>
      <c r="L768" s="5" t="str">
        <f t="shared" si="110"/>
        <v>00767</v>
      </c>
      <c r="M768" s="46" t="str">
        <f t="shared" si="111"/>
        <v>11 de enero de 2018</v>
      </c>
      <c r="N768" s="318">
        <f t="shared" si="113"/>
        <v>11</v>
      </c>
      <c r="O768" s="24">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59" t="s">
        <v>22</v>
      </c>
      <c r="L769" s="5" t="str">
        <f t="shared" si="110"/>
        <v>00768</v>
      </c>
      <c r="M769" s="46" t="str">
        <f t="shared" si="111"/>
        <v>11 de enero de 2018</v>
      </c>
      <c r="N769" s="318">
        <f t="shared" si="113"/>
        <v>11</v>
      </c>
      <c r="O769" s="24">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59" t="s">
        <v>22</v>
      </c>
      <c r="L770" s="5" t="str">
        <f t="shared" ref="L770:L833" si="123">IF(ISBLANK(A770),"",TEXT(A770,"00000"))</f>
        <v>00769</v>
      </c>
      <c r="M770" s="46" t="str">
        <f t="shared" ref="M770:M833" si="124">IF(ISBLANK(D770),"",TEXT(D770,"dd")&amp;" de "&amp;TEXT(D770,"mmmm")&amp;" de "&amp;TEXT(YEAR(D770),"0"))</f>
        <v>11 de enero de 2018</v>
      </c>
      <c r="N770" s="318">
        <f t="shared" si="113"/>
        <v>11</v>
      </c>
      <c r="O770" s="24">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59" t="s">
        <v>22</v>
      </c>
      <c r="L771" s="5" t="str">
        <f t="shared" si="123"/>
        <v>00770</v>
      </c>
      <c r="M771" s="46" t="str">
        <f t="shared" si="124"/>
        <v>11 de enero de 2018</v>
      </c>
      <c r="N771" s="318">
        <f t="shared" ref="N771:N834" si="128">DAY(D771)</f>
        <v>11</v>
      </c>
      <c r="O771" s="24">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59" t="s">
        <v>22</v>
      </c>
      <c r="L772" s="5" t="str">
        <f t="shared" si="123"/>
        <v>00771</v>
      </c>
      <c r="M772" s="46" t="str">
        <f t="shared" si="124"/>
        <v>11 de enero de 2018</v>
      </c>
      <c r="N772" s="318">
        <f t="shared" si="128"/>
        <v>11</v>
      </c>
      <c r="O772" s="24">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59" t="s">
        <v>22</v>
      </c>
      <c r="L773" s="5" t="str">
        <f t="shared" si="123"/>
        <v>00772</v>
      </c>
      <c r="M773" s="46" t="str">
        <f t="shared" si="124"/>
        <v>12 de enero de 2018</v>
      </c>
      <c r="N773" s="318">
        <f t="shared" si="128"/>
        <v>12</v>
      </c>
      <c r="O773" s="24">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59" t="s">
        <v>22</v>
      </c>
      <c r="L774" s="5" t="str">
        <f t="shared" si="123"/>
        <v>00773</v>
      </c>
      <c r="M774" s="46" t="str">
        <f t="shared" si="124"/>
        <v>13 de enero de 2018</v>
      </c>
      <c r="N774" s="318">
        <f t="shared" si="128"/>
        <v>13</v>
      </c>
      <c r="O774" s="24">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59" t="s">
        <v>22</v>
      </c>
      <c r="L775" s="5" t="str">
        <f t="shared" si="123"/>
        <v>00774</v>
      </c>
      <c r="M775" s="46" t="str">
        <f t="shared" si="124"/>
        <v>14 de enero de 2018</v>
      </c>
      <c r="N775" s="318">
        <f t="shared" si="128"/>
        <v>14</v>
      </c>
      <c r="O775" s="24">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59" t="s">
        <v>22</v>
      </c>
      <c r="L776" s="5" t="str">
        <f t="shared" si="123"/>
        <v>00775</v>
      </c>
      <c r="M776" s="46" t="str">
        <f t="shared" si="124"/>
        <v>16 de enero de 2018</v>
      </c>
      <c r="N776" s="318">
        <f t="shared" si="128"/>
        <v>16</v>
      </c>
      <c r="O776" s="24">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59" t="s">
        <v>22</v>
      </c>
      <c r="L777" s="5" t="str">
        <f t="shared" si="123"/>
        <v>00776</v>
      </c>
      <c r="M777" s="46" t="str">
        <f t="shared" si="124"/>
        <v>17 de enero de 2018</v>
      </c>
      <c r="N777" s="318">
        <f t="shared" si="128"/>
        <v>17</v>
      </c>
      <c r="O777" s="24">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59" t="s">
        <v>22</v>
      </c>
      <c r="L778" s="5" t="str">
        <f t="shared" si="123"/>
        <v>00777</v>
      </c>
      <c r="M778" s="46" t="str">
        <f t="shared" si="124"/>
        <v>18 de enero de 2018</v>
      </c>
      <c r="N778" s="318">
        <f t="shared" si="128"/>
        <v>18</v>
      </c>
      <c r="O778" s="24">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59" t="s">
        <v>22</v>
      </c>
      <c r="L779" s="5" t="str">
        <f t="shared" si="123"/>
        <v>00778</v>
      </c>
      <c r="M779" s="46" t="str">
        <f t="shared" si="124"/>
        <v>18 de enero de 2018</v>
      </c>
      <c r="N779" s="318">
        <f t="shared" si="128"/>
        <v>18</v>
      </c>
      <c r="O779" s="24">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59" t="s">
        <v>22</v>
      </c>
      <c r="L780" s="5" t="str">
        <f t="shared" si="123"/>
        <v>00779</v>
      </c>
      <c r="M780" s="46" t="str">
        <f t="shared" si="124"/>
        <v>18 de enero de 2018</v>
      </c>
      <c r="N780" s="318">
        <f t="shared" si="128"/>
        <v>18</v>
      </c>
      <c r="O780" s="24">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59" t="s">
        <v>22</v>
      </c>
      <c r="L781" s="5" t="str">
        <f t="shared" si="123"/>
        <v>00780</v>
      </c>
      <c r="M781" s="46" t="str">
        <f t="shared" si="124"/>
        <v>18 de enero de 2018</v>
      </c>
      <c r="N781" s="318">
        <f t="shared" si="128"/>
        <v>18</v>
      </c>
      <c r="O781" s="24">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59" t="s">
        <v>22</v>
      </c>
      <c r="L782" s="5" t="str">
        <f t="shared" si="123"/>
        <v>00781</v>
      </c>
      <c r="M782" s="46" t="str">
        <f t="shared" si="124"/>
        <v>18 de enero de 2018</v>
      </c>
      <c r="N782" s="318">
        <f t="shared" si="128"/>
        <v>18</v>
      </c>
      <c r="O782" s="24">
        <f t="shared" si="125"/>
        <v>43101</v>
      </c>
      <c r="P782" s="5" t="str">
        <f t="shared" si="126"/>
        <v>0,80</v>
      </c>
      <c r="Q782" s="4" t="e">
        <f t="shared" ca="1" si="127"/>
        <v>#NAME?</v>
      </c>
    </row>
    <row r="783" spans="1:17">
      <c r="A783" s="175">
        <f t="shared" si="129"/>
        <v>782</v>
      </c>
      <c r="C783" s="8" t="s">
        <v>17</v>
      </c>
      <c r="D783" s="2">
        <v>43118</v>
      </c>
      <c r="E783" s="3">
        <f>80000/100000</f>
        <v>0.8</v>
      </c>
      <c r="F783" t="s">
        <v>438</v>
      </c>
      <c r="G783" t="s">
        <v>439</v>
      </c>
      <c r="H783" t="s">
        <v>440</v>
      </c>
      <c r="I783" s="6" t="s">
        <v>611</v>
      </c>
      <c r="J783" s="59" t="s">
        <v>22</v>
      </c>
      <c r="L783" s="5" t="str">
        <f t="shared" si="123"/>
        <v>00782</v>
      </c>
      <c r="M783" s="46" t="str">
        <f t="shared" si="124"/>
        <v>18 de enero de 2018</v>
      </c>
      <c r="N783" s="318">
        <f t="shared" si="128"/>
        <v>18</v>
      </c>
      <c r="O783" s="24">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59" t="s">
        <v>22</v>
      </c>
      <c r="L784" s="5" t="str">
        <f t="shared" si="123"/>
        <v>00783</v>
      </c>
      <c r="M784" s="46" t="str">
        <f t="shared" si="124"/>
        <v>18 de enero de 2018</v>
      </c>
      <c r="N784" s="318">
        <f t="shared" si="128"/>
        <v>18</v>
      </c>
      <c r="O784" s="24">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59" t="s">
        <v>22</v>
      </c>
      <c r="L785" s="5" t="str">
        <f t="shared" si="123"/>
        <v>00784</v>
      </c>
      <c r="M785" s="46" t="str">
        <f t="shared" si="124"/>
        <v>18 de enero de 2018</v>
      </c>
      <c r="N785" s="318">
        <f t="shared" si="128"/>
        <v>18</v>
      </c>
      <c r="O785" s="24">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59" t="s">
        <v>22</v>
      </c>
      <c r="L786" s="5" t="str">
        <f t="shared" si="123"/>
        <v>00785</v>
      </c>
      <c r="M786" s="46" t="str">
        <f t="shared" si="124"/>
        <v>18 de enero de 2018</v>
      </c>
      <c r="N786" s="318">
        <f t="shared" si="128"/>
        <v>18</v>
      </c>
      <c r="O786" s="24">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59" t="s">
        <v>22</v>
      </c>
      <c r="L787" s="5" t="str">
        <f t="shared" si="123"/>
        <v>00786</v>
      </c>
      <c r="M787" s="46" t="str">
        <f t="shared" si="124"/>
        <v>19 de enero de 2018</v>
      </c>
      <c r="N787" s="318">
        <f t="shared" si="128"/>
        <v>19</v>
      </c>
      <c r="O787" s="24">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59" t="s">
        <v>22</v>
      </c>
      <c r="L788" s="5" t="str">
        <f t="shared" si="123"/>
        <v>00787</v>
      </c>
      <c r="M788" s="46" t="str">
        <f t="shared" si="124"/>
        <v>19 de enero de 2018</v>
      </c>
      <c r="N788" s="318">
        <f t="shared" si="128"/>
        <v>19</v>
      </c>
      <c r="O788" s="24">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59" t="s">
        <v>22</v>
      </c>
      <c r="L789" s="5" t="str">
        <f t="shared" si="123"/>
        <v>00788</v>
      </c>
      <c r="M789" s="46" t="str">
        <f t="shared" si="124"/>
        <v>19 de enero de 2018</v>
      </c>
      <c r="N789" s="318">
        <f t="shared" si="128"/>
        <v>19</v>
      </c>
      <c r="O789" s="24">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59" t="s">
        <v>22</v>
      </c>
      <c r="L790" s="5" t="str">
        <f t="shared" si="123"/>
        <v>00789</v>
      </c>
      <c r="M790" s="46" t="str">
        <f t="shared" si="124"/>
        <v>22 de enero de 2018</v>
      </c>
      <c r="N790" s="318">
        <f t="shared" si="128"/>
        <v>22</v>
      </c>
      <c r="O790" s="24">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59" t="s">
        <v>22</v>
      </c>
      <c r="L791" s="5" t="str">
        <f t="shared" si="123"/>
        <v>00790</v>
      </c>
      <c r="M791" s="46" t="str">
        <f t="shared" si="124"/>
        <v>22 de enero de 2018</v>
      </c>
      <c r="N791" s="318">
        <f t="shared" si="128"/>
        <v>22</v>
      </c>
      <c r="O791" s="24">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59" t="s">
        <v>22</v>
      </c>
      <c r="L792" s="5" t="str">
        <f t="shared" si="123"/>
        <v>00791</v>
      </c>
      <c r="M792" s="46" t="str">
        <f t="shared" si="124"/>
        <v>22 de enero de 2018</v>
      </c>
      <c r="N792" s="318">
        <f t="shared" si="128"/>
        <v>22</v>
      </c>
      <c r="O792" s="24">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59" t="s">
        <v>22</v>
      </c>
      <c r="L793" s="5" t="str">
        <f t="shared" si="123"/>
        <v>00792</v>
      </c>
      <c r="M793" s="46" t="str">
        <f t="shared" si="124"/>
        <v>22 de enero de 2018</v>
      </c>
      <c r="N793" s="318">
        <f t="shared" si="128"/>
        <v>22</v>
      </c>
      <c r="O793" s="24">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59" t="s">
        <v>22</v>
      </c>
      <c r="L794" s="5" t="str">
        <f t="shared" si="123"/>
        <v>00793</v>
      </c>
      <c r="M794" s="46" t="str">
        <f t="shared" si="124"/>
        <v>15 de enero de 2018</v>
      </c>
      <c r="N794" s="318">
        <f t="shared" si="128"/>
        <v>15</v>
      </c>
      <c r="O794" s="24">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19" t="s">
        <v>57</v>
      </c>
      <c r="G795" s="18" t="s">
        <v>58</v>
      </c>
      <c r="H795" s="20" t="s">
        <v>59</v>
      </c>
      <c r="I795" s="6" t="s">
        <v>600</v>
      </c>
      <c r="J795" s="59" t="s">
        <v>22</v>
      </c>
      <c r="K795" s="21"/>
      <c r="L795" s="5" t="str">
        <f t="shared" si="123"/>
        <v>00794</v>
      </c>
      <c r="M795" s="46" t="str">
        <f t="shared" si="124"/>
        <v>23 de enero de 2018</v>
      </c>
      <c r="N795" s="318">
        <f t="shared" si="128"/>
        <v>23</v>
      </c>
      <c r="O795" s="24">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59" t="s">
        <v>22</v>
      </c>
      <c r="L796" s="5" t="str">
        <f t="shared" si="123"/>
        <v>00795</v>
      </c>
      <c r="M796" s="46" t="str">
        <f t="shared" si="124"/>
        <v>23 de enero de 2018</v>
      </c>
      <c r="N796" s="318">
        <f t="shared" si="128"/>
        <v>23</v>
      </c>
      <c r="O796" s="24">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59" t="s">
        <v>22</v>
      </c>
      <c r="L797" s="5" t="str">
        <f t="shared" si="123"/>
        <v>00796</v>
      </c>
      <c r="M797" s="46" t="str">
        <f t="shared" si="124"/>
        <v>24 de enero de 2018</v>
      </c>
      <c r="N797" s="318">
        <f t="shared" si="128"/>
        <v>24</v>
      </c>
      <c r="O797" s="24">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59" t="s">
        <v>22</v>
      </c>
      <c r="L798" s="5" t="str">
        <f t="shared" si="123"/>
        <v>00797</v>
      </c>
      <c r="M798" s="46" t="str">
        <f t="shared" si="124"/>
        <v>14 de diciembre de 2017</v>
      </c>
      <c r="N798" s="318">
        <f t="shared" si="128"/>
        <v>14</v>
      </c>
      <c r="O798" s="24">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59" t="s">
        <v>22</v>
      </c>
      <c r="L799" s="5" t="str">
        <f t="shared" si="123"/>
        <v>00798</v>
      </c>
      <c r="M799" s="46" t="str">
        <f t="shared" si="124"/>
        <v>23 de enero de 2018</v>
      </c>
      <c r="N799" s="318">
        <f t="shared" si="128"/>
        <v>23</v>
      </c>
      <c r="O799" s="24">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59" t="s">
        <v>22</v>
      </c>
      <c r="L800" s="5" t="str">
        <f t="shared" si="123"/>
        <v>00799</v>
      </c>
      <c r="M800" s="46" t="str">
        <f t="shared" si="124"/>
        <v>24 de enero de 2018</v>
      </c>
      <c r="N800" s="318">
        <f t="shared" si="128"/>
        <v>24</v>
      </c>
      <c r="O800" s="24">
        <f t="shared" si="125"/>
        <v>43101</v>
      </c>
      <c r="P800" s="5" t="str">
        <f t="shared" si="132"/>
        <v>1,30</v>
      </c>
      <c r="Q800" s="4" t="e">
        <f t="shared" ca="1" si="133"/>
        <v>#NAME?</v>
      </c>
    </row>
    <row r="801" spans="1:17">
      <c r="A801" s="1">
        <f t="shared" si="129"/>
        <v>800</v>
      </c>
      <c r="C801" s="8" t="s">
        <v>17</v>
      </c>
      <c r="D801" s="2">
        <v>43124</v>
      </c>
      <c r="E801" s="3">
        <f>113600/100000</f>
        <v>1.1359999999999999</v>
      </c>
      <c r="F801" s="22" t="s">
        <v>422</v>
      </c>
      <c r="G801" s="18" t="s">
        <v>58</v>
      </c>
      <c r="H801" t="s">
        <v>423</v>
      </c>
      <c r="I801" s="6" t="s">
        <v>600</v>
      </c>
      <c r="J801" s="59" t="s">
        <v>22</v>
      </c>
      <c r="L801" s="5" t="str">
        <f t="shared" si="123"/>
        <v>00800</v>
      </c>
      <c r="M801" s="46" t="str">
        <f t="shared" si="124"/>
        <v>24 de enero de 2018</v>
      </c>
      <c r="N801" s="318">
        <f t="shared" si="128"/>
        <v>24</v>
      </c>
      <c r="O801" s="24">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59" t="s">
        <v>22</v>
      </c>
      <c r="L802" s="5" t="str">
        <f t="shared" si="123"/>
        <v>00801</v>
      </c>
      <c r="M802" s="46" t="str">
        <f t="shared" si="124"/>
        <v>24 de enero de 2018</v>
      </c>
      <c r="N802" s="318">
        <f t="shared" si="128"/>
        <v>24</v>
      </c>
      <c r="O802" s="24">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59" t="s">
        <v>22</v>
      </c>
      <c r="L803" s="5" t="str">
        <f t="shared" si="123"/>
        <v>00802</v>
      </c>
      <c r="M803" s="46" t="str">
        <f t="shared" si="124"/>
        <v>24 de enero de 2018</v>
      </c>
      <c r="N803" s="318">
        <f t="shared" si="128"/>
        <v>24</v>
      </c>
      <c r="O803" s="24">
        <f t="shared" si="125"/>
        <v>43101</v>
      </c>
      <c r="P803" s="5" t="str">
        <f t="shared" si="132"/>
        <v>1,00</v>
      </c>
      <c r="Q803" s="4" t="e">
        <f t="shared" ca="1" si="133"/>
        <v>#NAME?</v>
      </c>
    </row>
    <row r="804" spans="1:17">
      <c r="A804" s="1">
        <f t="shared" si="129"/>
        <v>803</v>
      </c>
      <c r="C804" s="8" t="s">
        <v>17</v>
      </c>
      <c r="D804" s="2">
        <v>43124</v>
      </c>
      <c r="E804" s="3">
        <f>20000/100000</f>
        <v>0.2</v>
      </c>
      <c r="F804" t="s">
        <v>397</v>
      </c>
      <c r="G804" s="47" t="s">
        <v>29</v>
      </c>
      <c r="H804" t="s">
        <v>398</v>
      </c>
      <c r="I804" s="6" t="s">
        <v>601</v>
      </c>
      <c r="J804" s="59" t="s">
        <v>22</v>
      </c>
      <c r="L804" s="5" t="str">
        <f t="shared" si="123"/>
        <v>00803</v>
      </c>
      <c r="M804" s="46" t="str">
        <f t="shared" si="124"/>
        <v>24 de enero de 2018</v>
      </c>
      <c r="N804" s="318">
        <f t="shared" si="128"/>
        <v>24</v>
      </c>
      <c r="O804" s="24">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59" t="s">
        <v>22</v>
      </c>
      <c r="L805" s="5" t="str">
        <f t="shared" si="123"/>
        <v>00804</v>
      </c>
      <c r="M805" s="46" t="str">
        <f t="shared" si="124"/>
        <v>24 de enero de 2018</v>
      </c>
      <c r="N805" s="318">
        <f t="shared" si="128"/>
        <v>24</v>
      </c>
      <c r="O805" s="24">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59" t="s">
        <v>22</v>
      </c>
      <c r="L806" s="5" t="str">
        <f t="shared" si="123"/>
        <v>00805</v>
      </c>
      <c r="M806" s="46" t="str">
        <f t="shared" si="124"/>
        <v>23 de enero de 2018</v>
      </c>
      <c r="N806" s="318">
        <f t="shared" si="128"/>
        <v>23</v>
      </c>
      <c r="O806" s="24">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59" t="s">
        <v>22</v>
      </c>
      <c r="L807" s="5" t="str">
        <f t="shared" si="123"/>
        <v>00806</v>
      </c>
      <c r="M807" s="46" t="str">
        <f t="shared" si="124"/>
        <v>26 de enero de 2018</v>
      </c>
      <c r="N807" s="318">
        <f t="shared" si="128"/>
        <v>26</v>
      </c>
      <c r="O807" s="24">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59" t="s">
        <v>22</v>
      </c>
      <c r="L808" s="5" t="str">
        <f t="shared" si="123"/>
        <v>00807</v>
      </c>
      <c r="M808" s="46" t="str">
        <f t="shared" si="124"/>
        <v>27 de enero de 2018</v>
      </c>
      <c r="N808" s="318">
        <f t="shared" si="128"/>
        <v>27</v>
      </c>
      <c r="O808" s="24">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59" t="s">
        <v>22</v>
      </c>
      <c r="L809" s="5" t="str">
        <f t="shared" si="123"/>
        <v>00808</v>
      </c>
      <c r="M809" s="46" t="str">
        <f t="shared" si="124"/>
        <v>29 de enero de 2018</v>
      </c>
      <c r="N809" s="318">
        <f t="shared" si="128"/>
        <v>29</v>
      </c>
      <c r="O809" s="24">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59" t="s">
        <v>22</v>
      </c>
      <c r="L810" s="5" t="str">
        <f t="shared" si="123"/>
        <v>00809</v>
      </c>
      <c r="M810" s="46" t="str">
        <f t="shared" si="124"/>
        <v>29 de enero de 2018</v>
      </c>
      <c r="N810" s="318">
        <f t="shared" si="128"/>
        <v>29</v>
      </c>
      <c r="O810" s="24">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59" t="s">
        <v>22</v>
      </c>
      <c r="L811" s="5" t="str">
        <f t="shared" si="123"/>
        <v>00810</v>
      </c>
      <c r="M811" s="46" t="str">
        <f t="shared" si="124"/>
        <v>30 de enero de 2018</v>
      </c>
      <c r="N811" s="318">
        <f t="shared" si="128"/>
        <v>30</v>
      </c>
      <c r="O811" s="24">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59" t="s">
        <v>22</v>
      </c>
      <c r="L812" s="5" t="str">
        <f t="shared" si="123"/>
        <v>00811</v>
      </c>
      <c r="M812" s="46" t="str">
        <f t="shared" si="124"/>
        <v>28 de enero de 2018</v>
      </c>
      <c r="N812" s="318">
        <f t="shared" si="128"/>
        <v>28</v>
      </c>
      <c r="O812" s="24">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59" t="s">
        <v>22</v>
      </c>
      <c r="L813" s="5" t="str">
        <f t="shared" si="123"/>
        <v>00812</v>
      </c>
      <c r="M813" s="46" t="str">
        <f t="shared" si="124"/>
        <v>01 de febrero de 2018</v>
      </c>
      <c r="N813" s="318">
        <f t="shared" si="128"/>
        <v>1</v>
      </c>
      <c r="O813" s="24">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59" t="s">
        <v>22</v>
      </c>
      <c r="L814" s="5" t="str">
        <f t="shared" si="123"/>
        <v>00813</v>
      </c>
      <c r="M814" s="46" t="str">
        <f t="shared" si="124"/>
        <v>01 de febrero de 2018</v>
      </c>
      <c r="N814" s="318">
        <f t="shared" si="128"/>
        <v>1</v>
      </c>
      <c r="O814" s="24">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59" t="s">
        <v>22</v>
      </c>
      <c r="L815" s="5" t="str">
        <f t="shared" si="123"/>
        <v>00814</v>
      </c>
      <c r="M815" s="46" t="str">
        <f t="shared" si="124"/>
        <v>01 de febrero de 2018</v>
      </c>
      <c r="N815" s="318">
        <f t="shared" si="128"/>
        <v>1</v>
      </c>
      <c r="O815" s="24">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59" t="s">
        <v>22</v>
      </c>
      <c r="L816" s="5" t="str">
        <f t="shared" si="123"/>
        <v>00815</v>
      </c>
      <c r="M816" s="46" t="str">
        <f t="shared" si="124"/>
        <v>01 de febrero de 2018</v>
      </c>
      <c r="N816" s="318">
        <f t="shared" si="128"/>
        <v>1</v>
      </c>
      <c r="O816" s="24">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59" t="s">
        <v>22</v>
      </c>
      <c r="L817" s="5" t="str">
        <f t="shared" si="123"/>
        <v>00816</v>
      </c>
      <c r="M817" s="46" t="str">
        <f t="shared" si="124"/>
        <v>01 de febrero de 2018</v>
      </c>
      <c r="N817" s="318">
        <f t="shared" si="128"/>
        <v>1</v>
      </c>
      <c r="O817" s="24">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59" t="s">
        <v>22</v>
      </c>
      <c r="L818" s="5" t="str">
        <f t="shared" si="123"/>
        <v>00817</v>
      </c>
      <c r="M818" s="46" t="str">
        <f t="shared" si="124"/>
        <v>02 de febrero de 2018</v>
      </c>
      <c r="N818" s="318">
        <f t="shared" si="128"/>
        <v>2</v>
      </c>
      <c r="O818" s="24">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59" t="s">
        <v>22</v>
      </c>
      <c r="L819" s="5" t="str">
        <f t="shared" si="123"/>
        <v>00818</v>
      </c>
      <c r="M819" s="46" t="str">
        <f t="shared" si="124"/>
        <v>02 de febrero de 2018</v>
      </c>
      <c r="N819" s="318">
        <f t="shared" si="128"/>
        <v>2</v>
      </c>
      <c r="O819" s="24">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59" t="s">
        <v>22</v>
      </c>
      <c r="L820" s="5" t="str">
        <f t="shared" si="123"/>
        <v>00819</v>
      </c>
      <c r="M820" s="46" t="str">
        <f t="shared" si="124"/>
        <v>05 de febrero de 2018</v>
      </c>
      <c r="N820" s="318">
        <f t="shared" si="128"/>
        <v>5</v>
      </c>
      <c r="O820" s="24">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59" t="s">
        <v>22</v>
      </c>
      <c r="L821" s="5" t="str">
        <f t="shared" si="123"/>
        <v>00820</v>
      </c>
      <c r="M821" s="46" t="str">
        <f t="shared" si="124"/>
        <v>05 de febrero de 2018</v>
      </c>
      <c r="N821" s="318">
        <f t="shared" si="128"/>
        <v>5</v>
      </c>
      <c r="O821" s="24">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59" t="s">
        <v>22</v>
      </c>
      <c r="L822" s="5" t="str">
        <f t="shared" si="123"/>
        <v>00821</v>
      </c>
      <c r="M822" s="46" t="str">
        <f t="shared" si="124"/>
        <v>05 de febrero de 2018</v>
      </c>
      <c r="N822" s="318">
        <f t="shared" si="128"/>
        <v>5</v>
      </c>
      <c r="O822" s="24">
        <f t="shared" si="125"/>
        <v>43132</v>
      </c>
      <c r="P822" s="5" t="str">
        <f t="shared" si="134"/>
        <v>0,80</v>
      </c>
      <c r="Q822" s="4" t="e">
        <f t="shared" ca="1" si="135"/>
        <v>#NAME?</v>
      </c>
    </row>
    <row r="823" spans="1:17">
      <c r="A823" s="175">
        <f t="shared" si="129"/>
        <v>822</v>
      </c>
      <c r="C823" s="8" t="s">
        <v>17</v>
      </c>
      <c r="D823" s="2">
        <v>43136</v>
      </c>
      <c r="E823" s="3">
        <f>80000/100000</f>
        <v>0.8</v>
      </c>
      <c r="F823" t="s">
        <v>438</v>
      </c>
      <c r="G823" t="s">
        <v>439</v>
      </c>
      <c r="H823" t="s">
        <v>440</v>
      </c>
      <c r="I823" s="6" t="s">
        <v>624</v>
      </c>
      <c r="J823" s="59" t="s">
        <v>22</v>
      </c>
      <c r="L823" s="5" t="str">
        <f t="shared" si="123"/>
        <v>00822</v>
      </c>
      <c r="M823" s="46" t="str">
        <f t="shared" si="124"/>
        <v>05 de febrero de 2018</v>
      </c>
      <c r="N823" s="318">
        <f t="shared" si="128"/>
        <v>5</v>
      </c>
      <c r="O823" s="24">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59" t="s">
        <v>22</v>
      </c>
      <c r="L824" s="5" t="str">
        <f t="shared" si="123"/>
        <v>00823</v>
      </c>
      <c r="M824" s="46" t="str">
        <f t="shared" si="124"/>
        <v>06 de febrero de 2018</v>
      </c>
      <c r="N824" s="318">
        <f t="shared" si="128"/>
        <v>6</v>
      </c>
      <c r="O824" s="24">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59" t="s">
        <v>22</v>
      </c>
      <c r="L825" s="5" t="str">
        <f t="shared" si="123"/>
        <v>00824</v>
      </c>
      <c r="M825" s="46" t="str">
        <f t="shared" si="124"/>
        <v>06 de febrero de 2018</v>
      </c>
      <c r="N825" s="318">
        <f t="shared" si="128"/>
        <v>6</v>
      </c>
      <c r="O825" s="24">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59" t="s">
        <v>22</v>
      </c>
      <c r="L826" s="5" t="str">
        <f t="shared" si="123"/>
        <v>00825</v>
      </c>
      <c r="M826" s="46" t="str">
        <f t="shared" si="124"/>
        <v>08 de febrero de 2018</v>
      </c>
      <c r="N826" s="318">
        <f t="shared" si="128"/>
        <v>8</v>
      </c>
      <c r="O826" s="24">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59" t="s">
        <v>22</v>
      </c>
      <c r="L827" s="5" t="str">
        <f t="shared" si="123"/>
        <v>00826</v>
      </c>
      <c r="M827" s="46" t="str">
        <f t="shared" si="124"/>
        <v>09 de febrero de 2018</v>
      </c>
      <c r="N827" s="318">
        <f t="shared" si="128"/>
        <v>9</v>
      </c>
      <c r="O827" s="24">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59" t="s">
        <v>22</v>
      </c>
      <c r="L828" s="5" t="str">
        <f t="shared" si="123"/>
        <v>00827</v>
      </c>
      <c r="M828" s="46" t="str">
        <f t="shared" si="124"/>
        <v>30 de enero de 2018</v>
      </c>
      <c r="N828" s="318">
        <f t="shared" si="128"/>
        <v>30</v>
      </c>
      <c r="O828" s="24">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59" t="s">
        <v>22</v>
      </c>
      <c r="L829" s="5" t="str">
        <f t="shared" si="123"/>
        <v>00828</v>
      </c>
      <c r="M829" s="46" t="str">
        <f t="shared" si="124"/>
        <v>29 de enero de 2018</v>
      </c>
      <c r="N829" s="318">
        <f t="shared" si="128"/>
        <v>29</v>
      </c>
      <c r="O829" s="24">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59" t="s">
        <v>22</v>
      </c>
      <c r="L830" s="5" t="str">
        <f t="shared" si="123"/>
        <v>00829</v>
      </c>
      <c r="M830" s="46" t="str">
        <f t="shared" si="124"/>
        <v>08 de febrero de 2018</v>
      </c>
      <c r="N830" s="318">
        <f t="shared" si="128"/>
        <v>8</v>
      </c>
      <c r="O830" s="24">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59" t="s">
        <v>22</v>
      </c>
      <c r="L831" s="5" t="str">
        <f t="shared" si="123"/>
        <v>00830</v>
      </c>
      <c r="M831" s="46" t="str">
        <f t="shared" si="124"/>
        <v>09 de febrero de 2018</v>
      </c>
      <c r="N831" s="318">
        <f t="shared" si="128"/>
        <v>9</v>
      </c>
      <c r="O831" s="24">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59" t="s">
        <v>22</v>
      </c>
      <c r="L832" s="5" t="str">
        <f t="shared" si="123"/>
        <v>00831</v>
      </c>
      <c r="M832" s="46" t="str">
        <f t="shared" si="124"/>
        <v>09 de febrero de 2018</v>
      </c>
      <c r="N832" s="318">
        <f t="shared" si="128"/>
        <v>9</v>
      </c>
      <c r="O832" s="24">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59" t="s">
        <v>22</v>
      </c>
      <c r="L833" s="5" t="str">
        <f t="shared" si="123"/>
        <v>00832</v>
      </c>
      <c r="M833" s="46" t="str">
        <f t="shared" si="124"/>
        <v>10 de febrero de 2018</v>
      </c>
      <c r="N833" s="318">
        <f t="shared" si="128"/>
        <v>10</v>
      </c>
      <c r="O833" s="24">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59" t="s">
        <v>22</v>
      </c>
      <c r="L834" s="5" t="str">
        <f t="shared" ref="L834:L897" si="136">IF(ISBLANK(A834),"",TEXT(A834,"00000"))</f>
        <v>00833</v>
      </c>
      <c r="M834" s="46" t="str">
        <f t="shared" ref="M834:M897" si="137">IF(ISBLANK(D834),"",TEXT(D834,"dd")&amp;" de "&amp;TEXT(D834,"mmmm")&amp;" de "&amp;TEXT(YEAR(D834),"0"))</f>
        <v>12 de enero de 2018</v>
      </c>
      <c r="N834" s="318">
        <f t="shared" si="128"/>
        <v>12</v>
      </c>
      <c r="O834" s="24">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59" t="s">
        <v>22</v>
      </c>
      <c r="L835" s="5" t="str">
        <f t="shared" si="136"/>
        <v>00834</v>
      </c>
      <c r="M835" s="46" t="str">
        <f t="shared" si="137"/>
        <v>14 de enero de 2018</v>
      </c>
      <c r="N835" s="318">
        <f t="shared" ref="N835:N898" si="139">DAY(D835)</f>
        <v>14</v>
      </c>
      <c r="O835" s="24">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19" t="s">
        <v>57</v>
      </c>
      <c r="G836" s="18" t="s">
        <v>58</v>
      </c>
      <c r="H836" s="20" t="s">
        <v>59</v>
      </c>
      <c r="I836" s="6" t="s">
        <v>616</v>
      </c>
      <c r="J836" s="59" t="s">
        <v>22</v>
      </c>
      <c r="K836" s="21"/>
      <c r="L836" s="5" t="str">
        <f t="shared" si="136"/>
        <v>00835</v>
      </c>
      <c r="M836" s="46" t="str">
        <f t="shared" si="137"/>
        <v>14 de enero de 2018</v>
      </c>
      <c r="N836" s="318">
        <f t="shared" si="139"/>
        <v>14</v>
      </c>
      <c r="O836" s="24">
        <f t="shared" si="138"/>
        <v>43101</v>
      </c>
      <c r="P836" s="5" t="str">
        <f t="shared" si="134"/>
        <v>0,86</v>
      </c>
      <c r="Q836" s="4" t="e">
        <f t="shared" ca="1" si="135"/>
        <v>#NAME?</v>
      </c>
    </row>
    <row r="837" spans="1:17">
      <c r="A837" s="1">
        <f t="shared" si="140"/>
        <v>836</v>
      </c>
      <c r="C837" s="8" t="s">
        <v>17</v>
      </c>
      <c r="D837" s="2">
        <v>43146</v>
      </c>
      <c r="E837" s="3">
        <f>113600/100000</f>
        <v>1.1359999999999999</v>
      </c>
      <c r="F837" s="22" t="s">
        <v>422</v>
      </c>
      <c r="G837" s="18" t="s">
        <v>58</v>
      </c>
      <c r="H837" t="s">
        <v>423</v>
      </c>
      <c r="I837" s="6" t="s">
        <v>616</v>
      </c>
      <c r="J837" s="59" t="s">
        <v>22</v>
      </c>
      <c r="L837" s="5" t="str">
        <f t="shared" si="136"/>
        <v>00836</v>
      </c>
      <c r="M837" s="46" t="str">
        <f t="shared" si="137"/>
        <v>15 de febrero de 2018</v>
      </c>
      <c r="N837" s="318">
        <f t="shared" si="139"/>
        <v>15</v>
      </c>
      <c r="O837" s="24">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59" t="s">
        <v>22</v>
      </c>
      <c r="L838" s="5" t="str">
        <f t="shared" si="136"/>
        <v>00837</v>
      </c>
      <c r="M838" s="46" t="str">
        <f t="shared" si="137"/>
        <v>15 de febrero de 2018</v>
      </c>
      <c r="N838" s="318">
        <f t="shared" si="139"/>
        <v>15</v>
      </c>
      <c r="O838" s="24">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59" t="s">
        <v>22</v>
      </c>
      <c r="L839" s="5" t="str">
        <f t="shared" si="136"/>
        <v>00838</v>
      </c>
      <c r="M839" s="46" t="str">
        <f t="shared" si="137"/>
        <v>15 de febrero de 2018</v>
      </c>
      <c r="N839" s="318">
        <f t="shared" si="139"/>
        <v>15</v>
      </c>
      <c r="O839" s="24">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59" t="s">
        <v>22</v>
      </c>
      <c r="L840" s="5" t="str">
        <f t="shared" si="136"/>
        <v>00839</v>
      </c>
      <c r="M840" s="46" t="str">
        <f t="shared" si="137"/>
        <v>16 de febrero de 2018</v>
      </c>
      <c r="N840" s="318">
        <f t="shared" si="139"/>
        <v>16</v>
      </c>
      <c r="O840" s="24">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59" t="s">
        <v>22</v>
      </c>
      <c r="L841" s="5" t="str">
        <f t="shared" si="136"/>
        <v>00840</v>
      </c>
      <c r="M841" s="46" t="str">
        <f t="shared" si="137"/>
        <v>19 de febrero de 2018</v>
      </c>
      <c r="N841" s="318">
        <f t="shared" si="139"/>
        <v>19</v>
      </c>
      <c r="O841" s="24">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59" t="s">
        <v>22</v>
      </c>
      <c r="L842" s="5" t="str">
        <f t="shared" si="136"/>
        <v>00841</v>
      </c>
      <c r="M842" s="46" t="str">
        <f t="shared" si="137"/>
        <v>20 de febrero de 2018</v>
      </c>
      <c r="N842" s="318">
        <f t="shared" si="139"/>
        <v>20</v>
      </c>
      <c r="O842" s="24">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59" t="s">
        <v>22</v>
      </c>
      <c r="L843" s="5" t="str">
        <f t="shared" si="136"/>
        <v>00842</v>
      </c>
      <c r="M843" s="46" t="str">
        <f t="shared" si="137"/>
        <v>20 de febrero de 2018</v>
      </c>
      <c r="N843" s="318">
        <f t="shared" si="139"/>
        <v>20</v>
      </c>
      <c r="O843" s="24">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59" t="s">
        <v>22</v>
      </c>
      <c r="L844" s="5" t="str">
        <f t="shared" si="136"/>
        <v>00843</v>
      </c>
      <c r="M844" s="46" t="str">
        <f t="shared" si="137"/>
        <v>20 de febrero de 2018</v>
      </c>
      <c r="N844" s="318">
        <f t="shared" si="139"/>
        <v>20</v>
      </c>
      <c r="O844" s="24">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59" t="s">
        <v>22</v>
      </c>
      <c r="L845" s="5" t="str">
        <f t="shared" si="136"/>
        <v>00844</v>
      </c>
      <c r="M845" s="46" t="str">
        <f t="shared" si="137"/>
        <v>20 de febrero de 2018</v>
      </c>
      <c r="N845" s="318">
        <f t="shared" si="139"/>
        <v>20</v>
      </c>
      <c r="O845" s="24">
        <f t="shared" si="138"/>
        <v>43132</v>
      </c>
      <c r="P845" s="5" t="str">
        <f t="shared" si="141"/>
        <v>0,50</v>
      </c>
      <c r="Q845" s="4" t="e">
        <f t="shared" ca="1" si="142"/>
        <v>#NAME?</v>
      </c>
    </row>
    <row r="846" spans="1:17">
      <c r="A846" s="1">
        <f t="shared" si="140"/>
        <v>845</v>
      </c>
      <c r="C846" s="8" t="s">
        <v>17</v>
      </c>
      <c r="D846" s="2">
        <v>43151</v>
      </c>
      <c r="E846" s="3">
        <f>20000/100000</f>
        <v>0.2</v>
      </c>
      <c r="F846" t="s">
        <v>397</v>
      </c>
      <c r="G846" s="47" t="s">
        <v>29</v>
      </c>
      <c r="H846" t="s">
        <v>398</v>
      </c>
      <c r="I846" s="6" t="s">
        <v>626</v>
      </c>
      <c r="J846" s="59" t="s">
        <v>22</v>
      </c>
      <c r="L846" s="5" t="str">
        <f t="shared" si="136"/>
        <v>00845</v>
      </c>
      <c r="M846" s="46" t="str">
        <f t="shared" si="137"/>
        <v>20 de febrero de 2018</v>
      </c>
      <c r="N846" s="318">
        <f t="shared" si="139"/>
        <v>20</v>
      </c>
      <c r="O846" s="24">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59" t="s">
        <v>22</v>
      </c>
      <c r="L847" s="5" t="str">
        <f t="shared" si="136"/>
        <v>00846</v>
      </c>
      <c r="M847" s="46" t="str">
        <f t="shared" si="137"/>
        <v>21 de febrero de 2018</v>
      </c>
      <c r="N847" s="318">
        <f t="shared" si="139"/>
        <v>21</v>
      </c>
      <c r="O847" s="24">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59" t="s">
        <v>22</v>
      </c>
      <c r="L848" s="5" t="str">
        <f t="shared" si="136"/>
        <v>00847</v>
      </c>
      <c r="M848" s="46" t="str">
        <f t="shared" si="137"/>
        <v>22 de febrero de 2018</v>
      </c>
      <c r="N848" s="318">
        <f t="shared" si="139"/>
        <v>22</v>
      </c>
      <c r="O848" s="24">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59" t="s">
        <v>22</v>
      </c>
      <c r="L849" s="5" t="str">
        <f t="shared" si="136"/>
        <v>00848</v>
      </c>
      <c r="M849" s="46" t="str">
        <f t="shared" si="137"/>
        <v>23 de febrero de 2018</v>
      </c>
      <c r="N849" s="318">
        <f t="shared" si="139"/>
        <v>23</v>
      </c>
      <c r="O849" s="24">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59" t="s">
        <v>22</v>
      </c>
      <c r="L850" s="5" t="str">
        <f t="shared" si="136"/>
        <v>00849</v>
      </c>
      <c r="M850" s="46" t="str">
        <f t="shared" si="137"/>
        <v>24 de febrero de 2018</v>
      </c>
      <c r="N850" s="318">
        <f t="shared" si="139"/>
        <v>24</v>
      </c>
      <c r="O850" s="24">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59" t="s">
        <v>22</v>
      </c>
      <c r="L851" s="5" t="str">
        <f t="shared" si="136"/>
        <v>00850</v>
      </c>
      <c r="M851" s="46" t="str">
        <f t="shared" si="137"/>
        <v>24 de febrero de 2018</v>
      </c>
      <c r="N851" s="318">
        <f t="shared" si="139"/>
        <v>24</v>
      </c>
      <c r="O851" s="24">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59" t="s">
        <v>22</v>
      </c>
      <c r="L852" s="5" t="str">
        <f t="shared" si="136"/>
        <v>00851</v>
      </c>
      <c r="M852" s="46" t="str">
        <f t="shared" si="137"/>
        <v>25 de febrero de 2018</v>
      </c>
      <c r="N852" s="318">
        <f t="shared" si="139"/>
        <v>25</v>
      </c>
      <c r="O852" s="24">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59" t="s">
        <v>22</v>
      </c>
      <c r="L853" s="5" t="str">
        <f t="shared" si="136"/>
        <v>00852</v>
      </c>
      <c r="M853" s="46" t="str">
        <f t="shared" si="137"/>
        <v>25 de febrero de 2018</v>
      </c>
      <c r="N853" s="318">
        <f t="shared" si="139"/>
        <v>25</v>
      </c>
      <c r="O853" s="24">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59" t="s">
        <v>22</v>
      </c>
      <c r="L854" s="5" t="str">
        <f t="shared" si="136"/>
        <v>00853</v>
      </c>
      <c r="M854" s="46" t="str">
        <f t="shared" si="137"/>
        <v>26 de febrero de 2018</v>
      </c>
      <c r="N854" s="318">
        <f t="shared" si="139"/>
        <v>26</v>
      </c>
      <c r="O854" s="24">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59" t="s">
        <v>22</v>
      </c>
      <c r="L855" s="5" t="str">
        <f t="shared" si="136"/>
        <v>00854</v>
      </c>
      <c r="M855" s="46" t="str">
        <f t="shared" si="137"/>
        <v>26 de febrero de 2018</v>
      </c>
      <c r="N855" s="318">
        <f t="shared" si="139"/>
        <v>26</v>
      </c>
      <c r="O855" s="24">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59" t="s">
        <v>22</v>
      </c>
      <c r="L856" s="5" t="str">
        <f t="shared" si="136"/>
        <v>00855</v>
      </c>
      <c r="M856" s="46" t="str">
        <f t="shared" si="137"/>
        <v>26 de febrero de 2018</v>
      </c>
      <c r="N856" s="318">
        <f t="shared" si="139"/>
        <v>26</v>
      </c>
      <c r="O856" s="24">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59" t="s">
        <v>22</v>
      </c>
      <c r="L857" s="5" t="str">
        <f t="shared" si="136"/>
        <v>00856</v>
      </c>
      <c r="M857" s="46" t="str">
        <f t="shared" si="137"/>
        <v>24 de febrero de 2018</v>
      </c>
      <c r="N857" s="318">
        <f t="shared" si="139"/>
        <v>24</v>
      </c>
      <c r="O857" s="24">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59" t="s">
        <v>22</v>
      </c>
      <c r="L858" s="5" t="str">
        <f t="shared" si="136"/>
        <v>00857</v>
      </c>
      <c r="M858" s="46" t="str">
        <f t="shared" si="137"/>
        <v>25 de febrero de 2018</v>
      </c>
      <c r="N858" s="318">
        <f t="shared" si="139"/>
        <v>25</v>
      </c>
      <c r="O858" s="24">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59" t="s">
        <v>22</v>
      </c>
      <c r="L859" s="5" t="str">
        <f t="shared" si="136"/>
        <v>00858</v>
      </c>
      <c r="M859" s="46" t="str">
        <f t="shared" si="137"/>
        <v>26 de febrero de 2018</v>
      </c>
      <c r="N859" s="318">
        <f t="shared" si="139"/>
        <v>26</v>
      </c>
      <c r="O859" s="24">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59" t="s">
        <v>22</v>
      </c>
      <c r="L860" s="5" t="str">
        <f t="shared" si="136"/>
        <v>00859</v>
      </c>
      <c r="M860" s="46" t="str">
        <f t="shared" si="137"/>
        <v>22 de enero de 2018</v>
      </c>
      <c r="N860" s="318">
        <f t="shared" si="139"/>
        <v>22</v>
      </c>
      <c r="O860" s="24">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59" t="s">
        <v>22</v>
      </c>
      <c r="L861" s="5" t="str">
        <f t="shared" si="136"/>
        <v>00860</v>
      </c>
      <c r="M861" s="46" t="str">
        <f t="shared" si="137"/>
        <v>26 de febrero de 2018</v>
      </c>
      <c r="N861" s="318">
        <f t="shared" si="139"/>
        <v>26</v>
      </c>
      <c r="O861" s="24">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59" t="s">
        <v>22</v>
      </c>
      <c r="L862" s="5" t="str">
        <f t="shared" si="136"/>
        <v>00861</v>
      </c>
      <c r="M862" s="46" t="str">
        <f t="shared" si="137"/>
        <v>27 de febrero de 2018</v>
      </c>
      <c r="N862" s="318">
        <f t="shared" si="139"/>
        <v>27</v>
      </c>
      <c r="O862" s="24">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59" t="s">
        <v>22</v>
      </c>
      <c r="L863" s="5" t="str">
        <f t="shared" si="136"/>
        <v>00862</v>
      </c>
      <c r="M863" s="46" t="str">
        <f t="shared" si="137"/>
        <v>27 de febrero de 2018</v>
      </c>
      <c r="N863" s="318">
        <f t="shared" si="139"/>
        <v>27</v>
      </c>
      <c r="O863" s="24">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59" t="s">
        <v>22</v>
      </c>
      <c r="L864" s="5" t="str">
        <f t="shared" si="136"/>
        <v>00863</v>
      </c>
      <c r="M864" s="46" t="str">
        <f t="shared" si="137"/>
        <v>27 de febrero de 2018</v>
      </c>
      <c r="N864" s="318">
        <f t="shared" si="139"/>
        <v>27</v>
      </c>
      <c r="O864" s="24">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59" t="s">
        <v>22</v>
      </c>
      <c r="L865" s="5" t="str">
        <f t="shared" si="136"/>
        <v>00864</v>
      </c>
      <c r="M865" s="46" t="str">
        <f t="shared" si="137"/>
        <v>27 de febrero de 2018</v>
      </c>
      <c r="N865" s="318">
        <f t="shared" si="139"/>
        <v>27</v>
      </c>
      <c r="O865" s="24">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59" t="s">
        <v>22</v>
      </c>
      <c r="L866" s="5" t="str">
        <f t="shared" si="136"/>
        <v>00865</v>
      </c>
      <c r="M866" s="46" t="str">
        <f t="shared" si="137"/>
        <v>28 de febrero de 2018</v>
      </c>
      <c r="N866" s="318">
        <f t="shared" si="139"/>
        <v>28</v>
      </c>
      <c r="O866" s="24">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59" t="s">
        <v>22</v>
      </c>
      <c r="L867" s="5" t="str">
        <f t="shared" si="136"/>
        <v>00866</v>
      </c>
      <c r="M867" s="46" t="str">
        <f t="shared" si="137"/>
        <v>28 de febrero de 2018</v>
      </c>
      <c r="N867" s="318">
        <f t="shared" si="139"/>
        <v>28</v>
      </c>
      <c r="O867" s="24">
        <f t="shared" si="138"/>
        <v>43132</v>
      </c>
      <c r="P867" s="5" t="str">
        <f t="shared" si="143"/>
        <v>0,80</v>
      </c>
      <c r="Q867" s="4" t="e">
        <f t="shared" ca="1" si="144"/>
        <v>#NAME?</v>
      </c>
    </row>
    <row r="868" spans="1:17">
      <c r="A868" s="1">
        <f t="shared" si="140"/>
        <v>867</v>
      </c>
      <c r="C868" s="8" t="s">
        <v>17</v>
      </c>
      <c r="D868" s="2">
        <v>43159</v>
      </c>
      <c r="E868" s="3">
        <f>180000/100000</f>
        <v>1.8</v>
      </c>
      <c r="F868" t="s">
        <v>239</v>
      </c>
      <c r="G868" s="71" t="s">
        <v>240</v>
      </c>
      <c r="H868" t="s">
        <v>241</v>
      </c>
      <c r="I868" s="6" t="s">
        <v>608</v>
      </c>
      <c r="J868" s="59" t="s">
        <v>22</v>
      </c>
      <c r="L868" s="5" t="str">
        <f t="shared" si="136"/>
        <v>00867</v>
      </c>
      <c r="M868" s="46" t="str">
        <f t="shared" si="137"/>
        <v>28 de febrero de 2018</v>
      </c>
      <c r="N868" s="318">
        <f t="shared" si="139"/>
        <v>28</v>
      </c>
      <c r="O868" s="24">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59" t="s">
        <v>22</v>
      </c>
      <c r="L869" s="5" t="str">
        <f t="shared" si="136"/>
        <v>00868</v>
      </c>
      <c r="M869" s="46" t="str">
        <f t="shared" si="137"/>
        <v>28 de febrero de 2018</v>
      </c>
      <c r="N869" s="318">
        <f t="shared" si="139"/>
        <v>28</v>
      </c>
      <c r="O869" s="24">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59" t="s">
        <v>22</v>
      </c>
      <c r="L870" s="5" t="str">
        <f t="shared" si="136"/>
        <v>00869</v>
      </c>
      <c r="M870" s="46" t="str">
        <f t="shared" si="137"/>
        <v>01 de marzo de 2018</v>
      </c>
      <c r="N870" s="318">
        <f t="shared" si="139"/>
        <v>1</v>
      </c>
      <c r="O870" s="24">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59" t="s">
        <v>22</v>
      </c>
      <c r="L871" s="5" t="str">
        <f t="shared" si="136"/>
        <v>00870</v>
      </c>
      <c r="M871" s="46" t="str">
        <f t="shared" si="137"/>
        <v>01 de marzo de 2018</v>
      </c>
      <c r="N871" s="318">
        <f t="shared" si="139"/>
        <v>1</v>
      </c>
      <c r="O871" s="24">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59" t="s">
        <v>22</v>
      </c>
      <c r="L872" s="5" t="str">
        <f t="shared" si="136"/>
        <v>00871</v>
      </c>
      <c r="M872" s="46" t="str">
        <f t="shared" si="137"/>
        <v>02 de marzo de 2018</v>
      </c>
      <c r="N872" s="318">
        <f t="shared" si="139"/>
        <v>2</v>
      </c>
      <c r="O872" s="24">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59" t="s">
        <v>22</v>
      </c>
      <c r="L873" s="5" t="str">
        <f t="shared" si="136"/>
        <v>00872</v>
      </c>
      <c r="M873" s="46" t="str">
        <f t="shared" si="137"/>
        <v>02 de marzo de 2018</v>
      </c>
      <c r="N873" s="318">
        <f t="shared" si="139"/>
        <v>2</v>
      </c>
      <c r="O873" s="24">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59" t="s">
        <v>22</v>
      </c>
      <c r="L874" s="5" t="str">
        <f t="shared" si="136"/>
        <v>00873</v>
      </c>
      <c r="M874" s="46" t="str">
        <f t="shared" si="137"/>
        <v>02 de marzo de 2018</v>
      </c>
      <c r="N874" s="318">
        <f t="shared" si="139"/>
        <v>2</v>
      </c>
      <c r="O874" s="24">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59" t="s">
        <v>22</v>
      </c>
      <c r="L875" s="5" t="str">
        <f t="shared" si="136"/>
        <v>00874</v>
      </c>
      <c r="M875" s="46" t="str">
        <f t="shared" si="137"/>
        <v>02 de marzo de 2018</v>
      </c>
      <c r="N875" s="318">
        <f t="shared" si="139"/>
        <v>2</v>
      </c>
      <c r="O875" s="24">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59" t="s">
        <v>22</v>
      </c>
      <c r="L876" s="5" t="str">
        <f t="shared" si="136"/>
        <v>00875</v>
      </c>
      <c r="M876" s="46" t="str">
        <f t="shared" si="137"/>
        <v>02 de marzo de 2018</v>
      </c>
      <c r="N876" s="318">
        <f t="shared" si="139"/>
        <v>2</v>
      </c>
      <c r="O876" s="24">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59" t="s">
        <v>22</v>
      </c>
      <c r="L877" s="5" t="str">
        <f t="shared" si="136"/>
        <v>00876</v>
      </c>
      <c r="M877" s="46" t="str">
        <f t="shared" si="137"/>
        <v>02 de marzo de 2018</v>
      </c>
      <c r="N877" s="318">
        <f t="shared" si="139"/>
        <v>2</v>
      </c>
      <c r="O877" s="24">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59" t="s">
        <v>22</v>
      </c>
      <c r="L878" s="5" t="str">
        <f t="shared" si="136"/>
        <v>00877</v>
      </c>
      <c r="M878" s="46" t="str">
        <f t="shared" si="137"/>
        <v>02 de marzo de 2018</v>
      </c>
      <c r="N878" s="318">
        <f t="shared" si="139"/>
        <v>2</v>
      </c>
      <c r="O878" s="24">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59" t="s">
        <v>22</v>
      </c>
      <c r="L879" s="5" t="str">
        <f t="shared" si="136"/>
        <v>00878</v>
      </c>
      <c r="M879" s="46" t="str">
        <f t="shared" si="137"/>
        <v>05 de marzo de 2018</v>
      </c>
      <c r="N879" s="318">
        <f t="shared" si="139"/>
        <v>5</v>
      </c>
      <c r="O879" s="24">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59" t="s">
        <v>22</v>
      </c>
      <c r="L880" s="5" t="str">
        <f t="shared" si="136"/>
        <v>00879</v>
      </c>
      <c r="M880" s="46" t="str">
        <f t="shared" si="137"/>
        <v>22 de enero de 2018</v>
      </c>
      <c r="N880" s="318">
        <f t="shared" si="139"/>
        <v>22</v>
      </c>
      <c r="O880" s="24">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59" t="s">
        <v>22</v>
      </c>
      <c r="L881" s="5" t="str">
        <f t="shared" si="136"/>
        <v>00880</v>
      </c>
      <c r="M881" s="46" t="str">
        <f t="shared" si="137"/>
        <v>07 de marzo de 2018</v>
      </c>
      <c r="N881" s="318">
        <f t="shared" si="139"/>
        <v>7</v>
      </c>
      <c r="O881" s="24">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59" t="s">
        <v>22</v>
      </c>
      <c r="L882" s="5" t="str">
        <f t="shared" si="136"/>
        <v>00881</v>
      </c>
      <c r="M882" s="46" t="str">
        <f t="shared" si="137"/>
        <v>07 de marzo de 2018</v>
      </c>
      <c r="N882" s="318">
        <f t="shared" si="139"/>
        <v>7</v>
      </c>
      <c r="O882" s="24">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59" t="s">
        <v>22</v>
      </c>
      <c r="L883" s="5" t="str">
        <f t="shared" si="136"/>
        <v>00882</v>
      </c>
      <c r="M883" s="46" t="str">
        <f t="shared" si="137"/>
        <v>07 de marzo de 2018</v>
      </c>
      <c r="N883" s="318">
        <f t="shared" si="139"/>
        <v>7</v>
      </c>
      <c r="O883" s="24">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59" t="s">
        <v>22</v>
      </c>
      <c r="L884" s="5" t="str">
        <f t="shared" si="136"/>
        <v>00883</v>
      </c>
      <c r="M884" s="46" t="str">
        <f t="shared" si="137"/>
        <v>09 de marzo de 2018</v>
      </c>
      <c r="N884" s="318">
        <f t="shared" si="139"/>
        <v>9</v>
      </c>
      <c r="O884" s="24">
        <f t="shared" si="138"/>
        <v>43160</v>
      </c>
      <c r="P884" s="5" t="str">
        <f t="shared" si="145"/>
        <v>1,40</v>
      </c>
      <c r="Q884" s="4" t="e">
        <f t="shared" ca="1" si="146"/>
        <v>#NAME?</v>
      </c>
    </row>
    <row r="885" spans="1:17">
      <c r="A885" s="175">
        <f t="shared" si="140"/>
        <v>884</v>
      </c>
      <c r="C885" s="8" t="s">
        <v>17</v>
      </c>
      <c r="D885" s="2">
        <v>43168</v>
      </c>
      <c r="E885" s="3">
        <f>140000/100000</f>
        <v>1.4</v>
      </c>
      <c r="F885" t="s">
        <v>438</v>
      </c>
      <c r="G885" t="s">
        <v>439</v>
      </c>
      <c r="H885" t="s">
        <v>440</v>
      </c>
      <c r="I885" s="6" t="s">
        <v>649</v>
      </c>
      <c r="J885" s="59" t="s">
        <v>22</v>
      </c>
      <c r="L885" s="5" t="str">
        <f t="shared" si="136"/>
        <v>00884</v>
      </c>
      <c r="M885" s="46" t="str">
        <f t="shared" si="137"/>
        <v>09 de marzo de 2018</v>
      </c>
      <c r="N885" s="318">
        <f t="shared" si="139"/>
        <v>9</v>
      </c>
      <c r="O885" s="24">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59" t="s">
        <v>22</v>
      </c>
      <c r="L886" s="5" t="str">
        <f t="shared" si="136"/>
        <v>00885</v>
      </c>
      <c r="M886" s="46" t="str">
        <f t="shared" si="137"/>
        <v>12 de marzo de 2018</v>
      </c>
      <c r="N886" s="318">
        <f t="shared" si="139"/>
        <v>12</v>
      </c>
      <c r="O886" s="24">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59" t="s">
        <v>22</v>
      </c>
      <c r="L887" s="5" t="str">
        <f t="shared" si="136"/>
        <v>00886</v>
      </c>
      <c r="M887" s="46" t="str">
        <f t="shared" si="137"/>
        <v>12 de marzo de 2018</v>
      </c>
      <c r="N887" s="318">
        <f t="shared" si="139"/>
        <v>12</v>
      </c>
      <c r="O887" s="24">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59" t="s">
        <v>22</v>
      </c>
      <c r="L888" s="5" t="str">
        <f t="shared" si="136"/>
        <v>00887</v>
      </c>
      <c r="M888" s="46" t="str">
        <f t="shared" si="137"/>
        <v>12 de marzo de 2018</v>
      </c>
      <c r="N888" s="318">
        <f t="shared" si="139"/>
        <v>12</v>
      </c>
      <c r="O888" s="24">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59" t="s">
        <v>22</v>
      </c>
      <c r="L889" s="5" t="str">
        <f t="shared" si="136"/>
        <v>00888</v>
      </c>
      <c r="M889" s="46" t="str">
        <f t="shared" si="137"/>
        <v>22 de febrero de 2018</v>
      </c>
      <c r="N889" s="318">
        <f t="shared" si="139"/>
        <v>22</v>
      </c>
      <c r="O889" s="24">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59" t="s">
        <v>22</v>
      </c>
      <c r="L890" s="5" t="str">
        <f t="shared" si="136"/>
        <v>00889</v>
      </c>
      <c r="M890" s="46" t="str">
        <f t="shared" si="137"/>
        <v>02 de marzo de 2018</v>
      </c>
      <c r="N890" s="318">
        <f t="shared" si="139"/>
        <v>2</v>
      </c>
      <c r="O890" s="24">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59" t="s">
        <v>22</v>
      </c>
      <c r="L891" s="5" t="str">
        <f t="shared" si="136"/>
        <v>00890</v>
      </c>
      <c r="M891" s="46" t="str">
        <f t="shared" si="137"/>
        <v>13 de marzo de 2018</v>
      </c>
      <c r="N891" s="318">
        <f t="shared" si="139"/>
        <v>13</v>
      </c>
      <c r="O891" s="24">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59" t="s">
        <v>22</v>
      </c>
      <c r="L892" s="5" t="str">
        <f t="shared" si="136"/>
        <v>00891</v>
      </c>
      <c r="M892" s="46" t="str">
        <f t="shared" si="137"/>
        <v>14 de marzo de 2018</v>
      </c>
      <c r="N892" s="318">
        <f t="shared" si="139"/>
        <v>14</v>
      </c>
      <c r="O892" s="24">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59" t="s">
        <v>22</v>
      </c>
      <c r="L893" s="5" t="str">
        <f t="shared" si="136"/>
        <v>00892</v>
      </c>
      <c r="M893" s="46" t="str">
        <f t="shared" si="137"/>
        <v>14 de marzo de 2018</v>
      </c>
      <c r="N893" s="318">
        <f t="shared" si="139"/>
        <v>14</v>
      </c>
      <c r="O893" s="24">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59" t="s">
        <v>652</v>
      </c>
      <c r="L894" s="5" t="str">
        <f t="shared" si="136"/>
        <v>00893</v>
      </c>
      <c r="M894" s="46" t="str">
        <f t="shared" si="137"/>
        <v>14 de marzo de 2018</v>
      </c>
      <c r="N894" s="318">
        <f t="shared" si="139"/>
        <v>14</v>
      </c>
      <c r="O894" s="24">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59" t="s">
        <v>22</v>
      </c>
      <c r="L895" s="5" t="str">
        <f t="shared" si="136"/>
        <v>00894</v>
      </c>
      <c r="M895" s="46" t="str">
        <f t="shared" si="137"/>
        <v>14 de marzo de 2018</v>
      </c>
      <c r="N895" s="318">
        <f t="shared" si="139"/>
        <v>14</v>
      </c>
      <c r="O895" s="24">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59" t="s">
        <v>22</v>
      </c>
      <c r="L896" s="5" t="str">
        <f t="shared" si="136"/>
        <v>00895</v>
      </c>
      <c r="M896" s="46" t="str">
        <f t="shared" si="137"/>
        <v>14 de marzo de 2018</v>
      </c>
      <c r="N896" s="318">
        <f t="shared" si="139"/>
        <v>14</v>
      </c>
      <c r="O896" s="24">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59" t="s">
        <v>22</v>
      </c>
      <c r="L897" s="5" t="str">
        <f t="shared" si="136"/>
        <v>00896</v>
      </c>
      <c r="M897" s="46" t="str">
        <f t="shared" si="137"/>
        <v>16 de marzo de 2018</v>
      </c>
      <c r="N897" s="318">
        <f t="shared" si="139"/>
        <v>16</v>
      </c>
      <c r="O897" s="24">
        <f t="shared" si="138"/>
        <v>43160</v>
      </c>
      <c r="P897" s="5" t="str">
        <f t="shared" si="145"/>
        <v>1,40</v>
      </c>
      <c r="Q897" s="4" t="e">
        <f t="shared" ca="1" si="146"/>
        <v>#NAME?</v>
      </c>
    </row>
    <row r="898" spans="1:17">
      <c r="A898" s="1">
        <f t="shared" si="147"/>
        <v>897</v>
      </c>
      <c r="C898" s="8" t="s">
        <v>17</v>
      </c>
      <c r="D898" s="2">
        <v>43175</v>
      </c>
      <c r="E898" s="3">
        <f>155000/100000</f>
        <v>1.55</v>
      </c>
      <c r="F898" s="19" t="s">
        <v>57</v>
      </c>
      <c r="G898" s="18" t="s">
        <v>58</v>
      </c>
      <c r="H898" s="20" t="s">
        <v>59</v>
      </c>
      <c r="I898" s="6" t="s">
        <v>630</v>
      </c>
      <c r="J898" s="59" t="s">
        <v>22</v>
      </c>
      <c r="K898" s="21"/>
      <c r="L898" s="5" t="str">
        <f t="shared" ref="L898:L961" si="148">IF(ISBLANK(A898),"",TEXT(A898,"00000"))</f>
        <v>00897</v>
      </c>
      <c r="M898" s="46" t="str">
        <f t="shared" ref="M898:M961" si="149">IF(ISBLANK(D898),"",TEXT(D898,"dd")&amp;" de "&amp;TEXT(D898,"mmmm")&amp;" de "&amp;TEXT(YEAR(D898),"0"))</f>
        <v>16 de marzo de 2018</v>
      </c>
      <c r="N898" s="318">
        <f t="shared" si="139"/>
        <v>16</v>
      </c>
      <c r="O898" s="24">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59" t="s">
        <v>22</v>
      </c>
      <c r="L899" s="5" t="str">
        <f t="shared" si="148"/>
        <v>00898</v>
      </c>
      <c r="M899" s="46" t="str">
        <f t="shared" si="149"/>
        <v>19 de marzo de 2018</v>
      </c>
      <c r="N899" s="318">
        <f t="shared" ref="N899:N962" si="151">DAY(D899)</f>
        <v>19</v>
      </c>
      <c r="O899" s="24">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59" t="s">
        <v>22</v>
      </c>
      <c r="L900" s="5" t="str">
        <f t="shared" si="148"/>
        <v>00899</v>
      </c>
      <c r="M900" s="46" t="str">
        <f t="shared" si="149"/>
        <v>20 de marzo de 2018</v>
      </c>
      <c r="N900" s="318">
        <f t="shared" si="151"/>
        <v>20</v>
      </c>
      <c r="O900" s="24">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59" t="s">
        <v>22</v>
      </c>
      <c r="L901" s="5" t="str">
        <f t="shared" si="148"/>
        <v>00900</v>
      </c>
      <c r="M901" s="46" t="str">
        <f t="shared" si="149"/>
        <v>20 de marzo de 2018</v>
      </c>
      <c r="N901" s="318">
        <f t="shared" si="151"/>
        <v>20</v>
      </c>
      <c r="O901" s="24">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59" t="s">
        <v>22</v>
      </c>
      <c r="L902" s="5" t="str">
        <f t="shared" si="148"/>
        <v>00901</v>
      </c>
      <c r="M902" s="46" t="str">
        <f t="shared" si="149"/>
        <v>28 de febrero de 2018</v>
      </c>
      <c r="N902" s="318">
        <f t="shared" si="151"/>
        <v>28</v>
      </c>
      <c r="O902" s="24">
        <f t="shared" si="150"/>
        <v>43132</v>
      </c>
      <c r="P902" s="5" t="str">
        <f t="shared" si="145"/>
        <v>0,80</v>
      </c>
      <c r="Q902" s="4" t="e">
        <f t="shared" ca="1" si="146"/>
        <v>#NAME?</v>
      </c>
    </row>
    <row r="903" spans="1:17">
      <c r="A903" s="1">
        <f t="shared" si="147"/>
        <v>902</v>
      </c>
      <c r="C903" s="8" t="s">
        <v>17</v>
      </c>
      <c r="D903" s="2">
        <v>43180</v>
      </c>
      <c r="E903" s="3">
        <f>200000/100000</f>
        <v>2</v>
      </c>
      <c r="F903" s="22" t="s">
        <v>422</v>
      </c>
      <c r="G903" s="18" t="s">
        <v>58</v>
      </c>
      <c r="H903" t="s">
        <v>423</v>
      </c>
      <c r="I903" s="6" t="s">
        <v>630</v>
      </c>
      <c r="J903" s="59" t="s">
        <v>22</v>
      </c>
      <c r="L903" s="5" t="str">
        <f t="shared" si="148"/>
        <v>00902</v>
      </c>
      <c r="M903" s="46" t="str">
        <f t="shared" si="149"/>
        <v>21 de marzo de 2018</v>
      </c>
      <c r="N903" s="318">
        <f t="shared" si="151"/>
        <v>21</v>
      </c>
      <c r="O903" s="24">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59" t="s">
        <v>22</v>
      </c>
      <c r="L904" s="5" t="str">
        <f t="shared" si="148"/>
        <v>00903</v>
      </c>
      <c r="M904" s="46" t="str">
        <f t="shared" si="149"/>
        <v>21 de marzo de 2018</v>
      </c>
      <c r="N904" s="318">
        <f t="shared" si="151"/>
        <v>21</v>
      </c>
      <c r="O904" s="24">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59" t="s">
        <v>22</v>
      </c>
      <c r="L905" s="5" t="str">
        <f t="shared" si="148"/>
        <v>00904</v>
      </c>
      <c r="M905" s="46" t="str">
        <f t="shared" si="149"/>
        <v>21 de marzo de 2018</v>
      </c>
      <c r="N905" s="318">
        <f t="shared" si="151"/>
        <v>21</v>
      </c>
      <c r="O905" s="24">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59" t="s">
        <v>22</v>
      </c>
      <c r="L906" s="5" t="str">
        <f t="shared" si="148"/>
        <v>00905</v>
      </c>
      <c r="M906" s="46" t="str">
        <f t="shared" si="149"/>
        <v>21 de marzo de 2018</v>
      </c>
      <c r="N906" s="318">
        <f t="shared" si="151"/>
        <v>21</v>
      </c>
      <c r="O906" s="24">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59" t="s">
        <v>22</v>
      </c>
      <c r="L907" s="5" t="str">
        <f t="shared" si="148"/>
        <v>00906</v>
      </c>
      <c r="M907" s="46" t="str">
        <f t="shared" si="149"/>
        <v>23 de marzo de 2018</v>
      </c>
      <c r="N907" s="318">
        <f t="shared" si="151"/>
        <v>23</v>
      </c>
      <c r="O907" s="24">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59" t="s">
        <v>22</v>
      </c>
      <c r="L908" s="5" t="str">
        <f t="shared" si="148"/>
        <v>00907</v>
      </c>
      <c r="M908" s="46" t="str">
        <f t="shared" si="149"/>
        <v>23 de marzo de 2018</v>
      </c>
      <c r="N908" s="318">
        <f t="shared" si="151"/>
        <v>23</v>
      </c>
      <c r="O908" s="24">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59" t="s">
        <v>22</v>
      </c>
      <c r="L909" s="5" t="str">
        <f t="shared" si="148"/>
        <v>00908</v>
      </c>
      <c r="M909" s="46" t="str">
        <f t="shared" si="149"/>
        <v>26 de marzo de 2018</v>
      </c>
      <c r="N909" s="318">
        <f t="shared" si="151"/>
        <v>26</v>
      </c>
      <c r="O909" s="24">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59" t="s">
        <v>22</v>
      </c>
      <c r="L910" s="5" t="str">
        <f t="shared" si="148"/>
        <v>00909</v>
      </c>
      <c r="M910" s="46" t="str">
        <f t="shared" si="149"/>
        <v>26 de marzo de 2018</v>
      </c>
      <c r="N910" s="318">
        <f t="shared" si="151"/>
        <v>26</v>
      </c>
      <c r="O910" s="24">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59" t="s">
        <v>22</v>
      </c>
      <c r="L911" s="5" t="str">
        <f t="shared" si="148"/>
        <v>00910</v>
      </c>
      <c r="M911" s="46" t="str">
        <f t="shared" si="149"/>
        <v>26 de marzo de 2018</v>
      </c>
      <c r="N911" s="318">
        <f t="shared" si="151"/>
        <v>26</v>
      </c>
      <c r="O911" s="24">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59" t="s">
        <v>22</v>
      </c>
      <c r="L912" s="5" t="str">
        <f t="shared" si="148"/>
        <v>00911</v>
      </c>
      <c r="M912" s="46" t="str">
        <f t="shared" si="149"/>
        <v>26 de marzo de 2018</v>
      </c>
      <c r="N912" s="318">
        <f t="shared" si="151"/>
        <v>26</v>
      </c>
      <c r="O912" s="24">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59" t="s">
        <v>22</v>
      </c>
      <c r="L913" s="5" t="str">
        <f t="shared" si="148"/>
        <v>00912</v>
      </c>
      <c r="M913" s="46" t="str">
        <f t="shared" si="149"/>
        <v>26 de marzo de 2018</v>
      </c>
      <c r="N913" s="318">
        <f t="shared" si="151"/>
        <v>26</v>
      </c>
      <c r="O913" s="24">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59" t="s">
        <v>22</v>
      </c>
      <c r="L914" s="5" t="str">
        <f t="shared" si="148"/>
        <v>00913</v>
      </c>
      <c r="M914" s="46" t="str">
        <f t="shared" si="149"/>
        <v>26 de marzo de 2018</v>
      </c>
      <c r="N914" s="318">
        <f t="shared" si="151"/>
        <v>26</v>
      </c>
      <c r="O914" s="24">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59" t="s">
        <v>22</v>
      </c>
      <c r="L915" s="5" t="str">
        <f t="shared" si="148"/>
        <v>00914</v>
      </c>
      <c r="M915" s="46" t="str">
        <f t="shared" si="149"/>
        <v>28 de marzo de 2018</v>
      </c>
      <c r="N915" s="318">
        <f t="shared" si="151"/>
        <v>28</v>
      </c>
      <c r="O915" s="24">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59" t="s">
        <v>22</v>
      </c>
      <c r="L916" s="5" t="str">
        <f t="shared" si="148"/>
        <v>00915</v>
      </c>
      <c r="M916" s="46" t="str">
        <f t="shared" si="149"/>
        <v>28 de marzo de 2018</v>
      </c>
      <c r="N916" s="318">
        <f t="shared" si="151"/>
        <v>28</v>
      </c>
      <c r="O916" s="24">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59" t="s">
        <v>22</v>
      </c>
      <c r="L917" s="5" t="str">
        <f t="shared" si="148"/>
        <v>00916</v>
      </c>
      <c r="M917" s="46" t="str">
        <f t="shared" si="149"/>
        <v>28 de marzo de 2018</v>
      </c>
      <c r="N917" s="318">
        <f t="shared" si="151"/>
        <v>28</v>
      </c>
      <c r="O917" s="24">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59" t="s">
        <v>22</v>
      </c>
      <c r="L918" s="5" t="str">
        <f t="shared" si="148"/>
        <v>00917</v>
      </c>
      <c r="M918" s="46" t="str">
        <f t="shared" si="149"/>
        <v>28 de marzo de 2018</v>
      </c>
      <c r="N918" s="318">
        <f t="shared" si="151"/>
        <v>28</v>
      </c>
      <c r="O918" s="24">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59" t="s">
        <v>22</v>
      </c>
      <c r="L919" s="5" t="str">
        <f t="shared" si="148"/>
        <v>00918</v>
      </c>
      <c r="M919" s="46" t="str">
        <f t="shared" si="149"/>
        <v>30 de marzo de 2018</v>
      </c>
      <c r="N919" s="318">
        <f t="shared" si="151"/>
        <v>30</v>
      </c>
      <c r="O919" s="24">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59" t="s">
        <v>22</v>
      </c>
      <c r="L920" s="5" t="str">
        <f t="shared" si="148"/>
        <v>00919</v>
      </c>
      <c r="M920" s="46" t="str">
        <f t="shared" si="149"/>
        <v>30 de marzo de 2018</v>
      </c>
      <c r="N920" s="318">
        <f t="shared" si="151"/>
        <v>30</v>
      </c>
      <c r="O920" s="24">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59" t="s">
        <v>22</v>
      </c>
      <c r="L921" s="5" t="str">
        <f t="shared" si="148"/>
        <v>00920</v>
      </c>
      <c r="M921" s="46" t="str">
        <f t="shared" si="149"/>
        <v>30 de marzo de 2018</v>
      </c>
      <c r="N921" s="318">
        <f t="shared" si="151"/>
        <v>30</v>
      </c>
      <c r="O921" s="24">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59" t="s">
        <v>22</v>
      </c>
      <c r="L922" s="5" t="str">
        <f t="shared" si="148"/>
        <v>00921</v>
      </c>
      <c r="M922" s="46" t="str">
        <f t="shared" si="149"/>
        <v>02 de abril de 2018</v>
      </c>
      <c r="N922" s="318">
        <f t="shared" si="151"/>
        <v>2</v>
      </c>
      <c r="O922" s="24">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59" t="s">
        <v>22</v>
      </c>
      <c r="L923" s="5" t="str">
        <f t="shared" si="148"/>
        <v>00922</v>
      </c>
      <c r="M923" s="46" t="str">
        <f t="shared" si="149"/>
        <v>04 de abril de 2018</v>
      </c>
      <c r="N923" s="318">
        <f t="shared" si="151"/>
        <v>4</v>
      </c>
      <c r="O923" s="24">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59" t="s">
        <v>22</v>
      </c>
      <c r="L924" s="5" t="str">
        <f t="shared" si="148"/>
        <v>00923</v>
      </c>
      <c r="M924" s="46" t="str">
        <f t="shared" si="149"/>
        <v>03 de abril de 2018</v>
      </c>
      <c r="N924" s="318">
        <f t="shared" si="151"/>
        <v>3</v>
      </c>
      <c r="O924" s="24">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59" t="s">
        <v>22</v>
      </c>
      <c r="L925" s="5" t="str">
        <f t="shared" si="148"/>
        <v>00924</v>
      </c>
      <c r="M925" s="46" t="str">
        <f t="shared" si="149"/>
        <v>04 de abril de 2018</v>
      </c>
      <c r="N925" s="318">
        <f t="shared" si="151"/>
        <v>4</v>
      </c>
      <c r="O925" s="24">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59" t="s">
        <v>22</v>
      </c>
      <c r="L926" s="5" t="str">
        <f t="shared" si="148"/>
        <v>00925</v>
      </c>
      <c r="M926" s="46" t="str">
        <f t="shared" si="149"/>
        <v>04 de abril de 2018</v>
      </c>
      <c r="N926" s="318">
        <f t="shared" si="151"/>
        <v>4</v>
      </c>
      <c r="O926" s="24">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59" t="s">
        <v>22</v>
      </c>
      <c r="L927" s="5" t="str">
        <f t="shared" si="148"/>
        <v>00926</v>
      </c>
      <c r="M927" s="46" t="str">
        <f t="shared" si="149"/>
        <v>04 de abril de 2018</v>
      </c>
      <c r="N927" s="318">
        <f t="shared" si="151"/>
        <v>4</v>
      </c>
      <c r="O927" s="24">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59" t="s">
        <v>22</v>
      </c>
      <c r="L928" s="5" t="str">
        <f t="shared" si="148"/>
        <v>00927</v>
      </c>
      <c r="M928" s="46" t="str">
        <f t="shared" si="149"/>
        <v>04 de abril de 2018</v>
      </c>
      <c r="N928" s="318">
        <f t="shared" si="151"/>
        <v>4</v>
      </c>
      <c r="O928" s="24">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59" t="s">
        <v>22</v>
      </c>
      <c r="L929" s="5" t="str">
        <f t="shared" si="148"/>
        <v>00928</v>
      </c>
      <c r="M929" s="46" t="str">
        <f t="shared" si="149"/>
        <v>04 de abril de 2018</v>
      </c>
      <c r="N929" s="318">
        <f t="shared" si="151"/>
        <v>4</v>
      </c>
      <c r="O929" s="24">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59" t="s">
        <v>22</v>
      </c>
      <c r="L930" s="5" t="str">
        <f t="shared" si="148"/>
        <v>00929</v>
      </c>
      <c r="M930" s="46" t="str">
        <f t="shared" si="149"/>
        <v>04 de abril de 2018</v>
      </c>
      <c r="N930" s="318">
        <f t="shared" si="151"/>
        <v>4</v>
      </c>
      <c r="O930" s="24">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59" t="s">
        <v>22</v>
      </c>
      <c r="L931" s="5" t="str">
        <f t="shared" si="148"/>
        <v>00930</v>
      </c>
      <c r="M931" s="46" t="str">
        <f t="shared" si="149"/>
        <v>04 de abril de 2018</v>
      </c>
      <c r="N931" s="318">
        <f t="shared" si="151"/>
        <v>4</v>
      </c>
      <c r="O931" s="24">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59" t="s">
        <v>673</v>
      </c>
      <c r="L932" s="5" t="str">
        <f t="shared" si="148"/>
        <v>00931</v>
      </c>
      <c r="M932" s="46" t="str">
        <f t="shared" si="149"/>
        <v>04 de abril de 2018</v>
      </c>
      <c r="N932" s="318">
        <f t="shared" si="151"/>
        <v>4</v>
      </c>
      <c r="O932" s="24">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59" t="s">
        <v>22</v>
      </c>
      <c r="L933" s="5" t="str">
        <f t="shared" si="148"/>
        <v>00932</v>
      </c>
      <c r="M933" s="46" t="str">
        <f t="shared" si="149"/>
        <v>05 de abril de 2018</v>
      </c>
      <c r="N933" s="318">
        <f t="shared" si="151"/>
        <v>5</v>
      </c>
      <c r="O933" s="24">
        <f t="shared" si="150"/>
        <v>43191</v>
      </c>
      <c r="P933" s="5" t="str">
        <f t="shared" si="156"/>
        <v>1,40</v>
      </c>
      <c r="Q933" s="4" t="e">
        <f t="shared" ca="1" si="157"/>
        <v>#NAME?</v>
      </c>
    </row>
    <row r="934" spans="1:17">
      <c r="A934" s="175">
        <f t="shared" si="147"/>
        <v>933</v>
      </c>
      <c r="C934" s="8" t="s">
        <v>17</v>
      </c>
      <c r="D934" s="2">
        <v>43195</v>
      </c>
      <c r="E934" s="3">
        <f>140000/100000</f>
        <v>1.4</v>
      </c>
      <c r="F934" t="s">
        <v>438</v>
      </c>
      <c r="G934" t="s">
        <v>439</v>
      </c>
      <c r="H934" t="s">
        <v>440</v>
      </c>
      <c r="I934" s="6" t="s">
        <v>675</v>
      </c>
      <c r="J934" s="59" t="s">
        <v>22</v>
      </c>
      <c r="L934" s="5" t="str">
        <f t="shared" si="148"/>
        <v>00933</v>
      </c>
      <c r="M934" s="46" t="str">
        <f t="shared" si="149"/>
        <v>05 de abril de 2018</v>
      </c>
      <c r="N934" s="318">
        <f t="shared" si="151"/>
        <v>5</v>
      </c>
      <c r="O934" s="24">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59" t="s">
        <v>22</v>
      </c>
      <c r="L935" s="5" t="str">
        <f t="shared" si="148"/>
        <v>00934</v>
      </c>
      <c r="M935" s="46" t="str">
        <f t="shared" si="149"/>
        <v>05 de abril de 2018</v>
      </c>
      <c r="N935" s="318">
        <f t="shared" si="151"/>
        <v>5</v>
      </c>
      <c r="O935" s="24">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59" t="s">
        <v>22</v>
      </c>
      <c r="L936" s="5" t="str">
        <f t="shared" si="148"/>
        <v>00935</v>
      </c>
      <c r="M936" s="46" t="str">
        <f t="shared" si="149"/>
        <v>05 de abril de 2018</v>
      </c>
      <c r="N936" s="318">
        <f t="shared" si="151"/>
        <v>5</v>
      </c>
      <c r="O936" s="24">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59" t="s">
        <v>22</v>
      </c>
      <c r="L937" s="5" t="str">
        <f t="shared" si="148"/>
        <v>00936</v>
      </c>
      <c r="M937" s="46" t="str">
        <f t="shared" si="149"/>
        <v>05 de abril de 2018</v>
      </c>
      <c r="N937" s="318">
        <f t="shared" si="151"/>
        <v>5</v>
      </c>
      <c r="O937" s="24">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1" t="s">
        <v>240</v>
      </c>
      <c r="H938" t="s">
        <v>241</v>
      </c>
      <c r="I938" s="6" t="s">
        <v>632</v>
      </c>
      <c r="J938" s="59" t="s">
        <v>22</v>
      </c>
      <c r="L938" s="5" t="str">
        <f t="shared" si="148"/>
        <v>00937</v>
      </c>
      <c r="M938" s="46" t="str">
        <f t="shared" si="149"/>
        <v>05 de abril de 2018</v>
      </c>
      <c r="N938" s="318">
        <f t="shared" si="151"/>
        <v>5</v>
      </c>
      <c r="O938" s="24">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59" t="s">
        <v>22</v>
      </c>
      <c r="L939" s="5" t="str">
        <f t="shared" si="148"/>
        <v>00938</v>
      </c>
      <c r="M939" s="46" t="str">
        <f t="shared" si="149"/>
        <v>05 de abril de 2018</v>
      </c>
      <c r="N939" s="318">
        <f t="shared" si="151"/>
        <v>5</v>
      </c>
      <c r="O939" s="24">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59" t="s">
        <v>22</v>
      </c>
      <c r="L940" s="5" t="str">
        <f t="shared" si="148"/>
        <v>00939</v>
      </c>
      <c r="M940" s="46" t="str">
        <f t="shared" si="149"/>
        <v>05 de abril de 2018</v>
      </c>
      <c r="N940" s="318">
        <f t="shared" si="151"/>
        <v>5</v>
      </c>
      <c r="O940" s="24">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59" t="s">
        <v>22</v>
      </c>
      <c r="L941" s="5" t="str">
        <f t="shared" si="148"/>
        <v>00940</v>
      </c>
      <c r="M941" s="46" t="str">
        <f t="shared" si="149"/>
        <v>05 de abril de 2018</v>
      </c>
      <c r="N941" s="318">
        <f t="shared" si="151"/>
        <v>5</v>
      </c>
      <c r="O941" s="24">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59" t="s">
        <v>673</v>
      </c>
      <c r="L942" s="5" t="str">
        <f t="shared" si="148"/>
        <v>00941</v>
      </c>
      <c r="M942" s="46" t="str">
        <f t="shared" si="149"/>
        <v>05 de abril de 2018</v>
      </c>
      <c r="N942" s="318">
        <f t="shared" si="151"/>
        <v>5</v>
      </c>
      <c r="O942" s="24">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59" t="s">
        <v>22</v>
      </c>
      <c r="L943" s="5" t="str">
        <f t="shared" si="148"/>
        <v>00942</v>
      </c>
      <c r="M943" s="46" t="str">
        <f t="shared" si="149"/>
        <v>09 de diciembre de 2017</v>
      </c>
      <c r="N943" s="318">
        <f t="shared" si="151"/>
        <v>9</v>
      </c>
      <c r="O943" s="24">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59" t="s">
        <v>22</v>
      </c>
      <c r="L944" s="5" t="str">
        <f t="shared" si="148"/>
        <v>00943</v>
      </c>
      <c r="M944" s="46" t="str">
        <f t="shared" si="149"/>
        <v>06 de abril de 2018</v>
      </c>
      <c r="N944" s="318">
        <f t="shared" si="151"/>
        <v>6</v>
      </c>
      <c r="O944" s="24">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59" t="s">
        <v>22</v>
      </c>
      <c r="L945" s="5" t="str">
        <f t="shared" si="148"/>
        <v>00944</v>
      </c>
      <c r="M945" s="46" t="str">
        <f t="shared" si="149"/>
        <v>06 de abril de 2018</v>
      </c>
      <c r="N945" s="318">
        <f t="shared" si="151"/>
        <v>6</v>
      </c>
      <c r="O945" s="24">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59" t="s">
        <v>22</v>
      </c>
      <c r="L946" s="5" t="str">
        <f t="shared" si="148"/>
        <v>00945</v>
      </c>
      <c r="M946" s="46" t="str">
        <f t="shared" si="149"/>
        <v>07 de abril de 2018</v>
      </c>
      <c r="N946" s="318">
        <f t="shared" si="151"/>
        <v>7</v>
      </c>
      <c r="O946" s="24">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59" t="s">
        <v>22</v>
      </c>
      <c r="L947" s="5" t="str">
        <f t="shared" si="148"/>
        <v>00946</v>
      </c>
      <c r="M947" s="46" t="str">
        <f t="shared" si="149"/>
        <v>08 de abril de 2018</v>
      </c>
      <c r="N947" s="318">
        <f t="shared" si="151"/>
        <v>8</v>
      </c>
      <c r="O947" s="24">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59" t="s">
        <v>22</v>
      </c>
      <c r="L948" s="5" t="str">
        <f t="shared" si="148"/>
        <v>00947</v>
      </c>
      <c r="M948" s="46" t="str">
        <f t="shared" si="149"/>
        <v>08 de abril de 2018</v>
      </c>
      <c r="N948" s="318">
        <f t="shared" si="151"/>
        <v>8</v>
      </c>
      <c r="O948" s="24">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59" t="s">
        <v>22</v>
      </c>
      <c r="L949" s="5" t="str">
        <f t="shared" si="148"/>
        <v>00948</v>
      </c>
      <c r="M949" s="46" t="str">
        <f t="shared" si="149"/>
        <v>10 de abril de 2018</v>
      </c>
      <c r="N949" s="318">
        <f t="shared" si="151"/>
        <v>10</v>
      </c>
      <c r="O949" s="24">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59" t="s">
        <v>22</v>
      </c>
      <c r="L950" s="5" t="str">
        <f t="shared" si="148"/>
        <v>00949</v>
      </c>
      <c r="M950" s="46" t="str">
        <f t="shared" si="149"/>
        <v>10 de abril de 2018</v>
      </c>
      <c r="N950" s="318">
        <f t="shared" si="151"/>
        <v>10</v>
      </c>
      <c r="O950" s="24">
        <f t="shared" si="150"/>
        <v>43191</v>
      </c>
      <c r="P950" s="5" t="str">
        <f t="shared" si="156"/>
        <v>2,00</v>
      </c>
      <c r="Q950" s="4" t="e">
        <f t="shared" ca="1" si="157"/>
        <v>#NAME?</v>
      </c>
    </row>
    <row r="951" spans="1:17">
      <c r="A951" s="1">
        <f t="shared" si="158"/>
        <v>950</v>
      </c>
      <c r="C951" s="8" t="s">
        <v>17</v>
      </c>
      <c r="D951" s="2">
        <v>43201</v>
      </c>
      <c r="E951" s="3">
        <f>200000/100000</f>
        <v>2</v>
      </c>
      <c r="F951" s="22" t="s">
        <v>422</v>
      </c>
      <c r="G951" s="18" t="s">
        <v>58</v>
      </c>
      <c r="H951" t="s">
        <v>423</v>
      </c>
      <c r="I951" s="6" t="s">
        <v>668</v>
      </c>
      <c r="J951" s="59" t="s">
        <v>22</v>
      </c>
      <c r="L951" s="5" t="str">
        <f t="shared" si="148"/>
        <v>00950</v>
      </c>
      <c r="M951" s="46" t="str">
        <f t="shared" si="149"/>
        <v>11 de abril de 2018</v>
      </c>
      <c r="N951" s="318">
        <f t="shared" si="151"/>
        <v>11</v>
      </c>
      <c r="O951" s="24">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59" t="s">
        <v>22</v>
      </c>
      <c r="L952" s="5" t="str">
        <f t="shared" si="148"/>
        <v>00951</v>
      </c>
      <c r="M952" s="46" t="str">
        <f t="shared" si="149"/>
        <v>11 de abril de 2018</v>
      </c>
      <c r="N952" s="318">
        <f t="shared" si="151"/>
        <v>11</v>
      </c>
      <c r="O952" s="24">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59" t="s">
        <v>22</v>
      </c>
      <c r="L953" s="5" t="str">
        <f t="shared" si="148"/>
        <v>00952</v>
      </c>
      <c r="M953" s="46" t="str">
        <f t="shared" si="149"/>
        <v>11 de abril de 2018</v>
      </c>
      <c r="N953" s="318">
        <f t="shared" si="151"/>
        <v>11</v>
      </c>
      <c r="O953" s="24">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59" t="s">
        <v>22</v>
      </c>
      <c r="L954" s="5" t="str">
        <f t="shared" si="148"/>
        <v>00953</v>
      </c>
      <c r="M954" s="46" t="str">
        <f t="shared" si="149"/>
        <v>13 de abril de 2018</v>
      </c>
      <c r="N954" s="318">
        <f t="shared" si="151"/>
        <v>13</v>
      </c>
      <c r="O954" s="24">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59" t="s">
        <v>673</v>
      </c>
      <c r="L955" s="5" t="str">
        <f t="shared" si="148"/>
        <v>00954</v>
      </c>
      <c r="M955" s="46" t="str">
        <f t="shared" si="149"/>
        <v>13 de abril de 2018</v>
      </c>
      <c r="N955" s="318">
        <f t="shared" si="151"/>
        <v>13</v>
      </c>
      <c r="O955" s="24">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59" t="s">
        <v>22</v>
      </c>
      <c r="L956" s="5" t="str">
        <f t="shared" si="148"/>
        <v>00955</v>
      </c>
      <c r="M956" s="46" t="str">
        <f t="shared" si="149"/>
        <v>13 de abril de 2018</v>
      </c>
      <c r="N956" s="318">
        <f t="shared" si="151"/>
        <v>13</v>
      </c>
      <c r="O956" s="24">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59" t="s">
        <v>673</v>
      </c>
      <c r="L957" s="5" t="str">
        <f t="shared" si="148"/>
        <v>00956</v>
      </c>
      <c r="M957" s="46" t="str">
        <f t="shared" si="149"/>
        <v>13 de abril de 2018</v>
      </c>
      <c r="N957" s="318">
        <f t="shared" si="151"/>
        <v>13</v>
      </c>
      <c r="O957" s="24">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59" t="s">
        <v>22</v>
      </c>
      <c r="L958" s="5" t="str">
        <f t="shared" si="148"/>
        <v>00957</v>
      </c>
      <c r="M958" s="46" t="str">
        <f t="shared" si="149"/>
        <v>13 de abril de 2018</v>
      </c>
      <c r="N958" s="318">
        <f t="shared" si="151"/>
        <v>13</v>
      </c>
      <c r="O958" s="24">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59" t="s">
        <v>22</v>
      </c>
      <c r="L959" s="5" t="str">
        <f t="shared" si="148"/>
        <v>00958</v>
      </c>
      <c r="M959" s="46" t="str">
        <f t="shared" si="149"/>
        <v>13 de abril de 2018</v>
      </c>
      <c r="N959" s="318">
        <f t="shared" si="151"/>
        <v>13</v>
      </c>
      <c r="O959" s="24">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59" t="s">
        <v>22</v>
      </c>
      <c r="L960" s="5" t="str">
        <f t="shared" si="148"/>
        <v>00959</v>
      </c>
      <c r="M960" s="46" t="str">
        <f t="shared" si="149"/>
        <v>16 de abril de 2018</v>
      </c>
      <c r="N960" s="318">
        <f t="shared" si="151"/>
        <v>16</v>
      </c>
      <c r="O960" s="24">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59" t="s">
        <v>22</v>
      </c>
      <c r="L961" s="5" t="str">
        <f t="shared" si="148"/>
        <v>00960</v>
      </c>
      <c r="M961" s="46" t="str">
        <f t="shared" si="149"/>
        <v>17 de abril de 2018</v>
      </c>
      <c r="N961" s="318">
        <f t="shared" si="151"/>
        <v>17</v>
      </c>
      <c r="O961" s="24">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59" t="s">
        <v>22</v>
      </c>
      <c r="L962" s="5" t="str">
        <f t="shared" ref="L962:L1025" si="161">IF(ISBLANK(A962),"",TEXT(A962,"00000"))</f>
        <v>00961</v>
      </c>
      <c r="M962" s="46" t="str">
        <f t="shared" ref="M962:M1025" si="162">IF(ISBLANK(D962),"",TEXT(D962,"dd")&amp;" de "&amp;TEXT(D962,"mmmm")&amp;" de "&amp;TEXT(YEAR(D962),"0"))</f>
        <v>17 de abril de 2018</v>
      </c>
      <c r="N962" s="318">
        <f t="shared" si="151"/>
        <v>17</v>
      </c>
      <c r="O962" s="24">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59" t="s">
        <v>22</v>
      </c>
      <c r="L963" s="5" t="str">
        <f t="shared" si="161"/>
        <v>00962</v>
      </c>
      <c r="M963" s="46" t="str">
        <f t="shared" si="162"/>
        <v>19 de abril de 2018</v>
      </c>
      <c r="N963" s="318">
        <f t="shared" ref="N963:N1026" si="164">DAY(D963)</f>
        <v>19</v>
      </c>
      <c r="O963" s="24">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59" t="s">
        <v>22</v>
      </c>
      <c r="L964" s="5" t="str">
        <f t="shared" si="161"/>
        <v>00963</v>
      </c>
      <c r="M964" s="46" t="str">
        <f t="shared" si="162"/>
        <v>16 de abril de 2018</v>
      </c>
      <c r="N964" s="318">
        <f t="shared" si="164"/>
        <v>16</v>
      </c>
      <c r="O964" s="24">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59" t="s">
        <v>22</v>
      </c>
      <c r="L965" s="5" t="str">
        <f t="shared" si="161"/>
        <v>00964</v>
      </c>
      <c r="M965" s="46" t="str">
        <f t="shared" si="162"/>
        <v>20 de abril de 2018</v>
      </c>
      <c r="N965" s="318">
        <f t="shared" si="164"/>
        <v>20</v>
      </c>
      <c r="O965" s="24">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59" t="s">
        <v>673</v>
      </c>
      <c r="L966" s="5" t="str">
        <f t="shared" si="161"/>
        <v>00965</v>
      </c>
      <c r="M966" s="46" t="str">
        <f t="shared" si="162"/>
        <v>20 de abril de 2018</v>
      </c>
      <c r="N966" s="318">
        <f t="shared" si="164"/>
        <v>20</v>
      </c>
      <c r="O966" s="24">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59" t="s">
        <v>22</v>
      </c>
      <c r="L967" s="5" t="str">
        <f t="shared" si="161"/>
        <v>00966</v>
      </c>
      <c r="M967" s="46" t="str">
        <f t="shared" si="162"/>
        <v>21 de abril de 2018</v>
      </c>
      <c r="N967" s="318">
        <f t="shared" si="164"/>
        <v>21</v>
      </c>
      <c r="O967" s="24">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59" t="s">
        <v>22</v>
      </c>
      <c r="L968" s="5" t="str">
        <f t="shared" si="161"/>
        <v>00967</v>
      </c>
      <c r="M968" s="46" t="str">
        <f t="shared" si="162"/>
        <v>21 de abril de 2018</v>
      </c>
      <c r="N968" s="318">
        <f t="shared" si="164"/>
        <v>21</v>
      </c>
      <c r="O968" s="24">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59" t="s">
        <v>22</v>
      </c>
      <c r="L969" s="5" t="str">
        <f t="shared" si="161"/>
        <v>00968</v>
      </c>
      <c r="M969" s="46" t="str">
        <f t="shared" si="162"/>
        <v>22 de abril de 2018</v>
      </c>
      <c r="N969" s="318">
        <f t="shared" si="164"/>
        <v>22</v>
      </c>
      <c r="O969" s="24">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59" t="s">
        <v>673</v>
      </c>
      <c r="L970" s="5" t="str">
        <f t="shared" si="161"/>
        <v>00969</v>
      </c>
      <c r="M970" s="46" t="str">
        <f t="shared" si="162"/>
        <v>22 de abril de 2018</v>
      </c>
      <c r="N970" s="318">
        <f t="shared" si="164"/>
        <v>22</v>
      </c>
      <c r="O970" s="24">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59" t="s">
        <v>22</v>
      </c>
      <c r="L971" s="5" t="str">
        <f t="shared" si="161"/>
        <v>00970</v>
      </c>
      <c r="M971" s="46" t="str">
        <f t="shared" si="162"/>
        <v>23 de abril de 2018</v>
      </c>
      <c r="N971" s="318">
        <f t="shared" si="164"/>
        <v>23</v>
      </c>
      <c r="O971" s="24">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59" t="s">
        <v>673</v>
      </c>
      <c r="L972" s="5" t="str">
        <f t="shared" si="161"/>
        <v>00971</v>
      </c>
      <c r="M972" s="46" t="str">
        <f t="shared" si="162"/>
        <v>23 de abril de 2018</v>
      </c>
      <c r="N972" s="318">
        <f t="shared" si="164"/>
        <v>23</v>
      </c>
      <c r="O972" s="24">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59" t="s">
        <v>22</v>
      </c>
      <c r="L973" s="5" t="str">
        <f t="shared" si="161"/>
        <v>00972</v>
      </c>
      <c r="M973" s="46" t="str">
        <f t="shared" si="162"/>
        <v>24 de abril de 2018</v>
      </c>
      <c r="N973" s="318">
        <f t="shared" si="164"/>
        <v>24</v>
      </c>
      <c r="O973" s="24">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59" t="s">
        <v>22</v>
      </c>
      <c r="L974" s="5" t="str">
        <f t="shared" si="161"/>
        <v>00973</v>
      </c>
      <c r="M974" s="46" t="str">
        <f t="shared" si="162"/>
        <v>25 de abril de 2018</v>
      </c>
      <c r="N974" s="318">
        <f t="shared" si="164"/>
        <v>25</v>
      </c>
      <c r="O974" s="24">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59" t="s">
        <v>22</v>
      </c>
      <c r="L975" s="5" t="str">
        <f t="shared" si="161"/>
        <v>00974</v>
      </c>
      <c r="M975" s="46" t="str">
        <f t="shared" si="162"/>
        <v>26 de abril de 2018</v>
      </c>
      <c r="N975" s="318">
        <f t="shared" si="164"/>
        <v>26</v>
      </c>
      <c r="O975" s="24">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59" t="s">
        <v>22</v>
      </c>
      <c r="L976" s="5" t="str">
        <f t="shared" si="161"/>
        <v>00975</v>
      </c>
      <c r="M976" s="46" t="str">
        <f t="shared" si="162"/>
        <v>26 de abril de 2018</v>
      </c>
      <c r="N976" s="318">
        <f t="shared" si="164"/>
        <v>26</v>
      </c>
      <c r="O976" s="24">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59" t="s">
        <v>22</v>
      </c>
      <c r="L977" s="5" t="str">
        <f t="shared" si="161"/>
        <v>00976</v>
      </c>
      <c r="M977" s="46" t="str">
        <f t="shared" si="162"/>
        <v>26 de abril de 2018</v>
      </c>
      <c r="N977" s="318">
        <f t="shared" si="164"/>
        <v>26</v>
      </c>
      <c r="O977" s="24">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59" t="s">
        <v>673</v>
      </c>
      <c r="L978" s="5" t="str">
        <f t="shared" si="161"/>
        <v>00977</v>
      </c>
      <c r="M978" s="46" t="str">
        <f t="shared" si="162"/>
        <v>26 de abril de 2018</v>
      </c>
      <c r="N978" s="318">
        <f t="shared" si="164"/>
        <v>26</v>
      </c>
      <c r="O978" s="24">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59" t="s">
        <v>22</v>
      </c>
      <c r="L979" s="5" t="str">
        <f t="shared" si="161"/>
        <v>00978</v>
      </c>
      <c r="M979" s="46" t="str">
        <f t="shared" si="162"/>
        <v>26 de abril de 2018</v>
      </c>
      <c r="N979" s="318">
        <f t="shared" si="164"/>
        <v>26</v>
      </c>
      <c r="O979" s="24">
        <f t="shared" si="163"/>
        <v>43191</v>
      </c>
      <c r="P979" s="5" t="str">
        <f t="shared" si="159"/>
        <v>3,00</v>
      </c>
      <c r="Q979" s="4" t="e">
        <f t="shared" ca="1" si="160"/>
        <v>#NAME?</v>
      </c>
    </row>
    <row r="980" spans="1:17">
      <c r="A980" s="316">
        <f t="shared" si="158"/>
        <v>979</v>
      </c>
      <c r="B980" s="541"/>
      <c r="C980" s="12" t="s">
        <v>225</v>
      </c>
      <c r="D980" s="17">
        <v>43216</v>
      </c>
      <c r="E980" s="13">
        <f>160000/100000</f>
        <v>1.6</v>
      </c>
      <c r="F980" s="14" t="s">
        <v>230</v>
      </c>
      <c r="G980" s="14" t="s">
        <v>231</v>
      </c>
      <c r="H980" s="14" t="s">
        <v>232</v>
      </c>
      <c r="I980" s="15" t="s">
        <v>686</v>
      </c>
      <c r="J980" s="60" t="s">
        <v>426</v>
      </c>
      <c r="K980" s="16"/>
      <c r="L980" s="5" t="str">
        <f t="shared" si="161"/>
        <v>00979</v>
      </c>
      <c r="M980" s="46" t="str">
        <f t="shared" si="162"/>
        <v>26 de abril de 2018</v>
      </c>
      <c r="N980" s="318">
        <f t="shared" si="164"/>
        <v>26</v>
      </c>
      <c r="O980" s="24">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59" t="s">
        <v>22</v>
      </c>
      <c r="L981" s="5" t="str">
        <f t="shared" si="161"/>
        <v>00980</v>
      </c>
      <c r="M981" s="46" t="str">
        <f t="shared" si="162"/>
        <v>26 de abril de 2018</v>
      </c>
      <c r="N981" s="318">
        <f t="shared" si="164"/>
        <v>26</v>
      </c>
      <c r="O981" s="24">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59" t="s">
        <v>22</v>
      </c>
      <c r="L982" s="5" t="str">
        <f t="shared" si="161"/>
        <v>00981</v>
      </c>
      <c r="M982" s="46" t="str">
        <f t="shared" si="162"/>
        <v>26 de abril de 2018</v>
      </c>
      <c r="N982" s="318">
        <f t="shared" si="164"/>
        <v>26</v>
      </c>
      <c r="O982" s="24">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59" t="s">
        <v>22</v>
      </c>
      <c r="L983" s="5" t="str">
        <f t="shared" si="161"/>
        <v>00982</v>
      </c>
      <c r="M983" s="46" t="str">
        <f t="shared" si="162"/>
        <v>30 de abril de 2018</v>
      </c>
      <c r="N983" s="318">
        <f t="shared" si="164"/>
        <v>30</v>
      </c>
      <c r="O983" s="24">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59" t="s">
        <v>22</v>
      </c>
      <c r="L984" s="5" t="str">
        <f t="shared" si="161"/>
        <v>00983</v>
      </c>
      <c r="M984" s="46" t="str">
        <f t="shared" si="162"/>
        <v>03 de mayo de 2018</v>
      </c>
      <c r="N984" s="318">
        <f t="shared" si="164"/>
        <v>3</v>
      </c>
      <c r="O984" s="24">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59" t="s">
        <v>22</v>
      </c>
      <c r="L985" s="5" t="str">
        <f t="shared" si="161"/>
        <v>00984</v>
      </c>
      <c r="M985" s="46" t="str">
        <f t="shared" si="162"/>
        <v>03 de mayo de 2018</v>
      </c>
      <c r="N985" s="318">
        <f t="shared" si="164"/>
        <v>3</v>
      </c>
      <c r="O985" s="24">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59" t="s">
        <v>22</v>
      </c>
      <c r="L986" s="5" t="str">
        <f t="shared" si="161"/>
        <v>00985</v>
      </c>
      <c r="M986" s="46" t="str">
        <f t="shared" si="162"/>
        <v>03 de mayo de 2018</v>
      </c>
      <c r="N986" s="318">
        <f t="shared" si="164"/>
        <v>3</v>
      </c>
      <c r="O986" s="24">
        <f t="shared" si="163"/>
        <v>43221</v>
      </c>
      <c r="P986" s="5" t="str">
        <f t="shared" si="165"/>
        <v>4,00</v>
      </c>
      <c r="Q986" s="4" t="e">
        <f t="shared" ca="1" si="166"/>
        <v>#NAME?</v>
      </c>
    </row>
    <row r="987" spans="1:17">
      <c r="A987" s="175">
        <f t="shared" si="158"/>
        <v>986</v>
      </c>
      <c r="C987" s="8" t="s">
        <v>17</v>
      </c>
      <c r="D987" s="2">
        <v>43223</v>
      </c>
      <c r="E987" s="3">
        <f>400000/100000</f>
        <v>4</v>
      </c>
      <c r="F987" t="s">
        <v>438</v>
      </c>
      <c r="G987" t="s">
        <v>439</v>
      </c>
      <c r="H987" t="s">
        <v>440</v>
      </c>
      <c r="I987" s="6" t="s">
        <v>691</v>
      </c>
      <c r="J987" s="59" t="s">
        <v>22</v>
      </c>
      <c r="L987" s="5" t="str">
        <f t="shared" si="161"/>
        <v>00986</v>
      </c>
      <c r="M987" s="46" t="str">
        <f t="shared" si="162"/>
        <v>03 de mayo de 2018</v>
      </c>
      <c r="N987" s="318">
        <f t="shared" si="164"/>
        <v>3</v>
      </c>
      <c r="O987" s="24">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59" t="s">
        <v>22</v>
      </c>
      <c r="L988" s="5" t="str">
        <f t="shared" si="161"/>
        <v>00987</v>
      </c>
      <c r="M988" s="46" t="str">
        <f t="shared" si="162"/>
        <v>03 de mayo de 2018</v>
      </c>
      <c r="N988" s="318">
        <f t="shared" si="164"/>
        <v>3</v>
      </c>
      <c r="O988" s="24">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59" t="s">
        <v>22</v>
      </c>
      <c r="L989" s="5" t="str">
        <f t="shared" si="161"/>
        <v>00988</v>
      </c>
      <c r="M989" s="46" t="str">
        <f t="shared" si="162"/>
        <v>03 de mayo de 2018</v>
      </c>
      <c r="N989" s="318">
        <f t="shared" si="164"/>
        <v>3</v>
      </c>
      <c r="O989" s="24">
        <f t="shared" si="163"/>
        <v>43221</v>
      </c>
      <c r="P989" s="5" t="str">
        <f t="shared" si="165"/>
        <v>4,00</v>
      </c>
      <c r="Q989" s="4" t="e">
        <f t="shared" ca="1" si="166"/>
        <v>#NAME?</v>
      </c>
    </row>
    <row r="990" spans="1:17">
      <c r="A990" s="1">
        <f t="shared" si="158"/>
        <v>989</v>
      </c>
      <c r="C990" s="83" t="s">
        <v>17</v>
      </c>
      <c r="D990" s="2">
        <v>43223</v>
      </c>
      <c r="E990" s="3">
        <f>140000/100000</f>
        <v>1.4</v>
      </c>
      <c r="F990" t="s">
        <v>492</v>
      </c>
      <c r="G990" s="18" t="s">
        <v>58</v>
      </c>
      <c r="H990" t="s">
        <v>493</v>
      </c>
      <c r="I990" s="6" t="s">
        <v>668</v>
      </c>
      <c r="J990" s="59" t="s">
        <v>22</v>
      </c>
      <c r="L990" s="5" t="str">
        <f t="shared" si="161"/>
        <v>00989</v>
      </c>
      <c r="M990" s="46" t="str">
        <f t="shared" si="162"/>
        <v>03 de mayo de 2018</v>
      </c>
      <c r="N990" s="318">
        <f t="shared" si="164"/>
        <v>3</v>
      </c>
      <c r="O990" s="24">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59" t="s">
        <v>22</v>
      </c>
      <c r="L991" s="5" t="str">
        <f t="shared" si="161"/>
        <v>00990</v>
      </c>
      <c r="M991" s="46" t="str">
        <f t="shared" si="162"/>
        <v>03 de mayo de 2018</v>
      </c>
      <c r="N991" s="318">
        <f t="shared" si="164"/>
        <v>3</v>
      </c>
      <c r="O991" s="24">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59" t="s">
        <v>22</v>
      </c>
      <c r="L992" s="5" t="str">
        <f t="shared" si="161"/>
        <v>00991</v>
      </c>
      <c r="M992" s="46" t="str">
        <f t="shared" si="162"/>
        <v>03 de mayo de 2018</v>
      </c>
      <c r="N992" s="318">
        <f t="shared" si="164"/>
        <v>3</v>
      </c>
      <c r="O992" s="24">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59" t="s">
        <v>22</v>
      </c>
      <c r="L993" s="5" t="str">
        <f t="shared" si="161"/>
        <v>00992</v>
      </c>
      <c r="M993" s="46" t="str">
        <f t="shared" si="162"/>
        <v>04 de mayo de 2018</v>
      </c>
      <c r="N993" s="318">
        <f t="shared" si="164"/>
        <v>4</v>
      </c>
      <c r="O993" s="24">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59" t="s">
        <v>22</v>
      </c>
      <c r="L994" s="5" t="str">
        <f t="shared" si="161"/>
        <v>00993</v>
      </c>
      <c r="M994" s="46" t="str">
        <f t="shared" si="162"/>
        <v>04 de mayo de 2018</v>
      </c>
      <c r="N994" s="318">
        <f t="shared" si="164"/>
        <v>4</v>
      </c>
      <c r="O994" s="24">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59" t="s">
        <v>22</v>
      </c>
      <c r="L995" s="5" t="str">
        <f t="shared" si="161"/>
        <v>00994</v>
      </c>
      <c r="M995" s="46" t="str">
        <f t="shared" si="162"/>
        <v>04 de mayo de 2018</v>
      </c>
      <c r="N995" s="318">
        <f t="shared" si="164"/>
        <v>4</v>
      </c>
      <c r="O995" s="24">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59" t="s">
        <v>22</v>
      </c>
      <c r="L996" s="5" t="str">
        <f t="shared" si="161"/>
        <v>00995</v>
      </c>
      <c r="M996" s="46" t="str">
        <f t="shared" si="162"/>
        <v>04 de mayo de 2018</v>
      </c>
      <c r="N996" s="318">
        <f t="shared" si="164"/>
        <v>4</v>
      </c>
      <c r="O996" s="24">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59" t="s">
        <v>22</v>
      </c>
      <c r="L997" s="5" t="str">
        <f t="shared" si="161"/>
        <v>00996</v>
      </c>
      <c r="M997" s="46" t="str">
        <f t="shared" si="162"/>
        <v>04 de mayo de 2018</v>
      </c>
      <c r="N997" s="318">
        <f t="shared" si="164"/>
        <v>4</v>
      </c>
      <c r="O997" s="24">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59" t="s">
        <v>22</v>
      </c>
      <c r="L998" s="5" t="str">
        <f t="shared" si="161"/>
        <v>00997</v>
      </c>
      <c r="M998" s="46" t="str">
        <f t="shared" si="162"/>
        <v>06 de mayo de 2018</v>
      </c>
      <c r="N998" s="318">
        <f t="shared" si="164"/>
        <v>6</v>
      </c>
      <c r="O998" s="24">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59" t="s">
        <v>22</v>
      </c>
      <c r="L999" s="5" t="str">
        <f t="shared" si="161"/>
        <v>00998</v>
      </c>
      <c r="M999" s="46" t="str">
        <f t="shared" si="162"/>
        <v>07 de mayo de 2018</v>
      </c>
      <c r="N999" s="318">
        <f t="shared" si="164"/>
        <v>7</v>
      </c>
      <c r="O999" s="24">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59" t="s">
        <v>673</v>
      </c>
      <c r="L1000" s="5" t="str">
        <f t="shared" si="161"/>
        <v>00999</v>
      </c>
      <c r="M1000" s="46" t="str">
        <f t="shared" si="162"/>
        <v>07 de mayo de 2018</v>
      </c>
      <c r="N1000" s="318">
        <f t="shared" si="164"/>
        <v>7</v>
      </c>
      <c r="O1000" s="24">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59" t="s">
        <v>22</v>
      </c>
      <c r="L1001" s="5" t="str">
        <f t="shared" si="161"/>
        <v>01000</v>
      </c>
      <c r="M1001" s="46" t="str">
        <f t="shared" si="162"/>
        <v>07 de mayo de 2018</v>
      </c>
      <c r="N1001" s="318">
        <f t="shared" si="164"/>
        <v>7</v>
      </c>
      <c r="O1001" s="24">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59" t="s">
        <v>22</v>
      </c>
      <c r="L1002" s="5" t="str">
        <f t="shared" si="161"/>
        <v>01001</v>
      </c>
      <c r="M1002" s="46" t="str">
        <f t="shared" si="162"/>
        <v>06 de abril de 2018</v>
      </c>
      <c r="N1002" s="318">
        <f t="shared" si="164"/>
        <v>6</v>
      </c>
      <c r="O1002" s="24">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59" t="s">
        <v>673</v>
      </c>
      <c r="L1003" s="5" t="str">
        <f t="shared" si="161"/>
        <v>01002</v>
      </c>
      <c r="M1003" s="46" t="str">
        <f t="shared" si="162"/>
        <v>06 de abril de 2018</v>
      </c>
      <c r="N1003" s="318">
        <f t="shared" si="164"/>
        <v>6</v>
      </c>
      <c r="O1003" s="24">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59" t="s">
        <v>22</v>
      </c>
      <c r="L1004" s="5" t="str">
        <f t="shared" si="161"/>
        <v>01003</v>
      </c>
      <c r="M1004" s="46" t="str">
        <f t="shared" si="162"/>
        <v>07 de mayo de 2018</v>
      </c>
      <c r="N1004" s="318">
        <f t="shared" si="164"/>
        <v>7</v>
      </c>
      <c r="O1004" s="24">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59" t="s">
        <v>22</v>
      </c>
      <c r="L1005" s="5" t="str">
        <f t="shared" si="161"/>
        <v>01004</v>
      </c>
      <c r="M1005" s="46" t="str">
        <f t="shared" si="162"/>
        <v>07 de mayo de 2018</v>
      </c>
      <c r="N1005" s="318">
        <f t="shared" si="164"/>
        <v>7</v>
      </c>
      <c r="O1005" s="24">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59" t="s">
        <v>22</v>
      </c>
      <c r="L1006" s="5" t="str">
        <f t="shared" si="161"/>
        <v>01005</v>
      </c>
      <c r="M1006" s="46" t="str">
        <f t="shared" si="162"/>
        <v>04 de mayo de 2018</v>
      </c>
      <c r="N1006" s="318">
        <f t="shared" si="164"/>
        <v>4</v>
      </c>
      <c r="O1006" s="24">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59" t="s">
        <v>22</v>
      </c>
      <c r="L1007" s="5" t="str">
        <f t="shared" si="161"/>
        <v>01006</v>
      </c>
      <c r="M1007" s="46" t="str">
        <f t="shared" si="162"/>
        <v>07 de mayo de 2018</v>
      </c>
      <c r="N1007" s="318">
        <f t="shared" si="164"/>
        <v>7</v>
      </c>
      <c r="O1007" s="24">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59" t="s">
        <v>22</v>
      </c>
      <c r="L1008" s="5" t="str">
        <f t="shared" si="161"/>
        <v>01007</v>
      </c>
      <c r="M1008" s="46" t="str">
        <f t="shared" si="162"/>
        <v>08 de mayo de 2018</v>
      </c>
      <c r="N1008" s="318">
        <f t="shared" si="164"/>
        <v>8</v>
      </c>
      <c r="O1008" s="24">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59" t="s">
        <v>22</v>
      </c>
      <c r="L1009" s="5" t="str">
        <f t="shared" si="161"/>
        <v>01008</v>
      </c>
      <c r="M1009" s="46" t="str">
        <f t="shared" si="162"/>
        <v>08 de mayo de 2018</v>
      </c>
      <c r="N1009" s="318">
        <f t="shared" si="164"/>
        <v>8</v>
      </c>
      <c r="O1009" s="24">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59" t="s">
        <v>22</v>
      </c>
      <c r="L1010" s="5" t="str">
        <f t="shared" si="161"/>
        <v>01009</v>
      </c>
      <c r="M1010" s="46" t="str">
        <f t="shared" si="162"/>
        <v>08 de mayo de 2018</v>
      </c>
      <c r="N1010" s="318">
        <f t="shared" si="164"/>
        <v>8</v>
      </c>
      <c r="O1010" s="24">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59" t="s">
        <v>22</v>
      </c>
      <c r="L1011" s="5" t="str">
        <f t="shared" si="161"/>
        <v>01010</v>
      </c>
      <c r="M1011" s="46" t="str">
        <f t="shared" si="162"/>
        <v>08 de mayo de 2018</v>
      </c>
      <c r="N1011" s="318">
        <f t="shared" si="164"/>
        <v>8</v>
      </c>
      <c r="O1011" s="24">
        <f t="shared" si="163"/>
        <v>43221</v>
      </c>
      <c r="P1011" s="5" t="str">
        <f t="shared" si="170"/>
        <v>4,00</v>
      </c>
      <c r="Q1011" s="4" t="e">
        <f t="shared" ca="1" si="171"/>
        <v>#NAME?</v>
      </c>
    </row>
    <row r="1012" spans="1:17">
      <c r="A1012" s="1">
        <f t="shared" si="167"/>
        <v>1011</v>
      </c>
      <c r="C1012" s="8" t="s">
        <v>17</v>
      </c>
      <c r="D1012" s="2">
        <v>43228</v>
      </c>
      <c r="E1012" s="3">
        <f>155000/100000+400000/100000</f>
        <v>5.55</v>
      </c>
      <c r="F1012" s="19" t="s">
        <v>57</v>
      </c>
      <c r="G1012" s="18" t="s">
        <v>58</v>
      </c>
      <c r="H1012" s="20" t="s">
        <v>59</v>
      </c>
      <c r="I1012" s="6" t="s">
        <v>695</v>
      </c>
      <c r="J1012" s="59" t="s">
        <v>22</v>
      </c>
      <c r="K1012" s="21"/>
      <c r="L1012" s="5" t="str">
        <f t="shared" si="161"/>
        <v>01011</v>
      </c>
      <c r="M1012" s="46" t="str">
        <f t="shared" si="162"/>
        <v>08 de mayo de 2018</v>
      </c>
      <c r="N1012" s="318">
        <f t="shared" si="164"/>
        <v>8</v>
      </c>
      <c r="O1012" s="24">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59" t="s">
        <v>22</v>
      </c>
      <c r="L1013" s="5" t="str">
        <f t="shared" si="161"/>
        <v>01012</v>
      </c>
      <c r="M1013" s="46" t="str">
        <f t="shared" si="162"/>
        <v>09 de mayo de 2018</v>
      </c>
      <c r="N1013" s="318">
        <f t="shared" si="164"/>
        <v>9</v>
      </c>
      <c r="O1013" s="24">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59" t="s">
        <v>22</v>
      </c>
      <c r="L1014" s="5" t="str">
        <f t="shared" si="161"/>
        <v>01013</v>
      </c>
      <c r="M1014" s="46" t="str">
        <f t="shared" si="162"/>
        <v>10 de mayo de 2018</v>
      </c>
      <c r="N1014" s="318">
        <f t="shared" si="164"/>
        <v>10</v>
      </c>
      <c r="O1014" s="24">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59" t="s">
        <v>22</v>
      </c>
      <c r="L1015" s="5" t="str">
        <f t="shared" si="161"/>
        <v>01014</v>
      </c>
      <c r="M1015" s="46" t="str">
        <f t="shared" si="162"/>
        <v>10 de mayo de 2018</v>
      </c>
      <c r="N1015" s="318">
        <f t="shared" si="164"/>
        <v>10</v>
      </c>
      <c r="O1015" s="24">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59" t="s">
        <v>22</v>
      </c>
      <c r="L1016" s="5" t="str">
        <f t="shared" si="161"/>
        <v>01015</v>
      </c>
      <c r="M1016" s="46" t="str">
        <f t="shared" si="162"/>
        <v>11 de mayo de 2018</v>
      </c>
      <c r="N1016" s="318">
        <f t="shared" si="164"/>
        <v>11</v>
      </c>
      <c r="O1016" s="24">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59" t="s">
        <v>22</v>
      </c>
      <c r="L1017" s="5" t="str">
        <f t="shared" si="161"/>
        <v>01016</v>
      </c>
      <c r="M1017" s="46" t="str">
        <f t="shared" si="162"/>
        <v>11 de mayo de 2018</v>
      </c>
      <c r="N1017" s="318">
        <f t="shared" si="164"/>
        <v>11</v>
      </c>
      <c r="O1017" s="24">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59" t="s">
        <v>22</v>
      </c>
      <c r="L1018" s="5" t="str">
        <f t="shared" si="161"/>
        <v>01017</v>
      </c>
      <c r="M1018" s="46" t="str">
        <f t="shared" si="162"/>
        <v>13 de mayo de 2018</v>
      </c>
      <c r="N1018" s="318">
        <f t="shared" si="164"/>
        <v>13</v>
      </c>
      <c r="O1018" s="24">
        <f t="shared" si="163"/>
        <v>43221</v>
      </c>
      <c r="P1018" s="5" t="str">
        <f t="shared" si="170"/>
        <v>1,00</v>
      </c>
      <c r="Q1018" s="4" t="e">
        <f t="shared" ca="1" si="171"/>
        <v>#NAME?</v>
      </c>
    </row>
    <row r="1019" spans="1:17">
      <c r="A1019" s="1">
        <f t="shared" si="167"/>
        <v>1018</v>
      </c>
      <c r="C1019" s="8" t="s">
        <v>17</v>
      </c>
      <c r="D1019" s="2">
        <v>43233</v>
      </c>
      <c r="E1019" s="3">
        <f>580000/100000</f>
        <v>5.8</v>
      </c>
      <c r="F1019" s="22" t="s">
        <v>422</v>
      </c>
      <c r="G1019" s="18" t="s">
        <v>58</v>
      </c>
      <c r="H1019" t="s">
        <v>423</v>
      </c>
      <c r="I1019" s="6" t="s">
        <v>684</v>
      </c>
      <c r="J1019" s="59" t="s">
        <v>22</v>
      </c>
      <c r="L1019" s="5" t="str">
        <f t="shared" si="161"/>
        <v>01018</v>
      </c>
      <c r="M1019" s="46" t="str">
        <f t="shared" si="162"/>
        <v>13 de mayo de 2018</v>
      </c>
      <c r="N1019" s="318">
        <f t="shared" si="164"/>
        <v>13</v>
      </c>
      <c r="O1019" s="24">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59" t="s">
        <v>22</v>
      </c>
      <c r="L1020" s="5" t="str">
        <f t="shared" si="161"/>
        <v>01019</v>
      </c>
      <c r="M1020" s="46" t="str">
        <f t="shared" si="162"/>
        <v>14 de mayo de 2018</v>
      </c>
      <c r="N1020" s="318">
        <f t="shared" si="164"/>
        <v>14</v>
      </c>
      <c r="O1020" s="24">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59" t="s">
        <v>22</v>
      </c>
      <c r="L1021" s="5" t="str">
        <f t="shared" si="161"/>
        <v>01020</v>
      </c>
      <c r="M1021" s="46" t="str">
        <f t="shared" si="162"/>
        <v>15 de mayo de 2018</v>
      </c>
      <c r="N1021" s="318">
        <f t="shared" si="164"/>
        <v>15</v>
      </c>
      <c r="O1021" s="24">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59" t="s">
        <v>22</v>
      </c>
      <c r="L1022" s="5" t="str">
        <f t="shared" si="161"/>
        <v>01021</v>
      </c>
      <c r="M1022" s="46" t="str">
        <f t="shared" si="162"/>
        <v>15 de mayo de 2018</v>
      </c>
      <c r="N1022" s="318">
        <f t="shared" si="164"/>
        <v>15</v>
      </c>
      <c r="O1022" s="24">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59" t="s">
        <v>22</v>
      </c>
      <c r="L1023" s="5" t="str">
        <f t="shared" si="161"/>
        <v>01022</v>
      </c>
      <c r="M1023" s="46" t="str">
        <f t="shared" si="162"/>
        <v>15 de mayo de 2018</v>
      </c>
      <c r="N1023" s="318">
        <f t="shared" si="164"/>
        <v>15</v>
      </c>
      <c r="O1023" s="24">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59" t="s">
        <v>22</v>
      </c>
      <c r="L1024" s="5" t="str">
        <f t="shared" si="161"/>
        <v>01023</v>
      </c>
      <c r="M1024" s="46" t="str">
        <f t="shared" si="162"/>
        <v>15 de mayo de 2018</v>
      </c>
      <c r="N1024" s="318">
        <f t="shared" si="164"/>
        <v>15</v>
      </c>
      <c r="O1024" s="24">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59" t="s">
        <v>22</v>
      </c>
      <c r="L1025" s="5" t="str">
        <f t="shared" si="161"/>
        <v>01024</v>
      </c>
      <c r="M1025" s="46" t="str">
        <f t="shared" si="162"/>
        <v>15 de mayo de 2018</v>
      </c>
      <c r="N1025" s="318">
        <f t="shared" si="164"/>
        <v>15</v>
      </c>
      <c r="O1025" s="24">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59" t="s">
        <v>22</v>
      </c>
      <c r="L1026" s="5" t="str">
        <f t="shared" ref="L1026:L1089" si="172">IF(ISBLANK(A1026),"",TEXT(A1026,"00000"))</f>
        <v>01025</v>
      </c>
      <c r="M1026" s="46" t="str">
        <f t="shared" ref="M1026:M1089" si="173">IF(ISBLANK(D1026),"",TEXT(D1026,"dd")&amp;" de "&amp;TEXT(D1026,"mmmm")&amp;" de "&amp;TEXT(YEAR(D1026),"0"))</f>
        <v>17 de mayo de 2018</v>
      </c>
      <c r="N1026" s="318">
        <f t="shared" si="164"/>
        <v>17</v>
      </c>
      <c r="O1026" s="24">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59" t="s">
        <v>22</v>
      </c>
      <c r="L1027" s="5" t="str">
        <f t="shared" si="172"/>
        <v>01026</v>
      </c>
      <c r="M1027" s="46" t="str">
        <f t="shared" si="173"/>
        <v>18 de mayo de 2018</v>
      </c>
      <c r="N1027" s="318">
        <f t="shared" ref="N1027:N1090" si="175">DAY(D1027)</f>
        <v>18</v>
      </c>
      <c r="O1027" s="24">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59" t="s">
        <v>22</v>
      </c>
      <c r="L1028" s="5" t="str">
        <f t="shared" si="172"/>
        <v>01027</v>
      </c>
      <c r="M1028" s="46" t="str">
        <f t="shared" si="173"/>
        <v>18 de mayo de 2018</v>
      </c>
      <c r="N1028" s="318">
        <f t="shared" si="175"/>
        <v>18</v>
      </c>
      <c r="O1028" s="24">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59" t="s">
        <v>22</v>
      </c>
      <c r="L1029" s="5" t="str">
        <f t="shared" si="172"/>
        <v>01028</v>
      </c>
      <c r="M1029" s="46" t="str">
        <f t="shared" si="173"/>
        <v>18 de mayo de 2018</v>
      </c>
      <c r="N1029" s="318">
        <f t="shared" si="175"/>
        <v>18</v>
      </c>
      <c r="O1029" s="24">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59" t="s">
        <v>22</v>
      </c>
      <c r="L1030" s="5" t="str">
        <f t="shared" si="172"/>
        <v>01029</v>
      </c>
      <c r="M1030" s="46" t="str">
        <f t="shared" si="173"/>
        <v>18 de mayo de 2018</v>
      </c>
      <c r="N1030" s="318">
        <f t="shared" si="175"/>
        <v>18</v>
      </c>
      <c r="O1030" s="24">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59" t="s">
        <v>22</v>
      </c>
      <c r="L1031" s="5" t="str">
        <f t="shared" si="172"/>
        <v>01030</v>
      </c>
      <c r="M1031" s="46" t="str">
        <f t="shared" si="173"/>
        <v>19 de mayo de 2018</v>
      </c>
      <c r="N1031" s="318">
        <f t="shared" si="175"/>
        <v>19</v>
      </c>
      <c r="O1031" s="24">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59" t="s">
        <v>22</v>
      </c>
      <c r="L1032" s="5" t="str">
        <f t="shared" si="172"/>
        <v>01031</v>
      </c>
      <c r="M1032" s="46" t="str">
        <f t="shared" si="173"/>
        <v>20 de mayo de 2018</v>
      </c>
      <c r="N1032" s="318">
        <f t="shared" si="175"/>
        <v>20</v>
      </c>
      <c r="O1032" s="24">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59" t="s">
        <v>22</v>
      </c>
      <c r="L1033" s="5" t="str">
        <f t="shared" si="172"/>
        <v>01032</v>
      </c>
      <c r="M1033" s="46" t="str">
        <f t="shared" si="173"/>
        <v>20 de mayo de 2018</v>
      </c>
      <c r="N1033" s="318">
        <f t="shared" si="175"/>
        <v>20</v>
      </c>
      <c r="O1033" s="24">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59" t="s">
        <v>22</v>
      </c>
      <c r="L1034" s="5" t="str">
        <f t="shared" si="172"/>
        <v>01033</v>
      </c>
      <c r="M1034" s="46" t="str">
        <f t="shared" si="173"/>
        <v>04 de mayo de 2018</v>
      </c>
      <c r="N1034" s="318">
        <f t="shared" si="175"/>
        <v>4</v>
      </c>
      <c r="O1034" s="24">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59" t="s">
        <v>22</v>
      </c>
      <c r="L1035" s="5" t="str">
        <f t="shared" si="172"/>
        <v>01034</v>
      </c>
      <c r="M1035" s="46" t="str">
        <f t="shared" si="173"/>
        <v>21 de mayo de 2018</v>
      </c>
      <c r="N1035" s="318">
        <f t="shared" si="175"/>
        <v>21</v>
      </c>
      <c r="O1035" s="24">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59" t="s">
        <v>22</v>
      </c>
      <c r="L1036" s="5" t="str">
        <f t="shared" si="172"/>
        <v>01035</v>
      </c>
      <c r="M1036" s="46" t="str">
        <f t="shared" si="173"/>
        <v>21 de mayo de 2018</v>
      </c>
      <c r="N1036" s="318">
        <f t="shared" si="175"/>
        <v>21</v>
      </c>
      <c r="O1036" s="24">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59" t="s">
        <v>22</v>
      </c>
      <c r="L1037" s="5" t="str">
        <f t="shared" si="172"/>
        <v>01036</v>
      </c>
      <c r="M1037" s="46" t="str">
        <f t="shared" si="173"/>
        <v>21 de mayo de 2018</v>
      </c>
      <c r="N1037" s="318">
        <f t="shared" si="175"/>
        <v>21</v>
      </c>
      <c r="O1037" s="24">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59" t="s">
        <v>22</v>
      </c>
      <c r="L1038" s="5" t="str">
        <f t="shared" si="172"/>
        <v>01037</v>
      </c>
      <c r="M1038" s="46" t="str">
        <f t="shared" si="173"/>
        <v>21 de mayo de 2018</v>
      </c>
      <c r="N1038" s="318">
        <f t="shared" si="175"/>
        <v>21</v>
      </c>
      <c r="O1038" s="24">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59" t="s">
        <v>673</v>
      </c>
      <c r="L1039" s="5" t="str">
        <f t="shared" si="172"/>
        <v>01038</v>
      </c>
      <c r="M1039" s="46" t="str">
        <f t="shared" si="173"/>
        <v>21 de mayo de 2018</v>
      </c>
      <c r="N1039" s="318">
        <f t="shared" si="175"/>
        <v>21</v>
      </c>
      <c r="O1039" s="24">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59" t="s">
        <v>22</v>
      </c>
      <c r="L1040" s="5" t="str">
        <f t="shared" si="172"/>
        <v>01039</v>
      </c>
      <c r="M1040" s="46" t="str">
        <f t="shared" si="173"/>
        <v>21 de mayo de 2018</v>
      </c>
      <c r="N1040" s="318">
        <f t="shared" si="175"/>
        <v>21</v>
      </c>
      <c r="O1040" s="24">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59" t="s">
        <v>22</v>
      </c>
      <c r="L1041" s="5" t="str">
        <f t="shared" si="172"/>
        <v>01040</v>
      </c>
      <c r="M1041" s="46" t="str">
        <f t="shared" si="173"/>
        <v>21 de mayo de 2018</v>
      </c>
      <c r="N1041" s="318">
        <f t="shared" si="175"/>
        <v>21</v>
      </c>
      <c r="O1041" s="24">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59" t="s">
        <v>22</v>
      </c>
      <c r="L1042" s="5" t="str">
        <f t="shared" si="172"/>
        <v>01041</v>
      </c>
      <c r="M1042" s="46" t="str">
        <f t="shared" si="173"/>
        <v>21 de mayo de 2018</v>
      </c>
      <c r="N1042" s="318">
        <f t="shared" si="175"/>
        <v>21</v>
      </c>
      <c r="O1042" s="24">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59" t="s">
        <v>673</v>
      </c>
      <c r="L1043" s="5" t="str">
        <f t="shared" si="172"/>
        <v>01042</v>
      </c>
      <c r="M1043" s="46" t="str">
        <f t="shared" si="173"/>
        <v>21 de mayo de 2018</v>
      </c>
      <c r="N1043" s="318">
        <f t="shared" si="175"/>
        <v>21</v>
      </c>
      <c r="O1043" s="24">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59" t="s">
        <v>22</v>
      </c>
      <c r="L1044" s="5" t="str">
        <f t="shared" si="172"/>
        <v>01043</v>
      </c>
      <c r="M1044" s="46" t="str">
        <f t="shared" si="173"/>
        <v>21 de mayo de 2018</v>
      </c>
      <c r="N1044" s="318">
        <f t="shared" si="175"/>
        <v>21</v>
      </c>
      <c r="O1044" s="24">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59" t="s">
        <v>22</v>
      </c>
      <c r="L1045" s="5" t="str">
        <f t="shared" si="172"/>
        <v>01044</v>
      </c>
      <c r="M1045" s="46" t="str">
        <f t="shared" si="173"/>
        <v>21 de mayo de 2018</v>
      </c>
      <c r="N1045" s="318">
        <f t="shared" si="175"/>
        <v>21</v>
      </c>
      <c r="O1045" s="24">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59" t="s">
        <v>673</v>
      </c>
      <c r="L1046" s="5" t="str">
        <f t="shared" si="172"/>
        <v>01045</v>
      </c>
      <c r="M1046" s="46" t="str">
        <f t="shared" si="173"/>
        <v>22 de mayo de 2018</v>
      </c>
      <c r="N1046" s="318">
        <f t="shared" si="175"/>
        <v>22</v>
      </c>
      <c r="O1046" s="24">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59" t="s">
        <v>673</v>
      </c>
      <c r="L1047" s="5" t="str">
        <f t="shared" si="172"/>
        <v>01046</v>
      </c>
      <c r="M1047" s="46" t="str">
        <f t="shared" si="173"/>
        <v>22 de mayo de 2018</v>
      </c>
      <c r="N1047" s="318">
        <f t="shared" si="175"/>
        <v>22</v>
      </c>
      <c r="O1047" s="24">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59" t="s">
        <v>22</v>
      </c>
      <c r="L1048" s="5" t="str">
        <f t="shared" si="172"/>
        <v>01047</v>
      </c>
      <c r="M1048" s="46" t="str">
        <f t="shared" si="173"/>
        <v>22 de mayo de 2018</v>
      </c>
      <c r="N1048" s="318">
        <f t="shared" si="175"/>
        <v>22</v>
      </c>
      <c r="O1048" s="24">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59" t="s">
        <v>673</v>
      </c>
      <c r="L1049" s="5" t="str">
        <f t="shared" si="172"/>
        <v>01048</v>
      </c>
      <c r="M1049" s="46" t="str">
        <f t="shared" si="173"/>
        <v>22 de mayo de 2018</v>
      </c>
      <c r="N1049" s="318">
        <f t="shared" si="175"/>
        <v>22</v>
      </c>
      <c r="O1049" s="24">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59" t="s">
        <v>673</v>
      </c>
      <c r="L1050" s="5" t="str">
        <f t="shared" si="172"/>
        <v>01049</v>
      </c>
      <c r="M1050" s="46" t="str">
        <f t="shared" si="173"/>
        <v>22 de mayo de 2018</v>
      </c>
      <c r="N1050" s="318">
        <f t="shared" si="175"/>
        <v>22</v>
      </c>
      <c r="O1050" s="24">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59" t="s">
        <v>22</v>
      </c>
      <c r="L1051" s="5" t="str">
        <f t="shared" si="172"/>
        <v>01050</v>
      </c>
      <c r="M1051" s="46" t="str">
        <f t="shared" si="173"/>
        <v>22 de mayo de 2018</v>
      </c>
      <c r="N1051" s="318">
        <f t="shared" si="175"/>
        <v>22</v>
      </c>
      <c r="O1051" s="24">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59" t="s">
        <v>673</v>
      </c>
      <c r="L1052" s="5" t="str">
        <f t="shared" si="172"/>
        <v>01051</v>
      </c>
      <c r="M1052" s="46" t="str">
        <f t="shared" si="173"/>
        <v>22 de mayo de 2018</v>
      </c>
      <c r="N1052" s="318">
        <f t="shared" si="175"/>
        <v>22</v>
      </c>
      <c r="O1052" s="24">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59" t="s">
        <v>673</v>
      </c>
      <c r="L1053" s="5" t="str">
        <f t="shared" si="172"/>
        <v>01052</v>
      </c>
      <c r="M1053" s="46" t="str">
        <f t="shared" si="173"/>
        <v>22 de mayo de 2018</v>
      </c>
      <c r="N1053" s="318">
        <f t="shared" si="175"/>
        <v>22</v>
      </c>
      <c r="O1053" s="24">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59" t="s">
        <v>22</v>
      </c>
      <c r="L1054" s="5" t="str">
        <f t="shared" si="172"/>
        <v>01053</v>
      </c>
      <c r="M1054" s="46" t="str">
        <f t="shared" si="173"/>
        <v>22 de mayo de 2018</v>
      </c>
      <c r="N1054" s="318">
        <f t="shared" si="175"/>
        <v>22</v>
      </c>
      <c r="O1054" s="24">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59" t="s">
        <v>673</v>
      </c>
      <c r="L1055" s="5" t="str">
        <f t="shared" si="172"/>
        <v>01054</v>
      </c>
      <c r="M1055" s="46" t="str">
        <f t="shared" si="173"/>
        <v>22 de mayo de 2018</v>
      </c>
      <c r="N1055" s="318">
        <f t="shared" si="175"/>
        <v>22</v>
      </c>
      <c r="O1055" s="24">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59" t="s">
        <v>22</v>
      </c>
      <c r="L1056" s="5" t="str">
        <f t="shared" si="172"/>
        <v>01055</v>
      </c>
      <c r="M1056" s="46" t="str">
        <f t="shared" si="173"/>
        <v>22 de mayo de 2018</v>
      </c>
      <c r="N1056" s="318">
        <f t="shared" si="175"/>
        <v>22</v>
      </c>
      <c r="O1056" s="24">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59" t="s">
        <v>673</v>
      </c>
      <c r="L1057" s="5" t="str">
        <f t="shared" si="172"/>
        <v>01056</v>
      </c>
      <c r="M1057" s="46" t="str">
        <f t="shared" si="173"/>
        <v>22 de mayo de 2018</v>
      </c>
      <c r="N1057" s="318">
        <f t="shared" si="175"/>
        <v>22</v>
      </c>
      <c r="O1057" s="24">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59" t="s">
        <v>673</v>
      </c>
      <c r="L1058" s="5" t="str">
        <f t="shared" si="172"/>
        <v>01057</v>
      </c>
      <c r="M1058" s="46" t="str">
        <f t="shared" si="173"/>
        <v>22 de mayo de 2018</v>
      </c>
      <c r="N1058" s="318">
        <f t="shared" si="175"/>
        <v>22</v>
      </c>
      <c r="O1058" s="24">
        <f t="shared" si="174"/>
        <v>43221</v>
      </c>
      <c r="P1058" s="5" t="str">
        <f t="shared" si="177"/>
        <v>3,50</v>
      </c>
      <c r="Q1058" s="4" t="e">
        <f t="shared" ca="1" si="179"/>
        <v>#NAME?</v>
      </c>
    </row>
    <row r="1059" spans="1:17">
      <c r="A1059" s="316">
        <f t="shared" si="180"/>
        <v>1058</v>
      </c>
      <c r="B1059" s="541"/>
      <c r="C1059" s="12" t="s">
        <v>225</v>
      </c>
      <c r="D1059" s="17">
        <v>43242</v>
      </c>
      <c r="E1059" s="13">
        <f>150000/100000</f>
        <v>1.5</v>
      </c>
      <c r="F1059" s="14" t="s">
        <v>107</v>
      </c>
      <c r="G1059" s="14" t="s">
        <v>108</v>
      </c>
      <c r="H1059" s="14" t="s">
        <v>109</v>
      </c>
      <c r="I1059" s="15" t="s">
        <v>709</v>
      </c>
      <c r="J1059" s="60" t="s">
        <v>426</v>
      </c>
      <c r="K1059" s="16"/>
      <c r="L1059" s="5" t="str">
        <f t="shared" si="172"/>
        <v>01058</v>
      </c>
      <c r="M1059" s="46" t="str">
        <f t="shared" si="173"/>
        <v>22 de mayo de 2018</v>
      </c>
      <c r="N1059" s="318">
        <f t="shared" si="175"/>
        <v>22</v>
      </c>
      <c r="O1059" s="24">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59" t="s">
        <v>673</v>
      </c>
      <c r="L1060" s="5" t="str">
        <f t="shared" si="172"/>
        <v>01059</v>
      </c>
      <c r="M1060" s="46" t="str">
        <f t="shared" si="173"/>
        <v>22 de mayo de 2018</v>
      </c>
      <c r="N1060" s="318">
        <f t="shared" si="175"/>
        <v>22</v>
      </c>
      <c r="O1060" s="24">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59" t="s">
        <v>673</v>
      </c>
      <c r="L1061" s="5" t="str">
        <f t="shared" si="172"/>
        <v>01060</v>
      </c>
      <c r="M1061" s="46" t="str">
        <f t="shared" si="173"/>
        <v>22 de mayo de 2018</v>
      </c>
      <c r="N1061" s="318">
        <f t="shared" si="175"/>
        <v>22</v>
      </c>
      <c r="O1061" s="24">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59" t="s">
        <v>22</v>
      </c>
      <c r="L1062" s="5" t="str">
        <f t="shared" si="172"/>
        <v>01061</v>
      </c>
      <c r="M1062" s="46" t="str">
        <f t="shared" si="173"/>
        <v>22 de mayo de 2018</v>
      </c>
      <c r="N1062" s="318">
        <f t="shared" si="175"/>
        <v>22</v>
      </c>
      <c r="O1062" s="24">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59" t="s">
        <v>673</v>
      </c>
      <c r="L1063" s="5" t="str">
        <f t="shared" si="172"/>
        <v>01062</v>
      </c>
      <c r="M1063" s="46" t="str">
        <f t="shared" si="173"/>
        <v>22 de mayo de 2018</v>
      </c>
      <c r="N1063" s="318">
        <f t="shared" si="175"/>
        <v>22</v>
      </c>
      <c r="O1063" s="24">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59" t="s">
        <v>673</v>
      </c>
      <c r="L1064" s="5" t="str">
        <f t="shared" si="172"/>
        <v>01063</v>
      </c>
      <c r="M1064" s="46" t="str">
        <f t="shared" si="173"/>
        <v>22 de mayo de 2018</v>
      </c>
      <c r="N1064" s="318">
        <f t="shared" si="175"/>
        <v>22</v>
      </c>
      <c r="O1064" s="24">
        <f t="shared" si="174"/>
        <v>43221</v>
      </c>
      <c r="P1064" s="5" t="str">
        <f t="shared" si="177"/>
        <v>3,50</v>
      </c>
      <c r="Q1064" s="4" t="e">
        <f t="shared" ca="1" si="179"/>
        <v>#NAME?</v>
      </c>
    </row>
    <row r="1065" spans="1:17">
      <c r="A1065" s="1">
        <f t="shared" si="180"/>
        <v>1064</v>
      </c>
      <c r="C1065" s="8" t="s">
        <v>17</v>
      </c>
      <c r="D1065" s="2">
        <v>43242</v>
      </c>
      <c r="E1065" s="3">
        <f>350000/100000</f>
        <v>3.5</v>
      </c>
      <c r="F1065" s="19" t="s">
        <v>57</v>
      </c>
      <c r="G1065" s="18" t="s">
        <v>58</v>
      </c>
      <c r="H1065" s="20" t="s">
        <v>59</v>
      </c>
      <c r="I1065" s="6" t="s">
        <v>672</v>
      </c>
      <c r="J1065" s="59" t="s">
        <v>673</v>
      </c>
      <c r="K1065" s="21"/>
      <c r="L1065" s="5" t="str">
        <f t="shared" si="172"/>
        <v>01064</v>
      </c>
      <c r="M1065" s="46" t="str">
        <f t="shared" si="173"/>
        <v>22 de mayo de 2018</v>
      </c>
      <c r="N1065" s="318">
        <f t="shared" si="175"/>
        <v>22</v>
      </c>
      <c r="O1065" s="24">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59" t="s">
        <v>22</v>
      </c>
      <c r="L1066" s="5" t="str">
        <f t="shared" si="172"/>
        <v>01065</v>
      </c>
      <c r="M1066" s="46" t="str">
        <f t="shared" si="173"/>
        <v>22 de mayo de 2018</v>
      </c>
      <c r="N1066" s="318">
        <f t="shared" si="175"/>
        <v>22</v>
      </c>
      <c r="O1066" s="24">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59" t="s">
        <v>673</v>
      </c>
      <c r="L1067" s="5" t="str">
        <f t="shared" si="172"/>
        <v>01066</v>
      </c>
      <c r="M1067" s="46" t="str">
        <f t="shared" si="173"/>
        <v>23 de mayo de 2018</v>
      </c>
      <c r="N1067" s="318">
        <f t="shared" si="175"/>
        <v>23</v>
      </c>
      <c r="O1067" s="24">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59" t="s">
        <v>22</v>
      </c>
      <c r="L1068" s="5" t="str">
        <f t="shared" si="172"/>
        <v>01067</v>
      </c>
      <c r="M1068" s="46" t="str">
        <f t="shared" si="173"/>
        <v>23 de mayo de 2018</v>
      </c>
      <c r="N1068" s="318">
        <f t="shared" si="175"/>
        <v>23</v>
      </c>
      <c r="O1068" s="24">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59" t="s">
        <v>673</v>
      </c>
      <c r="L1069" s="5" t="str">
        <f t="shared" si="172"/>
        <v>01068</v>
      </c>
      <c r="M1069" s="46" t="str">
        <f t="shared" si="173"/>
        <v>23 de mayo de 2018</v>
      </c>
      <c r="N1069" s="318">
        <f t="shared" si="175"/>
        <v>23</v>
      </c>
      <c r="O1069" s="24">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59" t="s">
        <v>673</v>
      </c>
      <c r="L1070" s="5" t="str">
        <f t="shared" si="172"/>
        <v>01069</v>
      </c>
      <c r="M1070" s="46" t="str">
        <f t="shared" si="173"/>
        <v>23 de mayo de 2018</v>
      </c>
      <c r="N1070" s="318">
        <f t="shared" si="175"/>
        <v>23</v>
      </c>
      <c r="O1070" s="24">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59" t="s">
        <v>673</v>
      </c>
      <c r="L1071" s="5" t="str">
        <f t="shared" si="172"/>
        <v>01070</v>
      </c>
      <c r="M1071" s="46" t="str">
        <f t="shared" si="173"/>
        <v>23 de mayo de 2018</v>
      </c>
      <c r="N1071" s="318">
        <f t="shared" si="175"/>
        <v>23</v>
      </c>
      <c r="O1071" s="24">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59" t="s">
        <v>673</v>
      </c>
      <c r="L1072" s="5" t="str">
        <f t="shared" si="172"/>
        <v>01071</v>
      </c>
      <c r="M1072" s="46" t="str">
        <f t="shared" si="173"/>
        <v>23 de mayo de 2018</v>
      </c>
      <c r="N1072" s="318">
        <f t="shared" si="175"/>
        <v>23</v>
      </c>
      <c r="O1072" s="24">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59" t="s">
        <v>22</v>
      </c>
      <c r="L1073" s="5" t="str">
        <f t="shared" si="172"/>
        <v>01072</v>
      </c>
      <c r="M1073" s="46" t="str">
        <f t="shared" si="173"/>
        <v>23 de mayo de 2018</v>
      </c>
      <c r="N1073" s="318">
        <f t="shared" si="175"/>
        <v>23</v>
      </c>
      <c r="O1073" s="24">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59" t="s">
        <v>673</v>
      </c>
      <c r="L1074" s="5" t="str">
        <f t="shared" si="172"/>
        <v>01073</v>
      </c>
      <c r="M1074" s="46" t="str">
        <f t="shared" si="173"/>
        <v>23 de mayo de 2018</v>
      </c>
      <c r="N1074" s="318">
        <f t="shared" si="175"/>
        <v>23</v>
      </c>
      <c r="O1074" s="24">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59" t="s">
        <v>673</v>
      </c>
      <c r="L1075" s="5" t="str">
        <f t="shared" si="172"/>
        <v>01074</v>
      </c>
      <c r="M1075" s="46" t="str">
        <f t="shared" si="173"/>
        <v>23 de mayo de 2018</v>
      </c>
      <c r="N1075" s="318">
        <f t="shared" si="175"/>
        <v>23</v>
      </c>
      <c r="O1075" s="24">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59" t="s">
        <v>673</v>
      </c>
      <c r="L1076" s="5" t="str">
        <f t="shared" si="172"/>
        <v>01075</v>
      </c>
      <c r="M1076" s="46" t="str">
        <f t="shared" si="173"/>
        <v>23 de mayo de 2018</v>
      </c>
      <c r="N1076" s="318">
        <f t="shared" si="175"/>
        <v>23</v>
      </c>
      <c r="O1076" s="24">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59" t="s">
        <v>673</v>
      </c>
      <c r="L1077" s="5" t="str">
        <f t="shared" si="172"/>
        <v>01076</v>
      </c>
      <c r="M1077" s="46" t="str">
        <f t="shared" si="173"/>
        <v>23 de mayo de 2018</v>
      </c>
      <c r="N1077" s="318">
        <f t="shared" si="175"/>
        <v>23</v>
      </c>
      <c r="O1077" s="24">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59" t="s">
        <v>22</v>
      </c>
      <c r="L1078" s="5" t="str">
        <f t="shared" si="172"/>
        <v>01077</v>
      </c>
      <c r="M1078" s="46" t="str">
        <f t="shared" si="173"/>
        <v>23 de mayo de 2018</v>
      </c>
      <c r="N1078" s="318">
        <f t="shared" si="175"/>
        <v>23</v>
      </c>
      <c r="O1078" s="24">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59" t="s">
        <v>22</v>
      </c>
      <c r="L1079" s="5" t="str">
        <f t="shared" si="172"/>
        <v>01078</v>
      </c>
      <c r="M1079" s="46" t="str">
        <f t="shared" si="173"/>
        <v>24 de mayo de 2018</v>
      </c>
      <c r="N1079" s="318">
        <f t="shared" si="175"/>
        <v>24</v>
      </c>
      <c r="O1079" s="24">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59" t="s">
        <v>673</v>
      </c>
      <c r="L1080" s="5" t="str">
        <f t="shared" si="172"/>
        <v>01079</v>
      </c>
      <c r="M1080" s="46" t="str">
        <f t="shared" si="173"/>
        <v>24 de mayo de 2018</v>
      </c>
      <c r="N1080" s="318">
        <f t="shared" si="175"/>
        <v>24</v>
      </c>
      <c r="O1080" s="24">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59" t="s">
        <v>673</v>
      </c>
      <c r="L1081" s="5" t="str">
        <f t="shared" si="172"/>
        <v>01080</v>
      </c>
      <c r="M1081" s="46" t="str">
        <f t="shared" si="173"/>
        <v>24 de mayo de 2018</v>
      </c>
      <c r="N1081" s="318">
        <f t="shared" si="175"/>
        <v>24</v>
      </c>
      <c r="O1081" s="24">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59" t="s">
        <v>673</v>
      </c>
      <c r="L1082" s="5" t="str">
        <f t="shared" si="172"/>
        <v>01081</v>
      </c>
      <c r="M1082" s="46" t="str">
        <f t="shared" si="173"/>
        <v>25 de mayo de 2018</v>
      </c>
      <c r="N1082" s="318">
        <f t="shared" si="175"/>
        <v>25</v>
      </c>
      <c r="O1082" s="24">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59" t="s">
        <v>673</v>
      </c>
      <c r="L1083" s="5" t="str">
        <f t="shared" si="172"/>
        <v>01082</v>
      </c>
      <c r="M1083" s="46" t="str">
        <f t="shared" si="173"/>
        <v>25 de mayo de 2018</v>
      </c>
      <c r="N1083" s="318">
        <f t="shared" si="175"/>
        <v>25</v>
      </c>
      <c r="O1083" s="24">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59" t="s">
        <v>673</v>
      </c>
      <c r="L1084" s="5" t="str">
        <f t="shared" si="172"/>
        <v>01083</v>
      </c>
      <c r="M1084" s="46" t="str">
        <f t="shared" si="173"/>
        <v>25 de mayo de 2018</v>
      </c>
      <c r="N1084" s="318">
        <f t="shared" si="175"/>
        <v>25</v>
      </c>
      <c r="O1084" s="24">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59" t="s">
        <v>673</v>
      </c>
      <c r="L1085" s="5" t="str">
        <f t="shared" si="172"/>
        <v>01084</v>
      </c>
      <c r="M1085" s="46" t="str">
        <f t="shared" si="173"/>
        <v>26 de mayo de 2018</v>
      </c>
      <c r="N1085" s="318">
        <f t="shared" si="175"/>
        <v>26</v>
      </c>
      <c r="O1085" s="24">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59" t="s">
        <v>22</v>
      </c>
      <c r="L1086" s="5" t="str">
        <f t="shared" si="172"/>
        <v>01085</v>
      </c>
      <c r="M1086" s="46" t="str">
        <f t="shared" si="173"/>
        <v>27 de mayo de 2018</v>
      </c>
      <c r="N1086" s="318">
        <f t="shared" si="175"/>
        <v>27</v>
      </c>
      <c r="O1086" s="24">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59" t="s">
        <v>673</v>
      </c>
      <c r="L1087" s="5" t="str">
        <f t="shared" si="172"/>
        <v>01086</v>
      </c>
      <c r="M1087" s="46" t="str">
        <f t="shared" si="173"/>
        <v>27 de mayo de 2018</v>
      </c>
      <c r="N1087" s="318">
        <f t="shared" si="175"/>
        <v>27</v>
      </c>
      <c r="O1087" s="24">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59" t="s">
        <v>22</v>
      </c>
      <c r="L1088" s="5" t="str">
        <f t="shared" si="172"/>
        <v>01087</v>
      </c>
      <c r="M1088" s="46" t="str">
        <f t="shared" si="173"/>
        <v>28 de mayo de 2018</v>
      </c>
      <c r="N1088" s="318">
        <f t="shared" si="175"/>
        <v>28</v>
      </c>
      <c r="O1088" s="24">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59" t="s">
        <v>673</v>
      </c>
      <c r="L1089" s="5" t="str">
        <f t="shared" si="172"/>
        <v>01088</v>
      </c>
      <c r="M1089" s="46" t="str">
        <f t="shared" si="173"/>
        <v>28 de mayo de 2018</v>
      </c>
      <c r="N1089" s="318">
        <f t="shared" si="175"/>
        <v>28</v>
      </c>
      <c r="O1089" s="24">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59" t="s">
        <v>673</v>
      </c>
      <c r="L1090" s="5" t="str">
        <f t="shared" ref="L1090:L1106" si="185">IF(ISBLANK(A1090),"",TEXT(A1090,"00000"))</f>
        <v>01089</v>
      </c>
      <c r="M1090" s="46" t="str">
        <f t="shared" ref="M1090:M1100" si="186">IF(ISBLANK(D1090),"",TEXT(D1090,"dd")&amp;" de "&amp;TEXT(D1090,"mmmm")&amp;" de "&amp;TEXT(YEAR(D1090),"0"))</f>
        <v>28 de mayo de 2018</v>
      </c>
      <c r="N1090" s="318">
        <f t="shared" si="175"/>
        <v>28</v>
      </c>
      <c r="O1090" s="24">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59" t="s">
        <v>673</v>
      </c>
      <c r="L1091" s="5" t="str">
        <f t="shared" si="185"/>
        <v>01090</v>
      </c>
      <c r="M1091" s="46" t="str">
        <f t="shared" si="186"/>
        <v>28 de mayo de 2018</v>
      </c>
      <c r="N1091" s="318">
        <f t="shared" ref="N1091:N1154" si="188">DAY(D1091)</f>
        <v>28</v>
      </c>
      <c r="O1091" s="24">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59" t="s">
        <v>673</v>
      </c>
      <c r="L1092" s="5" t="str">
        <f t="shared" si="185"/>
        <v>01091</v>
      </c>
      <c r="M1092" s="46" t="str">
        <f t="shared" si="186"/>
        <v>28 de mayo de 2018</v>
      </c>
      <c r="N1092" s="318">
        <f t="shared" si="188"/>
        <v>28</v>
      </c>
      <c r="O1092" s="24">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59" t="s">
        <v>22</v>
      </c>
      <c r="L1093" s="5" t="str">
        <f t="shared" si="185"/>
        <v>01092</v>
      </c>
      <c r="M1093" s="46" t="str">
        <f t="shared" si="186"/>
        <v>29 de mayo de 2018</v>
      </c>
      <c r="N1093" s="318">
        <f t="shared" si="188"/>
        <v>29</v>
      </c>
      <c r="O1093" s="24">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59" t="s">
        <v>673</v>
      </c>
      <c r="L1094" s="5" t="str">
        <f t="shared" si="185"/>
        <v>01093</v>
      </c>
      <c r="M1094" s="46" t="str">
        <f t="shared" si="186"/>
        <v>29 de mayo de 2018</v>
      </c>
      <c r="N1094" s="318">
        <f t="shared" si="188"/>
        <v>29</v>
      </c>
      <c r="O1094" s="24">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59" t="s">
        <v>673</v>
      </c>
      <c r="L1095" s="5" t="str">
        <f t="shared" si="185"/>
        <v>01094</v>
      </c>
      <c r="M1095" s="46" t="str">
        <f t="shared" si="186"/>
        <v>29 de mayo de 2018</v>
      </c>
      <c r="N1095" s="318">
        <f t="shared" si="188"/>
        <v>29</v>
      </c>
      <c r="O1095" s="24">
        <f t="shared" si="187"/>
        <v>43221</v>
      </c>
      <c r="P1095" s="5" t="str">
        <f t="shared" si="183"/>
        <v>3,50</v>
      </c>
      <c r="Q1095" s="4" t="e">
        <f t="shared" ca="1" si="184"/>
        <v>#NAME?</v>
      </c>
    </row>
    <row r="1096" spans="1:17">
      <c r="A1096" s="1">
        <f t="shared" si="189"/>
        <v>1095</v>
      </c>
      <c r="C1096" s="8" t="s">
        <v>17</v>
      </c>
      <c r="D1096" s="2">
        <v>43249</v>
      </c>
      <c r="E1096" s="3">
        <f>350000/100000</f>
        <v>3.5</v>
      </c>
      <c r="F1096" s="22" t="s">
        <v>422</v>
      </c>
      <c r="G1096" s="18" t="s">
        <v>58</v>
      </c>
      <c r="H1096" t="s">
        <v>423</v>
      </c>
      <c r="I1096" s="6" t="s">
        <v>672</v>
      </c>
      <c r="J1096" s="59" t="s">
        <v>673</v>
      </c>
      <c r="L1096" s="5" t="str">
        <f t="shared" si="185"/>
        <v>01095</v>
      </c>
      <c r="M1096" s="46" t="str">
        <f t="shared" si="186"/>
        <v>29 de mayo de 2018</v>
      </c>
      <c r="N1096" s="318">
        <f t="shared" si="188"/>
        <v>29</v>
      </c>
      <c r="O1096" s="24">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59" t="s">
        <v>22</v>
      </c>
      <c r="L1097" s="5" t="str">
        <f t="shared" si="185"/>
        <v>01096</v>
      </c>
      <c r="M1097" s="46" t="str">
        <f t="shared" si="186"/>
        <v>30 de mayo de 2018</v>
      </c>
      <c r="N1097" s="318">
        <f t="shared" si="188"/>
        <v>30</v>
      </c>
      <c r="O1097" s="24">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59" t="s">
        <v>22</v>
      </c>
      <c r="L1098" s="5" t="str">
        <f t="shared" si="185"/>
        <v>01097</v>
      </c>
      <c r="M1098" s="46" t="str">
        <f t="shared" si="186"/>
        <v>23 de mayo de 2018</v>
      </c>
      <c r="N1098" s="318">
        <f t="shared" si="188"/>
        <v>23</v>
      </c>
      <c r="O1098" s="24">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59" t="s">
        <v>22</v>
      </c>
      <c r="L1099" s="5" t="str">
        <f t="shared" si="185"/>
        <v>01098</v>
      </c>
      <c r="M1099" s="46" t="str">
        <f t="shared" si="186"/>
        <v>30 de mayo de 2018</v>
      </c>
      <c r="N1099" s="318">
        <f t="shared" si="188"/>
        <v>30</v>
      </c>
      <c r="O1099" s="24">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59" t="s">
        <v>673</v>
      </c>
      <c r="L1100" s="5" t="str">
        <f t="shared" si="185"/>
        <v>01099</v>
      </c>
      <c r="M1100" s="46" t="str">
        <f t="shared" si="186"/>
        <v>30 de mayo de 2018</v>
      </c>
      <c r="N1100" s="318">
        <f t="shared" si="188"/>
        <v>30</v>
      </c>
      <c r="O1100" s="24">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59" t="s">
        <v>673</v>
      </c>
      <c r="L1101" s="5" t="str">
        <f t="shared" si="185"/>
        <v>01100</v>
      </c>
      <c r="M1101" s="46" t="str">
        <f t="shared" ref="M1101:M1106" si="192">IF(ISBLANK(D1101),"",TEXT(D1101,"dd")&amp;" de "&amp;TEXT(D1101,"mmmm")&amp;" de "&amp;TEXT(YEAR(D1101),"0"))</f>
        <v>30 de mayo de 2018</v>
      </c>
      <c r="N1101" s="318">
        <f t="shared" si="188"/>
        <v>30</v>
      </c>
      <c r="O1101" s="24">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59" t="s">
        <v>22</v>
      </c>
      <c r="L1102" s="5" t="str">
        <f t="shared" si="185"/>
        <v>01101</v>
      </c>
      <c r="M1102" s="46" t="str">
        <f t="shared" si="192"/>
        <v>30 de mayo de 2018</v>
      </c>
      <c r="N1102" s="318">
        <f t="shared" si="188"/>
        <v>30</v>
      </c>
      <c r="O1102" s="24">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59" t="s">
        <v>673</v>
      </c>
      <c r="L1103" s="5" t="str">
        <f t="shared" si="185"/>
        <v>01102</v>
      </c>
      <c r="M1103" s="46" t="str">
        <f t="shared" si="192"/>
        <v>30 de mayo de 2018</v>
      </c>
      <c r="N1103" s="318">
        <f t="shared" si="188"/>
        <v>30</v>
      </c>
      <c r="O1103" s="24">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1" t="s">
        <v>240</v>
      </c>
      <c r="H1104" t="s">
        <v>241</v>
      </c>
      <c r="I1104" s="6" t="s">
        <v>695</v>
      </c>
      <c r="J1104" s="59" t="s">
        <v>22</v>
      </c>
      <c r="L1104" s="5" t="str">
        <f t="shared" si="185"/>
        <v>01103</v>
      </c>
      <c r="M1104" s="46" t="str">
        <f t="shared" si="192"/>
        <v>31 de mayo de 2018</v>
      </c>
      <c r="N1104" s="318">
        <f t="shared" si="188"/>
        <v>31</v>
      </c>
      <c r="O1104" s="24">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59" t="s">
        <v>22</v>
      </c>
      <c r="L1105" s="5" t="str">
        <f t="shared" si="185"/>
        <v>01104</v>
      </c>
      <c r="M1105" s="46" t="str">
        <f t="shared" si="192"/>
        <v>31 de mayo de 2018</v>
      </c>
      <c r="N1105" s="318">
        <f t="shared" si="188"/>
        <v>31</v>
      </c>
      <c r="O1105" s="24">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59" t="s">
        <v>22</v>
      </c>
      <c r="L1106" s="5" t="str">
        <f t="shared" si="185"/>
        <v>01105</v>
      </c>
      <c r="M1106" s="46" t="str">
        <f t="shared" si="192"/>
        <v>02 de junio de 2018</v>
      </c>
      <c r="N1106" s="318">
        <f t="shared" si="188"/>
        <v>2</v>
      </c>
      <c r="O1106" s="24">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59" t="s">
        <v>673</v>
      </c>
      <c r="L1107" s="5" t="str">
        <f t="shared" ref="L1107:L1130" si="193">IF(ISBLANK(A1107),"",TEXT(A1107,"00000"))</f>
        <v>01106</v>
      </c>
      <c r="M1107" s="46" t="str">
        <f t="shared" ref="M1107:M1130" si="194">IF(ISBLANK(D1107),"",TEXT(D1107,"dd")&amp;" de "&amp;TEXT(D1107,"mmmm")&amp;" de "&amp;TEXT(YEAR(D1107),"0"))</f>
        <v>02 de junio de 2018</v>
      </c>
      <c r="N1107" s="318">
        <f t="shared" si="188"/>
        <v>2</v>
      </c>
      <c r="O1107" s="24">
        <f t="shared" ref="O1107:O1130" si="195">DATE(YEAR(D1107),MONTH(D1107),1)</f>
        <v>43252</v>
      </c>
      <c r="P1107" s="5" t="str">
        <f t="shared" ref="P1107:P1118" si="196">TEXT(E1107,"#.##0,00")</f>
        <v>3,50</v>
      </c>
      <c r="Q1107" s="4" t="e">
        <f t="shared" ref="Q1107:Q1118" ca="1" si="197">CONVERTIRNUM(E1107)</f>
        <v>#NAME?</v>
      </c>
    </row>
    <row r="1108" spans="1:17">
      <c r="A1108" s="175">
        <f t="shared" si="189"/>
        <v>1107</v>
      </c>
      <c r="C1108" s="8" t="s">
        <v>17</v>
      </c>
      <c r="D1108" s="2">
        <v>43253</v>
      </c>
      <c r="E1108" s="3">
        <f>350000/100000</f>
        <v>3.5</v>
      </c>
      <c r="F1108" t="s">
        <v>438</v>
      </c>
      <c r="G1108" t="s">
        <v>439</v>
      </c>
      <c r="H1108" t="s">
        <v>440</v>
      </c>
      <c r="I1108" s="6" t="s">
        <v>672</v>
      </c>
      <c r="J1108" s="59" t="s">
        <v>673</v>
      </c>
      <c r="L1108" s="5" t="str">
        <f t="shared" si="193"/>
        <v>01107</v>
      </c>
      <c r="M1108" s="46" t="str">
        <f t="shared" si="194"/>
        <v>02 de junio de 2018</v>
      </c>
      <c r="N1108" s="318">
        <f t="shared" si="188"/>
        <v>2</v>
      </c>
      <c r="O1108" s="24">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59" t="s">
        <v>22</v>
      </c>
      <c r="L1109" s="5" t="str">
        <f t="shared" si="193"/>
        <v>01108</v>
      </c>
      <c r="M1109" s="46" t="str">
        <f t="shared" si="194"/>
        <v>04 de junio de 2018</v>
      </c>
      <c r="N1109" s="318">
        <f t="shared" si="188"/>
        <v>4</v>
      </c>
      <c r="O1109" s="24">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59" t="s">
        <v>22</v>
      </c>
      <c r="L1110" s="5" t="str">
        <f t="shared" si="193"/>
        <v>01109</v>
      </c>
      <c r="M1110" s="46" t="str">
        <f t="shared" si="194"/>
        <v>04 de junio de 2018</v>
      </c>
      <c r="N1110" s="318">
        <f t="shared" si="188"/>
        <v>4</v>
      </c>
      <c r="O1110" s="24">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59" t="s">
        <v>22</v>
      </c>
      <c r="L1111" s="5" t="str">
        <f t="shared" si="193"/>
        <v>01110</v>
      </c>
      <c r="M1111" s="46" t="str">
        <f t="shared" si="194"/>
        <v>04 de junio de 2018</v>
      </c>
      <c r="N1111" s="318">
        <f t="shared" si="188"/>
        <v>4</v>
      </c>
      <c r="O1111" s="24">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59" t="s">
        <v>22</v>
      </c>
      <c r="L1112" s="5" t="str">
        <f t="shared" si="193"/>
        <v>01111</v>
      </c>
      <c r="M1112" s="46" t="str">
        <f t="shared" si="194"/>
        <v>04 de junio de 2018</v>
      </c>
      <c r="N1112" s="318">
        <f t="shared" si="188"/>
        <v>4</v>
      </c>
      <c r="O1112" s="24">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59" t="s">
        <v>22</v>
      </c>
      <c r="L1113" s="5" t="str">
        <f t="shared" si="193"/>
        <v>01112</v>
      </c>
      <c r="M1113" s="46" t="str">
        <f t="shared" si="194"/>
        <v>04 de junio de 2018</v>
      </c>
      <c r="N1113" s="318">
        <f t="shared" si="188"/>
        <v>4</v>
      </c>
      <c r="O1113" s="24">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59" t="s">
        <v>22</v>
      </c>
      <c r="L1114" s="5" t="str">
        <f t="shared" si="193"/>
        <v>01113</v>
      </c>
      <c r="M1114" s="46" t="str">
        <f t="shared" si="194"/>
        <v>04 de junio de 2018</v>
      </c>
      <c r="N1114" s="318">
        <f t="shared" si="188"/>
        <v>4</v>
      </c>
      <c r="O1114" s="24">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59" t="s">
        <v>22</v>
      </c>
      <c r="L1115" s="5" t="str">
        <f t="shared" si="193"/>
        <v>01114</v>
      </c>
      <c r="M1115" s="46" t="str">
        <f t="shared" si="194"/>
        <v>04 de junio de 2018</v>
      </c>
      <c r="N1115" s="318">
        <f t="shared" si="188"/>
        <v>4</v>
      </c>
      <c r="O1115" s="24">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59" t="s">
        <v>673</v>
      </c>
      <c r="L1116" s="5" t="str">
        <f t="shared" si="193"/>
        <v>01115</v>
      </c>
      <c r="M1116" s="46" t="str">
        <f t="shared" si="194"/>
        <v>04 de junio de 2018</v>
      </c>
      <c r="N1116" s="318">
        <f t="shared" si="188"/>
        <v>4</v>
      </c>
      <c r="O1116" s="24">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59" t="s">
        <v>22</v>
      </c>
      <c r="L1117" s="5" t="str">
        <f t="shared" si="193"/>
        <v>01116</v>
      </c>
      <c r="M1117" s="46" t="str">
        <f t="shared" si="194"/>
        <v>06 de junio de 2018</v>
      </c>
      <c r="N1117" s="318">
        <f t="shared" si="188"/>
        <v>6</v>
      </c>
      <c r="O1117" s="24">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59" t="s">
        <v>673</v>
      </c>
      <c r="L1118" s="5" t="str">
        <f t="shared" si="193"/>
        <v>01117</v>
      </c>
      <c r="M1118" s="46" t="str">
        <f t="shared" si="194"/>
        <v>06 de junio de 2018</v>
      </c>
      <c r="N1118" s="318">
        <f t="shared" si="188"/>
        <v>6</v>
      </c>
      <c r="O1118" s="24">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59" t="s">
        <v>22</v>
      </c>
      <c r="L1119" s="5" t="str">
        <f t="shared" si="193"/>
        <v>01118</v>
      </c>
      <c r="M1119" s="46" t="str">
        <f t="shared" si="194"/>
        <v>06 de junio de 2018</v>
      </c>
      <c r="N1119" s="318">
        <f t="shared" si="188"/>
        <v>6</v>
      </c>
      <c r="O1119" s="24">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59" t="s">
        <v>22</v>
      </c>
      <c r="L1120" s="5" t="str">
        <f t="shared" si="193"/>
        <v>01119</v>
      </c>
      <c r="M1120" s="46" t="str">
        <f t="shared" si="194"/>
        <v>06 de junio de 2018</v>
      </c>
      <c r="N1120" s="318">
        <f t="shared" si="188"/>
        <v>6</v>
      </c>
      <c r="O1120" s="24">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59" t="s">
        <v>22</v>
      </c>
      <c r="L1121" s="5" t="str">
        <f t="shared" si="193"/>
        <v>01120</v>
      </c>
      <c r="M1121" s="46" t="str">
        <f t="shared" si="194"/>
        <v>06 de junio de 2018</v>
      </c>
      <c r="N1121" s="318">
        <f t="shared" si="188"/>
        <v>6</v>
      </c>
      <c r="O1121" s="24">
        <f t="shared" si="195"/>
        <v>43252</v>
      </c>
      <c r="P1121" s="5" t="str">
        <f t="shared" si="199"/>
        <v>4,00</v>
      </c>
      <c r="Q1121" s="4" t="e">
        <f t="shared" ca="1" si="200"/>
        <v>#NAME?</v>
      </c>
    </row>
    <row r="1122" spans="1:17">
      <c r="A1122" s="175">
        <f t="shared" si="189"/>
        <v>1121</v>
      </c>
      <c r="C1122" s="8" t="s">
        <v>17</v>
      </c>
      <c r="D1122" s="2">
        <v>43257</v>
      </c>
      <c r="E1122" s="3">
        <f t="shared" si="198"/>
        <v>4</v>
      </c>
      <c r="F1122" t="s">
        <v>438</v>
      </c>
      <c r="G1122" t="s">
        <v>439</v>
      </c>
      <c r="H1122" t="s">
        <v>440</v>
      </c>
      <c r="I1122" s="6" t="s">
        <v>724</v>
      </c>
      <c r="J1122" s="59" t="s">
        <v>22</v>
      </c>
      <c r="L1122" s="5" t="str">
        <f t="shared" si="193"/>
        <v>01121</v>
      </c>
      <c r="M1122" s="46" t="str">
        <f t="shared" si="194"/>
        <v>06 de junio de 2018</v>
      </c>
      <c r="N1122" s="318">
        <f t="shared" si="188"/>
        <v>6</v>
      </c>
      <c r="O1122" s="24">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59" t="s">
        <v>22</v>
      </c>
      <c r="L1123" s="5" t="str">
        <f t="shared" si="193"/>
        <v>01122</v>
      </c>
      <c r="M1123" s="46" t="str">
        <f t="shared" si="194"/>
        <v>06 de junio de 2018</v>
      </c>
      <c r="N1123" s="318">
        <f t="shared" si="188"/>
        <v>6</v>
      </c>
      <c r="O1123" s="24">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59" t="s">
        <v>22</v>
      </c>
      <c r="L1124" s="5" t="str">
        <f t="shared" si="193"/>
        <v>01123</v>
      </c>
      <c r="M1124" s="46" t="str">
        <f t="shared" si="194"/>
        <v>06 de junio de 2018</v>
      </c>
      <c r="N1124" s="318">
        <f t="shared" si="188"/>
        <v>6</v>
      </c>
      <c r="O1124" s="24">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59" t="s">
        <v>22</v>
      </c>
      <c r="L1125" s="5" t="str">
        <f t="shared" si="193"/>
        <v>01124</v>
      </c>
      <c r="M1125" s="46" t="str">
        <f t="shared" si="194"/>
        <v>06 de junio de 2018</v>
      </c>
      <c r="N1125" s="318">
        <f t="shared" si="188"/>
        <v>6</v>
      </c>
      <c r="O1125" s="24">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59" t="s">
        <v>22</v>
      </c>
      <c r="L1126" s="5" t="str">
        <f t="shared" si="193"/>
        <v>01125</v>
      </c>
      <c r="M1126" s="46" t="str">
        <f t="shared" si="194"/>
        <v>07 de junio de 2018</v>
      </c>
      <c r="N1126" s="318">
        <f t="shared" si="188"/>
        <v>7</v>
      </c>
      <c r="O1126" s="24">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59" t="s">
        <v>22</v>
      </c>
      <c r="L1127" s="5" t="str">
        <f t="shared" si="193"/>
        <v>01126</v>
      </c>
      <c r="M1127" s="46" t="str">
        <f t="shared" si="194"/>
        <v>07 de junio de 2018</v>
      </c>
      <c r="N1127" s="318">
        <f t="shared" si="188"/>
        <v>7</v>
      </c>
      <c r="O1127" s="24">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59" t="s">
        <v>22</v>
      </c>
      <c r="L1128" s="5" t="str">
        <f t="shared" si="193"/>
        <v>01127</v>
      </c>
      <c r="M1128" s="46" t="str">
        <f t="shared" si="194"/>
        <v>07 de junio de 2018</v>
      </c>
      <c r="N1128" s="318">
        <f t="shared" si="188"/>
        <v>7</v>
      </c>
      <c r="O1128" s="24">
        <f t="shared" si="195"/>
        <v>43252</v>
      </c>
      <c r="P1128" s="5" t="str">
        <f t="shared" si="199"/>
        <v>4,00</v>
      </c>
      <c r="Q1128" s="4" t="e">
        <f t="shared" ca="1" si="200"/>
        <v>#NAME?</v>
      </c>
    </row>
    <row r="1129" spans="1:17">
      <c r="A1129" s="1">
        <f t="shared" si="201"/>
        <v>1128</v>
      </c>
      <c r="C1129" s="83" t="s">
        <v>17</v>
      </c>
      <c r="D1129" s="2">
        <v>43259</v>
      </c>
      <c r="E1129" s="3">
        <f>100000/100000</f>
        <v>1</v>
      </c>
      <c r="F1129" t="s">
        <v>492</v>
      </c>
      <c r="G1129" s="18" t="s">
        <v>58</v>
      </c>
      <c r="H1129" t="s">
        <v>493</v>
      </c>
      <c r="I1129" s="6" t="s">
        <v>702</v>
      </c>
      <c r="J1129" s="59" t="s">
        <v>22</v>
      </c>
      <c r="L1129" s="5" t="str">
        <f t="shared" si="193"/>
        <v>01128</v>
      </c>
      <c r="M1129" s="46" t="str">
        <f t="shared" si="194"/>
        <v>08 de junio de 2018</v>
      </c>
      <c r="N1129" s="318">
        <f t="shared" si="188"/>
        <v>8</v>
      </c>
      <c r="O1129" s="24">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59" t="s">
        <v>22</v>
      </c>
      <c r="L1130" s="5" t="str">
        <f t="shared" si="193"/>
        <v>01129</v>
      </c>
      <c r="M1130" s="46" t="str">
        <f t="shared" si="194"/>
        <v>08 de junio de 2018</v>
      </c>
      <c r="N1130" s="318">
        <f t="shared" si="188"/>
        <v>8</v>
      </c>
      <c r="O1130" s="24">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59" t="s">
        <v>673</v>
      </c>
      <c r="L1131" s="5" t="str">
        <f t="shared" ref="L1131:L1152" si="202">IF(ISBLANK(A1131),"",TEXT(A1131,"00000"))</f>
        <v>01130</v>
      </c>
      <c r="M1131" s="46" t="str">
        <f t="shared" ref="M1131:M1152" si="203">IF(ISBLANK(D1131),"",TEXT(D1131,"dd")&amp;" de "&amp;TEXT(D1131,"mmmm")&amp;" de "&amp;TEXT(YEAR(D1131),"0"))</f>
        <v>08 de junio de 2018</v>
      </c>
      <c r="N1131" s="318">
        <f t="shared" si="188"/>
        <v>8</v>
      </c>
      <c r="O1131" s="24">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59" t="s">
        <v>22</v>
      </c>
      <c r="L1132" s="5" t="str">
        <f t="shared" si="202"/>
        <v>01131</v>
      </c>
      <c r="M1132" s="46" t="str">
        <f t="shared" si="203"/>
        <v>09 de junio de 2018</v>
      </c>
      <c r="N1132" s="318">
        <f t="shared" si="188"/>
        <v>9</v>
      </c>
      <c r="O1132" s="24">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59" t="s">
        <v>22</v>
      </c>
      <c r="L1133" s="5" t="str">
        <f t="shared" si="202"/>
        <v>01132</v>
      </c>
      <c r="M1133" s="46" t="str">
        <f t="shared" si="203"/>
        <v>09 de junio de 2018</v>
      </c>
      <c r="N1133" s="318">
        <f t="shared" si="188"/>
        <v>9</v>
      </c>
      <c r="O1133" s="24">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59" t="s">
        <v>22</v>
      </c>
      <c r="L1134" s="5" t="str">
        <f t="shared" si="202"/>
        <v>01133</v>
      </c>
      <c r="M1134" s="46" t="str">
        <f t="shared" si="203"/>
        <v>10 de junio de 2018</v>
      </c>
      <c r="N1134" s="318">
        <f t="shared" si="188"/>
        <v>10</v>
      </c>
      <c r="O1134" s="24">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59" t="s">
        <v>22</v>
      </c>
      <c r="L1135" s="5" t="str">
        <f t="shared" si="202"/>
        <v>01134</v>
      </c>
      <c r="M1135" s="46" t="str">
        <f t="shared" si="203"/>
        <v>10 de junio de 2018</v>
      </c>
      <c r="N1135" s="318">
        <f t="shared" si="188"/>
        <v>10</v>
      </c>
      <c r="O1135" s="24">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59" t="s">
        <v>673</v>
      </c>
      <c r="L1136" s="5" t="str">
        <f t="shared" si="202"/>
        <v>01135</v>
      </c>
      <c r="M1136" s="46" t="str">
        <f t="shared" si="203"/>
        <v>10 de junio de 2018</v>
      </c>
      <c r="N1136" s="318">
        <f t="shared" si="188"/>
        <v>10</v>
      </c>
      <c r="O1136" s="24">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59" t="s">
        <v>22</v>
      </c>
      <c r="L1137" s="5" t="str">
        <f t="shared" si="202"/>
        <v>01136</v>
      </c>
      <c r="M1137" s="46" t="str">
        <f t="shared" si="203"/>
        <v>11 de junio de 2018</v>
      </c>
      <c r="N1137" s="318">
        <f t="shared" si="188"/>
        <v>11</v>
      </c>
      <c r="O1137" s="24">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59" t="s">
        <v>22</v>
      </c>
      <c r="L1138" s="5" t="str">
        <f t="shared" si="202"/>
        <v>01137</v>
      </c>
      <c r="M1138" s="46" t="str">
        <f t="shared" si="203"/>
        <v>11 de junio de 2018</v>
      </c>
      <c r="N1138" s="318">
        <f t="shared" si="188"/>
        <v>11</v>
      </c>
      <c r="O1138" s="24">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59" t="s">
        <v>22</v>
      </c>
      <c r="L1139" s="5" t="str">
        <f t="shared" si="202"/>
        <v>01138</v>
      </c>
      <c r="M1139" s="46" t="str">
        <f t="shared" si="203"/>
        <v>13 de junio de 2018</v>
      </c>
      <c r="N1139" s="318">
        <f t="shared" si="188"/>
        <v>13</v>
      </c>
      <c r="O1139" s="24">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59" t="s">
        <v>22</v>
      </c>
      <c r="L1140" s="5" t="str">
        <f t="shared" si="202"/>
        <v>01139</v>
      </c>
      <c r="M1140" s="46" t="str">
        <f t="shared" si="203"/>
        <v>12 de junio de 2018</v>
      </c>
      <c r="N1140" s="318">
        <f t="shared" si="188"/>
        <v>12</v>
      </c>
      <c r="O1140" s="24">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59" t="s">
        <v>22</v>
      </c>
      <c r="L1141" s="5" t="str">
        <f t="shared" si="202"/>
        <v>01140</v>
      </c>
      <c r="M1141" s="46" t="str">
        <f t="shared" si="203"/>
        <v>13 de junio de 2018</v>
      </c>
      <c r="N1141" s="318">
        <f t="shared" si="188"/>
        <v>13</v>
      </c>
      <c r="O1141" s="24">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59" t="s">
        <v>22</v>
      </c>
      <c r="L1142" s="5" t="str">
        <f t="shared" si="202"/>
        <v>01141</v>
      </c>
      <c r="M1142" s="46" t="str">
        <f t="shared" si="203"/>
        <v>14 de junio de 2018</v>
      </c>
      <c r="N1142" s="318">
        <f t="shared" si="188"/>
        <v>14</v>
      </c>
      <c r="O1142" s="24">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59" t="s">
        <v>22</v>
      </c>
      <c r="L1143" s="5" t="str">
        <f t="shared" si="202"/>
        <v>01142</v>
      </c>
      <c r="M1143" s="46" t="str">
        <f t="shared" si="203"/>
        <v>15 de junio de 2018</v>
      </c>
      <c r="N1143" s="318">
        <f t="shared" si="188"/>
        <v>15</v>
      </c>
      <c r="O1143" s="24">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59" t="s">
        <v>22</v>
      </c>
      <c r="L1144" s="5" t="str">
        <f t="shared" si="202"/>
        <v>01143</v>
      </c>
      <c r="M1144" s="46" t="str">
        <f t="shared" si="203"/>
        <v>15 de junio de 2018</v>
      </c>
      <c r="N1144" s="318">
        <f t="shared" si="188"/>
        <v>15</v>
      </c>
      <c r="O1144" s="24">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59" t="s">
        <v>673</v>
      </c>
      <c r="L1145" s="5" t="str">
        <f t="shared" si="202"/>
        <v>01144</v>
      </c>
      <c r="M1145" s="46" t="str">
        <f t="shared" si="203"/>
        <v>15 de junio de 2018</v>
      </c>
      <c r="N1145" s="318">
        <f t="shared" si="188"/>
        <v>15</v>
      </c>
      <c r="O1145" s="24">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59" t="s">
        <v>22</v>
      </c>
      <c r="L1146" s="5" t="str">
        <f t="shared" si="202"/>
        <v>01145</v>
      </c>
      <c r="M1146" s="46" t="str">
        <f t="shared" si="203"/>
        <v>18 de junio de 2018</v>
      </c>
      <c r="N1146" s="318">
        <f t="shared" si="188"/>
        <v>18</v>
      </c>
      <c r="O1146" s="24">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59" t="s">
        <v>22</v>
      </c>
      <c r="L1147" s="5" t="str">
        <f t="shared" si="202"/>
        <v>01146</v>
      </c>
      <c r="M1147" s="46" t="str">
        <f t="shared" si="203"/>
        <v>18 de junio de 2018</v>
      </c>
      <c r="N1147" s="318">
        <f t="shared" si="188"/>
        <v>18</v>
      </c>
      <c r="O1147" s="24">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59" t="s">
        <v>22</v>
      </c>
      <c r="L1148" s="5" t="str">
        <f t="shared" si="202"/>
        <v>01147</v>
      </c>
      <c r="M1148" s="46" t="str">
        <f t="shared" si="203"/>
        <v>18 de junio de 2018</v>
      </c>
      <c r="N1148" s="318">
        <f t="shared" si="188"/>
        <v>18</v>
      </c>
      <c r="O1148" s="24">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59" t="s">
        <v>22</v>
      </c>
      <c r="L1149" s="5" t="str">
        <f t="shared" si="202"/>
        <v>01148</v>
      </c>
      <c r="M1149" s="46" t="str">
        <f t="shared" si="203"/>
        <v>18 de junio de 2018</v>
      </c>
      <c r="N1149" s="318">
        <f t="shared" si="188"/>
        <v>18</v>
      </c>
      <c r="O1149" s="24">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59" t="s">
        <v>22</v>
      </c>
      <c r="L1150" s="5" t="str">
        <f t="shared" si="202"/>
        <v>01149</v>
      </c>
      <c r="M1150" s="46" t="str">
        <f t="shared" si="203"/>
        <v>19 de junio de 2018</v>
      </c>
      <c r="N1150" s="318">
        <f t="shared" si="188"/>
        <v>19</v>
      </c>
      <c r="O1150" s="24">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59" t="s">
        <v>22</v>
      </c>
      <c r="L1151" s="5" t="str">
        <f t="shared" si="202"/>
        <v>01150</v>
      </c>
      <c r="M1151" s="46" t="str">
        <f t="shared" si="203"/>
        <v>19 de junio de 2018</v>
      </c>
      <c r="N1151" s="318">
        <f t="shared" si="188"/>
        <v>19</v>
      </c>
      <c r="O1151" s="24">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59" t="s">
        <v>22</v>
      </c>
      <c r="L1152" s="5" t="str">
        <f t="shared" si="202"/>
        <v>01151</v>
      </c>
      <c r="M1152" s="46" t="str">
        <f t="shared" si="203"/>
        <v>21 de junio de 2018</v>
      </c>
      <c r="N1152" s="318">
        <f t="shared" si="188"/>
        <v>21</v>
      </c>
      <c r="O1152" s="24">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59" t="s">
        <v>733</v>
      </c>
      <c r="L1153" s="5" t="str">
        <f t="shared" ref="L1153:L1173" si="205">IF(ISBLANK(A1153),"",TEXT(A1153,"00000"))</f>
        <v>01152</v>
      </c>
      <c r="M1153" s="46" t="str">
        <f t="shared" ref="M1153:M1173" si="206">IF(ISBLANK(D1153),"",TEXT(D1153,"dd")&amp;" de "&amp;TEXT(D1153,"mmmm")&amp;" de "&amp;TEXT(YEAR(D1153),"0"))</f>
        <v>21 de junio de 2018</v>
      </c>
      <c r="N1153" s="318">
        <f t="shared" si="188"/>
        <v>21</v>
      </c>
      <c r="O1153" s="24">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59" t="s">
        <v>22</v>
      </c>
      <c r="L1154" s="5" t="str">
        <f t="shared" si="205"/>
        <v>01153</v>
      </c>
      <c r="M1154" s="46" t="str">
        <f t="shared" si="206"/>
        <v>21 de junio de 2018</v>
      </c>
      <c r="N1154" s="318">
        <f t="shared" si="188"/>
        <v>21</v>
      </c>
      <c r="O1154" s="24">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59" t="s">
        <v>22</v>
      </c>
      <c r="L1155" s="5" t="str">
        <f t="shared" si="205"/>
        <v>01154</v>
      </c>
      <c r="M1155" s="46" t="str">
        <f t="shared" si="206"/>
        <v>26 de junio de 2018</v>
      </c>
      <c r="N1155" s="318">
        <f t="shared" ref="N1155:N1218" si="210">DAY(D1155)</f>
        <v>26</v>
      </c>
      <c r="O1155" s="24">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59" t="s">
        <v>22</v>
      </c>
      <c r="L1156" s="5" t="str">
        <f t="shared" si="205"/>
        <v>01155</v>
      </c>
      <c r="M1156" s="46" t="str">
        <f t="shared" si="206"/>
        <v>26 de junio de 2018</v>
      </c>
      <c r="N1156" s="318">
        <f t="shared" si="210"/>
        <v>26</v>
      </c>
      <c r="O1156" s="24">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59" t="s">
        <v>22</v>
      </c>
      <c r="L1157" s="5" t="str">
        <f t="shared" si="205"/>
        <v>01156</v>
      </c>
      <c r="M1157" s="46" t="str">
        <f t="shared" si="206"/>
        <v>26 de junio de 2018</v>
      </c>
      <c r="N1157" s="318">
        <f t="shared" si="210"/>
        <v>26</v>
      </c>
      <c r="O1157" s="24">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59" t="s">
        <v>22</v>
      </c>
      <c r="L1158" s="5" t="str">
        <f t="shared" si="205"/>
        <v>01157</v>
      </c>
      <c r="M1158" s="46" t="str">
        <f t="shared" si="206"/>
        <v>26 de junio de 2018</v>
      </c>
      <c r="N1158" s="318">
        <f t="shared" si="210"/>
        <v>26</v>
      </c>
      <c r="O1158" s="24">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59" t="s">
        <v>673</v>
      </c>
      <c r="L1159" s="5" t="str">
        <f t="shared" si="205"/>
        <v>01158</v>
      </c>
      <c r="M1159" s="46" t="str">
        <f t="shared" si="206"/>
        <v>26 de junio de 2018</v>
      </c>
      <c r="N1159" s="318">
        <f t="shared" si="210"/>
        <v>26</v>
      </c>
      <c r="O1159" s="24">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59" t="s">
        <v>22</v>
      </c>
      <c r="L1160" s="5" t="str">
        <f t="shared" si="205"/>
        <v>01159</v>
      </c>
      <c r="M1160" s="46" t="str">
        <f t="shared" si="206"/>
        <v>28 de junio de 2018</v>
      </c>
      <c r="N1160" s="318">
        <f t="shared" si="210"/>
        <v>28</v>
      </c>
      <c r="O1160" s="24">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59" t="s">
        <v>22</v>
      </c>
      <c r="L1161" s="5" t="str">
        <f t="shared" si="205"/>
        <v>01160</v>
      </c>
      <c r="M1161" s="46" t="str">
        <f t="shared" si="206"/>
        <v>28 de junio de 2018</v>
      </c>
      <c r="N1161" s="318">
        <f t="shared" si="210"/>
        <v>28</v>
      </c>
      <c r="O1161" s="24">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59" t="s">
        <v>22</v>
      </c>
      <c r="L1162" s="5" t="str">
        <f t="shared" si="205"/>
        <v>01161</v>
      </c>
      <c r="M1162" s="46" t="str">
        <f t="shared" si="206"/>
        <v>28 de junio de 2018</v>
      </c>
      <c r="N1162" s="318">
        <f t="shared" si="210"/>
        <v>28</v>
      </c>
      <c r="O1162" s="24">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59" t="s">
        <v>22</v>
      </c>
      <c r="L1163" s="5" t="str">
        <f t="shared" si="205"/>
        <v>01162</v>
      </c>
      <c r="M1163" s="46" t="str">
        <f t="shared" si="206"/>
        <v>28 de junio de 2018</v>
      </c>
      <c r="N1163" s="318">
        <f t="shared" si="210"/>
        <v>28</v>
      </c>
      <c r="O1163" s="24">
        <f t="shared" si="207"/>
        <v>43252</v>
      </c>
      <c r="P1163" s="5" t="str">
        <f t="shared" si="208"/>
        <v>2,25</v>
      </c>
      <c r="Q1163" s="4" t="e">
        <f t="shared" ca="1" si="211"/>
        <v>#NAME?</v>
      </c>
    </row>
    <row r="1164" spans="1:17">
      <c r="A1164" s="175">
        <f t="shared" si="201"/>
        <v>1163</v>
      </c>
      <c r="C1164" s="8" t="s">
        <v>17</v>
      </c>
      <c r="D1164" s="2">
        <v>43279</v>
      </c>
      <c r="E1164" s="3">
        <f>225000/100000</f>
        <v>2.25</v>
      </c>
      <c r="F1164" t="s">
        <v>438</v>
      </c>
      <c r="G1164" t="s">
        <v>439</v>
      </c>
      <c r="H1164" t="s">
        <v>440</v>
      </c>
      <c r="I1164" s="6" t="s">
        <v>740</v>
      </c>
      <c r="J1164" s="59" t="s">
        <v>22</v>
      </c>
      <c r="L1164" s="5" t="str">
        <f t="shared" si="205"/>
        <v>01163</v>
      </c>
      <c r="M1164" s="46" t="str">
        <f t="shared" si="206"/>
        <v>28 de junio de 2018</v>
      </c>
      <c r="N1164" s="318">
        <f t="shared" si="210"/>
        <v>28</v>
      </c>
      <c r="O1164" s="24">
        <f t="shared" si="207"/>
        <v>43252</v>
      </c>
      <c r="P1164" s="5" t="str">
        <f t="shared" si="208"/>
        <v>2,25</v>
      </c>
      <c r="Q1164" s="4" t="e">
        <f t="shared" ca="1" si="211"/>
        <v>#NAME?</v>
      </c>
    </row>
    <row r="1165" spans="1:17">
      <c r="A1165" s="1">
        <f t="shared" si="201"/>
        <v>1164</v>
      </c>
      <c r="C1165" s="83" t="s">
        <v>17</v>
      </c>
      <c r="D1165" s="2">
        <v>43279</v>
      </c>
      <c r="E1165" s="3">
        <f>225000/100000</f>
        <v>2.25</v>
      </c>
      <c r="F1165" t="s">
        <v>280</v>
      </c>
      <c r="G1165" s="18" t="s">
        <v>58</v>
      </c>
      <c r="H1165" t="s">
        <v>282</v>
      </c>
      <c r="I1165" s="6" t="s">
        <v>741</v>
      </c>
      <c r="J1165" s="59" t="s">
        <v>22</v>
      </c>
      <c r="L1165" s="5" t="str">
        <f t="shared" si="205"/>
        <v>01164</v>
      </c>
      <c r="M1165" s="46" t="str">
        <f t="shared" si="206"/>
        <v>28 de junio de 2018</v>
      </c>
      <c r="N1165" s="318">
        <f t="shared" si="210"/>
        <v>28</v>
      </c>
      <c r="O1165" s="24">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59" t="s">
        <v>22</v>
      </c>
      <c r="L1166" s="5" t="str">
        <f t="shared" si="205"/>
        <v>01165</v>
      </c>
      <c r="M1166" s="46" t="str">
        <f t="shared" si="206"/>
        <v>28 de junio de 2018</v>
      </c>
      <c r="N1166" s="318">
        <f t="shared" si="210"/>
        <v>28</v>
      </c>
      <c r="O1166" s="24">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59" t="s">
        <v>22</v>
      </c>
      <c r="L1167" s="5" t="str">
        <f t="shared" si="205"/>
        <v>01166</v>
      </c>
      <c r="M1167" s="46" t="str">
        <f t="shared" si="206"/>
        <v>28 de junio de 2018</v>
      </c>
      <c r="N1167" s="318">
        <f t="shared" si="210"/>
        <v>28</v>
      </c>
      <c r="O1167" s="24">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59" t="s">
        <v>22</v>
      </c>
      <c r="L1168" s="5" t="str">
        <f t="shared" si="205"/>
        <v>01167</v>
      </c>
      <c r="M1168" s="46" t="str">
        <f t="shared" si="206"/>
        <v>28 de junio de 2018</v>
      </c>
      <c r="N1168" s="318">
        <f t="shared" si="210"/>
        <v>28</v>
      </c>
      <c r="O1168" s="24">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59" t="s">
        <v>22</v>
      </c>
      <c r="L1169" s="5" t="str">
        <f t="shared" si="205"/>
        <v>01168</v>
      </c>
      <c r="M1169" s="46" t="str">
        <f t="shared" si="206"/>
        <v>28 de junio de 2018</v>
      </c>
      <c r="N1169" s="318">
        <f t="shared" si="210"/>
        <v>28</v>
      </c>
      <c r="O1169" s="24">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59" t="s">
        <v>22</v>
      </c>
      <c r="L1170" s="5" t="str">
        <f t="shared" si="205"/>
        <v>01169</v>
      </c>
      <c r="M1170" s="46" t="str">
        <f t="shared" si="206"/>
        <v>28 de junio de 2018</v>
      </c>
      <c r="N1170" s="318">
        <f t="shared" si="210"/>
        <v>28</v>
      </c>
      <c r="O1170" s="24">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59" t="s">
        <v>22</v>
      </c>
      <c r="L1171" s="5" t="str">
        <f t="shared" si="205"/>
        <v>01170</v>
      </c>
      <c r="M1171" s="46" t="str">
        <f t="shared" si="206"/>
        <v>28 de junio de 2018</v>
      </c>
      <c r="N1171" s="318">
        <f t="shared" si="210"/>
        <v>28</v>
      </c>
      <c r="O1171" s="24">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59" t="s">
        <v>22</v>
      </c>
      <c r="L1172" s="5" t="str">
        <f t="shared" si="205"/>
        <v>01171</v>
      </c>
      <c r="M1172" s="46" t="str">
        <f t="shared" si="206"/>
        <v>29 de junio de 2018</v>
      </c>
      <c r="N1172" s="318">
        <f t="shared" si="210"/>
        <v>29</v>
      </c>
      <c r="O1172" s="24">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59" t="s">
        <v>22</v>
      </c>
      <c r="L1173" s="5" t="str">
        <f t="shared" si="205"/>
        <v>01172</v>
      </c>
      <c r="M1173" s="46" t="str">
        <f t="shared" si="206"/>
        <v>29 de junio de 2018</v>
      </c>
      <c r="N1173" s="318">
        <f t="shared" si="210"/>
        <v>29</v>
      </c>
      <c r="O1173" s="24">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59" t="s">
        <v>745</v>
      </c>
      <c r="L1174" s="5" t="str">
        <f t="shared" ref="L1174:L1179" si="213">IF(ISBLANK(A1174),"",TEXT(A1174,"00000"))</f>
        <v>01173</v>
      </c>
      <c r="M1174" s="46" t="str">
        <f t="shared" ref="M1174:M1179" si="214">IF(ISBLANK(D1174),"",TEXT(D1174,"dd")&amp;" de "&amp;TEXT(D1174,"mmmm")&amp;" de "&amp;TEXT(YEAR(D1174),"0"))</f>
        <v>29 de junio de 2018</v>
      </c>
      <c r="N1174" s="318">
        <f t="shared" si="210"/>
        <v>29</v>
      </c>
      <c r="O1174" s="24">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59" t="s">
        <v>22</v>
      </c>
      <c r="L1175" s="5" t="str">
        <f t="shared" si="213"/>
        <v>01174</v>
      </c>
      <c r="M1175" s="46" t="str">
        <f t="shared" si="214"/>
        <v>29 de junio de 2018</v>
      </c>
      <c r="N1175" s="318">
        <f t="shared" si="210"/>
        <v>29</v>
      </c>
      <c r="O1175" s="24">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59" t="s">
        <v>22</v>
      </c>
      <c r="L1176" s="5" t="str">
        <f t="shared" si="213"/>
        <v>01175</v>
      </c>
      <c r="M1176" s="46" t="str">
        <f t="shared" si="214"/>
        <v>29 de junio de 2018</v>
      </c>
      <c r="N1176" s="318">
        <f t="shared" si="210"/>
        <v>29</v>
      </c>
      <c r="O1176" s="24">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59" t="s">
        <v>22</v>
      </c>
      <c r="L1177" s="5" t="str">
        <f t="shared" si="213"/>
        <v>01176</v>
      </c>
      <c r="M1177" s="46" t="str">
        <f t="shared" si="214"/>
        <v>30 de junio de 2018</v>
      </c>
      <c r="N1177" s="318">
        <f t="shared" si="210"/>
        <v>30</v>
      </c>
      <c r="O1177" s="24">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59" t="s">
        <v>22</v>
      </c>
      <c r="L1178" s="5" t="str">
        <f t="shared" si="213"/>
        <v>01177</v>
      </c>
      <c r="M1178" s="46" t="str">
        <f t="shared" si="214"/>
        <v>30 de junio de 2018</v>
      </c>
      <c r="N1178" s="318">
        <f t="shared" si="210"/>
        <v>30</v>
      </c>
      <c r="O1178" s="24">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59" t="s">
        <v>22</v>
      </c>
      <c r="L1179" s="5" t="str">
        <f t="shared" si="213"/>
        <v>01178</v>
      </c>
      <c r="M1179" s="46" t="str">
        <f t="shared" si="214"/>
        <v>30 de junio de 2018</v>
      </c>
      <c r="N1179" s="318">
        <f t="shared" si="210"/>
        <v>30</v>
      </c>
      <c r="O1179" s="24">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59" t="s">
        <v>22</v>
      </c>
      <c r="L1180" s="5" t="str">
        <f t="shared" ref="L1180:L1196" si="218">IF(ISBLANK(A1180),"",TEXT(A1180,"00000"))</f>
        <v>01179</v>
      </c>
      <c r="M1180" s="46" t="str">
        <f t="shared" ref="M1180:M1196" si="219">IF(ISBLANK(D1180),"",TEXT(D1180,"dd")&amp;" de "&amp;TEXT(D1180,"mmmm")&amp;" de "&amp;TEXT(YEAR(D1180),"0"))</f>
        <v>30 de junio de 2018</v>
      </c>
      <c r="N1180" s="318">
        <f t="shared" si="210"/>
        <v>30</v>
      </c>
      <c r="O1180" s="24">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59" t="s">
        <v>22</v>
      </c>
      <c r="L1181" s="5" t="str">
        <f t="shared" si="218"/>
        <v>01180</v>
      </c>
      <c r="M1181" s="46" t="str">
        <f t="shared" si="219"/>
        <v>30 de junio de 2018</v>
      </c>
      <c r="N1181" s="318">
        <f t="shared" si="210"/>
        <v>30</v>
      </c>
      <c r="O1181" s="24">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59" t="s">
        <v>22</v>
      </c>
      <c r="L1182" s="5" t="str">
        <f t="shared" si="218"/>
        <v>01181</v>
      </c>
      <c r="M1182" s="46" t="str">
        <f t="shared" si="219"/>
        <v>30 de junio de 2018</v>
      </c>
      <c r="N1182" s="318">
        <f t="shared" si="210"/>
        <v>30</v>
      </c>
      <c r="O1182" s="24">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59" t="s">
        <v>22</v>
      </c>
      <c r="L1183" s="5" t="str">
        <f t="shared" si="218"/>
        <v>01182</v>
      </c>
      <c r="M1183" s="46" t="str">
        <f t="shared" si="219"/>
        <v>30 de junio de 2018</v>
      </c>
      <c r="N1183" s="318">
        <f t="shared" si="210"/>
        <v>30</v>
      </c>
      <c r="O1183" s="24">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59" t="s">
        <v>22</v>
      </c>
      <c r="L1184" s="5" t="str">
        <f t="shared" si="218"/>
        <v>01183</v>
      </c>
      <c r="M1184" s="46" t="str">
        <f t="shared" si="219"/>
        <v>01 de julio de 2018</v>
      </c>
      <c r="N1184" s="318">
        <f t="shared" si="210"/>
        <v>1</v>
      </c>
      <c r="O1184" s="24">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59" t="s">
        <v>22</v>
      </c>
      <c r="L1185" s="5" t="str">
        <f t="shared" si="218"/>
        <v>01184</v>
      </c>
      <c r="M1185" s="46" t="str">
        <f t="shared" si="219"/>
        <v>01 de julio de 2018</v>
      </c>
      <c r="N1185" s="318">
        <f t="shared" si="210"/>
        <v>1</v>
      </c>
      <c r="O1185" s="24">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59" t="s">
        <v>22</v>
      </c>
      <c r="L1186" s="5" t="str">
        <f t="shared" si="218"/>
        <v>01185</v>
      </c>
      <c r="M1186" s="46" t="str">
        <f t="shared" si="219"/>
        <v>01 de julio de 2018</v>
      </c>
      <c r="N1186" s="318">
        <f t="shared" si="210"/>
        <v>1</v>
      </c>
      <c r="O1186" s="24">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59" t="s">
        <v>22</v>
      </c>
      <c r="L1187" s="5" t="str">
        <f t="shared" si="218"/>
        <v>01186</v>
      </c>
      <c r="M1187" s="46" t="str">
        <f t="shared" si="219"/>
        <v>01 de julio de 2018</v>
      </c>
      <c r="N1187" s="318">
        <f t="shared" si="210"/>
        <v>1</v>
      </c>
      <c r="O1187" s="24">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59" t="s">
        <v>22</v>
      </c>
      <c r="L1188" s="5" t="str">
        <f t="shared" si="218"/>
        <v>01187</v>
      </c>
      <c r="M1188" s="46" t="str">
        <f t="shared" si="219"/>
        <v>01 de julio de 2018</v>
      </c>
      <c r="N1188" s="318">
        <f t="shared" si="210"/>
        <v>1</v>
      </c>
      <c r="O1188" s="24">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59" t="s">
        <v>22</v>
      </c>
      <c r="L1189" s="5" t="str">
        <f t="shared" si="218"/>
        <v>01188</v>
      </c>
      <c r="M1189" s="46" t="str">
        <f t="shared" si="219"/>
        <v>01 de julio de 2018</v>
      </c>
      <c r="N1189" s="318">
        <f t="shared" si="210"/>
        <v>1</v>
      </c>
      <c r="O1189" s="24">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59" t="s">
        <v>22</v>
      </c>
      <c r="L1190" s="5" t="str">
        <f t="shared" si="218"/>
        <v>01189</v>
      </c>
      <c r="M1190" s="46" t="str">
        <f t="shared" si="219"/>
        <v>02 de julio de 2018</v>
      </c>
      <c r="N1190" s="318">
        <f t="shared" si="210"/>
        <v>2</v>
      </c>
      <c r="O1190" s="24">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59" t="s">
        <v>22</v>
      </c>
      <c r="L1191" s="5" t="str">
        <f t="shared" si="218"/>
        <v>01190</v>
      </c>
      <c r="M1191" s="46" t="str">
        <f t="shared" si="219"/>
        <v>02 de julio de 2018</v>
      </c>
      <c r="N1191" s="318">
        <f t="shared" si="210"/>
        <v>2</v>
      </c>
      <c r="O1191" s="24">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59" t="s">
        <v>22</v>
      </c>
      <c r="L1192" s="5" t="str">
        <f t="shared" si="218"/>
        <v>01191</v>
      </c>
      <c r="M1192" s="46" t="str">
        <f t="shared" si="219"/>
        <v>02 de julio de 2018</v>
      </c>
      <c r="N1192" s="318">
        <f t="shared" si="210"/>
        <v>2</v>
      </c>
      <c r="O1192" s="24">
        <f t="shared" si="220"/>
        <v>43282</v>
      </c>
      <c r="P1192" s="5" t="str">
        <f t="shared" si="223"/>
        <v>23,25</v>
      </c>
      <c r="Q1192" s="4" t="e">
        <f t="shared" ca="1" si="224"/>
        <v>#NAME?</v>
      </c>
    </row>
    <row r="1193" spans="1:17">
      <c r="A1193" s="1">
        <f t="shared" si="212"/>
        <v>1192</v>
      </c>
      <c r="C1193" s="83" t="s">
        <v>17</v>
      </c>
      <c r="D1193" s="2">
        <v>43283</v>
      </c>
      <c r="E1193" s="3">
        <f>625000/100000</f>
        <v>6.25</v>
      </c>
      <c r="F1193" t="s">
        <v>319</v>
      </c>
      <c r="G1193" s="18" t="s">
        <v>58</v>
      </c>
      <c r="H1193" t="s">
        <v>320</v>
      </c>
      <c r="I1193" s="6" t="s">
        <v>707</v>
      </c>
      <c r="J1193" s="59" t="s">
        <v>22</v>
      </c>
      <c r="L1193" s="5" t="str">
        <f t="shared" si="218"/>
        <v>01192</v>
      </c>
      <c r="M1193" s="46" t="str">
        <f t="shared" si="219"/>
        <v>02 de julio de 2018</v>
      </c>
      <c r="N1193" s="318">
        <f t="shared" si="210"/>
        <v>2</v>
      </c>
      <c r="O1193" s="24">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59" t="s">
        <v>22</v>
      </c>
      <c r="L1194" s="5" t="str">
        <f t="shared" si="218"/>
        <v>01193</v>
      </c>
      <c r="M1194" s="46" t="str">
        <f t="shared" si="219"/>
        <v>02 de julio de 2018</v>
      </c>
      <c r="N1194" s="318">
        <f t="shared" si="210"/>
        <v>2</v>
      </c>
      <c r="O1194" s="24">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59" t="s">
        <v>22</v>
      </c>
      <c r="L1195" s="5" t="str">
        <f t="shared" si="218"/>
        <v>01194</v>
      </c>
      <c r="M1195" s="46" t="str">
        <f t="shared" si="219"/>
        <v>02 de julio de 2018</v>
      </c>
      <c r="N1195" s="318">
        <f t="shared" si="210"/>
        <v>2</v>
      </c>
      <c r="O1195" s="24">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59" t="s">
        <v>22</v>
      </c>
      <c r="L1196" s="5" t="str">
        <f t="shared" si="218"/>
        <v>01195</v>
      </c>
      <c r="M1196" s="46" t="str">
        <f t="shared" si="219"/>
        <v>03 de julio de 2018</v>
      </c>
      <c r="N1196" s="318">
        <f t="shared" si="210"/>
        <v>3</v>
      </c>
      <c r="O1196" s="24">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59" t="s">
        <v>22</v>
      </c>
      <c r="L1197" s="5" t="str">
        <f t="shared" ref="L1197:L1220" si="225">IF(ISBLANK(A1197),"",TEXT(A1197,"00000"))</f>
        <v>01196</v>
      </c>
      <c r="M1197" s="46" t="str">
        <f t="shared" ref="M1197:M1220" si="226">IF(ISBLANK(D1197),"",TEXT(D1197,"dd")&amp;" de "&amp;TEXT(D1197,"mmmm")&amp;" de "&amp;TEXT(YEAR(D1197),"0"))</f>
        <v>03 de julio de 2018</v>
      </c>
      <c r="N1197" s="318">
        <f t="shared" si="210"/>
        <v>3</v>
      </c>
      <c r="O1197" s="24">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59" t="s">
        <v>22</v>
      </c>
      <c r="L1198" s="5" t="str">
        <f t="shared" si="225"/>
        <v>01197</v>
      </c>
      <c r="M1198" s="46" t="str">
        <f t="shared" si="226"/>
        <v>03 de julio de 2018</v>
      </c>
      <c r="N1198" s="318">
        <f t="shared" si="210"/>
        <v>3</v>
      </c>
      <c r="O1198" s="24">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59" t="s">
        <v>22</v>
      </c>
      <c r="L1199" s="5" t="str">
        <f t="shared" si="225"/>
        <v>01198</v>
      </c>
      <c r="M1199" s="46" t="str">
        <f t="shared" si="226"/>
        <v>03 de julio de 2018</v>
      </c>
      <c r="N1199" s="318">
        <f t="shared" si="210"/>
        <v>3</v>
      </c>
      <c r="O1199" s="24">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59" t="s">
        <v>733</v>
      </c>
      <c r="L1200" s="5" t="str">
        <f t="shared" si="225"/>
        <v>01199</v>
      </c>
      <c r="M1200" s="46" t="str">
        <f t="shared" si="226"/>
        <v>03 de julio de 2018</v>
      </c>
      <c r="N1200" s="318">
        <f t="shared" si="210"/>
        <v>3</v>
      </c>
      <c r="O1200" s="24">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59" t="s">
        <v>22</v>
      </c>
      <c r="L1201" s="5" t="str">
        <f t="shared" si="225"/>
        <v>01200</v>
      </c>
      <c r="M1201" s="46" t="str">
        <f t="shared" si="226"/>
        <v>03 de julio de 2018</v>
      </c>
      <c r="N1201" s="318">
        <f t="shared" si="210"/>
        <v>3</v>
      </c>
      <c r="O1201" s="24">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59" t="s">
        <v>673</v>
      </c>
      <c r="L1202" s="5" t="str">
        <f t="shared" si="225"/>
        <v>01201</v>
      </c>
      <c r="M1202" s="46" t="str">
        <f t="shared" si="226"/>
        <v>03 de julio de 2018</v>
      </c>
      <c r="N1202" s="318">
        <f t="shared" si="210"/>
        <v>3</v>
      </c>
      <c r="O1202" s="24">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59" t="s">
        <v>22</v>
      </c>
      <c r="L1203" s="5" t="str">
        <f t="shared" si="225"/>
        <v>01202</v>
      </c>
      <c r="M1203" s="46" t="str">
        <f t="shared" si="226"/>
        <v>03 de julio de 2018</v>
      </c>
      <c r="N1203" s="318">
        <f t="shared" si="210"/>
        <v>3</v>
      </c>
      <c r="O1203" s="24">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59" t="s">
        <v>22</v>
      </c>
      <c r="L1204" s="5" t="str">
        <f t="shared" si="225"/>
        <v>01203</v>
      </c>
      <c r="M1204" s="46" t="str">
        <f t="shared" si="226"/>
        <v>03 de julio de 2018</v>
      </c>
      <c r="N1204" s="318">
        <f t="shared" si="210"/>
        <v>3</v>
      </c>
      <c r="O1204" s="24">
        <f t="shared" si="227"/>
        <v>43282</v>
      </c>
      <c r="P1204" s="5" t="str">
        <f t="shared" si="228"/>
        <v>1,50</v>
      </c>
      <c r="Q1204" s="4" t="e">
        <f t="shared" ca="1" si="229"/>
        <v>#NAME?</v>
      </c>
    </row>
    <row r="1205" spans="1:17">
      <c r="A1205" s="1">
        <f t="shared" si="212"/>
        <v>1204</v>
      </c>
      <c r="C1205" s="8" t="s">
        <v>17</v>
      </c>
      <c r="D1205" s="2">
        <v>43284</v>
      </c>
      <c r="E1205" s="3">
        <f>2355000/100000</f>
        <v>23.55</v>
      </c>
      <c r="F1205" s="22" t="s">
        <v>422</v>
      </c>
      <c r="G1205" s="18" t="s">
        <v>58</v>
      </c>
      <c r="H1205" t="s">
        <v>423</v>
      </c>
      <c r="I1205" s="6" t="s">
        <v>722</v>
      </c>
      <c r="J1205" s="59" t="s">
        <v>22</v>
      </c>
      <c r="L1205" s="5" t="str">
        <f t="shared" si="225"/>
        <v>01204</v>
      </c>
      <c r="M1205" s="46" t="str">
        <f t="shared" si="226"/>
        <v>03 de julio de 2018</v>
      </c>
      <c r="N1205" s="318">
        <f t="shared" si="210"/>
        <v>3</v>
      </c>
      <c r="O1205" s="24">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59" t="s">
        <v>22</v>
      </c>
      <c r="L1206" s="5" t="str">
        <f t="shared" si="225"/>
        <v>01205</v>
      </c>
      <c r="M1206" s="46" t="str">
        <f t="shared" si="226"/>
        <v>03 de julio de 2018</v>
      </c>
      <c r="N1206" s="318">
        <f t="shared" si="210"/>
        <v>3</v>
      </c>
      <c r="O1206" s="24">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59" t="s">
        <v>22</v>
      </c>
      <c r="L1207" s="5" t="str">
        <f t="shared" si="225"/>
        <v>01206</v>
      </c>
      <c r="M1207" s="46" t="str">
        <f t="shared" si="226"/>
        <v>03 de julio de 2018</v>
      </c>
      <c r="N1207" s="318">
        <f t="shared" si="210"/>
        <v>3</v>
      </c>
      <c r="O1207" s="24">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59" t="s">
        <v>22</v>
      </c>
      <c r="L1208" s="5" t="str">
        <f t="shared" si="225"/>
        <v>01207</v>
      </c>
      <c r="M1208" s="46" t="str">
        <f t="shared" si="226"/>
        <v>04 de julio de 2018</v>
      </c>
      <c r="N1208" s="318">
        <f t="shared" si="210"/>
        <v>4</v>
      </c>
      <c r="O1208" s="24">
        <f t="shared" si="227"/>
        <v>43282</v>
      </c>
      <c r="P1208" s="5" t="str">
        <f t="shared" si="228"/>
        <v>8,25</v>
      </c>
      <c r="Q1208" s="4" t="e">
        <f t="shared" ca="1" si="229"/>
        <v>#NAME?</v>
      </c>
    </row>
    <row r="1209" spans="1:17">
      <c r="A1209" s="175">
        <f t="shared" si="212"/>
        <v>1208</v>
      </c>
      <c r="C1209" s="8" t="s">
        <v>17</v>
      </c>
      <c r="D1209" s="2">
        <v>43285</v>
      </c>
      <c r="E1209" s="3">
        <f>1000000/100000</f>
        <v>10</v>
      </c>
      <c r="F1209" t="s">
        <v>438</v>
      </c>
      <c r="G1209" t="s">
        <v>439</v>
      </c>
      <c r="H1209" t="s">
        <v>440</v>
      </c>
      <c r="I1209" s="6" t="s">
        <v>756</v>
      </c>
      <c r="J1209" s="59" t="s">
        <v>22</v>
      </c>
      <c r="L1209" s="5" t="str">
        <f t="shared" si="225"/>
        <v>01208</v>
      </c>
      <c r="M1209" s="46" t="str">
        <f t="shared" si="226"/>
        <v>04 de julio de 2018</v>
      </c>
      <c r="N1209" s="318">
        <f t="shared" si="210"/>
        <v>4</v>
      </c>
      <c r="O1209" s="24">
        <f t="shared" si="227"/>
        <v>43282</v>
      </c>
      <c r="P1209" s="5" t="str">
        <f t="shared" si="228"/>
        <v>10,00</v>
      </c>
      <c r="Q1209" s="4" t="e">
        <f t="shared" ca="1" si="229"/>
        <v>#NAME?</v>
      </c>
    </row>
    <row r="1210" spans="1:17">
      <c r="A1210" s="1">
        <f t="shared" si="212"/>
        <v>1209</v>
      </c>
      <c r="C1210" s="83" t="s">
        <v>17</v>
      </c>
      <c r="D1210" s="2">
        <v>43285</v>
      </c>
      <c r="E1210" s="3">
        <f>1000000/100000</f>
        <v>10</v>
      </c>
      <c r="F1210" t="s">
        <v>280</v>
      </c>
      <c r="G1210" s="18" t="s">
        <v>58</v>
      </c>
      <c r="H1210" t="s">
        <v>282</v>
      </c>
      <c r="I1210" s="6" t="s">
        <v>757</v>
      </c>
      <c r="J1210" s="59" t="s">
        <v>22</v>
      </c>
      <c r="L1210" s="5" t="str">
        <f t="shared" si="225"/>
        <v>01209</v>
      </c>
      <c r="M1210" s="46" t="str">
        <f t="shared" si="226"/>
        <v>04 de julio de 2018</v>
      </c>
      <c r="N1210" s="318">
        <f t="shared" si="210"/>
        <v>4</v>
      </c>
      <c r="O1210" s="24">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59" t="s">
        <v>22</v>
      </c>
      <c r="L1211" s="5" t="str">
        <f t="shared" si="225"/>
        <v>01210</v>
      </c>
      <c r="M1211" s="46" t="str">
        <f t="shared" si="226"/>
        <v>04 de julio de 2018</v>
      </c>
      <c r="N1211" s="318">
        <f t="shared" si="210"/>
        <v>4</v>
      </c>
      <c r="O1211" s="24">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59" t="s">
        <v>22</v>
      </c>
      <c r="L1212" s="5" t="str">
        <f t="shared" si="225"/>
        <v>01211</v>
      </c>
      <c r="M1212" s="46" t="str">
        <f t="shared" si="226"/>
        <v>08 de mayo de 2018</v>
      </c>
      <c r="N1212" s="318">
        <f t="shared" si="210"/>
        <v>8</v>
      </c>
      <c r="O1212" s="24">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59" t="s">
        <v>22</v>
      </c>
      <c r="L1213" s="5" t="str">
        <f t="shared" si="225"/>
        <v>01212</v>
      </c>
      <c r="M1213" s="46" t="str">
        <f t="shared" si="226"/>
        <v>04 de julio de 2018</v>
      </c>
      <c r="N1213" s="318">
        <f t="shared" si="210"/>
        <v>4</v>
      </c>
      <c r="O1213" s="24">
        <f t="shared" si="227"/>
        <v>43282</v>
      </c>
      <c r="P1213" s="5" t="str">
        <f t="shared" si="228"/>
        <v>5,00</v>
      </c>
      <c r="Q1213" s="4" t="e">
        <f t="shared" ca="1" si="229"/>
        <v>#NAME?</v>
      </c>
    </row>
    <row r="1214" spans="1:17">
      <c r="A1214" s="1">
        <f t="shared" si="212"/>
        <v>1213</v>
      </c>
      <c r="C1214" s="83" t="s">
        <v>17</v>
      </c>
      <c r="D1214" s="2">
        <v>43285</v>
      </c>
      <c r="E1214" s="3">
        <f>1000000/100000</f>
        <v>10</v>
      </c>
      <c r="F1214" t="s">
        <v>319</v>
      </c>
      <c r="G1214" s="18" t="s">
        <v>58</v>
      </c>
      <c r="H1214" t="s">
        <v>320</v>
      </c>
      <c r="I1214" s="6" t="s">
        <v>750</v>
      </c>
      <c r="J1214" s="59" t="s">
        <v>22</v>
      </c>
      <c r="L1214" s="5" t="str">
        <f t="shared" si="225"/>
        <v>01213</v>
      </c>
      <c r="M1214" s="46" t="str">
        <f t="shared" si="226"/>
        <v>04 de julio de 2018</v>
      </c>
      <c r="N1214" s="318">
        <f t="shared" si="210"/>
        <v>4</v>
      </c>
      <c r="O1214" s="24">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59" t="s">
        <v>22</v>
      </c>
      <c r="L1215" s="5" t="str">
        <f t="shared" si="225"/>
        <v>01214</v>
      </c>
      <c r="M1215" s="46" t="str">
        <f t="shared" si="226"/>
        <v>04 de julio de 2018</v>
      </c>
      <c r="N1215" s="318">
        <f t="shared" si="210"/>
        <v>4</v>
      </c>
      <c r="O1215" s="24">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59" t="s">
        <v>22</v>
      </c>
      <c r="L1216" s="5" t="str">
        <f t="shared" si="225"/>
        <v>01215</v>
      </c>
      <c r="M1216" s="46" t="str">
        <f t="shared" si="226"/>
        <v>05 de julio de 2018</v>
      </c>
      <c r="N1216" s="318">
        <f t="shared" si="210"/>
        <v>5</v>
      </c>
      <c r="O1216" s="24">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59" t="s">
        <v>22</v>
      </c>
      <c r="L1217" s="5" t="str">
        <f t="shared" si="225"/>
        <v>01216</v>
      </c>
      <c r="M1217" s="46" t="str">
        <f t="shared" si="226"/>
        <v>05 de julio de 2018</v>
      </c>
      <c r="N1217" s="318">
        <f t="shared" si="210"/>
        <v>5</v>
      </c>
      <c r="O1217" s="24">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59" t="s">
        <v>22</v>
      </c>
      <c r="L1218" s="5" t="str">
        <f t="shared" si="225"/>
        <v>01217</v>
      </c>
      <c r="M1218" s="46" t="str">
        <f t="shared" si="226"/>
        <v>05 de julio de 2018</v>
      </c>
      <c r="N1218" s="318">
        <f t="shared" si="210"/>
        <v>5</v>
      </c>
      <c r="O1218" s="24">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59" t="s">
        <v>22</v>
      </c>
      <c r="L1219" s="5" t="str">
        <f t="shared" si="225"/>
        <v>01218</v>
      </c>
      <c r="M1219" s="46" t="str">
        <f t="shared" si="226"/>
        <v>05 de julio de 2018</v>
      </c>
      <c r="N1219" s="318">
        <f t="shared" ref="N1219:N1282" si="230">DAY(D1219)</f>
        <v>5</v>
      </c>
      <c r="O1219" s="24">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59" t="s">
        <v>22</v>
      </c>
      <c r="L1220" s="5" t="str">
        <f t="shared" si="225"/>
        <v>01219</v>
      </c>
      <c r="M1220" s="46" t="str">
        <f t="shared" si="226"/>
        <v>06 de julio de 2018</v>
      </c>
      <c r="N1220" s="318">
        <f t="shared" si="230"/>
        <v>6</v>
      </c>
      <c r="O1220" s="24">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59" t="s">
        <v>22</v>
      </c>
      <c r="L1221" s="5" t="str">
        <f>IF(ISBLANK(A1221),"",TEXT(A1221,"00000"))</f>
        <v>01220</v>
      </c>
      <c r="M1221" s="46" t="str">
        <f>IF(ISBLANK(D1221),"",TEXT(D1221,"dd")&amp;" de "&amp;TEXT(D1221,"mmmm")&amp;" de "&amp;TEXT(YEAR(D1221),"0"))</f>
        <v>07 de julio de 2018</v>
      </c>
      <c r="N1221" s="318">
        <f t="shared" si="230"/>
        <v>7</v>
      </c>
      <c r="O1221" s="24">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59" t="s">
        <v>22</v>
      </c>
      <c r="L1222" s="5" t="str">
        <f>IF(ISBLANK(A1222),"",TEXT(A1222,"00000"))</f>
        <v>01221</v>
      </c>
      <c r="M1222" s="46" t="str">
        <f>IF(ISBLANK(D1222),"",TEXT(D1222,"dd")&amp;" de "&amp;TEXT(D1222,"mmmm")&amp;" de "&amp;TEXT(YEAR(D1222),"0"))</f>
        <v>07 de julio de 2018</v>
      </c>
      <c r="N1222" s="318">
        <f t="shared" si="230"/>
        <v>7</v>
      </c>
      <c r="O1222" s="24">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59" t="s">
        <v>22</v>
      </c>
      <c r="L1223" s="5" t="str">
        <f>IF(ISBLANK(A1223),"",TEXT(A1223,"00000"))</f>
        <v>01222</v>
      </c>
      <c r="M1223" s="46" t="str">
        <f>IF(ISBLANK(D1223),"",TEXT(D1223,"dd")&amp;" de "&amp;TEXT(D1223,"mmmm")&amp;" de "&amp;TEXT(YEAR(D1223),"0"))</f>
        <v>07 de julio de 2018</v>
      </c>
      <c r="N1223" s="318">
        <f t="shared" si="230"/>
        <v>7</v>
      </c>
      <c r="O1223" s="24">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59" t="s">
        <v>22</v>
      </c>
      <c r="L1224" s="5" t="str">
        <f>IF(ISBLANK(A1224),"",TEXT(A1224,"00000"))</f>
        <v>01223</v>
      </c>
      <c r="M1224" s="46" t="str">
        <f>IF(ISBLANK(D1224),"",TEXT(D1224,"dd")&amp;" de "&amp;TEXT(D1224,"mmmm")&amp;" de "&amp;TEXT(YEAR(D1224),"0"))</f>
        <v>01 de julio de 2018</v>
      </c>
      <c r="N1224" s="318">
        <f t="shared" si="230"/>
        <v>1</v>
      </c>
      <c r="O1224" s="24">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1" t="s">
        <v>240</v>
      </c>
      <c r="H1225" t="s">
        <v>241</v>
      </c>
      <c r="I1225" s="6" t="s">
        <v>707</v>
      </c>
      <c r="J1225" s="59" t="s">
        <v>22</v>
      </c>
      <c r="L1225" s="5" t="str">
        <f t="shared" ref="L1225:L1228" si="234">IF(ISBLANK(A1225),"",TEXT(A1225,"00000"))</f>
        <v>01224</v>
      </c>
      <c r="M1225" s="46" t="str">
        <f t="shared" ref="M1225:M1228" si="235">IF(ISBLANK(D1225),"",TEXT(D1225,"dd")&amp;" de "&amp;TEXT(D1225,"mmmm")&amp;" de "&amp;TEXT(YEAR(D1225),"0"))</f>
        <v>08 de julio de 2018</v>
      </c>
      <c r="N1225" s="318">
        <f t="shared" si="230"/>
        <v>8</v>
      </c>
      <c r="O1225" s="24">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59" t="s">
        <v>22</v>
      </c>
      <c r="L1226" s="5" t="str">
        <f t="shared" si="234"/>
        <v>01225</v>
      </c>
      <c r="M1226" s="46" t="str">
        <f t="shared" si="235"/>
        <v>08 de julio de 2018</v>
      </c>
      <c r="N1226" s="318">
        <f t="shared" si="230"/>
        <v>8</v>
      </c>
      <c r="O1226" s="24">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59" t="s">
        <v>22</v>
      </c>
      <c r="L1227" s="5" t="str">
        <f t="shared" si="234"/>
        <v>01226</v>
      </c>
      <c r="M1227" s="46" t="str">
        <f t="shared" si="235"/>
        <v>08 de julio de 2018</v>
      </c>
      <c r="N1227" s="318">
        <f t="shared" si="230"/>
        <v>8</v>
      </c>
      <c r="O1227" s="24">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59" t="s">
        <v>22</v>
      </c>
      <c r="L1228" s="5" t="str">
        <f t="shared" si="234"/>
        <v>01227</v>
      </c>
      <c r="M1228" s="46" t="str">
        <f t="shared" si="235"/>
        <v>09 de julio de 2018</v>
      </c>
      <c r="N1228" s="318">
        <f t="shared" si="230"/>
        <v>9</v>
      </c>
      <c r="O1228" s="24">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59" t="s">
        <v>673</v>
      </c>
      <c r="L1229" s="5" t="str">
        <f t="shared" ref="L1229:L1241" si="237">IF(ISBLANK(A1229),"",TEXT(A1229,"00000"))</f>
        <v>01228</v>
      </c>
      <c r="M1229" s="46" t="str">
        <f t="shared" ref="M1229:M1241" si="238">IF(ISBLANK(D1229),"",TEXT(D1229,"dd")&amp;" de "&amp;TEXT(D1229,"mmmm")&amp;" de "&amp;TEXT(YEAR(D1229),"0"))</f>
        <v>09 de julio de 2018</v>
      </c>
      <c r="N1229" s="318">
        <f t="shared" si="230"/>
        <v>9</v>
      </c>
      <c r="O1229" s="24">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59" t="s">
        <v>22</v>
      </c>
      <c r="L1230" s="5" t="str">
        <f t="shared" si="237"/>
        <v>01229</v>
      </c>
      <c r="M1230" s="46" t="str">
        <f t="shared" si="238"/>
        <v>09 de julio de 2018</v>
      </c>
      <c r="N1230" s="318">
        <f t="shared" si="230"/>
        <v>9</v>
      </c>
      <c r="O1230" s="24">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59" t="s">
        <v>22</v>
      </c>
      <c r="L1231" s="5" t="str">
        <f t="shared" si="237"/>
        <v>01230</v>
      </c>
      <c r="M1231" s="46" t="str">
        <f t="shared" si="238"/>
        <v>09 de julio de 2018</v>
      </c>
      <c r="N1231" s="318">
        <f t="shared" si="230"/>
        <v>9</v>
      </c>
      <c r="O1231" s="24">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59" t="s">
        <v>22</v>
      </c>
      <c r="L1232" s="5" t="str">
        <f t="shared" si="237"/>
        <v>01231</v>
      </c>
      <c r="M1232" s="46" t="str">
        <f t="shared" si="238"/>
        <v>09 de julio de 2018</v>
      </c>
      <c r="N1232" s="318">
        <f t="shared" si="230"/>
        <v>9</v>
      </c>
      <c r="O1232" s="24">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59" t="s">
        <v>745</v>
      </c>
      <c r="L1233" s="5" t="str">
        <f t="shared" si="237"/>
        <v>01232</v>
      </c>
      <c r="M1233" s="46" t="str">
        <f t="shared" si="238"/>
        <v>09 de julio de 2018</v>
      </c>
      <c r="N1233" s="318">
        <f t="shared" si="230"/>
        <v>9</v>
      </c>
      <c r="O1233" s="24">
        <f t="shared" si="239"/>
        <v>43282</v>
      </c>
      <c r="P1233" s="5" t="str">
        <f t="shared" si="240"/>
        <v>12,20</v>
      </c>
      <c r="Q1233" s="4" t="e">
        <f t="shared" ca="1" si="241"/>
        <v>#NAME?</v>
      </c>
    </row>
    <row r="1234" spans="1:17">
      <c r="A1234" s="1">
        <f t="shared" si="233"/>
        <v>1233</v>
      </c>
      <c r="C1234" s="8" t="s">
        <v>17</v>
      </c>
      <c r="D1234" s="2">
        <v>43290</v>
      </c>
      <c r="E1234" s="3">
        <f>1790000/100000</f>
        <v>17.899999999999999</v>
      </c>
      <c r="F1234" s="19" t="s">
        <v>57</v>
      </c>
      <c r="G1234" s="18" t="s">
        <v>58</v>
      </c>
      <c r="H1234" s="20" t="s">
        <v>59</v>
      </c>
      <c r="I1234" s="6" t="s">
        <v>722</v>
      </c>
      <c r="J1234" s="59" t="s">
        <v>22</v>
      </c>
      <c r="K1234" s="21"/>
      <c r="L1234" s="5" t="str">
        <f t="shared" si="237"/>
        <v>01233</v>
      </c>
      <c r="M1234" s="46" t="str">
        <f t="shared" si="238"/>
        <v>09 de julio de 2018</v>
      </c>
      <c r="N1234" s="318">
        <f t="shared" si="230"/>
        <v>9</v>
      </c>
      <c r="O1234" s="24">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59" t="s">
        <v>22</v>
      </c>
      <c r="L1235" s="5" t="str">
        <f t="shared" si="237"/>
        <v>01234</v>
      </c>
      <c r="M1235" s="46" t="str">
        <f t="shared" si="238"/>
        <v>09 de julio de 2018</v>
      </c>
      <c r="N1235" s="318">
        <f t="shared" si="230"/>
        <v>9</v>
      </c>
      <c r="O1235" s="24">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59" t="s">
        <v>745</v>
      </c>
      <c r="L1236" s="5" t="str">
        <f t="shared" si="237"/>
        <v>01235</v>
      </c>
      <c r="M1236" s="46" t="str">
        <f t="shared" si="238"/>
        <v>09 de julio de 2018</v>
      </c>
      <c r="N1236" s="318">
        <f t="shared" si="230"/>
        <v>9</v>
      </c>
      <c r="O1236" s="24">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59" t="s">
        <v>22</v>
      </c>
      <c r="L1237" s="5" t="str">
        <f t="shared" si="237"/>
        <v>01236</v>
      </c>
      <c r="M1237" s="46" t="str">
        <f t="shared" si="238"/>
        <v>09 de julio de 2018</v>
      </c>
      <c r="N1237" s="318">
        <f t="shared" si="230"/>
        <v>9</v>
      </c>
      <c r="O1237" s="24">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59" t="s">
        <v>22</v>
      </c>
      <c r="L1238" s="5" t="str">
        <f t="shared" si="237"/>
        <v>01237</v>
      </c>
      <c r="M1238" s="46" t="str">
        <f t="shared" si="238"/>
        <v>09 de julio de 2018</v>
      </c>
      <c r="N1238" s="318">
        <f t="shared" si="230"/>
        <v>9</v>
      </c>
      <c r="O1238" s="24">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59" t="s">
        <v>22</v>
      </c>
      <c r="L1239" s="5" t="str">
        <f t="shared" si="237"/>
        <v>01238</v>
      </c>
      <c r="M1239" s="46" t="str">
        <f t="shared" si="238"/>
        <v>09 de julio de 2018</v>
      </c>
      <c r="N1239" s="318">
        <f t="shared" si="230"/>
        <v>9</v>
      </c>
      <c r="O1239" s="24">
        <f t="shared" si="239"/>
        <v>43282</v>
      </c>
      <c r="P1239" s="5" t="str">
        <f t="shared" si="240"/>
        <v>6,00</v>
      </c>
      <c r="Q1239" s="4" t="e">
        <f t="shared" ca="1" si="241"/>
        <v>#NAME?</v>
      </c>
    </row>
    <row r="1240" spans="1:17">
      <c r="A1240" s="1">
        <f t="shared" si="242"/>
        <v>1239</v>
      </c>
      <c r="C1240" s="83" t="s">
        <v>17</v>
      </c>
      <c r="D1240" s="2">
        <v>43290</v>
      </c>
      <c r="E1240" s="3">
        <f>1220000/100000</f>
        <v>12.2</v>
      </c>
      <c r="F1240" t="s">
        <v>280</v>
      </c>
      <c r="G1240" s="18" t="s">
        <v>58</v>
      </c>
      <c r="H1240" t="s">
        <v>282</v>
      </c>
      <c r="I1240" s="6" t="s">
        <v>766</v>
      </c>
      <c r="J1240" s="59" t="s">
        <v>745</v>
      </c>
      <c r="L1240" s="5" t="str">
        <f t="shared" si="237"/>
        <v>01239</v>
      </c>
      <c r="M1240" s="46" t="str">
        <f t="shared" si="238"/>
        <v>09 de julio de 2018</v>
      </c>
      <c r="N1240" s="318">
        <f t="shared" si="230"/>
        <v>9</v>
      </c>
      <c r="O1240" s="24">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59" t="s">
        <v>22</v>
      </c>
      <c r="L1241" s="5" t="str">
        <f t="shared" si="237"/>
        <v>01240</v>
      </c>
      <c r="M1241" s="46" t="str">
        <f t="shared" si="238"/>
        <v>09 de julio de 2018</v>
      </c>
      <c r="N1241" s="318">
        <f t="shared" si="230"/>
        <v>9</v>
      </c>
      <c r="O1241" s="24">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59" t="s">
        <v>745</v>
      </c>
      <c r="L1242" s="5" t="str">
        <f t="shared" ref="L1242:L1250" si="243">IF(ISBLANK(A1242),"",TEXT(A1242,"00000"))</f>
        <v>01241</v>
      </c>
      <c r="M1242" s="46" t="str">
        <f t="shared" ref="M1242:M1250" si="244">IF(ISBLANK(D1242),"",TEXT(D1242,"dd")&amp;" de "&amp;TEXT(D1242,"mmmm")&amp;" de "&amp;TEXT(YEAR(D1242),"0"))</f>
        <v>10 de julio de 2018</v>
      </c>
      <c r="N1242" s="318">
        <f t="shared" si="230"/>
        <v>10</v>
      </c>
      <c r="O1242" s="24">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59" t="s">
        <v>745</v>
      </c>
      <c r="L1243" s="5" t="str">
        <f t="shared" si="243"/>
        <v>01242</v>
      </c>
      <c r="M1243" s="46" t="str">
        <f t="shared" si="244"/>
        <v>10 de julio de 2018</v>
      </c>
      <c r="N1243" s="318">
        <f t="shared" si="230"/>
        <v>10</v>
      </c>
      <c r="O1243" s="24">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59" t="s">
        <v>22</v>
      </c>
      <c r="L1244" s="5" t="str">
        <f t="shared" si="243"/>
        <v>01243</v>
      </c>
      <c r="M1244" s="46" t="str">
        <f t="shared" si="244"/>
        <v>10 de julio de 2018</v>
      </c>
      <c r="N1244" s="318">
        <f t="shared" si="230"/>
        <v>10</v>
      </c>
      <c r="O1244" s="24">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59" t="s">
        <v>745</v>
      </c>
      <c r="L1245" s="5" t="str">
        <f t="shared" si="243"/>
        <v>01244</v>
      </c>
      <c r="M1245" s="46" t="str">
        <f t="shared" si="244"/>
        <v>10 de julio de 2018</v>
      </c>
      <c r="N1245" s="318">
        <f t="shared" si="230"/>
        <v>10</v>
      </c>
      <c r="O1245" s="24">
        <f t="shared" si="245"/>
        <v>43282</v>
      </c>
      <c r="P1245" s="5" t="str">
        <f t="shared" si="246"/>
        <v>12,20</v>
      </c>
      <c r="Q1245" s="4" t="e">
        <f t="shared" ca="1" si="247"/>
        <v>#NAME?</v>
      </c>
    </row>
    <row r="1246" spans="1:17">
      <c r="A1246" s="175">
        <f t="shared" si="242"/>
        <v>1245</v>
      </c>
      <c r="C1246" s="8" t="s">
        <v>17</v>
      </c>
      <c r="D1246" s="2">
        <v>43291</v>
      </c>
      <c r="E1246" s="3">
        <f>1220000/100000</f>
        <v>12.2</v>
      </c>
      <c r="F1246" t="s">
        <v>438</v>
      </c>
      <c r="G1246" t="s">
        <v>439</v>
      </c>
      <c r="H1246" t="s">
        <v>440</v>
      </c>
      <c r="I1246" s="6" t="s">
        <v>768</v>
      </c>
      <c r="J1246" s="59" t="s">
        <v>745</v>
      </c>
      <c r="L1246" s="5" t="str">
        <f t="shared" si="243"/>
        <v>01245</v>
      </c>
      <c r="M1246" s="46" t="str">
        <f t="shared" si="244"/>
        <v>10 de julio de 2018</v>
      </c>
      <c r="N1246" s="318">
        <f t="shared" si="230"/>
        <v>10</v>
      </c>
      <c r="O1246" s="24">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59" t="s">
        <v>745</v>
      </c>
      <c r="L1247" s="5" t="str">
        <f t="shared" si="243"/>
        <v>01246</v>
      </c>
      <c r="M1247" s="46" t="str">
        <f t="shared" si="244"/>
        <v>10 de julio de 2018</v>
      </c>
      <c r="N1247" s="318">
        <f t="shared" si="230"/>
        <v>10</v>
      </c>
      <c r="O1247" s="24">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59" t="s">
        <v>22</v>
      </c>
      <c r="L1248" s="5" t="str">
        <f t="shared" si="243"/>
        <v>01247</v>
      </c>
      <c r="M1248" s="46" t="str">
        <f t="shared" si="244"/>
        <v>10 de julio de 2018</v>
      </c>
      <c r="N1248" s="318">
        <f t="shared" si="230"/>
        <v>10</v>
      </c>
      <c r="O1248" s="24">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59" t="s">
        <v>745</v>
      </c>
      <c r="L1249" s="5" t="str">
        <f t="shared" si="243"/>
        <v>01248</v>
      </c>
      <c r="M1249" s="46" t="str">
        <f t="shared" si="244"/>
        <v>10 de julio de 2018</v>
      </c>
      <c r="N1249" s="318">
        <f t="shared" si="230"/>
        <v>10</v>
      </c>
      <c r="O1249" s="24">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59" t="s">
        <v>22</v>
      </c>
      <c r="L1250" s="5" t="str">
        <f t="shared" si="243"/>
        <v>01249</v>
      </c>
      <c r="M1250" s="46" t="str">
        <f t="shared" si="244"/>
        <v>10 de julio de 2018</v>
      </c>
      <c r="N1250" s="318">
        <f t="shared" si="230"/>
        <v>10</v>
      </c>
      <c r="O1250" s="24">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59" t="s">
        <v>745</v>
      </c>
      <c r="L1251" s="5" t="str">
        <f t="shared" ref="L1251:L1259" si="250">IF(ISBLANK(A1251),"",TEXT(A1251,"00000"))</f>
        <v>01250</v>
      </c>
      <c r="M1251" s="46" t="str">
        <f t="shared" ref="M1251:M1259" si="251">IF(ISBLANK(D1251),"",TEXT(D1251,"dd")&amp;" de "&amp;TEXT(D1251,"mmmm")&amp;" de "&amp;TEXT(YEAR(D1251),"0"))</f>
        <v>10 de julio de 2018</v>
      </c>
      <c r="N1251" s="318">
        <f t="shared" si="230"/>
        <v>10</v>
      </c>
      <c r="O1251" s="24">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59" t="s">
        <v>22</v>
      </c>
      <c r="L1252" s="5" t="str">
        <f t="shared" si="250"/>
        <v>01251</v>
      </c>
      <c r="M1252" s="46" t="str">
        <f t="shared" si="251"/>
        <v>10 de julio de 2018</v>
      </c>
      <c r="N1252" s="318">
        <f t="shared" si="230"/>
        <v>10</v>
      </c>
      <c r="O1252" s="24">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59" t="s">
        <v>22</v>
      </c>
      <c r="L1253" s="5" t="str">
        <f t="shared" si="250"/>
        <v>01252</v>
      </c>
      <c r="M1253" s="46" t="str">
        <f t="shared" si="251"/>
        <v>10 de julio de 2018</v>
      </c>
      <c r="N1253" s="318">
        <f t="shared" si="230"/>
        <v>10</v>
      </c>
      <c r="O1253" s="24">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59" t="s">
        <v>745</v>
      </c>
      <c r="L1254" s="5" t="str">
        <f t="shared" si="250"/>
        <v>01253</v>
      </c>
      <c r="M1254" s="46" t="str">
        <f t="shared" si="251"/>
        <v>10 de julio de 2018</v>
      </c>
      <c r="N1254" s="318">
        <f t="shared" si="230"/>
        <v>10</v>
      </c>
      <c r="O1254" s="24">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59" t="s">
        <v>745</v>
      </c>
      <c r="L1255" s="5" t="str">
        <f t="shared" si="250"/>
        <v>01254</v>
      </c>
      <c r="M1255" s="46" t="str">
        <f t="shared" si="251"/>
        <v>10 de julio de 2018</v>
      </c>
      <c r="N1255" s="318">
        <f t="shared" si="230"/>
        <v>10</v>
      </c>
      <c r="O1255" s="24">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59" t="s">
        <v>22</v>
      </c>
      <c r="L1256" s="5" t="str">
        <f t="shared" si="250"/>
        <v>01255</v>
      </c>
      <c r="M1256" s="46" t="str">
        <f t="shared" si="251"/>
        <v>10 de julio de 2018</v>
      </c>
      <c r="N1256" s="318">
        <f t="shared" si="230"/>
        <v>10</v>
      </c>
      <c r="O1256" s="24">
        <f t="shared" si="252"/>
        <v>43282</v>
      </c>
      <c r="P1256" s="5" t="str">
        <f t="shared" si="253"/>
        <v>10,30</v>
      </c>
      <c r="Q1256" s="4" t="e">
        <f t="shared" ca="1" si="254"/>
        <v>#NAME?</v>
      </c>
    </row>
    <row r="1257" spans="1:17">
      <c r="A1257" s="1">
        <f t="shared" si="242"/>
        <v>1256</v>
      </c>
      <c r="C1257" s="8" t="s">
        <v>17</v>
      </c>
      <c r="D1257" s="2">
        <v>43292</v>
      </c>
      <c r="E1257" s="3">
        <f>1220000/100000</f>
        <v>12.2</v>
      </c>
      <c r="F1257" s="19" t="s">
        <v>57</v>
      </c>
      <c r="G1257" s="18" t="s">
        <v>58</v>
      </c>
      <c r="H1257" s="20" t="s">
        <v>59</v>
      </c>
      <c r="I1257" s="6" t="s">
        <v>744</v>
      </c>
      <c r="J1257" s="59" t="s">
        <v>745</v>
      </c>
      <c r="K1257" s="21"/>
      <c r="L1257" s="5" t="str">
        <f t="shared" si="250"/>
        <v>01256</v>
      </c>
      <c r="M1257" s="46" t="str">
        <f t="shared" si="251"/>
        <v>11 de julio de 2018</v>
      </c>
      <c r="N1257" s="318">
        <f t="shared" si="230"/>
        <v>11</v>
      </c>
      <c r="O1257" s="24">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59" t="s">
        <v>22</v>
      </c>
      <c r="L1258" s="5" t="str">
        <f t="shared" si="250"/>
        <v>01257</v>
      </c>
      <c r="M1258" s="46" t="str">
        <f t="shared" si="251"/>
        <v>11 de julio de 2018</v>
      </c>
      <c r="N1258" s="318">
        <f t="shared" si="230"/>
        <v>11</v>
      </c>
      <c r="O1258" s="24">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59" t="s">
        <v>22</v>
      </c>
      <c r="L1259" s="5" t="str">
        <f t="shared" si="250"/>
        <v>01258</v>
      </c>
      <c r="M1259" s="46" t="str">
        <f t="shared" si="251"/>
        <v>11 de julio de 2018</v>
      </c>
      <c r="N1259" s="318">
        <f t="shared" si="230"/>
        <v>11</v>
      </c>
      <c r="O1259" s="24">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59" t="s">
        <v>22</v>
      </c>
      <c r="L1260" s="5" t="str">
        <f t="shared" ref="L1260:L1270" si="255">IF(ISBLANK(A1260),"",TEXT(A1260,"00000"))</f>
        <v>01259</v>
      </c>
      <c r="M1260" s="46" t="str">
        <f t="shared" ref="M1260:M1270" si="256">IF(ISBLANK(D1260),"",TEXT(D1260,"dd")&amp;" de "&amp;TEXT(D1260,"mmmm")&amp;" de "&amp;TEXT(YEAR(D1260),"0"))</f>
        <v>11 de julio de 2018</v>
      </c>
      <c r="N1260" s="318">
        <f t="shared" si="230"/>
        <v>11</v>
      </c>
      <c r="O1260" s="24">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59" t="s">
        <v>22</v>
      </c>
      <c r="L1261" s="5" t="str">
        <f t="shared" si="255"/>
        <v>01260</v>
      </c>
      <c r="M1261" s="46" t="str">
        <f t="shared" si="256"/>
        <v>12 de julio de 2018</v>
      </c>
      <c r="N1261" s="318">
        <f t="shared" si="230"/>
        <v>12</v>
      </c>
      <c r="O1261" s="24">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59" t="s">
        <v>745</v>
      </c>
      <c r="L1262" s="5" t="str">
        <f t="shared" si="255"/>
        <v>01261</v>
      </c>
      <c r="M1262" s="46" t="str">
        <f t="shared" si="256"/>
        <v>12 de julio de 2018</v>
      </c>
      <c r="N1262" s="318">
        <f t="shared" si="230"/>
        <v>12</v>
      </c>
      <c r="O1262" s="24">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59" t="s">
        <v>22</v>
      </c>
      <c r="L1263" s="5" t="str">
        <f t="shared" si="255"/>
        <v>01262</v>
      </c>
      <c r="M1263" s="46" t="str">
        <f t="shared" si="256"/>
        <v>12 de julio de 2018</v>
      </c>
      <c r="N1263" s="318">
        <f t="shared" si="230"/>
        <v>12</v>
      </c>
      <c r="O1263" s="24">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59" t="s">
        <v>22</v>
      </c>
      <c r="L1264" s="5" t="str">
        <f t="shared" si="255"/>
        <v>01263</v>
      </c>
      <c r="M1264" s="46" t="str">
        <f t="shared" si="256"/>
        <v>12 de julio de 2018</v>
      </c>
      <c r="N1264" s="318">
        <f t="shared" si="230"/>
        <v>12</v>
      </c>
      <c r="O1264" s="24">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59" t="s">
        <v>22</v>
      </c>
      <c r="L1265" s="5" t="str">
        <f t="shared" si="255"/>
        <v>01264</v>
      </c>
      <c r="M1265" s="46" t="str">
        <f t="shared" si="256"/>
        <v>12 de julio de 2018</v>
      </c>
      <c r="N1265" s="318">
        <f t="shared" si="230"/>
        <v>12</v>
      </c>
      <c r="O1265" s="24">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59" t="s">
        <v>22</v>
      </c>
      <c r="L1266" s="5" t="str">
        <f t="shared" si="255"/>
        <v>01265</v>
      </c>
      <c r="M1266" s="46" t="str">
        <f t="shared" si="256"/>
        <v>12 de julio de 2018</v>
      </c>
      <c r="N1266" s="318">
        <f t="shared" si="230"/>
        <v>12</v>
      </c>
      <c r="O1266" s="24">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59" t="s">
        <v>745</v>
      </c>
      <c r="L1267" s="5" t="str">
        <f t="shared" si="255"/>
        <v>01266</v>
      </c>
      <c r="M1267" s="46" t="str">
        <f t="shared" si="256"/>
        <v>12 de julio de 2018</v>
      </c>
      <c r="N1267" s="318">
        <f t="shared" si="230"/>
        <v>12</v>
      </c>
      <c r="O1267" s="24">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59" t="s">
        <v>22</v>
      </c>
      <c r="L1268" s="5" t="str">
        <f t="shared" si="255"/>
        <v>01267</v>
      </c>
      <c r="M1268" s="46" t="str">
        <f t="shared" si="256"/>
        <v>12 de julio de 2018</v>
      </c>
      <c r="N1268" s="318">
        <f t="shared" si="230"/>
        <v>12</v>
      </c>
      <c r="O1268" s="24">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59" t="s">
        <v>745</v>
      </c>
      <c r="L1269" s="5" t="str">
        <f t="shared" si="255"/>
        <v>01268</v>
      </c>
      <c r="M1269" s="46" t="str">
        <f t="shared" si="256"/>
        <v>12 de julio de 2018</v>
      </c>
      <c r="N1269" s="318">
        <f t="shared" si="230"/>
        <v>12</v>
      </c>
      <c r="O1269" s="24">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59" t="s">
        <v>745</v>
      </c>
      <c r="L1270" s="5" t="str">
        <f t="shared" si="255"/>
        <v>01269</v>
      </c>
      <c r="M1270" s="46" t="str">
        <f t="shared" si="256"/>
        <v>12 de julio de 2018</v>
      </c>
      <c r="N1270" s="318">
        <f t="shared" si="230"/>
        <v>12</v>
      </c>
      <c r="O1270" s="24">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59" t="s">
        <v>745</v>
      </c>
      <c r="L1271" s="5" t="str">
        <f t="shared" ref="L1271:L1276" si="261">IF(ISBLANK(A1271),"",TEXT(A1271,"00000"))</f>
        <v>01270</v>
      </c>
      <c r="M1271" s="46" t="str">
        <f t="shared" ref="M1271:M1276" si="262">IF(ISBLANK(D1271),"",TEXT(D1271,"dd")&amp;" de "&amp;TEXT(D1271,"mmmm")&amp;" de "&amp;TEXT(YEAR(D1271),"0"))</f>
        <v>12 de julio de 2018</v>
      </c>
      <c r="N1271" s="318">
        <f t="shared" si="230"/>
        <v>12</v>
      </c>
      <c r="O1271" s="24">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59" t="s">
        <v>745</v>
      </c>
      <c r="L1272" s="5" t="str">
        <f t="shared" si="261"/>
        <v>01271</v>
      </c>
      <c r="M1272" s="46" t="str">
        <f t="shared" si="262"/>
        <v>12 de julio de 2018</v>
      </c>
      <c r="N1272" s="318">
        <f t="shared" si="230"/>
        <v>12</v>
      </c>
      <c r="O1272" s="24">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59" t="s">
        <v>745</v>
      </c>
      <c r="L1273" s="5" t="str">
        <f t="shared" si="261"/>
        <v>01272</v>
      </c>
      <c r="M1273" s="46" t="str">
        <f t="shared" si="262"/>
        <v>12 de julio de 2018</v>
      </c>
      <c r="N1273" s="318">
        <f t="shared" si="230"/>
        <v>12</v>
      </c>
      <c r="O1273" s="24">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59" t="s">
        <v>22</v>
      </c>
      <c r="L1274" s="5" t="str">
        <f t="shared" si="261"/>
        <v>01273</v>
      </c>
      <c r="M1274" s="46" t="str">
        <f t="shared" si="262"/>
        <v>12 de junio de 2018</v>
      </c>
      <c r="N1274" s="318">
        <f t="shared" si="230"/>
        <v>12</v>
      </c>
      <c r="O1274" s="24">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59" t="s">
        <v>22</v>
      </c>
      <c r="L1275" s="5" t="str">
        <f t="shared" si="261"/>
        <v>01274</v>
      </c>
      <c r="M1275" s="46" t="str">
        <f t="shared" si="262"/>
        <v>13 de julio de 2018</v>
      </c>
      <c r="N1275" s="318">
        <f t="shared" si="230"/>
        <v>13</v>
      </c>
      <c r="O1275" s="24">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59" t="s">
        <v>745</v>
      </c>
      <c r="L1276" s="5" t="str">
        <f t="shared" si="261"/>
        <v>01275</v>
      </c>
      <c r="M1276" s="46" t="str">
        <f t="shared" si="262"/>
        <v>13 de julio de 2018</v>
      </c>
      <c r="N1276" s="318">
        <f t="shared" si="230"/>
        <v>13</v>
      </c>
      <c r="O1276" s="24">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59" t="s">
        <v>22</v>
      </c>
      <c r="L1277" s="5" t="str">
        <f t="shared" ref="L1277:L1279" si="266">IF(ISBLANK(A1277),"",TEXT(A1277,"00000"))</f>
        <v>01276</v>
      </c>
      <c r="M1277" s="46" t="str">
        <f t="shared" ref="M1277:M1279" si="267">IF(ISBLANK(D1277),"",TEXT(D1277,"dd")&amp;" de "&amp;TEXT(D1277,"mmmm")&amp;" de "&amp;TEXT(YEAR(D1277),"0"))</f>
        <v>14 de julio de 2018</v>
      </c>
      <c r="N1277" s="318">
        <f t="shared" si="230"/>
        <v>14</v>
      </c>
      <c r="O1277" s="24">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59" t="s">
        <v>22</v>
      </c>
      <c r="L1278" s="5" t="str">
        <f t="shared" si="266"/>
        <v>01277</v>
      </c>
      <c r="M1278" s="46" t="str">
        <f t="shared" si="267"/>
        <v>14 de julio de 2018</v>
      </c>
      <c r="N1278" s="318">
        <f t="shared" si="230"/>
        <v>14</v>
      </c>
      <c r="O1278" s="24">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59" t="s">
        <v>745</v>
      </c>
      <c r="L1279" s="5" t="str">
        <f t="shared" si="266"/>
        <v>01278</v>
      </c>
      <c r="M1279" s="46" t="str">
        <f t="shared" si="267"/>
        <v>14 de julio de 2018</v>
      </c>
      <c r="N1279" s="318">
        <f t="shared" si="230"/>
        <v>14</v>
      </c>
      <c r="O1279" s="24">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59" t="s">
        <v>745</v>
      </c>
      <c r="L1280" s="5" t="str">
        <f>IF(ISBLANK(A1280),"",TEXT(A1280,"00000"))</f>
        <v>01279</v>
      </c>
      <c r="M1280" s="46" t="str">
        <f>IF(ISBLANK(D1280),"",TEXT(D1280,"dd")&amp;" de "&amp;TEXT(D1280,"mmmm")&amp;" de "&amp;TEXT(YEAR(D1280),"0"))</f>
        <v>14 de julio de 2018</v>
      </c>
      <c r="N1280" s="318">
        <f t="shared" si="230"/>
        <v>14</v>
      </c>
      <c r="O1280" s="24">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59" t="s">
        <v>22</v>
      </c>
      <c r="L1281" s="5" t="str">
        <f t="shared" ref="L1281:L1286" si="271">IF(ISBLANK(A1281),"",TEXT(A1281,"00000"))</f>
        <v>01280</v>
      </c>
      <c r="M1281" s="46" t="str">
        <f t="shared" ref="M1281:M1286" si="272">IF(ISBLANK(D1281),"",TEXT(D1281,"dd")&amp;" de "&amp;TEXT(D1281,"mmmm")&amp;" de "&amp;TEXT(YEAR(D1281),"0"))</f>
        <v>16 de julio de 2018</v>
      </c>
      <c r="N1281" s="318">
        <f t="shared" si="230"/>
        <v>16</v>
      </c>
      <c r="O1281" s="24">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59" t="s">
        <v>745</v>
      </c>
      <c r="L1282" s="5" t="str">
        <f t="shared" si="271"/>
        <v>01281</v>
      </c>
      <c r="M1282" s="46" t="str">
        <f t="shared" si="272"/>
        <v>16 de julio de 2018</v>
      </c>
      <c r="N1282" s="318">
        <f t="shared" si="230"/>
        <v>16</v>
      </c>
      <c r="O1282" s="24">
        <f t="shared" si="273"/>
        <v>43282</v>
      </c>
      <c r="P1282" s="5" t="str">
        <f t="shared" si="269"/>
        <v>12,20</v>
      </c>
      <c r="Q1282" s="4" t="e">
        <f t="shared" ca="1" si="270"/>
        <v>#NAME?</v>
      </c>
    </row>
    <row r="1283" spans="1:17">
      <c r="A1283" s="1">
        <f t="shared" si="242"/>
        <v>1282</v>
      </c>
      <c r="C1283" s="83" t="s">
        <v>17</v>
      </c>
      <c r="D1283" s="2">
        <v>43297</v>
      </c>
      <c r="E1283" s="3">
        <f>2225000/100000</f>
        <v>22.25</v>
      </c>
      <c r="F1283" t="s">
        <v>177</v>
      </c>
      <c r="G1283" s="18" t="s">
        <v>58</v>
      </c>
      <c r="H1283" t="s">
        <v>179</v>
      </c>
      <c r="I1283" s="6" t="s">
        <v>777</v>
      </c>
      <c r="J1283" s="59" t="s">
        <v>22</v>
      </c>
      <c r="L1283" s="5" t="str">
        <f t="shared" si="271"/>
        <v>01282</v>
      </c>
      <c r="M1283" s="46" t="str">
        <f t="shared" si="272"/>
        <v>16 de julio de 2018</v>
      </c>
      <c r="N1283" s="318">
        <f t="shared" ref="N1283:N1346" si="274">DAY(D1283)</f>
        <v>16</v>
      </c>
      <c r="O1283" s="24">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59" t="s">
        <v>22</v>
      </c>
      <c r="L1284" s="5" t="str">
        <f t="shared" si="271"/>
        <v>01283</v>
      </c>
      <c r="M1284" s="46" t="str">
        <f t="shared" si="272"/>
        <v>17 de julio de 2018</v>
      </c>
      <c r="N1284" s="318">
        <f t="shared" si="274"/>
        <v>17</v>
      </c>
      <c r="O1284" s="24">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59" t="s">
        <v>22</v>
      </c>
      <c r="L1285" s="5" t="str">
        <f t="shared" si="271"/>
        <v>01284</v>
      </c>
      <c r="M1285" s="46" t="str">
        <f t="shared" si="272"/>
        <v>17 de julio de 2018</v>
      </c>
      <c r="N1285" s="318">
        <f t="shared" si="274"/>
        <v>17</v>
      </c>
      <c r="O1285" s="24">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59" t="s">
        <v>22</v>
      </c>
      <c r="L1286" s="5" t="str">
        <f t="shared" si="271"/>
        <v>01285</v>
      </c>
      <c r="M1286" s="46" t="str">
        <f t="shared" si="272"/>
        <v>18 de julio de 2018</v>
      </c>
      <c r="N1286" s="318">
        <f t="shared" si="274"/>
        <v>18</v>
      </c>
      <c r="O1286" s="24">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59" t="s">
        <v>745</v>
      </c>
      <c r="L1287" s="5" t="str">
        <f t="shared" ref="L1287:L1295" si="275">IF(ISBLANK(A1287),"",TEXT(A1287,"00000"))</f>
        <v>01286</v>
      </c>
      <c r="M1287" s="46" t="str">
        <f t="shared" ref="M1287:M1295" si="276">IF(ISBLANK(D1287),"",TEXT(D1287,"dd")&amp;" de "&amp;TEXT(D1287,"mmmm")&amp;" de "&amp;TEXT(YEAR(D1287),"0"))</f>
        <v>18 de julio de 2018</v>
      </c>
      <c r="N1287" s="318">
        <f t="shared" si="274"/>
        <v>18</v>
      </c>
      <c r="O1287" s="24">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59" t="s">
        <v>778</v>
      </c>
      <c r="J1288" s="59" t="s">
        <v>22</v>
      </c>
      <c r="L1288" s="5" t="str">
        <f t="shared" si="275"/>
        <v>01287</v>
      </c>
      <c r="M1288" s="46" t="str">
        <f t="shared" si="276"/>
        <v>18 de julio de 2018</v>
      </c>
      <c r="N1288" s="318">
        <f t="shared" si="274"/>
        <v>18</v>
      </c>
      <c r="O1288" s="24">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59" t="s">
        <v>745</v>
      </c>
      <c r="L1289" s="5" t="str">
        <f t="shared" si="275"/>
        <v>01288</v>
      </c>
      <c r="M1289" s="46" t="str">
        <f t="shared" si="276"/>
        <v>20 de julio de 2018</v>
      </c>
      <c r="N1289" s="318">
        <f t="shared" si="274"/>
        <v>20</v>
      </c>
      <c r="O1289" s="24">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59" t="s">
        <v>22</v>
      </c>
      <c r="L1290" s="5" t="str">
        <f t="shared" si="275"/>
        <v>01289</v>
      </c>
      <c r="M1290" s="46" t="str">
        <f t="shared" si="276"/>
        <v>20 de julio de 2018</v>
      </c>
      <c r="N1290" s="318">
        <f t="shared" si="274"/>
        <v>20</v>
      </c>
      <c r="O1290" s="24">
        <f t="shared" si="277"/>
        <v>43282</v>
      </c>
      <c r="P1290" s="5" t="str">
        <f t="shared" si="278"/>
        <v>5,50</v>
      </c>
      <c r="Q1290" s="4" t="e">
        <f t="shared" ca="1" si="279"/>
        <v>#NAME?</v>
      </c>
    </row>
    <row r="1291" spans="1:17">
      <c r="A1291" s="1">
        <f t="shared" si="242"/>
        <v>1290</v>
      </c>
      <c r="C1291" s="83" t="s">
        <v>17</v>
      </c>
      <c r="D1291" s="2">
        <v>43302</v>
      </c>
      <c r="E1291" s="160">
        <f>100000/100000</f>
        <v>1</v>
      </c>
      <c r="F1291" t="s">
        <v>492</v>
      </c>
      <c r="G1291" s="18" t="s">
        <v>58</v>
      </c>
      <c r="H1291" t="s">
        <v>493</v>
      </c>
      <c r="I1291" s="6" t="s">
        <v>729</v>
      </c>
      <c r="J1291" s="59" t="s">
        <v>22</v>
      </c>
      <c r="L1291" s="5" t="str">
        <f t="shared" si="275"/>
        <v>01290</v>
      </c>
      <c r="M1291" s="46" t="str">
        <f t="shared" si="276"/>
        <v>21 de julio de 2018</v>
      </c>
      <c r="N1291" s="318">
        <f t="shared" si="274"/>
        <v>21</v>
      </c>
      <c r="O1291" s="24">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59" t="s">
        <v>22</v>
      </c>
      <c r="L1292" s="5" t="str">
        <f t="shared" si="275"/>
        <v>01291</v>
      </c>
      <c r="M1292" s="46" t="str">
        <f t="shared" si="276"/>
        <v>20 de julio de 2018</v>
      </c>
      <c r="N1292" s="318">
        <f t="shared" si="274"/>
        <v>20</v>
      </c>
      <c r="O1292" s="24">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59" t="s">
        <v>745</v>
      </c>
      <c r="L1293" s="5" t="str">
        <f t="shared" si="275"/>
        <v>01292</v>
      </c>
      <c r="M1293" s="46" t="str">
        <f t="shared" si="276"/>
        <v>20 de julio de 2018</v>
      </c>
      <c r="N1293" s="318">
        <f t="shared" si="274"/>
        <v>20</v>
      </c>
      <c r="O1293" s="24">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59" t="s">
        <v>780</v>
      </c>
      <c r="L1294" s="5" t="str">
        <f t="shared" si="275"/>
        <v>01293</v>
      </c>
      <c r="M1294" s="46" t="str">
        <f t="shared" si="276"/>
        <v>20 de julio de 2018</v>
      </c>
      <c r="N1294" s="318">
        <f t="shared" si="274"/>
        <v>20</v>
      </c>
      <c r="O1294" s="24">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59" t="s">
        <v>745</v>
      </c>
      <c r="L1295" s="5" t="str">
        <f t="shared" si="275"/>
        <v>01294</v>
      </c>
      <c r="M1295" s="46" t="str">
        <f t="shared" si="276"/>
        <v>23 de julio de 2018</v>
      </c>
      <c r="N1295" s="318">
        <f t="shared" si="274"/>
        <v>23</v>
      </c>
      <c r="O1295" s="24">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59" t="s">
        <v>745</v>
      </c>
      <c r="L1296" s="5" t="str">
        <f>IF(ISBLANK(A1296),"",TEXT(A1296,"00000"))</f>
        <v>01295</v>
      </c>
      <c r="M1296" s="46" t="str">
        <f>IF(ISBLANK(D1296),"",TEXT(D1296,"dd")&amp;" de "&amp;TEXT(D1296,"mmmm")&amp;" de "&amp;TEXT(YEAR(D1296),"0"))</f>
        <v>20 de julio de 2018</v>
      </c>
      <c r="N1296" s="318">
        <f t="shared" si="274"/>
        <v>20</v>
      </c>
      <c r="O1296" s="24">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59" t="s">
        <v>22</v>
      </c>
      <c r="L1297" s="5" t="str">
        <f t="shared" ref="L1297:L1301" si="280">IF(ISBLANK(A1297),"",TEXT(A1297,"00000"))</f>
        <v>01296</v>
      </c>
      <c r="M1297" s="46" t="str">
        <f t="shared" ref="M1297:M1301" si="281">IF(ISBLANK(D1297),"",TEXT(D1297,"dd")&amp;" de "&amp;TEXT(D1297,"mmmm")&amp;" de "&amp;TEXT(YEAR(D1297),"0"))</f>
        <v>23 de julio de 2018</v>
      </c>
      <c r="N1297" s="318">
        <f t="shared" si="274"/>
        <v>23</v>
      </c>
      <c r="O1297" s="24">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59" t="s">
        <v>745</v>
      </c>
      <c r="L1298" s="5" t="str">
        <f t="shared" si="280"/>
        <v>01297</v>
      </c>
      <c r="M1298" s="46" t="str">
        <f t="shared" si="281"/>
        <v>23 de julio de 2018</v>
      </c>
      <c r="N1298" s="318">
        <f t="shared" si="274"/>
        <v>23</v>
      </c>
      <c r="O1298" s="24">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59" t="s">
        <v>22</v>
      </c>
      <c r="L1299" s="5" t="str">
        <f t="shared" si="280"/>
        <v>01298</v>
      </c>
      <c r="M1299" s="46" t="str">
        <f t="shared" si="281"/>
        <v>23 de julio de 2018</v>
      </c>
      <c r="N1299" s="318">
        <f t="shared" si="274"/>
        <v>23</v>
      </c>
      <c r="O1299" s="24">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59" t="s">
        <v>745</v>
      </c>
      <c r="L1300" s="5" t="str">
        <f t="shared" si="280"/>
        <v>01299</v>
      </c>
      <c r="M1300" s="46" t="str">
        <f t="shared" si="281"/>
        <v>23 de julio de 2018</v>
      </c>
      <c r="N1300" s="318">
        <f t="shared" si="274"/>
        <v>23</v>
      </c>
      <c r="O1300" s="24">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781</v>
      </c>
      <c r="J1301" s="59" t="s">
        <v>22</v>
      </c>
      <c r="L1301" s="5" t="str">
        <f t="shared" si="280"/>
        <v>01300</v>
      </c>
      <c r="M1301" s="46" t="str">
        <f t="shared" si="281"/>
        <v>23 de julio de 2018</v>
      </c>
      <c r="N1301" s="318">
        <f t="shared" si="274"/>
        <v>23</v>
      </c>
      <c r="O1301" s="24">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782</v>
      </c>
      <c r="J1302" s="59" t="s">
        <v>22</v>
      </c>
      <c r="L1302" s="5" t="str">
        <f t="shared" ref="L1302:L1322" si="286">IF(ISBLANK(A1302),"",TEXT(A1302,"00000"))</f>
        <v>01301</v>
      </c>
      <c r="M1302" s="46" t="str">
        <f t="shared" ref="M1302:M1322" si="287">IF(ISBLANK(D1302),"",TEXT(D1302,"dd")&amp;" de "&amp;TEXT(D1302,"mmmm")&amp;" de "&amp;TEXT(YEAR(D1302),"0"))</f>
        <v>23 de julio de 2018</v>
      </c>
      <c r="N1302" s="318">
        <f t="shared" si="274"/>
        <v>23</v>
      </c>
      <c r="O1302" s="24">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783</v>
      </c>
      <c r="J1303" s="59" t="s">
        <v>745</v>
      </c>
      <c r="L1303" s="5" t="str">
        <f t="shared" si="286"/>
        <v>01302</v>
      </c>
      <c r="M1303" s="46" t="str">
        <f t="shared" si="287"/>
        <v>23 de julio de 2018</v>
      </c>
      <c r="N1303" s="318">
        <f t="shared" si="274"/>
        <v>23</v>
      </c>
      <c r="O1303" s="24">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784</v>
      </c>
      <c r="J1304" s="59" t="s">
        <v>22</v>
      </c>
      <c r="L1304" s="5" t="str">
        <f t="shared" si="286"/>
        <v>01303</v>
      </c>
      <c r="M1304" s="46" t="str">
        <f t="shared" si="287"/>
        <v>23 de julio de 2018</v>
      </c>
      <c r="N1304" s="318">
        <f t="shared" si="274"/>
        <v>23</v>
      </c>
      <c r="O1304" s="24">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59" t="s">
        <v>22</v>
      </c>
      <c r="L1305" s="5" t="str">
        <f t="shared" si="286"/>
        <v>01304</v>
      </c>
      <c r="M1305" s="46" t="str">
        <f t="shared" si="287"/>
        <v>26 de julio de 2018</v>
      </c>
      <c r="N1305" s="318">
        <f t="shared" si="274"/>
        <v>26</v>
      </c>
      <c r="O1305" s="24">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59" t="s">
        <v>745</v>
      </c>
      <c r="L1306" s="5" t="str">
        <f t="shared" si="286"/>
        <v>01305</v>
      </c>
      <c r="M1306" s="46" t="str">
        <f t="shared" si="287"/>
        <v>26 de julio de 2018</v>
      </c>
      <c r="N1306" s="318">
        <f t="shared" si="274"/>
        <v>26</v>
      </c>
      <c r="O1306" s="24">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59" t="s">
        <v>22</v>
      </c>
      <c r="L1307" s="5" t="str">
        <f t="shared" si="286"/>
        <v>01306</v>
      </c>
      <c r="M1307" s="46" t="str">
        <f t="shared" si="287"/>
        <v>26 de julio de 2018</v>
      </c>
      <c r="N1307" s="318">
        <f t="shared" si="274"/>
        <v>26</v>
      </c>
      <c r="O1307" s="24">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59" t="s">
        <v>745</v>
      </c>
      <c r="L1308" s="5" t="str">
        <f t="shared" si="286"/>
        <v>01307</v>
      </c>
      <c r="M1308" s="46" t="str">
        <f t="shared" si="287"/>
        <v>26 de julio de 2018</v>
      </c>
      <c r="N1308" s="318">
        <f t="shared" si="274"/>
        <v>26</v>
      </c>
      <c r="O1308" s="24">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785</v>
      </c>
      <c r="J1309" s="59" t="s">
        <v>22</v>
      </c>
      <c r="L1309" s="5" t="str">
        <f t="shared" si="286"/>
        <v>01308</v>
      </c>
      <c r="M1309" s="46" t="str">
        <f t="shared" si="287"/>
        <v>26 de julio de 2018</v>
      </c>
      <c r="N1309" s="318">
        <f t="shared" si="274"/>
        <v>26</v>
      </c>
      <c r="O1309" s="24">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59" t="s">
        <v>745</v>
      </c>
      <c r="L1310" s="5" t="str">
        <f t="shared" si="286"/>
        <v>01309</v>
      </c>
      <c r="M1310" s="46" t="str">
        <f t="shared" si="287"/>
        <v>26 de julio de 2018</v>
      </c>
      <c r="N1310" s="318">
        <f t="shared" si="274"/>
        <v>26</v>
      </c>
      <c r="O1310" s="24">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59" t="s">
        <v>22</v>
      </c>
      <c r="L1311" s="5" t="str">
        <f t="shared" si="286"/>
        <v>01310</v>
      </c>
      <c r="M1311" s="46" t="str">
        <f t="shared" si="287"/>
        <v>27 de julio de 2018</v>
      </c>
      <c r="N1311" s="318">
        <f t="shared" si="274"/>
        <v>27</v>
      </c>
      <c r="O1311" s="24">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59" t="s">
        <v>745</v>
      </c>
      <c r="L1312" s="5" t="str">
        <f t="shared" si="286"/>
        <v>01311</v>
      </c>
      <c r="M1312" s="46" t="str">
        <f t="shared" si="287"/>
        <v>28 de junio de 2018</v>
      </c>
      <c r="N1312" s="318">
        <f t="shared" si="274"/>
        <v>28</v>
      </c>
      <c r="O1312" s="24">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59" t="s">
        <v>745</v>
      </c>
      <c r="L1313" s="5" t="str">
        <f t="shared" si="286"/>
        <v>01312</v>
      </c>
      <c r="M1313" s="46" t="str">
        <f t="shared" si="287"/>
        <v>27 de julio de 2018</v>
      </c>
      <c r="N1313" s="318">
        <f t="shared" si="274"/>
        <v>27</v>
      </c>
      <c r="O1313" s="24">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59" t="s">
        <v>22</v>
      </c>
      <c r="L1314" s="5" t="str">
        <f t="shared" si="286"/>
        <v>01313</v>
      </c>
      <c r="M1314" s="46" t="str">
        <f t="shared" si="287"/>
        <v>27 de julio de 2018</v>
      </c>
      <c r="N1314" s="318">
        <f t="shared" si="274"/>
        <v>27</v>
      </c>
      <c r="O1314" s="24">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786</v>
      </c>
      <c r="G1315" t="s">
        <v>787</v>
      </c>
      <c r="H1315" t="s">
        <v>719</v>
      </c>
      <c r="I1315" s="6" t="s">
        <v>736</v>
      </c>
      <c r="J1315" s="59" t="s">
        <v>22</v>
      </c>
      <c r="L1315" s="5" t="str">
        <f t="shared" si="286"/>
        <v>01314</v>
      </c>
      <c r="M1315" s="46" t="str">
        <f t="shared" si="287"/>
        <v>28 de julio de 2018</v>
      </c>
      <c r="N1315" s="318">
        <f t="shared" si="274"/>
        <v>28</v>
      </c>
      <c r="O1315" s="24">
        <f t="shared" si="288"/>
        <v>43282</v>
      </c>
      <c r="P1315" s="5" t="str">
        <f t="shared" si="289"/>
        <v>12,25</v>
      </c>
      <c r="Q1315" s="4" t="e">
        <f t="shared" ca="1" si="290"/>
        <v>#NAME?</v>
      </c>
    </row>
    <row r="1316" spans="1:17">
      <c r="A1316" s="1">
        <f t="shared" si="283"/>
        <v>1315</v>
      </c>
      <c r="C1316" s="8" t="s">
        <v>17</v>
      </c>
      <c r="D1316" s="2">
        <v>43309</v>
      </c>
      <c r="E1316" s="3">
        <f>1220000/100000</f>
        <v>12.2</v>
      </c>
      <c r="F1316" t="s">
        <v>786</v>
      </c>
      <c r="G1316" t="s">
        <v>787</v>
      </c>
      <c r="H1316" t="s">
        <v>719</v>
      </c>
      <c r="I1316" s="6" t="s">
        <v>744</v>
      </c>
      <c r="J1316" s="59" t="s">
        <v>745</v>
      </c>
      <c r="L1316" s="5" t="str">
        <f t="shared" si="286"/>
        <v>01315</v>
      </c>
      <c r="M1316" s="46" t="str">
        <f t="shared" si="287"/>
        <v>28 de julio de 2018</v>
      </c>
      <c r="N1316" s="318">
        <f t="shared" si="274"/>
        <v>28</v>
      </c>
      <c r="O1316" s="24">
        <f t="shared" si="288"/>
        <v>43282</v>
      </c>
      <c r="P1316" s="5" t="str">
        <f t="shared" si="289"/>
        <v>12,20</v>
      </c>
      <c r="Q1316" s="4" t="e">
        <f t="shared" ca="1" si="290"/>
        <v>#NAME?</v>
      </c>
    </row>
    <row r="1317" spans="1:17">
      <c r="A1317" s="1">
        <f t="shared" si="283"/>
        <v>1316</v>
      </c>
      <c r="C1317" s="83" t="s">
        <v>17</v>
      </c>
      <c r="D1317" s="2">
        <v>43310</v>
      </c>
      <c r="E1317" s="3">
        <f>1000000/100000</f>
        <v>10</v>
      </c>
      <c r="F1317" t="s">
        <v>40</v>
      </c>
      <c r="G1317" s="18" t="s">
        <v>58</v>
      </c>
      <c r="H1317" t="s">
        <v>42</v>
      </c>
      <c r="I1317" s="6" t="s">
        <v>788</v>
      </c>
      <c r="J1317" s="59" t="s">
        <v>22</v>
      </c>
      <c r="L1317" s="5" t="str">
        <f t="shared" si="286"/>
        <v>01316</v>
      </c>
      <c r="M1317" s="46" t="str">
        <f t="shared" si="287"/>
        <v>29 de julio de 2018</v>
      </c>
      <c r="N1317" s="318">
        <f t="shared" si="274"/>
        <v>29</v>
      </c>
      <c r="O1317" s="24">
        <f t="shared" si="288"/>
        <v>43282</v>
      </c>
      <c r="P1317" s="5" t="str">
        <f t="shared" si="289"/>
        <v>10,00</v>
      </c>
      <c r="Q1317" s="4" t="e">
        <f t="shared" ca="1" si="290"/>
        <v>#NAME?</v>
      </c>
    </row>
    <row r="1318" spans="1:17">
      <c r="A1318" s="1">
        <f t="shared" si="283"/>
        <v>1317</v>
      </c>
      <c r="C1318" s="83" t="s">
        <v>17</v>
      </c>
      <c r="D1318" s="2">
        <v>43310</v>
      </c>
      <c r="E1318" s="3">
        <f>1220000/100000</f>
        <v>12.2</v>
      </c>
      <c r="F1318" t="s">
        <v>40</v>
      </c>
      <c r="G1318" s="18" t="s">
        <v>58</v>
      </c>
      <c r="H1318" t="s">
        <v>42</v>
      </c>
      <c r="I1318" s="6" t="s">
        <v>744</v>
      </c>
      <c r="J1318" s="59" t="s">
        <v>745</v>
      </c>
      <c r="L1318" s="5" t="str">
        <f t="shared" si="286"/>
        <v>01317</v>
      </c>
      <c r="M1318" s="46" t="str">
        <f t="shared" si="287"/>
        <v>29 de julio de 2018</v>
      </c>
      <c r="N1318" s="318">
        <f t="shared" si="274"/>
        <v>29</v>
      </c>
      <c r="O1318" s="24">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59" t="s">
        <v>22</v>
      </c>
      <c r="L1319" s="5" t="str">
        <f t="shared" si="286"/>
        <v>01318</v>
      </c>
      <c r="M1319" s="46" t="str">
        <f t="shared" si="287"/>
        <v>29 de julio de 2018</v>
      </c>
      <c r="N1319" s="318">
        <f t="shared" si="274"/>
        <v>29</v>
      </c>
      <c r="O1319" s="24">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59" t="s">
        <v>745</v>
      </c>
      <c r="L1320" s="5" t="str">
        <f t="shared" si="286"/>
        <v>01319</v>
      </c>
      <c r="M1320" s="46" t="str">
        <f t="shared" si="287"/>
        <v>29 de julio de 2018</v>
      </c>
      <c r="N1320" s="318">
        <f t="shared" si="274"/>
        <v>29</v>
      </c>
      <c r="O1320" s="24">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59" t="s">
        <v>22</v>
      </c>
      <c r="L1321" s="5" t="str">
        <f t="shared" si="286"/>
        <v>01320</v>
      </c>
      <c r="M1321" s="46" t="str">
        <f t="shared" si="287"/>
        <v>31 de julio de 2018</v>
      </c>
      <c r="N1321" s="318">
        <f t="shared" si="274"/>
        <v>31</v>
      </c>
      <c r="O1321" s="24">
        <f t="shared" si="288"/>
        <v>43282</v>
      </c>
      <c r="P1321" s="5" t="str">
        <f t="shared" si="289"/>
        <v>10,00</v>
      </c>
      <c r="Q1321" s="4" t="e">
        <f t="shared" ca="1" si="290"/>
        <v>#NAME?</v>
      </c>
    </row>
    <row r="1322" spans="1:17">
      <c r="A1322" s="1">
        <f t="shared" si="283"/>
        <v>1321</v>
      </c>
      <c r="C1322" s="83" t="s">
        <v>17</v>
      </c>
      <c r="D1322" s="2">
        <v>43312</v>
      </c>
      <c r="E1322" s="160">
        <f>200000/100000</f>
        <v>2</v>
      </c>
      <c r="F1322" t="s">
        <v>492</v>
      </c>
      <c r="G1322" s="18" t="s">
        <v>58</v>
      </c>
      <c r="H1322" t="s">
        <v>493</v>
      </c>
      <c r="I1322" s="6" t="s">
        <v>760</v>
      </c>
      <c r="J1322" s="59" t="s">
        <v>22</v>
      </c>
      <c r="L1322" s="5" t="str">
        <f t="shared" si="286"/>
        <v>01321</v>
      </c>
      <c r="M1322" s="46" t="str">
        <f t="shared" si="287"/>
        <v>31 de julio de 2018</v>
      </c>
      <c r="N1322" s="318">
        <f t="shared" si="274"/>
        <v>31</v>
      </c>
      <c r="O1322" s="24">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789</v>
      </c>
      <c r="J1323" s="59" t="s">
        <v>22</v>
      </c>
      <c r="L1323" s="5" t="str">
        <f>IF(ISBLANK(A1323),"",TEXT(A1323,"00000"))</f>
        <v>01322</v>
      </c>
      <c r="M1323" s="46" t="str">
        <f>IF(ISBLANK(D1323),"",TEXT(D1323,"dd")&amp;" de "&amp;TEXT(D1323,"mmmm")&amp;" de "&amp;TEXT(YEAR(D1323),"0"))</f>
        <v>31 de julio de 2018</v>
      </c>
      <c r="N1323" s="318">
        <f t="shared" si="274"/>
        <v>31</v>
      </c>
      <c r="O1323" s="24">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788</v>
      </c>
      <c r="J1324" s="59" t="s">
        <v>22</v>
      </c>
      <c r="L1324" s="5" t="str">
        <f t="shared" ref="L1324:L1325" si="291">IF(ISBLANK(A1324),"",TEXT(A1324,"00000"))</f>
        <v>01323</v>
      </c>
      <c r="M1324" s="46" t="str">
        <f t="shared" ref="M1324:M1325" si="292">IF(ISBLANK(D1324),"",TEXT(D1324,"dd")&amp;" de "&amp;TEXT(D1324,"mmmm")&amp;" de "&amp;TEXT(YEAR(D1324),"0"))</f>
        <v>31 de julio de 2018</v>
      </c>
      <c r="N1324" s="318">
        <f t="shared" si="274"/>
        <v>31</v>
      </c>
      <c r="O1324" s="24">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790</v>
      </c>
      <c r="J1325" s="59" t="s">
        <v>22</v>
      </c>
      <c r="L1325" s="5" t="str">
        <f t="shared" si="291"/>
        <v>01324</v>
      </c>
      <c r="M1325" s="46" t="str">
        <f t="shared" si="292"/>
        <v>01 de agosto de 2018</v>
      </c>
      <c r="N1325" s="318">
        <f t="shared" si="274"/>
        <v>1</v>
      </c>
      <c r="O1325" s="24">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59" t="s">
        <v>745</v>
      </c>
      <c r="L1326" s="5" t="str">
        <f t="shared" ref="L1326:L1342" si="294">IF(ISBLANK(A1326),"",TEXT(A1326,"00000"))</f>
        <v>01325</v>
      </c>
      <c r="M1326" s="46" t="str">
        <f t="shared" ref="M1326:M1342" si="295">IF(ISBLANK(D1326),"",TEXT(D1326,"dd")&amp;" de "&amp;TEXT(D1326,"mmmm")&amp;" de "&amp;TEXT(YEAR(D1326),"0"))</f>
        <v>01 de agosto de 2018</v>
      </c>
      <c r="N1326" s="318">
        <f t="shared" si="274"/>
        <v>1</v>
      </c>
      <c r="O1326" s="24">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788</v>
      </c>
      <c r="J1327" s="59" t="s">
        <v>22</v>
      </c>
      <c r="L1327" s="5" t="str">
        <f t="shared" si="294"/>
        <v>01326</v>
      </c>
      <c r="M1327" s="46" t="str">
        <f t="shared" si="295"/>
        <v>01 de agosto de 2018</v>
      </c>
      <c r="N1327" s="318">
        <f t="shared" si="274"/>
        <v>1</v>
      </c>
      <c r="O1327" s="24">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59" t="s">
        <v>745</v>
      </c>
      <c r="L1328" s="5" t="str">
        <f t="shared" si="294"/>
        <v>01327</v>
      </c>
      <c r="M1328" s="46" t="str">
        <f t="shared" si="295"/>
        <v>01 de agosto de 2018</v>
      </c>
      <c r="N1328" s="318">
        <f t="shared" si="274"/>
        <v>1</v>
      </c>
      <c r="O1328" s="24">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784</v>
      </c>
      <c r="J1329" s="59" t="s">
        <v>22</v>
      </c>
      <c r="L1329" s="5" t="str">
        <f t="shared" si="294"/>
        <v>01328</v>
      </c>
      <c r="M1329" s="46" t="str">
        <f t="shared" si="295"/>
        <v>01 de agosto de 2018</v>
      </c>
      <c r="N1329" s="318">
        <f t="shared" si="274"/>
        <v>1</v>
      </c>
      <c r="O1329" s="24">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59" t="s">
        <v>745</v>
      </c>
      <c r="L1330" s="5" t="str">
        <f t="shared" si="294"/>
        <v>01329</v>
      </c>
      <c r="M1330" s="46" t="str">
        <f t="shared" si="295"/>
        <v>01 de agosto de 2018</v>
      </c>
      <c r="N1330" s="318">
        <f t="shared" si="274"/>
        <v>1</v>
      </c>
      <c r="O1330" s="24">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788</v>
      </c>
      <c r="J1331" s="59" t="s">
        <v>22</v>
      </c>
      <c r="L1331" s="5" t="str">
        <f t="shared" si="294"/>
        <v>01330</v>
      </c>
      <c r="M1331" s="46" t="str">
        <f t="shared" si="295"/>
        <v>01 de agosto de 2018</v>
      </c>
      <c r="N1331" s="318">
        <f t="shared" si="274"/>
        <v>1</v>
      </c>
      <c r="O1331" s="24">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59" t="s">
        <v>745</v>
      </c>
      <c r="L1332" s="5" t="str">
        <f t="shared" si="294"/>
        <v>01331</v>
      </c>
      <c r="M1332" s="46" t="str">
        <f t="shared" si="295"/>
        <v>01 de agosto de 2018</v>
      </c>
      <c r="N1332" s="318">
        <f t="shared" si="274"/>
        <v>1</v>
      </c>
      <c r="O1332" s="24">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791</v>
      </c>
      <c r="J1333" s="59" t="s">
        <v>22</v>
      </c>
      <c r="L1333" s="5" t="str">
        <f t="shared" si="294"/>
        <v>01332</v>
      </c>
      <c r="M1333" s="46" t="str">
        <f t="shared" si="295"/>
        <v>01 de agosto de 2018</v>
      </c>
      <c r="N1333" s="318">
        <f t="shared" si="274"/>
        <v>1</v>
      </c>
      <c r="O1333" s="24">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788</v>
      </c>
      <c r="J1334" s="59" t="s">
        <v>22</v>
      </c>
      <c r="L1334" s="5" t="str">
        <f t="shared" si="294"/>
        <v>01333</v>
      </c>
      <c r="M1334" s="46" t="str">
        <f t="shared" si="295"/>
        <v>01 de agosto de 2018</v>
      </c>
      <c r="N1334" s="318">
        <f t="shared" si="274"/>
        <v>1</v>
      </c>
      <c r="O1334" s="24">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788</v>
      </c>
      <c r="J1335" s="59" t="s">
        <v>22</v>
      </c>
      <c r="L1335" s="5" t="str">
        <f t="shared" si="294"/>
        <v>01334</v>
      </c>
      <c r="M1335" s="46" t="str">
        <f t="shared" si="295"/>
        <v>01 de agosto de 2018</v>
      </c>
      <c r="N1335" s="318">
        <f t="shared" si="274"/>
        <v>1</v>
      </c>
      <c r="O1335" s="24">
        <f t="shared" si="296"/>
        <v>43313</v>
      </c>
      <c r="P1335" s="5" t="str">
        <f t="shared" si="297"/>
        <v>12,00</v>
      </c>
      <c r="Q1335" s="4" t="e">
        <f ca="1">CONVERTIRNUM(E1335)</f>
        <v>#NAME?</v>
      </c>
    </row>
    <row r="1336" spans="1:17">
      <c r="A1336" s="1">
        <f t="shared" si="283"/>
        <v>1335</v>
      </c>
      <c r="C1336" s="83" t="s">
        <v>17</v>
      </c>
      <c r="D1336" s="2">
        <v>43313</v>
      </c>
      <c r="E1336" s="3">
        <f>1200000/100000</f>
        <v>12</v>
      </c>
      <c r="F1336" t="s">
        <v>280</v>
      </c>
      <c r="G1336" s="18" t="s">
        <v>58</v>
      </c>
      <c r="H1336" t="s">
        <v>282</v>
      </c>
      <c r="I1336" s="6" t="s">
        <v>792</v>
      </c>
      <c r="J1336" s="59" t="s">
        <v>22</v>
      </c>
      <c r="L1336" s="5" t="str">
        <f t="shared" si="294"/>
        <v>01335</v>
      </c>
      <c r="M1336" s="46" t="str">
        <f t="shared" si="295"/>
        <v>01 de agosto de 2018</v>
      </c>
      <c r="N1336" s="318">
        <f t="shared" si="274"/>
        <v>1</v>
      </c>
      <c r="O1336" s="24">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2" t="s">
        <v>422</v>
      </c>
      <c r="G1337" s="18" t="s">
        <v>58</v>
      </c>
      <c r="H1337" t="s">
        <v>423</v>
      </c>
      <c r="I1337" s="6" t="s">
        <v>788</v>
      </c>
      <c r="J1337" s="59" t="s">
        <v>22</v>
      </c>
      <c r="L1337" s="5" t="str">
        <f t="shared" si="294"/>
        <v>01336</v>
      </c>
      <c r="M1337" s="46" t="str">
        <f t="shared" si="295"/>
        <v>01 de agosto de 2018</v>
      </c>
      <c r="N1337" s="318">
        <f t="shared" si="274"/>
        <v>1</v>
      </c>
      <c r="O1337" s="24">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793</v>
      </c>
      <c r="J1338" s="59" t="s">
        <v>22</v>
      </c>
      <c r="L1338" s="5" t="str">
        <f t="shared" si="294"/>
        <v>01337</v>
      </c>
      <c r="M1338" s="46" t="str">
        <f t="shared" si="295"/>
        <v>01 de agosto de 2018</v>
      </c>
      <c r="N1338" s="318">
        <f t="shared" si="274"/>
        <v>1</v>
      </c>
      <c r="O1338" s="24">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794</v>
      </c>
      <c r="J1339" s="59" t="s">
        <v>22</v>
      </c>
      <c r="L1339" s="5" t="str">
        <f t="shared" si="294"/>
        <v>01338</v>
      </c>
      <c r="M1339" s="46" t="str">
        <f t="shared" si="295"/>
        <v>01 de agosto de 2018</v>
      </c>
      <c r="N1339" s="318">
        <f t="shared" si="274"/>
        <v>1</v>
      </c>
      <c r="O1339" s="24">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795</v>
      </c>
      <c r="J1340" s="59" t="s">
        <v>22</v>
      </c>
      <c r="L1340" s="5" t="str">
        <f t="shared" si="294"/>
        <v>01339</v>
      </c>
      <c r="M1340" s="46" t="str">
        <f t="shared" si="295"/>
        <v>01 de agosto de 2018</v>
      </c>
      <c r="N1340" s="318">
        <f t="shared" si="274"/>
        <v>1</v>
      </c>
      <c r="O1340" s="24">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796</v>
      </c>
      <c r="J1341" s="59" t="s">
        <v>22</v>
      </c>
      <c r="L1341" s="5" t="str">
        <f t="shared" si="294"/>
        <v>01340</v>
      </c>
      <c r="M1341" s="46" t="str">
        <f t="shared" si="295"/>
        <v>01 de agosto de 2018</v>
      </c>
      <c r="N1341" s="318">
        <f t="shared" si="274"/>
        <v>1</v>
      </c>
      <c r="O1341" s="24">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797</v>
      </c>
      <c r="J1342" s="59" t="s">
        <v>22</v>
      </c>
      <c r="L1342" s="5" t="str">
        <f t="shared" si="294"/>
        <v>01341</v>
      </c>
      <c r="M1342" s="46" t="str">
        <f t="shared" si="295"/>
        <v>01 de agosto de 2018</v>
      </c>
      <c r="N1342" s="318">
        <f t="shared" si="274"/>
        <v>1</v>
      </c>
      <c r="O1342" s="24">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798</v>
      </c>
      <c r="J1343" s="59" t="s">
        <v>22</v>
      </c>
      <c r="L1343" s="5" t="str">
        <f t="shared" ref="L1343:L1352" si="300">IF(ISBLANK(A1343),"",TEXT(A1343,"00000"))</f>
        <v>01342</v>
      </c>
      <c r="M1343" s="46" t="str">
        <f t="shared" ref="M1343:M1352" si="301">IF(ISBLANK(D1343),"",TEXT(D1343,"dd")&amp;" de "&amp;TEXT(D1343,"mmmm")&amp;" de "&amp;TEXT(YEAR(D1343),"0"))</f>
        <v>02 de agosto de 2018</v>
      </c>
      <c r="N1343" s="318">
        <f t="shared" si="274"/>
        <v>2</v>
      </c>
      <c r="O1343" s="24">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788</v>
      </c>
      <c r="J1344" s="59" t="s">
        <v>22</v>
      </c>
      <c r="L1344" s="5" t="str">
        <f t="shared" si="300"/>
        <v>01343</v>
      </c>
      <c r="M1344" s="46" t="str">
        <f t="shared" si="301"/>
        <v>02 de agosto de 2018</v>
      </c>
      <c r="N1344" s="318">
        <f t="shared" si="274"/>
        <v>2</v>
      </c>
      <c r="O1344" s="24">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1" t="s">
        <v>240</v>
      </c>
      <c r="H1345" t="s">
        <v>241</v>
      </c>
      <c r="I1345" s="6" t="s">
        <v>750</v>
      </c>
      <c r="J1345" s="59" t="s">
        <v>22</v>
      </c>
      <c r="L1345" s="5" t="str">
        <f t="shared" si="300"/>
        <v>01344</v>
      </c>
      <c r="M1345" s="46" t="str">
        <f t="shared" si="301"/>
        <v>30 de julio de 2018</v>
      </c>
      <c r="N1345" s="318">
        <f t="shared" si="274"/>
        <v>30</v>
      </c>
      <c r="O1345" s="24">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59" t="s">
        <v>22</v>
      </c>
      <c r="L1346" s="5" t="str">
        <f t="shared" si="300"/>
        <v>01345</v>
      </c>
      <c r="M1346" s="46" t="str">
        <f t="shared" si="301"/>
        <v>03 de agosto de 2018</v>
      </c>
      <c r="N1346" s="318">
        <f t="shared" si="274"/>
        <v>3</v>
      </c>
      <c r="O1346" s="24">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59" t="s">
        <v>745</v>
      </c>
      <c r="L1347" s="5" t="str">
        <f t="shared" si="300"/>
        <v>01346</v>
      </c>
      <c r="M1347" s="46" t="str">
        <f t="shared" si="301"/>
        <v>03 de agosto de 2018</v>
      </c>
      <c r="N1347" s="318">
        <f t="shared" ref="N1347:N1410" si="305">DAY(D1347)</f>
        <v>3</v>
      </c>
      <c r="O1347" s="24">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59" t="s">
        <v>745</v>
      </c>
      <c r="L1348" s="5" t="str">
        <f t="shared" si="300"/>
        <v>01347</v>
      </c>
      <c r="M1348" s="46" t="str">
        <f t="shared" si="301"/>
        <v>04 de agosto de 2018</v>
      </c>
      <c r="N1348" s="318">
        <f t="shared" si="305"/>
        <v>4</v>
      </c>
      <c r="O1348" s="24">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799</v>
      </c>
      <c r="J1349" s="59" t="s">
        <v>22</v>
      </c>
      <c r="L1349" s="5" t="str">
        <f t="shared" si="300"/>
        <v>01348</v>
      </c>
      <c r="M1349" s="46" t="str">
        <f t="shared" si="301"/>
        <v>06 de agosto de 2018</v>
      </c>
      <c r="N1349" s="318">
        <f t="shared" si="305"/>
        <v>6</v>
      </c>
      <c r="O1349" s="24">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59" t="s">
        <v>745</v>
      </c>
      <c r="L1350" s="5" t="str">
        <f t="shared" si="300"/>
        <v>01349</v>
      </c>
      <c r="M1350" s="46" t="str">
        <f t="shared" si="301"/>
        <v>06 de agosto de 2018</v>
      </c>
      <c r="N1350" s="318">
        <f t="shared" si="305"/>
        <v>6</v>
      </c>
      <c r="O1350" s="24">
        <f t="shared" si="302"/>
        <v>43313</v>
      </c>
      <c r="P1350" s="5" t="str">
        <f t="shared" si="303"/>
        <v>12,20</v>
      </c>
      <c r="Q1350" s="4" t="e">
        <f t="shared" ca="1" si="304"/>
        <v>#NAME?</v>
      </c>
    </row>
    <row r="1351" spans="1:17">
      <c r="A1351" s="1">
        <f t="shared" si="283"/>
        <v>1350</v>
      </c>
      <c r="C1351" s="83" t="s">
        <v>17</v>
      </c>
      <c r="D1351" s="2">
        <v>43318</v>
      </c>
      <c r="E1351" s="3">
        <f>2200000/100000</f>
        <v>22</v>
      </c>
      <c r="F1351" t="s">
        <v>410</v>
      </c>
      <c r="G1351" s="18" t="s">
        <v>58</v>
      </c>
      <c r="H1351" t="s">
        <v>411</v>
      </c>
      <c r="I1351" s="6" t="s">
        <v>784</v>
      </c>
      <c r="J1351" s="59" t="s">
        <v>22</v>
      </c>
      <c r="L1351" s="5" t="str">
        <f t="shared" si="300"/>
        <v>01350</v>
      </c>
      <c r="M1351" s="46" t="str">
        <f t="shared" si="301"/>
        <v>06 de agosto de 2018</v>
      </c>
      <c r="N1351" s="318">
        <f t="shared" si="305"/>
        <v>6</v>
      </c>
      <c r="O1351" s="24">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59" t="s">
        <v>22</v>
      </c>
      <c r="L1352" s="5" t="str">
        <f t="shared" si="300"/>
        <v>01351</v>
      </c>
      <c r="M1352" s="46" t="str">
        <f t="shared" si="301"/>
        <v>06 de agosto de 2018</v>
      </c>
      <c r="N1352" s="318">
        <f t="shared" si="305"/>
        <v>6</v>
      </c>
      <c r="O1352" s="24">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800</v>
      </c>
      <c r="J1353" s="59" t="s">
        <v>22</v>
      </c>
      <c r="L1353" s="5" t="str">
        <f t="shared" ref="L1353:L1356" si="306">IF(ISBLANK(A1353),"",TEXT(A1353,"00000"))</f>
        <v>01352</v>
      </c>
      <c r="M1353" s="46" t="str">
        <f t="shared" ref="M1353:M1356" si="307">IF(ISBLANK(D1353),"",TEXT(D1353,"dd")&amp;" de "&amp;TEXT(D1353,"mmmm")&amp;" de "&amp;TEXT(YEAR(D1353),"0"))</f>
        <v>06 de agosto de 2018</v>
      </c>
      <c r="N1353" s="318">
        <f t="shared" si="305"/>
        <v>6</v>
      </c>
      <c r="O1353" s="24">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788</v>
      </c>
      <c r="J1354" s="59" t="s">
        <v>22</v>
      </c>
      <c r="L1354" s="5" t="str">
        <f t="shared" si="306"/>
        <v>01353</v>
      </c>
      <c r="M1354" s="46" t="str">
        <f t="shared" si="307"/>
        <v>06 de agosto de 2018</v>
      </c>
      <c r="N1354" s="318">
        <f t="shared" si="305"/>
        <v>6</v>
      </c>
      <c r="O1354" s="24">
        <f t="shared" si="308"/>
        <v>43313</v>
      </c>
      <c r="P1354" s="5" t="str">
        <f t="shared" si="309"/>
        <v>12,00</v>
      </c>
      <c r="Q1354" s="4" t="e">
        <f t="shared" ca="1" si="310"/>
        <v>#NAME?</v>
      </c>
    </row>
    <row r="1355" spans="1:17">
      <c r="A1355" s="1">
        <f t="shared" si="283"/>
        <v>1354</v>
      </c>
      <c r="C1355" s="83" t="s">
        <v>17</v>
      </c>
      <c r="D1355" s="2">
        <v>43319</v>
      </c>
      <c r="E1355" s="3">
        <f>1400000/100000</f>
        <v>14</v>
      </c>
      <c r="F1355" t="s">
        <v>40</v>
      </c>
      <c r="G1355" s="18" t="s">
        <v>58</v>
      </c>
      <c r="H1355" t="s">
        <v>42</v>
      </c>
      <c r="I1355" s="6" t="s">
        <v>801</v>
      </c>
      <c r="J1355" s="59" t="s">
        <v>22</v>
      </c>
      <c r="L1355" s="5" t="str">
        <f t="shared" si="306"/>
        <v>01354</v>
      </c>
      <c r="M1355" s="46" t="str">
        <f t="shared" si="307"/>
        <v>07 de agosto de 2018</v>
      </c>
      <c r="N1355" s="318">
        <f t="shared" si="305"/>
        <v>7</v>
      </c>
      <c r="O1355" s="24">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802</v>
      </c>
      <c r="J1356" s="59" t="s">
        <v>22</v>
      </c>
      <c r="L1356" s="5" t="str">
        <f t="shared" si="306"/>
        <v>01355</v>
      </c>
      <c r="M1356" s="46" t="str">
        <f t="shared" si="307"/>
        <v>07 de agosto de 2018</v>
      </c>
      <c r="N1356" s="318">
        <f t="shared" si="305"/>
        <v>7</v>
      </c>
      <c r="O1356" s="24">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803</v>
      </c>
      <c r="J1357" s="59" t="s">
        <v>22</v>
      </c>
      <c r="L1357" s="5" t="str">
        <f>IF(ISBLANK(A1357),"",TEXT(A1357,"00000"))</f>
        <v>01356</v>
      </c>
      <c r="M1357" s="46" t="str">
        <f>IF(ISBLANK(D1357),"",TEXT(D1357,"dd")&amp;" de "&amp;TEXT(D1357,"mmmm")&amp;" de "&amp;TEXT(YEAR(D1357),"0"))</f>
        <v>06 de agosto de 2018</v>
      </c>
      <c r="N1357" s="318">
        <f t="shared" si="305"/>
        <v>6</v>
      </c>
      <c r="O1357" s="24">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788</v>
      </c>
      <c r="J1358" s="59" t="s">
        <v>22</v>
      </c>
      <c r="L1358" s="5" t="str">
        <f t="shared" ref="L1358:L1370" si="311">IF(ISBLANK(A1358),"",TEXT(A1358,"00000"))</f>
        <v>01357</v>
      </c>
      <c r="M1358" s="46" t="str">
        <f t="shared" ref="M1358:M1370" si="312">IF(ISBLANK(D1358),"",TEXT(D1358,"dd")&amp;" de "&amp;TEXT(D1358,"mmmm")&amp;" de "&amp;TEXT(YEAR(D1358),"0"))</f>
        <v>07 de agosto de 2018</v>
      </c>
      <c r="N1358" s="318">
        <f t="shared" si="305"/>
        <v>7</v>
      </c>
      <c r="O1358" s="24">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788</v>
      </c>
      <c r="J1359" s="59" t="s">
        <v>22</v>
      </c>
      <c r="L1359" s="5" t="str">
        <f t="shared" si="311"/>
        <v>01358</v>
      </c>
      <c r="M1359" s="46" t="str">
        <f t="shared" si="312"/>
        <v>08 de agosto de 2018</v>
      </c>
      <c r="N1359" s="318">
        <f t="shared" si="305"/>
        <v>8</v>
      </c>
      <c r="O1359" s="24">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59" t="s">
        <v>22</v>
      </c>
      <c r="L1360" s="5" t="str">
        <f t="shared" si="311"/>
        <v>01359</v>
      </c>
      <c r="M1360" s="46" t="str">
        <f t="shared" si="312"/>
        <v>10 de agosto de 2018</v>
      </c>
      <c r="N1360" s="318">
        <f t="shared" si="305"/>
        <v>10</v>
      </c>
      <c r="O1360" s="24">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788</v>
      </c>
      <c r="J1361" s="59" t="s">
        <v>22</v>
      </c>
      <c r="L1361" s="5" t="str">
        <f t="shared" si="311"/>
        <v>01360</v>
      </c>
      <c r="M1361" s="46" t="str">
        <f t="shared" si="312"/>
        <v>12 de agosto de 2018</v>
      </c>
      <c r="N1361" s="318">
        <f t="shared" si="305"/>
        <v>12</v>
      </c>
      <c r="O1361" s="24">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788</v>
      </c>
      <c r="J1362" s="59" t="s">
        <v>22</v>
      </c>
      <c r="L1362" s="5" t="str">
        <f t="shared" si="311"/>
        <v>01361</v>
      </c>
      <c r="M1362" s="46" t="str">
        <f t="shared" si="312"/>
        <v>12 de agosto de 2018</v>
      </c>
      <c r="N1362" s="318">
        <f t="shared" si="305"/>
        <v>12</v>
      </c>
      <c r="O1362" s="24">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788</v>
      </c>
      <c r="J1363" s="59" t="s">
        <v>22</v>
      </c>
      <c r="L1363" s="5" t="str">
        <f t="shared" si="311"/>
        <v>01362</v>
      </c>
      <c r="M1363" s="46" t="str">
        <f t="shared" si="312"/>
        <v>12 de agosto de 2018</v>
      </c>
      <c r="N1363" s="318">
        <f t="shared" si="305"/>
        <v>12</v>
      </c>
      <c r="O1363" s="24">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788</v>
      </c>
      <c r="J1364" s="59" t="s">
        <v>22</v>
      </c>
      <c r="L1364" s="5" t="str">
        <f t="shared" si="311"/>
        <v>01363</v>
      </c>
      <c r="M1364" s="46" t="str">
        <f t="shared" si="312"/>
        <v>12 de agosto de 2018</v>
      </c>
      <c r="N1364" s="318">
        <f t="shared" si="305"/>
        <v>12</v>
      </c>
      <c r="O1364" s="24">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788</v>
      </c>
      <c r="J1365" s="59" t="s">
        <v>22</v>
      </c>
      <c r="L1365" s="5" t="str">
        <f t="shared" si="311"/>
        <v>01364</v>
      </c>
      <c r="M1365" s="46" t="str">
        <f t="shared" si="312"/>
        <v>13 de agosto de 2018</v>
      </c>
      <c r="N1365" s="318">
        <f t="shared" si="305"/>
        <v>13</v>
      </c>
      <c r="O1365" s="24">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788</v>
      </c>
      <c r="J1366" s="59" t="s">
        <v>22</v>
      </c>
      <c r="L1366" s="5" t="str">
        <f t="shared" si="311"/>
        <v>01365</v>
      </c>
      <c r="M1366" s="46" t="str">
        <f t="shared" si="312"/>
        <v>13 de agosto de 2018</v>
      </c>
      <c r="N1366" s="318">
        <f t="shared" si="305"/>
        <v>13</v>
      </c>
      <c r="O1366" s="24">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788</v>
      </c>
      <c r="J1367" s="59" t="s">
        <v>22</v>
      </c>
      <c r="L1367" s="5" t="str">
        <f t="shared" si="311"/>
        <v>01366</v>
      </c>
      <c r="M1367" s="46" t="str">
        <f t="shared" si="312"/>
        <v>13 de agosto de 2018</v>
      </c>
      <c r="N1367" s="318">
        <f t="shared" si="305"/>
        <v>13</v>
      </c>
      <c r="O1367" s="24">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788</v>
      </c>
      <c r="J1368" s="59" t="s">
        <v>22</v>
      </c>
      <c r="L1368" s="5" t="str">
        <f t="shared" si="311"/>
        <v>01367</v>
      </c>
      <c r="M1368" s="46" t="str">
        <f t="shared" si="312"/>
        <v>14 de agosto de 2018</v>
      </c>
      <c r="N1368" s="318">
        <f t="shared" si="305"/>
        <v>14</v>
      </c>
      <c r="O1368" s="24">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59" t="s">
        <v>22</v>
      </c>
      <c r="L1369" s="5" t="str">
        <f t="shared" si="311"/>
        <v>01368</v>
      </c>
      <c r="M1369" s="46" t="str">
        <f t="shared" si="312"/>
        <v>15 de agosto de 2018</v>
      </c>
      <c r="N1369" s="318">
        <f t="shared" si="305"/>
        <v>15</v>
      </c>
      <c r="O1369" s="24">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804</v>
      </c>
      <c r="J1370" s="59" t="s">
        <v>22</v>
      </c>
      <c r="L1370" s="5" t="str">
        <f t="shared" si="311"/>
        <v>01369</v>
      </c>
      <c r="M1370" s="46" t="str">
        <f t="shared" si="312"/>
        <v>15 de agosto de 2018</v>
      </c>
      <c r="N1370" s="318">
        <f t="shared" si="305"/>
        <v>15</v>
      </c>
      <c r="O1370" s="24">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805</v>
      </c>
      <c r="J1371" s="59" t="s">
        <v>780</v>
      </c>
      <c r="L1371" s="5" t="str">
        <f t="shared" ref="L1371:L1384" si="316">IF(ISBLANK(A1371),"",TEXT(A1371,"00000"))</f>
        <v>01370</v>
      </c>
      <c r="M1371" s="46" t="str">
        <f t="shared" ref="M1371:M1384" si="317">IF(ISBLANK(D1371),"",TEXT(D1371,"dd")&amp;" de "&amp;TEXT(D1371,"mmmm")&amp;" de "&amp;TEXT(YEAR(D1371),"0"))</f>
        <v>15 de agosto de 2018</v>
      </c>
      <c r="N1371" s="318">
        <f t="shared" si="305"/>
        <v>15</v>
      </c>
      <c r="O1371" s="24">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789</v>
      </c>
      <c r="J1372" s="59" t="s">
        <v>22</v>
      </c>
      <c r="L1372" s="5" t="str">
        <f t="shared" si="316"/>
        <v>01371</v>
      </c>
      <c r="M1372" s="46" t="str">
        <f t="shared" si="317"/>
        <v>15 de agosto de 2018</v>
      </c>
      <c r="N1372" s="318">
        <f t="shared" si="305"/>
        <v>15</v>
      </c>
      <c r="O1372" s="24">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788</v>
      </c>
      <c r="J1373" s="59" t="s">
        <v>22</v>
      </c>
      <c r="L1373" s="5" t="str">
        <f t="shared" si="316"/>
        <v>01372</v>
      </c>
      <c r="M1373" s="46" t="str">
        <f t="shared" si="317"/>
        <v>15 de agosto de 2018</v>
      </c>
      <c r="N1373" s="318">
        <f t="shared" si="305"/>
        <v>15</v>
      </c>
      <c r="O1373" s="24">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788</v>
      </c>
      <c r="J1374" s="59" t="s">
        <v>22</v>
      </c>
      <c r="L1374" s="5" t="str">
        <f t="shared" si="316"/>
        <v>01373</v>
      </c>
      <c r="M1374" s="46" t="str">
        <f t="shared" si="317"/>
        <v>16 de agosto de 2018</v>
      </c>
      <c r="N1374" s="318">
        <f t="shared" si="305"/>
        <v>16</v>
      </c>
      <c r="O1374" s="24">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788</v>
      </c>
      <c r="J1375" s="59" t="s">
        <v>22</v>
      </c>
      <c r="L1375" s="5" t="str">
        <f t="shared" si="316"/>
        <v>01374</v>
      </c>
      <c r="M1375" s="46" t="str">
        <f t="shared" si="317"/>
        <v>16 de agosto de 2018</v>
      </c>
      <c r="N1375" s="318">
        <f t="shared" si="305"/>
        <v>16</v>
      </c>
      <c r="O1375" s="24">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788</v>
      </c>
      <c r="J1376" s="59" t="s">
        <v>22</v>
      </c>
      <c r="L1376" s="5" t="str">
        <f t="shared" si="316"/>
        <v>01375</v>
      </c>
      <c r="M1376" s="46" t="str">
        <f t="shared" si="317"/>
        <v>16 de agosto de 2018</v>
      </c>
      <c r="N1376" s="318">
        <f t="shared" si="305"/>
        <v>16</v>
      </c>
      <c r="O1376" s="24">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806</v>
      </c>
      <c r="J1377" s="59" t="s">
        <v>22</v>
      </c>
      <c r="L1377" s="5" t="str">
        <f t="shared" si="316"/>
        <v>01376</v>
      </c>
      <c r="M1377" s="46" t="str">
        <f t="shared" si="317"/>
        <v>16 de agosto de 2018</v>
      </c>
      <c r="N1377" s="318">
        <f t="shared" si="305"/>
        <v>16</v>
      </c>
      <c r="O1377" s="24">
        <f t="shared" si="318"/>
        <v>43313</v>
      </c>
      <c r="P1377" s="5" t="str">
        <f t="shared" si="319"/>
        <v>13,50</v>
      </c>
      <c r="Q1377" s="4" t="e">
        <f t="shared" ca="1" si="320"/>
        <v>#NAME?</v>
      </c>
    </row>
    <row r="1378" spans="1:17">
      <c r="A1378" s="1">
        <f t="shared" si="315"/>
        <v>1377</v>
      </c>
      <c r="C1378" s="83" t="s">
        <v>17</v>
      </c>
      <c r="D1378" s="2">
        <v>43330</v>
      </c>
      <c r="E1378" s="3">
        <f>1100000/100000</f>
        <v>11</v>
      </c>
      <c r="F1378" s="19" t="s">
        <v>57</v>
      </c>
      <c r="G1378" s="18" t="s">
        <v>58</v>
      </c>
      <c r="H1378" s="20" t="s">
        <v>59</v>
      </c>
      <c r="I1378" s="6" t="s">
        <v>807</v>
      </c>
      <c r="J1378" s="59" t="s">
        <v>22</v>
      </c>
      <c r="K1378" s="21"/>
      <c r="L1378" s="5" t="str">
        <f t="shared" si="316"/>
        <v>01377</v>
      </c>
      <c r="M1378" s="46" t="str">
        <f t="shared" si="317"/>
        <v>18 de agosto de 2018</v>
      </c>
      <c r="N1378" s="318">
        <f t="shared" si="305"/>
        <v>18</v>
      </c>
      <c r="O1378" s="24">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788</v>
      </c>
      <c r="J1379" s="59" t="s">
        <v>22</v>
      </c>
      <c r="L1379" s="5" t="str">
        <f t="shared" si="316"/>
        <v>01378</v>
      </c>
      <c r="M1379" s="46" t="str">
        <f t="shared" si="317"/>
        <v>19 de agosto de 2018</v>
      </c>
      <c r="N1379" s="318">
        <f t="shared" si="305"/>
        <v>19</v>
      </c>
      <c r="O1379" s="24">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59" t="s">
        <v>745</v>
      </c>
      <c r="L1380" s="5" t="str">
        <f t="shared" si="316"/>
        <v>01379</v>
      </c>
      <c r="M1380" s="46" t="str">
        <f t="shared" si="317"/>
        <v>19 de agosto de 2018</v>
      </c>
      <c r="N1380" s="318">
        <f t="shared" si="305"/>
        <v>19</v>
      </c>
      <c r="O1380" s="24">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788</v>
      </c>
      <c r="J1381" s="59" t="s">
        <v>22</v>
      </c>
      <c r="L1381" s="5" t="str">
        <f t="shared" si="316"/>
        <v>01380</v>
      </c>
      <c r="M1381" s="46" t="str">
        <f t="shared" si="317"/>
        <v>22 de agosto de 2018</v>
      </c>
      <c r="N1381" s="318">
        <f t="shared" si="305"/>
        <v>22</v>
      </c>
      <c r="O1381" s="24">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788</v>
      </c>
      <c r="J1382" s="59" t="s">
        <v>22</v>
      </c>
      <c r="L1382" s="5" t="str">
        <f t="shared" si="316"/>
        <v>01381</v>
      </c>
      <c r="M1382" s="46" t="str">
        <f t="shared" si="317"/>
        <v>23 de agosto de 2018</v>
      </c>
      <c r="N1382" s="318">
        <f t="shared" si="305"/>
        <v>23</v>
      </c>
      <c r="O1382" s="24">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789</v>
      </c>
      <c r="J1383" s="59" t="s">
        <v>22</v>
      </c>
      <c r="L1383" s="5" t="str">
        <f t="shared" si="316"/>
        <v>01382</v>
      </c>
      <c r="M1383" s="46" t="str">
        <f t="shared" si="317"/>
        <v>23 de agosto de 2018</v>
      </c>
      <c r="N1383" s="318">
        <f t="shared" si="305"/>
        <v>23</v>
      </c>
      <c r="O1383" s="24">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788</v>
      </c>
      <c r="J1384" s="59" t="s">
        <v>22</v>
      </c>
      <c r="L1384" s="5" t="str">
        <f t="shared" si="316"/>
        <v>01383</v>
      </c>
      <c r="M1384" s="46" t="str">
        <f t="shared" si="317"/>
        <v>23 de agosto de 2018</v>
      </c>
      <c r="N1384" s="318">
        <f t="shared" si="305"/>
        <v>23</v>
      </c>
      <c r="O1384" s="24">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59" t="s">
        <v>733</v>
      </c>
      <c r="L1385" s="5" t="str">
        <f t="shared" ref="L1385:L1400" si="321">IF(ISBLANK(A1385),"",TEXT(A1385,"00000"))</f>
        <v>01384</v>
      </c>
      <c r="M1385" s="46" t="str">
        <f t="shared" ref="M1385:M1400" si="322">IF(ISBLANK(D1385),"",TEXT(D1385,"dd")&amp;" de "&amp;TEXT(D1385,"mmmm")&amp;" de "&amp;TEXT(YEAR(D1385),"0"))</f>
        <v>23 de agosto de 2018</v>
      </c>
      <c r="N1385" s="318">
        <f t="shared" si="305"/>
        <v>23</v>
      </c>
      <c r="O1385" s="24">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803</v>
      </c>
      <c r="J1386" s="59" t="s">
        <v>22</v>
      </c>
      <c r="L1386" s="5" t="str">
        <f t="shared" si="321"/>
        <v>01385</v>
      </c>
      <c r="M1386" s="46" t="str">
        <f t="shared" si="322"/>
        <v>23 de agosto de 2018</v>
      </c>
      <c r="N1386" s="318">
        <f t="shared" si="305"/>
        <v>23</v>
      </c>
      <c r="O1386" s="24">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788</v>
      </c>
      <c r="J1387" s="59" t="s">
        <v>22</v>
      </c>
      <c r="L1387" s="5" t="str">
        <f t="shared" si="321"/>
        <v>01386</v>
      </c>
      <c r="M1387" s="46" t="str">
        <f t="shared" si="322"/>
        <v>23 de agosto de 2018</v>
      </c>
      <c r="N1387" s="318">
        <f t="shared" si="305"/>
        <v>23</v>
      </c>
      <c r="O1387" s="24">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788</v>
      </c>
      <c r="J1388" s="59" t="s">
        <v>22</v>
      </c>
      <c r="L1388" s="5" t="str">
        <f t="shared" si="321"/>
        <v>01387</v>
      </c>
      <c r="M1388" s="46" t="str">
        <f t="shared" si="322"/>
        <v>23 de agosto de 2018</v>
      </c>
      <c r="N1388" s="318">
        <f t="shared" si="305"/>
        <v>23</v>
      </c>
      <c r="O1388" s="24">
        <f t="shared" si="323"/>
        <v>43313</v>
      </c>
      <c r="P1388" s="5" t="str">
        <f t="shared" si="324"/>
        <v>12,00</v>
      </c>
      <c r="Q1388" s="4" t="e">
        <f t="shared" ca="1" si="325"/>
        <v>#NAME?</v>
      </c>
    </row>
    <row r="1389" spans="1:17">
      <c r="A1389" s="1">
        <f t="shared" si="315"/>
        <v>1388</v>
      </c>
      <c r="C1389" s="8" t="s">
        <v>17</v>
      </c>
      <c r="D1389" s="2">
        <v>43335</v>
      </c>
      <c r="E1389" s="3">
        <v>12</v>
      </c>
      <c r="F1389" t="s">
        <v>239</v>
      </c>
      <c r="G1389" s="71" t="s">
        <v>240</v>
      </c>
      <c r="H1389" t="s">
        <v>241</v>
      </c>
      <c r="I1389" s="6" t="s">
        <v>788</v>
      </c>
      <c r="J1389" s="59" t="s">
        <v>22</v>
      </c>
      <c r="L1389" s="5" t="str">
        <f t="shared" si="321"/>
        <v>01388</v>
      </c>
      <c r="M1389" s="46" t="str">
        <f t="shared" si="322"/>
        <v>23 de agosto de 2018</v>
      </c>
      <c r="N1389" s="318">
        <f t="shared" si="305"/>
        <v>23</v>
      </c>
      <c r="O1389" s="24">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788</v>
      </c>
      <c r="J1390" s="59" t="s">
        <v>22</v>
      </c>
      <c r="L1390" s="5" t="str">
        <f t="shared" si="321"/>
        <v>01389</v>
      </c>
      <c r="M1390" s="46" t="str">
        <f t="shared" si="322"/>
        <v>23 de agosto de 2018</v>
      </c>
      <c r="N1390" s="318">
        <f t="shared" si="305"/>
        <v>23</v>
      </c>
      <c r="O1390" s="24">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788</v>
      </c>
      <c r="J1391" s="59" t="s">
        <v>22</v>
      </c>
      <c r="L1391" s="5" t="str">
        <f t="shared" si="321"/>
        <v>01390</v>
      </c>
      <c r="M1391" s="46" t="str">
        <f t="shared" si="322"/>
        <v>24 de agosto de 2018</v>
      </c>
      <c r="N1391" s="318">
        <f t="shared" si="305"/>
        <v>24</v>
      </c>
      <c r="O1391" s="24">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788</v>
      </c>
      <c r="J1392" s="59" t="s">
        <v>22</v>
      </c>
      <c r="L1392" s="5" t="str">
        <f t="shared" si="321"/>
        <v>01391</v>
      </c>
      <c r="M1392" s="46" t="str">
        <f t="shared" si="322"/>
        <v>25 de agosto de 2018</v>
      </c>
      <c r="N1392" s="318">
        <f t="shared" si="305"/>
        <v>25</v>
      </c>
      <c r="O1392" s="24">
        <f t="shared" si="323"/>
        <v>43313</v>
      </c>
      <c r="P1392" s="5" t="str">
        <f t="shared" si="326"/>
        <v>12,00</v>
      </c>
      <c r="Q1392" s="4" t="e">
        <f t="shared" ca="1" si="327"/>
        <v>#NAME?</v>
      </c>
    </row>
    <row r="1393" spans="1:17">
      <c r="A1393" s="1">
        <f t="shared" si="315"/>
        <v>1392</v>
      </c>
      <c r="C1393" s="83" t="s">
        <v>17</v>
      </c>
      <c r="D1393" s="2">
        <v>43339</v>
      </c>
      <c r="E1393" s="3">
        <v>2.2000000000000002</v>
      </c>
      <c r="F1393" s="19" t="s">
        <v>57</v>
      </c>
      <c r="G1393" s="18" t="s">
        <v>58</v>
      </c>
      <c r="H1393" s="20" t="s">
        <v>59</v>
      </c>
      <c r="I1393" s="6" t="s">
        <v>789</v>
      </c>
      <c r="J1393" s="59" t="s">
        <v>22</v>
      </c>
      <c r="K1393" s="21"/>
      <c r="L1393" s="5" t="str">
        <f t="shared" si="321"/>
        <v>01392</v>
      </c>
      <c r="M1393" s="46" t="str">
        <f t="shared" si="322"/>
        <v>27 de agosto de 2018</v>
      </c>
      <c r="N1393" s="318">
        <f t="shared" si="305"/>
        <v>27</v>
      </c>
      <c r="O1393" s="24">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788</v>
      </c>
      <c r="J1394" s="59" t="s">
        <v>22</v>
      </c>
      <c r="L1394" s="5" t="str">
        <f t="shared" si="321"/>
        <v>01393</v>
      </c>
      <c r="M1394" s="46" t="str">
        <f t="shared" si="322"/>
        <v>27 de agosto de 2018</v>
      </c>
      <c r="N1394" s="318">
        <f t="shared" si="305"/>
        <v>27</v>
      </c>
      <c r="O1394" s="24">
        <f t="shared" si="323"/>
        <v>43313</v>
      </c>
      <c r="P1394" s="5" t="str">
        <f t="shared" si="326"/>
        <v>12,00</v>
      </c>
      <c r="Q1394" s="4" t="e">
        <f t="shared" ca="1" si="327"/>
        <v>#NAME?</v>
      </c>
    </row>
    <row r="1395" spans="1:17">
      <c r="A1395" s="1">
        <f t="shared" si="315"/>
        <v>1394</v>
      </c>
      <c r="C1395" s="83" t="s">
        <v>17</v>
      </c>
      <c r="D1395" s="2">
        <v>43339</v>
      </c>
      <c r="E1395" s="160">
        <v>12</v>
      </c>
      <c r="F1395" t="s">
        <v>492</v>
      </c>
      <c r="G1395" s="18" t="s">
        <v>58</v>
      </c>
      <c r="H1395" t="s">
        <v>493</v>
      </c>
      <c r="I1395" s="6" t="s">
        <v>788</v>
      </c>
      <c r="J1395" s="59" t="s">
        <v>22</v>
      </c>
      <c r="L1395" s="5" t="str">
        <f t="shared" si="321"/>
        <v>01394</v>
      </c>
      <c r="M1395" s="46" t="str">
        <f t="shared" si="322"/>
        <v>27 de agosto de 2018</v>
      </c>
      <c r="N1395" s="318">
        <f t="shared" si="305"/>
        <v>27</v>
      </c>
      <c r="O1395" s="24">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788</v>
      </c>
      <c r="J1396" s="59" t="s">
        <v>22</v>
      </c>
      <c r="L1396" s="5" t="str">
        <f t="shared" si="321"/>
        <v>01395</v>
      </c>
      <c r="M1396" s="46" t="str">
        <f t="shared" si="322"/>
        <v>27 de agosto de 2018</v>
      </c>
      <c r="N1396" s="318">
        <f t="shared" si="305"/>
        <v>27</v>
      </c>
      <c r="O1396" s="24">
        <f t="shared" si="323"/>
        <v>43313</v>
      </c>
      <c r="P1396" s="5" t="str">
        <f t="shared" si="326"/>
        <v>15,00</v>
      </c>
      <c r="Q1396" s="4" t="e">
        <f t="shared" ca="1" si="327"/>
        <v>#NAME?</v>
      </c>
    </row>
    <row r="1397" spans="1:17">
      <c r="A1397" s="1">
        <f t="shared" si="315"/>
        <v>1396</v>
      </c>
      <c r="C1397" s="83" t="s">
        <v>17</v>
      </c>
      <c r="D1397" s="2">
        <v>43339</v>
      </c>
      <c r="E1397" s="3">
        <v>12</v>
      </c>
      <c r="F1397" t="s">
        <v>319</v>
      </c>
      <c r="G1397" s="18" t="s">
        <v>58</v>
      </c>
      <c r="H1397" t="s">
        <v>320</v>
      </c>
      <c r="I1397" s="6" t="s">
        <v>788</v>
      </c>
      <c r="J1397" s="59" t="s">
        <v>22</v>
      </c>
      <c r="L1397" s="5" t="str">
        <f t="shared" si="321"/>
        <v>01396</v>
      </c>
      <c r="M1397" s="46" t="str">
        <f t="shared" si="322"/>
        <v>27 de agosto de 2018</v>
      </c>
      <c r="N1397" s="318">
        <f t="shared" si="305"/>
        <v>27</v>
      </c>
      <c r="O1397" s="24">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788</v>
      </c>
      <c r="J1398" s="59" t="s">
        <v>22</v>
      </c>
      <c r="L1398" s="5" t="str">
        <f t="shared" si="321"/>
        <v>01397</v>
      </c>
      <c r="M1398" s="46" t="str">
        <f t="shared" si="322"/>
        <v>27 de agosto de 2018</v>
      </c>
      <c r="N1398" s="318">
        <f t="shared" si="305"/>
        <v>27</v>
      </c>
      <c r="O1398" s="24">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788</v>
      </c>
      <c r="J1399" s="59" t="s">
        <v>22</v>
      </c>
      <c r="L1399" s="5" t="str">
        <f t="shared" si="321"/>
        <v>01398</v>
      </c>
      <c r="M1399" s="46" t="str">
        <f t="shared" si="322"/>
        <v>29 de agosto de 2018</v>
      </c>
      <c r="N1399" s="318">
        <f t="shared" si="305"/>
        <v>29</v>
      </c>
      <c r="O1399" s="24">
        <f t="shared" si="323"/>
        <v>43313</v>
      </c>
      <c r="P1399" s="5" t="str">
        <f t="shared" si="326"/>
        <v>12,00</v>
      </c>
      <c r="Q1399" s="4" t="e">
        <f t="shared" ca="1" si="327"/>
        <v>#NAME?</v>
      </c>
    </row>
    <row r="1400" spans="1:17">
      <c r="A1400" s="1">
        <f t="shared" si="315"/>
        <v>1399</v>
      </c>
      <c r="C1400" s="8" t="s">
        <v>17</v>
      </c>
      <c r="D1400" s="2">
        <v>43341</v>
      </c>
      <c r="E1400" s="3">
        <v>12</v>
      </c>
      <c r="F1400" t="s">
        <v>786</v>
      </c>
      <c r="G1400" t="s">
        <v>787</v>
      </c>
      <c r="H1400" t="s">
        <v>719</v>
      </c>
      <c r="I1400" s="6" t="s">
        <v>788</v>
      </c>
      <c r="J1400" s="59" t="s">
        <v>22</v>
      </c>
      <c r="L1400" s="5" t="str">
        <f t="shared" si="321"/>
        <v>01399</v>
      </c>
      <c r="M1400" s="46" t="str">
        <f t="shared" si="322"/>
        <v>29 de agosto de 2018</v>
      </c>
      <c r="N1400" s="318">
        <f t="shared" si="305"/>
        <v>29</v>
      </c>
      <c r="O1400" s="24">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788</v>
      </c>
      <c r="J1401" s="59" t="s">
        <v>22</v>
      </c>
      <c r="L1401" s="5" t="str">
        <f>IF(ISBLANK(A1401),"",TEXT(A1401,"00000"))</f>
        <v>01400</v>
      </c>
      <c r="M1401" s="46" t="str">
        <f>IF(ISBLANK(D1401),"",TEXT(D1401,"dd")&amp;" de "&amp;TEXT(D1401,"mmmm")&amp;" de "&amp;TEXT(YEAR(D1401),"0"))</f>
        <v>12 de agosto de 2018</v>
      </c>
      <c r="N1401" s="318">
        <f t="shared" si="305"/>
        <v>12</v>
      </c>
      <c r="O1401" s="24">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808</v>
      </c>
      <c r="J1402" s="59" t="s">
        <v>22</v>
      </c>
      <c r="L1402" s="5" t="str">
        <f t="shared" ref="L1402:L1414" si="328">IF(ISBLANK(A1402),"",TEXT(A1402,"00000"))</f>
        <v>01401</v>
      </c>
      <c r="M1402" s="46" t="str">
        <f t="shared" ref="M1402:M1414" si="329">IF(ISBLANK(D1402),"",TEXT(D1402,"dd")&amp;" de "&amp;TEXT(D1402,"mmmm")&amp;" de "&amp;TEXT(YEAR(D1402),"0"))</f>
        <v>31 de agosto de 2018</v>
      </c>
      <c r="N1402" s="318">
        <f t="shared" si="305"/>
        <v>31</v>
      </c>
      <c r="O1402" s="24">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809</v>
      </c>
      <c r="J1403" s="59" t="s">
        <v>22</v>
      </c>
      <c r="L1403" s="5" t="str">
        <f t="shared" si="328"/>
        <v>01402</v>
      </c>
      <c r="M1403" s="46" t="str">
        <f t="shared" si="329"/>
        <v>01 de septiembre de 2018</v>
      </c>
      <c r="N1403" s="318">
        <f t="shared" si="305"/>
        <v>1</v>
      </c>
      <c r="O1403" s="24">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788</v>
      </c>
      <c r="J1404" s="59" t="s">
        <v>22</v>
      </c>
      <c r="L1404" s="5" t="str">
        <f t="shared" si="328"/>
        <v>01403</v>
      </c>
      <c r="M1404" s="46" t="str">
        <f t="shared" si="329"/>
        <v>01 de septiembre de 2018</v>
      </c>
      <c r="N1404" s="318">
        <f t="shared" si="305"/>
        <v>1</v>
      </c>
      <c r="O1404" s="24">
        <f t="shared" si="330"/>
        <v>43344</v>
      </c>
      <c r="P1404" s="5" t="str">
        <f t="shared" si="326"/>
        <v>12,00</v>
      </c>
      <c r="Q1404" s="4" t="e">
        <f t="shared" ca="1" si="327"/>
        <v>#NAME?</v>
      </c>
    </row>
    <row r="1405" spans="1:17">
      <c r="A1405" s="1">
        <f t="shared" si="315"/>
        <v>1404</v>
      </c>
      <c r="C1405" s="83" t="s">
        <v>17</v>
      </c>
      <c r="D1405" s="2">
        <v>43345</v>
      </c>
      <c r="E1405" s="3">
        <v>27</v>
      </c>
      <c r="F1405" t="s">
        <v>40</v>
      </c>
      <c r="G1405" s="18" t="s">
        <v>58</v>
      </c>
      <c r="H1405" t="s">
        <v>42</v>
      </c>
      <c r="I1405" s="6" t="s">
        <v>810</v>
      </c>
      <c r="J1405" s="59" t="s">
        <v>22</v>
      </c>
      <c r="L1405" s="5" t="str">
        <f t="shared" si="328"/>
        <v>01404</v>
      </c>
      <c r="M1405" s="46" t="str">
        <f t="shared" si="329"/>
        <v>02 de septiembre de 2018</v>
      </c>
      <c r="N1405" s="318">
        <f t="shared" si="305"/>
        <v>2</v>
      </c>
      <c r="O1405" s="24">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788</v>
      </c>
      <c r="J1406" s="59" t="s">
        <v>22</v>
      </c>
      <c r="L1406" s="5" t="str">
        <f t="shared" si="328"/>
        <v>01405</v>
      </c>
      <c r="M1406" s="46" t="str">
        <f t="shared" si="329"/>
        <v>02 de septiembre de 2018</v>
      </c>
      <c r="N1406" s="318">
        <f t="shared" si="305"/>
        <v>2</v>
      </c>
      <c r="O1406" s="24">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808</v>
      </c>
      <c r="J1407" s="59" t="s">
        <v>22</v>
      </c>
      <c r="L1407" s="5" t="str">
        <f t="shared" si="328"/>
        <v>01406</v>
      </c>
      <c r="M1407" s="46" t="str">
        <f t="shared" si="329"/>
        <v>03 de septiembre de 2018</v>
      </c>
      <c r="N1407" s="318">
        <f t="shared" si="305"/>
        <v>3</v>
      </c>
      <c r="O1407" s="24">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788</v>
      </c>
      <c r="J1408" s="59" t="s">
        <v>22</v>
      </c>
      <c r="L1408" s="5" t="str">
        <f t="shared" si="328"/>
        <v>01407</v>
      </c>
      <c r="M1408" s="46" t="str">
        <f t="shared" si="329"/>
        <v>03 de septiembre de 2018</v>
      </c>
      <c r="N1408" s="318">
        <f t="shared" si="305"/>
        <v>3</v>
      </c>
      <c r="O1408" s="24">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811</v>
      </c>
      <c r="J1409" s="59" t="s">
        <v>22</v>
      </c>
      <c r="L1409" s="5" t="str">
        <f t="shared" si="328"/>
        <v>01408</v>
      </c>
      <c r="M1409" s="46" t="str">
        <f t="shared" si="329"/>
        <v>05 de septiembre de 2018</v>
      </c>
      <c r="N1409" s="318">
        <f t="shared" si="305"/>
        <v>5</v>
      </c>
      <c r="O1409" s="24">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811</v>
      </c>
      <c r="J1410" s="59" t="s">
        <v>22</v>
      </c>
      <c r="L1410" s="5" t="str">
        <f t="shared" si="328"/>
        <v>01409</v>
      </c>
      <c r="M1410" s="46" t="str">
        <f t="shared" si="329"/>
        <v>05 de septiembre de 2018</v>
      </c>
      <c r="N1410" s="318">
        <f t="shared" si="305"/>
        <v>5</v>
      </c>
      <c r="O1410" s="24">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811</v>
      </c>
      <c r="J1411" s="59" t="s">
        <v>22</v>
      </c>
      <c r="L1411" s="5" t="str">
        <f t="shared" si="328"/>
        <v>01410</v>
      </c>
      <c r="M1411" s="46" t="str">
        <f t="shared" si="329"/>
        <v>05 de septiembre de 2018</v>
      </c>
      <c r="N1411" s="318">
        <f t="shared" ref="N1411:N1462" si="331">DAY(D1411)</f>
        <v>5</v>
      </c>
      <c r="O1411" s="24">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811</v>
      </c>
      <c r="J1412" s="59" t="s">
        <v>22</v>
      </c>
      <c r="L1412" s="5" t="str">
        <f t="shared" si="328"/>
        <v>01411</v>
      </c>
      <c r="M1412" s="46" t="str">
        <f t="shared" si="329"/>
        <v>05 de septiembre de 2018</v>
      </c>
      <c r="N1412" s="318">
        <f t="shared" si="331"/>
        <v>5</v>
      </c>
      <c r="O1412" s="24">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811</v>
      </c>
      <c r="J1413" s="59" t="s">
        <v>22</v>
      </c>
      <c r="L1413" s="5" t="str">
        <f t="shared" si="328"/>
        <v>01412</v>
      </c>
      <c r="M1413" s="46" t="str">
        <f t="shared" si="329"/>
        <v>05 de septiembre de 2018</v>
      </c>
      <c r="N1413" s="318">
        <f t="shared" si="331"/>
        <v>5</v>
      </c>
      <c r="O1413" s="24">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811</v>
      </c>
      <c r="J1414" s="59" t="s">
        <v>22</v>
      </c>
      <c r="L1414" s="5" t="str">
        <f t="shared" si="328"/>
        <v>01413</v>
      </c>
      <c r="M1414" s="46" t="str">
        <f t="shared" si="329"/>
        <v>05 de septiembre de 2018</v>
      </c>
      <c r="N1414" s="318">
        <f t="shared" si="331"/>
        <v>5</v>
      </c>
      <c r="O1414" s="24">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812</v>
      </c>
      <c r="J1415" s="59" t="s">
        <v>22</v>
      </c>
      <c r="L1415" s="5" t="str">
        <f>IF(ISBLANK(A1415),"",TEXT(A1415,"00000"))</f>
        <v>01414</v>
      </c>
      <c r="M1415" s="46" t="str">
        <f>IF(ISBLANK(D1415),"",TEXT(D1415,"dd")&amp;" de "&amp;TEXT(D1415,"mmmm")&amp;" de "&amp;TEXT(YEAR(D1415),"0"))</f>
        <v>05 de septiembre de 2018</v>
      </c>
      <c r="N1415" s="318">
        <f t="shared" si="331"/>
        <v>5</v>
      </c>
      <c r="O1415" s="24">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811</v>
      </c>
      <c r="J1416" s="59" t="s">
        <v>22</v>
      </c>
      <c r="L1416" s="5" t="str">
        <f t="shared" ref="L1416:L1423" si="332">IF(ISBLANK(A1416),"",TEXT(A1416,"00000"))</f>
        <v>01415</v>
      </c>
      <c r="M1416" s="46" t="str">
        <f t="shared" ref="M1416:M1423" si="333">IF(ISBLANK(D1416),"",TEXT(D1416,"dd")&amp;" de "&amp;TEXT(D1416,"mmmm")&amp;" de "&amp;TEXT(YEAR(D1416),"0"))</f>
        <v>05 de septiembre de 2018</v>
      </c>
      <c r="N1416" s="318">
        <f t="shared" si="331"/>
        <v>5</v>
      </c>
      <c r="O1416" s="24">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811</v>
      </c>
      <c r="J1417" s="59" t="s">
        <v>22</v>
      </c>
      <c r="L1417" s="5" t="str">
        <f t="shared" si="332"/>
        <v>01416</v>
      </c>
      <c r="M1417" s="46" t="str">
        <f t="shared" si="333"/>
        <v>06 de septiembre de 2018</v>
      </c>
      <c r="N1417" s="318">
        <f t="shared" si="331"/>
        <v>6</v>
      </c>
      <c r="O1417" s="24">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811</v>
      </c>
      <c r="J1418" s="59" t="s">
        <v>22</v>
      </c>
      <c r="L1418" s="5" t="str">
        <f t="shared" si="332"/>
        <v>01417</v>
      </c>
      <c r="M1418" s="46" t="str">
        <f t="shared" si="333"/>
        <v>06 de septiembre de 2018</v>
      </c>
      <c r="N1418" s="318">
        <f t="shared" si="331"/>
        <v>6</v>
      </c>
      <c r="O1418" s="24">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812</v>
      </c>
      <c r="J1419" s="59" t="s">
        <v>22</v>
      </c>
      <c r="L1419" s="5" t="str">
        <f t="shared" si="332"/>
        <v>01418</v>
      </c>
      <c r="M1419" s="46" t="str">
        <f t="shared" si="333"/>
        <v>06 de septiembre de 2018</v>
      </c>
      <c r="N1419" s="318">
        <f t="shared" si="331"/>
        <v>6</v>
      </c>
      <c r="O1419" s="24">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811</v>
      </c>
      <c r="J1420" s="59" t="s">
        <v>22</v>
      </c>
      <c r="L1420" s="5" t="str">
        <f t="shared" si="332"/>
        <v>01419</v>
      </c>
      <c r="M1420" s="46" t="str">
        <f t="shared" si="333"/>
        <v>06 de septiembre de 2018</v>
      </c>
      <c r="N1420" s="318">
        <f t="shared" si="331"/>
        <v>6</v>
      </c>
      <c r="O1420" s="24">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811</v>
      </c>
      <c r="J1421" s="59" t="s">
        <v>22</v>
      </c>
      <c r="L1421" s="5" t="str">
        <f t="shared" si="332"/>
        <v>01420</v>
      </c>
      <c r="M1421" s="46" t="str">
        <f t="shared" si="333"/>
        <v>06 de septiembre de 2018</v>
      </c>
      <c r="N1421" s="318">
        <f t="shared" si="331"/>
        <v>6</v>
      </c>
      <c r="O1421" s="24">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811</v>
      </c>
      <c r="J1422" s="59" t="s">
        <v>22</v>
      </c>
      <c r="L1422" s="5" t="str">
        <f t="shared" si="332"/>
        <v>01421</v>
      </c>
      <c r="M1422" s="46" t="str">
        <f t="shared" si="333"/>
        <v>07 de septiembre de 2018</v>
      </c>
      <c r="N1422" s="318">
        <f t="shared" si="331"/>
        <v>7</v>
      </c>
      <c r="O1422" s="24">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813</v>
      </c>
      <c r="J1423" s="59" t="s">
        <v>22</v>
      </c>
      <c r="L1423" s="5" t="str">
        <f t="shared" si="332"/>
        <v>01422</v>
      </c>
      <c r="M1423" s="46" t="str">
        <f t="shared" si="333"/>
        <v>07 de septiembre de 2018</v>
      </c>
      <c r="N1423" s="318">
        <f t="shared" si="331"/>
        <v>7</v>
      </c>
      <c r="O1423" s="24">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811</v>
      </c>
      <c r="J1424" s="59" t="s">
        <v>22</v>
      </c>
      <c r="L1424" s="5" t="str">
        <f>IF(ISBLANK(A1424),"",TEXT(A1424,"00000"))</f>
        <v>01423</v>
      </c>
      <c r="M1424" s="46" t="str">
        <f>IF(ISBLANK(D1424),"",TEXT(D1424,"dd")&amp;" de "&amp;TEXT(D1424,"mmmm")&amp;" de "&amp;TEXT(YEAR(D1424),"0"))</f>
        <v>07 de septiembre de 2018</v>
      </c>
      <c r="N1424" s="318">
        <f t="shared" si="331"/>
        <v>7</v>
      </c>
      <c r="O1424" s="24">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811</v>
      </c>
      <c r="J1425" s="59" t="s">
        <v>22</v>
      </c>
      <c r="L1425" s="5" t="str">
        <f t="shared" ref="L1425:L1454" si="337">IF(ISBLANK(A1425),"",TEXT(A1425,"00000"))</f>
        <v>01424</v>
      </c>
      <c r="M1425" s="46" t="str">
        <f t="shared" ref="M1425:M1454" si="338">IF(ISBLANK(D1425),"",TEXT(D1425,"dd")&amp;" de "&amp;TEXT(D1425,"mmmm")&amp;" de "&amp;TEXT(YEAR(D1425),"0"))</f>
        <v>09 de septiembre de 2018</v>
      </c>
      <c r="N1425" s="318">
        <f t="shared" si="331"/>
        <v>9</v>
      </c>
      <c r="O1425" s="24">
        <f t="shared" ref="O1425:O1454" si="339">DATE(YEAR(D1425),MONTH(D1425),1)</f>
        <v>43344</v>
      </c>
      <c r="P1425" s="5" t="str">
        <f t="shared" si="336"/>
        <v>320,00</v>
      </c>
      <c r="Q1425" s="4" t="e">
        <f t="shared" ca="1" si="335"/>
        <v>#NAME?</v>
      </c>
    </row>
    <row r="1426" spans="1:17">
      <c r="A1426" s="1">
        <f t="shared" si="315"/>
        <v>1425</v>
      </c>
      <c r="C1426" s="83" t="s">
        <v>17</v>
      </c>
      <c r="D1426" s="2">
        <v>43354</v>
      </c>
      <c r="E1426" s="3">
        <v>320</v>
      </c>
      <c r="F1426" t="s">
        <v>319</v>
      </c>
      <c r="G1426" s="18" t="s">
        <v>58</v>
      </c>
      <c r="H1426" t="s">
        <v>320</v>
      </c>
      <c r="I1426" s="6" t="s">
        <v>811</v>
      </c>
      <c r="J1426" s="59" t="s">
        <v>22</v>
      </c>
      <c r="L1426" s="5" t="str">
        <f t="shared" si="337"/>
        <v>01425</v>
      </c>
      <c r="M1426" s="46" t="str">
        <f t="shared" si="338"/>
        <v>11 de septiembre de 2018</v>
      </c>
      <c r="N1426" s="318">
        <f t="shared" si="331"/>
        <v>11</v>
      </c>
      <c r="O1426" s="24">
        <f t="shared" si="339"/>
        <v>43344</v>
      </c>
      <c r="P1426" s="5" t="str">
        <f t="shared" si="336"/>
        <v>320,00</v>
      </c>
      <c r="Q1426" s="4" t="e">
        <f t="shared" ref="Q1426:Q1427" ca="1" si="340">CONVERTIRNUM(E1426)</f>
        <v>#NAME?</v>
      </c>
    </row>
    <row r="1427" spans="1:17">
      <c r="A1427" s="1">
        <f t="shared" si="315"/>
        <v>1426</v>
      </c>
      <c r="C1427" s="83" t="s">
        <v>17</v>
      </c>
      <c r="D1427" s="2">
        <v>43354</v>
      </c>
      <c r="E1427" s="3">
        <v>320</v>
      </c>
      <c r="F1427" s="19" t="s">
        <v>57</v>
      </c>
      <c r="G1427" s="18" t="s">
        <v>58</v>
      </c>
      <c r="H1427" s="20" t="s">
        <v>59</v>
      </c>
      <c r="I1427" s="6" t="s">
        <v>811</v>
      </c>
      <c r="J1427" s="59" t="s">
        <v>22</v>
      </c>
      <c r="K1427" s="21"/>
      <c r="L1427" s="5" t="str">
        <f t="shared" si="337"/>
        <v>01426</v>
      </c>
      <c r="M1427" s="46" t="str">
        <f t="shared" si="338"/>
        <v>11 de septiembre de 2018</v>
      </c>
      <c r="N1427" s="318">
        <f t="shared" si="331"/>
        <v>11</v>
      </c>
      <c r="O1427" s="24">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814</v>
      </c>
      <c r="J1428" s="59" t="s">
        <v>22</v>
      </c>
      <c r="L1428" s="5" t="str">
        <f t="shared" si="337"/>
        <v>01427</v>
      </c>
      <c r="M1428" s="46" t="str">
        <f t="shared" si="338"/>
        <v>12 de septiembre de 2018</v>
      </c>
      <c r="N1428" s="318">
        <f t="shared" si="331"/>
        <v>12</v>
      </c>
      <c r="O1428" s="24">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811</v>
      </c>
      <c r="J1429" s="59" t="s">
        <v>22</v>
      </c>
      <c r="L1429" s="5" t="str">
        <f t="shared" si="337"/>
        <v>01428</v>
      </c>
      <c r="M1429" s="46" t="str">
        <f t="shared" si="338"/>
        <v>12 de septiembre de 2018</v>
      </c>
      <c r="N1429" s="318">
        <f t="shared" si="331"/>
        <v>12</v>
      </c>
      <c r="O1429" s="24">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811</v>
      </c>
      <c r="J1430" s="59" t="s">
        <v>22</v>
      </c>
      <c r="L1430" s="5" t="str">
        <f t="shared" si="337"/>
        <v>01429</v>
      </c>
      <c r="M1430" s="46" t="str">
        <f t="shared" si="338"/>
        <v>12 de septiembre de 2018</v>
      </c>
      <c r="N1430" s="318">
        <f t="shared" si="331"/>
        <v>12</v>
      </c>
      <c r="O1430" s="24">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808</v>
      </c>
      <c r="J1431" s="59" t="s">
        <v>22</v>
      </c>
      <c r="L1431" s="5" t="str">
        <f t="shared" si="337"/>
        <v>01430</v>
      </c>
      <c r="M1431" s="46" t="str">
        <f t="shared" si="338"/>
        <v>12 de septiembre de 2018</v>
      </c>
      <c r="N1431" s="318">
        <f t="shared" si="331"/>
        <v>12</v>
      </c>
      <c r="O1431" s="24">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815</v>
      </c>
      <c r="J1432" s="59" t="s">
        <v>22</v>
      </c>
      <c r="L1432" s="5" t="str">
        <f t="shared" si="337"/>
        <v>01431</v>
      </c>
      <c r="M1432" s="46" t="str">
        <f t="shared" si="338"/>
        <v>12 de septiembre de 2018</v>
      </c>
      <c r="N1432" s="318">
        <f t="shared" si="331"/>
        <v>12</v>
      </c>
      <c r="O1432" s="24">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811</v>
      </c>
      <c r="J1433" s="59" t="s">
        <v>22</v>
      </c>
      <c r="L1433" s="5" t="str">
        <f t="shared" si="337"/>
        <v>01432</v>
      </c>
      <c r="M1433" s="46" t="str">
        <f t="shared" si="338"/>
        <v>13 de septiembre de 2018</v>
      </c>
      <c r="N1433" s="318">
        <f t="shared" si="331"/>
        <v>13</v>
      </c>
      <c r="O1433" s="24">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816</v>
      </c>
      <c r="J1434" s="59" t="s">
        <v>22</v>
      </c>
      <c r="L1434" s="5" t="str">
        <f t="shared" si="337"/>
        <v>01433</v>
      </c>
      <c r="M1434" s="46" t="str">
        <f t="shared" si="338"/>
        <v>14 de septiembre de 2018</v>
      </c>
      <c r="N1434" s="318">
        <f t="shared" si="331"/>
        <v>14</v>
      </c>
      <c r="O1434" s="24">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811</v>
      </c>
      <c r="J1435" s="59" t="s">
        <v>22</v>
      </c>
      <c r="L1435" s="5" t="str">
        <f t="shared" si="337"/>
        <v>01434</v>
      </c>
      <c r="M1435" s="46" t="str">
        <f t="shared" si="338"/>
        <v>14 de septiembre de 2018</v>
      </c>
      <c r="N1435" s="318">
        <f t="shared" si="331"/>
        <v>14</v>
      </c>
      <c r="O1435" s="24">
        <f t="shared" si="339"/>
        <v>43344</v>
      </c>
      <c r="P1435" s="5" t="str">
        <f t="shared" si="341"/>
        <v>320,00</v>
      </c>
      <c r="Q1435" s="4" t="e">
        <f t="shared" ca="1" si="342"/>
        <v>#NAME?</v>
      </c>
    </row>
    <row r="1436" spans="1:17">
      <c r="A1436" s="1">
        <f t="shared" si="343"/>
        <v>1435</v>
      </c>
      <c r="C1436" s="8" t="s">
        <v>17</v>
      </c>
      <c r="D1436" s="2">
        <v>43358</v>
      </c>
      <c r="E1436" s="3">
        <v>320</v>
      </c>
      <c r="F1436" t="s">
        <v>239</v>
      </c>
      <c r="G1436" s="71" t="s">
        <v>240</v>
      </c>
      <c r="H1436" t="s">
        <v>241</v>
      </c>
      <c r="I1436" s="6" t="s">
        <v>811</v>
      </c>
      <c r="J1436" s="59" t="s">
        <v>22</v>
      </c>
      <c r="L1436" s="5" t="str">
        <f t="shared" si="337"/>
        <v>01435</v>
      </c>
      <c r="M1436" s="46" t="str">
        <f t="shared" si="338"/>
        <v>15 de septiembre de 2018</v>
      </c>
      <c r="N1436" s="318">
        <f t="shared" si="331"/>
        <v>15</v>
      </c>
      <c r="O1436" s="24">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817</v>
      </c>
      <c r="J1437" s="59" t="s">
        <v>22</v>
      </c>
      <c r="L1437" s="5" t="str">
        <f t="shared" si="337"/>
        <v>01436</v>
      </c>
      <c r="M1437" s="46" t="str">
        <f t="shared" si="338"/>
        <v>16 de septiembre de 2018</v>
      </c>
      <c r="N1437" s="318">
        <f t="shared" si="331"/>
        <v>16</v>
      </c>
      <c r="O1437" s="24">
        <f t="shared" si="339"/>
        <v>43344</v>
      </c>
      <c r="P1437" s="5" t="str">
        <f t="shared" si="341"/>
        <v>350,00</v>
      </c>
      <c r="Q1437" s="4" t="e">
        <f t="shared" ca="1" si="342"/>
        <v>#NAME?</v>
      </c>
    </row>
    <row r="1438" spans="1:17">
      <c r="A1438" s="1">
        <f t="shared" si="343"/>
        <v>1437</v>
      </c>
      <c r="C1438" s="8" t="s">
        <v>17</v>
      </c>
      <c r="D1438" s="2">
        <v>43360</v>
      </c>
      <c r="E1438" s="3">
        <v>320</v>
      </c>
      <c r="F1438" t="s">
        <v>786</v>
      </c>
      <c r="G1438" t="s">
        <v>787</v>
      </c>
      <c r="H1438" t="s">
        <v>719</v>
      </c>
      <c r="I1438" s="6" t="s">
        <v>811</v>
      </c>
      <c r="J1438" s="59" t="s">
        <v>22</v>
      </c>
      <c r="L1438" s="5" t="str">
        <f t="shared" si="337"/>
        <v>01437</v>
      </c>
      <c r="M1438" s="46" t="str">
        <f t="shared" si="338"/>
        <v>17 de septiembre de 2018</v>
      </c>
      <c r="N1438" s="318">
        <f t="shared" si="331"/>
        <v>17</v>
      </c>
      <c r="O1438" s="24">
        <f t="shared" si="339"/>
        <v>43344</v>
      </c>
      <c r="P1438" s="5" t="str">
        <f t="shared" si="341"/>
        <v>320,00</v>
      </c>
      <c r="Q1438" s="4" t="e">
        <f t="shared" ca="1" si="342"/>
        <v>#NAME?</v>
      </c>
    </row>
    <row r="1439" spans="1:17">
      <c r="A1439" s="1">
        <f t="shared" si="343"/>
        <v>1438</v>
      </c>
      <c r="C1439" s="83" t="s">
        <v>17</v>
      </c>
      <c r="D1439" s="2">
        <v>43361</v>
      </c>
      <c r="E1439" s="3">
        <f>10+12+320</f>
        <v>342</v>
      </c>
      <c r="F1439" t="s">
        <v>479</v>
      </c>
      <c r="G1439" s="18" t="s">
        <v>58</v>
      </c>
      <c r="H1439" t="s">
        <v>481</v>
      </c>
      <c r="I1439" s="6" t="s">
        <v>818</v>
      </c>
      <c r="J1439" s="59" t="s">
        <v>22</v>
      </c>
      <c r="L1439" s="5" t="str">
        <f t="shared" si="337"/>
        <v>01438</v>
      </c>
      <c r="M1439" s="46" t="str">
        <f t="shared" si="338"/>
        <v>18 de septiembre de 2018</v>
      </c>
      <c r="N1439" s="318">
        <f t="shared" si="331"/>
        <v>18</v>
      </c>
      <c r="O1439" s="24">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811</v>
      </c>
      <c r="J1440" s="59" t="s">
        <v>22</v>
      </c>
      <c r="L1440" s="5" t="str">
        <f t="shared" si="337"/>
        <v>01439</v>
      </c>
      <c r="M1440" s="46" t="str">
        <f t="shared" si="338"/>
        <v>18 de septiembre de 2018</v>
      </c>
      <c r="N1440" s="318">
        <f t="shared" si="331"/>
        <v>18</v>
      </c>
      <c r="O1440" s="24">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811</v>
      </c>
      <c r="J1441" s="59" t="s">
        <v>22</v>
      </c>
      <c r="L1441" s="5" t="str">
        <f t="shared" si="337"/>
        <v>01440</v>
      </c>
      <c r="M1441" s="46" t="str">
        <f t="shared" si="338"/>
        <v>17 de septiembre de 2018</v>
      </c>
      <c r="N1441" s="318">
        <f t="shared" si="331"/>
        <v>17</v>
      </c>
      <c r="O1441" s="24">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811</v>
      </c>
      <c r="J1442" s="59" t="s">
        <v>22</v>
      </c>
      <c r="L1442" s="5" t="str">
        <f t="shared" si="337"/>
        <v>01441</v>
      </c>
      <c r="M1442" s="46" t="str">
        <f t="shared" si="338"/>
        <v>18 de septiembre de 2018</v>
      </c>
      <c r="N1442" s="318">
        <f t="shared" si="331"/>
        <v>18</v>
      </c>
      <c r="O1442" s="24">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819</v>
      </c>
      <c r="J1443" s="59" t="s">
        <v>22</v>
      </c>
      <c r="L1443" s="5" t="str">
        <f t="shared" si="337"/>
        <v>01442</v>
      </c>
      <c r="M1443" s="46" t="str">
        <f t="shared" si="338"/>
        <v>18 de septiembre de 2018</v>
      </c>
      <c r="N1443" s="318">
        <f t="shared" si="331"/>
        <v>18</v>
      </c>
      <c r="O1443" s="24">
        <f t="shared" si="339"/>
        <v>43344</v>
      </c>
      <c r="P1443" s="5" t="str">
        <f t="shared" si="341"/>
        <v>345,25</v>
      </c>
      <c r="Q1443" s="4" t="e">
        <f t="shared" ca="1" si="342"/>
        <v>#NAME?</v>
      </c>
    </row>
    <row r="1444" spans="1:17">
      <c r="A1444" s="1">
        <f t="shared" si="343"/>
        <v>1443</v>
      </c>
      <c r="C1444" s="83" t="s">
        <v>17</v>
      </c>
      <c r="D1444" s="2">
        <v>43361</v>
      </c>
      <c r="E1444" s="3">
        <v>601</v>
      </c>
      <c r="F1444" t="s">
        <v>40</v>
      </c>
      <c r="G1444" s="18" t="s">
        <v>58</v>
      </c>
      <c r="H1444" t="s">
        <v>42</v>
      </c>
      <c r="I1444" s="6" t="s">
        <v>820</v>
      </c>
      <c r="J1444" s="59" t="s">
        <v>22</v>
      </c>
      <c r="L1444" s="5" t="str">
        <f t="shared" si="337"/>
        <v>01443</v>
      </c>
      <c r="M1444" s="46" t="str">
        <f t="shared" si="338"/>
        <v>18 de septiembre de 2018</v>
      </c>
      <c r="N1444" s="318">
        <f t="shared" si="331"/>
        <v>18</v>
      </c>
      <c r="O1444" s="24">
        <f t="shared" si="339"/>
        <v>43344</v>
      </c>
      <c r="P1444" s="5" t="str">
        <f t="shared" si="341"/>
        <v>601,00</v>
      </c>
      <c r="Q1444" s="4" t="e">
        <f t="shared" ca="1" si="342"/>
        <v>#NAME?</v>
      </c>
    </row>
    <row r="1445" spans="1:17">
      <c r="A1445" s="1">
        <f t="shared" si="343"/>
        <v>1444</v>
      </c>
      <c r="C1445" s="8" t="s">
        <v>17</v>
      </c>
      <c r="D1445" s="2">
        <v>43362</v>
      </c>
      <c r="E1445" s="3">
        <v>465</v>
      </c>
      <c r="F1445" s="22" t="s">
        <v>422</v>
      </c>
      <c r="G1445" s="18" t="s">
        <v>58</v>
      </c>
      <c r="H1445" t="s">
        <v>423</v>
      </c>
      <c r="I1445" s="6" t="s">
        <v>811</v>
      </c>
      <c r="J1445" s="59" t="s">
        <v>22</v>
      </c>
      <c r="L1445" s="5" t="str">
        <f t="shared" si="337"/>
        <v>01444</v>
      </c>
      <c r="M1445" s="46" t="str">
        <f t="shared" si="338"/>
        <v>19 de septiembre de 2018</v>
      </c>
      <c r="N1445" s="318">
        <f t="shared" si="331"/>
        <v>19</v>
      </c>
      <c r="O1445" s="24">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811</v>
      </c>
      <c r="J1446" s="59" t="s">
        <v>22</v>
      </c>
      <c r="L1446" s="5" t="str">
        <f t="shared" si="337"/>
        <v>01445</v>
      </c>
      <c r="M1446" s="46" t="str">
        <f t="shared" si="338"/>
        <v>19 de septiembre de 2018</v>
      </c>
      <c r="N1446" s="318">
        <f t="shared" si="331"/>
        <v>19</v>
      </c>
      <c r="O1446" s="24">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811</v>
      </c>
      <c r="J1447" s="59" t="s">
        <v>22</v>
      </c>
      <c r="L1447" s="5" t="str">
        <f t="shared" si="337"/>
        <v>01446</v>
      </c>
      <c r="M1447" s="46" t="str">
        <f t="shared" si="338"/>
        <v>21 de septiembre de 2018</v>
      </c>
      <c r="N1447" s="318">
        <f t="shared" si="331"/>
        <v>21</v>
      </c>
      <c r="O1447" s="24">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821</v>
      </c>
      <c r="J1448" s="59" t="s">
        <v>22</v>
      </c>
      <c r="L1448" s="5" t="str">
        <f t="shared" si="337"/>
        <v>01447</v>
      </c>
      <c r="M1448" s="46" t="str">
        <f t="shared" si="338"/>
        <v>21 de septiembre de 2018</v>
      </c>
      <c r="N1448" s="318">
        <f t="shared" si="331"/>
        <v>21</v>
      </c>
      <c r="O1448" s="24">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811</v>
      </c>
      <c r="J1449" s="59" t="s">
        <v>22</v>
      </c>
      <c r="L1449" s="5" t="str">
        <f t="shared" si="337"/>
        <v>01448</v>
      </c>
      <c r="M1449" s="46" t="str">
        <f t="shared" si="338"/>
        <v>22 de septiembre de 2018</v>
      </c>
      <c r="N1449" s="318">
        <f t="shared" si="331"/>
        <v>22</v>
      </c>
      <c r="O1449" s="24">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811</v>
      </c>
      <c r="J1450" s="59" t="s">
        <v>22</v>
      </c>
      <c r="L1450" s="5" t="str">
        <f t="shared" si="337"/>
        <v>01449</v>
      </c>
      <c r="M1450" s="46" t="str">
        <f t="shared" si="338"/>
        <v>24 de septiembre de 2018</v>
      </c>
      <c r="N1450" s="318">
        <f t="shared" si="331"/>
        <v>24</v>
      </c>
      <c r="O1450" s="24">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788</v>
      </c>
      <c r="J1451" s="59" t="s">
        <v>22</v>
      </c>
      <c r="L1451" s="5" t="str">
        <f t="shared" si="337"/>
        <v>01450</v>
      </c>
      <c r="M1451" s="46" t="str">
        <f t="shared" si="338"/>
        <v>29 de agosto de 2018</v>
      </c>
      <c r="N1451" s="318">
        <f t="shared" si="331"/>
        <v>29</v>
      </c>
      <c r="O1451" s="24">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811</v>
      </c>
      <c r="J1452" s="59" t="s">
        <v>22</v>
      </c>
      <c r="L1452" s="5" t="str">
        <f t="shared" si="337"/>
        <v>01451</v>
      </c>
      <c r="M1452" s="46" t="str">
        <f t="shared" si="338"/>
        <v>25 de septiembre de 2018</v>
      </c>
      <c r="N1452" s="318">
        <f t="shared" si="331"/>
        <v>25</v>
      </c>
      <c r="O1452" s="24">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811</v>
      </c>
      <c r="J1453" s="59" t="s">
        <v>22</v>
      </c>
      <c r="L1453" s="5" t="str">
        <f t="shared" si="337"/>
        <v>01452</v>
      </c>
      <c r="M1453" s="46" t="str">
        <f t="shared" si="338"/>
        <v>25 de septiembre de 2018</v>
      </c>
      <c r="N1453" s="318">
        <f t="shared" si="331"/>
        <v>25</v>
      </c>
      <c r="O1453" s="24">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822</v>
      </c>
      <c r="J1454" s="59" t="s">
        <v>22</v>
      </c>
      <c r="L1454" s="5" t="str">
        <f t="shared" si="337"/>
        <v>01453</v>
      </c>
      <c r="M1454" s="46" t="str">
        <f t="shared" si="338"/>
        <v>25 de septiembre de 2018</v>
      </c>
      <c r="N1454" s="318">
        <f t="shared" si="331"/>
        <v>25</v>
      </c>
      <c r="O1454" s="24">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811</v>
      </c>
      <c r="J1455" s="59" t="s">
        <v>22</v>
      </c>
      <c r="L1455" s="5" t="str">
        <f>IF(ISBLANK(A1455),"",TEXT(A1455,"00000"))</f>
        <v>01454</v>
      </c>
      <c r="M1455" s="46" t="str">
        <f>IF(ISBLANK(D1455),"",TEXT(D1455,"dd")&amp;" de "&amp;TEXT(D1455,"mmmm")&amp;" de "&amp;TEXT(YEAR(D1455),"0"))</f>
        <v>25 de septiembre de 2018</v>
      </c>
      <c r="N1455" s="318">
        <f t="shared" si="331"/>
        <v>25</v>
      </c>
      <c r="O1455" s="24">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811</v>
      </c>
      <c r="J1456" s="59" t="s">
        <v>22</v>
      </c>
      <c r="L1456" s="5" t="str">
        <f t="shared" ref="L1456:L1469" si="344">IF(ISBLANK(A1456),"",TEXT(A1456,"00000"))</f>
        <v>01455</v>
      </c>
      <c r="M1456" s="46" t="str">
        <f t="shared" ref="M1456:M1469" si="345">IF(ISBLANK(D1456),"",TEXT(D1456,"dd")&amp;" de "&amp;TEXT(D1456,"mmmm")&amp;" de "&amp;TEXT(YEAR(D1456),"0"))</f>
        <v>25 de septiembre de 2018</v>
      </c>
      <c r="N1456" s="318">
        <f t="shared" si="331"/>
        <v>25</v>
      </c>
      <c r="O1456" s="24">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811</v>
      </c>
      <c r="J1457" s="59" t="s">
        <v>22</v>
      </c>
      <c r="L1457" s="5" t="str">
        <f t="shared" si="344"/>
        <v>01456</v>
      </c>
      <c r="M1457" s="46" t="str">
        <f t="shared" si="345"/>
        <v>25 de junio de 2018</v>
      </c>
      <c r="N1457" s="318">
        <f t="shared" si="331"/>
        <v>25</v>
      </c>
      <c r="O1457" s="24">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811</v>
      </c>
      <c r="J1458" s="59" t="s">
        <v>22</v>
      </c>
      <c r="L1458" s="5" t="str">
        <f t="shared" si="344"/>
        <v>01457</v>
      </c>
      <c r="M1458" s="46" t="str">
        <f t="shared" si="345"/>
        <v>27 de septiembre de 2018</v>
      </c>
      <c r="N1458" s="318">
        <f t="shared" si="331"/>
        <v>27</v>
      </c>
      <c r="O1458" s="24">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811</v>
      </c>
      <c r="J1459" s="59" t="s">
        <v>22</v>
      </c>
      <c r="L1459" s="5" t="str">
        <f t="shared" si="344"/>
        <v>01458</v>
      </c>
      <c r="M1459" s="46" t="str">
        <f t="shared" si="345"/>
        <v>27 de septiembre de 2018</v>
      </c>
      <c r="N1459" s="318">
        <f t="shared" si="331"/>
        <v>27</v>
      </c>
      <c r="O1459" s="24">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811</v>
      </c>
      <c r="J1460" s="59" t="s">
        <v>22</v>
      </c>
      <c r="L1460" s="5" t="str">
        <f t="shared" si="344"/>
        <v>01459</v>
      </c>
      <c r="M1460" s="46" t="str">
        <f t="shared" si="345"/>
        <v>27 de septiembre de 2018</v>
      </c>
      <c r="N1460" s="318">
        <f t="shared" si="331"/>
        <v>27</v>
      </c>
      <c r="O1460" s="24">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811</v>
      </c>
      <c r="J1461" s="59" t="s">
        <v>22</v>
      </c>
      <c r="L1461" s="5" t="str">
        <f t="shared" si="344"/>
        <v>01460</v>
      </c>
      <c r="M1461" s="46" t="str">
        <f t="shared" si="345"/>
        <v>27 de septiembre de 2018</v>
      </c>
      <c r="N1461" s="318">
        <f t="shared" si="331"/>
        <v>27</v>
      </c>
      <c r="O1461" s="24">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811</v>
      </c>
      <c r="J1462" s="59" t="s">
        <v>22</v>
      </c>
      <c r="L1462" s="5" t="str">
        <f t="shared" si="344"/>
        <v>01461</v>
      </c>
      <c r="M1462" s="46" t="str">
        <f t="shared" si="345"/>
        <v>29 de septiembre de 2018</v>
      </c>
      <c r="N1462" s="318">
        <f t="shared" si="331"/>
        <v>29</v>
      </c>
      <c r="O1462" s="24">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823</v>
      </c>
      <c r="J1463" s="59" t="s">
        <v>22</v>
      </c>
      <c r="L1463" s="5" t="str">
        <f t="shared" si="344"/>
        <v>01462</v>
      </c>
      <c r="M1463" s="46" t="str">
        <f t="shared" si="345"/>
        <v>30 de septiembre de 2018</v>
      </c>
      <c r="N1463" s="318">
        <f t="shared" ref="N1463:N1472" si="347">DAY(D1463)</f>
        <v>30</v>
      </c>
      <c r="O1463" s="24">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823</v>
      </c>
      <c r="J1464" s="59" t="s">
        <v>22</v>
      </c>
      <c r="L1464" s="5" t="str">
        <f t="shared" si="344"/>
        <v>01463</v>
      </c>
      <c r="M1464" s="46" t="str">
        <f t="shared" si="345"/>
        <v>02 de octubre de 2018</v>
      </c>
      <c r="N1464" s="318">
        <f t="shared" si="347"/>
        <v>2</v>
      </c>
      <c r="O1464" s="24">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824</v>
      </c>
      <c r="J1465" s="59" t="s">
        <v>22</v>
      </c>
      <c r="L1465" s="5" t="str">
        <f t="shared" si="344"/>
        <v>01464</v>
      </c>
      <c r="M1465" s="46" t="str">
        <f t="shared" si="345"/>
        <v>03 de octubre de 2018</v>
      </c>
      <c r="N1465" s="318">
        <f t="shared" si="347"/>
        <v>3</v>
      </c>
      <c r="O1465" s="24">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811</v>
      </c>
      <c r="J1466" s="59" t="s">
        <v>22</v>
      </c>
      <c r="L1466" s="5" t="str">
        <f t="shared" si="344"/>
        <v>01465</v>
      </c>
      <c r="M1466" s="46" t="str">
        <f t="shared" si="345"/>
        <v>03 de octubre de 2018</v>
      </c>
      <c r="N1466" s="318">
        <f t="shared" si="347"/>
        <v>3</v>
      </c>
      <c r="O1466" s="24">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59" t="s">
        <v>825</v>
      </c>
      <c r="J1467" s="59" t="s">
        <v>22</v>
      </c>
      <c r="L1467" s="5" t="str">
        <f t="shared" si="344"/>
        <v>01466</v>
      </c>
      <c r="M1467" s="46" t="str">
        <f t="shared" si="345"/>
        <v>03 de octubre de 2018</v>
      </c>
      <c r="N1467" s="318">
        <f t="shared" si="347"/>
        <v>3</v>
      </c>
      <c r="O1467" s="24">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824</v>
      </c>
      <c r="J1468" s="59" t="s">
        <v>22</v>
      </c>
      <c r="L1468" s="5" t="str">
        <f t="shared" si="344"/>
        <v>01467</v>
      </c>
      <c r="M1468" s="46" t="str">
        <f t="shared" si="345"/>
        <v>03 de octubre de 2018</v>
      </c>
      <c r="N1468" s="318">
        <f t="shared" si="347"/>
        <v>3</v>
      </c>
      <c r="O1468" s="24">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811</v>
      </c>
      <c r="J1469" s="59" t="s">
        <v>22</v>
      </c>
      <c r="L1469" s="5" t="str">
        <f t="shared" si="344"/>
        <v>01468</v>
      </c>
      <c r="M1469" s="46" t="str">
        <f t="shared" si="345"/>
        <v>03 de octubre de 2018</v>
      </c>
      <c r="N1469" s="318">
        <f t="shared" si="347"/>
        <v>3</v>
      </c>
      <c r="O1469" s="24">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826</v>
      </c>
      <c r="J1470" s="59" t="s">
        <v>22</v>
      </c>
      <c r="L1470" s="5" t="str">
        <f>IF(ISBLANK(A1470),"",TEXT(A1470,"00000"))</f>
        <v>01469</v>
      </c>
      <c r="M1470" s="46" t="str">
        <f>IF(ISBLANK(D1470),"",TEXT(D1470,"dd")&amp;" de "&amp;TEXT(D1470,"mmmm")&amp;" de "&amp;TEXT(YEAR(D1470),"0"))</f>
        <v>02 de octubre de 2018</v>
      </c>
      <c r="N1470" s="318">
        <f t="shared" si="347"/>
        <v>2</v>
      </c>
      <c r="O1470" s="24">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824</v>
      </c>
      <c r="J1471" s="59" t="s">
        <v>22</v>
      </c>
      <c r="L1471" s="5" t="str">
        <f t="shared" ref="L1471:L1472" si="351">IF(ISBLANK(A1471),"",TEXT(A1471,"00000"))</f>
        <v>01470</v>
      </c>
      <c r="M1471" s="46" t="str">
        <f t="shared" ref="M1471:M1472" si="352">IF(ISBLANK(D1471),"",TEXT(D1471,"dd")&amp;" de "&amp;TEXT(D1471,"mmmm")&amp;" de "&amp;TEXT(YEAR(D1471),"0"))</f>
        <v>04 de octubre de 2018</v>
      </c>
      <c r="N1471" s="318">
        <f t="shared" si="347"/>
        <v>4</v>
      </c>
      <c r="O1471" s="24">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827</v>
      </c>
      <c r="J1472" s="59" t="s">
        <v>828</v>
      </c>
      <c r="L1472" s="5" t="str">
        <f t="shared" si="351"/>
        <v>01471</v>
      </c>
      <c r="M1472" s="46" t="str">
        <f t="shared" si="352"/>
        <v>04 de octubre de 2018</v>
      </c>
      <c r="N1472" s="318">
        <f t="shared" si="347"/>
        <v>4</v>
      </c>
      <c r="O1472" s="24">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824</v>
      </c>
      <c r="J1473" s="59" t="s">
        <v>22</v>
      </c>
      <c r="L1473" s="5" t="str">
        <f t="shared" ref="L1473:L1477" si="354">IF(ISBLANK(A1473),"",TEXT(A1473,"00000"))</f>
        <v>01472</v>
      </c>
      <c r="M1473" s="46" t="str">
        <f t="shared" ref="M1473:M1477" si="355">IF(ISBLANK(D1473),"",TEXT(D1473,"dd")&amp;" de "&amp;TEXT(D1473,"mmmm")&amp;" de "&amp;TEXT(YEAR(D1473),"0"))</f>
        <v>04 de octubre de 2018</v>
      </c>
      <c r="N1473" s="318">
        <f t="shared" ref="N1473:N1484" si="356">DAY(D1473)</f>
        <v>4</v>
      </c>
      <c r="O1473" s="24">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827</v>
      </c>
      <c r="J1474" s="59" t="s">
        <v>828</v>
      </c>
      <c r="L1474" s="5" t="str">
        <f t="shared" si="354"/>
        <v>01473</v>
      </c>
      <c r="M1474" s="46" t="str">
        <f t="shared" si="355"/>
        <v>04 de octubre de 2018</v>
      </c>
      <c r="N1474" s="318">
        <f t="shared" si="356"/>
        <v>4</v>
      </c>
      <c r="O1474" s="24">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827</v>
      </c>
      <c r="J1475" s="59" t="s">
        <v>828</v>
      </c>
      <c r="L1475" s="5" t="str">
        <f t="shared" si="354"/>
        <v>01474</v>
      </c>
      <c r="M1475" s="46" t="str">
        <f t="shared" si="355"/>
        <v>04 de octubre de 2018</v>
      </c>
      <c r="N1475" s="318">
        <f t="shared" si="356"/>
        <v>4</v>
      </c>
      <c r="O1475" s="24">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824</v>
      </c>
      <c r="J1476" s="59" t="s">
        <v>22</v>
      </c>
      <c r="L1476" s="5" t="str">
        <f t="shared" si="354"/>
        <v>01475</v>
      </c>
      <c r="M1476" s="46" t="str">
        <f t="shared" si="355"/>
        <v>04 de octubre de 2018</v>
      </c>
      <c r="N1476" s="318">
        <f t="shared" si="356"/>
        <v>4</v>
      </c>
      <c r="O1476" s="24">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827</v>
      </c>
      <c r="J1477" s="59" t="s">
        <v>828</v>
      </c>
      <c r="L1477" s="5" t="str">
        <f t="shared" si="354"/>
        <v>01476</v>
      </c>
      <c r="M1477" s="46" t="str">
        <f t="shared" si="355"/>
        <v>04 de octubre de 2018</v>
      </c>
      <c r="N1477" s="318">
        <f t="shared" si="356"/>
        <v>4</v>
      </c>
      <c r="O1477" s="24">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827</v>
      </c>
      <c r="J1478" s="59" t="s">
        <v>828</v>
      </c>
      <c r="L1478" s="5" t="str">
        <f>IF(ISBLANK(A1478),"",TEXT(A1478,"00000"))</f>
        <v>01477</v>
      </c>
      <c r="M1478" s="46" t="str">
        <f>IF(ISBLANK(D1478),"",TEXT(D1478,"dd")&amp;" de "&amp;TEXT(D1478,"mmmm")&amp;" de "&amp;TEXT(YEAR(D1478),"0"))</f>
        <v>04 de octubre de 2018</v>
      </c>
      <c r="N1478" s="318">
        <f t="shared" si="356"/>
        <v>4</v>
      </c>
      <c r="O1478" s="24">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820</v>
      </c>
      <c r="J1479" s="59" t="s">
        <v>22</v>
      </c>
      <c r="L1479" s="5" t="str">
        <f t="shared" ref="L1479:L1484" si="361">IF(ISBLANK(A1479),"",TEXT(A1479,"00000"))</f>
        <v>01478</v>
      </c>
      <c r="M1479" s="46" t="str">
        <f t="shared" ref="M1479:M1484" si="362">IF(ISBLANK(D1479),"",TEXT(D1479,"dd")&amp;" de "&amp;TEXT(D1479,"mmmm")&amp;" de "&amp;TEXT(YEAR(D1479),"0"))</f>
        <v>05 de octubre de 2018</v>
      </c>
      <c r="N1479" s="318">
        <f t="shared" si="356"/>
        <v>5</v>
      </c>
      <c r="O1479" s="24">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827</v>
      </c>
      <c r="J1480" s="59" t="s">
        <v>828</v>
      </c>
      <c r="L1480" s="5" t="str">
        <f t="shared" si="361"/>
        <v>01479</v>
      </c>
      <c r="M1480" s="46" t="str">
        <f t="shared" si="362"/>
        <v>05 de octubre de 2018</v>
      </c>
      <c r="N1480" s="318">
        <f t="shared" si="356"/>
        <v>5</v>
      </c>
      <c r="O1480" s="24">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824</v>
      </c>
      <c r="J1481" s="59" t="s">
        <v>22</v>
      </c>
      <c r="L1481" s="5" t="str">
        <f t="shared" si="361"/>
        <v>01480</v>
      </c>
      <c r="M1481" s="46" t="str">
        <f t="shared" si="362"/>
        <v>05 de octubre de 2018</v>
      </c>
      <c r="N1481" s="318">
        <f t="shared" si="356"/>
        <v>5</v>
      </c>
      <c r="O1481" s="24">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827</v>
      </c>
      <c r="J1482" s="59" t="s">
        <v>828</v>
      </c>
      <c r="L1482" s="5" t="str">
        <f t="shared" si="361"/>
        <v>01481</v>
      </c>
      <c r="M1482" s="46" t="str">
        <f t="shared" si="362"/>
        <v>05 de octubre de 2018</v>
      </c>
      <c r="N1482" s="318">
        <f t="shared" si="356"/>
        <v>5</v>
      </c>
      <c r="O1482" s="24">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827</v>
      </c>
      <c r="J1483" s="59" t="s">
        <v>828</v>
      </c>
      <c r="L1483" s="5" t="str">
        <f t="shared" si="361"/>
        <v>01482</v>
      </c>
      <c r="M1483" s="46" t="str">
        <f t="shared" si="362"/>
        <v>05 de octubre de 2018</v>
      </c>
      <c r="N1483" s="318">
        <f t="shared" si="356"/>
        <v>5</v>
      </c>
      <c r="O1483" s="24">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829</v>
      </c>
      <c r="J1484" s="59" t="s">
        <v>22</v>
      </c>
      <c r="L1484" s="5" t="str">
        <f t="shared" si="361"/>
        <v>01483</v>
      </c>
      <c r="M1484" s="46" t="str">
        <f t="shared" si="362"/>
        <v>05 de octubre de 2018</v>
      </c>
      <c r="N1484" s="318">
        <f t="shared" si="356"/>
        <v>5</v>
      </c>
      <c r="O1484" s="24">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827</v>
      </c>
      <c r="J1485" s="59" t="s">
        <v>828</v>
      </c>
      <c r="L1485" s="5" t="str">
        <f t="shared" ref="L1485:L1489" si="365">IF(ISBLANK(A1485),"",TEXT(A1485,"00000"))</f>
        <v>01484</v>
      </c>
      <c r="M1485" s="46" t="str">
        <f t="shared" ref="M1485:M1489" si="366">IF(ISBLANK(D1485),"",TEXT(D1485,"dd")&amp;" de "&amp;TEXT(D1485,"mmmm")&amp;" de "&amp;TEXT(YEAR(D1485),"0"))</f>
        <v>05 de octubre de 2018</v>
      </c>
      <c r="N1485" s="318">
        <f t="shared" ref="N1485:N1489" si="367">DAY(D1485)</f>
        <v>5</v>
      </c>
      <c r="O1485" s="24">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827</v>
      </c>
      <c r="J1486" s="59" t="s">
        <v>828</v>
      </c>
      <c r="L1486" s="5" t="str">
        <f t="shared" si="365"/>
        <v>01485</v>
      </c>
      <c r="M1486" s="46" t="str">
        <f t="shared" si="366"/>
        <v>05 de octubre de 2018</v>
      </c>
      <c r="N1486" s="318">
        <f t="shared" si="367"/>
        <v>5</v>
      </c>
      <c r="O1486" s="24">
        <f t="shared" si="368"/>
        <v>43374</v>
      </c>
      <c r="P1486" s="5" t="str">
        <f t="shared" si="369"/>
        <v>10,00</v>
      </c>
      <c r="Q1486" s="4" t="e">
        <f t="shared" ca="1" si="370"/>
        <v>#NAME?</v>
      </c>
    </row>
    <row r="1487" spans="1:17">
      <c r="A1487" s="1">
        <f t="shared" si="360"/>
        <v>1486</v>
      </c>
      <c r="C1487" s="83" t="s">
        <v>17</v>
      </c>
      <c r="D1487" s="2">
        <v>43372</v>
      </c>
      <c r="E1487" s="3">
        <v>322</v>
      </c>
      <c r="F1487" t="s">
        <v>177</v>
      </c>
      <c r="G1487" s="18" t="s">
        <v>58</v>
      </c>
      <c r="H1487" t="s">
        <v>179</v>
      </c>
      <c r="I1487" s="6" t="s">
        <v>830</v>
      </c>
      <c r="J1487" s="59" t="s">
        <v>22</v>
      </c>
      <c r="L1487" s="5" t="str">
        <f t="shared" si="365"/>
        <v>01486</v>
      </c>
      <c r="M1487" s="46" t="str">
        <f t="shared" si="366"/>
        <v>29 de septiembre de 2018</v>
      </c>
      <c r="N1487" s="318">
        <f t="shared" si="367"/>
        <v>29</v>
      </c>
      <c r="O1487" s="24">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827</v>
      </c>
      <c r="J1488" s="59" t="s">
        <v>828</v>
      </c>
      <c r="L1488" s="5" t="str">
        <f t="shared" si="365"/>
        <v>01487</v>
      </c>
      <c r="M1488" s="46" t="str">
        <f t="shared" si="366"/>
        <v>05 de octubre de 2018</v>
      </c>
      <c r="N1488" s="318">
        <f t="shared" si="367"/>
        <v>5</v>
      </c>
      <c r="O1488" s="24">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827</v>
      </c>
      <c r="J1489" s="59" t="s">
        <v>828</v>
      </c>
      <c r="L1489" s="5" t="str">
        <f t="shared" si="365"/>
        <v>01488</v>
      </c>
      <c r="M1489" s="46" t="str">
        <f t="shared" si="366"/>
        <v>05 de octubre de 2018</v>
      </c>
      <c r="N1489" s="318">
        <f t="shared" si="367"/>
        <v>5</v>
      </c>
      <c r="O1489" s="24">
        <f t="shared" si="368"/>
        <v>43374</v>
      </c>
      <c r="P1489" s="5" t="str">
        <f t="shared" si="369"/>
        <v>10,00</v>
      </c>
      <c r="Q1489" s="4" t="e">
        <f t="shared" ca="1" si="370"/>
        <v>#NAME?</v>
      </c>
    </row>
    <row r="1490" spans="1:17">
      <c r="A1490" s="1">
        <f t="shared" si="360"/>
        <v>1489</v>
      </c>
      <c r="C1490" s="83" t="s">
        <v>17</v>
      </c>
      <c r="D1490" s="2">
        <v>43378</v>
      </c>
      <c r="E1490" s="3">
        <v>10</v>
      </c>
      <c r="F1490" t="s">
        <v>831</v>
      </c>
      <c r="G1490" t="s">
        <v>832</v>
      </c>
      <c r="H1490" t="s">
        <v>833</v>
      </c>
      <c r="I1490" s="6" t="s">
        <v>827</v>
      </c>
      <c r="J1490" s="59" t="s">
        <v>828</v>
      </c>
      <c r="L1490" s="5" t="str">
        <f t="shared" ref="L1490" si="371">IF(ISBLANK(A1490),"",TEXT(A1490,"00000"))</f>
        <v>01489</v>
      </c>
      <c r="M1490" s="46" t="str">
        <f t="shared" ref="M1490" si="372">IF(ISBLANK(D1490),"",TEXT(D1490,"dd")&amp;" de "&amp;TEXT(D1490,"mmmm")&amp;" de "&amp;TEXT(YEAR(D1490),"0"))</f>
        <v>05 de octubre de 2018</v>
      </c>
      <c r="N1490" s="318">
        <f t="shared" ref="N1490:N1523" si="373">DAY(D1490)</f>
        <v>5</v>
      </c>
      <c r="O1490" s="24">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827</v>
      </c>
      <c r="J1491" s="59" t="s">
        <v>828</v>
      </c>
      <c r="L1491" s="5" t="str">
        <f>IF(ISBLANK(A1491),"",TEXT(A1491,"00000"))</f>
        <v>01490</v>
      </c>
      <c r="M1491" s="46" t="str">
        <f>IF(ISBLANK(D1491),"",TEXT(D1491,"dd")&amp;" de "&amp;TEXT(D1491,"mmmm")&amp;" de "&amp;TEXT(YEAR(D1491),"0"))</f>
        <v>05 de octubre de 2018</v>
      </c>
      <c r="N1491" s="318">
        <f t="shared" si="373"/>
        <v>5</v>
      </c>
      <c r="O1491" s="24">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827</v>
      </c>
      <c r="J1492" s="59" t="s">
        <v>828</v>
      </c>
      <c r="L1492" s="5" t="str">
        <f t="shared" ref="L1492:L1523" si="377">IF(ISBLANK(A1492),"",TEXT(A1492,"00000"))</f>
        <v>01491</v>
      </c>
      <c r="M1492" s="46" t="str">
        <f t="shared" ref="M1492:M1523" si="378">IF(ISBLANK(D1492),"",TEXT(D1492,"dd")&amp;" de "&amp;TEXT(D1492,"mmmm")&amp;" de "&amp;TEXT(YEAR(D1492),"0"))</f>
        <v>05 de octubre de 2018</v>
      </c>
      <c r="N1492" s="318">
        <f t="shared" si="373"/>
        <v>5</v>
      </c>
      <c r="O1492" s="24">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827</v>
      </c>
      <c r="J1493" s="59" t="s">
        <v>828</v>
      </c>
      <c r="L1493" s="5" t="str">
        <f t="shared" si="377"/>
        <v>01492</v>
      </c>
      <c r="M1493" s="46" t="str">
        <f t="shared" si="378"/>
        <v>05 de octubre de 2018</v>
      </c>
      <c r="N1493" s="318">
        <f t="shared" si="373"/>
        <v>5</v>
      </c>
      <c r="O1493" s="24">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827</v>
      </c>
      <c r="J1494" s="59" t="s">
        <v>828</v>
      </c>
      <c r="L1494" s="5" t="str">
        <f t="shared" si="377"/>
        <v>01493</v>
      </c>
      <c r="M1494" s="46" t="str">
        <f t="shared" si="378"/>
        <v>05 de octubre de 2018</v>
      </c>
      <c r="N1494" s="318">
        <f t="shared" si="373"/>
        <v>5</v>
      </c>
      <c r="O1494" s="24">
        <f t="shared" si="379"/>
        <v>43374</v>
      </c>
      <c r="P1494" s="5" t="str">
        <f t="shared" si="375"/>
        <v>10,00</v>
      </c>
      <c r="Q1494" s="4" t="e">
        <f t="shared" ca="1" si="376"/>
        <v>#NAME?</v>
      </c>
    </row>
    <row r="1495" spans="1:17">
      <c r="A1495" s="1">
        <f t="shared" si="360"/>
        <v>1494</v>
      </c>
      <c r="C1495" s="83" t="s">
        <v>17</v>
      </c>
      <c r="D1495" s="2">
        <v>43379</v>
      </c>
      <c r="E1495" s="3">
        <v>100</v>
      </c>
      <c r="F1495" t="s">
        <v>303</v>
      </c>
      <c r="G1495" s="18" t="s">
        <v>58</v>
      </c>
      <c r="H1495" t="s">
        <v>304</v>
      </c>
      <c r="I1495" s="6" t="s">
        <v>834</v>
      </c>
      <c r="J1495" s="59" t="s">
        <v>22</v>
      </c>
      <c r="L1495" s="5" t="str">
        <f t="shared" si="377"/>
        <v>01494</v>
      </c>
      <c r="M1495" s="46" t="str">
        <f t="shared" si="378"/>
        <v>06 de octubre de 2018</v>
      </c>
      <c r="N1495" s="318">
        <f t="shared" si="373"/>
        <v>6</v>
      </c>
      <c r="O1495" s="24">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827</v>
      </c>
      <c r="J1496" s="59" t="s">
        <v>828</v>
      </c>
      <c r="L1496" s="5" t="str">
        <f t="shared" si="377"/>
        <v>01495</v>
      </c>
      <c r="M1496" s="46" t="str">
        <f t="shared" si="378"/>
        <v>06 de octubre de 2018</v>
      </c>
      <c r="N1496" s="318">
        <f t="shared" si="373"/>
        <v>6</v>
      </c>
      <c r="O1496" s="24">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824</v>
      </c>
      <c r="J1497" s="59" t="s">
        <v>22</v>
      </c>
      <c r="L1497" s="5" t="str">
        <f t="shared" si="377"/>
        <v>01496</v>
      </c>
      <c r="M1497" s="46" t="str">
        <f t="shared" si="378"/>
        <v>06 de octubre de 2018</v>
      </c>
      <c r="N1497" s="318">
        <f t="shared" si="373"/>
        <v>6</v>
      </c>
      <c r="O1497" s="24">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827</v>
      </c>
      <c r="J1498" s="59" t="s">
        <v>828</v>
      </c>
      <c r="L1498" s="5" t="str">
        <f t="shared" si="377"/>
        <v>01497</v>
      </c>
      <c r="M1498" s="46" t="str">
        <f t="shared" si="378"/>
        <v>06 de octubre de 2018</v>
      </c>
      <c r="N1498" s="318">
        <f t="shared" si="373"/>
        <v>6</v>
      </c>
      <c r="O1498" s="24">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824</v>
      </c>
      <c r="J1499" s="59" t="s">
        <v>22</v>
      </c>
      <c r="L1499" s="5" t="str">
        <f t="shared" si="377"/>
        <v>01498</v>
      </c>
      <c r="M1499" s="46" t="str">
        <f t="shared" si="378"/>
        <v>07 de octubre de 2018</v>
      </c>
      <c r="N1499" s="318">
        <f t="shared" si="373"/>
        <v>7</v>
      </c>
      <c r="O1499" s="24">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827</v>
      </c>
      <c r="J1500" s="59" t="s">
        <v>828</v>
      </c>
      <c r="L1500" s="5" t="str">
        <f t="shared" si="377"/>
        <v>01499</v>
      </c>
      <c r="M1500" s="46" t="str">
        <f t="shared" si="378"/>
        <v>07 de octubre de 2018</v>
      </c>
      <c r="N1500" s="318">
        <f t="shared" si="373"/>
        <v>7</v>
      </c>
      <c r="O1500" s="24">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824</v>
      </c>
      <c r="J1501" s="59" t="s">
        <v>22</v>
      </c>
      <c r="L1501" s="5" t="str">
        <f t="shared" si="377"/>
        <v>01500</v>
      </c>
      <c r="M1501" s="46" t="str">
        <f t="shared" si="378"/>
        <v>07 de octubre de 2018</v>
      </c>
      <c r="N1501" s="318">
        <f t="shared" si="373"/>
        <v>7</v>
      </c>
      <c r="O1501" s="24">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827</v>
      </c>
      <c r="J1502" s="59" t="s">
        <v>828</v>
      </c>
      <c r="L1502" s="5" t="str">
        <f t="shared" si="377"/>
        <v>01501</v>
      </c>
      <c r="M1502" s="46" t="str">
        <f t="shared" si="378"/>
        <v>07 de octubre de 2018</v>
      </c>
      <c r="N1502" s="318">
        <f t="shared" si="373"/>
        <v>7</v>
      </c>
      <c r="O1502" s="24">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830</v>
      </c>
      <c r="J1503" s="59" t="s">
        <v>22</v>
      </c>
      <c r="L1503" s="5" t="str">
        <f t="shared" si="377"/>
        <v>01502</v>
      </c>
      <c r="M1503" s="46" t="str">
        <f t="shared" si="378"/>
        <v>07 de octubre de 2018</v>
      </c>
      <c r="N1503" s="318">
        <f t="shared" si="373"/>
        <v>7</v>
      </c>
      <c r="O1503" s="24">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827</v>
      </c>
      <c r="J1504" s="59" t="s">
        <v>828</v>
      </c>
      <c r="L1504" s="5" t="str">
        <f t="shared" si="377"/>
        <v>01503</v>
      </c>
      <c r="M1504" s="46" t="str">
        <f t="shared" si="378"/>
        <v>07 de octubre de 2018</v>
      </c>
      <c r="N1504" s="318">
        <f t="shared" si="373"/>
        <v>7</v>
      </c>
      <c r="O1504" s="24">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824</v>
      </c>
      <c r="J1505" s="59" t="s">
        <v>22</v>
      </c>
      <c r="L1505" s="5" t="str">
        <f t="shared" si="377"/>
        <v>01504</v>
      </c>
      <c r="M1505" s="46" t="str">
        <f t="shared" si="378"/>
        <v>07 de octubre de 2018</v>
      </c>
      <c r="N1505" s="318">
        <f t="shared" si="373"/>
        <v>7</v>
      </c>
      <c r="O1505" s="24">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824</v>
      </c>
      <c r="J1506" s="59" t="s">
        <v>22</v>
      </c>
      <c r="L1506" s="5" t="str">
        <f t="shared" si="377"/>
        <v>01505</v>
      </c>
      <c r="M1506" s="46" t="str">
        <f t="shared" si="378"/>
        <v>07 de octubre de 2018</v>
      </c>
      <c r="N1506" s="318">
        <f t="shared" si="373"/>
        <v>7</v>
      </c>
      <c r="O1506" s="24">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827</v>
      </c>
      <c r="J1507" s="59" t="s">
        <v>828</v>
      </c>
      <c r="L1507" s="5" t="str">
        <f t="shared" si="377"/>
        <v>01506</v>
      </c>
      <c r="M1507" s="46" t="str">
        <f t="shared" si="378"/>
        <v>07 de octubre de 2018</v>
      </c>
      <c r="N1507" s="318">
        <f t="shared" si="373"/>
        <v>7</v>
      </c>
      <c r="O1507" s="24">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824</v>
      </c>
      <c r="J1508" s="59" t="s">
        <v>22</v>
      </c>
      <c r="L1508" s="5" t="str">
        <f t="shared" si="377"/>
        <v>01507</v>
      </c>
      <c r="M1508" s="46" t="str">
        <f t="shared" si="378"/>
        <v>08 de octubre de 2018</v>
      </c>
      <c r="N1508" s="318">
        <f t="shared" si="373"/>
        <v>8</v>
      </c>
      <c r="O1508" s="24">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827</v>
      </c>
      <c r="J1509" s="59" t="s">
        <v>828</v>
      </c>
      <c r="L1509" s="5" t="str">
        <f t="shared" si="377"/>
        <v>01508</v>
      </c>
      <c r="M1509" s="46" t="str">
        <f t="shared" si="378"/>
        <v>08 de octubre de 2018</v>
      </c>
      <c r="N1509" s="318">
        <f t="shared" si="373"/>
        <v>8</v>
      </c>
      <c r="O1509" s="24">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824</v>
      </c>
      <c r="J1510" s="59" t="s">
        <v>22</v>
      </c>
      <c r="L1510" s="5" t="str">
        <f t="shared" si="377"/>
        <v>01509</v>
      </c>
      <c r="M1510" s="46" t="str">
        <f t="shared" si="378"/>
        <v>08 de octubre de 2018</v>
      </c>
      <c r="N1510" s="318">
        <f t="shared" si="373"/>
        <v>8</v>
      </c>
      <c r="O1510" s="24">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827</v>
      </c>
      <c r="J1511" s="59" t="s">
        <v>828</v>
      </c>
      <c r="L1511" s="5" t="str">
        <f t="shared" si="377"/>
        <v>01510</v>
      </c>
      <c r="M1511" s="46" t="str">
        <f t="shared" si="378"/>
        <v>08 de octubre de 2018</v>
      </c>
      <c r="N1511" s="318">
        <f t="shared" si="373"/>
        <v>8</v>
      </c>
      <c r="O1511" s="24">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835</v>
      </c>
      <c r="J1512" s="59" t="s">
        <v>22</v>
      </c>
      <c r="L1512" s="5" t="str">
        <f t="shared" si="377"/>
        <v>01511</v>
      </c>
      <c r="M1512" s="46" t="str">
        <f t="shared" si="378"/>
        <v>08 de octubre de 2018</v>
      </c>
      <c r="N1512" s="318">
        <f t="shared" si="373"/>
        <v>8</v>
      </c>
      <c r="O1512" s="24">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827</v>
      </c>
      <c r="J1513" s="59" t="s">
        <v>828</v>
      </c>
      <c r="L1513" s="5" t="str">
        <f t="shared" si="377"/>
        <v>01512</v>
      </c>
      <c r="M1513" s="46" t="str">
        <f t="shared" si="378"/>
        <v>08 de octubre de 2018</v>
      </c>
      <c r="N1513" s="318">
        <f t="shared" si="373"/>
        <v>8</v>
      </c>
      <c r="O1513" s="24">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824</v>
      </c>
      <c r="J1514" s="59" t="s">
        <v>22</v>
      </c>
      <c r="L1514" s="5" t="str">
        <f t="shared" si="377"/>
        <v>01513</v>
      </c>
      <c r="M1514" s="46" t="str">
        <f t="shared" si="378"/>
        <v>08 de octubre de 2018</v>
      </c>
      <c r="N1514" s="318">
        <f t="shared" si="373"/>
        <v>8</v>
      </c>
      <c r="O1514" s="24">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827</v>
      </c>
      <c r="J1515" s="59" t="s">
        <v>828</v>
      </c>
      <c r="L1515" s="5" t="str">
        <f t="shared" si="377"/>
        <v>01514</v>
      </c>
      <c r="M1515" s="46" t="str">
        <f t="shared" si="378"/>
        <v>08 de octubre de 2018</v>
      </c>
      <c r="N1515" s="318">
        <f t="shared" si="373"/>
        <v>8</v>
      </c>
      <c r="O1515" s="24">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811</v>
      </c>
      <c r="J1516" s="59" t="s">
        <v>22</v>
      </c>
      <c r="L1516" s="5" t="str">
        <f t="shared" si="377"/>
        <v>01515</v>
      </c>
      <c r="M1516" s="46" t="str">
        <f t="shared" si="378"/>
        <v>08 de octubre de 2018</v>
      </c>
      <c r="N1516" s="318">
        <f t="shared" si="373"/>
        <v>8</v>
      </c>
      <c r="O1516" s="24">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827</v>
      </c>
      <c r="J1517" s="59" t="s">
        <v>828</v>
      </c>
      <c r="L1517" s="5" t="str">
        <f t="shared" si="377"/>
        <v>01516</v>
      </c>
      <c r="M1517" s="46" t="str">
        <f t="shared" si="378"/>
        <v>08 de octubre de 2018</v>
      </c>
      <c r="N1517" s="318">
        <f t="shared" si="373"/>
        <v>8</v>
      </c>
      <c r="O1517" s="24">
        <f t="shared" si="379"/>
        <v>43374</v>
      </c>
      <c r="P1517" s="5" t="str">
        <f t="shared" si="375"/>
        <v>10,00</v>
      </c>
      <c r="Q1517" s="4" t="e">
        <f t="shared" ca="1" si="380"/>
        <v>#NAME?</v>
      </c>
    </row>
    <row r="1518" spans="1:17">
      <c r="A1518" s="1">
        <f t="shared" si="360"/>
        <v>1517</v>
      </c>
      <c r="C1518" s="83" t="s">
        <v>17</v>
      </c>
      <c r="D1518" s="2">
        <v>43382</v>
      </c>
      <c r="E1518" s="3">
        <v>10</v>
      </c>
      <c r="F1518" t="s">
        <v>177</v>
      </c>
      <c r="G1518" s="18" t="s">
        <v>58</v>
      </c>
      <c r="H1518" t="s">
        <v>179</v>
      </c>
      <c r="I1518" s="6" t="s">
        <v>827</v>
      </c>
      <c r="J1518" s="59" t="s">
        <v>828</v>
      </c>
      <c r="L1518" s="5" t="str">
        <f t="shared" si="377"/>
        <v>01517</v>
      </c>
      <c r="M1518" s="46" t="str">
        <f t="shared" si="378"/>
        <v>09 de octubre de 2018</v>
      </c>
      <c r="N1518" s="318">
        <f t="shared" si="373"/>
        <v>9</v>
      </c>
      <c r="O1518" s="24">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824</v>
      </c>
      <c r="J1519" s="59" t="s">
        <v>22</v>
      </c>
      <c r="L1519" s="5" t="str">
        <f t="shared" si="377"/>
        <v>01518</v>
      </c>
      <c r="M1519" s="46" t="str">
        <f t="shared" si="378"/>
        <v>10 de octubre de 2018</v>
      </c>
      <c r="N1519" s="318">
        <f t="shared" si="373"/>
        <v>10</v>
      </c>
      <c r="O1519" s="24">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824</v>
      </c>
      <c r="J1520" s="59" t="s">
        <v>22</v>
      </c>
      <c r="L1520" s="5" t="str">
        <f t="shared" si="377"/>
        <v>01519</v>
      </c>
      <c r="M1520" s="46" t="str">
        <f t="shared" si="378"/>
        <v>11 de octubre de 2018</v>
      </c>
      <c r="N1520" s="318">
        <f t="shared" si="373"/>
        <v>11</v>
      </c>
      <c r="O1520" s="24">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827</v>
      </c>
      <c r="J1521" s="59" t="s">
        <v>828</v>
      </c>
      <c r="L1521" s="5" t="str">
        <f t="shared" si="377"/>
        <v>01520</v>
      </c>
      <c r="M1521" s="46" t="str">
        <f t="shared" si="378"/>
        <v>11 de octubre de 2018</v>
      </c>
      <c r="N1521" s="318">
        <f t="shared" si="373"/>
        <v>11</v>
      </c>
      <c r="O1521" s="24">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836</v>
      </c>
      <c r="J1522" s="59" t="s">
        <v>22</v>
      </c>
      <c r="L1522" s="5" t="str">
        <f t="shared" si="377"/>
        <v>01521</v>
      </c>
      <c r="M1522" s="46" t="str">
        <f t="shared" si="378"/>
        <v>09 de octubre de 2018</v>
      </c>
      <c r="N1522" s="318">
        <f t="shared" si="373"/>
        <v>9</v>
      </c>
      <c r="O1522" s="24">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827</v>
      </c>
      <c r="J1523" s="59" t="s">
        <v>828</v>
      </c>
      <c r="L1523" s="5" t="str">
        <f t="shared" si="377"/>
        <v>01522</v>
      </c>
      <c r="M1523" s="46" t="str">
        <f t="shared" si="378"/>
        <v>09 de octubre de 2018</v>
      </c>
      <c r="N1523" s="318">
        <f t="shared" si="373"/>
        <v>9</v>
      </c>
      <c r="O1523" s="24">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827</v>
      </c>
      <c r="J1524" s="59" t="s">
        <v>828</v>
      </c>
      <c r="L1524" s="5" t="str">
        <f t="shared" ref="L1524:L1526" si="382">IF(ISBLANK(A1524),"",TEXT(A1524,"00000"))</f>
        <v>01523</v>
      </c>
      <c r="M1524" s="46" t="str">
        <f t="shared" ref="M1524:M1526" si="383">IF(ISBLANK(D1524),"",TEXT(D1524,"dd")&amp;" de "&amp;TEXT(D1524,"mmmm")&amp;" de "&amp;TEXT(YEAR(D1524),"0"))</f>
        <v>04 de octubre de 2018</v>
      </c>
      <c r="N1524" s="318">
        <f t="shared" ref="N1524:N1526" si="384">DAY(D1524)</f>
        <v>4</v>
      </c>
      <c r="O1524" s="24">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837</v>
      </c>
      <c r="J1525" s="59" t="s">
        <v>22</v>
      </c>
      <c r="L1525" s="5" t="str">
        <f t="shared" si="382"/>
        <v>01524</v>
      </c>
      <c r="M1525" s="46" t="str">
        <f t="shared" si="383"/>
        <v>11 de octubre de 2018</v>
      </c>
      <c r="N1525" s="318">
        <f t="shared" si="384"/>
        <v>11</v>
      </c>
      <c r="O1525" s="24">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811</v>
      </c>
      <c r="J1526" s="59" t="s">
        <v>22</v>
      </c>
      <c r="L1526" s="5" t="str">
        <f t="shared" si="382"/>
        <v>01525</v>
      </c>
      <c r="M1526" s="46" t="str">
        <f t="shared" si="383"/>
        <v>08 de octubre de 2018</v>
      </c>
      <c r="N1526" s="318">
        <f t="shared" si="384"/>
        <v>8</v>
      </c>
      <c r="O1526" s="24">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827</v>
      </c>
      <c r="J1527" s="59" t="s">
        <v>828</v>
      </c>
      <c r="L1527" s="5" t="str">
        <f t="shared" ref="L1527:L1548" si="388">IF(ISBLANK(A1527),"",TEXT(A1527,"00000"))</f>
        <v>01526</v>
      </c>
      <c r="M1527" s="46" t="str">
        <f t="shared" ref="M1527:M1548" si="389">IF(ISBLANK(D1527),"",TEXT(D1527,"dd")&amp;" de "&amp;TEXT(D1527,"mmmm")&amp;" de "&amp;TEXT(YEAR(D1527),"0"))</f>
        <v>08 de octubre de 2018</v>
      </c>
      <c r="N1527" s="318">
        <f t="shared" ref="N1527:N1556" si="390">DAY(D1527)</f>
        <v>8</v>
      </c>
      <c r="O1527" s="24">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811</v>
      </c>
      <c r="J1528" s="59" t="s">
        <v>22</v>
      </c>
      <c r="L1528" s="5" t="str">
        <f t="shared" si="388"/>
        <v>01527</v>
      </c>
      <c r="M1528" s="46" t="str">
        <f t="shared" si="389"/>
        <v>12 de octubre de 2018</v>
      </c>
      <c r="N1528" s="318">
        <f t="shared" si="390"/>
        <v>12</v>
      </c>
      <c r="O1528" s="24">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827</v>
      </c>
      <c r="J1529" s="59" t="s">
        <v>828</v>
      </c>
      <c r="L1529" s="5" t="str">
        <f t="shared" si="388"/>
        <v>01528</v>
      </c>
      <c r="M1529" s="46" t="str">
        <f t="shared" si="389"/>
        <v>12 de octubre de 2018</v>
      </c>
      <c r="N1529" s="318">
        <f t="shared" si="390"/>
        <v>12</v>
      </c>
      <c r="O1529" s="24">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824</v>
      </c>
      <c r="J1530" s="59" t="s">
        <v>22</v>
      </c>
      <c r="L1530" s="5" t="str">
        <f t="shared" si="388"/>
        <v>01529</v>
      </c>
      <c r="M1530" s="46" t="str">
        <f t="shared" si="389"/>
        <v>12 de octubre de 2018</v>
      </c>
      <c r="N1530" s="318">
        <f t="shared" si="390"/>
        <v>12</v>
      </c>
      <c r="O1530" s="24">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827</v>
      </c>
      <c r="J1531" s="59" t="s">
        <v>828</v>
      </c>
      <c r="L1531" s="5" t="str">
        <f t="shared" si="388"/>
        <v>01530</v>
      </c>
      <c r="M1531" s="46" t="str">
        <f t="shared" si="389"/>
        <v>12 de octubre de 2018</v>
      </c>
      <c r="N1531" s="318">
        <f t="shared" si="390"/>
        <v>12</v>
      </c>
      <c r="O1531" s="24">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824</v>
      </c>
      <c r="J1532" s="59" t="s">
        <v>22</v>
      </c>
      <c r="L1532" s="5" t="str">
        <f t="shared" si="388"/>
        <v>01531</v>
      </c>
      <c r="M1532" s="46" t="str">
        <f t="shared" si="389"/>
        <v>12 de octubre de 2018</v>
      </c>
      <c r="N1532" s="318">
        <f t="shared" si="390"/>
        <v>12</v>
      </c>
      <c r="O1532" s="24">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827</v>
      </c>
      <c r="J1533" s="59" t="s">
        <v>828</v>
      </c>
      <c r="L1533" s="5" t="str">
        <f t="shared" si="388"/>
        <v>01532</v>
      </c>
      <c r="M1533" s="46" t="str">
        <f t="shared" si="389"/>
        <v>12 de octubre de 2018</v>
      </c>
      <c r="N1533" s="318">
        <f t="shared" si="390"/>
        <v>12</v>
      </c>
      <c r="O1533" s="24">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824</v>
      </c>
      <c r="J1534" s="59" t="s">
        <v>22</v>
      </c>
      <c r="L1534" s="5" t="str">
        <f t="shared" si="388"/>
        <v>01533</v>
      </c>
      <c r="M1534" s="46" t="str">
        <f t="shared" si="389"/>
        <v>12 de octubre de 2018</v>
      </c>
      <c r="N1534" s="318">
        <f t="shared" si="390"/>
        <v>12</v>
      </c>
      <c r="O1534" s="24">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827</v>
      </c>
      <c r="J1535" s="59" t="s">
        <v>828</v>
      </c>
      <c r="L1535" s="5" t="str">
        <f t="shared" si="388"/>
        <v>01534</v>
      </c>
      <c r="M1535" s="46" t="str">
        <f t="shared" si="389"/>
        <v>12 de octubre de 2018</v>
      </c>
      <c r="N1535" s="318">
        <f t="shared" si="390"/>
        <v>12</v>
      </c>
      <c r="O1535" s="24">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824</v>
      </c>
      <c r="J1536" s="59" t="s">
        <v>22</v>
      </c>
      <c r="L1536" s="5" t="str">
        <f t="shared" si="388"/>
        <v>01535</v>
      </c>
      <c r="M1536" s="46" t="str">
        <f t="shared" si="389"/>
        <v>13 de octubre de 2018</v>
      </c>
      <c r="N1536" s="318">
        <f t="shared" si="390"/>
        <v>13</v>
      </c>
      <c r="O1536" s="24">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827</v>
      </c>
      <c r="J1537" s="59" t="s">
        <v>828</v>
      </c>
      <c r="L1537" s="5" t="str">
        <f t="shared" si="388"/>
        <v>01536</v>
      </c>
      <c r="M1537" s="46" t="str">
        <f t="shared" si="389"/>
        <v>13 de octubre de 2018</v>
      </c>
      <c r="N1537" s="318">
        <f t="shared" si="390"/>
        <v>13</v>
      </c>
      <c r="O1537" s="24">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838</v>
      </c>
      <c r="J1538" s="59" t="s">
        <v>22</v>
      </c>
      <c r="L1538" s="5" t="str">
        <f t="shared" si="388"/>
        <v>01537</v>
      </c>
      <c r="M1538" s="46" t="str">
        <f t="shared" si="389"/>
        <v>14 de octubre de 2018</v>
      </c>
      <c r="N1538" s="318">
        <f t="shared" si="390"/>
        <v>14</v>
      </c>
      <c r="O1538" s="24">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827</v>
      </c>
      <c r="J1539" s="59" t="s">
        <v>828</v>
      </c>
      <c r="L1539" s="5" t="str">
        <f t="shared" si="388"/>
        <v>01538</v>
      </c>
      <c r="M1539" s="46" t="str">
        <f t="shared" si="389"/>
        <v>14 de octubre de 2018</v>
      </c>
      <c r="N1539" s="318">
        <f t="shared" si="390"/>
        <v>14</v>
      </c>
      <c r="O1539" s="24">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824</v>
      </c>
      <c r="J1540" s="59" t="s">
        <v>22</v>
      </c>
      <c r="L1540" s="5" t="str">
        <f t="shared" si="388"/>
        <v>01539</v>
      </c>
      <c r="M1540" s="46" t="str">
        <f t="shared" si="389"/>
        <v>17 de octubre de 2018</v>
      </c>
      <c r="N1540" s="318">
        <f t="shared" si="390"/>
        <v>17</v>
      </c>
      <c r="O1540" s="24">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839</v>
      </c>
      <c r="J1541" s="59" t="s">
        <v>22</v>
      </c>
      <c r="L1541" s="5" t="str">
        <f t="shared" si="388"/>
        <v>01540</v>
      </c>
      <c r="M1541" s="46" t="str">
        <f t="shared" si="389"/>
        <v>21 de octubre de 2018</v>
      </c>
      <c r="N1541" s="318">
        <f t="shared" si="390"/>
        <v>21</v>
      </c>
      <c r="O1541" s="24">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824</v>
      </c>
      <c r="J1542" s="59" t="s">
        <v>22</v>
      </c>
      <c r="L1542" s="5" t="str">
        <f t="shared" si="388"/>
        <v>01541</v>
      </c>
      <c r="M1542" s="46" t="str">
        <f t="shared" si="389"/>
        <v>21 de octubre de 2018</v>
      </c>
      <c r="N1542" s="318">
        <f t="shared" si="390"/>
        <v>21</v>
      </c>
      <c r="O1542" s="24">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824</v>
      </c>
      <c r="J1543" s="59" t="s">
        <v>22</v>
      </c>
      <c r="L1543" s="5" t="str">
        <f t="shared" si="388"/>
        <v>01542</v>
      </c>
      <c r="M1543" s="46" t="str">
        <f t="shared" si="389"/>
        <v>24 de octubre de 2018</v>
      </c>
      <c r="N1543" s="318">
        <f t="shared" si="390"/>
        <v>24</v>
      </c>
      <c r="O1543" s="24">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827</v>
      </c>
      <c r="J1544" s="59" t="s">
        <v>828</v>
      </c>
      <c r="L1544" s="5" t="str">
        <f t="shared" si="388"/>
        <v>01543</v>
      </c>
      <c r="M1544" s="46" t="str">
        <f t="shared" si="389"/>
        <v>24 de octubre de 2018</v>
      </c>
      <c r="N1544" s="318">
        <f t="shared" si="390"/>
        <v>24</v>
      </c>
      <c r="O1544" s="24">
        <f t="shared" si="391"/>
        <v>43374</v>
      </c>
      <c r="P1544" s="5" t="str">
        <f t="shared" si="392"/>
        <v>10,00</v>
      </c>
      <c r="Q1544" s="4" t="e">
        <f t="shared" ca="1" si="393"/>
        <v>#NAME?</v>
      </c>
    </row>
    <row r="1545" spans="1:17">
      <c r="A1545" s="1">
        <f t="shared" si="394"/>
        <v>1544</v>
      </c>
      <c r="C1545" s="83" t="s">
        <v>17</v>
      </c>
      <c r="D1545" s="2">
        <v>43397</v>
      </c>
      <c r="E1545" s="3">
        <v>465</v>
      </c>
      <c r="F1545" s="22" t="s">
        <v>422</v>
      </c>
      <c r="G1545" s="18" t="s">
        <v>58</v>
      </c>
      <c r="H1545" t="s">
        <v>423</v>
      </c>
      <c r="I1545" s="6" t="s">
        <v>824</v>
      </c>
      <c r="J1545" s="59" t="s">
        <v>22</v>
      </c>
      <c r="L1545" s="5" t="str">
        <f t="shared" si="388"/>
        <v>01544</v>
      </c>
      <c r="M1545" s="46" t="str">
        <f t="shared" si="389"/>
        <v>24 de octubre de 2018</v>
      </c>
      <c r="N1545" s="318">
        <f t="shared" si="390"/>
        <v>24</v>
      </c>
      <c r="O1545" s="24">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824</v>
      </c>
      <c r="J1546" s="59" t="s">
        <v>22</v>
      </c>
      <c r="L1546" s="5" t="str">
        <f t="shared" si="388"/>
        <v>01545</v>
      </c>
      <c r="M1546" s="46" t="str">
        <f t="shared" si="389"/>
        <v>25 de octubre de 2018</v>
      </c>
      <c r="N1546" s="318">
        <f t="shared" si="390"/>
        <v>25</v>
      </c>
      <c r="O1546" s="24">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824</v>
      </c>
      <c r="J1547" s="59" t="s">
        <v>22</v>
      </c>
      <c r="L1547" s="5" t="str">
        <f t="shared" si="388"/>
        <v>01546</v>
      </c>
      <c r="M1547" s="46" t="str">
        <f t="shared" si="389"/>
        <v>25 de octubre de 2018</v>
      </c>
      <c r="N1547" s="318">
        <f t="shared" si="390"/>
        <v>25</v>
      </c>
      <c r="O1547" s="24">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824</v>
      </c>
      <c r="J1548" s="59" t="s">
        <v>22</v>
      </c>
      <c r="L1548" s="5" t="str">
        <f t="shared" si="388"/>
        <v>01547</v>
      </c>
      <c r="M1548" s="46" t="str">
        <f t="shared" si="389"/>
        <v>25 de octubre de 2018</v>
      </c>
      <c r="N1548" s="318">
        <f t="shared" si="390"/>
        <v>25</v>
      </c>
      <c r="O1548" s="24">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824</v>
      </c>
      <c r="J1549" s="59" t="s">
        <v>22</v>
      </c>
      <c r="L1549" s="5" t="str">
        <f>IF(ISBLANK(A1549),"",TEXT(A1549,"00000"))</f>
        <v>01548</v>
      </c>
      <c r="M1549" s="46" t="str">
        <f>IF(ISBLANK(D1549),"",TEXT(D1549,"dd")&amp;" de "&amp;TEXT(D1549,"mmmm")&amp;" de "&amp;TEXT(YEAR(D1549),"0"))</f>
        <v>25 de octubre de 2018</v>
      </c>
      <c r="N1549" s="318">
        <f t="shared" si="390"/>
        <v>25</v>
      </c>
      <c r="O1549" s="24">
        <f>DATE(YEAR(D1549),MONTH(D1549),1)</f>
        <v>43374</v>
      </c>
      <c r="P1549" s="5" t="str">
        <f t="shared" si="392"/>
        <v>320,00</v>
      </c>
      <c r="Q1549" s="4" t="e">
        <f t="shared" ca="1" si="393"/>
        <v>#NAME?</v>
      </c>
    </row>
    <row r="1550" spans="1:17">
      <c r="A1550" s="1">
        <f t="shared" si="394"/>
        <v>1549</v>
      </c>
      <c r="C1550" s="83" t="s">
        <v>17</v>
      </c>
      <c r="D1550" s="2">
        <v>43398</v>
      </c>
      <c r="E1550" s="3">
        <v>355</v>
      </c>
      <c r="F1550" s="19" t="s">
        <v>57</v>
      </c>
      <c r="G1550" s="18" t="s">
        <v>58</v>
      </c>
      <c r="H1550" s="20" t="s">
        <v>59</v>
      </c>
      <c r="I1550" s="6" t="s">
        <v>824</v>
      </c>
      <c r="J1550" s="59" t="s">
        <v>22</v>
      </c>
      <c r="K1550" s="21"/>
      <c r="L1550" s="5" t="str">
        <f t="shared" ref="L1550:L1556" si="395">IF(ISBLANK(A1550),"",TEXT(A1550,"00000"))</f>
        <v>01549</v>
      </c>
      <c r="M1550" s="46" t="str">
        <f t="shared" ref="M1550:M1556" si="396">IF(ISBLANK(D1550),"",TEXT(D1550,"dd")&amp;" de "&amp;TEXT(D1550,"mmmm")&amp;" de "&amp;TEXT(YEAR(D1550),"0"))</f>
        <v>25 de octubre de 2018</v>
      </c>
      <c r="N1550" s="318">
        <f t="shared" si="390"/>
        <v>25</v>
      </c>
      <c r="O1550" s="24">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59" t="s">
        <v>22</v>
      </c>
      <c r="L1551" s="5" t="str">
        <f t="shared" si="395"/>
        <v>01550</v>
      </c>
      <c r="M1551" s="46" t="str">
        <f t="shared" si="396"/>
        <v>25 de octubre de 2018</v>
      </c>
      <c r="N1551" s="318">
        <f t="shared" si="390"/>
        <v>25</v>
      </c>
      <c r="O1551" s="24">
        <f t="shared" si="397"/>
        <v>43374</v>
      </c>
      <c r="P1551" s="5" t="str">
        <f t="shared" si="392"/>
        <v>300,00</v>
      </c>
      <c r="Q1551" s="4" t="e">
        <f t="shared" ca="1" si="393"/>
        <v>#NAME?</v>
      </c>
    </row>
    <row r="1552" spans="1:17">
      <c r="A1552" s="1">
        <f t="shared" si="394"/>
        <v>1551</v>
      </c>
      <c r="C1552" s="83" t="s">
        <v>17</v>
      </c>
      <c r="D1552" s="2">
        <v>43399</v>
      </c>
      <c r="E1552" s="3">
        <v>320</v>
      </c>
      <c r="F1552" t="s">
        <v>319</v>
      </c>
      <c r="G1552" s="18" t="s">
        <v>58</v>
      </c>
      <c r="H1552" t="s">
        <v>320</v>
      </c>
      <c r="I1552" s="6" t="s">
        <v>824</v>
      </c>
      <c r="J1552" s="59" t="s">
        <v>22</v>
      </c>
      <c r="L1552" s="5" t="str">
        <f t="shared" si="395"/>
        <v>01551</v>
      </c>
      <c r="M1552" s="46" t="str">
        <f t="shared" si="396"/>
        <v>26 de octubre de 2018</v>
      </c>
      <c r="N1552" s="318">
        <f t="shared" si="390"/>
        <v>26</v>
      </c>
      <c r="O1552" s="24">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840</v>
      </c>
      <c r="J1553" s="59" t="s">
        <v>22</v>
      </c>
      <c r="L1553" s="5" t="str">
        <f t="shared" si="395"/>
        <v>01552</v>
      </c>
      <c r="M1553" s="46" t="str">
        <f t="shared" si="396"/>
        <v>25 de octubre de 2018</v>
      </c>
      <c r="N1553" s="318">
        <f t="shared" si="390"/>
        <v>25</v>
      </c>
      <c r="O1553" s="24">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824</v>
      </c>
      <c r="J1554" s="59" t="s">
        <v>22</v>
      </c>
      <c r="L1554" s="5" t="str">
        <f t="shared" si="395"/>
        <v>01553</v>
      </c>
      <c r="M1554" s="46" t="str">
        <f t="shared" si="396"/>
        <v>29 de octubre de 2018</v>
      </c>
      <c r="N1554" s="318">
        <f t="shared" si="390"/>
        <v>29</v>
      </c>
      <c r="O1554" s="24">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841</v>
      </c>
      <c r="J1555" s="59" t="s">
        <v>828</v>
      </c>
      <c r="L1555" s="5" t="str">
        <f t="shared" si="395"/>
        <v>01554</v>
      </c>
      <c r="M1555" s="46" t="str">
        <f t="shared" si="396"/>
        <v>30 de octubre de 2018</v>
      </c>
      <c r="N1555" s="318">
        <f t="shared" si="390"/>
        <v>30</v>
      </c>
      <c r="O1555" s="24">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824</v>
      </c>
      <c r="J1556" s="59" t="s">
        <v>22</v>
      </c>
      <c r="L1556" s="5" t="str">
        <f t="shared" si="395"/>
        <v>01555</v>
      </c>
      <c r="M1556" s="46" t="str">
        <f t="shared" si="396"/>
        <v>30 de octubre de 2018</v>
      </c>
      <c r="N1556" s="318">
        <f t="shared" si="390"/>
        <v>30</v>
      </c>
      <c r="O1556" s="24">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842</v>
      </c>
      <c r="J1557" s="59" t="s">
        <v>22</v>
      </c>
      <c r="L1557" s="5" t="str">
        <f t="shared" ref="L1557:L1558" si="399">IF(ISBLANK(A1557),"",TEXT(A1557,"00000"))</f>
        <v>01556</v>
      </c>
      <c r="M1557" s="46" t="str">
        <f t="shared" ref="M1557:M1558" si="400">IF(ISBLANK(D1557),"",TEXT(D1557,"dd")&amp;" de "&amp;TEXT(D1557,"mmmm")&amp;" de "&amp;TEXT(YEAR(D1557),"0"))</f>
        <v>30 de octubre de 2018</v>
      </c>
      <c r="N1557" s="318">
        <f t="shared" ref="N1557:N1558" si="401">DAY(D1557)</f>
        <v>30</v>
      </c>
      <c r="O1557" s="24">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843</v>
      </c>
      <c r="J1558" s="59" t="s">
        <v>22</v>
      </c>
      <c r="L1558" s="5" t="str">
        <f t="shared" si="399"/>
        <v>01557</v>
      </c>
      <c r="M1558" s="46" t="str">
        <f t="shared" si="400"/>
        <v>30 de octubre de 2018</v>
      </c>
      <c r="N1558" s="318">
        <f t="shared" si="401"/>
        <v>30</v>
      </c>
      <c r="O1558" s="24">
        <f t="shared" si="402"/>
        <v>43374</v>
      </c>
      <c r="P1558" s="5" t="str">
        <f t="shared" si="403"/>
        <v>645,00</v>
      </c>
      <c r="Q1558" s="4" t="e">
        <f t="shared" ca="1" si="404"/>
        <v>#NAME?</v>
      </c>
    </row>
    <row r="1559" spans="1:17">
      <c r="A1559" s="1">
        <f t="shared" si="394"/>
        <v>1558</v>
      </c>
      <c r="C1559" s="8" t="s">
        <v>17</v>
      </c>
      <c r="D1559" s="2">
        <v>43403</v>
      </c>
      <c r="E1559" s="3">
        <v>320</v>
      </c>
      <c r="F1559" t="s">
        <v>844</v>
      </c>
      <c r="G1559" t="s">
        <v>845</v>
      </c>
      <c r="H1559" t="s">
        <v>169</v>
      </c>
      <c r="I1559" s="6" t="s">
        <v>824</v>
      </c>
      <c r="J1559" s="59" t="s">
        <v>22</v>
      </c>
      <c r="L1559" s="5" t="str">
        <f t="shared" ref="L1559" si="405">IF(ISBLANK(A1559),"",TEXT(A1559,"00000"))</f>
        <v>01558</v>
      </c>
      <c r="M1559" s="46" t="str">
        <f t="shared" ref="M1559" si="406">IF(ISBLANK(D1559),"",TEXT(D1559,"dd")&amp;" de "&amp;TEXT(D1559,"mmmm")&amp;" de "&amp;TEXT(YEAR(D1559),"0"))</f>
        <v>30 de octubre de 2018</v>
      </c>
      <c r="N1559" s="318">
        <f t="shared" ref="N1559" si="407">DAY(D1559)</f>
        <v>30</v>
      </c>
      <c r="O1559" s="24">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844</v>
      </c>
      <c r="G1560" t="s">
        <v>845</v>
      </c>
      <c r="H1560" t="s">
        <v>169</v>
      </c>
      <c r="I1560" s="6" t="s">
        <v>841</v>
      </c>
      <c r="J1560" s="59" t="s">
        <v>828</v>
      </c>
      <c r="L1560" s="5" t="str">
        <f t="shared" ref="L1560:L1592" si="411">IF(ISBLANK(A1560),"",TEXT(A1560,"00000"))</f>
        <v>01559</v>
      </c>
      <c r="M1560" s="46" t="str">
        <f t="shared" ref="M1560:M1592" si="412">IF(ISBLANK(D1560),"",TEXT(D1560,"dd")&amp;" de "&amp;TEXT(D1560,"mmmm")&amp;" de "&amp;TEXT(YEAR(D1560),"0"))</f>
        <v>30 de octubre de 2018</v>
      </c>
      <c r="N1560" s="318">
        <f t="shared" ref="N1560:N1596" si="413">DAY(D1560)</f>
        <v>30</v>
      </c>
      <c r="O1560" s="24">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59" t="s">
        <v>846</v>
      </c>
      <c r="J1561" s="59" t="s">
        <v>22</v>
      </c>
      <c r="L1561" s="5" t="str">
        <f t="shared" si="411"/>
        <v>01560</v>
      </c>
      <c r="M1561" s="46" t="str">
        <f t="shared" si="412"/>
        <v>23 de octubre de 2018</v>
      </c>
      <c r="N1561" s="318">
        <f t="shared" si="413"/>
        <v>23</v>
      </c>
      <c r="O1561" s="24">
        <f t="shared" si="414"/>
        <v>43374</v>
      </c>
      <c r="P1561" s="5" t="str">
        <f t="shared" si="415"/>
        <v>320,00</v>
      </c>
      <c r="Q1561" s="4" t="e">
        <f t="shared" ca="1" si="416"/>
        <v>#NAME?</v>
      </c>
    </row>
    <row r="1562" spans="1:17">
      <c r="A1562" s="1">
        <f t="shared" si="394"/>
        <v>1561</v>
      </c>
      <c r="C1562" s="83" t="s">
        <v>17</v>
      </c>
      <c r="D1562" s="2">
        <v>43403</v>
      </c>
      <c r="E1562" s="3">
        <v>320</v>
      </c>
      <c r="F1562" t="s">
        <v>259</v>
      </c>
      <c r="G1562" s="18" t="s">
        <v>58</v>
      </c>
      <c r="H1562" t="s">
        <v>261</v>
      </c>
      <c r="I1562" s="6" t="s">
        <v>824</v>
      </c>
      <c r="J1562" s="59" t="s">
        <v>22</v>
      </c>
      <c r="L1562" s="5" t="str">
        <f t="shared" si="411"/>
        <v>01561</v>
      </c>
      <c r="M1562" s="46" t="str">
        <f t="shared" si="412"/>
        <v>30 de octubre de 2018</v>
      </c>
      <c r="N1562" s="318">
        <f t="shared" si="413"/>
        <v>30</v>
      </c>
      <c r="O1562" s="24">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824</v>
      </c>
      <c r="J1563" s="59" t="s">
        <v>22</v>
      </c>
      <c r="L1563" s="5" t="str">
        <f t="shared" si="411"/>
        <v>01562</v>
      </c>
      <c r="M1563" s="46" t="str">
        <f t="shared" si="412"/>
        <v>31 de octubre de 2018</v>
      </c>
      <c r="N1563" s="318">
        <f t="shared" si="413"/>
        <v>31</v>
      </c>
      <c r="O1563" s="24">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824</v>
      </c>
      <c r="J1564" s="59" t="s">
        <v>22</v>
      </c>
      <c r="L1564" s="5" t="str">
        <f t="shared" si="411"/>
        <v>01563</v>
      </c>
      <c r="M1564" s="46" t="str">
        <f t="shared" si="412"/>
        <v>01 de noviembre de 2018</v>
      </c>
      <c r="N1564" s="318">
        <f t="shared" si="413"/>
        <v>1</v>
      </c>
      <c r="O1564" s="24">
        <f t="shared" si="414"/>
        <v>43405</v>
      </c>
      <c r="P1564" s="5" t="str">
        <f t="shared" si="415"/>
        <v>320,00</v>
      </c>
      <c r="Q1564" s="4" t="e">
        <f t="shared" ca="1" si="416"/>
        <v>#NAME?</v>
      </c>
    </row>
    <row r="1565" spans="1:17">
      <c r="A1565" s="1">
        <f t="shared" si="394"/>
        <v>1564</v>
      </c>
      <c r="C1565" s="8" t="s">
        <v>17</v>
      </c>
      <c r="D1565" s="2">
        <v>43405</v>
      </c>
      <c r="E1565" s="3">
        <v>640</v>
      </c>
      <c r="F1565" t="s">
        <v>786</v>
      </c>
      <c r="G1565" t="s">
        <v>787</v>
      </c>
      <c r="H1565" t="s">
        <v>719</v>
      </c>
      <c r="I1565" s="6" t="s">
        <v>847</v>
      </c>
      <c r="J1565" s="59" t="s">
        <v>22</v>
      </c>
      <c r="L1565" s="5" t="str">
        <f t="shared" si="411"/>
        <v>01564</v>
      </c>
      <c r="M1565" s="46" t="str">
        <f t="shared" si="412"/>
        <v>01 de noviembre de 2018</v>
      </c>
      <c r="N1565" s="318">
        <f t="shared" si="413"/>
        <v>1</v>
      </c>
      <c r="O1565" s="24">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811</v>
      </c>
      <c r="J1566" s="59" t="s">
        <v>22</v>
      </c>
      <c r="L1566" s="5" t="str">
        <f t="shared" si="411"/>
        <v>01565</v>
      </c>
      <c r="M1566" s="46" t="str">
        <f t="shared" si="412"/>
        <v>31 de octubre de 2018</v>
      </c>
      <c r="N1566" s="318">
        <f t="shared" si="413"/>
        <v>31</v>
      </c>
      <c r="O1566" s="24">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827</v>
      </c>
      <c r="J1567" s="59" t="s">
        <v>828</v>
      </c>
      <c r="L1567" s="5" t="str">
        <f t="shared" si="411"/>
        <v>01566</v>
      </c>
      <c r="M1567" s="46" t="str">
        <f t="shared" si="412"/>
        <v>31 de octubre de 2018</v>
      </c>
      <c r="N1567" s="318">
        <f t="shared" si="413"/>
        <v>31</v>
      </c>
      <c r="O1567" s="24">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848</v>
      </c>
      <c r="J1568" s="59" t="s">
        <v>22</v>
      </c>
      <c r="L1568" s="5" t="str">
        <f t="shared" si="411"/>
        <v>01567</v>
      </c>
      <c r="M1568" s="46" t="str">
        <f t="shared" si="412"/>
        <v>01 de noviembre de 2018</v>
      </c>
      <c r="N1568" s="318">
        <f t="shared" si="413"/>
        <v>1</v>
      </c>
      <c r="O1568" s="24">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840</v>
      </c>
      <c r="J1569" s="59" t="s">
        <v>22</v>
      </c>
      <c r="L1569" s="5" t="str">
        <f t="shared" si="411"/>
        <v>01568</v>
      </c>
      <c r="M1569" s="46" t="str">
        <f t="shared" si="412"/>
        <v>01 de noviembre de 2018</v>
      </c>
      <c r="N1569" s="318">
        <f t="shared" si="413"/>
        <v>1</v>
      </c>
      <c r="O1569" s="24">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849</v>
      </c>
      <c r="J1570" s="59" t="s">
        <v>22</v>
      </c>
      <c r="L1570" s="5" t="str">
        <f t="shared" si="411"/>
        <v>01569</v>
      </c>
      <c r="M1570" s="46" t="str">
        <f t="shared" si="412"/>
        <v>01 de noviembre de 2018</v>
      </c>
      <c r="N1570" s="318">
        <f t="shared" si="413"/>
        <v>1</v>
      </c>
      <c r="O1570" s="24">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849</v>
      </c>
      <c r="J1571" s="59" t="s">
        <v>22</v>
      </c>
      <c r="L1571" s="5" t="str">
        <f t="shared" si="411"/>
        <v>01570</v>
      </c>
      <c r="M1571" s="46" t="str">
        <f t="shared" si="412"/>
        <v>02 de noviembre de 2018</v>
      </c>
      <c r="N1571" s="318">
        <f t="shared" si="413"/>
        <v>2</v>
      </c>
      <c r="O1571" s="24">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849</v>
      </c>
      <c r="J1572" s="59" t="s">
        <v>22</v>
      </c>
      <c r="L1572" s="5" t="str">
        <f t="shared" si="411"/>
        <v>01571</v>
      </c>
      <c r="M1572" s="46" t="str">
        <f t="shared" si="412"/>
        <v>02 de noviembre de 2018</v>
      </c>
      <c r="N1572" s="318">
        <f t="shared" si="413"/>
        <v>2</v>
      </c>
      <c r="O1572" s="24">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849</v>
      </c>
      <c r="J1573" s="59" t="s">
        <v>22</v>
      </c>
      <c r="L1573" s="5" t="str">
        <f t="shared" si="411"/>
        <v>01572</v>
      </c>
      <c r="M1573" s="46" t="str">
        <f t="shared" si="412"/>
        <v>02 de noviembre de 2018</v>
      </c>
      <c r="N1573" s="318">
        <f t="shared" si="413"/>
        <v>2</v>
      </c>
      <c r="O1573" s="24">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847</v>
      </c>
      <c r="J1574" s="59" t="s">
        <v>22</v>
      </c>
      <c r="L1574" s="5" t="str">
        <f t="shared" si="411"/>
        <v>01573</v>
      </c>
      <c r="M1574" s="46" t="str">
        <f t="shared" si="412"/>
        <v>02 de noviembre de 2018</v>
      </c>
      <c r="N1574" s="318">
        <f t="shared" si="413"/>
        <v>2</v>
      </c>
      <c r="O1574" s="24">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850</v>
      </c>
      <c r="J1575" s="59" t="s">
        <v>22</v>
      </c>
      <c r="L1575" s="5" t="str">
        <f t="shared" si="411"/>
        <v>01574</v>
      </c>
      <c r="M1575" s="46" t="str">
        <f t="shared" si="412"/>
        <v>02 de noviembre de 2018</v>
      </c>
      <c r="N1575" s="318">
        <f t="shared" si="413"/>
        <v>2</v>
      </c>
      <c r="O1575" s="24">
        <f t="shared" si="414"/>
        <v>43405</v>
      </c>
      <c r="P1575" s="5" t="str">
        <f t="shared" si="415"/>
        <v>320,00</v>
      </c>
      <c r="Q1575" s="4" t="e">
        <f t="shared" ca="1" si="416"/>
        <v>#NAME?</v>
      </c>
    </row>
    <row r="1576" spans="1:17">
      <c r="A1576" s="1">
        <f t="shared" si="394"/>
        <v>1575</v>
      </c>
      <c r="C1576" s="83" t="s">
        <v>17</v>
      </c>
      <c r="D1576" s="2">
        <v>43407</v>
      </c>
      <c r="E1576" s="3">
        <v>320</v>
      </c>
      <c r="F1576" t="s">
        <v>40</v>
      </c>
      <c r="G1576" s="18" t="s">
        <v>58</v>
      </c>
      <c r="H1576" t="s">
        <v>42</v>
      </c>
      <c r="I1576" s="6" t="s">
        <v>849</v>
      </c>
      <c r="J1576" s="59" t="s">
        <v>22</v>
      </c>
      <c r="L1576" s="5" t="str">
        <f t="shared" si="411"/>
        <v>01575</v>
      </c>
      <c r="M1576" s="46" t="str">
        <f t="shared" si="412"/>
        <v>03 de noviembre de 2018</v>
      </c>
      <c r="N1576" s="318">
        <f t="shared" si="413"/>
        <v>3</v>
      </c>
      <c r="O1576" s="24">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849</v>
      </c>
      <c r="J1577" s="59" t="s">
        <v>22</v>
      </c>
      <c r="L1577" s="5" t="str">
        <f t="shared" si="411"/>
        <v>01576</v>
      </c>
      <c r="M1577" s="46" t="str">
        <f t="shared" si="412"/>
        <v>03 de noviembre de 2018</v>
      </c>
      <c r="N1577" s="318">
        <f t="shared" si="413"/>
        <v>3</v>
      </c>
      <c r="O1577" s="24">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849</v>
      </c>
      <c r="J1578" s="59" t="s">
        <v>22</v>
      </c>
      <c r="L1578" s="5" t="str">
        <f t="shared" si="411"/>
        <v>01577</v>
      </c>
      <c r="M1578" s="46" t="str">
        <f t="shared" si="412"/>
        <v>04 de noviembre de 2018</v>
      </c>
      <c r="N1578" s="318">
        <f t="shared" si="413"/>
        <v>4</v>
      </c>
      <c r="O1578" s="24">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851</v>
      </c>
      <c r="J1579" s="59" t="s">
        <v>22</v>
      </c>
      <c r="L1579" s="5" t="str">
        <f t="shared" si="411"/>
        <v>01578</v>
      </c>
      <c r="M1579" s="46" t="str">
        <f t="shared" si="412"/>
        <v>04 de noviembre de 2018</v>
      </c>
      <c r="N1579" s="318">
        <f t="shared" si="413"/>
        <v>4</v>
      </c>
      <c r="O1579" s="24">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824</v>
      </c>
      <c r="J1580" s="59" t="s">
        <v>22</v>
      </c>
      <c r="L1580" s="5" t="str">
        <f t="shared" si="411"/>
        <v>01579</v>
      </c>
      <c r="M1580" s="46" t="str">
        <f t="shared" si="412"/>
        <v>04 de noviembre de 2018</v>
      </c>
      <c r="N1580" s="318">
        <f t="shared" si="413"/>
        <v>4</v>
      </c>
      <c r="O1580" s="24">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849</v>
      </c>
      <c r="J1581" s="59" t="s">
        <v>22</v>
      </c>
      <c r="L1581" s="5" t="str">
        <f t="shared" si="411"/>
        <v>01580</v>
      </c>
      <c r="M1581" s="46" t="str">
        <f t="shared" si="412"/>
        <v>04 de noviembre de 2018</v>
      </c>
      <c r="N1581" s="318">
        <f t="shared" si="413"/>
        <v>4</v>
      </c>
      <c r="O1581" s="24">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852</v>
      </c>
      <c r="J1582" s="59" t="s">
        <v>22</v>
      </c>
      <c r="L1582" s="5" t="str">
        <f t="shared" si="411"/>
        <v>01581</v>
      </c>
      <c r="M1582" s="46" t="str">
        <f t="shared" si="412"/>
        <v>05 de noviembre de 2018</v>
      </c>
      <c r="N1582" s="318">
        <f t="shared" si="413"/>
        <v>5</v>
      </c>
      <c r="O1582" s="24">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824</v>
      </c>
      <c r="J1583" s="59" t="s">
        <v>22</v>
      </c>
      <c r="L1583" s="5" t="str">
        <f t="shared" si="411"/>
        <v>01582</v>
      </c>
      <c r="M1583" s="46" t="str">
        <f t="shared" si="412"/>
        <v>05 de noviembre de 2018</v>
      </c>
      <c r="N1583" s="318">
        <f t="shared" si="413"/>
        <v>5</v>
      </c>
      <c r="O1583" s="24">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849</v>
      </c>
      <c r="J1584" s="59" t="s">
        <v>22</v>
      </c>
      <c r="L1584" s="5" t="str">
        <f t="shared" si="411"/>
        <v>01583</v>
      </c>
      <c r="M1584" s="46" t="str">
        <f t="shared" si="412"/>
        <v>05 de noviembre de 2018</v>
      </c>
      <c r="N1584" s="318">
        <f t="shared" si="413"/>
        <v>5</v>
      </c>
      <c r="O1584" s="24">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824</v>
      </c>
      <c r="J1585" s="59" t="s">
        <v>22</v>
      </c>
      <c r="L1585" s="5" t="str">
        <f t="shared" si="411"/>
        <v>01584</v>
      </c>
      <c r="M1585" s="46" t="str">
        <f t="shared" si="412"/>
        <v>06 de noviembre de 2018</v>
      </c>
      <c r="N1585" s="318">
        <f t="shared" si="413"/>
        <v>6</v>
      </c>
      <c r="O1585" s="24">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849</v>
      </c>
      <c r="J1586" s="59" t="s">
        <v>22</v>
      </c>
      <c r="L1586" s="5" t="str">
        <f t="shared" si="411"/>
        <v>01585</v>
      </c>
      <c r="M1586" s="46" t="str">
        <f t="shared" si="412"/>
        <v>06 de noviembre de 2018</v>
      </c>
      <c r="N1586" s="318">
        <f t="shared" si="413"/>
        <v>6</v>
      </c>
      <c r="O1586" s="24">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849</v>
      </c>
      <c r="J1587" s="59" t="s">
        <v>22</v>
      </c>
      <c r="L1587" s="5" t="str">
        <f t="shared" si="411"/>
        <v>01586</v>
      </c>
      <c r="M1587" s="46" t="str">
        <f t="shared" si="412"/>
        <v>06 de noviembre de 2018</v>
      </c>
      <c r="N1587" s="318">
        <f t="shared" si="413"/>
        <v>6</v>
      </c>
      <c r="O1587" s="24">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849</v>
      </c>
      <c r="J1588" s="59" t="s">
        <v>22</v>
      </c>
      <c r="L1588" s="5" t="str">
        <f t="shared" si="411"/>
        <v>01587</v>
      </c>
      <c r="M1588" s="46" t="str">
        <f t="shared" si="412"/>
        <v>06 de noviembre de 2018</v>
      </c>
      <c r="N1588" s="318">
        <f t="shared" si="413"/>
        <v>6</v>
      </c>
      <c r="O1588" s="24">
        <f t="shared" si="414"/>
        <v>43405</v>
      </c>
      <c r="P1588" s="5" t="str">
        <f t="shared" si="415"/>
        <v>320,00</v>
      </c>
      <c r="Q1588" s="4" t="e">
        <f t="shared" ca="1" si="417"/>
        <v>#NAME?</v>
      </c>
    </row>
    <row r="1589" spans="1:17">
      <c r="A1589" s="1">
        <f t="shared" si="394"/>
        <v>1588</v>
      </c>
      <c r="C1589" s="8" t="s">
        <v>17</v>
      </c>
      <c r="D1589" s="2">
        <v>43411</v>
      </c>
      <c r="E1589" s="3">
        <v>320</v>
      </c>
      <c r="F1589" t="s">
        <v>844</v>
      </c>
      <c r="G1589" t="s">
        <v>845</v>
      </c>
      <c r="H1589" t="s">
        <v>169</v>
      </c>
      <c r="I1589" s="6" t="s">
        <v>849</v>
      </c>
      <c r="J1589" s="59" t="s">
        <v>22</v>
      </c>
      <c r="L1589" s="5" t="str">
        <f t="shared" si="411"/>
        <v>01588</v>
      </c>
      <c r="M1589" s="46" t="str">
        <f t="shared" si="412"/>
        <v>07 de noviembre de 2018</v>
      </c>
      <c r="N1589" s="318">
        <f t="shared" si="413"/>
        <v>7</v>
      </c>
      <c r="O1589" s="24">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853</v>
      </c>
      <c r="J1590" s="59" t="s">
        <v>22</v>
      </c>
      <c r="L1590" s="5" t="str">
        <f t="shared" si="411"/>
        <v>01589</v>
      </c>
      <c r="M1590" s="46" t="str">
        <f t="shared" si="412"/>
        <v>08 de noviembre de 2018</v>
      </c>
      <c r="N1590" s="318">
        <f t="shared" si="413"/>
        <v>8</v>
      </c>
      <c r="O1590" s="24">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854</v>
      </c>
      <c r="J1591" s="59" t="s">
        <v>22</v>
      </c>
      <c r="L1591" s="5" t="str">
        <f t="shared" si="411"/>
        <v>01590</v>
      </c>
      <c r="M1591" s="46" t="str">
        <f t="shared" si="412"/>
        <v>08 de noviembre de 2018</v>
      </c>
      <c r="N1591" s="318">
        <f t="shared" si="413"/>
        <v>8</v>
      </c>
      <c r="O1591" s="24">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855</v>
      </c>
      <c r="J1592" s="59" t="s">
        <v>22</v>
      </c>
      <c r="L1592" s="5" t="str">
        <f t="shared" si="411"/>
        <v>01591</v>
      </c>
      <c r="M1592" s="46" t="str">
        <f t="shared" si="412"/>
        <v>08 de noviembre de 2018</v>
      </c>
      <c r="N1592" s="318">
        <f t="shared" si="413"/>
        <v>8</v>
      </c>
      <c r="O1592" s="24">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856</v>
      </c>
      <c r="J1593" s="59" t="s">
        <v>22</v>
      </c>
      <c r="L1593" s="5" t="str">
        <f>IF(ISBLANK(A1593),"",TEXT(A1593,"00000"))</f>
        <v>01592</v>
      </c>
      <c r="M1593" s="46" t="str">
        <f>IF(ISBLANK(D1593),"",TEXT(D1593,"dd")&amp;" de "&amp;TEXT(D1593,"mmmm")&amp;" de "&amp;TEXT(YEAR(D1593),"0"))</f>
        <v>08 de noviembre de 2018</v>
      </c>
      <c r="N1593" s="318">
        <f t="shared" si="413"/>
        <v>8</v>
      </c>
      <c r="O1593" s="24">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1" t="s">
        <v>240</v>
      </c>
      <c r="H1594" t="s">
        <v>241</v>
      </c>
      <c r="I1594" s="6" t="s">
        <v>847</v>
      </c>
      <c r="J1594" s="59" t="s">
        <v>22</v>
      </c>
      <c r="L1594" s="5" t="str">
        <f t="shared" ref="L1594:L1596" si="420">IF(ISBLANK(A1594),"",TEXT(A1594,"00000"))</f>
        <v>01593</v>
      </c>
      <c r="M1594" s="46" t="str">
        <f t="shared" ref="M1594:M1596" si="421">IF(ISBLANK(D1594),"",TEXT(D1594,"dd")&amp;" de "&amp;TEXT(D1594,"mmmm")&amp;" de "&amp;TEXT(YEAR(D1594),"0"))</f>
        <v>08 de noviembre de 2018</v>
      </c>
      <c r="N1594" s="318">
        <f t="shared" si="413"/>
        <v>8</v>
      </c>
      <c r="O1594" s="24">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824</v>
      </c>
      <c r="J1595" s="59" t="s">
        <v>22</v>
      </c>
      <c r="L1595" s="5" t="str">
        <f t="shared" si="420"/>
        <v>01594</v>
      </c>
      <c r="M1595" s="46" t="str">
        <f t="shared" si="421"/>
        <v>09 de noviembre de 2018</v>
      </c>
      <c r="N1595" s="318">
        <f t="shared" si="413"/>
        <v>9</v>
      </c>
      <c r="O1595" s="24">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824</v>
      </c>
      <c r="J1596" s="59" t="s">
        <v>22</v>
      </c>
      <c r="L1596" s="5" t="str">
        <f t="shared" si="420"/>
        <v>01595</v>
      </c>
      <c r="M1596" s="46" t="str">
        <f t="shared" si="421"/>
        <v>10 de noviembre de 2018</v>
      </c>
      <c r="N1596" s="318">
        <f t="shared" si="413"/>
        <v>10</v>
      </c>
      <c r="O1596" s="24">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857</v>
      </c>
      <c r="J1597" s="59" t="s">
        <v>22</v>
      </c>
      <c r="L1597" s="5" t="str">
        <f t="shared" ref="L1597:L1624" si="423">IF(ISBLANK(A1597),"",TEXT(A1597,"00000"))</f>
        <v>01596</v>
      </c>
      <c r="M1597" s="46" t="str">
        <f t="shared" ref="M1597:M1624" si="424">IF(ISBLANK(D1597),"",TEXT(D1597,"dd")&amp;" de "&amp;TEXT(D1597,"mmmm")&amp;" de "&amp;TEXT(YEAR(D1597),"0"))</f>
        <v>11 de noviembre de 2018</v>
      </c>
      <c r="N1597" s="318">
        <f t="shared" ref="N1597:N1624" si="425">DAY(D1597)</f>
        <v>11</v>
      </c>
      <c r="O1597" s="24">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824</v>
      </c>
      <c r="J1598" s="59" t="s">
        <v>22</v>
      </c>
      <c r="L1598" s="5" t="str">
        <f t="shared" si="423"/>
        <v>01597</v>
      </c>
      <c r="M1598" s="46" t="str">
        <f t="shared" si="424"/>
        <v>12 de noviembre de 2018</v>
      </c>
      <c r="N1598" s="318">
        <f t="shared" si="425"/>
        <v>12</v>
      </c>
      <c r="O1598" s="24">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849</v>
      </c>
      <c r="J1599" s="59" t="s">
        <v>22</v>
      </c>
      <c r="L1599" s="5" t="str">
        <f t="shared" si="423"/>
        <v>01598</v>
      </c>
      <c r="M1599" s="46" t="str">
        <f t="shared" si="424"/>
        <v>13 de noviembre de 2018</v>
      </c>
      <c r="N1599" s="318">
        <f t="shared" si="425"/>
        <v>13</v>
      </c>
      <c r="O1599" s="24">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858</v>
      </c>
      <c r="J1600" s="59" t="s">
        <v>22</v>
      </c>
      <c r="L1600" s="5" t="str">
        <f t="shared" si="423"/>
        <v>01599</v>
      </c>
      <c r="M1600" s="46" t="str">
        <f t="shared" si="424"/>
        <v>14 de noviembre de 2018</v>
      </c>
      <c r="N1600" s="318">
        <f t="shared" si="425"/>
        <v>14</v>
      </c>
      <c r="O1600" s="24">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849</v>
      </c>
      <c r="J1601" s="59" t="s">
        <v>22</v>
      </c>
      <c r="L1601" s="5" t="str">
        <f t="shared" si="423"/>
        <v>01600</v>
      </c>
      <c r="M1601" s="46" t="str">
        <f t="shared" si="424"/>
        <v>14 de octubre de 2018</v>
      </c>
      <c r="N1601" s="318">
        <f t="shared" si="425"/>
        <v>14</v>
      </c>
      <c r="O1601" s="24">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849</v>
      </c>
      <c r="J1602" s="59" t="s">
        <v>22</v>
      </c>
      <c r="L1602" s="5" t="str">
        <f t="shared" si="423"/>
        <v>01601</v>
      </c>
      <c r="M1602" s="46" t="str">
        <f t="shared" si="424"/>
        <v>14 de octubre de 2018</v>
      </c>
      <c r="N1602" s="318">
        <f t="shared" si="425"/>
        <v>14</v>
      </c>
      <c r="O1602" s="24">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849</v>
      </c>
      <c r="J1603" s="59" t="s">
        <v>22</v>
      </c>
      <c r="L1603" s="5" t="str">
        <f t="shared" si="423"/>
        <v>01602</v>
      </c>
      <c r="M1603" s="46" t="str">
        <f t="shared" si="424"/>
        <v>15 de noviembre de 2018</v>
      </c>
      <c r="N1603" s="318">
        <f t="shared" si="425"/>
        <v>15</v>
      </c>
      <c r="O1603" s="24">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849</v>
      </c>
      <c r="J1604" s="59" t="s">
        <v>22</v>
      </c>
      <c r="L1604" s="5" t="str">
        <f t="shared" si="423"/>
        <v>01603</v>
      </c>
      <c r="M1604" s="46" t="str">
        <f t="shared" si="424"/>
        <v>17 de noviembre de 2018</v>
      </c>
      <c r="N1604" s="318">
        <f t="shared" si="425"/>
        <v>17</v>
      </c>
      <c r="O1604" s="24">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59" t="s">
        <v>840</v>
      </c>
      <c r="J1605" s="59" t="s">
        <v>22</v>
      </c>
      <c r="L1605" s="5" t="str">
        <f t="shared" si="423"/>
        <v>01604</v>
      </c>
      <c r="M1605" s="46" t="str">
        <f t="shared" si="424"/>
        <v>20 de noviembre de 2018</v>
      </c>
      <c r="N1605" s="318">
        <f t="shared" si="425"/>
        <v>20</v>
      </c>
      <c r="O1605" s="24">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849</v>
      </c>
      <c r="J1606" s="59" t="s">
        <v>22</v>
      </c>
      <c r="L1606" s="5" t="str">
        <f t="shared" si="423"/>
        <v>01605</v>
      </c>
      <c r="M1606" s="46" t="str">
        <f t="shared" si="424"/>
        <v>20 de noviembre de 2018</v>
      </c>
      <c r="N1606" s="318">
        <f t="shared" si="425"/>
        <v>20</v>
      </c>
      <c r="O1606" s="24">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849</v>
      </c>
      <c r="J1607" s="59" t="s">
        <v>22</v>
      </c>
      <c r="L1607" s="5" t="str">
        <f t="shared" si="423"/>
        <v>01606</v>
      </c>
      <c r="M1607" s="46" t="str">
        <f t="shared" si="424"/>
        <v>20 de noviembre de 2018</v>
      </c>
      <c r="N1607" s="318">
        <f t="shared" si="425"/>
        <v>20</v>
      </c>
      <c r="O1607" s="24">
        <f t="shared" si="426"/>
        <v>43405</v>
      </c>
      <c r="P1607" s="5" t="str">
        <f t="shared" si="427"/>
        <v>320,00</v>
      </c>
      <c r="Q1607" s="4" t="e">
        <f t="shared" ca="1" si="429"/>
        <v>#NAME?</v>
      </c>
    </row>
    <row r="1608" spans="1:17">
      <c r="A1608" s="1">
        <f t="shared" si="432"/>
        <v>1607</v>
      </c>
      <c r="C1608" s="83" t="s">
        <v>17</v>
      </c>
      <c r="D1608" s="2">
        <v>43425</v>
      </c>
      <c r="E1608" s="160">
        <v>200</v>
      </c>
      <c r="F1608" t="s">
        <v>492</v>
      </c>
      <c r="G1608" s="18" t="s">
        <v>58</v>
      </c>
      <c r="H1608" t="s">
        <v>493</v>
      </c>
      <c r="I1608" s="6" t="s">
        <v>846</v>
      </c>
      <c r="J1608" s="59" t="s">
        <v>22</v>
      </c>
      <c r="L1608" s="5" t="str">
        <f t="shared" si="423"/>
        <v>01607</v>
      </c>
      <c r="M1608" s="46" t="str">
        <f t="shared" si="424"/>
        <v>21 de noviembre de 2018</v>
      </c>
      <c r="N1608" s="318">
        <f t="shared" si="425"/>
        <v>21</v>
      </c>
      <c r="O1608" s="24">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824</v>
      </c>
      <c r="J1609" s="59" t="s">
        <v>22</v>
      </c>
      <c r="L1609" s="5" t="str">
        <f t="shared" si="423"/>
        <v>01608</v>
      </c>
      <c r="M1609" s="46" t="str">
        <f t="shared" si="424"/>
        <v>21 de noviembre de 2018</v>
      </c>
      <c r="N1609" s="318">
        <f t="shared" si="425"/>
        <v>21</v>
      </c>
      <c r="O1609" s="24">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852</v>
      </c>
      <c r="J1610" s="59" t="s">
        <v>22</v>
      </c>
      <c r="L1610" s="5" t="str">
        <f t="shared" si="423"/>
        <v>01609</v>
      </c>
      <c r="M1610" s="46" t="str">
        <f t="shared" si="424"/>
        <v>21 de noviembre de 2018</v>
      </c>
      <c r="N1610" s="318">
        <f t="shared" si="425"/>
        <v>21</v>
      </c>
      <c r="O1610" s="24">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849</v>
      </c>
      <c r="J1611" s="59" t="s">
        <v>22</v>
      </c>
      <c r="L1611" s="5" t="str">
        <f t="shared" si="423"/>
        <v>01610</v>
      </c>
      <c r="M1611" s="46" t="str">
        <f t="shared" si="424"/>
        <v>22 de noviembre de 2018</v>
      </c>
      <c r="N1611" s="318">
        <f t="shared" si="425"/>
        <v>22</v>
      </c>
      <c r="O1611" s="24">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847</v>
      </c>
      <c r="J1612" s="59" t="s">
        <v>22</v>
      </c>
      <c r="L1612" s="5" t="str">
        <f t="shared" si="423"/>
        <v>01611</v>
      </c>
      <c r="M1612" s="46" t="str">
        <f t="shared" si="424"/>
        <v>10 de noviembre de 2018</v>
      </c>
      <c r="N1612" s="318">
        <f t="shared" si="425"/>
        <v>10</v>
      </c>
      <c r="O1612" s="24">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824</v>
      </c>
      <c r="J1613" s="59" t="s">
        <v>22</v>
      </c>
      <c r="L1613" s="5" t="str">
        <f t="shared" si="423"/>
        <v>01612</v>
      </c>
      <c r="M1613" s="46" t="str">
        <f t="shared" si="424"/>
        <v>22 de noviembre de 2018</v>
      </c>
      <c r="N1613" s="318">
        <f t="shared" si="425"/>
        <v>22</v>
      </c>
      <c r="O1613" s="24">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859</v>
      </c>
      <c r="J1614" s="59" t="s">
        <v>22</v>
      </c>
      <c r="L1614" s="5" t="str">
        <f t="shared" si="423"/>
        <v>01613</v>
      </c>
      <c r="M1614" s="46" t="str">
        <f t="shared" si="424"/>
        <v>23 de noviembre de 2018</v>
      </c>
      <c r="N1614" s="318">
        <f t="shared" si="425"/>
        <v>23</v>
      </c>
      <c r="O1614" s="24">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860</v>
      </c>
      <c r="J1615" s="59" t="s">
        <v>22</v>
      </c>
      <c r="L1615" s="5" t="str">
        <f t="shared" si="423"/>
        <v>01614</v>
      </c>
      <c r="M1615" s="46" t="str">
        <f t="shared" si="424"/>
        <v>23 de noviembre de 2018</v>
      </c>
      <c r="N1615" s="318">
        <f t="shared" si="425"/>
        <v>23</v>
      </c>
      <c r="O1615" s="24">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861</v>
      </c>
      <c r="J1616" s="59" t="s">
        <v>22</v>
      </c>
      <c r="L1616" s="5" t="str">
        <f t="shared" si="423"/>
        <v>01615</v>
      </c>
      <c r="M1616" s="46" t="str">
        <f t="shared" si="424"/>
        <v>20 de noviembre de 2018</v>
      </c>
      <c r="N1616" s="318">
        <f t="shared" si="425"/>
        <v>20</v>
      </c>
      <c r="O1616" s="24">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862</v>
      </c>
      <c r="J1617" s="59" t="s">
        <v>22</v>
      </c>
      <c r="L1617" s="5" t="str">
        <f t="shared" si="423"/>
        <v>01616</v>
      </c>
      <c r="M1617" s="46" t="str">
        <f t="shared" si="424"/>
        <v>24 de noviembre de 2018</v>
      </c>
      <c r="N1617" s="318">
        <f t="shared" si="425"/>
        <v>24</v>
      </c>
      <c r="O1617" s="24">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849</v>
      </c>
      <c r="J1618" s="59" t="s">
        <v>22</v>
      </c>
      <c r="L1618" s="5" t="str">
        <f t="shared" si="423"/>
        <v>01617</v>
      </c>
      <c r="M1618" s="46" t="str">
        <f t="shared" si="424"/>
        <v>26 de noviembre de 2018</v>
      </c>
      <c r="N1618" s="318">
        <f t="shared" si="425"/>
        <v>26</v>
      </c>
      <c r="O1618" s="24">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849</v>
      </c>
      <c r="J1619" s="59" t="s">
        <v>22</v>
      </c>
      <c r="L1619" s="5" t="str">
        <f t="shared" si="423"/>
        <v>01618</v>
      </c>
      <c r="M1619" s="46" t="str">
        <f t="shared" si="424"/>
        <v>26 de noviembre de 2018</v>
      </c>
      <c r="N1619" s="318">
        <f t="shared" si="425"/>
        <v>26</v>
      </c>
      <c r="O1619" s="24">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858</v>
      </c>
      <c r="J1620" s="59" t="s">
        <v>22</v>
      </c>
      <c r="L1620" s="5" t="str">
        <f t="shared" si="423"/>
        <v>01619</v>
      </c>
      <c r="M1620" s="46" t="str">
        <f t="shared" si="424"/>
        <v>26 de noviembre de 2018</v>
      </c>
      <c r="N1620" s="318">
        <f t="shared" si="425"/>
        <v>26</v>
      </c>
      <c r="O1620" s="24">
        <f t="shared" si="426"/>
        <v>43405</v>
      </c>
      <c r="P1620" s="5" t="str">
        <f t="shared" si="427"/>
        <v>350,00</v>
      </c>
      <c r="Q1620" s="4" t="e">
        <f t="shared" ca="1" si="435"/>
        <v>#NAME?</v>
      </c>
    </row>
    <row r="1621" spans="1:17">
      <c r="A1621" s="1">
        <f t="shared" si="434"/>
        <v>1620</v>
      </c>
      <c r="C1621" s="83" t="s">
        <v>17</v>
      </c>
      <c r="D1621" s="2">
        <v>43430</v>
      </c>
      <c r="E1621" s="3">
        <v>320</v>
      </c>
      <c r="F1621" t="s">
        <v>319</v>
      </c>
      <c r="G1621" s="18" t="s">
        <v>58</v>
      </c>
      <c r="H1621" t="s">
        <v>320</v>
      </c>
      <c r="I1621" s="6" t="s">
        <v>849</v>
      </c>
      <c r="J1621" s="59" t="s">
        <v>22</v>
      </c>
      <c r="L1621" s="5" t="str">
        <f t="shared" si="423"/>
        <v>01620</v>
      </c>
      <c r="M1621" s="46" t="str">
        <f t="shared" si="424"/>
        <v>26 de noviembre de 2018</v>
      </c>
      <c r="N1621" s="318">
        <f t="shared" si="425"/>
        <v>26</v>
      </c>
      <c r="O1621" s="24">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849</v>
      </c>
      <c r="J1622" s="59" t="s">
        <v>22</v>
      </c>
      <c r="L1622" s="5" t="str">
        <f t="shared" si="423"/>
        <v>01621</v>
      </c>
      <c r="M1622" s="46" t="str">
        <f t="shared" si="424"/>
        <v>29 de noviembre de 2018</v>
      </c>
      <c r="N1622" s="318">
        <f t="shared" si="425"/>
        <v>29</v>
      </c>
      <c r="O1622" s="24">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863</v>
      </c>
      <c r="J1623" s="59" t="s">
        <v>22</v>
      </c>
      <c r="L1623" s="5" t="str">
        <f t="shared" si="423"/>
        <v>01622</v>
      </c>
      <c r="M1623" s="46" t="str">
        <f t="shared" si="424"/>
        <v>02 de diciembre de 2018</v>
      </c>
      <c r="N1623" s="318">
        <f t="shared" si="425"/>
        <v>2</v>
      </c>
      <c r="O1623" s="24">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863</v>
      </c>
      <c r="J1624" s="59" t="s">
        <v>22</v>
      </c>
      <c r="L1624" s="5" t="str">
        <f t="shared" si="423"/>
        <v>01623</v>
      </c>
      <c r="M1624" s="46" t="str">
        <f t="shared" si="424"/>
        <v>02 de diciembre de 2018</v>
      </c>
      <c r="N1624" s="318">
        <f t="shared" si="425"/>
        <v>2</v>
      </c>
      <c r="O1624" s="24">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863</v>
      </c>
      <c r="J1625" s="59" t="s">
        <v>22</v>
      </c>
      <c r="L1625" s="5" t="str">
        <f t="shared" ref="L1625:L1630" si="436">IF(ISBLANK(A1625),"",TEXT(A1625,"00000"))</f>
        <v>01624</v>
      </c>
      <c r="M1625" s="46" t="str">
        <f t="shared" ref="M1625:M1630" si="437">IF(ISBLANK(D1625),"",TEXT(D1625,"dd")&amp;" de "&amp;TEXT(D1625,"mmmm")&amp;" de "&amp;TEXT(YEAR(D1625),"0"))</f>
        <v>03 de diciembre de 2018</v>
      </c>
      <c r="N1625" s="318">
        <f t="shared" ref="N1625:N1630" si="438">DAY(D1625)</f>
        <v>3</v>
      </c>
      <c r="O1625" s="24">
        <f t="shared" ref="O1625:O1630" si="439">DATE(YEAR(D1625),MONTH(D1625),1)</f>
        <v>43435</v>
      </c>
      <c r="P1625" s="5" t="str">
        <f t="shared" ref="P1625:P1630" si="440">TEXT(E1625,"#.##0,00")</f>
        <v>240,00</v>
      </c>
      <c r="Q1625" s="4" t="e">
        <f t="shared" ca="1" si="435"/>
        <v>#NAME?</v>
      </c>
    </row>
    <row r="1626" spans="1:17">
      <c r="A1626" s="1">
        <f t="shared" ref="A1626" si="441">A1625+1</f>
        <v>1625</v>
      </c>
      <c r="C1626" s="83" t="s">
        <v>17</v>
      </c>
      <c r="D1626" s="2">
        <v>43437</v>
      </c>
      <c r="E1626" s="3">
        <v>320</v>
      </c>
      <c r="F1626" t="s">
        <v>40</v>
      </c>
      <c r="G1626" s="18" t="s">
        <v>58</v>
      </c>
      <c r="H1626" t="s">
        <v>42</v>
      </c>
      <c r="I1626" s="6" t="s">
        <v>863</v>
      </c>
      <c r="J1626" s="59" t="s">
        <v>22</v>
      </c>
      <c r="L1626" s="5" t="str">
        <f t="shared" si="436"/>
        <v>01625</v>
      </c>
      <c r="M1626" s="46" t="str">
        <f t="shared" si="437"/>
        <v>03 de diciembre de 2018</v>
      </c>
      <c r="N1626" s="318">
        <f t="shared" si="438"/>
        <v>3</v>
      </c>
      <c r="O1626" s="24">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862</v>
      </c>
      <c r="J1627" s="59" t="s">
        <v>22</v>
      </c>
      <c r="L1627" s="5" t="str">
        <f t="shared" si="436"/>
        <v>01626</v>
      </c>
      <c r="M1627" s="46" t="str">
        <f t="shared" si="437"/>
        <v>03 de diciembre de 2018</v>
      </c>
      <c r="N1627" s="318">
        <f t="shared" si="438"/>
        <v>3</v>
      </c>
      <c r="O1627" s="24">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862</v>
      </c>
      <c r="J1628" s="59" t="s">
        <v>22</v>
      </c>
      <c r="L1628" s="5" t="str">
        <f t="shared" si="436"/>
        <v>01627</v>
      </c>
      <c r="M1628" s="46" t="str">
        <f t="shared" si="437"/>
        <v>03 de diciembre de 2018</v>
      </c>
      <c r="N1628" s="318">
        <f t="shared" si="438"/>
        <v>3</v>
      </c>
      <c r="O1628" s="24">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862</v>
      </c>
      <c r="J1629" s="59" t="s">
        <v>22</v>
      </c>
      <c r="L1629" s="5" t="str">
        <f t="shared" si="436"/>
        <v>01628</v>
      </c>
      <c r="M1629" s="46" t="str">
        <f t="shared" si="437"/>
        <v>03 de diciembre de 2018</v>
      </c>
      <c r="N1629" s="318">
        <f t="shared" si="438"/>
        <v>3</v>
      </c>
      <c r="O1629" s="24">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862</v>
      </c>
      <c r="J1630" s="59" t="s">
        <v>22</v>
      </c>
      <c r="L1630" s="5" t="str">
        <f t="shared" si="436"/>
        <v>01629</v>
      </c>
      <c r="M1630" s="46" t="str">
        <f t="shared" si="437"/>
        <v>04 de diciembre de 2018</v>
      </c>
      <c r="N1630" s="318">
        <f t="shared" si="438"/>
        <v>4</v>
      </c>
      <c r="O1630" s="24">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849</v>
      </c>
      <c r="J1631" s="59" t="s">
        <v>22</v>
      </c>
      <c r="L1631" s="5" t="str">
        <f t="shared" ref="L1631:L1636" si="443">IF(ISBLANK(A1631),"",TEXT(A1631,"00000"))</f>
        <v>01630</v>
      </c>
      <c r="M1631" s="46" t="str">
        <f t="shared" ref="M1631:M1636" si="444">IF(ISBLANK(D1631),"",TEXT(D1631,"dd")&amp;" de "&amp;TEXT(D1631,"mmmm")&amp;" de "&amp;TEXT(YEAR(D1631),"0"))</f>
        <v>04 de diciembre de 2018</v>
      </c>
      <c r="N1631" s="318">
        <f t="shared" ref="N1631:N1655" si="445">DAY(D1631)</f>
        <v>4</v>
      </c>
      <c r="O1631" s="24">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3" t="s">
        <v>17</v>
      </c>
      <c r="D1632" s="2">
        <v>43438</v>
      </c>
      <c r="E1632" s="3">
        <v>1625</v>
      </c>
      <c r="F1632" s="22" t="s">
        <v>422</v>
      </c>
      <c r="G1632" s="18" t="s">
        <v>58</v>
      </c>
      <c r="H1632" t="s">
        <v>423</v>
      </c>
      <c r="I1632" s="6" t="s">
        <v>852</v>
      </c>
      <c r="J1632" s="59" t="s">
        <v>22</v>
      </c>
      <c r="L1632" s="5" t="str">
        <f t="shared" si="443"/>
        <v>01631</v>
      </c>
      <c r="M1632" s="46" t="str">
        <f t="shared" si="444"/>
        <v>04 de diciembre de 2018</v>
      </c>
      <c r="N1632" s="318">
        <f t="shared" si="445"/>
        <v>4</v>
      </c>
      <c r="O1632" s="24">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849</v>
      </c>
      <c r="J1633" s="59" t="s">
        <v>22</v>
      </c>
      <c r="L1633" s="5" t="str">
        <f t="shared" si="443"/>
        <v>01632</v>
      </c>
      <c r="M1633" s="46" t="str">
        <f t="shared" si="444"/>
        <v>04 de diciembre de 2018</v>
      </c>
      <c r="N1633" s="318">
        <f t="shared" si="445"/>
        <v>4</v>
      </c>
      <c r="O1633" s="24">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862</v>
      </c>
      <c r="J1634" s="59" t="s">
        <v>22</v>
      </c>
      <c r="L1634" s="5" t="str">
        <f t="shared" si="443"/>
        <v>01633</v>
      </c>
      <c r="M1634" s="46" t="str">
        <f t="shared" si="444"/>
        <v>04 de diciembre de 2018</v>
      </c>
      <c r="N1634" s="318">
        <f t="shared" si="445"/>
        <v>4</v>
      </c>
      <c r="O1634" s="24">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864</v>
      </c>
      <c r="J1635" s="59" t="s">
        <v>22</v>
      </c>
      <c r="L1635" s="5" t="str">
        <f t="shared" si="443"/>
        <v>01634</v>
      </c>
      <c r="M1635" s="46" t="str">
        <f t="shared" si="444"/>
        <v>05 de diciembre de 2018</v>
      </c>
      <c r="N1635" s="318">
        <f t="shared" si="445"/>
        <v>5</v>
      </c>
      <c r="O1635" s="24">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865</v>
      </c>
      <c r="J1636" s="59" t="s">
        <v>22</v>
      </c>
      <c r="L1636" s="5" t="str">
        <f t="shared" si="443"/>
        <v>01635</v>
      </c>
      <c r="M1636" s="46" t="str">
        <f t="shared" si="444"/>
        <v>05 de diciembre de 2018</v>
      </c>
      <c r="N1636" s="318">
        <f t="shared" si="445"/>
        <v>5</v>
      </c>
      <c r="O1636" s="24">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866</v>
      </c>
      <c r="J1637" s="59" t="s">
        <v>22</v>
      </c>
      <c r="L1637" s="5" t="str">
        <f>IF(ISBLANK(A1637),"",TEXT(A1637,"00000"))</f>
        <v>01636</v>
      </c>
      <c r="M1637" s="46" t="str">
        <f>IF(ISBLANK(D1637),"",TEXT(D1637,"dd")&amp;" de "&amp;TEXT(D1637,"mmmm")&amp;" de "&amp;TEXT(YEAR(D1637),"0"))</f>
        <v>05 de diciembre de 2018</v>
      </c>
      <c r="N1637" s="318">
        <f t="shared" si="445"/>
        <v>5</v>
      </c>
      <c r="O1637" s="24">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867</v>
      </c>
      <c r="J1638" s="59" t="s">
        <v>22</v>
      </c>
      <c r="L1638" s="5" t="str">
        <f t="shared" ref="L1638:L1655" si="449">IF(ISBLANK(A1638),"",TEXT(A1638,"00000"))</f>
        <v>01637</v>
      </c>
      <c r="M1638" s="46" t="str">
        <f t="shared" ref="M1638:M1655" si="450">IF(ISBLANK(D1638),"",TEXT(D1638,"dd")&amp;" de "&amp;TEXT(D1638,"mmmm")&amp;" de "&amp;TEXT(YEAR(D1638),"0"))</f>
        <v>05 de diciembre de 2018</v>
      </c>
      <c r="N1638" s="318">
        <f t="shared" si="445"/>
        <v>5</v>
      </c>
      <c r="O1638" s="24">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868</v>
      </c>
      <c r="J1639" s="59" t="s">
        <v>22</v>
      </c>
      <c r="L1639" s="5" t="str">
        <f t="shared" si="449"/>
        <v>01638</v>
      </c>
      <c r="M1639" s="46" t="str">
        <f t="shared" si="450"/>
        <v>05 de diciembre de 2018</v>
      </c>
      <c r="N1639" s="318">
        <f t="shared" si="445"/>
        <v>5</v>
      </c>
      <c r="O1639" s="24">
        <f t="shared" si="451"/>
        <v>43435</v>
      </c>
      <c r="P1639" s="5" t="str">
        <f t="shared" si="447"/>
        <v>800,00</v>
      </c>
      <c r="Q1639" s="4" t="e">
        <f t="shared" ca="1" si="448"/>
        <v>#NAME?</v>
      </c>
    </row>
    <row r="1640" spans="1:17">
      <c r="A1640" s="1">
        <f t="shared" si="442"/>
        <v>1639</v>
      </c>
      <c r="C1640" s="83" t="s">
        <v>17</v>
      </c>
      <c r="D1640" s="2">
        <v>43405</v>
      </c>
      <c r="E1640" s="3">
        <v>320</v>
      </c>
      <c r="F1640" t="s">
        <v>177</v>
      </c>
      <c r="G1640" s="18" t="s">
        <v>58</v>
      </c>
      <c r="H1640" t="s">
        <v>179</v>
      </c>
      <c r="I1640" s="6" t="s">
        <v>824</v>
      </c>
      <c r="J1640" s="59" t="s">
        <v>22</v>
      </c>
      <c r="L1640" s="5" t="str">
        <f t="shared" si="449"/>
        <v>01639</v>
      </c>
      <c r="M1640" s="46" t="str">
        <f t="shared" si="450"/>
        <v>01 de noviembre de 2018</v>
      </c>
      <c r="N1640" s="318">
        <f t="shared" si="445"/>
        <v>1</v>
      </c>
      <c r="O1640" s="24">
        <f t="shared" si="451"/>
        <v>43405</v>
      </c>
      <c r="P1640" s="5" t="str">
        <f t="shared" si="447"/>
        <v>320,00</v>
      </c>
      <c r="Q1640" s="4" t="e">
        <f t="shared" ca="1" si="448"/>
        <v>#NAME?</v>
      </c>
    </row>
    <row r="1641" spans="1:17">
      <c r="A1641" s="1">
        <f t="shared" si="442"/>
        <v>1640</v>
      </c>
      <c r="C1641" s="83" t="s">
        <v>17</v>
      </c>
      <c r="D1641" s="2">
        <v>43434</v>
      </c>
      <c r="E1641" s="3">
        <v>320</v>
      </c>
      <c r="F1641" t="s">
        <v>177</v>
      </c>
      <c r="G1641" s="18" t="s">
        <v>58</v>
      </c>
      <c r="H1641" t="s">
        <v>179</v>
      </c>
      <c r="I1641" s="6" t="s">
        <v>849</v>
      </c>
      <c r="J1641" s="59" t="s">
        <v>22</v>
      </c>
      <c r="L1641" s="5" t="str">
        <f t="shared" si="449"/>
        <v>01640</v>
      </c>
      <c r="M1641" s="46" t="str">
        <f t="shared" si="450"/>
        <v>30 de noviembre de 2018</v>
      </c>
      <c r="N1641" s="318">
        <f t="shared" si="445"/>
        <v>30</v>
      </c>
      <c r="O1641" s="24">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864</v>
      </c>
      <c r="J1642" s="59" t="s">
        <v>22</v>
      </c>
      <c r="L1642" s="5" t="str">
        <f t="shared" si="449"/>
        <v>01641</v>
      </c>
      <c r="M1642" s="46" t="str">
        <f t="shared" si="450"/>
        <v>05 de diciembre de 2018</v>
      </c>
      <c r="N1642" s="318">
        <f t="shared" si="445"/>
        <v>5</v>
      </c>
      <c r="O1642" s="24">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864</v>
      </c>
      <c r="J1643" s="59" t="s">
        <v>22</v>
      </c>
      <c r="L1643" s="5" t="str">
        <f t="shared" si="449"/>
        <v>01642</v>
      </c>
      <c r="M1643" s="46" t="str">
        <f t="shared" si="450"/>
        <v>05 de noviembre de 2018</v>
      </c>
      <c r="N1643" s="318">
        <f t="shared" si="445"/>
        <v>5</v>
      </c>
      <c r="O1643" s="24">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862</v>
      </c>
      <c r="J1644" s="59" t="s">
        <v>22</v>
      </c>
      <c r="L1644" s="5" t="str">
        <f t="shared" si="449"/>
        <v>01643</v>
      </c>
      <c r="M1644" s="46" t="str">
        <f t="shared" si="450"/>
        <v>06 de diciembre de 2018</v>
      </c>
      <c r="N1644" s="318">
        <f t="shared" si="445"/>
        <v>6</v>
      </c>
      <c r="O1644" s="24">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862</v>
      </c>
      <c r="J1645" s="59" t="s">
        <v>22</v>
      </c>
      <c r="L1645" s="5" t="str">
        <f t="shared" si="449"/>
        <v>01644</v>
      </c>
      <c r="M1645" s="46" t="str">
        <f t="shared" si="450"/>
        <v>06 de diciembre de 2018</v>
      </c>
      <c r="N1645" s="318">
        <f t="shared" si="445"/>
        <v>6</v>
      </c>
      <c r="O1645" s="24">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862</v>
      </c>
      <c r="J1646" s="59" t="s">
        <v>22</v>
      </c>
      <c r="L1646" s="5" t="str">
        <f t="shared" si="449"/>
        <v>01645</v>
      </c>
      <c r="M1646" s="46" t="str">
        <f t="shared" si="450"/>
        <v>06 de diciembre de 2018</v>
      </c>
      <c r="N1646" s="318">
        <f t="shared" si="445"/>
        <v>6</v>
      </c>
      <c r="O1646" s="24">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862</v>
      </c>
      <c r="J1647" s="59" t="s">
        <v>22</v>
      </c>
      <c r="L1647" s="5" t="str">
        <f t="shared" si="449"/>
        <v>01646</v>
      </c>
      <c r="M1647" s="46" t="str">
        <f t="shared" si="450"/>
        <v>06 de diciembre de 2018</v>
      </c>
      <c r="N1647" s="318">
        <f t="shared" si="445"/>
        <v>6</v>
      </c>
      <c r="O1647" s="24">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849</v>
      </c>
      <c r="J1648" s="59" t="s">
        <v>22</v>
      </c>
      <c r="L1648" s="5" t="str">
        <f t="shared" si="449"/>
        <v>01647</v>
      </c>
      <c r="M1648" s="46" t="str">
        <f t="shared" si="450"/>
        <v>06 de diciembre de 2018</v>
      </c>
      <c r="N1648" s="318">
        <f t="shared" si="445"/>
        <v>6</v>
      </c>
      <c r="O1648" s="24">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862</v>
      </c>
      <c r="J1649" s="59" t="s">
        <v>22</v>
      </c>
      <c r="L1649" s="5" t="str">
        <f t="shared" si="449"/>
        <v>01648</v>
      </c>
      <c r="M1649" s="46" t="str">
        <f t="shared" si="450"/>
        <v>07 de diciembre de 2018</v>
      </c>
      <c r="N1649" s="318">
        <f t="shared" si="445"/>
        <v>7</v>
      </c>
      <c r="O1649" s="24">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869</v>
      </c>
      <c r="J1650" s="59" t="s">
        <v>22</v>
      </c>
      <c r="L1650" s="5" t="str">
        <f t="shared" si="449"/>
        <v>01649</v>
      </c>
      <c r="M1650" s="46" t="str">
        <f t="shared" si="450"/>
        <v>08 de diciembre de 2018</v>
      </c>
      <c r="N1650" s="318">
        <f t="shared" si="445"/>
        <v>8</v>
      </c>
      <c r="O1650" s="24">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851</v>
      </c>
      <c r="J1651" s="59" t="s">
        <v>22</v>
      </c>
      <c r="L1651" s="5" t="str">
        <f t="shared" si="449"/>
        <v>01650</v>
      </c>
      <c r="M1651" s="46" t="str">
        <f t="shared" si="450"/>
        <v>08 de diciembre de 2018</v>
      </c>
      <c r="N1651" s="318">
        <f t="shared" si="445"/>
        <v>8</v>
      </c>
      <c r="O1651" s="24">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862</v>
      </c>
      <c r="J1652" s="59" t="s">
        <v>22</v>
      </c>
      <c r="L1652" s="5" t="str">
        <f t="shared" si="449"/>
        <v>01651</v>
      </c>
      <c r="M1652" s="46" t="str">
        <f t="shared" si="450"/>
        <v>08 de diciembre de 2018</v>
      </c>
      <c r="N1652" s="318">
        <f t="shared" si="445"/>
        <v>8</v>
      </c>
      <c r="O1652" s="24">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862</v>
      </c>
      <c r="J1653" s="59" t="s">
        <v>22</v>
      </c>
      <c r="L1653" s="5" t="str">
        <f t="shared" si="449"/>
        <v>01652</v>
      </c>
      <c r="M1653" s="46" t="str">
        <f t="shared" si="450"/>
        <v>08 de diciembre de 2018</v>
      </c>
      <c r="N1653" s="318">
        <f t="shared" si="445"/>
        <v>8</v>
      </c>
      <c r="O1653" s="24">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849</v>
      </c>
      <c r="J1654" s="59" t="s">
        <v>22</v>
      </c>
      <c r="L1654" s="5" t="str">
        <f t="shared" si="449"/>
        <v>01653</v>
      </c>
      <c r="M1654" s="46" t="str">
        <f t="shared" si="450"/>
        <v>09 de diciembre de 2018</v>
      </c>
      <c r="N1654" s="318">
        <f t="shared" si="445"/>
        <v>9</v>
      </c>
      <c r="O1654" s="24">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862</v>
      </c>
      <c r="J1655" s="59" t="s">
        <v>22</v>
      </c>
      <c r="L1655" s="5" t="str">
        <f t="shared" si="449"/>
        <v>01654</v>
      </c>
      <c r="M1655" s="46" t="str">
        <f t="shared" si="450"/>
        <v>09 de diciembre de 2018</v>
      </c>
      <c r="N1655" s="318">
        <f t="shared" si="445"/>
        <v>9</v>
      </c>
      <c r="O1655" s="24">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862</v>
      </c>
      <c r="J1656" s="59" t="s">
        <v>22</v>
      </c>
      <c r="L1656" s="5" t="str">
        <f t="shared" ref="L1656:L1672" si="453">IF(ISBLANK(A1656),"",TEXT(A1656,"00000"))</f>
        <v>01655</v>
      </c>
      <c r="M1656" s="46" t="str">
        <f t="shared" ref="M1656:M1672" si="454">IF(ISBLANK(D1656),"",TEXT(D1656,"dd")&amp;" de "&amp;TEXT(D1656,"mmmm")&amp;" de "&amp;TEXT(YEAR(D1656),"0"))</f>
        <v>09 de diciembre de 2018</v>
      </c>
      <c r="N1656" s="318">
        <f t="shared" ref="N1656:N1672" si="455">DAY(D1656)</f>
        <v>9</v>
      </c>
      <c r="O1656" s="24">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862</v>
      </c>
      <c r="J1657" s="59" t="s">
        <v>22</v>
      </c>
      <c r="L1657" s="5" t="str">
        <f t="shared" si="453"/>
        <v>01656</v>
      </c>
      <c r="M1657" s="46" t="str">
        <f t="shared" si="454"/>
        <v>09 de diciembre de 2018</v>
      </c>
      <c r="N1657" s="318">
        <f t="shared" si="455"/>
        <v>9</v>
      </c>
      <c r="O1657" s="24">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824</v>
      </c>
      <c r="J1658" s="59" t="s">
        <v>22</v>
      </c>
      <c r="L1658" s="5" t="str">
        <f t="shared" si="453"/>
        <v>01657</v>
      </c>
      <c r="M1658" s="46" t="str">
        <f t="shared" si="454"/>
        <v>31 de octubre de 2018</v>
      </c>
      <c r="N1658" s="318">
        <f t="shared" si="455"/>
        <v>31</v>
      </c>
      <c r="O1658" s="24">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862</v>
      </c>
      <c r="J1659" s="59" t="s">
        <v>22</v>
      </c>
      <c r="L1659" s="5" t="str">
        <f t="shared" si="453"/>
        <v>01658</v>
      </c>
      <c r="M1659" s="46" t="str">
        <f t="shared" si="454"/>
        <v>07 de diciembre de 2018</v>
      </c>
      <c r="N1659" s="318">
        <f t="shared" si="455"/>
        <v>7</v>
      </c>
      <c r="O1659" s="24">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862</v>
      </c>
      <c r="J1660" s="59" t="s">
        <v>22</v>
      </c>
      <c r="L1660" s="5" t="str">
        <f t="shared" si="453"/>
        <v>01659</v>
      </c>
      <c r="M1660" s="46" t="str">
        <f t="shared" si="454"/>
        <v>10 de diciembre de 2018</v>
      </c>
      <c r="N1660" s="318">
        <f t="shared" si="455"/>
        <v>10</v>
      </c>
      <c r="O1660" s="24">
        <f t="shared" si="456"/>
        <v>43435</v>
      </c>
      <c r="P1660" s="5" t="str">
        <f t="shared" si="457"/>
        <v>800,00</v>
      </c>
      <c r="Q1660" s="4" t="e">
        <f t="shared" ca="1" si="458"/>
        <v>#NAME?</v>
      </c>
    </row>
    <row r="1661" spans="1:17">
      <c r="A1661" s="1">
        <f t="shared" si="452"/>
        <v>1660</v>
      </c>
      <c r="C1661" s="8" t="s">
        <v>17</v>
      </c>
      <c r="D1661" s="2">
        <v>43445</v>
      </c>
      <c r="E1661" s="3">
        <v>800</v>
      </c>
      <c r="F1661" t="s">
        <v>239</v>
      </c>
      <c r="G1661" s="71" t="s">
        <v>240</v>
      </c>
      <c r="H1661" t="s">
        <v>241</v>
      </c>
      <c r="I1661" s="6" t="s">
        <v>862</v>
      </c>
      <c r="J1661" s="59" t="s">
        <v>22</v>
      </c>
      <c r="L1661" s="5" t="str">
        <f t="shared" si="453"/>
        <v>01660</v>
      </c>
      <c r="M1661" s="46" t="str">
        <f t="shared" si="454"/>
        <v>11 de diciembre de 2018</v>
      </c>
      <c r="N1661" s="318">
        <f t="shared" si="455"/>
        <v>11</v>
      </c>
      <c r="O1661" s="24">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862</v>
      </c>
      <c r="J1662" s="59" t="s">
        <v>22</v>
      </c>
      <c r="L1662" s="5" t="str">
        <f t="shared" si="453"/>
        <v>01661</v>
      </c>
      <c r="M1662" s="46" t="str">
        <f t="shared" si="454"/>
        <v>11 de diciembre de 2018</v>
      </c>
      <c r="N1662" s="318">
        <f t="shared" si="455"/>
        <v>11</v>
      </c>
      <c r="O1662" s="24">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849</v>
      </c>
      <c r="J1663" s="59" t="s">
        <v>22</v>
      </c>
      <c r="L1663" s="5" t="str">
        <f t="shared" si="453"/>
        <v>01662</v>
      </c>
      <c r="M1663" s="46" t="str">
        <f t="shared" si="454"/>
        <v>19 de noviembre de 2018</v>
      </c>
      <c r="N1663" s="318">
        <f t="shared" si="455"/>
        <v>19</v>
      </c>
      <c r="O1663" s="24">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862</v>
      </c>
      <c r="J1664" s="59" t="s">
        <v>22</v>
      </c>
      <c r="L1664" s="5" t="str">
        <f t="shared" si="453"/>
        <v>01663</v>
      </c>
      <c r="M1664" s="46" t="str">
        <f t="shared" si="454"/>
        <v>13 de diciembre de 2018</v>
      </c>
      <c r="N1664" s="318">
        <f t="shared" si="455"/>
        <v>13</v>
      </c>
      <c r="O1664" s="24">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870</v>
      </c>
      <c r="J1665" s="59" t="s">
        <v>22</v>
      </c>
      <c r="L1665" s="5" t="str">
        <f t="shared" si="453"/>
        <v>01664</v>
      </c>
      <c r="M1665" s="46" t="str">
        <f t="shared" si="454"/>
        <v>13 de diciembre de 2018</v>
      </c>
      <c r="N1665" s="318">
        <f t="shared" si="455"/>
        <v>13</v>
      </c>
      <c r="O1665" s="24">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849</v>
      </c>
      <c r="J1666" s="59" t="s">
        <v>22</v>
      </c>
      <c r="L1666" s="5" t="str">
        <f t="shared" si="453"/>
        <v>01665</v>
      </c>
      <c r="M1666" s="46" t="str">
        <f t="shared" si="454"/>
        <v>11 de noviembre de 2018</v>
      </c>
      <c r="N1666" s="318">
        <f t="shared" si="455"/>
        <v>11</v>
      </c>
      <c r="O1666" s="24">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871</v>
      </c>
      <c r="J1667" s="59" t="s">
        <v>22</v>
      </c>
      <c r="L1667" s="5" t="str">
        <f t="shared" si="453"/>
        <v>01666</v>
      </c>
      <c r="M1667" s="46" t="str">
        <f t="shared" si="454"/>
        <v>13 de diciembre de 2018</v>
      </c>
      <c r="N1667" s="318">
        <f t="shared" si="455"/>
        <v>13</v>
      </c>
      <c r="O1667" s="24">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849</v>
      </c>
      <c r="J1668" s="59" t="s">
        <v>22</v>
      </c>
      <c r="L1668" s="5" t="str">
        <f t="shared" si="453"/>
        <v>01667</v>
      </c>
      <c r="M1668" s="46" t="str">
        <f t="shared" si="454"/>
        <v>13 de diciembre de 2018</v>
      </c>
      <c r="N1668" s="318">
        <f t="shared" si="455"/>
        <v>13</v>
      </c>
      <c r="O1668" s="24">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849</v>
      </c>
      <c r="J1669" s="59" t="s">
        <v>22</v>
      </c>
      <c r="L1669" s="5" t="str">
        <f t="shared" si="453"/>
        <v>01668</v>
      </c>
      <c r="M1669" s="46" t="str">
        <f t="shared" si="454"/>
        <v>14 de diciembre de 2018</v>
      </c>
      <c r="N1669" s="318">
        <f t="shared" si="455"/>
        <v>14</v>
      </c>
      <c r="O1669" s="24">
        <f t="shared" si="456"/>
        <v>43435</v>
      </c>
      <c r="P1669" s="5" t="str">
        <f t="shared" si="459"/>
        <v>320,00</v>
      </c>
      <c r="Q1669" s="4" t="e">
        <f t="shared" ca="1" si="460"/>
        <v>#NAME?</v>
      </c>
    </row>
    <row r="1670" spans="1:17">
      <c r="A1670" s="1">
        <f t="shared" si="452"/>
        <v>1669</v>
      </c>
      <c r="C1670" s="83" t="s">
        <v>17</v>
      </c>
      <c r="D1670" s="2">
        <v>43448</v>
      </c>
      <c r="E1670" s="3">
        <v>320</v>
      </c>
      <c r="F1670" t="s">
        <v>259</v>
      </c>
      <c r="G1670" s="18" t="s">
        <v>58</v>
      </c>
      <c r="H1670" t="s">
        <v>261</v>
      </c>
      <c r="I1670" s="6" t="s">
        <v>849</v>
      </c>
      <c r="J1670" s="59" t="s">
        <v>22</v>
      </c>
      <c r="L1670" s="5" t="str">
        <f t="shared" si="453"/>
        <v>01669</v>
      </c>
      <c r="M1670" s="46" t="str">
        <f t="shared" si="454"/>
        <v>14 de diciembre de 2018</v>
      </c>
      <c r="N1670" s="318">
        <f t="shared" si="455"/>
        <v>14</v>
      </c>
      <c r="O1670" s="24">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872</v>
      </c>
      <c r="J1671" s="59" t="s">
        <v>22</v>
      </c>
      <c r="L1671" s="5" t="str">
        <f t="shared" si="453"/>
        <v>01670</v>
      </c>
      <c r="M1671" s="46" t="str">
        <f t="shared" si="454"/>
        <v>14 de diciembre de 2018</v>
      </c>
      <c r="N1671" s="318">
        <f t="shared" si="455"/>
        <v>14</v>
      </c>
      <c r="O1671" s="24">
        <f t="shared" si="456"/>
        <v>43435</v>
      </c>
      <c r="P1671" s="5" t="str">
        <f t="shared" si="459"/>
        <v>3.000,00</v>
      </c>
      <c r="Q1671" s="4" t="e">
        <f t="shared" ca="1" si="460"/>
        <v>#NAME?</v>
      </c>
    </row>
    <row r="1672" spans="1:17">
      <c r="A1672" s="1">
        <f t="shared" si="452"/>
        <v>1671</v>
      </c>
      <c r="C1672" s="83" t="s">
        <v>17</v>
      </c>
      <c r="D1672" s="2">
        <v>43448</v>
      </c>
      <c r="E1672" s="3">
        <f>320*3+800</f>
        <v>1760</v>
      </c>
      <c r="F1672" t="s">
        <v>410</v>
      </c>
      <c r="G1672" s="18" t="s">
        <v>58</v>
      </c>
      <c r="H1672" t="s">
        <v>411</v>
      </c>
      <c r="I1672" s="6" t="s">
        <v>873</v>
      </c>
      <c r="J1672" s="59" t="s">
        <v>22</v>
      </c>
      <c r="L1672" s="5" t="str">
        <f t="shared" si="453"/>
        <v>01671</v>
      </c>
      <c r="M1672" s="46" t="str">
        <f t="shared" si="454"/>
        <v>14 de diciembre de 2018</v>
      </c>
      <c r="N1672" s="318">
        <f t="shared" si="455"/>
        <v>14</v>
      </c>
      <c r="O1672" s="24">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862</v>
      </c>
      <c r="J1673" s="59" t="s">
        <v>22</v>
      </c>
      <c r="L1673" s="5" t="str">
        <f t="shared" ref="L1673:L1685" si="461">IF(ISBLANK(A1673),"",TEXT(A1673,"00000"))</f>
        <v>01672</v>
      </c>
      <c r="M1673" s="46" t="str">
        <f t="shared" ref="M1673:M1685" si="462">IF(ISBLANK(D1673),"",TEXT(D1673,"dd")&amp;" de "&amp;TEXT(D1673,"mmmm")&amp;" de "&amp;TEXT(YEAR(D1673),"0"))</f>
        <v>15 de diciembre de 2018</v>
      </c>
      <c r="N1673" s="318">
        <f t="shared" ref="N1673:N1685" si="463">DAY(D1673)</f>
        <v>15</v>
      </c>
      <c r="O1673" s="24">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3" t="s">
        <v>17</v>
      </c>
      <c r="D1674" s="2">
        <v>43450</v>
      </c>
      <c r="E1674" s="3">
        <v>355</v>
      </c>
      <c r="F1674" s="19" t="s">
        <v>57</v>
      </c>
      <c r="G1674" s="18" t="s">
        <v>58</v>
      </c>
      <c r="H1674" s="20" t="s">
        <v>59</v>
      </c>
      <c r="I1674" s="6" t="s">
        <v>849</v>
      </c>
      <c r="J1674" s="59" t="s">
        <v>22</v>
      </c>
      <c r="K1674" s="21"/>
      <c r="L1674" s="5" t="str">
        <f t="shared" si="461"/>
        <v>01673</v>
      </c>
      <c r="M1674" s="46" t="str">
        <f t="shared" si="462"/>
        <v>16 de diciembre de 2018</v>
      </c>
      <c r="N1674" s="318">
        <f t="shared" si="463"/>
        <v>16</v>
      </c>
      <c r="O1674" s="24">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874</v>
      </c>
      <c r="J1675" s="59" t="s">
        <v>22</v>
      </c>
      <c r="L1675" s="5" t="str">
        <f t="shared" si="461"/>
        <v>01674</v>
      </c>
      <c r="M1675" s="46" t="str">
        <f t="shared" si="462"/>
        <v>16 de diciembre de 2018</v>
      </c>
      <c r="N1675" s="318">
        <f t="shared" si="463"/>
        <v>16</v>
      </c>
      <c r="O1675" s="24">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875</v>
      </c>
      <c r="J1676" s="59" t="s">
        <v>22</v>
      </c>
      <c r="L1676" s="5" t="str">
        <f t="shared" si="461"/>
        <v>01675</v>
      </c>
      <c r="M1676" s="46" t="str">
        <f t="shared" si="462"/>
        <v>17 de diciembre de 2018</v>
      </c>
      <c r="N1676" s="318">
        <f t="shared" si="463"/>
        <v>17</v>
      </c>
      <c r="O1676" s="24">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852</v>
      </c>
      <c r="J1677" s="59" t="s">
        <v>22</v>
      </c>
      <c r="L1677" s="5" t="str">
        <f t="shared" si="461"/>
        <v>01676</v>
      </c>
      <c r="M1677" s="46" t="str">
        <f t="shared" si="462"/>
        <v>17 de diciembre de 2018</v>
      </c>
      <c r="N1677" s="318">
        <f t="shared" si="463"/>
        <v>17</v>
      </c>
      <c r="O1677" s="24">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849</v>
      </c>
      <c r="J1678" s="59" t="s">
        <v>22</v>
      </c>
      <c r="L1678" s="5" t="str">
        <f t="shared" si="461"/>
        <v>01677</v>
      </c>
      <c r="M1678" s="46" t="str">
        <f t="shared" si="462"/>
        <v>17 de diciembre de 2018</v>
      </c>
      <c r="N1678" s="318">
        <f t="shared" si="463"/>
        <v>17</v>
      </c>
      <c r="O1678" s="24">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862</v>
      </c>
      <c r="J1679" s="59" t="s">
        <v>22</v>
      </c>
      <c r="L1679" s="5" t="str">
        <f t="shared" si="461"/>
        <v>01678</v>
      </c>
      <c r="M1679" s="46" t="str">
        <f t="shared" si="462"/>
        <v>18 de diciembre de 2018</v>
      </c>
      <c r="N1679" s="318">
        <f t="shared" si="463"/>
        <v>18</v>
      </c>
      <c r="O1679" s="24">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876</v>
      </c>
      <c r="J1680" s="59" t="s">
        <v>22</v>
      </c>
      <c r="L1680" s="5" t="str">
        <f t="shared" si="461"/>
        <v>01679</v>
      </c>
      <c r="M1680" s="46" t="str">
        <f t="shared" si="462"/>
        <v>18 de diciembre de 2018</v>
      </c>
      <c r="N1680" s="318">
        <f t="shared" si="463"/>
        <v>18</v>
      </c>
      <c r="O1680" s="24">
        <f t="shared" si="464"/>
        <v>43435</v>
      </c>
      <c r="P1680" s="5" t="str">
        <f t="shared" si="465"/>
        <v>1.950,00</v>
      </c>
      <c r="Q1680" s="4" t="e">
        <f t="shared" ca="1" si="466"/>
        <v>#NAME?</v>
      </c>
    </row>
    <row r="1681" spans="1:17">
      <c r="A1681" s="1">
        <f t="shared" si="452"/>
        <v>1680</v>
      </c>
      <c r="C1681" s="83" t="s">
        <v>17</v>
      </c>
      <c r="D1681" s="2">
        <v>43453</v>
      </c>
      <c r="E1681" s="3">
        <v>980</v>
      </c>
      <c r="F1681" t="s">
        <v>40</v>
      </c>
      <c r="G1681" s="18" t="s">
        <v>58</v>
      </c>
      <c r="H1681" t="s">
        <v>42</v>
      </c>
      <c r="I1681" s="6" t="s">
        <v>877</v>
      </c>
      <c r="J1681" s="59" t="s">
        <v>22</v>
      </c>
      <c r="L1681" s="5" t="str">
        <f t="shared" si="461"/>
        <v>01680</v>
      </c>
      <c r="M1681" s="46" t="str">
        <f t="shared" si="462"/>
        <v>19 de diciembre de 2018</v>
      </c>
      <c r="N1681" s="318">
        <f t="shared" si="463"/>
        <v>19</v>
      </c>
      <c r="O1681" s="24">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862</v>
      </c>
      <c r="J1682" s="59" t="s">
        <v>22</v>
      </c>
      <c r="L1682" s="5" t="str">
        <f t="shared" si="461"/>
        <v>01681</v>
      </c>
      <c r="M1682" s="46" t="str">
        <f t="shared" si="462"/>
        <v>22 de diciembre de 2018</v>
      </c>
      <c r="N1682" s="318">
        <f t="shared" si="463"/>
        <v>22</v>
      </c>
      <c r="O1682" s="24">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864</v>
      </c>
      <c r="J1683" s="59" t="s">
        <v>22</v>
      </c>
      <c r="L1683" s="5" t="str">
        <f t="shared" si="461"/>
        <v>01682</v>
      </c>
      <c r="M1683" s="46" t="str">
        <f t="shared" si="462"/>
        <v>23 de diciembre de 2018</v>
      </c>
      <c r="N1683" s="318">
        <f t="shared" si="463"/>
        <v>23</v>
      </c>
      <c r="O1683" s="24">
        <f t="shared" si="464"/>
        <v>43435</v>
      </c>
      <c r="P1683" s="5" t="str">
        <f t="shared" si="465"/>
        <v>480,00</v>
      </c>
      <c r="Q1683" s="4" t="e">
        <f t="shared" ca="1" si="466"/>
        <v>#NAME?</v>
      </c>
    </row>
    <row r="1684" spans="1:17">
      <c r="A1684" s="1">
        <f t="shared" si="452"/>
        <v>1683</v>
      </c>
      <c r="C1684" s="83" t="s">
        <v>17</v>
      </c>
      <c r="D1684" s="2">
        <v>43459</v>
      </c>
      <c r="E1684" s="3">
        <v>1450</v>
      </c>
      <c r="F1684" t="s">
        <v>479</v>
      </c>
      <c r="G1684" s="18" t="s">
        <v>58</v>
      </c>
      <c r="H1684" t="s">
        <v>481</v>
      </c>
      <c r="I1684" s="6" t="s">
        <v>878</v>
      </c>
      <c r="J1684" s="59" t="s">
        <v>22</v>
      </c>
      <c r="L1684" s="5" t="str">
        <f t="shared" si="461"/>
        <v>01683</v>
      </c>
      <c r="M1684" s="46" t="str">
        <f t="shared" si="462"/>
        <v>25 de diciembre de 2018</v>
      </c>
      <c r="N1684" s="318">
        <f t="shared" si="463"/>
        <v>25</v>
      </c>
      <c r="O1684" s="24">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879</v>
      </c>
      <c r="J1685" s="59" t="s">
        <v>22</v>
      </c>
      <c r="L1685" s="5" t="str">
        <f t="shared" si="461"/>
        <v>01684</v>
      </c>
      <c r="M1685" s="46" t="str">
        <f t="shared" si="462"/>
        <v>25 de diciembre de 2018</v>
      </c>
      <c r="N1685" s="318">
        <f t="shared" si="463"/>
        <v>25</v>
      </c>
      <c r="O1685" s="24">
        <f t="shared" si="464"/>
        <v>43435</v>
      </c>
      <c r="P1685" s="5" t="str">
        <f t="shared" si="465"/>
        <v>500,00</v>
      </c>
      <c r="Q1685" s="4" t="e">
        <f t="shared" ca="1" si="466"/>
        <v>#NAME?</v>
      </c>
    </row>
    <row r="1686" spans="1:17">
      <c r="A1686" s="1">
        <f t="shared" si="452"/>
        <v>1685</v>
      </c>
      <c r="C1686" s="83" t="s">
        <v>17</v>
      </c>
      <c r="D1686" s="2">
        <v>43460</v>
      </c>
      <c r="E1686" s="3">
        <v>800</v>
      </c>
      <c r="F1686" s="19" t="s">
        <v>57</v>
      </c>
      <c r="G1686" s="18" t="s">
        <v>58</v>
      </c>
      <c r="H1686" s="20" t="s">
        <v>59</v>
      </c>
      <c r="I1686" s="6" t="s">
        <v>862</v>
      </c>
      <c r="J1686" s="59" t="s">
        <v>22</v>
      </c>
      <c r="K1686" s="21"/>
      <c r="L1686" s="5" t="str">
        <f t="shared" ref="L1686:L1695" si="467">IF(ISBLANK(A1686),"",TEXT(A1686,"00000"))</f>
        <v>01685</v>
      </c>
      <c r="M1686" s="46" t="str">
        <f t="shared" ref="M1686:M1695" si="468">IF(ISBLANK(D1686),"",TEXT(D1686,"dd")&amp;" de "&amp;TEXT(D1686,"mmmm")&amp;" de "&amp;TEXT(YEAR(D1686),"0"))</f>
        <v>26 de diciembre de 2018</v>
      </c>
      <c r="N1686" s="318">
        <f t="shared" ref="N1686:N1695" si="469">DAY(D1686)</f>
        <v>26</v>
      </c>
      <c r="O1686" s="24">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59" t="s">
        <v>874</v>
      </c>
      <c r="J1687" s="59" t="s">
        <v>22</v>
      </c>
      <c r="L1687" s="5" t="str">
        <f t="shared" si="467"/>
        <v>01686</v>
      </c>
      <c r="M1687" s="46" t="str">
        <f t="shared" si="468"/>
        <v>26 de diciembre de 2018</v>
      </c>
      <c r="N1687" s="318">
        <f t="shared" si="469"/>
        <v>26</v>
      </c>
      <c r="O1687" s="24">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862</v>
      </c>
      <c r="J1688" s="59" t="s">
        <v>22</v>
      </c>
      <c r="L1688" s="5" t="str">
        <f t="shared" si="467"/>
        <v>01687</v>
      </c>
      <c r="M1688" s="46" t="str">
        <f t="shared" si="468"/>
        <v>28 de diciembre de 2018</v>
      </c>
      <c r="N1688" s="318">
        <f t="shared" si="469"/>
        <v>28</v>
      </c>
      <c r="O1688" s="24">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880</v>
      </c>
      <c r="J1689" s="59" t="s">
        <v>22</v>
      </c>
      <c r="L1689" s="5" t="str">
        <f t="shared" si="467"/>
        <v>01688</v>
      </c>
      <c r="M1689" s="46" t="str">
        <f t="shared" si="468"/>
        <v>29 de diciembre de 2018</v>
      </c>
      <c r="N1689" s="318">
        <f t="shared" si="469"/>
        <v>29</v>
      </c>
      <c r="O1689" s="24">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852</v>
      </c>
      <c r="J1690" s="59" t="s">
        <v>22</v>
      </c>
      <c r="L1690" s="5" t="str">
        <f t="shared" si="467"/>
        <v>01689</v>
      </c>
      <c r="M1690" s="46" t="str">
        <f t="shared" si="468"/>
        <v>02 de enero de 2019</v>
      </c>
      <c r="N1690" s="318">
        <f t="shared" si="469"/>
        <v>2</v>
      </c>
      <c r="O1690" s="24">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879</v>
      </c>
      <c r="J1691" s="59" t="s">
        <v>22</v>
      </c>
      <c r="L1691" s="5" t="str">
        <f t="shared" si="467"/>
        <v>01690</v>
      </c>
      <c r="M1691" s="46" t="str">
        <f t="shared" si="468"/>
        <v>03 de enero de 2019</v>
      </c>
      <c r="N1691" s="318">
        <f t="shared" si="469"/>
        <v>3</v>
      </c>
      <c r="O1691" s="24">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881</v>
      </c>
      <c r="J1692" s="59" t="s">
        <v>22</v>
      </c>
      <c r="L1692" s="5" t="str">
        <f t="shared" si="467"/>
        <v>01691</v>
      </c>
      <c r="M1692" s="46" t="str">
        <f t="shared" si="468"/>
        <v>03 de enero de 2019</v>
      </c>
      <c r="N1692" s="318">
        <f t="shared" si="469"/>
        <v>3</v>
      </c>
      <c r="O1692" s="24">
        <f t="shared" si="470"/>
        <v>43466</v>
      </c>
      <c r="P1692" s="5" t="str">
        <f>TEXT(E1692,"#.##0,00")</f>
        <v>800,00</v>
      </c>
      <c r="Q1692" s="4" t="e">
        <f ca="1">CONVERTIRNUM(E1692)</f>
        <v>#NAME?</v>
      </c>
    </row>
    <row r="1693" spans="1:17">
      <c r="A1693" s="1">
        <f t="shared" si="452"/>
        <v>1692</v>
      </c>
      <c r="C1693" s="83" t="s">
        <v>17</v>
      </c>
      <c r="D1693" s="2">
        <v>43468</v>
      </c>
      <c r="E1693" s="3">
        <v>1600</v>
      </c>
      <c r="F1693" t="s">
        <v>319</v>
      </c>
      <c r="G1693" s="18" t="s">
        <v>58</v>
      </c>
      <c r="H1693" t="s">
        <v>320</v>
      </c>
      <c r="I1693" s="6" t="s">
        <v>880</v>
      </c>
      <c r="J1693" s="59" t="s">
        <v>22</v>
      </c>
      <c r="L1693" s="5" t="str">
        <f t="shared" si="467"/>
        <v>01692</v>
      </c>
      <c r="M1693" s="46" t="str">
        <f t="shared" si="468"/>
        <v>03 de enero de 2019</v>
      </c>
      <c r="N1693" s="318">
        <f t="shared" si="469"/>
        <v>3</v>
      </c>
      <c r="O1693" s="24">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882</v>
      </c>
      <c r="J1694" s="59" t="s">
        <v>22</v>
      </c>
      <c r="L1694" s="5" t="str">
        <f t="shared" si="467"/>
        <v>01693</v>
      </c>
      <c r="M1694" s="46" t="str">
        <f t="shared" si="468"/>
        <v>05 de enero de 2019</v>
      </c>
      <c r="N1694" s="318">
        <f t="shared" si="469"/>
        <v>5</v>
      </c>
      <c r="O1694" s="24">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870</v>
      </c>
      <c r="J1695" s="59" t="s">
        <v>22</v>
      </c>
      <c r="L1695" s="5" t="str">
        <f t="shared" si="467"/>
        <v>01694</v>
      </c>
      <c r="M1695" s="46" t="str">
        <f t="shared" si="468"/>
        <v>06 de enero de 2019</v>
      </c>
      <c r="N1695" s="318">
        <f t="shared" si="469"/>
        <v>6</v>
      </c>
      <c r="O1695" s="24">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882</v>
      </c>
      <c r="J1696" s="59" t="s">
        <v>22</v>
      </c>
      <c r="L1696" s="5" t="str">
        <f t="shared" ref="L1696:L1713" si="476">IF(ISBLANK(A1696),"",TEXT(A1696,"00000"))</f>
        <v>01695</v>
      </c>
      <c r="M1696" s="46" t="str">
        <f t="shared" ref="M1696:M1713" si="477">IF(ISBLANK(D1696),"",TEXT(D1696,"dd")&amp;" de "&amp;TEXT(D1696,"mmmm")&amp;" de "&amp;TEXT(YEAR(D1696),"0"))</f>
        <v>06 de enero de 2019</v>
      </c>
      <c r="N1696" s="318">
        <f t="shared" ref="N1696:N1719" si="478">DAY(D1696)</f>
        <v>6</v>
      </c>
      <c r="O1696" s="24">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882</v>
      </c>
      <c r="J1697" s="59" t="s">
        <v>22</v>
      </c>
      <c r="L1697" s="5" t="str">
        <f t="shared" si="476"/>
        <v>01696</v>
      </c>
      <c r="M1697" s="46" t="str">
        <f t="shared" si="477"/>
        <v>07 de enero de 2019</v>
      </c>
      <c r="N1697" s="318">
        <f t="shared" si="478"/>
        <v>7</v>
      </c>
      <c r="O1697" s="24">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849</v>
      </c>
      <c r="J1698" s="59" t="s">
        <v>22</v>
      </c>
      <c r="L1698" s="5" t="str">
        <f t="shared" si="476"/>
        <v>01697</v>
      </c>
      <c r="M1698" s="46" t="str">
        <f t="shared" si="477"/>
        <v>07 de enero de 2019</v>
      </c>
      <c r="N1698" s="318">
        <f t="shared" si="478"/>
        <v>7</v>
      </c>
      <c r="O1698" s="24">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862</v>
      </c>
      <c r="J1699" s="59" t="s">
        <v>22</v>
      </c>
      <c r="L1699" s="5" t="str">
        <f t="shared" si="476"/>
        <v>01698</v>
      </c>
      <c r="M1699" s="46" t="str">
        <f t="shared" si="477"/>
        <v>07 de enero de 2019</v>
      </c>
      <c r="N1699" s="318">
        <f t="shared" si="478"/>
        <v>7</v>
      </c>
      <c r="O1699" s="24">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862</v>
      </c>
      <c r="J1700" s="59" t="s">
        <v>22</v>
      </c>
      <c r="L1700" s="5" t="str">
        <f t="shared" si="476"/>
        <v>01699</v>
      </c>
      <c r="M1700" s="46" t="str">
        <f t="shared" si="477"/>
        <v>07 de enero de 2019</v>
      </c>
      <c r="N1700" s="318">
        <f t="shared" si="478"/>
        <v>7</v>
      </c>
      <c r="O1700" s="24">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883</v>
      </c>
      <c r="J1701" s="59" t="s">
        <v>22</v>
      </c>
      <c r="L1701" s="5" t="str">
        <f t="shared" si="476"/>
        <v>01700</v>
      </c>
      <c r="M1701" s="46" t="str">
        <f t="shared" si="477"/>
        <v>08 de enero de 2019</v>
      </c>
      <c r="N1701" s="318">
        <f t="shared" si="478"/>
        <v>8</v>
      </c>
      <c r="O1701" s="24">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882</v>
      </c>
      <c r="J1702" s="59" t="s">
        <v>22</v>
      </c>
      <c r="L1702" s="5" t="str">
        <f t="shared" si="476"/>
        <v>01701</v>
      </c>
      <c r="M1702" s="46" t="str">
        <f t="shared" si="477"/>
        <v>08 de enero de 2019</v>
      </c>
      <c r="N1702" s="318">
        <f t="shared" si="478"/>
        <v>8</v>
      </c>
      <c r="O1702" s="24">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882</v>
      </c>
      <c r="J1703" s="59" t="s">
        <v>22</v>
      </c>
      <c r="L1703" s="5" t="str">
        <f t="shared" si="476"/>
        <v>01702</v>
      </c>
      <c r="M1703" s="46" t="str">
        <f t="shared" si="477"/>
        <v>08 de enero de 2019</v>
      </c>
      <c r="N1703" s="318">
        <f t="shared" si="478"/>
        <v>8</v>
      </c>
      <c r="O1703" s="24">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865</v>
      </c>
      <c r="J1704" s="59" t="s">
        <v>22</v>
      </c>
      <c r="L1704" s="5" t="str">
        <f t="shared" si="476"/>
        <v>01703</v>
      </c>
      <c r="M1704" s="46" t="str">
        <f t="shared" si="477"/>
        <v>08 de enero de 2019</v>
      </c>
      <c r="N1704" s="318">
        <f t="shared" si="478"/>
        <v>8</v>
      </c>
      <c r="O1704" s="24">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882</v>
      </c>
      <c r="J1705" s="59" t="s">
        <v>22</v>
      </c>
      <c r="L1705" s="5" t="str">
        <f t="shared" si="476"/>
        <v>01704</v>
      </c>
      <c r="M1705" s="46" t="str">
        <f t="shared" si="477"/>
        <v>08 de enero de 2019</v>
      </c>
      <c r="N1705" s="318">
        <f t="shared" si="478"/>
        <v>8</v>
      </c>
      <c r="O1705" s="24">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882</v>
      </c>
      <c r="J1706" s="59" t="s">
        <v>22</v>
      </c>
      <c r="L1706" s="5" t="str">
        <f t="shared" si="476"/>
        <v>01705</v>
      </c>
      <c r="M1706" s="46" t="str">
        <f t="shared" si="477"/>
        <v>08 de enero de 2019</v>
      </c>
      <c r="N1706" s="318">
        <f t="shared" si="478"/>
        <v>8</v>
      </c>
      <c r="O1706" s="24">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882</v>
      </c>
      <c r="J1707" s="59" t="s">
        <v>22</v>
      </c>
      <c r="L1707" s="5" t="str">
        <f t="shared" si="476"/>
        <v>01706</v>
      </c>
      <c r="M1707" s="46" t="str">
        <f t="shared" si="477"/>
        <v>09 de enero de 2019</v>
      </c>
      <c r="N1707" s="318">
        <f t="shared" si="478"/>
        <v>9</v>
      </c>
      <c r="O1707" s="24">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882</v>
      </c>
      <c r="J1708" s="59" t="s">
        <v>22</v>
      </c>
      <c r="L1708" s="5" t="str">
        <f t="shared" si="476"/>
        <v>01707</v>
      </c>
      <c r="M1708" s="46" t="str">
        <f t="shared" si="477"/>
        <v>10 de enero de 2019</v>
      </c>
      <c r="N1708" s="318">
        <f t="shared" si="478"/>
        <v>10</v>
      </c>
      <c r="O1708" s="24">
        <f t="shared" si="479"/>
        <v>43466</v>
      </c>
      <c r="P1708" s="5" t="str">
        <f t="shared" si="480"/>
        <v>800,00</v>
      </c>
      <c r="Q1708" s="4" t="e">
        <f t="shared" ca="1" si="482"/>
        <v>#NAME?</v>
      </c>
    </row>
    <row r="1709" spans="1:17">
      <c r="A1709" s="1">
        <f t="shared" si="483"/>
        <v>1708</v>
      </c>
      <c r="C1709" s="8" t="s">
        <v>17</v>
      </c>
      <c r="D1709" s="2">
        <v>43475</v>
      </c>
      <c r="E1709" s="3">
        <v>1600</v>
      </c>
      <c r="F1709" t="s">
        <v>786</v>
      </c>
      <c r="G1709" t="s">
        <v>787</v>
      </c>
      <c r="H1709" t="s">
        <v>719</v>
      </c>
      <c r="I1709" s="6" t="s">
        <v>884</v>
      </c>
      <c r="J1709" s="59" t="s">
        <v>22</v>
      </c>
      <c r="L1709" s="5" t="str">
        <f t="shared" si="476"/>
        <v>01708</v>
      </c>
      <c r="M1709" s="46" t="str">
        <f t="shared" si="477"/>
        <v>10 de enero de 2019</v>
      </c>
      <c r="N1709" s="318">
        <f t="shared" si="478"/>
        <v>10</v>
      </c>
      <c r="O1709" s="24">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882</v>
      </c>
      <c r="J1710" s="59" t="s">
        <v>22</v>
      </c>
      <c r="L1710" s="5" t="str">
        <f t="shared" si="476"/>
        <v>01709</v>
      </c>
      <c r="M1710" s="46" t="str">
        <f t="shared" si="477"/>
        <v>10 de enero de 2019</v>
      </c>
      <c r="N1710" s="318">
        <f t="shared" si="478"/>
        <v>10</v>
      </c>
      <c r="O1710" s="24">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882</v>
      </c>
      <c r="J1711" s="59" t="s">
        <v>22</v>
      </c>
      <c r="L1711" s="5" t="str">
        <f t="shared" si="476"/>
        <v>01710</v>
      </c>
      <c r="M1711" s="46" t="str">
        <f t="shared" si="477"/>
        <v>10 de enero de 2019</v>
      </c>
      <c r="N1711" s="318">
        <f t="shared" si="478"/>
        <v>10</v>
      </c>
      <c r="O1711" s="24">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882</v>
      </c>
      <c r="J1712" s="59" t="s">
        <v>22</v>
      </c>
      <c r="L1712" s="5" t="str">
        <f t="shared" si="476"/>
        <v>01711</v>
      </c>
      <c r="M1712" s="46" t="str">
        <f t="shared" si="477"/>
        <v>10 de enero de 2019</v>
      </c>
      <c r="N1712" s="318">
        <f t="shared" si="478"/>
        <v>10</v>
      </c>
      <c r="O1712" s="24">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885</v>
      </c>
      <c r="J1713" s="59" t="s">
        <v>22</v>
      </c>
      <c r="L1713" s="5" t="str">
        <f t="shared" si="476"/>
        <v>01712</v>
      </c>
      <c r="M1713" s="46" t="str">
        <f t="shared" si="477"/>
        <v>11 de enero de 2019</v>
      </c>
      <c r="N1713" s="318">
        <f t="shared" si="478"/>
        <v>11</v>
      </c>
      <c r="O1713" s="24">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882</v>
      </c>
      <c r="J1714" s="59" t="s">
        <v>22</v>
      </c>
      <c r="L1714" s="5" t="str">
        <f>IF(ISBLANK(A1714),"",TEXT(A1714,"00000"))</f>
        <v>01713</v>
      </c>
      <c r="M1714" s="46" t="str">
        <f>IF(ISBLANK(D1714),"",TEXT(D1714,"dd")&amp;" de "&amp;TEXT(D1714,"mmmm")&amp;" de "&amp;TEXT(YEAR(D1714),"0"))</f>
        <v>11 de enero de 2019</v>
      </c>
      <c r="N1714" s="318">
        <f t="shared" si="478"/>
        <v>11</v>
      </c>
      <c r="O1714" s="24">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882</v>
      </c>
      <c r="J1715" s="59" t="s">
        <v>22</v>
      </c>
      <c r="L1715" s="5" t="str">
        <f t="shared" ref="L1715:L1730" si="484">IF(ISBLANK(A1715),"",TEXT(A1715,"00000"))</f>
        <v>01714</v>
      </c>
      <c r="M1715" s="46" t="str">
        <f t="shared" ref="M1715:M1730" si="485">IF(ISBLANK(D1715),"",TEXT(D1715,"dd")&amp;" de "&amp;TEXT(D1715,"mmmm")&amp;" de "&amp;TEXT(YEAR(D1715),"0"))</f>
        <v>11 de enero de 2019</v>
      </c>
      <c r="N1715" s="318">
        <f t="shared" si="478"/>
        <v>11</v>
      </c>
      <c r="O1715" s="24">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882</v>
      </c>
      <c r="J1716" s="59" t="s">
        <v>22</v>
      </c>
      <c r="L1716" s="5" t="str">
        <f t="shared" si="484"/>
        <v>01715</v>
      </c>
      <c r="M1716" s="46" t="str">
        <f t="shared" si="485"/>
        <v>11 de enero de 2019</v>
      </c>
      <c r="N1716" s="318">
        <f t="shared" si="478"/>
        <v>11</v>
      </c>
      <c r="O1716" s="24">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882</v>
      </c>
      <c r="J1717" s="59" t="s">
        <v>22</v>
      </c>
      <c r="L1717" s="5" t="str">
        <f t="shared" si="484"/>
        <v>01716</v>
      </c>
      <c r="M1717" s="46" t="str">
        <f t="shared" si="485"/>
        <v>11 de enero de 2019</v>
      </c>
      <c r="N1717" s="318">
        <f t="shared" si="478"/>
        <v>11</v>
      </c>
      <c r="O1717" s="24">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882</v>
      </c>
      <c r="J1718" s="59" t="s">
        <v>22</v>
      </c>
      <c r="L1718" s="5" t="str">
        <f t="shared" si="484"/>
        <v>01717</v>
      </c>
      <c r="M1718" s="46" t="str">
        <f t="shared" si="485"/>
        <v>13 de enero de 2019</v>
      </c>
      <c r="N1718" s="318">
        <f t="shared" si="478"/>
        <v>13</v>
      </c>
      <c r="O1718" s="24">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852</v>
      </c>
      <c r="J1719" s="59" t="s">
        <v>22</v>
      </c>
      <c r="L1719" s="5" t="str">
        <f t="shared" si="484"/>
        <v>01718</v>
      </c>
      <c r="M1719" s="46" t="str">
        <f t="shared" si="485"/>
        <v>13 de enero de 2019</v>
      </c>
      <c r="N1719" s="318">
        <f t="shared" si="478"/>
        <v>13</v>
      </c>
      <c r="O1719" s="24">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882</v>
      </c>
      <c r="J1720" s="59" t="s">
        <v>22</v>
      </c>
      <c r="L1720" s="5" t="str">
        <f t="shared" si="484"/>
        <v>01719</v>
      </c>
      <c r="M1720" s="46" t="str">
        <f t="shared" si="485"/>
        <v>13 de enero de 2019</v>
      </c>
      <c r="N1720" s="318">
        <f t="shared" ref="N1720:N1731" si="487">DAY(D1720)</f>
        <v>13</v>
      </c>
      <c r="O1720" s="24">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882</v>
      </c>
      <c r="J1721" s="59" t="s">
        <v>22</v>
      </c>
      <c r="L1721" s="5" t="str">
        <f t="shared" si="484"/>
        <v>01720</v>
      </c>
      <c r="M1721" s="46" t="str">
        <f t="shared" si="485"/>
        <v>14 de enero de 2019</v>
      </c>
      <c r="N1721" s="318">
        <f t="shared" si="487"/>
        <v>14</v>
      </c>
      <c r="O1721" s="24">
        <f t="shared" si="486"/>
        <v>43466</v>
      </c>
      <c r="P1721" s="5" t="str">
        <f t="shared" si="488"/>
        <v>800,00</v>
      </c>
      <c r="Q1721" s="4" t="e">
        <f t="shared" ca="1" si="489"/>
        <v>#NAME?</v>
      </c>
    </row>
    <row r="1722" spans="1:17">
      <c r="A1722" s="1">
        <f t="shared" si="483"/>
        <v>1721</v>
      </c>
      <c r="C1722" s="83" t="s">
        <v>17</v>
      </c>
      <c r="D1722" s="2">
        <v>43478</v>
      </c>
      <c r="E1722" s="3">
        <v>1160</v>
      </c>
      <c r="F1722" s="22" t="s">
        <v>422</v>
      </c>
      <c r="G1722" s="18" t="s">
        <v>58</v>
      </c>
      <c r="H1722" t="s">
        <v>423</v>
      </c>
      <c r="I1722" s="6" t="s">
        <v>882</v>
      </c>
      <c r="J1722" s="59" t="s">
        <v>22</v>
      </c>
      <c r="L1722" s="5" t="str">
        <f t="shared" si="484"/>
        <v>01721</v>
      </c>
      <c r="M1722" s="46" t="str">
        <f t="shared" si="485"/>
        <v>13 de enero de 2019</v>
      </c>
      <c r="N1722" s="318">
        <f t="shared" si="487"/>
        <v>13</v>
      </c>
      <c r="O1722" s="24">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882</v>
      </c>
      <c r="J1723" s="59" t="s">
        <v>22</v>
      </c>
      <c r="L1723" s="5" t="str">
        <f t="shared" si="484"/>
        <v>01722</v>
      </c>
      <c r="M1723" s="46" t="str">
        <f t="shared" si="485"/>
        <v>14 de enero de 2019</v>
      </c>
      <c r="N1723" s="318">
        <f t="shared" si="487"/>
        <v>14</v>
      </c>
      <c r="O1723" s="24">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882</v>
      </c>
      <c r="J1724" s="59" t="s">
        <v>22</v>
      </c>
      <c r="L1724" s="5" t="str">
        <f t="shared" si="484"/>
        <v>01723</v>
      </c>
      <c r="M1724" s="46" t="str">
        <f t="shared" si="485"/>
        <v>15 de enero de 2019</v>
      </c>
      <c r="N1724" s="318">
        <f t="shared" si="487"/>
        <v>15</v>
      </c>
      <c r="O1724" s="24">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882</v>
      </c>
      <c r="J1725" s="59" t="s">
        <v>22</v>
      </c>
      <c r="L1725" s="5" t="str">
        <f t="shared" si="484"/>
        <v>01724</v>
      </c>
      <c r="M1725" s="46" t="str">
        <f t="shared" si="485"/>
        <v>14 de enero de 2019</v>
      </c>
      <c r="N1725" s="318">
        <f t="shared" si="487"/>
        <v>14</v>
      </c>
      <c r="O1725" s="24">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882</v>
      </c>
      <c r="J1726" s="59" t="s">
        <v>22</v>
      </c>
      <c r="L1726" s="5" t="str">
        <f t="shared" si="484"/>
        <v>01725</v>
      </c>
      <c r="M1726" s="46" t="str">
        <f t="shared" si="485"/>
        <v>15 de enero de 2019</v>
      </c>
      <c r="N1726" s="318">
        <f t="shared" si="487"/>
        <v>15</v>
      </c>
      <c r="O1726" s="24">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886</v>
      </c>
      <c r="J1727" s="59" t="s">
        <v>22</v>
      </c>
      <c r="L1727" s="5" t="str">
        <f t="shared" si="484"/>
        <v>01726</v>
      </c>
      <c r="M1727" s="46" t="str">
        <f t="shared" si="485"/>
        <v>15 de enero de 2019</v>
      </c>
      <c r="N1727" s="318">
        <f t="shared" si="487"/>
        <v>15</v>
      </c>
      <c r="O1727" s="24">
        <f t="shared" si="486"/>
        <v>43466</v>
      </c>
      <c r="P1727" s="5" t="str">
        <f t="shared" si="488"/>
        <v>1.250,00</v>
      </c>
      <c r="Q1727" s="4" t="e">
        <f t="shared" ca="1" si="489"/>
        <v>#NAME?</v>
      </c>
    </row>
    <row r="1728" spans="1:17">
      <c r="A1728" s="1">
        <f t="shared" si="483"/>
        <v>1727</v>
      </c>
      <c r="C1728" s="8" t="s">
        <v>17</v>
      </c>
      <c r="D1728" s="2">
        <v>43480</v>
      </c>
      <c r="E1728" s="3">
        <v>800</v>
      </c>
      <c r="F1728" t="s">
        <v>239</v>
      </c>
      <c r="G1728" s="71" t="s">
        <v>240</v>
      </c>
      <c r="H1728" t="s">
        <v>241</v>
      </c>
      <c r="I1728" s="6" t="s">
        <v>882</v>
      </c>
      <c r="J1728" s="59" t="s">
        <v>22</v>
      </c>
      <c r="L1728" s="5" t="str">
        <f t="shared" si="484"/>
        <v>01727</v>
      </c>
      <c r="M1728" s="46" t="str">
        <f t="shared" si="485"/>
        <v>15 de enero de 2019</v>
      </c>
      <c r="N1728" s="318">
        <f t="shared" si="487"/>
        <v>15</v>
      </c>
      <c r="O1728" s="24">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862</v>
      </c>
      <c r="J1729" s="59" t="s">
        <v>22</v>
      </c>
      <c r="L1729" s="5" t="str">
        <f t="shared" si="484"/>
        <v>01728</v>
      </c>
      <c r="M1729" s="46" t="str">
        <f t="shared" si="485"/>
        <v>16 de enero de 2019</v>
      </c>
      <c r="N1729" s="318">
        <f t="shared" si="487"/>
        <v>16</v>
      </c>
      <c r="O1729" s="24">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887</v>
      </c>
      <c r="J1730" s="59" t="s">
        <v>22</v>
      </c>
      <c r="L1730" s="5" t="str">
        <f t="shared" si="484"/>
        <v>01729</v>
      </c>
      <c r="M1730" s="46" t="str">
        <f t="shared" si="485"/>
        <v>16 de enero de 2019</v>
      </c>
      <c r="N1730" s="318">
        <f t="shared" si="487"/>
        <v>16</v>
      </c>
      <c r="O1730" s="24">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888</v>
      </c>
      <c r="J1731" s="59" t="s">
        <v>22</v>
      </c>
      <c r="L1731" s="5" t="str">
        <f>IF(ISBLANK(A1731),"",TEXT(A1731,"00000"))</f>
        <v>01730</v>
      </c>
      <c r="M1731" s="46" t="str">
        <f>IF(ISBLANK(D1731),"",TEXT(D1731,"dd")&amp;" de "&amp;TEXT(D1731,"mmmm")&amp;" de "&amp;TEXT(YEAR(D1731),"0"))</f>
        <v>16 de enero de 2019</v>
      </c>
      <c r="N1731" s="318">
        <f t="shared" si="487"/>
        <v>16</v>
      </c>
      <c r="O1731" s="24">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852</v>
      </c>
      <c r="J1732" s="59" t="s">
        <v>22</v>
      </c>
      <c r="L1732" s="5" t="str">
        <f>IF(ISBLANK(A1732),"",TEXT(A1732,"00000"))</f>
        <v>01731</v>
      </c>
      <c r="M1732" s="46" t="str">
        <f>IF(ISBLANK(D1732),"",TEXT(D1732,"dd")&amp;" de "&amp;TEXT(D1732,"mmmm")&amp;" de "&amp;TEXT(YEAR(D1732),"0"))</f>
        <v>16 de enero de 2019</v>
      </c>
      <c r="N1732" s="318">
        <f t="shared" ref="N1732:N1748" si="490">DAY(D1732)</f>
        <v>16</v>
      </c>
      <c r="O1732" s="24">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889</v>
      </c>
      <c r="J1733" s="59" t="s">
        <v>22</v>
      </c>
      <c r="L1733" s="5" t="str">
        <f t="shared" ref="L1733:L1745" si="493">IF(ISBLANK(A1733),"",TEXT(A1733,"00000"))</f>
        <v>01732</v>
      </c>
      <c r="M1733" s="46" t="str">
        <f t="shared" ref="M1733:M1745" si="494">IF(ISBLANK(D1733),"",TEXT(D1733,"dd")&amp;" de "&amp;TEXT(D1733,"mmmm")&amp;" de "&amp;TEXT(YEAR(D1733),"0"))</f>
        <v>16 de enero de 2019</v>
      </c>
      <c r="N1733" s="318">
        <f t="shared" si="490"/>
        <v>16</v>
      </c>
      <c r="O1733" s="24">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1" t="s">
        <v>240</v>
      </c>
      <c r="H1734" t="s">
        <v>241</v>
      </c>
      <c r="I1734" s="6" t="s">
        <v>887</v>
      </c>
      <c r="J1734" s="59" t="s">
        <v>22</v>
      </c>
      <c r="L1734" s="5" t="str">
        <f t="shared" si="493"/>
        <v>01733</v>
      </c>
      <c r="M1734" s="46" t="str">
        <f t="shared" si="494"/>
        <v>16 de enero de 2019</v>
      </c>
      <c r="N1734" s="318">
        <f t="shared" si="490"/>
        <v>16</v>
      </c>
      <c r="O1734" s="24">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887</v>
      </c>
      <c r="J1735" s="59" t="s">
        <v>22</v>
      </c>
      <c r="L1735" s="5" t="str">
        <f t="shared" si="493"/>
        <v>01734</v>
      </c>
      <c r="M1735" s="46" t="str">
        <f t="shared" si="494"/>
        <v>16 de enero de 2019</v>
      </c>
      <c r="N1735" s="318">
        <f t="shared" si="490"/>
        <v>16</v>
      </c>
      <c r="O1735" s="24">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862</v>
      </c>
      <c r="J1736" s="59" t="s">
        <v>22</v>
      </c>
      <c r="L1736" s="5" t="str">
        <f t="shared" si="493"/>
        <v>01735</v>
      </c>
      <c r="M1736" s="46" t="str">
        <f t="shared" si="494"/>
        <v>16 de enero de 2019</v>
      </c>
      <c r="N1736" s="318">
        <f t="shared" si="490"/>
        <v>16</v>
      </c>
      <c r="O1736" s="24">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887</v>
      </c>
      <c r="J1737" s="59" t="s">
        <v>22</v>
      </c>
      <c r="L1737" s="5" t="str">
        <f t="shared" si="493"/>
        <v>01736</v>
      </c>
      <c r="M1737" s="46" t="str">
        <f t="shared" si="494"/>
        <v>16 de enero de 2019</v>
      </c>
      <c r="N1737" s="318">
        <f t="shared" si="490"/>
        <v>16</v>
      </c>
      <c r="O1737" s="24">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887</v>
      </c>
      <c r="J1738" s="59" t="s">
        <v>22</v>
      </c>
      <c r="L1738" s="5" t="str">
        <f t="shared" si="493"/>
        <v>01737</v>
      </c>
      <c r="M1738" s="46" t="str">
        <f t="shared" si="494"/>
        <v>17 de enero de 2019</v>
      </c>
      <c r="N1738" s="318">
        <f t="shared" si="490"/>
        <v>17</v>
      </c>
      <c r="O1738" s="24">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880</v>
      </c>
      <c r="J1739" s="59" t="s">
        <v>22</v>
      </c>
      <c r="L1739" s="5" t="str">
        <f t="shared" si="493"/>
        <v>01738</v>
      </c>
      <c r="M1739" s="46" t="str">
        <f t="shared" si="494"/>
        <v>17 de enero de 2019</v>
      </c>
      <c r="N1739" s="318">
        <f t="shared" si="490"/>
        <v>17</v>
      </c>
      <c r="O1739" s="24">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887</v>
      </c>
      <c r="J1740" s="59" t="s">
        <v>22</v>
      </c>
      <c r="L1740" s="5" t="str">
        <f t="shared" si="493"/>
        <v>01739</v>
      </c>
      <c r="M1740" s="46" t="str">
        <f t="shared" si="494"/>
        <v>17 de enero de 2019</v>
      </c>
      <c r="N1740" s="318">
        <f t="shared" si="490"/>
        <v>17</v>
      </c>
      <c r="O1740" s="24">
        <f t="shared" si="495"/>
        <v>43466</v>
      </c>
      <c r="P1740" s="5" t="str">
        <f t="shared" si="491"/>
        <v>600,00</v>
      </c>
      <c r="Q1740" s="4" t="e">
        <f t="shared" ca="1" si="492"/>
        <v>#NAME?</v>
      </c>
    </row>
    <row r="1741" spans="1:17">
      <c r="A1741" s="1">
        <f t="shared" si="483"/>
        <v>1740</v>
      </c>
      <c r="C1741" s="83" t="s">
        <v>17</v>
      </c>
      <c r="D1741" s="2">
        <v>43482</v>
      </c>
      <c r="E1741" s="3">
        <v>800</v>
      </c>
      <c r="F1741" t="s">
        <v>259</v>
      </c>
      <c r="G1741" s="18" t="s">
        <v>58</v>
      </c>
      <c r="H1741" t="s">
        <v>261</v>
      </c>
      <c r="I1741" s="6" t="s">
        <v>862</v>
      </c>
      <c r="J1741" s="59" t="s">
        <v>22</v>
      </c>
      <c r="L1741" s="5" t="str">
        <f t="shared" si="493"/>
        <v>01740</v>
      </c>
      <c r="M1741" s="46" t="str">
        <f t="shared" si="494"/>
        <v>17 de enero de 2019</v>
      </c>
      <c r="N1741" s="318">
        <f t="shared" si="490"/>
        <v>17</v>
      </c>
      <c r="O1741" s="24">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887</v>
      </c>
      <c r="J1742" s="59" t="s">
        <v>22</v>
      </c>
      <c r="L1742" s="5" t="str">
        <f t="shared" si="493"/>
        <v>01741</v>
      </c>
      <c r="M1742" s="46" t="str">
        <f t="shared" si="494"/>
        <v>17 de enero de 2019</v>
      </c>
      <c r="N1742" s="318">
        <f t="shared" si="490"/>
        <v>17</v>
      </c>
      <c r="O1742" s="24">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887</v>
      </c>
      <c r="J1743" s="59" t="s">
        <v>22</v>
      </c>
      <c r="L1743" s="5" t="str">
        <f t="shared" si="493"/>
        <v>01742</v>
      </c>
      <c r="M1743" s="46" t="str">
        <f t="shared" si="494"/>
        <v>17 de enero de 2019</v>
      </c>
      <c r="N1743" s="318">
        <f t="shared" si="490"/>
        <v>17</v>
      </c>
      <c r="O1743" s="24">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887</v>
      </c>
      <c r="J1744" s="59" t="s">
        <v>22</v>
      </c>
      <c r="L1744" s="5" t="str">
        <f t="shared" si="493"/>
        <v>01743</v>
      </c>
      <c r="M1744" s="46" t="str">
        <f t="shared" si="494"/>
        <v>17 de enero de 2019</v>
      </c>
      <c r="N1744" s="318">
        <f t="shared" si="490"/>
        <v>17</v>
      </c>
      <c r="O1744" s="24">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887</v>
      </c>
      <c r="J1745" s="59" t="s">
        <v>22</v>
      </c>
      <c r="L1745" s="5" t="str">
        <f t="shared" si="493"/>
        <v>01744</v>
      </c>
      <c r="M1745" s="46" t="str">
        <f t="shared" si="494"/>
        <v>17 de enero de 2019</v>
      </c>
      <c r="N1745" s="318">
        <f t="shared" si="490"/>
        <v>17</v>
      </c>
      <c r="O1745" s="24">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887</v>
      </c>
      <c r="J1746" s="59" t="s">
        <v>22</v>
      </c>
      <c r="L1746" s="5" t="str">
        <f>IF(ISBLANK(A1746),"",TEXT(A1746,"00000"))</f>
        <v>01745</v>
      </c>
      <c r="M1746" s="46" t="str">
        <f>IF(ISBLANK(D1746),"",TEXT(D1746,"dd")&amp;" de "&amp;TEXT(D1746,"mmmm")&amp;" de "&amp;TEXT(YEAR(D1746),"0"))</f>
        <v>17 de enero de 2019</v>
      </c>
      <c r="N1746" s="318">
        <f t="shared" si="490"/>
        <v>17</v>
      </c>
      <c r="O1746" s="24">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882</v>
      </c>
      <c r="J1747" s="59" t="s">
        <v>22</v>
      </c>
      <c r="L1747" s="5" t="str">
        <f t="shared" ref="L1747:L1748" si="498">IF(ISBLANK(A1747),"",TEXT(A1747,"00000"))</f>
        <v>01746</v>
      </c>
      <c r="M1747" s="46" t="str">
        <f t="shared" ref="M1747:M1748" si="499">IF(ISBLANK(D1747),"",TEXT(D1747,"dd")&amp;" de "&amp;TEXT(D1747,"mmmm")&amp;" de "&amp;TEXT(YEAR(D1747),"0"))</f>
        <v>17 de enero de 2019</v>
      </c>
      <c r="N1747" s="318">
        <f t="shared" si="490"/>
        <v>17</v>
      </c>
      <c r="O1747" s="24">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887</v>
      </c>
      <c r="J1748" s="59" t="s">
        <v>22</v>
      </c>
      <c r="L1748" s="5" t="str">
        <f t="shared" si="498"/>
        <v>01747</v>
      </c>
      <c r="M1748" s="46" t="str">
        <f t="shared" si="499"/>
        <v>18 de enero de 2019</v>
      </c>
      <c r="N1748" s="318">
        <f t="shared" si="490"/>
        <v>18</v>
      </c>
      <c r="O1748" s="24">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862</v>
      </c>
      <c r="J1749" s="59" t="s">
        <v>22</v>
      </c>
      <c r="L1749" s="5" t="str">
        <f t="shared" ref="L1749:L1767" si="501">IF(ISBLANK(A1749),"",TEXT(A1749,"00000"))</f>
        <v>01748</v>
      </c>
      <c r="M1749" s="46" t="str">
        <f t="shared" ref="M1749:M1767" si="502">IF(ISBLANK(D1749),"",TEXT(D1749,"dd")&amp;" de "&amp;TEXT(D1749,"mmmm")&amp;" de "&amp;TEXT(YEAR(D1749),"0"))</f>
        <v>07 de diciembre de 2018</v>
      </c>
      <c r="N1749" s="318">
        <f t="shared" ref="N1749:N1767" si="503">DAY(D1749)</f>
        <v>7</v>
      </c>
      <c r="O1749" s="24">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890</v>
      </c>
      <c r="J1750" s="59" t="s">
        <v>22</v>
      </c>
      <c r="L1750" s="5" t="str">
        <f t="shared" si="501"/>
        <v>01749</v>
      </c>
      <c r="M1750" s="46" t="str">
        <f t="shared" si="502"/>
        <v>18 de enero de 2019</v>
      </c>
      <c r="N1750" s="318">
        <f t="shared" si="503"/>
        <v>18</v>
      </c>
      <c r="O1750" s="24">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887</v>
      </c>
      <c r="J1751" s="59" t="s">
        <v>22</v>
      </c>
      <c r="L1751" s="5" t="str">
        <f t="shared" si="501"/>
        <v>01750</v>
      </c>
      <c r="M1751" s="46" t="str">
        <f t="shared" si="502"/>
        <v>19 de enero de 2019</v>
      </c>
      <c r="N1751" s="318">
        <f t="shared" si="503"/>
        <v>19</v>
      </c>
      <c r="O1751" s="24">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882</v>
      </c>
      <c r="J1752" s="59" t="s">
        <v>22</v>
      </c>
      <c r="L1752" s="5" t="str">
        <f t="shared" si="501"/>
        <v>01751</v>
      </c>
      <c r="M1752" s="46" t="str">
        <f t="shared" si="502"/>
        <v>19 de enero de 2019</v>
      </c>
      <c r="N1752" s="318">
        <f t="shared" si="503"/>
        <v>19</v>
      </c>
      <c r="O1752" s="24">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891</v>
      </c>
      <c r="J1753" s="59" t="s">
        <v>22</v>
      </c>
      <c r="L1753" s="5" t="str">
        <f t="shared" si="501"/>
        <v>01752</v>
      </c>
      <c r="M1753" s="46" t="str">
        <f t="shared" si="502"/>
        <v>20 de enero de 2019</v>
      </c>
      <c r="N1753" s="318">
        <f t="shared" si="503"/>
        <v>20</v>
      </c>
      <c r="O1753" s="24">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888</v>
      </c>
      <c r="J1754" s="59" t="s">
        <v>22</v>
      </c>
      <c r="L1754" s="5" t="str">
        <f t="shared" si="501"/>
        <v>01753</v>
      </c>
      <c r="M1754" s="46" t="str">
        <f t="shared" si="502"/>
        <v>20 de enero de 2019</v>
      </c>
      <c r="N1754" s="318">
        <f t="shared" si="503"/>
        <v>20</v>
      </c>
      <c r="O1754" s="24">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887</v>
      </c>
      <c r="J1755" s="59" t="s">
        <v>22</v>
      </c>
      <c r="L1755" s="5" t="str">
        <f t="shared" si="501"/>
        <v>01754</v>
      </c>
      <c r="M1755" s="46" t="str">
        <f t="shared" si="502"/>
        <v>22 de enero de 2019</v>
      </c>
      <c r="N1755" s="318">
        <f t="shared" si="503"/>
        <v>22</v>
      </c>
      <c r="O1755" s="24">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887</v>
      </c>
      <c r="J1756" s="59" t="s">
        <v>22</v>
      </c>
      <c r="L1756" s="5" t="str">
        <f t="shared" si="501"/>
        <v>01755</v>
      </c>
      <c r="M1756" s="46" t="str">
        <f t="shared" si="502"/>
        <v>23 de enero de 2019</v>
      </c>
      <c r="N1756" s="318">
        <f t="shared" si="503"/>
        <v>23</v>
      </c>
      <c r="O1756" s="24">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888</v>
      </c>
      <c r="J1757" s="59" t="s">
        <v>22</v>
      </c>
      <c r="L1757" s="5" t="str">
        <f t="shared" si="501"/>
        <v>01756</v>
      </c>
      <c r="M1757" s="46" t="str">
        <f t="shared" si="502"/>
        <v>23 de enero de 2019</v>
      </c>
      <c r="N1757" s="318">
        <f t="shared" si="503"/>
        <v>23</v>
      </c>
      <c r="O1757" s="24">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888</v>
      </c>
      <c r="J1758" s="59" t="s">
        <v>22</v>
      </c>
      <c r="L1758" s="5" t="str">
        <f t="shared" si="501"/>
        <v>01757</v>
      </c>
      <c r="M1758" s="46" t="str">
        <f t="shared" si="502"/>
        <v>23 de enero de 2019</v>
      </c>
      <c r="N1758" s="318">
        <f t="shared" si="503"/>
        <v>23</v>
      </c>
      <c r="O1758" s="24">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887</v>
      </c>
      <c r="J1759" s="59" t="s">
        <v>22</v>
      </c>
      <c r="L1759" s="5" t="str">
        <f t="shared" si="501"/>
        <v>01758</v>
      </c>
      <c r="M1759" s="46" t="str">
        <f t="shared" si="502"/>
        <v>23 de enero de 2019</v>
      </c>
      <c r="N1759" s="318">
        <f t="shared" si="503"/>
        <v>23</v>
      </c>
      <c r="O1759" s="24">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888</v>
      </c>
      <c r="J1760" s="59" t="s">
        <v>22</v>
      </c>
      <c r="L1760" s="5" t="str">
        <f t="shared" si="501"/>
        <v>01759</v>
      </c>
      <c r="M1760" s="46" t="str">
        <f t="shared" si="502"/>
        <v>24 de enero de 2019</v>
      </c>
      <c r="N1760" s="318">
        <f t="shared" si="503"/>
        <v>24</v>
      </c>
      <c r="O1760" s="24">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888</v>
      </c>
      <c r="J1761" s="59" t="s">
        <v>22</v>
      </c>
      <c r="L1761" s="5" t="str">
        <f t="shared" si="501"/>
        <v>01760</v>
      </c>
      <c r="M1761" s="46" t="str">
        <f t="shared" si="502"/>
        <v>25 de enero de 2019</v>
      </c>
      <c r="N1761" s="318">
        <f t="shared" si="503"/>
        <v>25</v>
      </c>
      <c r="O1761" s="24">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892</v>
      </c>
      <c r="J1762" s="59" t="s">
        <v>22</v>
      </c>
      <c r="L1762" s="5" t="str">
        <f t="shared" si="501"/>
        <v>01761</v>
      </c>
      <c r="M1762" s="46" t="str">
        <f t="shared" si="502"/>
        <v>25 de enero de 2019</v>
      </c>
      <c r="N1762" s="318">
        <f t="shared" si="503"/>
        <v>25</v>
      </c>
      <c r="O1762" s="24">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888</v>
      </c>
      <c r="J1763" s="59" t="s">
        <v>22</v>
      </c>
      <c r="L1763" s="5" t="str">
        <f t="shared" si="501"/>
        <v>01762</v>
      </c>
      <c r="M1763" s="46" t="str">
        <f t="shared" si="502"/>
        <v>29 de enero de 2019</v>
      </c>
      <c r="N1763" s="318">
        <f t="shared" si="503"/>
        <v>29</v>
      </c>
      <c r="O1763" s="24">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891</v>
      </c>
      <c r="J1764" s="59" t="s">
        <v>22</v>
      </c>
      <c r="L1764" s="5" t="str">
        <f t="shared" si="501"/>
        <v>01763</v>
      </c>
      <c r="M1764" s="46" t="str">
        <f t="shared" si="502"/>
        <v>29 de enero de 2019</v>
      </c>
      <c r="N1764" s="318">
        <f t="shared" si="503"/>
        <v>29</v>
      </c>
      <c r="O1764" s="24">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887</v>
      </c>
      <c r="J1765" s="59" t="s">
        <v>22</v>
      </c>
      <c r="L1765" s="5" t="str">
        <f t="shared" si="501"/>
        <v>01764</v>
      </c>
      <c r="M1765" s="46" t="str">
        <f t="shared" si="502"/>
        <v>30 de enero de 2019</v>
      </c>
      <c r="N1765" s="318">
        <f t="shared" si="503"/>
        <v>30</v>
      </c>
      <c r="O1765" s="24">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887</v>
      </c>
      <c r="J1766" s="59" t="s">
        <v>22</v>
      </c>
      <c r="L1766" s="5" t="str">
        <f t="shared" si="501"/>
        <v>01765</v>
      </c>
      <c r="M1766" s="46" t="str">
        <f t="shared" si="502"/>
        <v>30 de enero de 2019</v>
      </c>
      <c r="N1766" s="318">
        <f t="shared" si="503"/>
        <v>30</v>
      </c>
      <c r="O1766" s="24">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882</v>
      </c>
      <c r="J1767" s="59" t="s">
        <v>22</v>
      </c>
      <c r="L1767" s="5" t="str">
        <f t="shared" si="501"/>
        <v>01766</v>
      </c>
      <c r="M1767" s="46" t="str">
        <f t="shared" si="502"/>
        <v>30 de enero de 2019</v>
      </c>
      <c r="N1767" s="318">
        <f t="shared" si="503"/>
        <v>30</v>
      </c>
      <c r="O1767" s="24">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887</v>
      </c>
      <c r="J1768" s="59" t="s">
        <v>22</v>
      </c>
      <c r="L1768" s="5" t="str">
        <f t="shared" ref="L1768:L1784" si="508">IF(ISBLANK(A1768),"",TEXT(A1768,"00000"))</f>
        <v>01767</v>
      </c>
      <c r="M1768" s="46" t="str">
        <f t="shared" ref="M1768:M1784" si="509">IF(ISBLANK(D1768),"",TEXT(D1768,"dd")&amp;" de "&amp;TEXT(D1768,"mmmm")&amp;" de "&amp;TEXT(YEAR(D1768),"0"))</f>
        <v>30 de enero de 2019</v>
      </c>
      <c r="N1768" s="318">
        <f t="shared" ref="N1768:N1795" si="510">DAY(D1768)</f>
        <v>30</v>
      </c>
      <c r="O1768" s="24">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887</v>
      </c>
      <c r="J1769" s="59" t="s">
        <v>22</v>
      </c>
      <c r="L1769" s="5" t="str">
        <f t="shared" si="508"/>
        <v>01768</v>
      </c>
      <c r="M1769" s="46" t="str">
        <f t="shared" si="509"/>
        <v>30 de enero de 2019</v>
      </c>
      <c r="N1769" s="318">
        <f t="shared" si="510"/>
        <v>30</v>
      </c>
      <c r="O1769" s="24">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888</v>
      </c>
      <c r="J1770" s="59" t="s">
        <v>22</v>
      </c>
      <c r="L1770" s="5" t="str">
        <f t="shared" si="508"/>
        <v>01769</v>
      </c>
      <c r="M1770" s="46" t="str">
        <f t="shared" si="509"/>
        <v>30 de enero de 2019</v>
      </c>
      <c r="N1770" s="318">
        <f t="shared" si="510"/>
        <v>30</v>
      </c>
      <c r="O1770" s="24">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887</v>
      </c>
      <c r="J1771" s="59" t="s">
        <v>22</v>
      </c>
      <c r="L1771" s="5" t="str">
        <f t="shared" si="508"/>
        <v>01770</v>
      </c>
      <c r="M1771" s="46" t="str">
        <f t="shared" si="509"/>
        <v>30 de enero de 2019</v>
      </c>
      <c r="N1771" s="318">
        <f t="shared" si="510"/>
        <v>30</v>
      </c>
      <c r="O1771" s="24">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887</v>
      </c>
      <c r="J1772" s="59" t="s">
        <v>22</v>
      </c>
      <c r="L1772" s="5" t="str">
        <f t="shared" si="508"/>
        <v>01771</v>
      </c>
      <c r="M1772" s="46" t="str">
        <f t="shared" si="509"/>
        <v>30 de enero de 2019</v>
      </c>
      <c r="N1772" s="318">
        <f t="shared" si="510"/>
        <v>30</v>
      </c>
      <c r="O1772" s="24">
        <f t="shared" si="511"/>
        <v>43466</v>
      </c>
      <c r="P1772" s="5" t="str">
        <f t="shared" si="512"/>
        <v>2.000,00</v>
      </c>
      <c r="Q1772" s="4" t="e">
        <f t="shared" ca="1" si="507"/>
        <v>#NAME?</v>
      </c>
    </row>
    <row r="1773" spans="1:17">
      <c r="A1773" s="1">
        <f t="shared" ref="A1773:A1783" si="513">A1772+1</f>
        <v>1772</v>
      </c>
      <c r="C1773" s="8" t="s">
        <v>17</v>
      </c>
      <c r="D1773" s="2">
        <v>43495</v>
      </c>
      <c r="E1773" s="3">
        <v>3800</v>
      </c>
      <c r="F1773" t="s">
        <v>844</v>
      </c>
      <c r="G1773" t="s">
        <v>845</v>
      </c>
      <c r="H1773" t="s">
        <v>169</v>
      </c>
      <c r="I1773" s="6" t="s">
        <v>880</v>
      </c>
      <c r="J1773" s="59" t="s">
        <v>22</v>
      </c>
      <c r="L1773" s="5" t="str">
        <f t="shared" si="508"/>
        <v>01772</v>
      </c>
      <c r="M1773" s="46" t="str">
        <f t="shared" si="509"/>
        <v>30 de enero de 2019</v>
      </c>
      <c r="N1773" s="318">
        <f t="shared" si="510"/>
        <v>30</v>
      </c>
      <c r="O1773" s="24">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888</v>
      </c>
      <c r="J1774" s="59" t="s">
        <v>22</v>
      </c>
      <c r="L1774" s="5" t="str">
        <f t="shared" si="508"/>
        <v>01773</v>
      </c>
      <c r="M1774" s="46" t="str">
        <f t="shared" si="509"/>
        <v>30 de enero de 2019</v>
      </c>
      <c r="N1774" s="318">
        <f t="shared" si="510"/>
        <v>30</v>
      </c>
      <c r="O1774" s="24">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888</v>
      </c>
      <c r="J1775" s="59" t="s">
        <v>22</v>
      </c>
      <c r="L1775" s="5" t="str">
        <f t="shared" si="508"/>
        <v>01774</v>
      </c>
      <c r="M1775" s="46" t="str">
        <f t="shared" si="509"/>
        <v>30 de enero de 2019</v>
      </c>
      <c r="N1775" s="318">
        <f t="shared" si="510"/>
        <v>30</v>
      </c>
      <c r="O1775" s="24">
        <f t="shared" si="511"/>
        <v>43466</v>
      </c>
      <c r="P1775" s="5" t="str">
        <f t="shared" si="512"/>
        <v>3.000,00</v>
      </c>
      <c r="Q1775" s="4" t="e">
        <f t="shared" ca="1" si="507"/>
        <v>#NAME?</v>
      </c>
    </row>
    <row r="1776" spans="1:17">
      <c r="A1776" s="1">
        <f t="shared" si="513"/>
        <v>1775</v>
      </c>
      <c r="C1776" s="8" t="s">
        <v>17</v>
      </c>
      <c r="D1776" s="2">
        <v>43496</v>
      </c>
      <c r="E1776" s="3">
        <v>3000</v>
      </c>
      <c r="F1776" t="s">
        <v>893</v>
      </c>
      <c r="G1776" t="s">
        <v>894</v>
      </c>
      <c r="H1776" s="20" t="s">
        <v>59</v>
      </c>
      <c r="I1776" s="6" t="s">
        <v>888</v>
      </c>
      <c r="J1776" s="59" t="s">
        <v>22</v>
      </c>
      <c r="K1776" s="21"/>
      <c r="L1776" s="5" t="str">
        <f t="shared" si="508"/>
        <v>01775</v>
      </c>
      <c r="M1776" s="46" t="str">
        <f t="shared" si="509"/>
        <v>31 de enero de 2019</v>
      </c>
      <c r="N1776" s="318">
        <f t="shared" si="510"/>
        <v>31</v>
      </c>
      <c r="O1776" s="24">
        <f t="shared" si="511"/>
        <v>43466</v>
      </c>
      <c r="P1776" s="5" t="str">
        <f t="shared" si="512"/>
        <v>3.000,00</v>
      </c>
      <c r="Q1776" s="4" t="e">
        <f t="shared" ca="1" si="507"/>
        <v>#NAME?</v>
      </c>
    </row>
    <row r="1777" spans="1:17">
      <c r="A1777" s="1">
        <f t="shared" si="513"/>
        <v>1776</v>
      </c>
      <c r="C1777" s="83" t="s">
        <v>17</v>
      </c>
      <c r="D1777" s="2">
        <v>43496</v>
      </c>
      <c r="E1777" s="3">
        <v>3190</v>
      </c>
      <c r="F1777" s="22" t="s">
        <v>422</v>
      </c>
      <c r="G1777" s="18" t="s">
        <v>58</v>
      </c>
      <c r="H1777" t="s">
        <v>423</v>
      </c>
      <c r="I1777" s="6" t="s">
        <v>887</v>
      </c>
      <c r="J1777" s="59" t="s">
        <v>22</v>
      </c>
      <c r="L1777" s="5" t="str">
        <f t="shared" si="508"/>
        <v>01776</v>
      </c>
      <c r="M1777" s="46" t="str">
        <f t="shared" si="509"/>
        <v>31 de enero de 2019</v>
      </c>
      <c r="N1777" s="318">
        <f t="shared" si="510"/>
        <v>31</v>
      </c>
      <c r="O1777" s="24">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895</v>
      </c>
      <c r="J1778" s="59" t="s">
        <v>22</v>
      </c>
      <c r="L1778" s="5" t="str">
        <f t="shared" si="508"/>
        <v>01777</v>
      </c>
      <c r="M1778" s="46" t="str">
        <f t="shared" si="509"/>
        <v>31 de enero de 2019</v>
      </c>
      <c r="N1778" s="318">
        <f t="shared" si="510"/>
        <v>31</v>
      </c>
      <c r="O1778" s="24">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887</v>
      </c>
      <c r="J1779" s="59" t="s">
        <v>22</v>
      </c>
      <c r="L1779" s="5" t="str">
        <f t="shared" si="508"/>
        <v>01778</v>
      </c>
      <c r="M1779" s="46" t="str">
        <f t="shared" si="509"/>
        <v>31 de enero de 2019</v>
      </c>
      <c r="N1779" s="318">
        <f t="shared" si="510"/>
        <v>31</v>
      </c>
      <c r="O1779" s="24">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887</v>
      </c>
      <c r="J1780" s="59" t="s">
        <v>22</v>
      </c>
      <c r="L1780" s="5" t="str">
        <f t="shared" si="508"/>
        <v>01779</v>
      </c>
      <c r="M1780" s="46" t="str">
        <f t="shared" si="509"/>
        <v>31 de enero de 2019</v>
      </c>
      <c r="N1780" s="318">
        <f t="shared" si="510"/>
        <v>31</v>
      </c>
      <c r="O1780" s="24">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888</v>
      </c>
      <c r="J1781" s="59" t="s">
        <v>22</v>
      </c>
      <c r="L1781" s="5" t="str">
        <f t="shared" si="508"/>
        <v>01780</v>
      </c>
      <c r="M1781" s="46" t="str">
        <f t="shared" si="509"/>
        <v>31 de enero de 2019</v>
      </c>
      <c r="N1781" s="318">
        <f t="shared" si="510"/>
        <v>31</v>
      </c>
      <c r="O1781" s="24">
        <f t="shared" si="511"/>
        <v>43466</v>
      </c>
      <c r="P1781" s="5" t="str">
        <f t="shared" si="512"/>
        <v>3.000,00</v>
      </c>
      <c r="Q1781" s="4" t="e">
        <f t="shared" ca="1" si="514"/>
        <v>#NAME?</v>
      </c>
    </row>
    <row r="1782" spans="1:17">
      <c r="A1782" s="1">
        <f t="shared" si="513"/>
        <v>1781</v>
      </c>
      <c r="C1782" s="83" t="s">
        <v>17</v>
      </c>
      <c r="D1782" s="2">
        <v>43497</v>
      </c>
      <c r="E1782" s="3">
        <v>2200</v>
      </c>
      <c r="F1782" t="s">
        <v>319</v>
      </c>
      <c r="G1782" s="18" t="s">
        <v>58</v>
      </c>
      <c r="H1782" t="s">
        <v>320</v>
      </c>
      <c r="I1782" s="6" t="s">
        <v>887</v>
      </c>
      <c r="J1782" s="59" t="s">
        <v>22</v>
      </c>
      <c r="L1782" s="5" t="str">
        <f t="shared" si="508"/>
        <v>01781</v>
      </c>
      <c r="M1782" s="46" t="str">
        <f t="shared" si="509"/>
        <v>01 de febrero de 2019</v>
      </c>
      <c r="N1782" s="318">
        <f t="shared" si="510"/>
        <v>1</v>
      </c>
      <c r="O1782" s="24">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896</v>
      </c>
      <c r="J1783" s="59" t="s">
        <v>22</v>
      </c>
      <c r="L1783" s="5" t="str">
        <f t="shared" si="508"/>
        <v>01782</v>
      </c>
      <c r="M1783" s="46" t="str">
        <f t="shared" si="509"/>
        <v>21 de enero de 2019</v>
      </c>
      <c r="N1783" s="318">
        <f t="shared" si="510"/>
        <v>21</v>
      </c>
      <c r="O1783" s="24">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897</v>
      </c>
      <c r="J1784" s="59" t="s">
        <v>22</v>
      </c>
      <c r="L1784" s="5" t="str">
        <f t="shared" si="508"/>
        <v>01783</v>
      </c>
      <c r="M1784" s="46" t="str">
        <f t="shared" si="509"/>
        <v>30 de enero de 2019</v>
      </c>
      <c r="N1784" s="318">
        <f t="shared" si="510"/>
        <v>30</v>
      </c>
      <c r="O1784" s="24">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898</v>
      </c>
      <c r="J1785" s="59" t="s">
        <v>22</v>
      </c>
      <c r="L1785" s="5" t="str">
        <f>IF(ISBLANK(A1785),"",TEXT(A1785,"00000"))</f>
        <v>01784</v>
      </c>
      <c r="M1785" s="46" t="str">
        <f>IF(ISBLANK(D1785),"",TEXT(D1785,"dd")&amp;" de "&amp;TEXT(D1785,"mmmm")&amp;" de "&amp;TEXT(YEAR(D1785),"0"))</f>
        <v>02 de febrero de 2019</v>
      </c>
      <c r="N1785" s="318">
        <f t="shared" si="510"/>
        <v>2</v>
      </c>
      <c r="O1785" s="24">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862</v>
      </c>
      <c r="J1786" s="59" t="s">
        <v>22</v>
      </c>
      <c r="L1786" s="5" t="str">
        <f t="shared" ref="L1786:L1795" si="516">IF(ISBLANK(A1786),"",TEXT(A1786,"00000"))</f>
        <v>01785</v>
      </c>
      <c r="M1786" s="46" t="str">
        <f t="shared" ref="M1786:M1795" si="517">IF(ISBLANK(D1786),"",TEXT(D1786,"dd")&amp;" de "&amp;TEXT(D1786,"mmmm")&amp;" de "&amp;TEXT(YEAR(D1786),"0"))</f>
        <v>04 de febrero de 2019</v>
      </c>
      <c r="N1786" s="318">
        <f t="shared" si="510"/>
        <v>4</v>
      </c>
      <c r="O1786" s="24">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896</v>
      </c>
      <c r="J1787" s="59" t="s">
        <v>22</v>
      </c>
      <c r="L1787" s="5" t="str">
        <f t="shared" si="516"/>
        <v>01786</v>
      </c>
      <c r="M1787" s="46" t="str">
        <f t="shared" si="517"/>
        <v>04 de febrero de 2019</v>
      </c>
      <c r="N1787" s="318">
        <f t="shared" si="510"/>
        <v>4</v>
      </c>
      <c r="O1787" s="24">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888</v>
      </c>
      <c r="J1788" s="59" t="s">
        <v>22</v>
      </c>
      <c r="L1788" s="5" t="str">
        <f t="shared" si="516"/>
        <v>01787</v>
      </c>
      <c r="M1788" s="46" t="str">
        <f t="shared" si="517"/>
        <v>04 de febrero de 2019</v>
      </c>
      <c r="N1788" s="318">
        <f t="shared" si="510"/>
        <v>4</v>
      </c>
      <c r="O1788" s="24">
        <f t="shared" si="518"/>
        <v>43497</v>
      </c>
      <c r="P1788" s="5" t="str">
        <f t="shared" si="512"/>
        <v>3.000,00</v>
      </c>
      <c r="Q1788" s="4" t="e">
        <f t="shared" ca="1" si="514"/>
        <v>#NAME?</v>
      </c>
    </row>
    <row r="1789" spans="1:17">
      <c r="A1789" s="1">
        <f t="shared" si="515"/>
        <v>1788</v>
      </c>
      <c r="C1789" s="83" t="s">
        <v>17</v>
      </c>
      <c r="D1789" s="2">
        <v>43500</v>
      </c>
      <c r="E1789" s="3">
        <v>300</v>
      </c>
      <c r="F1789" t="s">
        <v>40</v>
      </c>
      <c r="G1789" s="18" t="s">
        <v>58</v>
      </c>
      <c r="H1789" t="s">
        <v>42</v>
      </c>
      <c r="I1789" s="6" t="s">
        <v>899</v>
      </c>
      <c r="J1789" s="59" t="s">
        <v>22</v>
      </c>
      <c r="L1789" s="5" t="str">
        <f t="shared" si="516"/>
        <v>01788</v>
      </c>
      <c r="M1789" s="46" t="str">
        <f t="shared" si="517"/>
        <v>04 de febrero de 2019</v>
      </c>
      <c r="N1789" s="318">
        <f t="shared" si="510"/>
        <v>4</v>
      </c>
      <c r="O1789" s="24">
        <f t="shared" si="518"/>
        <v>43497</v>
      </c>
      <c r="P1789" s="5" t="str">
        <f t="shared" si="512"/>
        <v>300,00</v>
      </c>
      <c r="Q1789" s="4" t="e">
        <f t="shared" ca="1" si="514"/>
        <v>#NAME?</v>
      </c>
    </row>
    <row r="1790" spans="1:17">
      <c r="A1790" s="1">
        <f t="shared" si="515"/>
        <v>1789</v>
      </c>
      <c r="C1790" s="83" t="s">
        <v>17</v>
      </c>
      <c r="D1790" s="2">
        <v>43500</v>
      </c>
      <c r="E1790" s="3">
        <v>5700</v>
      </c>
      <c r="F1790" t="s">
        <v>40</v>
      </c>
      <c r="G1790" s="18" t="s">
        <v>58</v>
      </c>
      <c r="H1790" t="s">
        <v>42</v>
      </c>
      <c r="I1790" s="6" t="s">
        <v>900</v>
      </c>
      <c r="J1790" s="59" t="s">
        <v>22</v>
      </c>
      <c r="L1790" s="5" t="str">
        <f t="shared" si="516"/>
        <v>01789</v>
      </c>
      <c r="M1790" s="46" t="str">
        <f t="shared" si="517"/>
        <v>04 de febrero de 2019</v>
      </c>
      <c r="N1790" s="318">
        <f t="shared" si="510"/>
        <v>4</v>
      </c>
      <c r="O1790" s="24">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901</v>
      </c>
      <c r="J1791" s="59" t="s">
        <v>22</v>
      </c>
      <c r="L1791" s="5" t="str">
        <f t="shared" si="516"/>
        <v>01790</v>
      </c>
      <c r="M1791" s="46" t="str">
        <f t="shared" si="517"/>
        <v>07 de febrero de 2019</v>
      </c>
      <c r="N1791" s="318">
        <f t="shared" si="510"/>
        <v>7</v>
      </c>
      <c r="O1791" s="24">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898</v>
      </c>
      <c r="J1792" s="59" t="s">
        <v>22</v>
      </c>
      <c r="L1792" s="5" t="str">
        <f t="shared" si="516"/>
        <v>01791</v>
      </c>
      <c r="M1792" s="46" t="str">
        <f t="shared" si="517"/>
        <v>04 de febrero de 2019</v>
      </c>
      <c r="N1792" s="318">
        <f t="shared" si="510"/>
        <v>4</v>
      </c>
      <c r="O1792" s="24">
        <f t="shared" si="518"/>
        <v>43497</v>
      </c>
      <c r="P1792" s="5" t="str">
        <f t="shared" si="512"/>
        <v>3.000,00</v>
      </c>
      <c r="Q1792" s="4" t="e">
        <f t="shared" ca="1" si="514"/>
        <v>#NAME?</v>
      </c>
    </row>
    <row r="1793" spans="1:17">
      <c r="A1793" s="1">
        <f t="shared" si="515"/>
        <v>1792</v>
      </c>
      <c r="C1793" s="83" t="s">
        <v>17</v>
      </c>
      <c r="D1793" s="2">
        <v>43502</v>
      </c>
      <c r="E1793" s="3">
        <v>3000</v>
      </c>
      <c r="F1793" t="s">
        <v>259</v>
      </c>
      <c r="G1793" s="18" t="s">
        <v>58</v>
      </c>
      <c r="H1793" t="s">
        <v>261</v>
      </c>
      <c r="I1793" s="6" t="s">
        <v>888</v>
      </c>
      <c r="J1793" s="59" t="s">
        <v>22</v>
      </c>
      <c r="L1793" s="5" t="str">
        <f t="shared" si="516"/>
        <v>01792</v>
      </c>
      <c r="M1793" s="46" t="str">
        <f t="shared" si="517"/>
        <v>06 de febrero de 2019</v>
      </c>
      <c r="N1793" s="318">
        <f t="shared" si="510"/>
        <v>6</v>
      </c>
      <c r="O1793" s="24">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898</v>
      </c>
      <c r="J1794" s="59" t="s">
        <v>22</v>
      </c>
      <c r="L1794" s="5" t="str">
        <f t="shared" si="516"/>
        <v>01793</v>
      </c>
      <c r="M1794" s="46" t="str">
        <f t="shared" si="517"/>
        <v>06 de febrero de 2019</v>
      </c>
      <c r="N1794" s="318">
        <f t="shared" si="510"/>
        <v>6</v>
      </c>
      <c r="O1794" s="24">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901</v>
      </c>
      <c r="J1795" s="59" t="s">
        <v>22</v>
      </c>
      <c r="L1795" s="5" t="str">
        <f t="shared" si="516"/>
        <v>01794</v>
      </c>
      <c r="M1795" s="46" t="str">
        <f t="shared" si="517"/>
        <v>06 de febrero de 2019</v>
      </c>
      <c r="N1795" s="318">
        <f t="shared" si="510"/>
        <v>6</v>
      </c>
      <c r="O1795" s="24">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902</v>
      </c>
      <c r="J1796" s="59" t="s">
        <v>22</v>
      </c>
      <c r="L1796" s="5" t="str">
        <f t="shared" ref="L1796:L1828" si="519">IF(ISBLANK(A1796),"",TEXT(A1796,"00000"))</f>
        <v>01795</v>
      </c>
      <c r="M1796" s="46" t="str">
        <f t="shared" ref="M1796:M1828" si="520">IF(ISBLANK(D1796),"",TEXT(D1796,"dd")&amp;" de "&amp;TEXT(D1796,"mmmm")&amp;" de "&amp;TEXT(YEAR(D1796),"0"))</f>
        <v>06 de febrero de 2019</v>
      </c>
      <c r="N1796" s="318">
        <f t="shared" ref="N1796:N1828" si="521">DAY(D1796)</f>
        <v>6</v>
      </c>
      <c r="O1796" s="24">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849</v>
      </c>
      <c r="J1797" s="59" t="s">
        <v>22</v>
      </c>
      <c r="L1797" s="5" t="str">
        <f t="shared" si="519"/>
        <v>01796</v>
      </c>
      <c r="M1797" s="46" t="str">
        <f t="shared" si="520"/>
        <v>06 de febrero de 2019</v>
      </c>
      <c r="N1797" s="318">
        <f t="shared" si="521"/>
        <v>6</v>
      </c>
      <c r="O1797" s="24">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903</v>
      </c>
      <c r="J1798" s="59" t="s">
        <v>22</v>
      </c>
      <c r="L1798" s="5" t="str">
        <f t="shared" si="519"/>
        <v>01797</v>
      </c>
      <c r="M1798" s="46" t="str">
        <f t="shared" si="520"/>
        <v>07 de febrero de 2019</v>
      </c>
      <c r="N1798" s="318">
        <f t="shared" si="521"/>
        <v>7</v>
      </c>
      <c r="O1798" s="24">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898</v>
      </c>
      <c r="J1799" s="59" t="s">
        <v>22</v>
      </c>
      <c r="L1799" s="5" t="str">
        <f t="shared" si="519"/>
        <v>01798</v>
      </c>
      <c r="M1799" s="46" t="str">
        <f t="shared" si="520"/>
        <v>08 de febrero de 2019</v>
      </c>
      <c r="N1799" s="318">
        <f t="shared" si="521"/>
        <v>8</v>
      </c>
      <c r="O1799" s="24">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898</v>
      </c>
      <c r="J1800" s="59" t="s">
        <v>22</v>
      </c>
      <c r="L1800" s="5" t="str">
        <f t="shared" si="519"/>
        <v>01799</v>
      </c>
      <c r="M1800" s="46" t="str">
        <f t="shared" si="520"/>
        <v>09 de febrero de 2019</v>
      </c>
      <c r="N1800" s="318">
        <f t="shared" si="521"/>
        <v>9</v>
      </c>
      <c r="O1800" s="24">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901</v>
      </c>
      <c r="J1801" s="59" t="s">
        <v>22</v>
      </c>
      <c r="L1801" s="5" t="str">
        <f t="shared" si="519"/>
        <v>01800</v>
      </c>
      <c r="M1801" s="46" t="str">
        <f t="shared" si="520"/>
        <v>09 de febrero de 2019</v>
      </c>
      <c r="N1801" s="318">
        <f t="shared" si="521"/>
        <v>9</v>
      </c>
      <c r="O1801" s="24">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898</v>
      </c>
      <c r="J1802" s="59" t="s">
        <v>22</v>
      </c>
      <c r="L1802" s="5" t="str">
        <f t="shared" si="519"/>
        <v>01801</v>
      </c>
      <c r="M1802" s="46" t="str">
        <f t="shared" si="520"/>
        <v>09 de febrero de 2019</v>
      </c>
      <c r="N1802" s="318">
        <f t="shared" si="521"/>
        <v>9</v>
      </c>
      <c r="O1802" s="24">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898</v>
      </c>
      <c r="J1803" s="59" t="s">
        <v>22</v>
      </c>
      <c r="L1803" s="5" t="str">
        <f t="shared" si="519"/>
        <v>01802</v>
      </c>
      <c r="M1803" s="46" t="str">
        <f t="shared" si="520"/>
        <v>09 de febrero de 2019</v>
      </c>
      <c r="N1803" s="318">
        <f t="shared" si="521"/>
        <v>9</v>
      </c>
      <c r="O1803" s="24">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898</v>
      </c>
      <c r="J1804" s="59" t="s">
        <v>22</v>
      </c>
      <c r="L1804" s="5" t="str">
        <f t="shared" si="519"/>
        <v>01803</v>
      </c>
      <c r="M1804" s="46" t="str">
        <f t="shared" si="520"/>
        <v>09 de febrero de 2019</v>
      </c>
      <c r="N1804" s="318">
        <f t="shared" si="521"/>
        <v>9</v>
      </c>
      <c r="O1804" s="24">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898</v>
      </c>
      <c r="J1805" s="59" t="s">
        <v>22</v>
      </c>
      <c r="L1805" s="5" t="str">
        <f t="shared" si="519"/>
        <v>01804</v>
      </c>
      <c r="M1805" s="46" t="str">
        <f t="shared" si="520"/>
        <v>09 de febrero de 2019</v>
      </c>
      <c r="N1805" s="318">
        <f t="shared" si="521"/>
        <v>9</v>
      </c>
      <c r="O1805" s="24">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898</v>
      </c>
      <c r="J1806" s="59" t="s">
        <v>22</v>
      </c>
      <c r="L1806" s="5" t="str">
        <f t="shared" si="519"/>
        <v>01805</v>
      </c>
      <c r="M1806" s="46" t="str">
        <f t="shared" si="520"/>
        <v>11 de febrero de 2019</v>
      </c>
      <c r="N1806" s="318">
        <f t="shared" si="521"/>
        <v>11</v>
      </c>
      <c r="O1806" s="24">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904</v>
      </c>
      <c r="J1807" s="59" t="s">
        <v>22</v>
      </c>
      <c r="L1807" s="5" t="str">
        <f t="shared" si="519"/>
        <v>01806</v>
      </c>
      <c r="M1807" s="46" t="str">
        <f t="shared" si="520"/>
        <v>12 de febrero de 2019</v>
      </c>
      <c r="N1807" s="318">
        <f t="shared" si="521"/>
        <v>12</v>
      </c>
      <c r="O1807" s="24">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896</v>
      </c>
      <c r="J1808" s="59" t="s">
        <v>22</v>
      </c>
      <c r="L1808" s="5" t="str">
        <f t="shared" si="519"/>
        <v>01807</v>
      </c>
      <c r="M1808" s="46" t="str">
        <f t="shared" si="520"/>
        <v>13 de febrero de 2019</v>
      </c>
      <c r="N1808" s="318">
        <f t="shared" si="521"/>
        <v>13</v>
      </c>
      <c r="O1808" s="24">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905</v>
      </c>
      <c r="J1809" s="59" t="s">
        <v>22</v>
      </c>
      <c r="L1809" s="5" t="str">
        <f t="shared" si="519"/>
        <v>01808</v>
      </c>
      <c r="M1809" s="46" t="str">
        <f t="shared" si="520"/>
        <v>13 de febrero de 2019</v>
      </c>
      <c r="N1809" s="318">
        <f t="shared" si="521"/>
        <v>13</v>
      </c>
      <c r="O1809" s="24">
        <f t="shared" si="522"/>
        <v>43497</v>
      </c>
      <c r="P1809" s="5" t="str">
        <f t="shared" si="523"/>
        <v>3.000,00</v>
      </c>
      <c r="Q1809" s="4" t="e">
        <f t="shared" ca="1" si="525"/>
        <v>#NAME?</v>
      </c>
    </row>
    <row r="1810" spans="1:17">
      <c r="A1810" s="1">
        <f t="shared" si="526"/>
        <v>1809</v>
      </c>
      <c r="C1810" s="83" t="s">
        <v>17</v>
      </c>
      <c r="D1810" s="2">
        <v>43510</v>
      </c>
      <c r="E1810" s="3">
        <v>2200</v>
      </c>
      <c r="F1810" t="s">
        <v>40</v>
      </c>
      <c r="G1810" s="18" t="s">
        <v>58</v>
      </c>
      <c r="H1810" t="s">
        <v>42</v>
      </c>
      <c r="I1810" s="6" t="s">
        <v>906</v>
      </c>
      <c r="J1810" s="59" t="s">
        <v>22</v>
      </c>
      <c r="L1810" s="5" t="str">
        <f t="shared" si="519"/>
        <v>01809</v>
      </c>
      <c r="M1810" s="46" t="str">
        <f t="shared" si="520"/>
        <v>14 de febrero de 2019</v>
      </c>
      <c r="N1810" s="318">
        <f t="shared" si="521"/>
        <v>14</v>
      </c>
      <c r="O1810" s="24">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888</v>
      </c>
      <c r="J1811" s="59" t="s">
        <v>22</v>
      </c>
      <c r="L1811" s="5" t="str">
        <f t="shared" si="519"/>
        <v>01810</v>
      </c>
      <c r="M1811" s="46" t="str">
        <f t="shared" si="520"/>
        <v>14 de febrero de 2019</v>
      </c>
      <c r="N1811" s="318">
        <f t="shared" si="521"/>
        <v>14</v>
      </c>
      <c r="O1811" s="24">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907</v>
      </c>
      <c r="J1812" s="59" t="s">
        <v>22</v>
      </c>
      <c r="L1812" s="5" t="str">
        <f t="shared" si="519"/>
        <v>01811</v>
      </c>
      <c r="M1812" s="46" t="str">
        <f t="shared" si="520"/>
        <v>14 de febrero de 2019</v>
      </c>
      <c r="N1812" s="318">
        <f t="shared" si="521"/>
        <v>14</v>
      </c>
      <c r="O1812" s="24">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902</v>
      </c>
      <c r="J1813" s="59" t="s">
        <v>22</v>
      </c>
      <c r="L1813" s="5" t="str">
        <f t="shared" si="519"/>
        <v>01812</v>
      </c>
      <c r="M1813" s="46" t="str">
        <f t="shared" si="520"/>
        <v>13 de febrero de 2019</v>
      </c>
      <c r="N1813" s="318">
        <f t="shared" si="521"/>
        <v>13</v>
      </c>
      <c r="O1813" s="24">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898</v>
      </c>
      <c r="J1814" s="59" t="s">
        <v>22</v>
      </c>
      <c r="L1814" s="5" t="str">
        <f t="shared" si="519"/>
        <v>01813</v>
      </c>
      <c r="M1814" s="46" t="str">
        <f t="shared" si="520"/>
        <v>15 de febrero de 2019</v>
      </c>
      <c r="N1814" s="318">
        <f t="shared" si="521"/>
        <v>15</v>
      </c>
      <c r="O1814" s="24">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898</v>
      </c>
      <c r="J1815" s="59" t="s">
        <v>22</v>
      </c>
      <c r="L1815" s="5" t="str">
        <f t="shared" si="519"/>
        <v>01814</v>
      </c>
      <c r="M1815" s="46" t="str">
        <f t="shared" si="520"/>
        <v>17 de febrero de 2019</v>
      </c>
      <c r="N1815" s="318">
        <f t="shared" si="521"/>
        <v>17</v>
      </c>
      <c r="O1815" s="24">
        <f t="shared" si="522"/>
        <v>43497</v>
      </c>
      <c r="P1815" s="5" t="str">
        <f t="shared" si="523"/>
        <v>3.000,00</v>
      </c>
      <c r="Q1815" s="4" t="e">
        <f t="shared" ca="1" si="525"/>
        <v>#NAME?</v>
      </c>
    </row>
    <row r="1816" spans="1:17">
      <c r="A1816" s="316">
        <f t="shared" si="526"/>
        <v>1815</v>
      </c>
      <c r="B1816" s="541"/>
      <c r="C1816" s="12" t="s">
        <v>225</v>
      </c>
      <c r="D1816" s="17">
        <v>43513</v>
      </c>
      <c r="E1816" s="13">
        <v>3000</v>
      </c>
      <c r="F1816" s="14" t="s">
        <v>197</v>
      </c>
      <c r="G1816" s="14" t="s">
        <v>198</v>
      </c>
      <c r="H1816" s="14" t="s">
        <v>199</v>
      </c>
      <c r="I1816" s="15" t="s">
        <v>908</v>
      </c>
      <c r="J1816" s="60" t="s">
        <v>426</v>
      </c>
      <c r="K1816" s="16"/>
      <c r="L1816" s="5" t="str">
        <f t="shared" si="519"/>
        <v>01815</v>
      </c>
      <c r="M1816" s="46" t="str">
        <f t="shared" si="520"/>
        <v>17 de febrero de 2019</v>
      </c>
      <c r="N1816" s="318">
        <f t="shared" si="521"/>
        <v>17</v>
      </c>
      <c r="O1816" s="24">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898</v>
      </c>
      <c r="J1817" s="59" t="s">
        <v>22</v>
      </c>
      <c r="L1817" s="5" t="str">
        <f t="shared" si="519"/>
        <v>01816</v>
      </c>
      <c r="M1817" s="46" t="str">
        <f t="shared" si="520"/>
        <v>18 de febrero de 2019</v>
      </c>
      <c r="N1817" s="318">
        <f t="shared" si="521"/>
        <v>18</v>
      </c>
      <c r="O1817" s="24">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909</v>
      </c>
      <c r="J1818" s="59" t="s">
        <v>22</v>
      </c>
      <c r="L1818" s="5" t="str">
        <f t="shared" si="519"/>
        <v>01817</v>
      </c>
      <c r="M1818" s="46" t="str">
        <f t="shared" si="520"/>
        <v>19 de febrero de 2019</v>
      </c>
      <c r="N1818" s="318">
        <f t="shared" si="521"/>
        <v>19</v>
      </c>
      <c r="O1818" s="24">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898</v>
      </c>
      <c r="J1819" s="59" t="s">
        <v>22</v>
      </c>
      <c r="L1819" s="5" t="str">
        <f t="shared" si="519"/>
        <v>01818</v>
      </c>
      <c r="M1819" s="46" t="str">
        <f t="shared" si="520"/>
        <v>20 de febrero de 2019</v>
      </c>
      <c r="N1819" s="318">
        <f t="shared" si="521"/>
        <v>20</v>
      </c>
      <c r="O1819" s="24">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901</v>
      </c>
      <c r="J1820" s="59" t="s">
        <v>22</v>
      </c>
      <c r="L1820" s="5" t="str">
        <f t="shared" si="519"/>
        <v>01819</v>
      </c>
      <c r="M1820" s="46" t="str">
        <f t="shared" si="520"/>
        <v>22 de febrero de 2019</v>
      </c>
      <c r="N1820" s="318">
        <f t="shared" si="521"/>
        <v>22</v>
      </c>
      <c r="O1820" s="24">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898</v>
      </c>
      <c r="J1821" s="59" t="s">
        <v>22</v>
      </c>
      <c r="L1821" s="5" t="str">
        <f t="shared" si="519"/>
        <v>01820</v>
      </c>
      <c r="M1821" s="46" t="str">
        <f t="shared" si="520"/>
        <v>22 de febrero de 2019</v>
      </c>
      <c r="N1821" s="318">
        <f t="shared" si="521"/>
        <v>22</v>
      </c>
      <c r="O1821" s="24">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910</v>
      </c>
      <c r="J1822" s="59" t="s">
        <v>22</v>
      </c>
      <c r="L1822" s="5" t="str">
        <f t="shared" si="519"/>
        <v>01821</v>
      </c>
      <c r="M1822" s="46" t="str">
        <f t="shared" si="520"/>
        <v>24 de febrero de 2019</v>
      </c>
      <c r="N1822" s="318">
        <f t="shared" si="521"/>
        <v>24</v>
      </c>
      <c r="O1822" s="24">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911</v>
      </c>
      <c r="J1823" s="59" t="s">
        <v>22</v>
      </c>
      <c r="L1823" s="5" t="str">
        <f t="shared" si="519"/>
        <v>01822</v>
      </c>
      <c r="M1823" s="46" t="str">
        <f t="shared" si="520"/>
        <v>25 de febrero de 2019</v>
      </c>
      <c r="N1823" s="318">
        <f t="shared" si="521"/>
        <v>25</v>
      </c>
      <c r="O1823" s="24">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898</v>
      </c>
      <c r="J1824" s="59" t="s">
        <v>22</v>
      </c>
      <c r="L1824" s="5" t="str">
        <f t="shared" si="519"/>
        <v>01823</v>
      </c>
      <c r="M1824" s="46" t="str">
        <f t="shared" si="520"/>
        <v>25 de febrero de 2019</v>
      </c>
      <c r="N1824" s="318">
        <f t="shared" si="521"/>
        <v>25</v>
      </c>
      <c r="O1824" s="24">
        <f t="shared" si="522"/>
        <v>43497</v>
      </c>
      <c r="P1824" s="5" t="str">
        <f t="shared" si="523"/>
        <v>3.000,00</v>
      </c>
      <c r="Q1824" s="4" t="e">
        <f t="shared" ca="1" si="525"/>
        <v>#NAME?</v>
      </c>
    </row>
    <row r="1825" spans="1:17">
      <c r="A1825" s="1">
        <f t="shared" si="527"/>
        <v>1824</v>
      </c>
      <c r="C1825" s="83" t="s">
        <v>17</v>
      </c>
      <c r="D1825" s="2">
        <v>43521</v>
      </c>
      <c r="E1825" s="3">
        <v>3000</v>
      </c>
      <c r="F1825" t="s">
        <v>319</v>
      </c>
      <c r="G1825" s="18" t="s">
        <v>58</v>
      </c>
      <c r="H1825" t="s">
        <v>320</v>
      </c>
      <c r="I1825" s="6" t="s">
        <v>898</v>
      </c>
      <c r="J1825" s="59" t="s">
        <v>22</v>
      </c>
      <c r="L1825" s="5" t="str">
        <f t="shared" si="519"/>
        <v>01824</v>
      </c>
      <c r="M1825" s="46" t="str">
        <f t="shared" si="520"/>
        <v>25 de febrero de 2019</v>
      </c>
      <c r="N1825" s="318">
        <f t="shared" si="521"/>
        <v>25</v>
      </c>
      <c r="O1825" s="24">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898</v>
      </c>
      <c r="J1826" s="59" t="s">
        <v>22</v>
      </c>
      <c r="L1826" s="5" t="str">
        <f t="shared" si="519"/>
        <v>01825</v>
      </c>
      <c r="M1826" s="46" t="str">
        <f t="shared" si="520"/>
        <v>25 de febrero de 2019</v>
      </c>
      <c r="N1826" s="318">
        <f t="shared" si="521"/>
        <v>25</v>
      </c>
      <c r="O1826" s="24">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898</v>
      </c>
      <c r="J1827" s="59" t="s">
        <v>22</v>
      </c>
      <c r="L1827" s="5" t="str">
        <f t="shared" si="519"/>
        <v>01826</v>
      </c>
      <c r="M1827" s="46" t="str">
        <f t="shared" si="520"/>
        <v>25 de febrero de 2019</v>
      </c>
      <c r="N1827" s="318">
        <f t="shared" si="521"/>
        <v>25</v>
      </c>
      <c r="O1827" s="24">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898</v>
      </c>
      <c r="J1828" s="59" t="s">
        <v>22</v>
      </c>
      <c r="L1828" s="5" t="str">
        <f t="shared" si="519"/>
        <v>01827</v>
      </c>
      <c r="M1828" s="46" t="str">
        <f t="shared" si="520"/>
        <v>25 de febrero de 2019</v>
      </c>
      <c r="N1828" s="318">
        <f t="shared" si="521"/>
        <v>25</v>
      </c>
      <c r="O1828" s="24">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902</v>
      </c>
      <c r="J1829" s="59" t="s">
        <v>22</v>
      </c>
      <c r="L1829" s="5" t="str">
        <f t="shared" ref="L1829:L1835" si="528">IF(ISBLANK(A1829),"",TEXT(A1829,"00000"))</f>
        <v>01828</v>
      </c>
      <c r="M1829" s="46" t="str">
        <f t="shared" ref="M1829:M1835" si="529">IF(ISBLANK(D1829),"",TEXT(D1829,"dd")&amp;" de "&amp;TEXT(D1829,"mmmm")&amp;" de "&amp;TEXT(YEAR(D1829),"0"))</f>
        <v>25 de febrero de 2019</v>
      </c>
      <c r="N1829" s="318">
        <f t="shared" ref="N1829:N1848" si="530">DAY(D1829)</f>
        <v>25</v>
      </c>
      <c r="O1829" s="24">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898</v>
      </c>
      <c r="J1830" s="59" t="s">
        <v>22</v>
      </c>
      <c r="L1830" s="5" t="str">
        <f t="shared" si="528"/>
        <v>01829</v>
      </c>
      <c r="M1830" s="46" t="str">
        <f t="shared" si="529"/>
        <v>26 de febrero de 2019</v>
      </c>
      <c r="N1830" s="318">
        <f t="shared" si="530"/>
        <v>26</v>
      </c>
      <c r="O1830" s="24">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898</v>
      </c>
      <c r="J1831" s="59" t="s">
        <v>22</v>
      </c>
      <c r="L1831" s="5" t="str">
        <f t="shared" si="528"/>
        <v>01830</v>
      </c>
      <c r="M1831" s="46" t="str">
        <f t="shared" si="529"/>
        <v>17 de febrero de 2019</v>
      </c>
      <c r="N1831" s="318">
        <f t="shared" si="530"/>
        <v>17</v>
      </c>
      <c r="O1831" s="24">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898</v>
      </c>
      <c r="J1832" s="59" t="s">
        <v>22</v>
      </c>
      <c r="L1832" s="5" t="str">
        <f t="shared" si="528"/>
        <v>01831</v>
      </c>
      <c r="M1832" s="46" t="str">
        <f t="shared" si="529"/>
        <v>26 de febrero de 2019</v>
      </c>
      <c r="N1832" s="318">
        <f t="shared" si="530"/>
        <v>26</v>
      </c>
      <c r="O1832" s="24">
        <f t="shared" si="531"/>
        <v>43497</v>
      </c>
      <c r="P1832" s="5" t="str">
        <f t="shared" si="532"/>
        <v>3.000,00</v>
      </c>
      <c r="Q1832" s="4" t="e">
        <f t="shared" ca="1" si="533"/>
        <v>#NAME?</v>
      </c>
    </row>
    <row r="1833" spans="1:17">
      <c r="A1833" s="1">
        <f t="shared" si="527"/>
        <v>1832</v>
      </c>
      <c r="C1833" s="8" t="s">
        <v>17</v>
      </c>
      <c r="D1833" s="2">
        <v>43523</v>
      </c>
      <c r="E1833" s="3">
        <v>3000</v>
      </c>
      <c r="F1833" t="s">
        <v>239</v>
      </c>
      <c r="G1833" s="71" t="s">
        <v>240</v>
      </c>
      <c r="H1833" t="s">
        <v>241</v>
      </c>
      <c r="I1833" s="6" t="s">
        <v>898</v>
      </c>
      <c r="J1833" s="59" t="s">
        <v>22</v>
      </c>
      <c r="L1833" s="5" t="str">
        <f t="shared" si="528"/>
        <v>01832</v>
      </c>
      <c r="M1833" s="46" t="str">
        <f t="shared" si="529"/>
        <v>27 de febrero de 2019</v>
      </c>
      <c r="N1833" s="318">
        <f t="shared" si="530"/>
        <v>27</v>
      </c>
      <c r="O1833" s="24">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898</v>
      </c>
      <c r="J1834" s="59" t="s">
        <v>22</v>
      </c>
      <c r="L1834" s="5" t="str">
        <f t="shared" si="528"/>
        <v>01833</v>
      </c>
      <c r="M1834" s="46" t="str">
        <f t="shared" si="529"/>
        <v>26 de febrero de 2019</v>
      </c>
      <c r="N1834" s="318">
        <f t="shared" si="530"/>
        <v>26</v>
      </c>
      <c r="O1834" s="24">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910</v>
      </c>
      <c r="J1835" s="59" t="s">
        <v>22</v>
      </c>
      <c r="L1835" s="5" t="str">
        <f t="shared" si="528"/>
        <v>01834</v>
      </c>
      <c r="M1835" s="46" t="str">
        <f t="shared" si="529"/>
        <v>27 de febrero de 2019</v>
      </c>
      <c r="N1835" s="318">
        <f t="shared" si="530"/>
        <v>27</v>
      </c>
      <c r="O1835" s="24">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912</v>
      </c>
      <c r="J1836" s="59" t="s">
        <v>22</v>
      </c>
      <c r="L1836" s="5" t="str">
        <f>IF(ISBLANK(A1836),"",TEXT(A1836,"00000"))</f>
        <v>01835</v>
      </c>
      <c r="M1836" s="46" t="str">
        <f>IF(ISBLANK(D1836),"",TEXT(D1836,"dd")&amp;" de "&amp;TEXT(D1836,"mmmm")&amp;" de "&amp;TEXT(YEAR(D1836),"0"))</f>
        <v>27 de febrero de 2019</v>
      </c>
      <c r="N1836" s="318">
        <f t="shared" si="530"/>
        <v>27</v>
      </c>
      <c r="O1836" s="24">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913</v>
      </c>
      <c r="J1837" s="59" t="s">
        <v>22</v>
      </c>
      <c r="L1837" s="5" t="str">
        <f>IF(ISBLANK(A1837),"",TEXT(A1837,"00000"))</f>
        <v>01836</v>
      </c>
      <c r="M1837" s="46" t="str">
        <f>IF(ISBLANK(D1837),"",TEXT(D1837,"dd")&amp;" de "&amp;TEXT(D1837,"mmmm")&amp;" de "&amp;TEXT(YEAR(D1837),"0"))</f>
        <v>27 de febrero de 2019</v>
      </c>
      <c r="N1837" s="318">
        <f t="shared" si="530"/>
        <v>27</v>
      </c>
      <c r="O1837" s="24">
        <f>DATE(YEAR(D1837),MONTH(D1837),1)</f>
        <v>43497</v>
      </c>
      <c r="P1837" s="5" t="str">
        <f t="shared" si="532"/>
        <v>6.000,00</v>
      </c>
      <c r="Q1837" s="4" t="e">
        <f t="shared" ca="1" si="534"/>
        <v>#NAME?</v>
      </c>
    </row>
    <row r="1838" spans="1:17">
      <c r="A1838" s="1">
        <f t="shared" si="527"/>
        <v>1837</v>
      </c>
      <c r="C1838" s="83" t="s">
        <v>17</v>
      </c>
      <c r="D1838" s="2">
        <v>43523</v>
      </c>
      <c r="E1838" s="3">
        <v>3000</v>
      </c>
      <c r="F1838" t="s">
        <v>259</v>
      </c>
      <c r="G1838" s="18" t="s">
        <v>58</v>
      </c>
      <c r="H1838" t="s">
        <v>261</v>
      </c>
      <c r="I1838" s="6" t="s">
        <v>898</v>
      </c>
      <c r="J1838" s="59" t="s">
        <v>22</v>
      </c>
      <c r="L1838" s="5" t="str">
        <f t="shared" ref="L1838:L1848" si="535">IF(ISBLANK(A1838),"",TEXT(A1838,"00000"))</f>
        <v>01837</v>
      </c>
      <c r="M1838" s="46" t="str">
        <f t="shared" ref="M1838:M1848" si="536">IF(ISBLANK(D1838),"",TEXT(D1838,"dd")&amp;" de "&amp;TEXT(D1838,"mmmm")&amp;" de "&amp;TEXT(YEAR(D1838),"0"))</f>
        <v>27 de febrero de 2019</v>
      </c>
      <c r="N1838" s="318">
        <f t="shared" si="530"/>
        <v>27</v>
      </c>
      <c r="O1838" s="24">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914</v>
      </c>
      <c r="J1839" s="59" t="s">
        <v>22</v>
      </c>
      <c r="L1839" s="5" t="str">
        <f t="shared" si="535"/>
        <v>01838</v>
      </c>
      <c r="M1839" s="46" t="str">
        <f t="shared" si="536"/>
        <v>27 de febrero de 2019</v>
      </c>
      <c r="N1839" s="318">
        <f t="shared" si="530"/>
        <v>27</v>
      </c>
      <c r="O1839" s="24">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915</v>
      </c>
      <c r="J1840" s="59" t="s">
        <v>22</v>
      </c>
      <c r="L1840" s="5" t="str">
        <f t="shared" si="535"/>
        <v>01839</v>
      </c>
      <c r="M1840" s="46" t="str">
        <f t="shared" si="536"/>
        <v>27 de febrero de 2019</v>
      </c>
      <c r="N1840" s="318">
        <f t="shared" si="530"/>
        <v>27</v>
      </c>
      <c r="O1840" s="24">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59" t="s">
        <v>916</v>
      </c>
      <c r="J1841" s="59" t="s">
        <v>22</v>
      </c>
      <c r="L1841" s="5" t="str">
        <f t="shared" si="535"/>
        <v>01840</v>
      </c>
      <c r="M1841" s="46" t="str">
        <f t="shared" si="536"/>
        <v>27 de febrero de 2019</v>
      </c>
      <c r="N1841" s="318">
        <f t="shared" si="530"/>
        <v>27</v>
      </c>
      <c r="O1841" s="24">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898</v>
      </c>
      <c r="J1842" s="59" t="s">
        <v>22</v>
      </c>
      <c r="L1842" s="5" t="str">
        <f t="shared" si="535"/>
        <v>01841</v>
      </c>
      <c r="M1842" s="46" t="str">
        <f t="shared" si="536"/>
        <v>27 de febrero de 2019</v>
      </c>
      <c r="N1842" s="318">
        <f t="shared" si="530"/>
        <v>27</v>
      </c>
      <c r="O1842" s="24">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898</v>
      </c>
      <c r="J1843" s="59" t="s">
        <v>22</v>
      </c>
      <c r="L1843" s="5" t="str">
        <f t="shared" si="535"/>
        <v>01842</v>
      </c>
      <c r="M1843" s="46" t="str">
        <f t="shared" si="536"/>
        <v>27 de febrero de 2019</v>
      </c>
      <c r="N1843" s="318">
        <f t="shared" si="530"/>
        <v>27</v>
      </c>
      <c r="O1843" s="24">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898</v>
      </c>
      <c r="J1844" s="59" t="s">
        <v>22</v>
      </c>
      <c r="L1844" s="5" t="str">
        <f t="shared" si="535"/>
        <v>01843</v>
      </c>
      <c r="M1844" s="46" t="str">
        <f t="shared" si="536"/>
        <v>27 de febrero de 2019</v>
      </c>
      <c r="N1844" s="318">
        <f t="shared" si="530"/>
        <v>27</v>
      </c>
      <c r="O1844" s="24">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913</v>
      </c>
      <c r="J1845" s="59" t="s">
        <v>22</v>
      </c>
      <c r="L1845" s="5" t="str">
        <f t="shared" si="535"/>
        <v>01844</v>
      </c>
      <c r="M1845" s="46" t="str">
        <f t="shared" si="536"/>
        <v>27 de febrero de 2019</v>
      </c>
      <c r="N1845" s="318">
        <f t="shared" si="530"/>
        <v>27</v>
      </c>
      <c r="O1845" s="24">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910</v>
      </c>
      <c r="J1846" s="59" t="s">
        <v>22</v>
      </c>
      <c r="L1846" s="5" t="str">
        <f t="shared" si="535"/>
        <v>01845</v>
      </c>
      <c r="M1846" s="46" t="str">
        <f t="shared" si="536"/>
        <v>27 de febrero de 2019</v>
      </c>
      <c r="N1846" s="318">
        <f t="shared" si="530"/>
        <v>27</v>
      </c>
      <c r="O1846" s="24">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898</v>
      </c>
      <c r="J1847" s="59" t="s">
        <v>22</v>
      </c>
      <c r="L1847" s="5" t="str">
        <f t="shared" si="535"/>
        <v>01846</v>
      </c>
      <c r="M1847" s="46" t="str">
        <f t="shared" si="536"/>
        <v>27 de febrero de 2019</v>
      </c>
      <c r="N1847" s="318">
        <f t="shared" si="530"/>
        <v>27</v>
      </c>
      <c r="O1847" s="24">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898</v>
      </c>
      <c r="J1848" s="59" t="s">
        <v>22</v>
      </c>
      <c r="L1848" s="5" t="str">
        <f t="shared" si="535"/>
        <v>01847</v>
      </c>
      <c r="M1848" s="46" t="str">
        <f t="shared" si="536"/>
        <v>27 de febrero de 2019</v>
      </c>
      <c r="N1848" s="318">
        <f t="shared" si="530"/>
        <v>27</v>
      </c>
      <c r="O1848" s="24">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898</v>
      </c>
      <c r="J1849" s="59" t="s">
        <v>22</v>
      </c>
      <c r="L1849" s="5" t="str">
        <f t="shared" ref="L1849:L1888" si="540">IF(ISBLANK(A1849),"",TEXT(A1849,"00000"))</f>
        <v>01848</v>
      </c>
      <c r="M1849" s="46" t="str">
        <f t="shared" ref="M1849:M1888" si="541">IF(ISBLANK(D1849),"",TEXT(D1849,"dd")&amp;" de "&amp;TEXT(D1849,"mmmm")&amp;" de "&amp;TEXT(YEAR(D1849),"0"))</f>
        <v>04 de febrero de 2019</v>
      </c>
      <c r="N1849" s="318">
        <f t="shared" ref="N1849:N1888" si="542">DAY(D1849)</f>
        <v>4</v>
      </c>
      <c r="O1849" s="24">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913</v>
      </c>
      <c r="J1850" s="59" t="s">
        <v>22</v>
      </c>
      <c r="L1850" s="5" t="str">
        <f t="shared" si="540"/>
        <v>01849</v>
      </c>
      <c r="M1850" s="46" t="str">
        <f t="shared" si="541"/>
        <v>28 de febrero de 2019</v>
      </c>
      <c r="N1850" s="318">
        <f t="shared" si="542"/>
        <v>28</v>
      </c>
      <c r="O1850" s="24">
        <f t="shared" si="543"/>
        <v>43497</v>
      </c>
      <c r="P1850" s="5" t="str">
        <f t="shared" si="544"/>
        <v>6.000,00</v>
      </c>
      <c r="Q1850" s="4" t="e">
        <f t="shared" ca="1" si="545"/>
        <v>#NAME?</v>
      </c>
    </row>
    <row r="1851" spans="1:17">
      <c r="A1851" s="1">
        <f t="shared" si="527"/>
        <v>1850</v>
      </c>
      <c r="C1851" s="8" t="s">
        <v>17</v>
      </c>
      <c r="D1851" s="2">
        <v>43524</v>
      </c>
      <c r="E1851" s="3">
        <v>8000</v>
      </c>
      <c r="F1851" t="s">
        <v>786</v>
      </c>
      <c r="G1851" t="s">
        <v>787</v>
      </c>
      <c r="H1851" t="s">
        <v>719</v>
      </c>
      <c r="I1851" s="6" t="s">
        <v>917</v>
      </c>
      <c r="J1851" s="59" t="s">
        <v>22</v>
      </c>
      <c r="L1851" s="5" t="str">
        <f t="shared" si="540"/>
        <v>01850</v>
      </c>
      <c r="M1851" s="46" t="str">
        <f t="shared" si="541"/>
        <v>28 de febrero de 2019</v>
      </c>
      <c r="N1851" s="318">
        <f t="shared" si="542"/>
        <v>28</v>
      </c>
      <c r="O1851" s="24">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910</v>
      </c>
      <c r="J1852" s="59" t="s">
        <v>22</v>
      </c>
      <c r="L1852" s="5" t="str">
        <f t="shared" si="540"/>
        <v>01851</v>
      </c>
      <c r="M1852" s="46" t="str">
        <f t="shared" si="541"/>
        <v>28 de febrero de 2019</v>
      </c>
      <c r="N1852" s="318">
        <f t="shared" si="542"/>
        <v>28</v>
      </c>
      <c r="O1852" s="24">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910</v>
      </c>
      <c r="J1853" s="59" t="s">
        <v>22</v>
      </c>
      <c r="L1853" s="5" t="str">
        <f t="shared" si="540"/>
        <v>01852</v>
      </c>
      <c r="M1853" s="46" t="str">
        <f t="shared" si="541"/>
        <v>28 de febrero de 2019</v>
      </c>
      <c r="N1853" s="318">
        <f t="shared" si="542"/>
        <v>28</v>
      </c>
      <c r="O1853" s="24">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898</v>
      </c>
      <c r="J1854" s="59" t="s">
        <v>22</v>
      </c>
      <c r="L1854" s="5" t="str">
        <f t="shared" si="540"/>
        <v>01853</v>
      </c>
      <c r="M1854" s="46" t="str">
        <f t="shared" si="541"/>
        <v>01 de marzo de 2019</v>
      </c>
      <c r="N1854" s="318">
        <f t="shared" si="542"/>
        <v>1</v>
      </c>
      <c r="O1854" s="24">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910</v>
      </c>
      <c r="J1855" s="59" t="s">
        <v>22</v>
      </c>
      <c r="L1855" s="5" t="str">
        <f t="shared" si="540"/>
        <v>01854</v>
      </c>
      <c r="M1855" s="46" t="str">
        <f t="shared" si="541"/>
        <v>06 de marzo de 2019</v>
      </c>
      <c r="N1855" s="318">
        <f t="shared" si="542"/>
        <v>6</v>
      </c>
      <c r="O1855" s="24">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910</v>
      </c>
      <c r="J1856" s="59" t="s">
        <v>22</v>
      </c>
      <c r="L1856" s="5" t="str">
        <f t="shared" si="540"/>
        <v>01855</v>
      </c>
      <c r="M1856" s="46" t="str">
        <f t="shared" si="541"/>
        <v>06 de marzo de 2019</v>
      </c>
      <c r="N1856" s="318">
        <f t="shared" si="542"/>
        <v>6</v>
      </c>
      <c r="O1856" s="24">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918</v>
      </c>
      <c r="J1857" s="59" t="s">
        <v>22</v>
      </c>
      <c r="L1857" s="5" t="str">
        <f t="shared" si="540"/>
        <v>01856</v>
      </c>
      <c r="M1857" s="46" t="str">
        <f t="shared" si="541"/>
        <v>06 de marzo de 2019</v>
      </c>
      <c r="N1857" s="318">
        <f t="shared" si="542"/>
        <v>6</v>
      </c>
      <c r="O1857" s="24">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910</v>
      </c>
      <c r="J1858" s="59" t="s">
        <v>22</v>
      </c>
      <c r="L1858" s="5" t="str">
        <f t="shared" si="540"/>
        <v>01857</v>
      </c>
      <c r="M1858" s="46" t="str">
        <f t="shared" si="541"/>
        <v>06 de marzo de 2019</v>
      </c>
      <c r="N1858" s="318">
        <f t="shared" si="542"/>
        <v>6</v>
      </c>
      <c r="O1858" s="24">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898</v>
      </c>
      <c r="J1859" s="59" t="s">
        <v>22</v>
      </c>
      <c r="L1859" s="5" t="str">
        <f t="shared" si="540"/>
        <v>01858</v>
      </c>
      <c r="M1859" s="46" t="str">
        <f t="shared" si="541"/>
        <v>06 de marzo de 2019</v>
      </c>
      <c r="N1859" s="318">
        <f t="shared" si="542"/>
        <v>6</v>
      </c>
      <c r="O1859" s="24">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898</v>
      </c>
      <c r="J1860" s="59" t="s">
        <v>22</v>
      </c>
      <c r="L1860" s="5" t="str">
        <f t="shared" si="540"/>
        <v>01859</v>
      </c>
      <c r="M1860" s="46" t="str">
        <f t="shared" si="541"/>
        <v>06 de marzo de 2019</v>
      </c>
      <c r="N1860" s="318">
        <f t="shared" si="542"/>
        <v>6</v>
      </c>
      <c r="O1860" s="24">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910</v>
      </c>
      <c r="J1861" s="59" t="s">
        <v>22</v>
      </c>
      <c r="L1861" s="5" t="str">
        <f t="shared" si="540"/>
        <v>01860</v>
      </c>
      <c r="M1861" s="46" t="str">
        <f t="shared" si="541"/>
        <v>07 de marzo de 2019</v>
      </c>
      <c r="N1861" s="318">
        <f t="shared" si="542"/>
        <v>7</v>
      </c>
      <c r="O1861" s="24">
        <f t="shared" si="543"/>
        <v>43525</v>
      </c>
      <c r="P1861" s="5" t="str">
        <f t="shared" si="544"/>
        <v>3.000,00</v>
      </c>
      <c r="Q1861" s="4" t="e">
        <f t="shared" ca="1" si="545"/>
        <v>#NAME?</v>
      </c>
    </row>
    <row r="1862" spans="1:17">
      <c r="A1862" s="1">
        <f t="shared" si="546"/>
        <v>1861</v>
      </c>
      <c r="C1862" s="8" t="s">
        <v>17</v>
      </c>
      <c r="D1862" s="2">
        <v>43523</v>
      </c>
      <c r="E1862" s="3">
        <v>3000</v>
      </c>
      <c r="F1862" t="s">
        <v>844</v>
      </c>
      <c r="G1862" t="s">
        <v>845</v>
      </c>
      <c r="H1862" t="s">
        <v>169</v>
      </c>
      <c r="I1862" s="6" t="s">
        <v>898</v>
      </c>
      <c r="J1862" s="59" t="s">
        <v>22</v>
      </c>
      <c r="L1862" s="5" t="str">
        <f t="shared" si="540"/>
        <v>01861</v>
      </c>
      <c r="M1862" s="46" t="str">
        <f t="shared" si="541"/>
        <v>27 de febrero de 2019</v>
      </c>
      <c r="N1862" s="318">
        <f t="shared" si="542"/>
        <v>27</v>
      </c>
      <c r="O1862" s="24">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910</v>
      </c>
      <c r="J1863" s="59" t="s">
        <v>22</v>
      </c>
      <c r="L1863" s="5" t="str">
        <f t="shared" si="540"/>
        <v>01862</v>
      </c>
      <c r="M1863" s="46" t="str">
        <f t="shared" si="541"/>
        <v>07 de marzo de 2019</v>
      </c>
      <c r="N1863" s="318">
        <f t="shared" si="542"/>
        <v>7</v>
      </c>
      <c r="O1863" s="24">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910</v>
      </c>
      <c r="J1864" s="59" t="s">
        <v>22</v>
      </c>
      <c r="L1864" s="5" t="str">
        <f t="shared" si="540"/>
        <v>01863</v>
      </c>
      <c r="M1864" s="46" t="str">
        <f t="shared" si="541"/>
        <v>07 de marzo de 2019</v>
      </c>
      <c r="N1864" s="318">
        <f t="shared" si="542"/>
        <v>7</v>
      </c>
      <c r="O1864" s="24">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902</v>
      </c>
      <c r="J1865" s="59" t="s">
        <v>22</v>
      </c>
      <c r="L1865" s="5" t="str">
        <f t="shared" si="540"/>
        <v>01864</v>
      </c>
      <c r="M1865" s="46" t="str">
        <f t="shared" si="541"/>
        <v>08 de marzo de 2019</v>
      </c>
      <c r="N1865" s="318">
        <f t="shared" si="542"/>
        <v>8</v>
      </c>
      <c r="O1865" s="24">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910</v>
      </c>
      <c r="J1866" s="59" t="s">
        <v>22</v>
      </c>
      <c r="L1866" s="5" t="str">
        <f t="shared" si="540"/>
        <v>01865</v>
      </c>
      <c r="M1866" s="46" t="str">
        <f t="shared" si="541"/>
        <v>11 de marzo de 2019</v>
      </c>
      <c r="N1866" s="318">
        <f t="shared" si="542"/>
        <v>11</v>
      </c>
      <c r="O1866" s="24">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910</v>
      </c>
      <c r="J1867" s="59" t="s">
        <v>22</v>
      </c>
      <c r="L1867" s="5" t="str">
        <f t="shared" si="540"/>
        <v>01866</v>
      </c>
      <c r="M1867" s="46" t="str">
        <f t="shared" si="541"/>
        <v>09 de marzo de 2019</v>
      </c>
      <c r="N1867" s="318">
        <f t="shared" si="542"/>
        <v>9</v>
      </c>
      <c r="O1867" s="24">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919</v>
      </c>
      <c r="J1868" s="59" t="s">
        <v>22</v>
      </c>
      <c r="L1868" s="5" t="str">
        <f t="shared" si="540"/>
        <v>01867</v>
      </c>
      <c r="M1868" s="46" t="str">
        <f t="shared" si="541"/>
        <v>11 de marzo de 2019</v>
      </c>
      <c r="N1868" s="318">
        <f t="shared" si="542"/>
        <v>11</v>
      </c>
      <c r="O1868" s="24">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910</v>
      </c>
      <c r="J1869" s="59" t="s">
        <v>22</v>
      </c>
      <c r="L1869" s="5" t="str">
        <f t="shared" si="540"/>
        <v>01868</v>
      </c>
      <c r="M1869" s="46" t="str">
        <f t="shared" si="541"/>
        <v>11 de marzo de 2019</v>
      </c>
      <c r="N1869" s="318">
        <f t="shared" si="542"/>
        <v>11</v>
      </c>
      <c r="O1869" s="24">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920</v>
      </c>
      <c r="J1870" s="59" t="s">
        <v>22</v>
      </c>
      <c r="L1870" s="5" t="str">
        <f t="shared" si="540"/>
        <v>01869</v>
      </c>
      <c r="M1870" s="46" t="str">
        <f t="shared" si="541"/>
        <v>12 de marzo de 2019</v>
      </c>
      <c r="N1870" s="318">
        <f t="shared" si="542"/>
        <v>12</v>
      </c>
      <c r="O1870" s="24">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921</v>
      </c>
      <c r="J1871" s="59" t="s">
        <v>22</v>
      </c>
      <c r="L1871" s="5" t="str">
        <f t="shared" si="540"/>
        <v>01870</v>
      </c>
      <c r="M1871" s="46" t="str">
        <f t="shared" si="541"/>
        <v>12 de marzo de 2019</v>
      </c>
      <c r="N1871" s="318">
        <f t="shared" si="542"/>
        <v>12</v>
      </c>
      <c r="O1871" s="24">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922</v>
      </c>
      <c r="J1872" s="59" t="s">
        <v>22</v>
      </c>
      <c r="L1872" s="5" t="str">
        <f t="shared" si="540"/>
        <v>01871</v>
      </c>
      <c r="M1872" s="46" t="str">
        <f t="shared" si="541"/>
        <v>12 de marzo de 2019</v>
      </c>
      <c r="N1872" s="318">
        <f t="shared" si="542"/>
        <v>12</v>
      </c>
      <c r="O1872" s="24">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923</v>
      </c>
      <c r="J1873" s="59" t="s">
        <v>22</v>
      </c>
      <c r="L1873" s="5" t="str">
        <f t="shared" si="540"/>
        <v>01872</v>
      </c>
      <c r="M1873" s="46" t="str">
        <f t="shared" si="541"/>
        <v>12 de marzo de 2019</v>
      </c>
      <c r="N1873" s="318">
        <f t="shared" si="542"/>
        <v>12</v>
      </c>
      <c r="O1873" s="24">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924</v>
      </c>
      <c r="J1874" s="59" t="s">
        <v>22</v>
      </c>
      <c r="L1874" s="5" t="str">
        <f t="shared" si="540"/>
        <v>01873</v>
      </c>
      <c r="M1874" s="46" t="str">
        <f t="shared" si="541"/>
        <v>12 de marzo de 2019</v>
      </c>
      <c r="N1874" s="318">
        <f t="shared" si="542"/>
        <v>12</v>
      </c>
      <c r="O1874" s="24">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910</v>
      </c>
      <c r="J1875" s="59" t="s">
        <v>22</v>
      </c>
      <c r="L1875" s="5" t="str">
        <f t="shared" si="540"/>
        <v>01874</v>
      </c>
      <c r="M1875" s="46" t="str">
        <f t="shared" si="541"/>
        <v>13 de marzo de 2019</v>
      </c>
      <c r="N1875" s="318">
        <f t="shared" si="542"/>
        <v>13</v>
      </c>
      <c r="O1875" s="24">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910</v>
      </c>
      <c r="J1876" s="59" t="s">
        <v>22</v>
      </c>
      <c r="L1876" s="5" t="str">
        <f t="shared" si="540"/>
        <v>01875</v>
      </c>
      <c r="M1876" s="46" t="str">
        <f t="shared" si="541"/>
        <v>13 de marzo de 2019</v>
      </c>
      <c r="N1876" s="318">
        <f t="shared" si="542"/>
        <v>13</v>
      </c>
      <c r="O1876" s="24">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910</v>
      </c>
      <c r="J1877" s="59" t="s">
        <v>22</v>
      </c>
      <c r="L1877" s="5" t="str">
        <f t="shared" si="540"/>
        <v>01876</v>
      </c>
      <c r="M1877" s="46" t="str">
        <f t="shared" si="541"/>
        <v>13 de marzo de 2019</v>
      </c>
      <c r="N1877" s="318">
        <f t="shared" si="542"/>
        <v>13</v>
      </c>
      <c r="O1877" s="24">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919</v>
      </c>
      <c r="J1878" s="59" t="s">
        <v>22</v>
      </c>
      <c r="L1878" s="5" t="str">
        <f t="shared" si="540"/>
        <v>01877</v>
      </c>
      <c r="M1878" s="46" t="str">
        <f t="shared" si="541"/>
        <v>14 de marzo de 2019</v>
      </c>
      <c r="N1878" s="318">
        <f t="shared" si="542"/>
        <v>14</v>
      </c>
      <c r="O1878" s="24">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910</v>
      </c>
      <c r="J1879" s="59" t="s">
        <v>22</v>
      </c>
      <c r="L1879" s="5" t="str">
        <f t="shared" si="540"/>
        <v>01878</v>
      </c>
      <c r="M1879" s="46" t="str">
        <f t="shared" si="541"/>
        <v>14 de marzo de 2019</v>
      </c>
      <c r="N1879" s="318">
        <f t="shared" si="542"/>
        <v>14</v>
      </c>
      <c r="O1879" s="24">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925</v>
      </c>
      <c r="J1880" s="59" t="s">
        <v>22</v>
      </c>
      <c r="L1880" s="5" t="str">
        <f t="shared" si="540"/>
        <v>01879</v>
      </c>
      <c r="M1880" s="46" t="str">
        <f t="shared" si="541"/>
        <v>15 de marzo de 2019</v>
      </c>
      <c r="N1880" s="318">
        <f t="shared" si="542"/>
        <v>15</v>
      </c>
      <c r="O1880" s="24">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910</v>
      </c>
      <c r="J1881" s="59" t="s">
        <v>22</v>
      </c>
      <c r="L1881" s="5" t="str">
        <f t="shared" si="540"/>
        <v>01880</v>
      </c>
      <c r="M1881" s="46" t="str">
        <f t="shared" si="541"/>
        <v>15 de marzo de 2019</v>
      </c>
      <c r="N1881" s="318">
        <f t="shared" si="542"/>
        <v>15</v>
      </c>
      <c r="O1881" s="24">
        <f t="shared" si="543"/>
        <v>43525</v>
      </c>
      <c r="P1881" s="5" t="str">
        <f t="shared" si="544"/>
        <v>3.000,00</v>
      </c>
      <c r="Q1881" s="4" t="e">
        <f t="shared" ca="1" si="545"/>
        <v>#NAME?</v>
      </c>
    </row>
    <row r="1882" spans="1:17">
      <c r="A1882" s="1">
        <f t="shared" si="547"/>
        <v>1881</v>
      </c>
      <c r="C1882" s="83" t="s">
        <v>17</v>
      </c>
      <c r="D1882" s="2">
        <v>43539</v>
      </c>
      <c r="E1882" s="3">
        <v>6000</v>
      </c>
      <c r="F1882" t="s">
        <v>40</v>
      </c>
      <c r="G1882" s="18" t="s">
        <v>58</v>
      </c>
      <c r="H1882" t="s">
        <v>42</v>
      </c>
      <c r="I1882" s="6" t="s">
        <v>926</v>
      </c>
      <c r="J1882" s="59" t="s">
        <v>22</v>
      </c>
      <c r="L1882" s="5" t="str">
        <f t="shared" si="540"/>
        <v>01881</v>
      </c>
      <c r="M1882" s="46" t="str">
        <f t="shared" si="541"/>
        <v>15 de marzo de 2019</v>
      </c>
      <c r="N1882" s="318">
        <f t="shared" si="542"/>
        <v>15</v>
      </c>
      <c r="O1882" s="24">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910</v>
      </c>
      <c r="J1883" s="59" t="s">
        <v>22</v>
      </c>
      <c r="L1883" s="5" t="str">
        <f t="shared" si="540"/>
        <v>01882</v>
      </c>
      <c r="M1883" s="46" t="str">
        <f t="shared" si="541"/>
        <v>18 de marzo de 2019</v>
      </c>
      <c r="N1883" s="318">
        <f t="shared" si="542"/>
        <v>18</v>
      </c>
      <c r="O1883" s="24">
        <f t="shared" si="543"/>
        <v>43525</v>
      </c>
      <c r="P1883" s="5" t="str">
        <f t="shared" si="544"/>
        <v>3.000,00</v>
      </c>
      <c r="Q1883" s="4" t="e">
        <f t="shared" ca="1" si="545"/>
        <v>#NAME?</v>
      </c>
    </row>
    <row r="1884" spans="1:17">
      <c r="A1884" s="1">
        <f t="shared" si="547"/>
        <v>1883</v>
      </c>
      <c r="C1884" s="83" t="s">
        <v>17</v>
      </c>
      <c r="D1884" s="2">
        <v>43543</v>
      </c>
      <c r="E1884" s="3">
        <f>4350*2</f>
        <v>8700</v>
      </c>
      <c r="F1884" s="22" t="s">
        <v>422</v>
      </c>
      <c r="G1884" s="18" t="s">
        <v>58</v>
      </c>
      <c r="H1884" t="s">
        <v>423</v>
      </c>
      <c r="I1884" s="6" t="s">
        <v>913</v>
      </c>
      <c r="J1884" s="59" t="s">
        <v>22</v>
      </c>
      <c r="L1884" s="5" t="str">
        <f t="shared" si="540"/>
        <v>01883</v>
      </c>
      <c r="M1884" s="46" t="str">
        <f t="shared" si="541"/>
        <v>19 de marzo de 2019</v>
      </c>
      <c r="N1884" s="318">
        <f t="shared" si="542"/>
        <v>19</v>
      </c>
      <c r="O1884" s="24">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898</v>
      </c>
      <c r="J1885" s="59" t="s">
        <v>22</v>
      </c>
      <c r="L1885" s="5" t="str">
        <f t="shared" si="540"/>
        <v>01884</v>
      </c>
      <c r="M1885" s="46" t="str">
        <f t="shared" si="541"/>
        <v>16 de febrero de 2019</v>
      </c>
      <c r="N1885" s="318">
        <f t="shared" si="542"/>
        <v>16</v>
      </c>
      <c r="O1885" s="24">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59" t="s">
        <v>862</v>
      </c>
      <c r="J1886" s="59" t="s">
        <v>22</v>
      </c>
      <c r="L1886" s="5" t="str">
        <f t="shared" si="540"/>
        <v>01885</v>
      </c>
      <c r="M1886" s="46" t="str">
        <f t="shared" si="541"/>
        <v>21 de diciembre de 2018</v>
      </c>
      <c r="N1886" s="318">
        <f t="shared" si="542"/>
        <v>21</v>
      </c>
      <c r="O1886" s="24">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910</v>
      </c>
      <c r="J1887" s="59" t="s">
        <v>22</v>
      </c>
      <c r="L1887" s="5" t="str">
        <f t="shared" si="540"/>
        <v>01886</v>
      </c>
      <c r="M1887" s="46" t="str">
        <f t="shared" si="541"/>
        <v>20 de marzo de 2019</v>
      </c>
      <c r="N1887" s="318">
        <f t="shared" si="542"/>
        <v>20</v>
      </c>
      <c r="O1887" s="24">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895</v>
      </c>
      <c r="J1888" s="59" t="s">
        <v>22</v>
      </c>
      <c r="L1888" s="5" t="str">
        <f t="shared" si="540"/>
        <v>01887</v>
      </c>
      <c r="M1888" s="46" t="str">
        <f t="shared" si="541"/>
        <v>14 de marzo de 2019</v>
      </c>
      <c r="N1888" s="318">
        <f t="shared" si="542"/>
        <v>14</v>
      </c>
      <c r="O1888" s="24">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927</v>
      </c>
      <c r="J1889" s="59" t="s">
        <v>22</v>
      </c>
      <c r="L1889" s="5" t="str">
        <f t="shared" ref="L1889:L1924" si="548">IF(ISBLANK(A1889),"",TEXT(A1889,"00000"))</f>
        <v>01888</v>
      </c>
      <c r="M1889" s="46" t="str">
        <f t="shared" ref="M1889:M1924" si="549">IF(ISBLANK(D1889),"",TEXT(D1889,"dd")&amp;" de "&amp;TEXT(D1889,"mmmm")&amp;" de "&amp;TEXT(YEAR(D1889),"0"))</f>
        <v>21 de marzo de 2019</v>
      </c>
      <c r="N1889" s="318">
        <f t="shared" ref="N1889:N1924" si="550">DAY(D1889)</f>
        <v>21</v>
      </c>
      <c r="O1889" s="24">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910</v>
      </c>
      <c r="J1890" s="59" t="s">
        <v>22</v>
      </c>
      <c r="L1890" s="5" t="str">
        <f t="shared" si="548"/>
        <v>01889</v>
      </c>
      <c r="M1890" s="46" t="str">
        <f t="shared" si="549"/>
        <v>21 de marzo de 2019</v>
      </c>
      <c r="N1890" s="318">
        <f t="shared" si="550"/>
        <v>21</v>
      </c>
      <c r="O1890" s="24">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910</v>
      </c>
      <c r="J1891" s="59" t="s">
        <v>22</v>
      </c>
      <c r="L1891" s="5" t="str">
        <f t="shared" si="548"/>
        <v>01890</v>
      </c>
      <c r="M1891" s="46" t="str">
        <f t="shared" si="549"/>
        <v>22 de marzo de 2019</v>
      </c>
      <c r="N1891" s="318">
        <f t="shared" si="550"/>
        <v>22</v>
      </c>
      <c r="O1891" s="24">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910</v>
      </c>
      <c r="J1892" s="59" t="s">
        <v>22</v>
      </c>
      <c r="L1892" s="5" t="str">
        <f t="shared" si="548"/>
        <v>01891</v>
      </c>
      <c r="M1892" s="46" t="str">
        <f t="shared" si="549"/>
        <v>23 de marzo de 2019</v>
      </c>
      <c r="N1892" s="318">
        <f t="shared" si="550"/>
        <v>23</v>
      </c>
      <c r="O1892" s="24">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910</v>
      </c>
      <c r="J1893" s="59" t="s">
        <v>22</v>
      </c>
      <c r="L1893" s="5" t="str">
        <f t="shared" si="548"/>
        <v>01892</v>
      </c>
      <c r="M1893" s="46" t="str">
        <f t="shared" si="549"/>
        <v>28 de marzo de 2019</v>
      </c>
      <c r="N1893" s="318">
        <f t="shared" si="550"/>
        <v>28</v>
      </c>
      <c r="O1893" s="24">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910</v>
      </c>
      <c r="J1894" s="59" t="s">
        <v>22</v>
      </c>
      <c r="L1894" s="5" t="str">
        <f t="shared" si="548"/>
        <v>01893</v>
      </c>
      <c r="M1894" s="46" t="str">
        <f t="shared" si="549"/>
        <v>28 de marzo de 2019</v>
      </c>
      <c r="N1894" s="318">
        <f t="shared" si="550"/>
        <v>28</v>
      </c>
      <c r="O1894" s="24">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910</v>
      </c>
      <c r="J1895" s="59" t="s">
        <v>22</v>
      </c>
      <c r="L1895" s="5" t="str">
        <f t="shared" si="548"/>
        <v>01894</v>
      </c>
      <c r="M1895" s="46" t="str">
        <f t="shared" si="549"/>
        <v>30 de marzo de 2019</v>
      </c>
      <c r="N1895" s="318">
        <f t="shared" si="550"/>
        <v>30</v>
      </c>
      <c r="O1895" s="24">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918</v>
      </c>
      <c r="J1896" s="59" t="s">
        <v>22</v>
      </c>
      <c r="L1896" s="5" t="str">
        <f t="shared" si="548"/>
        <v>01895</v>
      </c>
      <c r="M1896" s="46" t="str">
        <f t="shared" si="549"/>
        <v>30 de marzo de 2019</v>
      </c>
      <c r="N1896" s="318">
        <f t="shared" si="550"/>
        <v>30</v>
      </c>
      <c r="O1896" s="24">
        <f t="shared" si="551"/>
        <v>43525</v>
      </c>
      <c r="P1896" s="5" t="str">
        <f t="shared" si="552"/>
        <v>3.000,00</v>
      </c>
      <c r="Q1896" s="4" t="e">
        <f ca="1">CONVERTIRNUM(E1896)</f>
        <v>#NAME?</v>
      </c>
    </row>
    <row r="1897" spans="1:17">
      <c r="A1897" s="1">
        <f t="shared" si="547"/>
        <v>1896</v>
      </c>
      <c r="C1897" s="83" t="s">
        <v>17</v>
      </c>
      <c r="D1897" s="2">
        <v>43554</v>
      </c>
      <c r="E1897" s="3">
        <v>3000</v>
      </c>
      <c r="F1897" t="s">
        <v>319</v>
      </c>
      <c r="G1897" s="18" t="s">
        <v>58</v>
      </c>
      <c r="H1897" t="s">
        <v>320</v>
      </c>
      <c r="I1897" s="6" t="s">
        <v>910</v>
      </c>
      <c r="J1897" s="59" t="s">
        <v>22</v>
      </c>
      <c r="L1897" s="5" t="str">
        <f t="shared" si="548"/>
        <v>01896</v>
      </c>
      <c r="M1897" s="46" t="str">
        <f t="shared" si="549"/>
        <v>30 de marzo de 2019</v>
      </c>
      <c r="N1897" s="318">
        <f t="shared" si="550"/>
        <v>30</v>
      </c>
      <c r="O1897" s="24">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904</v>
      </c>
      <c r="J1898" s="59" t="s">
        <v>22</v>
      </c>
      <c r="L1898" s="5" t="str">
        <f t="shared" si="548"/>
        <v>01897</v>
      </c>
      <c r="M1898" s="46" t="str">
        <f t="shared" si="549"/>
        <v>27 de febrero de 2019</v>
      </c>
      <c r="N1898" s="318">
        <f t="shared" si="550"/>
        <v>27</v>
      </c>
      <c r="O1898" s="24">
        <f t="shared" si="551"/>
        <v>43497</v>
      </c>
      <c r="P1898" s="5" t="str">
        <f t="shared" si="552"/>
        <v>6.000,00</v>
      </c>
      <c r="Q1898" s="4" t="e">
        <f t="shared" ca="1" si="554"/>
        <v>#NAME?</v>
      </c>
    </row>
    <row r="1899" spans="1:17">
      <c r="A1899" s="1">
        <f t="shared" si="547"/>
        <v>1898</v>
      </c>
      <c r="C1899" s="83" t="s">
        <v>17</v>
      </c>
      <c r="D1899" s="2">
        <v>43557</v>
      </c>
      <c r="E1899" s="3">
        <v>9000</v>
      </c>
      <c r="F1899" t="s">
        <v>410</v>
      </c>
      <c r="G1899" s="18" t="s">
        <v>58</v>
      </c>
      <c r="H1899" t="s">
        <v>411</v>
      </c>
      <c r="I1899" s="6" t="s">
        <v>928</v>
      </c>
      <c r="J1899" s="59" t="s">
        <v>22</v>
      </c>
      <c r="L1899" s="5" t="str">
        <f t="shared" si="548"/>
        <v>01898</v>
      </c>
      <c r="M1899" s="46" t="str">
        <f t="shared" si="549"/>
        <v>02 de abril de 2019</v>
      </c>
      <c r="N1899" s="318">
        <f t="shared" si="550"/>
        <v>2</v>
      </c>
      <c r="O1899" s="24">
        <f t="shared" si="551"/>
        <v>43556</v>
      </c>
      <c r="P1899" s="5" t="str">
        <f t="shared" si="552"/>
        <v>9.000,00</v>
      </c>
      <c r="Q1899" s="4" t="e">
        <f t="shared" ca="1" si="554"/>
        <v>#NAME?</v>
      </c>
    </row>
    <row r="1900" spans="1:17">
      <c r="A1900" s="1">
        <f t="shared" si="547"/>
        <v>1899</v>
      </c>
      <c r="C1900" s="8" t="s">
        <v>17</v>
      </c>
      <c r="D1900" s="2">
        <v>43557</v>
      </c>
      <c r="E1900" s="3">
        <v>6000</v>
      </c>
      <c r="F1900" t="s">
        <v>893</v>
      </c>
      <c r="G1900" t="s">
        <v>894</v>
      </c>
      <c r="H1900" s="20" t="s">
        <v>59</v>
      </c>
      <c r="I1900" s="6" t="s">
        <v>913</v>
      </c>
      <c r="J1900" s="59" t="s">
        <v>22</v>
      </c>
      <c r="K1900" s="21"/>
      <c r="L1900" s="5" t="str">
        <f t="shared" si="548"/>
        <v>01899</v>
      </c>
      <c r="M1900" s="46" t="str">
        <f t="shared" si="549"/>
        <v>02 de abril de 2019</v>
      </c>
      <c r="N1900" s="318">
        <f t="shared" si="550"/>
        <v>2</v>
      </c>
      <c r="O1900" s="24">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910</v>
      </c>
      <c r="J1901" s="59" t="s">
        <v>22</v>
      </c>
      <c r="L1901" s="5" t="str">
        <f t="shared" si="548"/>
        <v>01900</v>
      </c>
      <c r="M1901" s="46" t="str">
        <f t="shared" si="549"/>
        <v>03 de abril de 2019</v>
      </c>
      <c r="N1901" s="318">
        <f t="shared" si="550"/>
        <v>3</v>
      </c>
      <c r="O1901" s="24">
        <f t="shared" si="551"/>
        <v>43556</v>
      </c>
      <c r="P1901" s="5" t="str">
        <f t="shared" si="552"/>
        <v>3.000,00</v>
      </c>
      <c r="Q1901" s="4" t="e">
        <f t="shared" ca="1" si="554"/>
        <v>#NAME?</v>
      </c>
    </row>
    <row r="1902" spans="1:17">
      <c r="A1902" s="1">
        <f t="shared" si="547"/>
        <v>1901</v>
      </c>
      <c r="C1902" s="8" t="s">
        <v>17</v>
      </c>
      <c r="D1902" s="2">
        <v>43540</v>
      </c>
      <c r="E1902" s="3">
        <v>3000</v>
      </c>
      <c r="F1902" t="s">
        <v>844</v>
      </c>
      <c r="G1902" t="s">
        <v>845</v>
      </c>
      <c r="H1902" t="s">
        <v>169</v>
      </c>
      <c r="I1902" s="6" t="s">
        <v>910</v>
      </c>
      <c r="J1902" s="59" t="s">
        <v>22</v>
      </c>
      <c r="L1902" s="5" t="str">
        <f t="shared" si="548"/>
        <v>01901</v>
      </c>
      <c r="M1902" s="46" t="str">
        <f t="shared" si="549"/>
        <v>16 de marzo de 2019</v>
      </c>
      <c r="N1902" s="318">
        <f t="shared" si="550"/>
        <v>16</v>
      </c>
      <c r="O1902" s="24">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918</v>
      </c>
      <c r="J1903" s="59" t="s">
        <v>22</v>
      </c>
      <c r="L1903" s="5" t="str">
        <f t="shared" si="548"/>
        <v>01902</v>
      </c>
      <c r="M1903" s="46" t="str">
        <f t="shared" si="549"/>
        <v>03 de abril de 2019</v>
      </c>
      <c r="N1903" s="318">
        <f t="shared" si="550"/>
        <v>3</v>
      </c>
      <c r="O1903" s="24">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919</v>
      </c>
      <c r="J1904" s="59" t="s">
        <v>22</v>
      </c>
      <c r="L1904" s="5" t="str">
        <f t="shared" si="548"/>
        <v>01903</v>
      </c>
      <c r="M1904" s="46" t="str">
        <f t="shared" si="549"/>
        <v>04 de abril de 2019</v>
      </c>
      <c r="N1904" s="318">
        <f t="shared" si="550"/>
        <v>4</v>
      </c>
      <c r="O1904" s="24">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918</v>
      </c>
      <c r="J1905" s="59" t="s">
        <v>22</v>
      </c>
      <c r="L1905" s="5" t="str">
        <f t="shared" si="548"/>
        <v>01904</v>
      </c>
      <c r="M1905" s="46" t="str">
        <f t="shared" si="549"/>
        <v>05 de abril de 2019</v>
      </c>
      <c r="N1905" s="318">
        <f t="shared" si="550"/>
        <v>5</v>
      </c>
      <c r="O1905" s="24">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918</v>
      </c>
      <c r="J1906" s="59" t="s">
        <v>22</v>
      </c>
      <c r="L1906" s="5" t="str">
        <f t="shared" si="548"/>
        <v>01905</v>
      </c>
      <c r="M1906" s="46" t="str">
        <f t="shared" si="549"/>
        <v>05 de abril de 2019</v>
      </c>
      <c r="N1906" s="318">
        <f t="shared" si="550"/>
        <v>5</v>
      </c>
      <c r="O1906" s="24">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910</v>
      </c>
      <c r="J1907" s="59" t="s">
        <v>22</v>
      </c>
      <c r="L1907" s="5" t="str">
        <f t="shared" si="548"/>
        <v>01906</v>
      </c>
      <c r="M1907" s="46" t="str">
        <f t="shared" si="549"/>
        <v>22 de marzo de 2019</v>
      </c>
      <c r="N1907" s="318">
        <f t="shared" si="550"/>
        <v>22</v>
      </c>
      <c r="O1907" s="24">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929</v>
      </c>
      <c r="J1908" s="59" t="s">
        <v>22</v>
      </c>
      <c r="L1908" s="5" t="str">
        <f t="shared" si="548"/>
        <v>01907</v>
      </c>
      <c r="M1908" s="46" t="str">
        <f t="shared" si="549"/>
        <v>27 de marzo de 2019</v>
      </c>
      <c r="N1908" s="318">
        <f t="shared" si="550"/>
        <v>27</v>
      </c>
      <c r="O1908" s="24">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918</v>
      </c>
      <c r="J1909" s="59" t="s">
        <v>22</v>
      </c>
      <c r="L1909" s="5" t="str">
        <f t="shared" si="548"/>
        <v>01908</v>
      </c>
      <c r="M1909" s="46" t="str">
        <f t="shared" si="549"/>
        <v>05 de abril de 2019</v>
      </c>
      <c r="N1909" s="318">
        <f t="shared" si="550"/>
        <v>5</v>
      </c>
      <c r="O1909" s="24">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930</v>
      </c>
      <c r="J1910" s="59" t="s">
        <v>22</v>
      </c>
      <c r="L1910" s="5" t="str">
        <f t="shared" si="548"/>
        <v>01909</v>
      </c>
      <c r="M1910" s="46" t="str">
        <f t="shared" si="549"/>
        <v>06 de abril de 2019</v>
      </c>
      <c r="N1910" s="318">
        <f t="shared" si="550"/>
        <v>6</v>
      </c>
      <c r="O1910" s="24">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931</v>
      </c>
      <c r="J1911" s="59" t="s">
        <v>22</v>
      </c>
      <c r="L1911" s="5" t="str">
        <f t="shared" si="548"/>
        <v>01910</v>
      </c>
      <c r="M1911" s="46" t="str">
        <f t="shared" si="549"/>
        <v>06 de abril de 2019</v>
      </c>
      <c r="N1911" s="318">
        <f t="shared" si="550"/>
        <v>6</v>
      </c>
      <c r="O1911" s="24">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910</v>
      </c>
      <c r="J1912" s="59" t="s">
        <v>22</v>
      </c>
      <c r="L1912" s="5" t="str">
        <f t="shared" si="548"/>
        <v>01911</v>
      </c>
      <c r="M1912" s="46" t="str">
        <f t="shared" si="549"/>
        <v>07 de abril de 2019</v>
      </c>
      <c r="N1912" s="318">
        <f t="shared" si="550"/>
        <v>7</v>
      </c>
      <c r="O1912" s="24">
        <f t="shared" si="551"/>
        <v>43556</v>
      </c>
      <c r="P1912" s="5" t="str">
        <f t="shared" si="552"/>
        <v>3.000,00</v>
      </c>
      <c r="Q1912" s="4" t="e">
        <f t="shared" ca="1" si="554"/>
        <v>#NAME?</v>
      </c>
    </row>
    <row r="1913" spans="1:17">
      <c r="A1913" s="316">
        <f t="shared" si="555"/>
        <v>1912</v>
      </c>
      <c r="B1913" s="541"/>
      <c r="C1913" s="12" t="s">
        <v>225</v>
      </c>
      <c r="D1913" s="17">
        <v>43562</v>
      </c>
      <c r="E1913" s="13">
        <v>4000</v>
      </c>
      <c r="F1913" s="14" t="s">
        <v>107</v>
      </c>
      <c r="G1913" s="14" t="s">
        <v>108</v>
      </c>
      <c r="H1913" s="14" t="s">
        <v>109</v>
      </c>
      <c r="I1913" s="15" t="s">
        <v>932</v>
      </c>
      <c r="J1913" s="60" t="s">
        <v>933</v>
      </c>
      <c r="K1913" s="16"/>
      <c r="L1913" s="5" t="str">
        <f t="shared" si="548"/>
        <v>01912</v>
      </c>
      <c r="M1913" s="46" t="str">
        <f t="shared" si="549"/>
        <v>07 de abril de 2019</v>
      </c>
      <c r="N1913" s="318">
        <f t="shared" si="550"/>
        <v>7</v>
      </c>
      <c r="O1913" s="24">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934</v>
      </c>
      <c r="J1914" s="59" t="s">
        <v>22</v>
      </c>
      <c r="L1914" s="5" t="str">
        <f t="shared" si="548"/>
        <v>01913</v>
      </c>
      <c r="M1914" s="46" t="str">
        <f t="shared" si="549"/>
        <v>07 de abril de 2019</v>
      </c>
      <c r="N1914" s="318">
        <f t="shared" si="550"/>
        <v>7</v>
      </c>
      <c r="O1914" s="24">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918</v>
      </c>
      <c r="J1915" s="59" t="s">
        <v>22</v>
      </c>
      <c r="L1915" s="5" t="str">
        <f t="shared" si="548"/>
        <v>01914</v>
      </c>
      <c r="M1915" s="46" t="str">
        <f t="shared" si="549"/>
        <v>08 de abril de 2019</v>
      </c>
      <c r="N1915" s="318">
        <f t="shared" si="550"/>
        <v>8</v>
      </c>
      <c r="O1915" s="24">
        <f t="shared" si="551"/>
        <v>43556</v>
      </c>
      <c r="P1915" s="5" t="str">
        <f t="shared" si="552"/>
        <v>6.000,00</v>
      </c>
      <c r="Q1915" s="4" t="e">
        <f t="shared" ca="1" si="554"/>
        <v>#NAME?</v>
      </c>
    </row>
    <row r="1916" spans="1:17">
      <c r="A1916" s="1">
        <f t="shared" si="555"/>
        <v>1915</v>
      </c>
      <c r="C1916" s="83" t="s">
        <v>17</v>
      </c>
      <c r="D1916" s="2">
        <v>43563</v>
      </c>
      <c r="E1916" s="3">
        <v>4350</v>
      </c>
      <c r="F1916" s="22" t="s">
        <v>422</v>
      </c>
      <c r="G1916" s="18" t="s">
        <v>58</v>
      </c>
      <c r="H1916" t="s">
        <v>423</v>
      </c>
      <c r="I1916" s="6" t="s">
        <v>935</v>
      </c>
      <c r="J1916" s="59" t="s">
        <v>22</v>
      </c>
      <c r="L1916" s="5" t="str">
        <f t="shared" si="548"/>
        <v>01915</v>
      </c>
      <c r="M1916" s="46" t="str">
        <f t="shared" si="549"/>
        <v>08 de abril de 2019</v>
      </c>
      <c r="N1916" s="318">
        <f t="shared" si="550"/>
        <v>8</v>
      </c>
      <c r="O1916" s="24">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918</v>
      </c>
      <c r="J1917" s="59" t="s">
        <v>22</v>
      </c>
      <c r="L1917" s="5" t="str">
        <f t="shared" si="548"/>
        <v>01916</v>
      </c>
      <c r="M1917" s="46" t="str">
        <f t="shared" si="549"/>
        <v>08 de abril de 2019</v>
      </c>
      <c r="N1917" s="318">
        <f t="shared" si="550"/>
        <v>8</v>
      </c>
      <c r="O1917" s="24">
        <f t="shared" si="551"/>
        <v>43556</v>
      </c>
      <c r="P1917" s="5" t="str">
        <f t="shared" si="552"/>
        <v>3.000,00</v>
      </c>
      <c r="Q1917" s="4" t="e">
        <f t="shared" ca="1" si="554"/>
        <v>#NAME?</v>
      </c>
    </row>
    <row r="1918" spans="1:17">
      <c r="A1918" s="1">
        <f t="shared" si="555"/>
        <v>1917</v>
      </c>
      <c r="C1918" s="83" t="s">
        <v>17</v>
      </c>
      <c r="D1918" s="2">
        <v>43563</v>
      </c>
      <c r="E1918" s="3">
        <v>3000</v>
      </c>
      <c r="F1918" t="s">
        <v>259</v>
      </c>
      <c r="G1918" s="18" t="s">
        <v>58</v>
      </c>
      <c r="H1918" t="s">
        <v>261</v>
      </c>
      <c r="I1918" s="6" t="s">
        <v>910</v>
      </c>
      <c r="J1918" s="59" t="s">
        <v>22</v>
      </c>
      <c r="L1918" s="5" t="str">
        <f t="shared" si="548"/>
        <v>01917</v>
      </c>
      <c r="M1918" s="46" t="str">
        <f t="shared" si="549"/>
        <v>08 de abril de 2019</v>
      </c>
      <c r="N1918" s="318">
        <f t="shared" si="550"/>
        <v>8</v>
      </c>
      <c r="O1918" s="24">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918</v>
      </c>
      <c r="J1919" s="59" t="s">
        <v>22</v>
      </c>
      <c r="L1919" s="5" t="str">
        <f t="shared" si="548"/>
        <v>01918</v>
      </c>
      <c r="M1919" s="46" t="str">
        <f t="shared" si="549"/>
        <v>08 de abril de 2019</v>
      </c>
      <c r="N1919" s="318">
        <f t="shared" si="550"/>
        <v>8</v>
      </c>
      <c r="O1919" s="24">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918</v>
      </c>
      <c r="J1920" s="59" t="s">
        <v>22</v>
      </c>
      <c r="L1920" s="5" t="str">
        <f t="shared" si="548"/>
        <v>01919</v>
      </c>
      <c r="M1920" s="46" t="str">
        <f t="shared" si="549"/>
        <v>08 de abril de 2019</v>
      </c>
      <c r="N1920" s="318">
        <f t="shared" si="550"/>
        <v>8</v>
      </c>
      <c r="O1920" s="24">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918</v>
      </c>
      <c r="J1921" s="59" t="s">
        <v>22</v>
      </c>
      <c r="L1921" s="5" t="str">
        <f t="shared" si="548"/>
        <v>01920</v>
      </c>
      <c r="M1921" s="46" t="str">
        <f t="shared" si="549"/>
        <v>08 de abril de 2019</v>
      </c>
      <c r="N1921" s="318">
        <f t="shared" si="550"/>
        <v>8</v>
      </c>
      <c r="O1921" s="24">
        <f t="shared" si="551"/>
        <v>43556</v>
      </c>
      <c r="P1921" s="5" t="str">
        <f t="shared" si="552"/>
        <v>3.000,00</v>
      </c>
      <c r="Q1921" s="4" t="e">
        <f t="shared" ca="1" si="554"/>
        <v>#NAME?</v>
      </c>
    </row>
    <row r="1922" spans="1:17">
      <c r="A1922" s="1">
        <f t="shared" ref="A1922:A1940" si="556">A1921+1</f>
        <v>1921</v>
      </c>
      <c r="C1922" s="8" t="s">
        <v>17</v>
      </c>
      <c r="D1922" s="2">
        <v>43563</v>
      </c>
      <c r="E1922" s="3">
        <v>6000</v>
      </c>
      <c r="F1922" t="s">
        <v>936</v>
      </c>
      <c r="G1922" t="s">
        <v>937</v>
      </c>
      <c r="H1922" t="s">
        <v>150</v>
      </c>
      <c r="I1922" s="6" t="s">
        <v>919</v>
      </c>
      <c r="J1922" s="59" t="s">
        <v>22</v>
      </c>
      <c r="L1922" s="5" t="str">
        <f t="shared" si="548"/>
        <v>01921</v>
      </c>
      <c r="M1922" s="46" t="str">
        <f t="shared" si="549"/>
        <v>08 de abril de 2019</v>
      </c>
      <c r="N1922" s="318">
        <f t="shared" si="550"/>
        <v>8</v>
      </c>
      <c r="O1922" s="24">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910</v>
      </c>
      <c r="J1923" s="59" t="s">
        <v>22</v>
      </c>
      <c r="L1923" s="5" t="str">
        <f t="shared" si="548"/>
        <v>01922</v>
      </c>
      <c r="M1923" s="46" t="str">
        <f t="shared" si="549"/>
        <v>08 de abril de 2019</v>
      </c>
      <c r="N1923" s="318">
        <f t="shared" si="550"/>
        <v>8</v>
      </c>
      <c r="O1923" s="24">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910</v>
      </c>
      <c r="J1924" s="59" t="s">
        <v>22</v>
      </c>
      <c r="L1924" s="5" t="str">
        <f t="shared" si="548"/>
        <v>01923</v>
      </c>
      <c r="M1924" s="46" t="str">
        <f t="shared" si="549"/>
        <v>08 de abril de 2019</v>
      </c>
      <c r="N1924" s="318">
        <f t="shared" si="550"/>
        <v>8</v>
      </c>
      <c r="O1924" s="24">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938</v>
      </c>
      <c r="J1925" s="59" t="s">
        <v>22</v>
      </c>
      <c r="L1925" s="5" t="str">
        <f t="shared" ref="L1925:L1937" si="557">IF(ISBLANK(A1925),"",TEXT(A1925,"00000"))</f>
        <v>01924</v>
      </c>
      <c r="M1925" s="46" t="str">
        <f t="shared" ref="M1925:M1937" si="558">IF(ISBLANK(D1925),"",TEXT(D1925,"dd")&amp;" de "&amp;TEXT(D1925,"mmmm")&amp;" de "&amp;TEXT(YEAR(D1925),"0"))</f>
        <v>08 de abril de 2019</v>
      </c>
      <c r="N1925" s="318">
        <f t="shared" ref="N1925:N1937" si="559">DAY(D1925)</f>
        <v>8</v>
      </c>
      <c r="O1925" s="24">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938</v>
      </c>
      <c r="J1926" s="59" t="s">
        <v>22</v>
      </c>
      <c r="L1926" s="5" t="str">
        <f t="shared" si="557"/>
        <v>01925</v>
      </c>
      <c r="M1926" s="46" t="str">
        <f t="shared" si="558"/>
        <v>08 de abril de 2019</v>
      </c>
      <c r="N1926" s="318">
        <f t="shared" si="559"/>
        <v>8</v>
      </c>
      <c r="O1926" s="24">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910</v>
      </c>
      <c r="J1927" s="59" t="s">
        <v>22</v>
      </c>
      <c r="L1927" s="5" t="str">
        <f t="shared" si="557"/>
        <v>01926</v>
      </c>
      <c r="M1927" s="46" t="str">
        <f t="shared" si="558"/>
        <v>08 de abril de 2019</v>
      </c>
      <c r="N1927" s="318">
        <f t="shared" si="559"/>
        <v>8</v>
      </c>
      <c r="O1927" s="24">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935</v>
      </c>
      <c r="J1928" s="59" t="s">
        <v>22</v>
      </c>
      <c r="L1928" s="5" t="str">
        <f t="shared" si="557"/>
        <v>01927</v>
      </c>
      <c r="M1928" s="46" t="str">
        <f t="shared" si="558"/>
        <v>09 de abril de 2019</v>
      </c>
      <c r="N1928" s="318">
        <f t="shared" si="559"/>
        <v>9</v>
      </c>
      <c r="O1928" s="24">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938</v>
      </c>
      <c r="J1929" s="59" t="s">
        <v>22</v>
      </c>
      <c r="L1929" s="5" t="str">
        <f t="shared" si="557"/>
        <v>01928</v>
      </c>
      <c r="M1929" s="46" t="str">
        <f t="shared" si="558"/>
        <v>09 de abril de 2019</v>
      </c>
      <c r="N1929" s="318">
        <f t="shared" si="559"/>
        <v>9</v>
      </c>
      <c r="O1929" s="24">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910</v>
      </c>
      <c r="J1930" s="59" t="s">
        <v>22</v>
      </c>
      <c r="L1930" s="5" t="str">
        <f t="shared" si="557"/>
        <v>01929</v>
      </c>
      <c r="M1930" s="46" t="str">
        <f t="shared" si="558"/>
        <v>22 de marzo de 2019</v>
      </c>
      <c r="N1930" s="318">
        <f t="shared" si="559"/>
        <v>22</v>
      </c>
      <c r="O1930" s="24">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59" t="s">
        <v>939</v>
      </c>
      <c r="J1931" s="59" t="s">
        <v>22</v>
      </c>
      <c r="L1931" s="5" t="str">
        <f t="shared" si="557"/>
        <v>01930</v>
      </c>
      <c r="M1931" s="46" t="str">
        <f t="shared" si="558"/>
        <v>10 de abril de 2019</v>
      </c>
      <c r="N1931" s="318">
        <f t="shared" si="559"/>
        <v>10</v>
      </c>
      <c r="O1931" s="24">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940</v>
      </c>
      <c r="J1932" s="59" t="s">
        <v>22</v>
      </c>
      <c r="L1932" s="5" t="str">
        <f t="shared" si="557"/>
        <v>01931</v>
      </c>
      <c r="M1932" s="46" t="str">
        <f t="shared" si="558"/>
        <v>10 de abril de 2019</v>
      </c>
      <c r="N1932" s="318">
        <f t="shared" si="559"/>
        <v>10</v>
      </c>
      <c r="O1932" s="24">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59" t="s">
        <v>941</v>
      </c>
      <c r="J1933" s="59" t="s">
        <v>22</v>
      </c>
      <c r="L1933" s="5" t="str">
        <f t="shared" si="557"/>
        <v>01932</v>
      </c>
      <c r="M1933" s="46" t="str">
        <f t="shared" si="558"/>
        <v>11 de abril de 2019</v>
      </c>
      <c r="N1933" s="318">
        <f t="shared" si="559"/>
        <v>11</v>
      </c>
      <c r="O1933" s="24">
        <f t="shared" si="560"/>
        <v>43556</v>
      </c>
      <c r="P1933" s="5" t="str">
        <f t="shared" si="561"/>
        <v>12.000,00</v>
      </c>
      <c r="Q1933" s="4" t="e">
        <f t="shared" ca="1" si="562"/>
        <v>#NAME?</v>
      </c>
    </row>
    <row r="1934" spans="1:17">
      <c r="A1934" s="1">
        <f t="shared" si="556"/>
        <v>1933</v>
      </c>
      <c r="C1934" s="8" t="s">
        <v>17</v>
      </c>
      <c r="D1934" s="2">
        <v>43454</v>
      </c>
      <c r="E1934" s="3">
        <v>800</v>
      </c>
      <c r="F1934" t="s">
        <v>177</v>
      </c>
      <c r="G1934" t="s">
        <v>942</v>
      </c>
      <c r="H1934" t="s">
        <v>179</v>
      </c>
      <c r="I1934" s="6" t="s">
        <v>943</v>
      </c>
      <c r="J1934" s="59" t="s">
        <v>22</v>
      </c>
      <c r="L1934" s="5" t="str">
        <f t="shared" si="557"/>
        <v>01933</v>
      </c>
      <c r="M1934" s="46" t="str">
        <f t="shared" si="558"/>
        <v>20 de diciembre de 2018</v>
      </c>
      <c r="N1934" s="318">
        <f t="shared" si="559"/>
        <v>20</v>
      </c>
      <c r="O1934" s="24">
        <f t="shared" si="560"/>
        <v>43435</v>
      </c>
      <c r="P1934" s="5" t="str">
        <f t="shared" si="561"/>
        <v>800,00</v>
      </c>
      <c r="Q1934" s="4" t="e">
        <f t="shared" ca="1" si="562"/>
        <v>#NAME?</v>
      </c>
    </row>
    <row r="1935" spans="1:17">
      <c r="A1935" s="1">
        <f t="shared" si="556"/>
        <v>1934</v>
      </c>
      <c r="C1935" s="8" t="s">
        <v>17</v>
      </c>
      <c r="D1935" s="2">
        <v>43500</v>
      </c>
      <c r="E1935" s="3">
        <v>3000</v>
      </c>
      <c r="F1935" t="s">
        <v>177</v>
      </c>
      <c r="G1935" t="s">
        <v>942</v>
      </c>
      <c r="H1935" t="s">
        <v>179</v>
      </c>
      <c r="I1935" s="6" t="s">
        <v>944</v>
      </c>
      <c r="J1935" s="59" t="s">
        <v>22</v>
      </c>
      <c r="L1935" s="5" t="str">
        <f t="shared" si="557"/>
        <v>01934</v>
      </c>
      <c r="M1935" s="46" t="str">
        <f t="shared" si="558"/>
        <v>04 de febrero de 2019</v>
      </c>
      <c r="N1935" s="318">
        <f t="shared" si="559"/>
        <v>4</v>
      </c>
      <c r="O1935" s="24">
        <f t="shared" si="560"/>
        <v>43497</v>
      </c>
      <c r="P1935" s="5" t="str">
        <f t="shared" si="561"/>
        <v>3.000,00</v>
      </c>
      <c r="Q1935" s="4" t="e">
        <f t="shared" ca="1" si="562"/>
        <v>#NAME?</v>
      </c>
    </row>
    <row r="1936" spans="1:17">
      <c r="A1936" s="1">
        <f t="shared" si="556"/>
        <v>1935</v>
      </c>
      <c r="C1936" s="8" t="s">
        <v>17</v>
      </c>
      <c r="D1936" s="2">
        <v>43527</v>
      </c>
      <c r="E1936" s="3">
        <v>3000</v>
      </c>
      <c r="F1936" t="s">
        <v>177</v>
      </c>
      <c r="G1936" t="s">
        <v>942</v>
      </c>
      <c r="H1936" t="s">
        <v>179</v>
      </c>
      <c r="I1936" s="6" t="s">
        <v>945</v>
      </c>
      <c r="J1936" s="59" t="s">
        <v>22</v>
      </c>
      <c r="L1936" s="5" t="str">
        <f t="shared" si="557"/>
        <v>01935</v>
      </c>
      <c r="M1936" s="46" t="str">
        <f t="shared" si="558"/>
        <v>03 de marzo de 2019</v>
      </c>
      <c r="N1936" s="318">
        <f t="shared" si="559"/>
        <v>3</v>
      </c>
      <c r="O1936" s="24">
        <f t="shared" si="560"/>
        <v>43525</v>
      </c>
      <c r="P1936" s="5" t="str">
        <f t="shared" si="561"/>
        <v>3.000,00</v>
      </c>
      <c r="Q1936" s="4" t="e">
        <f t="shared" ca="1" si="562"/>
        <v>#NAME?</v>
      </c>
    </row>
    <row r="1937" spans="1:17">
      <c r="A1937" s="1">
        <f t="shared" si="556"/>
        <v>1936</v>
      </c>
      <c r="C1937" s="8" t="s">
        <v>17</v>
      </c>
      <c r="D1937" s="2">
        <v>43556</v>
      </c>
      <c r="E1937" s="3">
        <v>3000</v>
      </c>
      <c r="F1937" t="s">
        <v>177</v>
      </c>
      <c r="G1937" t="s">
        <v>942</v>
      </c>
      <c r="H1937" t="s">
        <v>179</v>
      </c>
      <c r="I1937" s="6" t="s">
        <v>946</v>
      </c>
      <c r="J1937" s="59" t="s">
        <v>22</v>
      </c>
      <c r="L1937" s="5" t="str">
        <f t="shared" si="557"/>
        <v>01936</v>
      </c>
      <c r="M1937" s="46" t="str">
        <f t="shared" si="558"/>
        <v>01 de abril de 2019</v>
      </c>
      <c r="N1937" s="318">
        <f t="shared" si="559"/>
        <v>1</v>
      </c>
      <c r="O1937" s="24">
        <f t="shared" si="560"/>
        <v>43556</v>
      </c>
      <c r="P1937" s="5" t="str">
        <f t="shared" si="561"/>
        <v>3.000,00</v>
      </c>
      <c r="Q1937" s="4" t="e">
        <f t="shared" ca="1" si="562"/>
        <v>#NAME?</v>
      </c>
    </row>
    <row r="1938" spans="1:17">
      <c r="A1938" s="1">
        <f t="shared" si="556"/>
        <v>1937</v>
      </c>
      <c r="C1938" s="8" t="s">
        <v>17</v>
      </c>
      <c r="D1938" s="2">
        <v>43565</v>
      </c>
      <c r="E1938" s="3">
        <v>3000</v>
      </c>
      <c r="F1938" t="s">
        <v>177</v>
      </c>
      <c r="G1938" t="s">
        <v>942</v>
      </c>
      <c r="H1938" t="s">
        <v>179</v>
      </c>
      <c r="I1938" s="6" t="s">
        <v>947</v>
      </c>
      <c r="J1938" s="59" t="s">
        <v>22</v>
      </c>
      <c r="L1938" s="5" t="str">
        <f t="shared" ref="L1938:L1939" si="563">IF(ISBLANK(A1938),"",TEXT(A1938,"00000"))</f>
        <v>01937</v>
      </c>
      <c r="M1938" s="46" t="str">
        <f t="shared" ref="M1938:M1939" si="564">IF(ISBLANK(D1938),"",TEXT(D1938,"dd")&amp;" de "&amp;TEXT(D1938,"mmmm")&amp;" de "&amp;TEXT(YEAR(D1938),"0"))</f>
        <v>10 de abril de 2019</v>
      </c>
      <c r="N1938" s="318">
        <f t="shared" ref="N1938:N1939" si="565">DAY(D1938)</f>
        <v>10</v>
      </c>
      <c r="O1938" s="24">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919</v>
      </c>
      <c r="J1939" s="59" t="s">
        <v>22</v>
      </c>
      <c r="L1939" s="5" t="str">
        <f t="shared" si="563"/>
        <v>01938</v>
      </c>
      <c r="M1939" s="46" t="str">
        <f t="shared" si="564"/>
        <v>11 de abril de 2019</v>
      </c>
      <c r="N1939" s="318">
        <f t="shared" si="565"/>
        <v>11</v>
      </c>
      <c r="O1939" s="24">
        <f t="shared" si="566"/>
        <v>43556</v>
      </c>
      <c r="P1939" s="5" t="str">
        <f t="shared" si="567"/>
        <v>6.000,00</v>
      </c>
      <c r="Q1939" s="4" t="e">
        <f t="shared" ca="1" si="568"/>
        <v>#NAME?</v>
      </c>
    </row>
    <row r="1940" spans="1:17">
      <c r="A1940" s="1">
        <f t="shared" si="556"/>
        <v>1939</v>
      </c>
      <c r="C1940" s="8" t="s">
        <v>17</v>
      </c>
      <c r="D1940" s="2">
        <v>43567</v>
      </c>
      <c r="E1940" s="3">
        <v>10000</v>
      </c>
      <c r="F1940" t="s">
        <v>948</v>
      </c>
      <c r="G1940" t="s">
        <v>949</v>
      </c>
      <c r="H1940" t="s">
        <v>950</v>
      </c>
      <c r="I1940" s="6" t="s">
        <v>928</v>
      </c>
      <c r="J1940" s="59" t="s">
        <v>22</v>
      </c>
      <c r="L1940" s="5" t="str">
        <f t="shared" ref="L1940:L1960" si="569">IF(ISBLANK(A1940),"",TEXT(A1940,"00000"))</f>
        <v>01939</v>
      </c>
      <c r="M1940" s="46" t="str">
        <f t="shared" ref="M1940:M1960" si="570">IF(ISBLANK(D1940),"",TEXT(D1940,"dd")&amp;" de "&amp;TEXT(D1940,"mmmm")&amp;" de "&amp;TEXT(YEAR(D1940),"0"))</f>
        <v>12 de abril de 2019</v>
      </c>
      <c r="N1940" s="318">
        <f t="shared" ref="N1940:N1960" si="571">DAY(D1940)</f>
        <v>12</v>
      </c>
      <c r="O1940" s="24">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951</v>
      </c>
      <c r="J1941" s="59" t="s">
        <v>22</v>
      </c>
      <c r="L1941" s="5" t="str">
        <f t="shared" si="569"/>
        <v>01940</v>
      </c>
      <c r="M1941" s="46" t="str">
        <f t="shared" si="570"/>
        <v>12 de abril de 2019</v>
      </c>
      <c r="N1941" s="318">
        <f t="shared" si="571"/>
        <v>12</v>
      </c>
      <c r="O1941" s="24">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939</v>
      </c>
      <c r="J1942" s="59" t="s">
        <v>22</v>
      </c>
      <c r="L1942" s="5" t="str">
        <f t="shared" si="569"/>
        <v>01941</v>
      </c>
      <c r="M1942" s="46" t="str">
        <f t="shared" si="570"/>
        <v>12 de abril de 2019</v>
      </c>
      <c r="N1942" s="318">
        <f t="shared" si="571"/>
        <v>12</v>
      </c>
      <c r="O1942" s="24">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951</v>
      </c>
      <c r="J1943" s="59" t="s">
        <v>22</v>
      </c>
      <c r="L1943" s="5" t="str">
        <f t="shared" si="569"/>
        <v>01942</v>
      </c>
      <c r="M1943" s="46" t="str">
        <f t="shared" si="570"/>
        <v>12 de abril de 2019</v>
      </c>
      <c r="N1943" s="318">
        <f t="shared" si="571"/>
        <v>12</v>
      </c>
      <c r="O1943" s="24">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951</v>
      </c>
      <c r="J1944" s="59" t="s">
        <v>22</v>
      </c>
      <c r="L1944" s="5" t="str">
        <f t="shared" si="569"/>
        <v>01943</v>
      </c>
      <c r="M1944" s="46" t="str">
        <f t="shared" si="570"/>
        <v>12 de abril de 2019</v>
      </c>
      <c r="N1944" s="318">
        <f t="shared" si="571"/>
        <v>12</v>
      </c>
      <c r="O1944" s="24">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951</v>
      </c>
      <c r="J1945" s="59" t="s">
        <v>22</v>
      </c>
      <c r="L1945" s="5" t="str">
        <f t="shared" si="569"/>
        <v>01944</v>
      </c>
      <c r="M1945" s="46" t="str">
        <f t="shared" si="570"/>
        <v>12 de abril de 2019</v>
      </c>
      <c r="N1945" s="318">
        <f t="shared" si="571"/>
        <v>12</v>
      </c>
      <c r="O1945" s="24">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952</v>
      </c>
      <c r="J1946" s="59" t="s">
        <v>22</v>
      </c>
      <c r="L1946" s="5" t="str">
        <f t="shared" si="569"/>
        <v>01945</v>
      </c>
      <c r="M1946" s="46" t="str">
        <f t="shared" si="570"/>
        <v>13 de abril de 2019</v>
      </c>
      <c r="N1946" s="318">
        <f t="shared" si="571"/>
        <v>13</v>
      </c>
      <c r="O1946" s="24">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953</v>
      </c>
      <c r="J1947" s="59" t="s">
        <v>22</v>
      </c>
      <c r="L1947" s="5" t="str">
        <f t="shared" si="569"/>
        <v>01946</v>
      </c>
      <c r="M1947" s="46" t="str">
        <f t="shared" si="570"/>
        <v>13 de abril de 2019</v>
      </c>
      <c r="N1947" s="318">
        <f t="shared" si="571"/>
        <v>13</v>
      </c>
      <c r="O1947" s="24">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954</v>
      </c>
      <c r="J1948" s="59" t="s">
        <v>22</v>
      </c>
      <c r="L1948" s="5" t="str">
        <f t="shared" si="569"/>
        <v>01947</v>
      </c>
      <c r="M1948" s="46" t="str">
        <f t="shared" si="570"/>
        <v>14 de abril de 2019</v>
      </c>
      <c r="N1948" s="318">
        <f t="shared" si="571"/>
        <v>14</v>
      </c>
      <c r="O1948" s="24">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951</v>
      </c>
      <c r="J1949" s="59" t="s">
        <v>22</v>
      </c>
      <c r="L1949" s="5" t="str">
        <f t="shared" si="569"/>
        <v>01948</v>
      </c>
      <c r="M1949" s="46" t="str">
        <f t="shared" si="570"/>
        <v>14 de abril de 2019</v>
      </c>
      <c r="N1949" s="318">
        <f t="shared" si="571"/>
        <v>14</v>
      </c>
      <c r="O1949" s="24">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955</v>
      </c>
      <c r="J1950" s="59" t="s">
        <v>22</v>
      </c>
      <c r="L1950" s="5" t="str">
        <f t="shared" si="569"/>
        <v>01949</v>
      </c>
      <c r="M1950" s="46" t="str">
        <f t="shared" si="570"/>
        <v>16 de abril de 2019</v>
      </c>
      <c r="N1950" s="318">
        <f t="shared" si="571"/>
        <v>16</v>
      </c>
      <c r="O1950" s="24">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956</v>
      </c>
      <c r="J1951" s="59" t="s">
        <v>22</v>
      </c>
      <c r="L1951" s="5" t="str">
        <f t="shared" si="569"/>
        <v>01950</v>
      </c>
      <c r="M1951" s="46" t="str">
        <f t="shared" si="570"/>
        <v>16 de abril de 2019</v>
      </c>
      <c r="N1951" s="318">
        <f t="shared" si="571"/>
        <v>16</v>
      </c>
      <c r="O1951" s="24">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957</v>
      </c>
      <c r="J1952" s="59" t="s">
        <v>22</v>
      </c>
      <c r="L1952" s="5" t="str">
        <f t="shared" si="569"/>
        <v>01951</v>
      </c>
      <c r="M1952" s="46" t="str">
        <f t="shared" si="570"/>
        <v>16 de abril de 2019</v>
      </c>
      <c r="N1952" s="318">
        <f t="shared" si="571"/>
        <v>16</v>
      </c>
      <c r="O1952" s="24">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918</v>
      </c>
      <c r="J1953" s="59" t="s">
        <v>22</v>
      </c>
      <c r="L1953" s="5" t="str">
        <f t="shared" si="569"/>
        <v>01952</v>
      </c>
      <c r="M1953" s="46" t="str">
        <f t="shared" si="570"/>
        <v>16 de abril de 2019</v>
      </c>
      <c r="N1953" s="318">
        <f t="shared" si="571"/>
        <v>16</v>
      </c>
      <c r="O1953" s="24">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958</v>
      </c>
      <c r="J1954" s="59" t="s">
        <v>22</v>
      </c>
      <c r="L1954" s="5" t="str">
        <f t="shared" si="569"/>
        <v>01953</v>
      </c>
      <c r="M1954" s="46" t="str">
        <f t="shared" si="570"/>
        <v>16 de abril de 2019</v>
      </c>
      <c r="N1954" s="318">
        <f t="shared" si="571"/>
        <v>16</v>
      </c>
      <c r="O1954" s="24">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928</v>
      </c>
      <c r="J1955" s="59" t="s">
        <v>22</v>
      </c>
      <c r="L1955" s="5" t="str">
        <f t="shared" si="569"/>
        <v>01954</v>
      </c>
      <c r="M1955" s="46" t="str">
        <f t="shared" si="570"/>
        <v>16 de abril de 2019</v>
      </c>
      <c r="N1955" s="318">
        <f t="shared" si="571"/>
        <v>16</v>
      </c>
      <c r="O1955" s="24">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951</v>
      </c>
      <c r="J1956" s="59" t="s">
        <v>22</v>
      </c>
      <c r="L1956" s="5" t="str">
        <f t="shared" si="569"/>
        <v>01955</v>
      </c>
      <c r="M1956" s="46" t="str">
        <f t="shared" si="570"/>
        <v>17 de abril de 2019</v>
      </c>
      <c r="N1956" s="318">
        <f t="shared" si="571"/>
        <v>17</v>
      </c>
      <c r="O1956" s="24">
        <f t="shared" si="572"/>
        <v>43556</v>
      </c>
      <c r="P1956" s="5" t="str">
        <f t="shared" si="573"/>
        <v>2.000,00</v>
      </c>
      <c r="Q1956" s="4" t="e">
        <f t="shared" ca="1" si="576"/>
        <v>#NAME?</v>
      </c>
    </row>
    <row r="1957" spans="1:17">
      <c r="A1957" s="1">
        <f t="shared" si="577"/>
        <v>1956</v>
      </c>
      <c r="C1957" s="8" t="s">
        <v>17</v>
      </c>
      <c r="D1957" s="2">
        <v>43573</v>
      </c>
      <c r="E1957" s="3">
        <v>3000</v>
      </c>
      <c r="F1957" t="s">
        <v>252</v>
      </c>
      <c r="G1957" s="447" t="s">
        <v>959</v>
      </c>
      <c r="H1957" t="s">
        <v>254</v>
      </c>
      <c r="I1957" t="s">
        <v>960</v>
      </c>
      <c r="J1957" s="59" t="s">
        <v>22</v>
      </c>
      <c r="L1957" s="5" t="str">
        <f t="shared" si="569"/>
        <v>01956</v>
      </c>
      <c r="M1957" s="46" t="str">
        <f t="shared" si="570"/>
        <v>18 de abril de 2019</v>
      </c>
      <c r="N1957" s="318">
        <f t="shared" si="571"/>
        <v>18</v>
      </c>
      <c r="O1957" s="24">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918</v>
      </c>
      <c r="J1958" s="59" t="s">
        <v>22</v>
      </c>
      <c r="L1958" s="5" t="str">
        <f t="shared" si="569"/>
        <v>01957</v>
      </c>
      <c r="M1958" s="46" t="str">
        <f t="shared" si="570"/>
        <v>18 de abril de 2019</v>
      </c>
      <c r="N1958" s="318">
        <f t="shared" si="571"/>
        <v>18</v>
      </c>
      <c r="O1958" s="24">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951</v>
      </c>
      <c r="J1959" s="59" t="s">
        <v>22</v>
      </c>
      <c r="L1959" s="5" t="str">
        <f t="shared" si="569"/>
        <v>01958</v>
      </c>
      <c r="M1959" s="46" t="str">
        <f t="shared" si="570"/>
        <v>18 de abril de 2019</v>
      </c>
      <c r="N1959" s="318">
        <f t="shared" si="571"/>
        <v>18</v>
      </c>
      <c r="O1959" s="24">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918</v>
      </c>
      <c r="J1960" s="59" t="s">
        <v>22</v>
      </c>
      <c r="L1960" s="5" t="str">
        <f t="shared" si="569"/>
        <v>01959</v>
      </c>
      <c r="M1960" s="46" t="str">
        <f t="shared" si="570"/>
        <v>18 de abril de 2019</v>
      </c>
      <c r="N1960" s="318">
        <f t="shared" si="571"/>
        <v>18</v>
      </c>
      <c r="O1960" s="24">
        <f t="shared" si="572"/>
        <v>43556</v>
      </c>
      <c r="P1960" s="5" t="str">
        <f t="shared" si="573"/>
        <v>5.000,00</v>
      </c>
      <c r="Q1960" s="4" t="e">
        <f t="shared" ca="1" si="576"/>
        <v>#NAME?</v>
      </c>
    </row>
    <row r="1961" spans="1:17">
      <c r="A1961" s="1">
        <f t="shared" si="577"/>
        <v>1960</v>
      </c>
      <c r="C1961" s="8" t="s">
        <v>17</v>
      </c>
      <c r="D1961" s="2">
        <v>43574</v>
      </c>
      <c r="E1961" s="3">
        <v>5000</v>
      </c>
      <c r="F1961" t="s">
        <v>948</v>
      </c>
      <c r="G1961" t="s">
        <v>949</v>
      </c>
      <c r="H1961" t="s">
        <v>950</v>
      </c>
      <c r="I1961" s="6" t="s">
        <v>918</v>
      </c>
      <c r="J1961" s="59" t="s">
        <v>22</v>
      </c>
      <c r="L1961" s="5" t="str">
        <f t="shared" ref="L1961:L1978" si="578">IF(ISBLANK(A1961),"",TEXT(A1961,"00000"))</f>
        <v>01960</v>
      </c>
      <c r="M1961" s="46" t="str">
        <f t="shared" ref="M1961:M1978" si="579">IF(ISBLANK(D1961),"",TEXT(D1961,"dd")&amp;" de "&amp;TEXT(D1961,"mmmm")&amp;" de "&amp;TEXT(YEAR(D1961),"0"))</f>
        <v>19 de abril de 2019</v>
      </c>
      <c r="N1961" s="318">
        <f t="shared" ref="N1961:N1982" si="580">DAY(D1961)</f>
        <v>19</v>
      </c>
      <c r="O1961" s="24">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951</v>
      </c>
      <c r="J1962" s="59" t="s">
        <v>22</v>
      </c>
      <c r="L1962" s="5" t="str">
        <f t="shared" si="578"/>
        <v>01961</v>
      </c>
      <c r="M1962" s="46" t="str">
        <f t="shared" si="579"/>
        <v>19 de abril de 2019</v>
      </c>
      <c r="N1962" s="318">
        <f t="shared" si="580"/>
        <v>19</v>
      </c>
      <c r="O1962" s="24">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951</v>
      </c>
      <c r="J1963" s="59" t="s">
        <v>22</v>
      </c>
      <c r="L1963" s="5" t="str">
        <f t="shared" si="578"/>
        <v>01962</v>
      </c>
      <c r="M1963" s="46" t="str">
        <f t="shared" si="579"/>
        <v>19 de abril de 2019</v>
      </c>
      <c r="N1963" s="318">
        <f t="shared" si="580"/>
        <v>19</v>
      </c>
      <c r="O1963" s="24">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961</v>
      </c>
      <c r="J1964" s="59" t="s">
        <v>22</v>
      </c>
      <c r="L1964" s="5" t="str">
        <f t="shared" si="578"/>
        <v>01963</v>
      </c>
      <c r="M1964" s="46" t="str">
        <f t="shared" si="579"/>
        <v>19 de abril de 2019</v>
      </c>
      <c r="N1964" s="318">
        <f t="shared" si="580"/>
        <v>19</v>
      </c>
      <c r="O1964" s="24">
        <f t="shared" si="581"/>
        <v>43556</v>
      </c>
      <c r="P1964" s="5" t="str">
        <f t="shared" si="582"/>
        <v>7.000,00</v>
      </c>
      <c r="Q1964" s="4" t="e">
        <f t="shared" ca="1" si="576"/>
        <v>#NAME?</v>
      </c>
    </row>
    <row r="1965" spans="1:17">
      <c r="A1965" s="1">
        <f t="shared" si="577"/>
        <v>1964</v>
      </c>
      <c r="C1965" s="8" t="s">
        <v>17</v>
      </c>
      <c r="D1965" s="2">
        <v>43576</v>
      </c>
      <c r="E1965" s="3">
        <v>5000</v>
      </c>
      <c r="F1965" t="s">
        <v>844</v>
      </c>
      <c r="G1965" t="s">
        <v>845</v>
      </c>
      <c r="H1965" t="s">
        <v>169</v>
      </c>
      <c r="I1965" s="6" t="s">
        <v>918</v>
      </c>
      <c r="J1965" s="59" t="s">
        <v>22</v>
      </c>
      <c r="L1965" s="5" t="str">
        <f t="shared" si="578"/>
        <v>01964</v>
      </c>
      <c r="M1965" s="46" t="str">
        <f t="shared" si="579"/>
        <v>21 de abril de 2019</v>
      </c>
      <c r="N1965" s="318">
        <f t="shared" si="580"/>
        <v>21</v>
      </c>
      <c r="O1965" s="24">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918</v>
      </c>
      <c r="J1966" s="59" t="s">
        <v>22</v>
      </c>
      <c r="L1966" s="5" t="str">
        <f t="shared" si="578"/>
        <v>01965</v>
      </c>
      <c r="M1966" s="46" t="str">
        <f t="shared" si="579"/>
        <v>22 de abril de 2019</v>
      </c>
      <c r="N1966" s="318">
        <f t="shared" si="580"/>
        <v>22</v>
      </c>
      <c r="O1966" s="24">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918</v>
      </c>
      <c r="J1967" s="59" t="s">
        <v>22</v>
      </c>
      <c r="L1967" s="5" t="str">
        <f t="shared" si="578"/>
        <v>01966</v>
      </c>
      <c r="M1967" s="46" t="str">
        <f t="shared" si="579"/>
        <v>22 de abril de 2019</v>
      </c>
      <c r="N1967" s="318">
        <f t="shared" si="580"/>
        <v>22</v>
      </c>
      <c r="O1967" s="24">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47" t="s">
        <v>959</v>
      </c>
      <c r="H1968" t="s">
        <v>254</v>
      </c>
      <c r="I1968" t="s">
        <v>929</v>
      </c>
      <c r="J1968" s="59" t="s">
        <v>22</v>
      </c>
      <c r="L1968" s="5" t="str">
        <f t="shared" si="578"/>
        <v>01967</v>
      </c>
      <c r="M1968" s="46" t="str">
        <f t="shared" si="579"/>
        <v>22 de abril de 2019</v>
      </c>
      <c r="N1968" s="318">
        <f t="shared" si="580"/>
        <v>22</v>
      </c>
      <c r="O1968" s="24">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918</v>
      </c>
      <c r="J1969" s="59" t="s">
        <v>22</v>
      </c>
      <c r="L1969" s="5" t="str">
        <f t="shared" si="578"/>
        <v>01968</v>
      </c>
      <c r="M1969" s="46" t="str">
        <f t="shared" si="579"/>
        <v>22 de abril de 2019</v>
      </c>
      <c r="N1969" s="318">
        <f t="shared" si="580"/>
        <v>22</v>
      </c>
      <c r="O1969" s="24">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962</v>
      </c>
      <c r="J1970" s="59" t="s">
        <v>22</v>
      </c>
      <c r="L1970" s="5" t="str">
        <f t="shared" si="578"/>
        <v>01969</v>
      </c>
      <c r="M1970" s="46" t="str">
        <f t="shared" si="579"/>
        <v>22 de abril de 2019</v>
      </c>
      <c r="N1970" s="318">
        <f t="shared" si="580"/>
        <v>22</v>
      </c>
      <c r="O1970" s="24">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918</v>
      </c>
      <c r="J1971" s="59" t="s">
        <v>22</v>
      </c>
      <c r="L1971" s="5" t="str">
        <f t="shared" si="578"/>
        <v>01970</v>
      </c>
      <c r="M1971" s="46" t="str">
        <f t="shared" si="579"/>
        <v>22 de abril de 2019</v>
      </c>
      <c r="N1971" s="318">
        <f t="shared" si="580"/>
        <v>22</v>
      </c>
      <c r="O1971" s="24">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951</v>
      </c>
      <c r="J1972" s="59" t="s">
        <v>22</v>
      </c>
      <c r="L1972" s="5" t="str">
        <f t="shared" si="578"/>
        <v>01971</v>
      </c>
      <c r="M1972" s="46" t="str">
        <f t="shared" si="579"/>
        <v>22 de abril de 2019</v>
      </c>
      <c r="N1972" s="318">
        <f t="shared" si="580"/>
        <v>22</v>
      </c>
      <c r="O1972" s="24">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918</v>
      </c>
      <c r="J1973" s="59" t="s">
        <v>22</v>
      </c>
      <c r="L1973" s="5" t="str">
        <f t="shared" si="578"/>
        <v>01972</v>
      </c>
      <c r="M1973" s="46" t="str">
        <f t="shared" si="579"/>
        <v>23 de abril de 2019</v>
      </c>
      <c r="N1973" s="318">
        <f t="shared" si="580"/>
        <v>23</v>
      </c>
      <c r="O1973" s="24">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918</v>
      </c>
      <c r="J1974" s="59" t="s">
        <v>22</v>
      </c>
      <c r="L1974" s="5" t="str">
        <f t="shared" si="578"/>
        <v>01973</v>
      </c>
      <c r="M1974" s="46" t="str">
        <f t="shared" si="579"/>
        <v>23 de abril de 2019</v>
      </c>
      <c r="N1974" s="318">
        <f t="shared" si="580"/>
        <v>23</v>
      </c>
      <c r="O1974" s="24">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918</v>
      </c>
      <c r="J1975" s="59" t="s">
        <v>22</v>
      </c>
      <c r="L1975" s="5" t="str">
        <f t="shared" si="578"/>
        <v>01974</v>
      </c>
      <c r="M1975" s="46" t="str">
        <f t="shared" si="579"/>
        <v>24 de abril de 2019</v>
      </c>
      <c r="N1975" s="318">
        <f t="shared" si="580"/>
        <v>24</v>
      </c>
      <c r="O1975" s="24">
        <f t="shared" si="581"/>
        <v>43556</v>
      </c>
      <c r="P1975" s="5" t="str">
        <f t="shared" si="582"/>
        <v>5.000,00</v>
      </c>
      <c r="Q1975" s="4" t="e">
        <f t="shared" ca="1" si="583"/>
        <v>#NAME?</v>
      </c>
    </row>
    <row r="1976" spans="1:17">
      <c r="A1976" s="1">
        <f t="shared" si="577"/>
        <v>1975</v>
      </c>
      <c r="C1976" s="83" t="s">
        <v>17</v>
      </c>
      <c r="D1976" s="2">
        <v>43580</v>
      </c>
      <c r="E1976" s="3">
        <v>9000</v>
      </c>
      <c r="F1976" t="s">
        <v>40</v>
      </c>
      <c r="G1976" s="18" t="s">
        <v>58</v>
      </c>
      <c r="H1976" t="s">
        <v>42</v>
      </c>
      <c r="I1976" s="6" t="s">
        <v>963</v>
      </c>
      <c r="J1976" s="59" t="s">
        <v>22</v>
      </c>
      <c r="L1976" s="5" t="str">
        <f t="shared" si="578"/>
        <v>01975</v>
      </c>
      <c r="M1976" s="46" t="str">
        <f t="shared" si="579"/>
        <v>25 de abril de 2019</v>
      </c>
      <c r="N1976" s="318">
        <f t="shared" si="580"/>
        <v>25</v>
      </c>
      <c r="O1976" s="24">
        <f t="shared" si="581"/>
        <v>43556</v>
      </c>
      <c r="P1976" s="5" t="str">
        <f t="shared" si="582"/>
        <v>9.000,00</v>
      </c>
      <c r="Q1976" s="4" t="e">
        <f t="shared" ca="1" si="583"/>
        <v>#NAME?</v>
      </c>
    </row>
    <row r="1977" spans="1:17">
      <c r="A1977" s="1">
        <f t="shared" si="577"/>
        <v>1976</v>
      </c>
      <c r="C1977" s="8" t="s">
        <v>17</v>
      </c>
      <c r="D1977" s="2">
        <v>43582</v>
      </c>
      <c r="E1977" s="3">
        <v>6000</v>
      </c>
      <c r="F1977" t="s">
        <v>893</v>
      </c>
      <c r="G1977" t="s">
        <v>894</v>
      </c>
      <c r="H1977" s="20" t="s">
        <v>59</v>
      </c>
      <c r="I1977" s="6" t="s">
        <v>964</v>
      </c>
      <c r="J1977" s="59" t="s">
        <v>22</v>
      </c>
      <c r="K1977" s="21"/>
      <c r="L1977" s="5" t="str">
        <f t="shared" si="578"/>
        <v>01976</v>
      </c>
      <c r="M1977" s="46" t="str">
        <f t="shared" si="579"/>
        <v>27 de abril de 2019</v>
      </c>
      <c r="N1977" s="318">
        <f t="shared" si="580"/>
        <v>27</v>
      </c>
      <c r="O1977" s="24">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918</v>
      </c>
      <c r="J1978" s="59" t="s">
        <v>22</v>
      </c>
      <c r="L1978" s="5" t="str">
        <f t="shared" si="578"/>
        <v>01977</v>
      </c>
      <c r="M1978" s="46" t="str">
        <f t="shared" si="579"/>
        <v>28 de abril de 2019</v>
      </c>
      <c r="N1978" s="318">
        <f t="shared" si="580"/>
        <v>28</v>
      </c>
      <c r="O1978" s="24">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965</v>
      </c>
      <c r="J1979" s="59" t="s">
        <v>22</v>
      </c>
      <c r="L1979" s="5" t="str">
        <f>IF(ISBLANK(A1979),"",TEXT(A1979,"00000"))</f>
        <v>01978</v>
      </c>
      <c r="M1979" s="46" t="str">
        <f>IF(ISBLANK(D1979),"",TEXT(D1979,"dd")&amp;" de "&amp;TEXT(D1979,"mmmm")&amp;" de "&amp;TEXT(YEAR(D1979),"0"))</f>
        <v>28 de abril de 2019</v>
      </c>
      <c r="N1979" s="318">
        <f t="shared" si="580"/>
        <v>28</v>
      </c>
      <c r="O1979" s="24">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918</v>
      </c>
      <c r="J1980" s="59" t="s">
        <v>22</v>
      </c>
      <c r="L1980" s="5" t="str">
        <f>IF(ISBLANK(A1980),"",TEXT(A1980,"00000"))</f>
        <v>01979</v>
      </c>
      <c r="M1980" s="46" t="str">
        <f>IF(ISBLANK(D1980),"",TEXT(D1980,"dd")&amp;" de "&amp;TEXT(D1980,"mmmm")&amp;" de "&amp;TEXT(YEAR(D1980),"0"))</f>
        <v>28 de abril de 2019</v>
      </c>
      <c r="N1980" s="318">
        <f t="shared" si="580"/>
        <v>28</v>
      </c>
      <c r="O1980" s="24">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918</v>
      </c>
      <c r="J1981" s="59" t="s">
        <v>22</v>
      </c>
      <c r="L1981" s="5" t="str">
        <f t="shared" ref="L1981:L2002" si="584">IF(ISBLANK(A1981),"",TEXT(A1981,"00000"))</f>
        <v>01980</v>
      </c>
      <c r="M1981" s="46" t="str">
        <f t="shared" ref="M1981:M2002" si="585">IF(ISBLANK(D1981),"",TEXT(D1981,"dd")&amp;" de "&amp;TEXT(D1981,"mmmm")&amp;" de "&amp;TEXT(YEAR(D1981),"0"))</f>
        <v>28 de abril de 2019</v>
      </c>
      <c r="N1981" s="318">
        <f t="shared" si="580"/>
        <v>28</v>
      </c>
      <c r="O1981" s="24">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918</v>
      </c>
      <c r="J1982" s="59" t="s">
        <v>22</v>
      </c>
      <c r="L1982" s="5" t="str">
        <f t="shared" si="584"/>
        <v>01981</v>
      </c>
      <c r="M1982" s="46" t="str">
        <f t="shared" si="585"/>
        <v>28 de abril de 2019</v>
      </c>
      <c r="N1982" s="318">
        <f t="shared" si="580"/>
        <v>28</v>
      </c>
      <c r="O1982" s="24">
        <f t="shared" si="586"/>
        <v>43556</v>
      </c>
      <c r="P1982" s="5" t="str">
        <f>TEXT(E1982,"#.##0,00")</f>
        <v>5.000,00</v>
      </c>
      <c r="Q1982" s="4" t="e">
        <f ca="1">CONVERTIRNUM(E1982)</f>
        <v>#NAME?</v>
      </c>
    </row>
    <row r="1983" spans="1:17">
      <c r="A1983" s="1">
        <f t="shared" si="577"/>
        <v>1982</v>
      </c>
      <c r="C1983" s="8" t="s">
        <v>17</v>
      </c>
      <c r="D1983" s="2">
        <v>43583</v>
      </c>
      <c r="E1983" s="3">
        <v>5000</v>
      </c>
      <c r="F1983" t="s">
        <v>252</v>
      </c>
      <c r="G1983" s="447" t="s">
        <v>959</v>
      </c>
      <c r="H1983" t="s">
        <v>254</v>
      </c>
      <c r="I1983" s="6" t="s">
        <v>918</v>
      </c>
      <c r="J1983" s="59" t="s">
        <v>22</v>
      </c>
      <c r="L1983" s="5" t="str">
        <f t="shared" si="584"/>
        <v>01982</v>
      </c>
      <c r="M1983" s="46" t="str">
        <f t="shared" si="585"/>
        <v>28 de abril de 2019</v>
      </c>
      <c r="N1983" s="318">
        <f t="shared" ref="N1983:N2002" si="587">DAY(D1983)</f>
        <v>28</v>
      </c>
      <c r="O1983" s="24">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961</v>
      </c>
      <c r="J1984" s="59" t="s">
        <v>22</v>
      </c>
      <c r="L1984" s="5" t="str">
        <f t="shared" si="584"/>
        <v>01983</v>
      </c>
      <c r="M1984" s="46" t="str">
        <f t="shared" si="585"/>
        <v>29 de abril de 2019</v>
      </c>
      <c r="N1984" s="318">
        <f t="shared" si="587"/>
        <v>29</v>
      </c>
      <c r="O1984" s="24">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918</v>
      </c>
      <c r="J1985" s="59" t="s">
        <v>22</v>
      </c>
      <c r="L1985" s="5" t="str">
        <f t="shared" si="584"/>
        <v>01984</v>
      </c>
      <c r="M1985" s="46" t="str">
        <f t="shared" si="585"/>
        <v>29 de marzo de 2019</v>
      </c>
      <c r="N1985" s="318">
        <f t="shared" si="587"/>
        <v>29</v>
      </c>
      <c r="O1985" s="24">
        <f t="shared" si="586"/>
        <v>43525</v>
      </c>
      <c r="P1985" s="5" t="str">
        <f t="shared" si="588"/>
        <v>5.000,00</v>
      </c>
      <c r="Q1985" s="4" t="e">
        <f t="shared" ca="1" si="589"/>
        <v>#NAME?</v>
      </c>
    </row>
    <row r="1986" spans="1:17">
      <c r="A1986" s="1">
        <f t="shared" si="577"/>
        <v>1985</v>
      </c>
      <c r="C1986" s="8" t="s">
        <v>17</v>
      </c>
      <c r="D1986" s="2">
        <v>43553</v>
      </c>
      <c r="E1986" s="3">
        <v>8000</v>
      </c>
      <c r="F1986" t="s">
        <v>239</v>
      </c>
      <c r="G1986" s="71" t="s">
        <v>240</v>
      </c>
      <c r="H1986" t="s">
        <v>241</v>
      </c>
      <c r="I1986" s="6" t="s">
        <v>919</v>
      </c>
      <c r="J1986" s="59" t="s">
        <v>22</v>
      </c>
      <c r="L1986" s="5" t="str">
        <f t="shared" si="584"/>
        <v>01985</v>
      </c>
      <c r="M1986" s="46" t="str">
        <f t="shared" si="585"/>
        <v>29 de marzo de 2019</v>
      </c>
      <c r="N1986" s="318">
        <f t="shared" si="587"/>
        <v>29</v>
      </c>
      <c r="O1986" s="24">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961</v>
      </c>
      <c r="J1987" s="59" t="s">
        <v>22</v>
      </c>
      <c r="L1987" s="5" t="str">
        <f t="shared" si="584"/>
        <v>01986</v>
      </c>
      <c r="M1987" s="46" t="str">
        <f t="shared" si="585"/>
        <v>30 de abril de 2019</v>
      </c>
      <c r="N1987" s="318">
        <f t="shared" si="587"/>
        <v>30</v>
      </c>
      <c r="O1987" s="24">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59" t="s">
        <v>966</v>
      </c>
      <c r="J1988" s="59" t="s">
        <v>22</v>
      </c>
      <c r="L1988" s="5" t="str">
        <f t="shared" si="584"/>
        <v>01987</v>
      </c>
      <c r="M1988" s="46" t="str">
        <f t="shared" si="585"/>
        <v>30 de abril de 2019</v>
      </c>
      <c r="N1988" s="318">
        <f t="shared" si="587"/>
        <v>30</v>
      </c>
      <c r="O1988" s="24">
        <f t="shared" si="586"/>
        <v>43556</v>
      </c>
      <c r="P1988" s="5" t="str">
        <f t="shared" si="588"/>
        <v>4.000,00</v>
      </c>
      <c r="Q1988" s="4" t="e">
        <f t="shared" ca="1" si="589"/>
        <v>#NAME?</v>
      </c>
    </row>
    <row r="1989" spans="1:17">
      <c r="A1989" s="1">
        <f t="shared" si="577"/>
        <v>1988</v>
      </c>
      <c r="C1989" s="8" t="s">
        <v>17</v>
      </c>
      <c r="D1989" s="2">
        <v>43583</v>
      </c>
      <c r="E1989" s="3">
        <v>2000</v>
      </c>
      <c r="F1989" t="s">
        <v>936</v>
      </c>
      <c r="G1989" t="s">
        <v>937</v>
      </c>
      <c r="H1989" t="s">
        <v>150</v>
      </c>
      <c r="I1989" s="6" t="s">
        <v>951</v>
      </c>
      <c r="J1989" s="59" t="s">
        <v>22</v>
      </c>
      <c r="L1989" s="5" t="str">
        <f t="shared" si="584"/>
        <v>01988</v>
      </c>
      <c r="M1989" s="46" t="str">
        <f t="shared" si="585"/>
        <v>28 de abril de 2019</v>
      </c>
      <c r="N1989" s="318">
        <f t="shared" si="587"/>
        <v>28</v>
      </c>
      <c r="O1989" s="24">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918</v>
      </c>
      <c r="J1990" s="59" t="s">
        <v>22</v>
      </c>
      <c r="L1990" s="5" t="str">
        <f t="shared" si="584"/>
        <v>01989</v>
      </c>
      <c r="M1990" s="46" t="str">
        <f t="shared" si="585"/>
        <v>01 de mayo de 2019</v>
      </c>
      <c r="N1990" s="318">
        <f t="shared" si="587"/>
        <v>1</v>
      </c>
      <c r="O1990" s="24">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961</v>
      </c>
      <c r="J1991" s="59" t="s">
        <v>22</v>
      </c>
      <c r="L1991" s="5" t="str">
        <f t="shared" si="584"/>
        <v>01990</v>
      </c>
      <c r="M1991" s="46" t="str">
        <f t="shared" si="585"/>
        <v>02 de mayo de 2019</v>
      </c>
      <c r="N1991" s="318">
        <f t="shared" si="587"/>
        <v>2</v>
      </c>
      <c r="O1991" s="24">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918</v>
      </c>
      <c r="J1992" s="59" t="s">
        <v>22</v>
      </c>
      <c r="L1992" s="5" t="str">
        <f t="shared" si="584"/>
        <v>01991</v>
      </c>
      <c r="M1992" s="46" t="str">
        <f t="shared" si="585"/>
        <v>02 de mayo de 2019</v>
      </c>
      <c r="N1992" s="318">
        <f t="shared" si="587"/>
        <v>2</v>
      </c>
      <c r="O1992" s="24">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59" t="s">
        <v>966</v>
      </c>
      <c r="J1993" s="59" t="s">
        <v>22</v>
      </c>
      <c r="L1993" s="5" t="str">
        <f t="shared" si="584"/>
        <v>01992</v>
      </c>
      <c r="M1993" s="46" t="str">
        <f t="shared" si="585"/>
        <v>02 de mayo de 2019</v>
      </c>
      <c r="N1993" s="318">
        <f t="shared" si="587"/>
        <v>2</v>
      </c>
      <c r="O1993" s="24">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59" t="s">
        <v>966</v>
      </c>
      <c r="J1994" s="59" t="s">
        <v>22</v>
      </c>
      <c r="L1994" s="5" t="str">
        <f t="shared" si="584"/>
        <v>01993</v>
      </c>
      <c r="M1994" s="46" t="str">
        <f t="shared" si="585"/>
        <v>02 de mayo de 2019</v>
      </c>
      <c r="N1994" s="318">
        <f t="shared" si="587"/>
        <v>2</v>
      </c>
      <c r="O1994" s="24">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918</v>
      </c>
      <c r="J1995" s="59" t="s">
        <v>22</v>
      </c>
      <c r="L1995" s="5" t="str">
        <f t="shared" si="584"/>
        <v>01994</v>
      </c>
      <c r="M1995" s="46" t="str">
        <f t="shared" si="585"/>
        <v>02 de mayo de 2019</v>
      </c>
      <c r="N1995" s="318">
        <f t="shared" si="587"/>
        <v>2</v>
      </c>
      <c r="O1995" s="24">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967</v>
      </c>
      <c r="J1996" s="59" t="s">
        <v>22</v>
      </c>
      <c r="L1996" s="5" t="str">
        <f t="shared" si="584"/>
        <v>01995</v>
      </c>
      <c r="M1996" s="46" t="str">
        <f t="shared" si="585"/>
        <v>03 de mayo de 2019</v>
      </c>
      <c r="N1996" s="318">
        <f t="shared" si="587"/>
        <v>3</v>
      </c>
      <c r="O1996" s="24">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968</v>
      </c>
      <c r="J1997" s="59" t="s">
        <v>22</v>
      </c>
      <c r="L1997" s="5" t="str">
        <f t="shared" si="584"/>
        <v>01996</v>
      </c>
      <c r="M1997" s="46" t="str">
        <f t="shared" si="585"/>
        <v>02 de mayo de 2019</v>
      </c>
      <c r="N1997" s="318">
        <f t="shared" si="587"/>
        <v>2</v>
      </c>
      <c r="O1997" s="24">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968</v>
      </c>
      <c r="J1998" s="59" t="s">
        <v>22</v>
      </c>
      <c r="L1998" s="5" t="str">
        <f t="shared" si="584"/>
        <v>01997</v>
      </c>
      <c r="M1998" s="46" t="str">
        <f t="shared" si="585"/>
        <v>03 de mayo de 2019</v>
      </c>
      <c r="N1998" s="318">
        <f t="shared" si="587"/>
        <v>3</v>
      </c>
      <c r="O1998" s="24">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918</v>
      </c>
      <c r="J1999" s="59" t="s">
        <v>22</v>
      </c>
      <c r="L1999" s="5" t="str">
        <f t="shared" si="584"/>
        <v>01998</v>
      </c>
      <c r="M1999" s="46" t="str">
        <f t="shared" si="585"/>
        <v>03 de mayo de 2019</v>
      </c>
      <c r="N1999" s="318">
        <f t="shared" si="587"/>
        <v>3</v>
      </c>
      <c r="O1999" s="24">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59" t="s">
        <v>934</v>
      </c>
      <c r="J2000" s="59" t="s">
        <v>22</v>
      </c>
      <c r="L2000" s="5" t="str">
        <f t="shared" si="584"/>
        <v>01999</v>
      </c>
      <c r="M2000" s="46" t="str">
        <f t="shared" si="585"/>
        <v>04 de mayo de 2019</v>
      </c>
      <c r="N2000" s="318">
        <f t="shared" si="587"/>
        <v>4</v>
      </c>
      <c r="O2000" s="24">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934</v>
      </c>
      <c r="J2001" s="59" t="s">
        <v>22</v>
      </c>
      <c r="L2001" s="5" t="str">
        <f t="shared" si="584"/>
        <v>02000</v>
      </c>
      <c r="M2001" s="46" t="str">
        <f t="shared" si="585"/>
        <v>04 de mayo de 2019</v>
      </c>
      <c r="N2001" s="318">
        <f t="shared" si="587"/>
        <v>4</v>
      </c>
      <c r="O2001" s="24">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967</v>
      </c>
      <c r="J2002" s="59" t="s">
        <v>22</v>
      </c>
      <c r="L2002" s="5" t="str">
        <f t="shared" si="584"/>
        <v>02001</v>
      </c>
      <c r="M2002" s="46" t="str">
        <f t="shared" si="585"/>
        <v>04 de mayo de 2019</v>
      </c>
      <c r="N2002" s="318">
        <f t="shared" si="587"/>
        <v>4</v>
      </c>
      <c r="O2002" s="24">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969</v>
      </c>
      <c r="J2003" s="59" t="s">
        <v>22</v>
      </c>
      <c r="L2003" s="5" t="str">
        <f t="shared" ref="L2003:L2011" si="591">IF(ISBLANK(A2003),"",TEXT(A2003,"00000"))</f>
        <v>02002</v>
      </c>
      <c r="M2003" s="46" t="str">
        <f t="shared" ref="M2003:M2011" si="592">IF(ISBLANK(D2003),"",TEXT(D2003,"dd")&amp;" de "&amp;TEXT(D2003,"mmmm")&amp;" de "&amp;TEXT(YEAR(D2003),"0"))</f>
        <v>04 de mayo de 2019</v>
      </c>
      <c r="N2003" s="318">
        <f t="shared" ref="N2003:N2011" si="593">DAY(D2003)</f>
        <v>4</v>
      </c>
      <c r="O2003" s="24">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3" t="s">
        <v>17</v>
      </c>
      <c r="D2004" s="2">
        <v>43590</v>
      </c>
      <c r="E2004" s="3">
        <v>14000</v>
      </c>
      <c r="F2004" t="s">
        <v>479</v>
      </c>
      <c r="G2004" s="18" t="s">
        <v>58</v>
      </c>
      <c r="H2004" t="s">
        <v>481</v>
      </c>
      <c r="I2004" s="6" t="s">
        <v>939</v>
      </c>
      <c r="J2004" s="59" t="s">
        <v>22</v>
      </c>
      <c r="L2004" s="5" t="str">
        <f t="shared" si="591"/>
        <v>02003</v>
      </c>
      <c r="M2004" s="46" t="str">
        <f t="shared" si="592"/>
        <v>05 de mayo de 2019</v>
      </c>
      <c r="N2004" s="318">
        <f t="shared" si="593"/>
        <v>5</v>
      </c>
      <c r="O2004" s="24">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967</v>
      </c>
      <c r="J2005" s="59" t="s">
        <v>22</v>
      </c>
      <c r="L2005" s="5" t="str">
        <f t="shared" si="591"/>
        <v>02004</v>
      </c>
      <c r="M2005" s="46" t="str">
        <f t="shared" si="592"/>
        <v>05 de mayo de 2019</v>
      </c>
      <c r="N2005" s="318">
        <f t="shared" si="593"/>
        <v>5</v>
      </c>
      <c r="O2005" s="24">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952</v>
      </c>
      <c r="J2006" s="59" t="s">
        <v>22</v>
      </c>
      <c r="L2006" s="5" t="str">
        <f t="shared" si="591"/>
        <v>02005</v>
      </c>
      <c r="M2006" s="46" t="str">
        <f t="shared" si="592"/>
        <v>05 de mayo de 2019</v>
      </c>
      <c r="N2006" s="318">
        <f t="shared" si="593"/>
        <v>5</v>
      </c>
      <c r="O2006" s="24">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970</v>
      </c>
      <c r="J2007" s="59" t="s">
        <v>22</v>
      </c>
      <c r="L2007" s="5" t="str">
        <f t="shared" si="591"/>
        <v>02006</v>
      </c>
      <c r="M2007" s="46" t="str">
        <f t="shared" si="592"/>
        <v>05 de mayo de 2019</v>
      </c>
      <c r="N2007" s="318">
        <f t="shared" si="593"/>
        <v>5</v>
      </c>
      <c r="O2007" s="24">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971</v>
      </c>
      <c r="J2008" s="59" t="s">
        <v>22</v>
      </c>
      <c r="L2008" s="5" t="str">
        <f t="shared" si="591"/>
        <v>02007</v>
      </c>
      <c r="M2008" s="46" t="str">
        <f t="shared" si="592"/>
        <v>05 de mayo de 2019</v>
      </c>
      <c r="N2008" s="318">
        <f t="shared" si="593"/>
        <v>5</v>
      </c>
      <c r="O2008" s="24">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967</v>
      </c>
      <c r="J2009" s="59" t="s">
        <v>22</v>
      </c>
      <c r="L2009" s="5" t="str">
        <f t="shared" si="591"/>
        <v>02008</v>
      </c>
      <c r="M2009" s="46" t="str">
        <f t="shared" si="592"/>
        <v>04 de mayo de 2019</v>
      </c>
      <c r="N2009" s="318">
        <f t="shared" si="593"/>
        <v>4</v>
      </c>
      <c r="O2009" s="24">
        <f t="shared" si="594"/>
        <v>43586</v>
      </c>
      <c r="P2009" s="5" t="str">
        <f t="shared" si="595"/>
        <v>5.000,00</v>
      </c>
      <c r="Q2009" s="4" t="e">
        <f t="shared" ca="1" si="598"/>
        <v>#NAME?</v>
      </c>
    </row>
    <row r="2010" spans="1:17">
      <c r="A2010" s="1">
        <f t="shared" si="597"/>
        <v>2009</v>
      </c>
      <c r="C2010" s="83" t="s">
        <v>17</v>
      </c>
      <c r="D2010" s="2">
        <v>43590</v>
      </c>
      <c r="E2010" s="3">
        <v>5000</v>
      </c>
      <c r="F2010" t="s">
        <v>319</v>
      </c>
      <c r="G2010" s="18" t="s">
        <v>58</v>
      </c>
      <c r="H2010" t="s">
        <v>320</v>
      </c>
      <c r="I2010" s="6" t="s">
        <v>918</v>
      </c>
      <c r="J2010" s="59" t="s">
        <v>22</v>
      </c>
      <c r="L2010" s="5" t="str">
        <f t="shared" si="591"/>
        <v>02009</v>
      </c>
      <c r="M2010" s="46" t="str">
        <f t="shared" si="592"/>
        <v>05 de mayo de 2019</v>
      </c>
      <c r="N2010" s="318">
        <f t="shared" si="593"/>
        <v>5</v>
      </c>
      <c r="O2010" s="24">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971</v>
      </c>
      <c r="J2011" s="59" t="s">
        <v>22</v>
      </c>
      <c r="L2011" s="5" t="str">
        <f t="shared" si="591"/>
        <v>02010</v>
      </c>
      <c r="M2011" s="46" t="str">
        <f t="shared" si="592"/>
        <v>05 de mayo de 2019</v>
      </c>
      <c r="N2011" s="318">
        <f t="shared" si="593"/>
        <v>5</v>
      </c>
      <c r="O2011" s="24">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970</v>
      </c>
      <c r="J2012" s="59" t="s">
        <v>22</v>
      </c>
      <c r="L2012" s="5" t="str">
        <f t="shared" ref="L2012:L2017" si="599">IF(ISBLANK(A2012),"",TEXT(A2012,"00000"))</f>
        <v>02011</v>
      </c>
      <c r="M2012" s="46" t="str">
        <f t="shared" ref="M2012:M2017" si="600">IF(ISBLANK(D2012),"",TEXT(D2012,"dd")&amp;" de "&amp;TEXT(D2012,"mmmm")&amp;" de "&amp;TEXT(YEAR(D2012),"0"))</f>
        <v>06 de mayo de 2019</v>
      </c>
      <c r="N2012" s="318">
        <f t="shared" ref="N2012:N2017" si="601">DAY(D2012)</f>
        <v>6</v>
      </c>
      <c r="O2012" s="24">
        <f t="shared" ref="O2012:O2017" si="602">DATE(YEAR(D2012),MONTH(D2012),1)</f>
        <v>43586</v>
      </c>
      <c r="P2012" s="5" t="str">
        <f t="shared" ref="P2012:P2017" si="603">TEXT(E2012,"#.##0,00")</f>
        <v>3.000,00</v>
      </c>
      <c r="Q2012" s="4" t="e">
        <f t="shared" ca="1" si="598"/>
        <v>#NAME?</v>
      </c>
    </row>
    <row r="2013" spans="1:17">
      <c r="A2013" s="1">
        <f t="shared" ref="A2013:A2076" si="604">A2012+1</f>
        <v>2012</v>
      </c>
      <c r="C2013" s="83" t="s">
        <v>17</v>
      </c>
      <c r="D2013" s="2">
        <v>43591</v>
      </c>
      <c r="E2013" s="3">
        <v>2900</v>
      </c>
      <c r="F2013" s="22" t="s">
        <v>422</v>
      </c>
      <c r="G2013" s="18" t="s">
        <v>58</v>
      </c>
      <c r="H2013" t="s">
        <v>423</v>
      </c>
      <c r="I2013" s="6" t="s">
        <v>951</v>
      </c>
      <c r="J2013" s="59" t="s">
        <v>22</v>
      </c>
      <c r="L2013" s="5" t="str">
        <f t="shared" si="599"/>
        <v>02012</v>
      </c>
      <c r="M2013" s="46" t="str">
        <f t="shared" si="600"/>
        <v>06 de mayo de 2019</v>
      </c>
      <c r="N2013" s="318">
        <f t="shared" si="601"/>
        <v>6</v>
      </c>
      <c r="O2013" s="24">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972</v>
      </c>
      <c r="J2014" s="59" t="s">
        <v>22</v>
      </c>
      <c r="L2014" s="5" t="str">
        <f t="shared" si="599"/>
        <v>02013</v>
      </c>
      <c r="M2014" s="46" t="str">
        <f t="shared" si="600"/>
        <v>06 de mayo de 2019</v>
      </c>
      <c r="N2014" s="318">
        <f t="shared" si="601"/>
        <v>6</v>
      </c>
      <c r="O2014" s="24">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971</v>
      </c>
      <c r="J2015" s="59" t="s">
        <v>22</v>
      </c>
      <c r="L2015" s="5" t="str">
        <f t="shared" si="599"/>
        <v>02014</v>
      </c>
      <c r="M2015" s="46" t="str">
        <f t="shared" si="600"/>
        <v>06 de mayo de 2019</v>
      </c>
      <c r="N2015" s="318">
        <f t="shared" si="601"/>
        <v>6</v>
      </c>
      <c r="O2015" s="24">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973</v>
      </c>
      <c r="J2016" s="59" t="s">
        <v>22</v>
      </c>
      <c r="L2016" s="5" t="str">
        <f t="shared" si="599"/>
        <v>02015</v>
      </c>
      <c r="M2016" s="46" t="str">
        <f t="shared" si="600"/>
        <v>06 de mayo de 2019</v>
      </c>
      <c r="N2016" s="318">
        <f t="shared" si="601"/>
        <v>6</v>
      </c>
      <c r="O2016" s="24">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971</v>
      </c>
      <c r="J2017" s="59" t="s">
        <v>22</v>
      </c>
      <c r="L2017" s="5" t="str">
        <f t="shared" si="599"/>
        <v>02016</v>
      </c>
      <c r="M2017" s="46" t="str">
        <f t="shared" si="600"/>
        <v>06 de mayo de 2019</v>
      </c>
      <c r="N2017" s="318">
        <f t="shared" si="601"/>
        <v>6</v>
      </c>
      <c r="O2017" s="24">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970</v>
      </c>
      <c r="J2018" s="59" t="s">
        <v>22</v>
      </c>
      <c r="L2018" s="5" t="str">
        <f t="shared" ref="L2018:L2050" si="605">IF(ISBLANK(A2018),"",TEXT(A2018,"00000"))</f>
        <v>02017</v>
      </c>
      <c r="M2018" s="46" t="str">
        <f t="shared" ref="M2018:M2050" si="606">IF(ISBLANK(D2018),"",TEXT(D2018,"dd")&amp;" de "&amp;TEXT(D2018,"mmmm")&amp;" de "&amp;TEXT(YEAR(D2018),"0"))</f>
        <v>08 de mayo de 2019</v>
      </c>
      <c r="N2018" s="318">
        <f t="shared" ref="N2018:N2050" si="607">DAY(D2018)</f>
        <v>8</v>
      </c>
      <c r="O2018" s="24">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971</v>
      </c>
      <c r="J2019" s="59" t="s">
        <v>22</v>
      </c>
      <c r="L2019" s="5" t="str">
        <f t="shared" si="605"/>
        <v>02018</v>
      </c>
      <c r="M2019" s="46" t="str">
        <f t="shared" si="606"/>
        <v>08 de mayo de 2019</v>
      </c>
      <c r="N2019" s="318">
        <f t="shared" si="607"/>
        <v>8</v>
      </c>
      <c r="O2019" s="24">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971</v>
      </c>
      <c r="J2020" s="59" t="s">
        <v>22</v>
      </c>
      <c r="L2020" s="5" t="str">
        <f t="shared" si="605"/>
        <v>02019</v>
      </c>
      <c r="M2020" s="46" t="str">
        <f t="shared" si="606"/>
        <v>07 de mayo de 2019</v>
      </c>
      <c r="N2020" s="318">
        <f t="shared" si="607"/>
        <v>7</v>
      </c>
      <c r="O2020" s="24">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918</v>
      </c>
      <c r="J2021" s="59" t="s">
        <v>22</v>
      </c>
      <c r="L2021" s="5" t="str">
        <f t="shared" si="605"/>
        <v>02020</v>
      </c>
      <c r="M2021" s="46" t="str">
        <f t="shared" si="606"/>
        <v>08 de mayo de 2019</v>
      </c>
      <c r="N2021" s="318">
        <f t="shared" si="607"/>
        <v>8</v>
      </c>
      <c r="O2021" s="24">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971</v>
      </c>
      <c r="J2022" s="59" t="s">
        <v>22</v>
      </c>
      <c r="L2022" s="5" t="str">
        <f t="shared" si="605"/>
        <v>02021</v>
      </c>
      <c r="M2022" s="46" t="str">
        <f t="shared" si="606"/>
        <v>08 de mayo de 2019</v>
      </c>
      <c r="N2022" s="318">
        <f t="shared" si="607"/>
        <v>8</v>
      </c>
      <c r="O2022" s="24">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926</v>
      </c>
      <c r="J2023" s="59" t="s">
        <v>22</v>
      </c>
      <c r="L2023" s="5" t="str">
        <f t="shared" si="605"/>
        <v>02022</v>
      </c>
      <c r="M2023" s="46" t="str">
        <f t="shared" si="606"/>
        <v>09 de mayo de 2019</v>
      </c>
      <c r="N2023" s="318">
        <f t="shared" si="607"/>
        <v>9</v>
      </c>
      <c r="O2023" s="24">
        <f t="shared" si="608"/>
        <v>43586</v>
      </c>
      <c r="P2023" s="5" t="str">
        <f t="shared" si="609"/>
        <v>13.000,00</v>
      </c>
      <c r="Q2023" s="4" t="e">
        <f t="shared" ca="1" si="610"/>
        <v>#NAME?</v>
      </c>
    </row>
    <row r="2024" spans="1:17">
      <c r="A2024" s="1">
        <f t="shared" si="604"/>
        <v>2023</v>
      </c>
      <c r="C2024" s="83" t="s">
        <v>17</v>
      </c>
      <c r="D2024" s="2">
        <v>43594</v>
      </c>
      <c r="E2024" s="3">
        <v>8000</v>
      </c>
      <c r="F2024" t="s">
        <v>319</v>
      </c>
      <c r="G2024" s="18" t="s">
        <v>58</v>
      </c>
      <c r="H2024" t="s">
        <v>320</v>
      </c>
      <c r="I2024" s="6" t="s">
        <v>971</v>
      </c>
      <c r="J2024" s="59" t="s">
        <v>22</v>
      </c>
      <c r="L2024" s="5" t="str">
        <f t="shared" si="605"/>
        <v>02023</v>
      </c>
      <c r="M2024" s="46" t="str">
        <f t="shared" si="606"/>
        <v>09 de mayo de 2019</v>
      </c>
      <c r="N2024" s="318">
        <f t="shared" si="607"/>
        <v>9</v>
      </c>
      <c r="O2024" s="24">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969</v>
      </c>
      <c r="J2025" s="59" t="s">
        <v>22</v>
      </c>
      <c r="L2025" s="5" t="str">
        <f t="shared" si="605"/>
        <v>02024</v>
      </c>
      <c r="M2025" s="46" t="str">
        <f t="shared" si="606"/>
        <v>09 de mayo de 2019</v>
      </c>
      <c r="N2025" s="318">
        <f t="shared" si="607"/>
        <v>9</v>
      </c>
      <c r="O2025" s="24">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971</v>
      </c>
      <c r="J2026" s="59" t="s">
        <v>22</v>
      </c>
      <c r="L2026" s="5" t="str">
        <f t="shared" si="605"/>
        <v>02025</v>
      </c>
      <c r="M2026" s="46" t="str">
        <f t="shared" si="606"/>
        <v>11 de mayo de 2019</v>
      </c>
      <c r="N2026" s="318">
        <f t="shared" si="607"/>
        <v>11</v>
      </c>
      <c r="O2026" s="24">
        <f t="shared" si="608"/>
        <v>43586</v>
      </c>
      <c r="P2026" s="5" t="str">
        <f>TEXT(E2026,"#.##0,00")</f>
        <v>8.000,00</v>
      </c>
      <c r="Q2026" s="4" t="e">
        <f ca="1">CONVERTIRNUM(E2026)</f>
        <v>#NAME?</v>
      </c>
    </row>
    <row r="2027" spans="1:17">
      <c r="A2027" s="1">
        <f t="shared" si="604"/>
        <v>2026</v>
      </c>
      <c r="C2027" s="8" t="s">
        <v>17</v>
      </c>
      <c r="D2027" s="2">
        <v>43598</v>
      </c>
      <c r="E2027" s="3">
        <v>8000</v>
      </c>
      <c r="F2027" t="s">
        <v>948</v>
      </c>
      <c r="G2027" t="s">
        <v>949</v>
      </c>
      <c r="H2027" t="s">
        <v>950</v>
      </c>
      <c r="I2027" s="6" t="s">
        <v>971</v>
      </c>
      <c r="J2027" s="59" t="s">
        <v>22</v>
      </c>
      <c r="L2027" s="5" t="str">
        <f t="shared" si="605"/>
        <v>02026</v>
      </c>
      <c r="M2027" s="46" t="str">
        <f t="shared" si="606"/>
        <v>13 de mayo de 2019</v>
      </c>
      <c r="N2027" s="318">
        <f t="shared" si="607"/>
        <v>13</v>
      </c>
      <c r="O2027" s="24">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974</v>
      </c>
      <c r="J2028" s="59" t="s">
        <v>22</v>
      </c>
      <c r="L2028" s="5" t="str">
        <f t="shared" si="605"/>
        <v>02027</v>
      </c>
      <c r="M2028" s="46" t="str">
        <f t="shared" si="606"/>
        <v>13 de mayo de 2019</v>
      </c>
      <c r="N2028" s="318">
        <f t="shared" si="607"/>
        <v>13</v>
      </c>
      <c r="O2028" s="24">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975</v>
      </c>
      <c r="J2029" s="59" t="s">
        <v>22</v>
      </c>
      <c r="L2029" s="5" t="str">
        <f t="shared" si="605"/>
        <v>02028</v>
      </c>
      <c r="M2029" s="46" t="str">
        <f t="shared" si="606"/>
        <v>13 de mayo de 2019</v>
      </c>
      <c r="N2029" s="318">
        <f t="shared" si="607"/>
        <v>13</v>
      </c>
      <c r="O2029" s="24">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976</v>
      </c>
      <c r="J2030" s="59" t="s">
        <v>22</v>
      </c>
      <c r="L2030" s="5" t="str">
        <f t="shared" si="605"/>
        <v>02029</v>
      </c>
      <c r="M2030" s="46" t="str">
        <f t="shared" si="606"/>
        <v>14 de mayo de 2019</v>
      </c>
      <c r="N2030" s="318">
        <f t="shared" si="607"/>
        <v>14</v>
      </c>
      <c r="O2030" s="24">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971</v>
      </c>
      <c r="J2031" s="59" t="s">
        <v>22</v>
      </c>
      <c r="L2031" s="5" t="str">
        <f t="shared" si="605"/>
        <v>02030</v>
      </c>
      <c r="M2031" s="46" t="str">
        <f t="shared" si="606"/>
        <v>14 de mayo de 2019</v>
      </c>
      <c r="N2031" s="318">
        <f t="shared" si="607"/>
        <v>14</v>
      </c>
      <c r="O2031" s="24">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971</v>
      </c>
      <c r="J2032" s="59" t="s">
        <v>22</v>
      </c>
      <c r="L2032" s="5" t="str">
        <f t="shared" si="605"/>
        <v>02031</v>
      </c>
      <c r="M2032" s="46" t="str">
        <f t="shared" si="606"/>
        <v>14 de mayo de 2019</v>
      </c>
      <c r="N2032" s="318">
        <f t="shared" si="607"/>
        <v>14</v>
      </c>
      <c r="O2032" s="24">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971</v>
      </c>
      <c r="J2033" s="59" t="s">
        <v>22</v>
      </c>
      <c r="L2033" s="5" t="str">
        <f t="shared" si="605"/>
        <v>02032</v>
      </c>
      <c r="M2033" s="46" t="str">
        <f t="shared" si="606"/>
        <v>14 de mayo de 2019</v>
      </c>
      <c r="N2033" s="318">
        <f t="shared" si="607"/>
        <v>14</v>
      </c>
      <c r="O2033" s="24">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926</v>
      </c>
      <c r="J2034" s="59" t="s">
        <v>22</v>
      </c>
      <c r="L2034" s="5" t="str">
        <f t="shared" si="605"/>
        <v>02033</v>
      </c>
      <c r="M2034" s="46" t="str">
        <f t="shared" si="606"/>
        <v>14 de mayo de 2019</v>
      </c>
      <c r="N2034" s="318">
        <f t="shared" si="607"/>
        <v>14</v>
      </c>
      <c r="O2034" s="24">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971</v>
      </c>
      <c r="J2035" s="59" t="s">
        <v>22</v>
      </c>
      <c r="L2035" s="5" t="str">
        <f t="shared" si="605"/>
        <v>02034</v>
      </c>
      <c r="M2035" s="46" t="str">
        <f t="shared" si="606"/>
        <v>15 de mayo de 2019</v>
      </c>
      <c r="N2035" s="318">
        <f t="shared" si="607"/>
        <v>15</v>
      </c>
      <c r="O2035" s="24">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47" t="s">
        <v>959</v>
      </c>
      <c r="H2036" t="s">
        <v>254</v>
      </c>
      <c r="I2036" s="6" t="s">
        <v>971</v>
      </c>
      <c r="J2036" s="59" t="s">
        <v>22</v>
      </c>
      <c r="L2036" s="5" t="str">
        <f t="shared" si="605"/>
        <v>02035</v>
      </c>
      <c r="M2036" s="46" t="str">
        <f t="shared" si="606"/>
        <v>15 de mayo de 2019</v>
      </c>
      <c r="N2036" s="318">
        <f t="shared" si="607"/>
        <v>15</v>
      </c>
      <c r="O2036" s="24">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971</v>
      </c>
      <c r="J2037" s="59" t="s">
        <v>22</v>
      </c>
      <c r="L2037" s="5" t="str">
        <f t="shared" si="605"/>
        <v>02036</v>
      </c>
      <c r="M2037" s="46" t="str">
        <f t="shared" si="606"/>
        <v>15 de mayo de 2019</v>
      </c>
      <c r="N2037" s="318">
        <f t="shared" si="607"/>
        <v>15</v>
      </c>
      <c r="O2037" s="24">
        <f t="shared" si="608"/>
        <v>43586</v>
      </c>
      <c r="P2037" s="5" t="str">
        <f t="shared" si="611"/>
        <v>8.000,00</v>
      </c>
      <c r="Q2037" s="4" t="e">
        <f t="shared" ca="1" si="612"/>
        <v>#NAME?</v>
      </c>
    </row>
    <row r="2038" spans="1:17">
      <c r="A2038" s="1">
        <f t="shared" si="604"/>
        <v>2037</v>
      </c>
      <c r="C2038" s="8" t="s">
        <v>17</v>
      </c>
      <c r="D2038" s="2">
        <v>43601</v>
      </c>
      <c r="E2038" s="3">
        <v>8000</v>
      </c>
      <c r="F2038" t="s">
        <v>786</v>
      </c>
      <c r="G2038" t="s">
        <v>787</v>
      </c>
      <c r="H2038" t="s">
        <v>719</v>
      </c>
      <c r="I2038" s="6" t="s">
        <v>968</v>
      </c>
      <c r="J2038" s="59" t="s">
        <v>22</v>
      </c>
      <c r="L2038" s="5" t="str">
        <f t="shared" si="605"/>
        <v>02037</v>
      </c>
      <c r="M2038" s="46" t="str">
        <f t="shared" si="606"/>
        <v>16 de mayo de 2019</v>
      </c>
      <c r="N2038" s="318">
        <f t="shared" si="607"/>
        <v>16</v>
      </c>
      <c r="O2038" s="24">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971</v>
      </c>
      <c r="J2039" s="59" t="s">
        <v>22</v>
      </c>
      <c r="L2039" s="5" t="str">
        <f t="shared" si="605"/>
        <v>02038</v>
      </c>
      <c r="M2039" s="46" t="str">
        <f t="shared" si="606"/>
        <v>16 de mayo de 2019</v>
      </c>
      <c r="N2039" s="318">
        <f t="shared" si="607"/>
        <v>16</v>
      </c>
      <c r="O2039" s="24">
        <f t="shared" si="608"/>
        <v>43586</v>
      </c>
      <c r="P2039" s="5" t="str">
        <f t="shared" si="611"/>
        <v>8.000,00</v>
      </c>
      <c r="Q2039" s="4" t="e">
        <f t="shared" ca="1" si="612"/>
        <v>#NAME?</v>
      </c>
    </row>
    <row r="2040" spans="1:17">
      <c r="A2040" s="1">
        <f t="shared" si="604"/>
        <v>2039</v>
      </c>
      <c r="C2040" s="83" t="s">
        <v>17</v>
      </c>
      <c r="D2040" s="2">
        <v>43601</v>
      </c>
      <c r="E2040" s="160">
        <v>20000</v>
      </c>
      <c r="F2040" t="s">
        <v>492</v>
      </c>
      <c r="G2040" s="18" t="s">
        <v>58</v>
      </c>
      <c r="H2040" t="s">
        <v>493</v>
      </c>
      <c r="I2040" s="6" t="s">
        <v>977</v>
      </c>
      <c r="J2040" s="59" t="s">
        <v>22</v>
      </c>
      <c r="L2040" s="5" t="str">
        <f t="shared" si="605"/>
        <v>02039</v>
      </c>
      <c r="M2040" s="46" t="str">
        <f t="shared" si="606"/>
        <v>16 de mayo de 2019</v>
      </c>
      <c r="N2040" s="318">
        <f t="shared" si="607"/>
        <v>16</v>
      </c>
      <c r="O2040" s="24">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971</v>
      </c>
      <c r="J2041" s="59" t="s">
        <v>22</v>
      </c>
      <c r="L2041" s="5" t="str">
        <f t="shared" si="605"/>
        <v>02040</v>
      </c>
      <c r="M2041" s="46" t="str">
        <f t="shared" si="606"/>
        <v>16 de mayo de 2019</v>
      </c>
      <c r="N2041" s="318">
        <f t="shared" si="607"/>
        <v>16</v>
      </c>
      <c r="O2041" s="24">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978</v>
      </c>
      <c r="J2042" s="59" t="s">
        <v>22</v>
      </c>
      <c r="L2042" s="5" t="str">
        <f t="shared" si="605"/>
        <v>02041</v>
      </c>
      <c r="M2042" s="46" t="str">
        <f t="shared" si="606"/>
        <v>16 de mayo de 2019</v>
      </c>
      <c r="N2042" s="318">
        <f t="shared" si="607"/>
        <v>16</v>
      </c>
      <c r="O2042" s="24">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918</v>
      </c>
      <c r="J2043" s="59" t="s">
        <v>22</v>
      </c>
      <c r="L2043" s="5" t="str">
        <f t="shared" si="605"/>
        <v>02042</v>
      </c>
      <c r="M2043" s="46" t="str">
        <f t="shared" si="606"/>
        <v>17 de mayo de 2019</v>
      </c>
      <c r="N2043" s="318">
        <f t="shared" si="607"/>
        <v>17</v>
      </c>
      <c r="O2043" s="24">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971</v>
      </c>
      <c r="J2044" s="59" t="s">
        <v>22</v>
      </c>
      <c r="L2044" s="5" t="str">
        <f t="shared" si="605"/>
        <v>02043</v>
      </c>
      <c r="M2044" s="46" t="str">
        <f t="shared" si="606"/>
        <v>17 de mayo de 2019</v>
      </c>
      <c r="N2044" s="318">
        <f t="shared" si="607"/>
        <v>17</v>
      </c>
      <c r="O2044" s="24">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926</v>
      </c>
      <c r="J2045" s="59" t="s">
        <v>22</v>
      </c>
      <c r="L2045" s="5" t="str">
        <f t="shared" si="605"/>
        <v>02044</v>
      </c>
      <c r="M2045" s="46" t="str">
        <f t="shared" si="606"/>
        <v>16 de mayo de 2019</v>
      </c>
      <c r="N2045" s="318">
        <f t="shared" si="607"/>
        <v>16</v>
      </c>
      <c r="O2045" s="24">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971</v>
      </c>
      <c r="J2046" s="59" t="s">
        <v>22</v>
      </c>
      <c r="L2046" s="5" t="str">
        <f t="shared" si="605"/>
        <v>02045</v>
      </c>
      <c r="M2046" s="46" t="str">
        <f t="shared" si="606"/>
        <v>19 de mayo de 2019</v>
      </c>
      <c r="N2046" s="318">
        <f t="shared" si="607"/>
        <v>19</v>
      </c>
      <c r="O2046" s="24">
        <f t="shared" si="608"/>
        <v>43586</v>
      </c>
      <c r="P2046" s="5" t="str">
        <f t="shared" si="611"/>
        <v>8.000,00</v>
      </c>
      <c r="Q2046" s="4" t="e">
        <f t="shared" ca="1" si="612"/>
        <v>#NAME?</v>
      </c>
    </row>
    <row r="2047" spans="1:17">
      <c r="A2047" s="1">
        <f t="shared" si="604"/>
        <v>2046</v>
      </c>
      <c r="C2047" s="8" t="s">
        <v>17</v>
      </c>
      <c r="D2047" s="2">
        <v>43604</v>
      </c>
      <c r="E2047" s="3">
        <v>15000</v>
      </c>
      <c r="F2047" t="s">
        <v>90</v>
      </c>
      <c r="G2047" s="447" t="s">
        <v>979</v>
      </c>
      <c r="H2047" t="s">
        <v>92</v>
      </c>
      <c r="I2047" s="6" t="s">
        <v>980</v>
      </c>
      <c r="J2047" s="59" t="s">
        <v>22</v>
      </c>
      <c r="L2047" s="5" t="str">
        <f t="shared" si="605"/>
        <v>02046</v>
      </c>
      <c r="M2047" s="46" t="str">
        <f t="shared" si="606"/>
        <v>19 de mayo de 2019</v>
      </c>
      <c r="N2047" s="318">
        <f t="shared" si="607"/>
        <v>19</v>
      </c>
      <c r="O2047" s="24">
        <f t="shared" si="608"/>
        <v>43586</v>
      </c>
      <c r="P2047" s="5" t="str">
        <f t="shared" si="611"/>
        <v>15.000,00</v>
      </c>
      <c r="Q2047" s="4" t="e">
        <f t="shared" ca="1" si="612"/>
        <v>#NAME?</v>
      </c>
    </row>
    <row r="2048" spans="1:17">
      <c r="A2048" s="1">
        <f t="shared" si="604"/>
        <v>2047</v>
      </c>
      <c r="C2048" s="83" t="s">
        <v>17</v>
      </c>
      <c r="D2048" s="2">
        <v>43605</v>
      </c>
      <c r="E2048" s="3">
        <v>5000</v>
      </c>
      <c r="F2048" t="s">
        <v>259</v>
      </c>
      <c r="G2048" s="18" t="s">
        <v>58</v>
      </c>
      <c r="H2048" t="s">
        <v>261</v>
      </c>
      <c r="I2048" s="6" t="s">
        <v>918</v>
      </c>
      <c r="J2048" s="59" t="s">
        <v>22</v>
      </c>
      <c r="L2048" s="5" t="str">
        <f t="shared" si="605"/>
        <v>02047</v>
      </c>
      <c r="M2048" s="46" t="str">
        <f t="shared" si="606"/>
        <v>20 de mayo de 2019</v>
      </c>
      <c r="N2048" s="318">
        <f t="shared" si="607"/>
        <v>20</v>
      </c>
      <c r="O2048" s="24">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981</v>
      </c>
      <c r="J2049" s="59" t="s">
        <v>22</v>
      </c>
      <c r="L2049" s="5" t="str">
        <f t="shared" si="605"/>
        <v>02048</v>
      </c>
      <c r="M2049" s="46" t="str">
        <f t="shared" si="606"/>
        <v>21 de mayo de 2019</v>
      </c>
      <c r="N2049" s="318">
        <f t="shared" si="607"/>
        <v>21</v>
      </c>
      <c r="O2049" s="24">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970</v>
      </c>
      <c r="J2050" s="59" t="s">
        <v>22</v>
      </c>
      <c r="L2050" s="5" t="str">
        <f t="shared" si="605"/>
        <v>02049</v>
      </c>
      <c r="M2050" s="46" t="str">
        <f t="shared" si="606"/>
        <v>22 de mayo de 2019</v>
      </c>
      <c r="N2050" s="318">
        <f t="shared" si="607"/>
        <v>22</v>
      </c>
      <c r="O2050" s="24">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971</v>
      </c>
      <c r="J2051" s="59" t="s">
        <v>22</v>
      </c>
      <c r="L2051" s="5" t="str">
        <f t="shared" ref="L2051:L2057" si="613">IF(ISBLANK(A2051),"",TEXT(A2051,"00000"))</f>
        <v>02050</v>
      </c>
      <c r="M2051" s="46" t="str">
        <f t="shared" ref="M2051:M2057" si="614">IF(ISBLANK(D2051),"",TEXT(D2051,"dd")&amp;" de "&amp;TEXT(D2051,"mmmm")&amp;" de "&amp;TEXT(YEAR(D2051),"0"))</f>
        <v>23 de mayo de 2019</v>
      </c>
      <c r="N2051" s="318">
        <f t="shared" ref="N2051:N2057" si="615">DAY(D2051)</f>
        <v>23</v>
      </c>
      <c r="O2051" s="24">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981</v>
      </c>
      <c r="J2052" s="59" t="s">
        <v>22</v>
      </c>
      <c r="L2052" s="5" t="str">
        <f t="shared" si="613"/>
        <v>02051</v>
      </c>
      <c r="M2052" s="46" t="str">
        <f t="shared" si="614"/>
        <v>23 de mayo de 2019</v>
      </c>
      <c r="N2052" s="318">
        <f t="shared" si="615"/>
        <v>23</v>
      </c>
      <c r="O2052" s="24">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969</v>
      </c>
      <c r="J2053" s="59" t="s">
        <v>22</v>
      </c>
      <c r="L2053" s="5" t="str">
        <f t="shared" si="613"/>
        <v>02052</v>
      </c>
      <c r="M2053" s="46" t="str">
        <f t="shared" si="614"/>
        <v>23 de mayo de 2019</v>
      </c>
      <c r="N2053" s="318">
        <f t="shared" si="615"/>
        <v>23</v>
      </c>
      <c r="O2053" s="24">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970</v>
      </c>
      <c r="J2054" s="59" t="s">
        <v>22</v>
      </c>
      <c r="L2054" s="5" t="str">
        <f t="shared" si="613"/>
        <v>02053</v>
      </c>
      <c r="M2054" s="46" t="str">
        <f t="shared" si="614"/>
        <v>15 de mayo de 2019</v>
      </c>
      <c r="N2054" s="318">
        <f t="shared" si="615"/>
        <v>15</v>
      </c>
      <c r="O2054" s="24">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971</v>
      </c>
      <c r="J2055" s="59" t="s">
        <v>22</v>
      </c>
      <c r="L2055" s="5" t="str">
        <f t="shared" si="613"/>
        <v>02054</v>
      </c>
      <c r="M2055" s="46" t="str">
        <f t="shared" si="614"/>
        <v>24 de mayo de 2019</v>
      </c>
      <c r="N2055" s="318">
        <f t="shared" si="615"/>
        <v>24</v>
      </c>
      <c r="O2055" s="24">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982</v>
      </c>
      <c r="J2056" s="59" t="s">
        <v>22</v>
      </c>
      <c r="L2056" s="5" t="str">
        <f t="shared" si="613"/>
        <v>02055</v>
      </c>
      <c r="M2056" s="46" t="str">
        <f t="shared" si="614"/>
        <v>24 de mayo de 2019</v>
      </c>
      <c r="N2056" s="318">
        <f t="shared" si="615"/>
        <v>24</v>
      </c>
      <c r="O2056" s="24">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983</v>
      </c>
      <c r="J2057" s="59" t="s">
        <v>22</v>
      </c>
      <c r="L2057" s="5" t="str">
        <f t="shared" si="613"/>
        <v>02056</v>
      </c>
      <c r="M2057" s="46" t="str">
        <f t="shared" si="614"/>
        <v>24 de mayo de 2019</v>
      </c>
      <c r="N2057" s="318">
        <f t="shared" si="615"/>
        <v>24</v>
      </c>
      <c r="O2057" s="24">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971</v>
      </c>
      <c r="J2058" s="59" t="s">
        <v>22</v>
      </c>
      <c r="L2058" s="5" t="str">
        <f t="shared" ref="L2058:L2064" si="619">IF(ISBLANK(A2058),"",TEXT(A2058,"00000"))</f>
        <v>02057</v>
      </c>
      <c r="M2058" s="46" t="str">
        <f t="shared" ref="M2058:M2064" si="620">IF(ISBLANK(D2058),"",TEXT(D2058,"dd")&amp;" de "&amp;TEXT(D2058,"mmmm")&amp;" de "&amp;TEXT(YEAR(D2058),"0"))</f>
        <v>24 de mayo de 2019</v>
      </c>
      <c r="N2058" s="318">
        <f t="shared" ref="N2058:N2064" si="621">DAY(D2058)</f>
        <v>24</v>
      </c>
      <c r="O2058" s="24">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970</v>
      </c>
      <c r="J2059" s="59" t="s">
        <v>22</v>
      </c>
      <c r="L2059" s="5" t="str">
        <f t="shared" si="619"/>
        <v>02058</v>
      </c>
      <c r="M2059" s="46" t="str">
        <f t="shared" si="620"/>
        <v>25 de mayo de 2019</v>
      </c>
      <c r="N2059" s="318">
        <f t="shared" si="621"/>
        <v>25</v>
      </c>
      <c r="O2059" s="24">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970</v>
      </c>
      <c r="J2060" s="59" t="s">
        <v>22</v>
      </c>
      <c r="L2060" s="5" t="str">
        <f t="shared" si="619"/>
        <v>02059</v>
      </c>
      <c r="M2060" s="46" t="str">
        <f t="shared" si="620"/>
        <v>25 de mayo de 2019</v>
      </c>
      <c r="N2060" s="318">
        <f t="shared" si="621"/>
        <v>25</v>
      </c>
      <c r="O2060" s="24">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984</v>
      </c>
      <c r="J2061" s="59" t="s">
        <v>22</v>
      </c>
      <c r="L2061" s="5" t="str">
        <f t="shared" si="619"/>
        <v>02060</v>
      </c>
      <c r="M2061" s="46" t="str">
        <f t="shared" si="620"/>
        <v>25 de mayo de 2019</v>
      </c>
      <c r="N2061" s="318">
        <f t="shared" si="621"/>
        <v>25</v>
      </c>
      <c r="O2061" s="24">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1" t="s">
        <v>240</v>
      </c>
      <c r="H2062" t="s">
        <v>241</v>
      </c>
      <c r="I2062" s="6" t="s">
        <v>971</v>
      </c>
      <c r="J2062" s="59" t="s">
        <v>22</v>
      </c>
      <c r="L2062" s="5" t="str">
        <f t="shared" si="619"/>
        <v>02061</v>
      </c>
      <c r="M2062" s="46" t="str">
        <f t="shared" si="620"/>
        <v>25 de mayo de 2019</v>
      </c>
      <c r="N2062" s="318">
        <f t="shared" si="621"/>
        <v>25</v>
      </c>
      <c r="O2062" s="24">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971</v>
      </c>
      <c r="J2063" s="59" t="s">
        <v>22</v>
      </c>
      <c r="L2063" s="5" t="str">
        <f t="shared" si="619"/>
        <v>02062</v>
      </c>
      <c r="M2063" s="46" t="str">
        <f t="shared" si="620"/>
        <v>25 de mayo de 2019</v>
      </c>
      <c r="N2063" s="318">
        <f t="shared" si="621"/>
        <v>25</v>
      </c>
      <c r="O2063" s="24">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969</v>
      </c>
      <c r="J2064" s="59" t="s">
        <v>22</v>
      </c>
      <c r="L2064" s="5" t="str">
        <f t="shared" si="619"/>
        <v>02063</v>
      </c>
      <c r="M2064" s="46" t="str">
        <f t="shared" si="620"/>
        <v>26 de mayo de 2019</v>
      </c>
      <c r="N2064" s="318">
        <f t="shared" si="621"/>
        <v>26</v>
      </c>
      <c r="O2064" s="24">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951</v>
      </c>
      <c r="J2065" s="59" t="s">
        <v>22</v>
      </c>
      <c r="L2065" s="5" t="str">
        <f t="shared" ref="L2065:L2072" si="625">IF(ISBLANK(A2065),"",TEXT(A2065,"00000"))</f>
        <v>02064</v>
      </c>
      <c r="M2065" s="46" t="str">
        <f t="shared" ref="M2065:M2072" si="626">IF(ISBLANK(D2065),"",TEXT(D2065,"dd")&amp;" de "&amp;TEXT(D2065,"mmmm")&amp;" de "&amp;TEXT(YEAR(D2065),"0"))</f>
        <v>02 de mayo de 2019</v>
      </c>
      <c r="N2065" s="318">
        <f t="shared" ref="N2065:N2083" si="627">DAY(D2065)</f>
        <v>2</v>
      </c>
      <c r="O2065" s="24">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970</v>
      </c>
      <c r="J2066" s="59" t="s">
        <v>22</v>
      </c>
      <c r="L2066" s="5" t="str">
        <f t="shared" si="625"/>
        <v>02065</v>
      </c>
      <c r="M2066" s="46" t="str">
        <f t="shared" si="626"/>
        <v>28 de mayo de 2019</v>
      </c>
      <c r="N2066" s="318">
        <f t="shared" si="627"/>
        <v>28</v>
      </c>
      <c r="O2066" s="24">
        <f t="shared" si="628"/>
        <v>43586</v>
      </c>
      <c r="P2066" s="5" t="str">
        <f t="shared" si="629"/>
        <v>3.000,00</v>
      </c>
      <c r="Q2066" s="4" t="e">
        <f t="shared" ca="1" si="630"/>
        <v>#NAME?</v>
      </c>
    </row>
    <row r="2067" spans="1:17">
      <c r="A2067" s="1">
        <f t="shared" si="604"/>
        <v>2066</v>
      </c>
      <c r="C2067" s="8" t="s">
        <v>17</v>
      </c>
      <c r="D2067" s="2">
        <v>43613</v>
      </c>
      <c r="E2067" s="3">
        <f>7000+8000</f>
        <v>15000</v>
      </c>
      <c r="F2067" t="s">
        <v>893</v>
      </c>
      <c r="G2067" t="s">
        <v>894</v>
      </c>
      <c r="H2067" s="20" t="s">
        <v>59</v>
      </c>
      <c r="I2067" s="6" t="s">
        <v>985</v>
      </c>
      <c r="J2067" s="59" t="s">
        <v>22</v>
      </c>
      <c r="K2067" s="21"/>
      <c r="L2067" s="5" t="str">
        <f t="shared" si="625"/>
        <v>02066</v>
      </c>
      <c r="M2067" s="46" t="str">
        <f t="shared" si="626"/>
        <v>28 de mayo de 2019</v>
      </c>
      <c r="N2067" s="318">
        <f t="shared" si="627"/>
        <v>28</v>
      </c>
      <c r="O2067" s="24">
        <f t="shared" si="628"/>
        <v>43586</v>
      </c>
      <c r="P2067" s="5" t="str">
        <f t="shared" si="629"/>
        <v>15.000,00</v>
      </c>
      <c r="Q2067" s="4" t="e">
        <f t="shared" ca="1" si="630"/>
        <v>#NAME?</v>
      </c>
    </row>
    <row r="2068" spans="1:17">
      <c r="A2068" s="1">
        <f t="shared" si="604"/>
        <v>2067</v>
      </c>
      <c r="C2068" s="8" t="s">
        <v>17</v>
      </c>
      <c r="D2068" s="2">
        <v>43613</v>
      </c>
      <c r="E2068" s="3">
        <v>8000</v>
      </c>
      <c r="F2068" t="s">
        <v>936</v>
      </c>
      <c r="G2068" t="s">
        <v>937</v>
      </c>
      <c r="H2068" t="s">
        <v>150</v>
      </c>
      <c r="I2068" s="6" t="s">
        <v>971</v>
      </c>
      <c r="J2068" s="59" t="s">
        <v>22</v>
      </c>
      <c r="L2068" s="5" t="str">
        <f t="shared" si="625"/>
        <v>02067</v>
      </c>
      <c r="M2068" s="46" t="str">
        <f t="shared" si="626"/>
        <v>28 de mayo de 2019</v>
      </c>
      <c r="N2068" s="318">
        <f t="shared" si="627"/>
        <v>28</v>
      </c>
      <c r="O2068" s="24">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986</v>
      </c>
      <c r="J2069" s="59" t="s">
        <v>22</v>
      </c>
      <c r="L2069" s="5" t="str">
        <f t="shared" si="625"/>
        <v>02068</v>
      </c>
      <c r="M2069" s="46" t="str">
        <f t="shared" si="626"/>
        <v>28 de mayo de 2019</v>
      </c>
      <c r="N2069" s="318">
        <f t="shared" si="627"/>
        <v>28</v>
      </c>
      <c r="O2069" s="24">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47" t="s">
        <v>959</v>
      </c>
      <c r="H2070" t="s">
        <v>254</v>
      </c>
      <c r="I2070" s="6" t="s">
        <v>987</v>
      </c>
      <c r="J2070" s="59" t="s">
        <v>22</v>
      </c>
      <c r="L2070" s="5" t="str">
        <f t="shared" si="625"/>
        <v>02069</v>
      </c>
      <c r="M2070" s="46" t="str">
        <f t="shared" si="626"/>
        <v>29 de mayo de 2019</v>
      </c>
      <c r="N2070" s="318">
        <f t="shared" si="627"/>
        <v>29</v>
      </c>
      <c r="O2070" s="24">
        <f t="shared" si="628"/>
        <v>43586</v>
      </c>
      <c r="P2070" s="5" t="str">
        <f t="shared" si="629"/>
        <v>8.000,00</v>
      </c>
      <c r="Q2070" s="4" t="e">
        <f t="shared" ca="1" si="630"/>
        <v>#NAME?</v>
      </c>
    </row>
    <row r="2071" spans="1:17">
      <c r="A2071" s="1">
        <f t="shared" si="604"/>
        <v>2070</v>
      </c>
      <c r="C2071" s="83" t="s">
        <v>17</v>
      </c>
      <c r="D2071" s="2">
        <v>43614</v>
      </c>
      <c r="E2071" s="3">
        <v>11600</v>
      </c>
      <c r="F2071" s="22" t="s">
        <v>422</v>
      </c>
      <c r="G2071" s="18" t="s">
        <v>58</v>
      </c>
      <c r="H2071" t="s">
        <v>423</v>
      </c>
      <c r="I2071" s="6" t="s">
        <v>971</v>
      </c>
      <c r="J2071" s="59" t="s">
        <v>22</v>
      </c>
      <c r="L2071" s="5" t="str">
        <f t="shared" si="625"/>
        <v>02070</v>
      </c>
      <c r="M2071" s="46" t="str">
        <f t="shared" si="626"/>
        <v>29 de mayo de 2019</v>
      </c>
      <c r="N2071" s="318">
        <f t="shared" si="627"/>
        <v>29</v>
      </c>
      <c r="O2071" s="24">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985</v>
      </c>
      <c r="J2072" s="59" t="s">
        <v>22</v>
      </c>
      <c r="L2072" s="5" t="str">
        <f t="shared" si="625"/>
        <v>02071</v>
      </c>
      <c r="M2072" s="46" t="str">
        <f t="shared" si="626"/>
        <v>29 de mayo de 2019</v>
      </c>
      <c r="N2072" s="318">
        <f t="shared" si="627"/>
        <v>29</v>
      </c>
      <c r="O2072" s="24">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971</v>
      </c>
      <c r="J2073" s="59" t="s">
        <v>22</v>
      </c>
      <c r="L2073" s="5" t="str">
        <f>IF(ISBLANK(A2073),"",TEXT(A2073,"00000"))</f>
        <v>02072</v>
      </c>
      <c r="M2073" s="46" t="str">
        <f>IF(ISBLANK(D2073),"",TEXT(D2073,"dd")&amp;" de "&amp;TEXT(D2073,"mmmm")&amp;" de "&amp;TEXT(YEAR(D2073),"0"))</f>
        <v>29 de mayo de 2019</v>
      </c>
      <c r="N2073" s="318">
        <f t="shared" si="627"/>
        <v>29</v>
      </c>
      <c r="O2073" s="24">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988</v>
      </c>
      <c r="J2074" s="59" t="s">
        <v>22</v>
      </c>
      <c r="L2074" s="5" t="str">
        <f t="shared" ref="L2074:L2080" si="631">IF(ISBLANK(A2074),"",TEXT(A2074,"00000"))</f>
        <v>02073</v>
      </c>
      <c r="M2074" s="46" t="str">
        <f t="shared" ref="M2074:M2080" si="632">IF(ISBLANK(D2074),"",TEXT(D2074,"dd")&amp;" de "&amp;TEXT(D2074,"mmmm")&amp;" de "&amp;TEXT(YEAR(D2074),"0"))</f>
        <v>30 de mayo de 2019</v>
      </c>
      <c r="N2074" s="318">
        <f t="shared" si="627"/>
        <v>30</v>
      </c>
      <c r="O2074" s="24">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989</v>
      </c>
      <c r="J2075" s="59" t="s">
        <v>22</v>
      </c>
      <c r="L2075" s="5" t="str">
        <f t="shared" si="631"/>
        <v>02074</v>
      </c>
      <c r="M2075" s="46" t="str">
        <f t="shared" si="632"/>
        <v>30 de mayo de 2019</v>
      </c>
      <c r="N2075" s="318">
        <f t="shared" si="627"/>
        <v>30</v>
      </c>
      <c r="O2075" s="24">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971</v>
      </c>
      <c r="J2076" s="59" t="s">
        <v>22</v>
      </c>
      <c r="L2076" s="5" t="str">
        <f t="shared" si="631"/>
        <v>02075</v>
      </c>
      <c r="M2076" s="46" t="str">
        <f t="shared" si="632"/>
        <v>30 de mayo de 2019</v>
      </c>
      <c r="N2076" s="318">
        <f t="shared" si="627"/>
        <v>30</v>
      </c>
      <c r="O2076" s="24">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970</v>
      </c>
      <c r="J2077" s="59" t="s">
        <v>22</v>
      </c>
      <c r="L2077" s="5" t="str">
        <f t="shared" si="631"/>
        <v>02076</v>
      </c>
      <c r="M2077" s="46" t="str">
        <f t="shared" si="632"/>
        <v>30 de mayo de 2019</v>
      </c>
      <c r="N2077" s="318">
        <f t="shared" si="627"/>
        <v>30</v>
      </c>
      <c r="O2077" s="24">
        <f t="shared" si="633"/>
        <v>43586</v>
      </c>
      <c r="P2077" s="5" t="str">
        <f t="shared" si="629"/>
        <v>3.000,00</v>
      </c>
      <c r="Q2077" s="4" t="e">
        <f t="shared" ca="1" si="630"/>
        <v>#NAME?</v>
      </c>
    </row>
    <row r="2078" spans="1:17">
      <c r="A2078" s="1">
        <f t="shared" si="634"/>
        <v>2077</v>
      </c>
      <c r="C2078" s="8" t="s">
        <v>17</v>
      </c>
      <c r="D2078" s="2">
        <v>43615</v>
      </c>
      <c r="E2078" s="3">
        <v>8000</v>
      </c>
      <c r="F2078" t="s">
        <v>844</v>
      </c>
      <c r="G2078" t="s">
        <v>845</v>
      </c>
      <c r="H2078" t="s">
        <v>169</v>
      </c>
      <c r="I2078" s="6" t="s">
        <v>971</v>
      </c>
      <c r="J2078" s="59" t="s">
        <v>22</v>
      </c>
      <c r="L2078" s="5" t="str">
        <f t="shared" si="631"/>
        <v>02077</v>
      </c>
      <c r="M2078" s="46" t="str">
        <f t="shared" si="632"/>
        <v>30 de mayo de 2019</v>
      </c>
      <c r="N2078" s="318">
        <f t="shared" si="627"/>
        <v>30</v>
      </c>
      <c r="O2078" s="24">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971</v>
      </c>
      <c r="J2079" s="59" t="s">
        <v>22</v>
      </c>
      <c r="L2079" s="5" t="str">
        <f t="shared" si="631"/>
        <v>02078</v>
      </c>
      <c r="M2079" s="46" t="str">
        <f t="shared" si="632"/>
        <v>31 de mayo de 2019</v>
      </c>
      <c r="N2079" s="318">
        <f t="shared" si="627"/>
        <v>31</v>
      </c>
      <c r="O2079" s="24">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987</v>
      </c>
      <c r="J2080" s="59" t="s">
        <v>22</v>
      </c>
      <c r="L2080" s="5" t="str">
        <f t="shared" si="631"/>
        <v>02079</v>
      </c>
      <c r="M2080" s="46" t="str">
        <f t="shared" si="632"/>
        <v>31 de mayo de 2019</v>
      </c>
      <c r="N2080" s="318">
        <f t="shared" si="627"/>
        <v>31</v>
      </c>
      <c r="O2080" s="24">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985</v>
      </c>
      <c r="J2081" s="59" t="s">
        <v>22</v>
      </c>
      <c r="L2081" s="5" t="str">
        <f>IF(ISBLANK(A2081),"",TEXT(A2081,"00000"))</f>
        <v>02080</v>
      </c>
      <c r="M2081" s="46" t="str">
        <f>IF(ISBLANK(D2081),"",TEXT(D2081,"dd")&amp;" de "&amp;TEXT(D2081,"mmmm")&amp;" de "&amp;TEXT(YEAR(D2081),"0"))</f>
        <v>31 de mayo de 2019</v>
      </c>
      <c r="N2081" s="318">
        <f t="shared" si="627"/>
        <v>31</v>
      </c>
      <c r="O2081" s="24">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942</v>
      </c>
      <c r="H2082" t="s">
        <v>179</v>
      </c>
      <c r="I2082" s="6" t="s">
        <v>990</v>
      </c>
      <c r="J2082" s="59" t="s">
        <v>22</v>
      </c>
      <c r="L2082" s="5" t="str">
        <f t="shared" ref="L2082:L2110" si="636">IF(ISBLANK(A2082),"",TEXT(A2082,"00000"))</f>
        <v>02081</v>
      </c>
      <c r="M2082" s="46" t="str">
        <f t="shared" ref="M2082:M2110" si="637">IF(ISBLANK(D2082),"",TEXT(D2082,"dd")&amp;" de "&amp;TEXT(D2082,"mmmm")&amp;" de "&amp;TEXT(YEAR(D2082),"0"))</f>
        <v>31 de mayo de 2019</v>
      </c>
      <c r="N2082" s="318">
        <f t="shared" si="627"/>
        <v>31</v>
      </c>
      <c r="O2082" s="24">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987</v>
      </c>
      <c r="J2083" s="59" t="s">
        <v>22</v>
      </c>
      <c r="L2083" s="5" t="str">
        <f t="shared" si="636"/>
        <v>02082</v>
      </c>
      <c r="M2083" s="46" t="str">
        <f t="shared" si="637"/>
        <v>02 de junio de 2019</v>
      </c>
      <c r="N2083" s="318">
        <f t="shared" si="627"/>
        <v>2</v>
      </c>
      <c r="O2083" s="24">
        <f t="shared" si="638"/>
        <v>43617</v>
      </c>
      <c r="P2083" s="5" t="str">
        <f t="shared" si="629"/>
        <v>8.000,00</v>
      </c>
      <c r="Q2083" s="4" t="e">
        <f t="shared" ca="1" si="635"/>
        <v>#NAME?</v>
      </c>
    </row>
    <row r="2084" spans="1:17">
      <c r="A2084" s="316">
        <f t="shared" si="634"/>
        <v>2083</v>
      </c>
      <c r="B2084" s="541"/>
      <c r="C2084" s="12" t="s">
        <v>225</v>
      </c>
      <c r="D2084" s="17">
        <v>43618</v>
      </c>
      <c r="E2084" s="13">
        <v>8000</v>
      </c>
      <c r="F2084" s="14" t="s">
        <v>337</v>
      </c>
      <c r="G2084" s="14" t="s">
        <v>338</v>
      </c>
      <c r="H2084" s="14" t="s">
        <v>339</v>
      </c>
      <c r="I2084" s="15" t="s">
        <v>991</v>
      </c>
      <c r="J2084" s="60" t="s">
        <v>426</v>
      </c>
      <c r="K2084" s="16"/>
      <c r="L2084" s="5" t="str">
        <f t="shared" si="636"/>
        <v>02083</v>
      </c>
      <c r="M2084" s="46" t="str">
        <f t="shared" si="637"/>
        <v>02 de junio de 2019</v>
      </c>
      <c r="N2084" s="318">
        <f t="shared" ref="N2084:N2110" si="639">DAY(D2084)</f>
        <v>2</v>
      </c>
      <c r="O2084" s="24">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971</v>
      </c>
      <c r="J2085" s="59" t="s">
        <v>22</v>
      </c>
      <c r="L2085" s="5" t="str">
        <f t="shared" si="636"/>
        <v>02084</v>
      </c>
      <c r="M2085" s="46" t="str">
        <f t="shared" si="637"/>
        <v>02 de junio de 2019</v>
      </c>
      <c r="N2085" s="318">
        <f t="shared" si="639"/>
        <v>2</v>
      </c>
      <c r="O2085" s="24">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987</v>
      </c>
      <c r="J2086" s="59" t="s">
        <v>22</v>
      </c>
      <c r="L2086" s="5" t="str">
        <f t="shared" si="636"/>
        <v>02085</v>
      </c>
      <c r="M2086" s="46" t="str">
        <f t="shared" si="637"/>
        <v>03 de junio de 2019</v>
      </c>
      <c r="N2086" s="318">
        <f t="shared" si="639"/>
        <v>3</v>
      </c>
      <c r="O2086" s="24">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987</v>
      </c>
      <c r="J2087" s="59" t="s">
        <v>22</v>
      </c>
      <c r="L2087" s="5" t="str">
        <f t="shared" si="636"/>
        <v>02086</v>
      </c>
      <c r="M2087" s="46" t="str">
        <f t="shared" si="637"/>
        <v>03 de junio de 2019</v>
      </c>
      <c r="N2087" s="318">
        <f t="shared" si="639"/>
        <v>3</v>
      </c>
      <c r="O2087" s="24">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987</v>
      </c>
      <c r="J2088" s="59" t="s">
        <v>22</v>
      </c>
      <c r="L2088" s="5" t="str">
        <f t="shared" si="636"/>
        <v>02087</v>
      </c>
      <c r="M2088" s="46" t="str">
        <f t="shared" si="637"/>
        <v>03 de junio de 2019</v>
      </c>
      <c r="N2088" s="318">
        <f t="shared" si="639"/>
        <v>3</v>
      </c>
      <c r="O2088" s="24">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970</v>
      </c>
      <c r="J2089" s="59" t="s">
        <v>22</v>
      </c>
      <c r="L2089" s="5" t="str">
        <f t="shared" si="636"/>
        <v>02088</v>
      </c>
      <c r="M2089" s="46" t="str">
        <f t="shared" si="637"/>
        <v>03 de junio de 2019</v>
      </c>
      <c r="N2089" s="318">
        <f t="shared" si="639"/>
        <v>3</v>
      </c>
      <c r="O2089" s="24">
        <f t="shared" si="638"/>
        <v>43617</v>
      </c>
      <c r="P2089" s="5" t="str">
        <f t="shared" si="640"/>
        <v>3.000,00</v>
      </c>
      <c r="Q2089" s="4" t="e">
        <f t="shared" ca="1" si="635"/>
        <v>#NAME?</v>
      </c>
    </row>
    <row r="2090" spans="1:17">
      <c r="A2090" s="1">
        <f t="shared" si="634"/>
        <v>2089</v>
      </c>
      <c r="C2090" s="83" t="s">
        <v>17</v>
      </c>
      <c r="D2090" s="2">
        <v>43619</v>
      </c>
      <c r="E2090" s="3">
        <v>8000</v>
      </c>
      <c r="F2090" t="s">
        <v>259</v>
      </c>
      <c r="G2090" s="18" t="s">
        <v>58</v>
      </c>
      <c r="H2090" t="s">
        <v>261</v>
      </c>
      <c r="I2090" s="6" t="s">
        <v>971</v>
      </c>
      <c r="J2090" s="59" t="s">
        <v>22</v>
      </c>
      <c r="L2090" s="5" t="str">
        <f t="shared" si="636"/>
        <v>02089</v>
      </c>
      <c r="M2090" s="46" t="str">
        <f t="shared" si="637"/>
        <v>03 de junio de 2019</v>
      </c>
      <c r="N2090" s="318">
        <f t="shared" si="639"/>
        <v>3</v>
      </c>
      <c r="O2090" s="24">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987</v>
      </c>
      <c r="J2091" s="59" t="s">
        <v>22</v>
      </c>
      <c r="L2091" s="5" t="str">
        <f t="shared" si="636"/>
        <v>02090</v>
      </c>
      <c r="M2091" s="46" t="str">
        <f t="shared" si="637"/>
        <v>03 de junio de 2019</v>
      </c>
      <c r="N2091" s="318">
        <f t="shared" si="639"/>
        <v>3</v>
      </c>
      <c r="O2091" s="24">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992</v>
      </c>
      <c r="J2092" s="59" t="s">
        <v>22</v>
      </c>
      <c r="L2092" s="5" t="str">
        <f t="shared" si="636"/>
        <v>02091</v>
      </c>
      <c r="M2092" s="46" t="str">
        <f t="shared" si="637"/>
        <v>03 de junio de 2019</v>
      </c>
      <c r="N2092" s="318">
        <f t="shared" si="639"/>
        <v>3</v>
      </c>
      <c r="O2092" s="24">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985</v>
      </c>
      <c r="J2093" s="59" t="s">
        <v>22</v>
      </c>
      <c r="L2093" s="5" t="str">
        <f t="shared" si="636"/>
        <v>02092</v>
      </c>
      <c r="M2093" s="46" t="str">
        <f t="shared" si="637"/>
        <v>04 de junio de 2019</v>
      </c>
      <c r="N2093" s="318">
        <f t="shared" si="639"/>
        <v>4</v>
      </c>
      <c r="O2093" s="24">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987</v>
      </c>
      <c r="J2094" s="59" t="s">
        <v>22</v>
      </c>
      <c r="L2094" s="5" t="str">
        <f t="shared" si="636"/>
        <v>02093</v>
      </c>
      <c r="M2094" s="46" t="str">
        <f t="shared" si="637"/>
        <v>05 de junio de 2019</v>
      </c>
      <c r="N2094" s="318">
        <f t="shared" si="639"/>
        <v>5</v>
      </c>
      <c r="O2094" s="24">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992</v>
      </c>
      <c r="J2095" s="59" t="s">
        <v>22</v>
      </c>
      <c r="L2095" s="5" t="str">
        <f t="shared" si="636"/>
        <v>02094</v>
      </c>
      <c r="M2095" s="46" t="str">
        <f t="shared" si="637"/>
        <v>05 de junio de 2019</v>
      </c>
      <c r="N2095" s="318">
        <f t="shared" si="639"/>
        <v>5</v>
      </c>
      <c r="O2095" s="24">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993</v>
      </c>
      <c r="J2096" s="59" t="s">
        <v>22</v>
      </c>
      <c r="L2096" s="5" t="str">
        <f t="shared" si="636"/>
        <v>02095</v>
      </c>
      <c r="M2096" s="46" t="str">
        <f t="shared" si="637"/>
        <v>05 de junio de 2019</v>
      </c>
      <c r="N2096" s="318">
        <f t="shared" si="639"/>
        <v>5</v>
      </c>
      <c r="O2096" s="24">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987</v>
      </c>
      <c r="J2097" s="59" t="s">
        <v>22</v>
      </c>
      <c r="L2097" s="5" t="str">
        <f t="shared" si="636"/>
        <v>02096</v>
      </c>
      <c r="M2097" s="46" t="str">
        <f t="shared" si="637"/>
        <v>05 de junio de 2019</v>
      </c>
      <c r="N2097" s="318">
        <f t="shared" si="639"/>
        <v>5</v>
      </c>
      <c r="O2097" s="24">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987</v>
      </c>
      <c r="J2098" s="59" t="s">
        <v>22</v>
      </c>
      <c r="L2098" s="5" t="str">
        <f t="shared" si="636"/>
        <v>02097</v>
      </c>
      <c r="M2098" s="46" t="str">
        <f t="shared" si="637"/>
        <v>05 de junio de 2019</v>
      </c>
      <c r="N2098" s="318">
        <f t="shared" si="639"/>
        <v>5</v>
      </c>
      <c r="O2098" s="24">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971</v>
      </c>
      <c r="J2099" s="59" t="s">
        <v>22</v>
      </c>
      <c r="L2099" s="5" t="str">
        <f t="shared" si="636"/>
        <v>02098</v>
      </c>
      <c r="M2099" s="46" t="str">
        <f t="shared" si="637"/>
        <v>29 de mayo de 2019</v>
      </c>
      <c r="N2099" s="318">
        <f t="shared" si="639"/>
        <v>29</v>
      </c>
      <c r="O2099" s="24">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987</v>
      </c>
      <c r="J2100" s="59" t="s">
        <v>22</v>
      </c>
      <c r="L2100" s="5" t="str">
        <f t="shared" si="636"/>
        <v>02099</v>
      </c>
      <c r="M2100" s="46" t="str">
        <f t="shared" si="637"/>
        <v>05 de junio de 2019</v>
      </c>
      <c r="N2100" s="318">
        <f t="shared" si="639"/>
        <v>5</v>
      </c>
      <c r="O2100" s="24">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987</v>
      </c>
      <c r="J2101" s="59" t="s">
        <v>22</v>
      </c>
      <c r="L2101" s="5" t="str">
        <f t="shared" si="636"/>
        <v>02100</v>
      </c>
      <c r="M2101" s="46" t="str">
        <f t="shared" si="637"/>
        <v>05 de junio de 2019</v>
      </c>
      <c r="N2101" s="318">
        <f t="shared" si="639"/>
        <v>5</v>
      </c>
      <c r="O2101" s="24">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987</v>
      </c>
      <c r="J2102" s="59" t="s">
        <v>22</v>
      </c>
      <c r="L2102" s="5" t="str">
        <f t="shared" si="636"/>
        <v>02101</v>
      </c>
      <c r="M2102" s="46" t="str">
        <f t="shared" si="637"/>
        <v>06 de junio de 2019</v>
      </c>
      <c r="N2102" s="318">
        <f t="shared" si="639"/>
        <v>6</v>
      </c>
      <c r="O2102" s="24">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994</v>
      </c>
      <c r="J2103" s="59" t="s">
        <v>22</v>
      </c>
      <c r="L2103" s="5" t="str">
        <f t="shared" si="636"/>
        <v>02102</v>
      </c>
      <c r="M2103" s="46" t="str">
        <f t="shared" si="637"/>
        <v>06 de junio de 2019</v>
      </c>
      <c r="N2103" s="318">
        <f t="shared" si="639"/>
        <v>6</v>
      </c>
      <c r="O2103" s="24">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995</v>
      </c>
      <c r="J2104" s="59" t="s">
        <v>22</v>
      </c>
      <c r="L2104" s="5" t="str">
        <f t="shared" si="636"/>
        <v>02103</v>
      </c>
      <c r="M2104" s="46" t="str">
        <f t="shared" si="637"/>
        <v>07 de junio de 2019</v>
      </c>
      <c r="N2104" s="318">
        <f t="shared" si="639"/>
        <v>7</v>
      </c>
      <c r="O2104" s="24">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996</v>
      </c>
      <c r="J2105" s="59" t="s">
        <v>22</v>
      </c>
      <c r="L2105" s="5" t="str">
        <f t="shared" si="636"/>
        <v>02104</v>
      </c>
      <c r="M2105" s="46" t="str">
        <f t="shared" si="637"/>
        <v>07 de junio de 2019</v>
      </c>
      <c r="N2105" s="318">
        <f t="shared" si="639"/>
        <v>7</v>
      </c>
      <c r="O2105" s="24">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997</v>
      </c>
      <c r="J2106" s="59" t="s">
        <v>22</v>
      </c>
      <c r="L2106" s="5" t="str">
        <f t="shared" si="636"/>
        <v>02105</v>
      </c>
      <c r="M2106" s="46" t="str">
        <f t="shared" si="637"/>
        <v>07 de junio de 2019</v>
      </c>
      <c r="N2106" s="318">
        <f t="shared" si="639"/>
        <v>7</v>
      </c>
      <c r="O2106" s="24">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998</v>
      </c>
      <c r="J2107" s="59" t="s">
        <v>22</v>
      </c>
      <c r="L2107" s="5" t="str">
        <f t="shared" si="636"/>
        <v>02106</v>
      </c>
      <c r="M2107" s="46" t="str">
        <f t="shared" si="637"/>
        <v>07 de junio de 2019</v>
      </c>
      <c r="N2107" s="318">
        <f t="shared" si="639"/>
        <v>7</v>
      </c>
      <c r="O2107" s="24">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987</v>
      </c>
      <c r="J2108" s="59" t="s">
        <v>22</v>
      </c>
      <c r="L2108" s="5" t="str">
        <f t="shared" si="636"/>
        <v>02107</v>
      </c>
      <c r="M2108" s="46" t="str">
        <f t="shared" si="637"/>
        <v>07 de junio de 2019</v>
      </c>
      <c r="N2108" s="318">
        <f t="shared" si="639"/>
        <v>7</v>
      </c>
      <c r="O2108" s="24">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971</v>
      </c>
      <c r="J2109" s="59" t="s">
        <v>22</v>
      </c>
      <c r="L2109" s="5" t="str">
        <f t="shared" si="636"/>
        <v>02108</v>
      </c>
      <c r="M2109" s="46" t="str">
        <f t="shared" si="637"/>
        <v>07 de junio de 2019</v>
      </c>
      <c r="N2109" s="318">
        <f t="shared" si="639"/>
        <v>7</v>
      </c>
      <c r="O2109" s="24">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970</v>
      </c>
      <c r="J2110" s="59" t="s">
        <v>22</v>
      </c>
      <c r="L2110" s="5" t="str">
        <f t="shared" si="636"/>
        <v>02109</v>
      </c>
      <c r="M2110" s="46" t="str">
        <f t="shared" si="637"/>
        <v>10 de junio de 2019</v>
      </c>
      <c r="N2110" s="318">
        <f t="shared" si="639"/>
        <v>10</v>
      </c>
      <c r="O2110" s="24">
        <f t="shared" si="638"/>
        <v>43617</v>
      </c>
      <c r="P2110" s="5" t="str">
        <f t="shared" si="640"/>
        <v>3.000,00</v>
      </c>
      <c r="Q2110" s="4" t="e">
        <f t="shared" ca="1" si="635"/>
        <v>#NAME?</v>
      </c>
    </row>
    <row r="2111" spans="1:17">
      <c r="A2111" s="1">
        <f t="shared" si="642"/>
        <v>2110</v>
      </c>
      <c r="C2111" s="8" t="s">
        <v>17</v>
      </c>
      <c r="D2111" s="2">
        <v>43626</v>
      </c>
      <c r="E2111" s="3">
        <v>16000</v>
      </c>
      <c r="F2111" t="s">
        <v>999</v>
      </c>
      <c r="G2111" t="s">
        <v>1000</v>
      </c>
      <c r="H2111" t="s">
        <v>1001</v>
      </c>
      <c r="I2111" s="6" t="s">
        <v>1002</v>
      </c>
      <c r="J2111" s="59" t="s">
        <v>22</v>
      </c>
      <c r="L2111" s="5" t="str">
        <f t="shared" ref="L2111:L2128" si="643">IF(ISBLANK(A2111),"",TEXT(A2111,"00000"))</f>
        <v>02110</v>
      </c>
      <c r="M2111" s="46" t="str">
        <f t="shared" ref="M2111:M2128" si="644">IF(ISBLANK(D2111),"",TEXT(D2111,"dd")&amp;" de "&amp;TEXT(D2111,"mmmm")&amp;" de "&amp;TEXT(YEAR(D2111),"0"))</f>
        <v>10 de junio de 2019</v>
      </c>
      <c r="N2111" s="318">
        <f t="shared" ref="N2111:N2128" si="645">DAY(D2111)</f>
        <v>10</v>
      </c>
      <c r="O2111" s="24">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59" t="s">
        <v>972</v>
      </c>
      <c r="J2112" s="59" t="s">
        <v>22</v>
      </c>
      <c r="L2112" s="5" t="str">
        <f t="shared" si="643"/>
        <v>02111</v>
      </c>
      <c r="M2112" s="46" t="str">
        <f t="shared" si="644"/>
        <v>10 de junio de 2019</v>
      </c>
      <c r="N2112" s="318">
        <f t="shared" si="645"/>
        <v>10</v>
      </c>
      <c r="O2112" s="24">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987</v>
      </c>
      <c r="J2113" s="59" t="s">
        <v>22</v>
      </c>
      <c r="L2113" s="5" t="str">
        <f t="shared" si="643"/>
        <v>02112</v>
      </c>
      <c r="M2113" s="46" t="str">
        <f t="shared" si="644"/>
        <v>12 de junio de 2019</v>
      </c>
      <c r="N2113" s="318">
        <f t="shared" si="645"/>
        <v>12</v>
      </c>
      <c r="O2113" s="24">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987</v>
      </c>
      <c r="J2114" s="59" t="s">
        <v>22</v>
      </c>
      <c r="L2114" s="5" t="str">
        <f t="shared" si="643"/>
        <v>02113</v>
      </c>
      <c r="M2114" s="46" t="str">
        <f t="shared" si="644"/>
        <v>14 de junio de 2019</v>
      </c>
      <c r="N2114" s="318">
        <f t="shared" si="645"/>
        <v>14</v>
      </c>
      <c r="O2114" s="24">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1003</v>
      </c>
      <c r="J2115" s="59" t="s">
        <v>22</v>
      </c>
      <c r="L2115" s="5" t="str">
        <f t="shared" si="643"/>
        <v>02114</v>
      </c>
      <c r="M2115" s="46" t="str">
        <f t="shared" si="644"/>
        <v>15 de junio de 2019</v>
      </c>
      <c r="N2115" s="318">
        <f t="shared" si="645"/>
        <v>15</v>
      </c>
      <c r="O2115" s="24">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987</v>
      </c>
      <c r="J2116" s="59" t="s">
        <v>22</v>
      </c>
      <c r="L2116" s="5" t="str">
        <f t="shared" si="643"/>
        <v>02115</v>
      </c>
      <c r="M2116" s="46" t="str">
        <f t="shared" si="644"/>
        <v>15 de junio de 2019</v>
      </c>
      <c r="N2116" s="318">
        <f t="shared" si="645"/>
        <v>15</v>
      </c>
      <c r="O2116" s="24">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987</v>
      </c>
      <c r="J2117" s="59" t="s">
        <v>22</v>
      </c>
      <c r="L2117" s="5" t="str">
        <f t="shared" si="643"/>
        <v>02116</v>
      </c>
      <c r="M2117" s="46" t="str">
        <f t="shared" si="644"/>
        <v>15 de junio de 2019</v>
      </c>
      <c r="N2117" s="318">
        <f t="shared" si="645"/>
        <v>15</v>
      </c>
      <c r="O2117" s="24">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985</v>
      </c>
      <c r="J2118" s="59" t="s">
        <v>22</v>
      </c>
      <c r="L2118" s="5" t="str">
        <f t="shared" si="643"/>
        <v>02117</v>
      </c>
      <c r="M2118" s="46" t="str">
        <f t="shared" si="644"/>
        <v>15 de junio de 2019</v>
      </c>
      <c r="N2118" s="318">
        <f t="shared" si="645"/>
        <v>15</v>
      </c>
      <c r="O2118" s="24">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987</v>
      </c>
      <c r="J2119" s="59" t="s">
        <v>22</v>
      </c>
      <c r="L2119" s="5" t="str">
        <f t="shared" si="643"/>
        <v>02118</v>
      </c>
      <c r="M2119" s="46" t="str">
        <f t="shared" si="644"/>
        <v>17 de junio de 2019</v>
      </c>
      <c r="N2119" s="318">
        <f t="shared" si="645"/>
        <v>17</v>
      </c>
      <c r="O2119" s="24">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987</v>
      </c>
      <c r="J2120" s="59" t="s">
        <v>22</v>
      </c>
      <c r="L2120" s="5" t="str">
        <f t="shared" si="643"/>
        <v>02119</v>
      </c>
      <c r="M2120" s="46" t="str">
        <f t="shared" si="644"/>
        <v>17 de junio de 2019</v>
      </c>
      <c r="N2120" s="318">
        <f t="shared" si="645"/>
        <v>17</v>
      </c>
      <c r="O2120" s="24">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987</v>
      </c>
      <c r="J2121" s="59" t="s">
        <v>22</v>
      </c>
      <c r="L2121" s="5" t="str">
        <f t="shared" si="643"/>
        <v>02120</v>
      </c>
      <c r="M2121" s="46" t="str">
        <f t="shared" si="644"/>
        <v>18 de junio de 2019</v>
      </c>
      <c r="N2121" s="318">
        <f t="shared" si="645"/>
        <v>18</v>
      </c>
      <c r="O2121" s="24">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987</v>
      </c>
      <c r="J2122" s="59" t="s">
        <v>22</v>
      </c>
      <c r="L2122" s="5" t="str">
        <f t="shared" si="643"/>
        <v>02121</v>
      </c>
      <c r="M2122" s="46" t="str">
        <f t="shared" si="644"/>
        <v>18 de junio de 2019</v>
      </c>
      <c r="N2122" s="318">
        <f t="shared" si="645"/>
        <v>18</v>
      </c>
      <c r="O2122" s="24">
        <f t="shared" si="646"/>
        <v>43617</v>
      </c>
      <c r="P2122" s="5" t="str">
        <f t="shared" si="647"/>
        <v>8.000,00</v>
      </c>
      <c r="Q2122" s="4" t="e">
        <f t="shared" ca="1" si="648"/>
        <v>#NAME?</v>
      </c>
    </row>
    <row r="2123" spans="1:17">
      <c r="A2123" s="1">
        <f t="shared" si="642"/>
        <v>2122</v>
      </c>
      <c r="C2123" s="8" t="s">
        <v>17</v>
      </c>
      <c r="D2123" s="2">
        <v>43636</v>
      </c>
      <c r="E2123" s="3">
        <v>8000</v>
      </c>
      <c r="F2123" t="s">
        <v>948</v>
      </c>
      <c r="G2123" t="s">
        <v>949</v>
      </c>
      <c r="H2123" t="s">
        <v>950</v>
      </c>
      <c r="I2123" s="6" t="s">
        <v>987</v>
      </c>
      <c r="J2123" s="59" t="s">
        <v>22</v>
      </c>
      <c r="L2123" s="5" t="str">
        <f t="shared" si="643"/>
        <v>02122</v>
      </c>
      <c r="M2123" s="46" t="str">
        <f t="shared" si="644"/>
        <v>20 de junio de 2019</v>
      </c>
      <c r="N2123" s="318">
        <f t="shared" si="645"/>
        <v>20</v>
      </c>
      <c r="O2123" s="24">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987</v>
      </c>
      <c r="J2124" s="59" t="s">
        <v>22</v>
      </c>
      <c r="L2124" s="5" t="str">
        <f t="shared" si="643"/>
        <v>02123</v>
      </c>
      <c r="M2124" s="46" t="str">
        <f t="shared" si="644"/>
        <v>20 de junio de 2019</v>
      </c>
      <c r="N2124" s="318">
        <f t="shared" si="645"/>
        <v>20</v>
      </c>
      <c r="O2124" s="24">
        <f t="shared" si="646"/>
        <v>43617</v>
      </c>
      <c r="P2124" s="5" t="str">
        <f t="shared" si="647"/>
        <v>8.000,00</v>
      </c>
      <c r="Q2124" s="4" t="e">
        <f t="shared" ca="1" si="648"/>
        <v>#NAME?</v>
      </c>
    </row>
    <row r="2125" spans="1:17">
      <c r="A2125" s="1">
        <f t="shared" si="642"/>
        <v>2124</v>
      </c>
      <c r="C2125" s="83" t="s">
        <v>17</v>
      </c>
      <c r="D2125" s="2">
        <v>43637</v>
      </c>
      <c r="E2125" s="3">
        <v>6000</v>
      </c>
      <c r="F2125" t="s">
        <v>40</v>
      </c>
      <c r="G2125" s="18" t="s">
        <v>58</v>
      </c>
      <c r="H2125" t="s">
        <v>42</v>
      </c>
      <c r="I2125" s="6" t="s">
        <v>1004</v>
      </c>
      <c r="J2125" s="59" t="s">
        <v>22</v>
      </c>
      <c r="L2125" s="5" t="str">
        <f t="shared" si="643"/>
        <v>02124</v>
      </c>
      <c r="M2125" s="46" t="str">
        <f t="shared" si="644"/>
        <v>21 de junio de 2019</v>
      </c>
      <c r="N2125" s="318">
        <f t="shared" si="645"/>
        <v>21</v>
      </c>
      <c r="O2125" s="24">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987</v>
      </c>
      <c r="J2126" s="59" t="s">
        <v>22</v>
      </c>
      <c r="L2126" s="5" t="str">
        <f t="shared" si="643"/>
        <v>02125</v>
      </c>
      <c r="M2126" s="46" t="str">
        <f t="shared" si="644"/>
        <v>22 de junio de 2019</v>
      </c>
      <c r="N2126" s="318">
        <f t="shared" si="645"/>
        <v>22</v>
      </c>
      <c r="O2126" s="24">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987</v>
      </c>
      <c r="J2127" s="59" t="s">
        <v>22</v>
      </c>
      <c r="L2127" s="5" t="str">
        <f t="shared" si="643"/>
        <v>02126</v>
      </c>
      <c r="M2127" s="46" t="str">
        <f t="shared" si="644"/>
        <v>22 de junio de 2019</v>
      </c>
      <c r="N2127" s="318">
        <f t="shared" si="645"/>
        <v>22</v>
      </c>
      <c r="O2127" s="24">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987</v>
      </c>
      <c r="J2128" s="59" t="s">
        <v>22</v>
      </c>
      <c r="L2128" s="5" t="str">
        <f t="shared" si="643"/>
        <v>02127</v>
      </c>
      <c r="M2128" s="46" t="str">
        <f t="shared" si="644"/>
        <v>22 de junio de 2019</v>
      </c>
      <c r="N2128" s="318">
        <f t="shared" si="645"/>
        <v>22</v>
      </c>
      <c r="O2128" s="24">
        <f t="shared" si="646"/>
        <v>43617</v>
      </c>
      <c r="P2128" s="5" t="str">
        <f t="shared" si="647"/>
        <v>8.000,00</v>
      </c>
      <c r="Q2128" s="4" t="e">
        <f t="shared" ca="1" si="648"/>
        <v>#NAME?</v>
      </c>
    </row>
    <row r="2129" spans="1:17">
      <c r="A2129" s="1">
        <f t="shared" si="642"/>
        <v>2128</v>
      </c>
      <c r="C2129" s="8" t="s">
        <v>17</v>
      </c>
      <c r="D2129" s="2">
        <v>43638</v>
      </c>
      <c r="E2129" s="3">
        <v>8000</v>
      </c>
      <c r="F2129" t="s">
        <v>1005</v>
      </c>
      <c r="G2129" t="s">
        <v>1006</v>
      </c>
      <c r="H2129" t="s">
        <v>539</v>
      </c>
      <c r="I2129" s="6" t="s">
        <v>987</v>
      </c>
      <c r="J2129" s="59" t="s">
        <v>22</v>
      </c>
      <c r="L2129" s="5" t="str">
        <f t="shared" ref="L2129:L2142" si="649">IF(ISBLANK(A2129),"",TEXT(A2129,"00000"))</f>
        <v>02128</v>
      </c>
      <c r="M2129" s="46" t="str">
        <f t="shared" ref="M2129:M2142" si="650">IF(ISBLANK(D2129),"",TEXT(D2129,"dd")&amp;" de "&amp;TEXT(D2129,"mmmm")&amp;" de "&amp;TEXT(YEAR(D2129),"0"))</f>
        <v>22 de junio de 2019</v>
      </c>
      <c r="N2129" s="318">
        <f t="shared" ref="N2129:N2144" si="651">DAY(D2129)</f>
        <v>22</v>
      </c>
      <c r="O2129" s="24">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1007</v>
      </c>
      <c r="J2130" s="59" t="s">
        <v>22</v>
      </c>
      <c r="L2130" s="5" t="str">
        <f t="shared" si="649"/>
        <v>02129</v>
      </c>
      <c r="M2130" s="46" t="str">
        <f t="shared" si="650"/>
        <v>23 de junio de 2019</v>
      </c>
      <c r="N2130" s="318">
        <f t="shared" si="651"/>
        <v>23</v>
      </c>
      <c r="O2130" s="24">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1008</v>
      </c>
      <c r="J2131" s="59" t="s">
        <v>22</v>
      </c>
      <c r="L2131" s="5" t="str">
        <f t="shared" si="649"/>
        <v>02130</v>
      </c>
      <c r="M2131" s="46" t="str">
        <f t="shared" si="650"/>
        <v>26 de junio de 2019</v>
      </c>
      <c r="N2131" s="318">
        <f t="shared" si="651"/>
        <v>26</v>
      </c>
      <c r="O2131" s="24">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987</v>
      </c>
      <c r="J2132" s="59" t="s">
        <v>22</v>
      </c>
      <c r="L2132" s="5" t="str">
        <f t="shared" si="649"/>
        <v>02131</v>
      </c>
      <c r="M2132" s="46" t="str">
        <f t="shared" si="650"/>
        <v>26 de junio de 2019</v>
      </c>
      <c r="N2132" s="318">
        <f t="shared" si="651"/>
        <v>26</v>
      </c>
      <c r="O2132" s="24">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1004</v>
      </c>
      <c r="J2133" s="59" t="s">
        <v>22</v>
      </c>
      <c r="L2133" s="5" t="str">
        <f t="shared" si="649"/>
        <v>02132</v>
      </c>
      <c r="M2133" s="46" t="str">
        <f t="shared" si="650"/>
        <v>26 de junio de 2019</v>
      </c>
      <c r="N2133" s="318">
        <f t="shared" si="651"/>
        <v>26</v>
      </c>
      <c r="O2133" s="24">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987</v>
      </c>
      <c r="J2134" s="59" t="s">
        <v>22</v>
      </c>
      <c r="L2134" s="5" t="str">
        <f t="shared" si="649"/>
        <v>02133</v>
      </c>
      <c r="M2134" s="46" t="str">
        <f t="shared" si="650"/>
        <v>26 de junio de 2019</v>
      </c>
      <c r="N2134" s="318">
        <f t="shared" si="651"/>
        <v>26</v>
      </c>
      <c r="O2134" s="24">
        <f t="shared" si="652"/>
        <v>43617</v>
      </c>
      <c r="P2134" s="5" t="str">
        <f t="shared" si="653"/>
        <v>8.000,00</v>
      </c>
      <c r="Q2134" s="4" t="e">
        <f t="shared" ca="1" si="654"/>
        <v>#NAME?</v>
      </c>
    </row>
    <row r="2135" spans="1:17">
      <c r="A2135" s="1">
        <f t="shared" si="642"/>
        <v>2134</v>
      </c>
      <c r="C2135" s="83" t="s">
        <v>17</v>
      </c>
      <c r="D2135" s="2">
        <v>43642</v>
      </c>
      <c r="E2135" s="3">
        <v>11600</v>
      </c>
      <c r="F2135" s="22" t="s">
        <v>422</v>
      </c>
      <c r="G2135" s="18" t="s">
        <v>58</v>
      </c>
      <c r="H2135" t="s">
        <v>423</v>
      </c>
      <c r="I2135" s="6" t="s">
        <v>987</v>
      </c>
      <c r="J2135" s="59" t="s">
        <v>22</v>
      </c>
      <c r="L2135" s="5" t="str">
        <f t="shared" si="649"/>
        <v>02134</v>
      </c>
      <c r="M2135" s="46" t="str">
        <f t="shared" si="650"/>
        <v>26 de junio de 2019</v>
      </c>
      <c r="N2135" s="318">
        <f t="shared" si="651"/>
        <v>26</v>
      </c>
      <c r="O2135" s="24">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987</v>
      </c>
      <c r="J2136" s="59" t="s">
        <v>22</v>
      </c>
      <c r="L2136" s="5" t="str">
        <f t="shared" si="649"/>
        <v>02135</v>
      </c>
      <c r="M2136" s="46" t="str">
        <f t="shared" si="650"/>
        <v>26 de junio de 2019</v>
      </c>
      <c r="N2136" s="318">
        <f t="shared" si="651"/>
        <v>26</v>
      </c>
      <c r="O2136" s="24">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987</v>
      </c>
      <c r="J2137" s="59" t="s">
        <v>22</v>
      </c>
      <c r="L2137" s="5" t="str">
        <f t="shared" si="649"/>
        <v>02136</v>
      </c>
      <c r="M2137" s="46" t="str">
        <f t="shared" si="650"/>
        <v>26 de junio de 2019</v>
      </c>
      <c r="N2137" s="318">
        <f t="shared" si="651"/>
        <v>26</v>
      </c>
      <c r="O2137" s="24">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987</v>
      </c>
      <c r="J2138" s="59" t="s">
        <v>22</v>
      </c>
      <c r="L2138" s="5" t="str">
        <f t="shared" si="649"/>
        <v>02137</v>
      </c>
      <c r="M2138" s="46" t="str">
        <f t="shared" si="650"/>
        <v>27 de junio de 2019</v>
      </c>
      <c r="N2138" s="318">
        <f t="shared" si="651"/>
        <v>27</v>
      </c>
      <c r="O2138" s="24">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987</v>
      </c>
      <c r="J2139" s="59" t="s">
        <v>22</v>
      </c>
      <c r="L2139" s="5" t="str">
        <f t="shared" si="649"/>
        <v>02138</v>
      </c>
      <c r="M2139" s="46" t="str">
        <f t="shared" si="650"/>
        <v>27 de junio de 2019</v>
      </c>
      <c r="N2139" s="318">
        <f t="shared" si="651"/>
        <v>27</v>
      </c>
      <c r="O2139" s="24">
        <f t="shared" si="652"/>
        <v>43617</v>
      </c>
      <c r="P2139" s="5" t="str">
        <f t="shared" si="653"/>
        <v>8.000,00</v>
      </c>
      <c r="Q2139" s="4" t="e">
        <f t="shared" ca="1" si="654"/>
        <v>#NAME?</v>
      </c>
    </row>
    <row r="2140" spans="1:17">
      <c r="A2140" s="1">
        <f t="shared" si="642"/>
        <v>2139</v>
      </c>
      <c r="C2140" s="8" t="s">
        <v>17</v>
      </c>
      <c r="D2140" s="2">
        <v>43643</v>
      </c>
      <c r="E2140" s="3">
        <v>8000</v>
      </c>
      <c r="F2140" t="s">
        <v>936</v>
      </c>
      <c r="G2140" t="s">
        <v>937</v>
      </c>
      <c r="H2140" t="s">
        <v>150</v>
      </c>
      <c r="I2140" s="6" t="s">
        <v>987</v>
      </c>
      <c r="J2140" s="59" t="s">
        <v>22</v>
      </c>
      <c r="L2140" s="5" t="str">
        <f t="shared" si="649"/>
        <v>02139</v>
      </c>
      <c r="M2140" s="46" t="str">
        <f t="shared" si="650"/>
        <v>27 de junio de 2019</v>
      </c>
      <c r="N2140" s="318">
        <f t="shared" si="651"/>
        <v>27</v>
      </c>
      <c r="O2140" s="24">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1" t="s">
        <v>240</v>
      </c>
      <c r="H2141" t="s">
        <v>241</v>
      </c>
      <c r="I2141" s="6" t="s">
        <v>987</v>
      </c>
      <c r="J2141" s="59" t="s">
        <v>22</v>
      </c>
      <c r="L2141" s="5" t="str">
        <f t="shared" si="649"/>
        <v>02140</v>
      </c>
      <c r="M2141" s="46" t="str">
        <f t="shared" si="650"/>
        <v>27 de junio de 2019</v>
      </c>
      <c r="N2141" s="318">
        <f t="shared" si="651"/>
        <v>27</v>
      </c>
      <c r="O2141" s="24">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1004</v>
      </c>
      <c r="J2142" s="59" t="s">
        <v>22</v>
      </c>
      <c r="L2142" s="5" t="str">
        <f t="shared" si="649"/>
        <v>02141</v>
      </c>
      <c r="M2142" s="46" t="str">
        <f t="shared" si="650"/>
        <v>27 de junio de 2019</v>
      </c>
      <c r="N2142" s="318">
        <f t="shared" si="651"/>
        <v>27</v>
      </c>
      <c r="O2142" s="24">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987</v>
      </c>
      <c r="J2143" s="59" t="s">
        <v>22</v>
      </c>
      <c r="L2143" s="5" t="str">
        <f>IF(ISBLANK(A2143),"",TEXT(A2143,"00000"))</f>
        <v>02142</v>
      </c>
      <c r="M2143" s="46" t="str">
        <f>IF(ISBLANK(D2143),"",TEXT(D2143,"dd")&amp;" de "&amp;TEXT(D2143,"mmmm")&amp;" de "&amp;TEXT(YEAR(D2143),"0"))</f>
        <v>27 de junio de 2019</v>
      </c>
      <c r="N2143" s="318">
        <f t="shared" si="651"/>
        <v>27</v>
      </c>
      <c r="O2143" s="24">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987</v>
      </c>
      <c r="J2144" s="59" t="s">
        <v>22</v>
      </c>
      <c r="L2144" s="5" t="str">
        <f t="shared" ref="L2144" si="655">IF(ISBLANK(A2144),"",TEXT(A2144,"00000"))</f>
        <v>02143</v>
      </c>
      <c r="M2144" s="46" t="str">
        <f t="shared" ref="M2144" si="656">IF(ISBLANK(D2144),"",TEXT(D2144,"dd")&amp;" de "&amp;TEXT(D2144,"mmmm")&amp;" de "&amp;TEXT(YEAR(D2144),"0"))</f>
        <v>27 de junio de 2019</v>
      </c>
      <c r="N2144" s="318">
        <f t="shared" si="651"/>
        <v>27</v>
      </c>
      <c r="O2144" s="24">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1008</v>
      </c>
      <c r="J2145" s="59" t="s">
        <v>22</v>
      </c>
      <c r="L2145" s="5" t="str">
        <f t="shared" ref="L2145:L2166" si="658">IF(ISBLANK(A2145),"",TEXT(A2145,"00000"))</f>
        <v>02144</v>
      </c>
      <c r="M2145" s="46" t="str">
        <f t="shared" ref="M2145:M2166" si="659">IF(ISBLANK(D2145),"",TEXT(D2145,"dd")&amp;" de "&amp;TEXT(D2145,"mmmm")&amp;" de "&amp;TEXT(YEAR(D2145),"0"))</f>
        <v>27 de junio de 2019</v>
      </c>
      <c r="N2145" s="318">
        <f t="shared" ref="N2145:N2166" si="660">DAY(D2145)</f>
        <v>27</v>
      </c>
      <c r="O2145" s="24">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1009</v>
      </c>
      <c r="J2146" s="59" t="s">
        <v>22</v>
      </c>
      <c r="L2146" s="5" t="str">
        <f t="shared" si="658"/>
        <v>02145</v>
      </c>
      <c r="M2146" s="46" t="str">
        <f t="shared" si="659"/>
        <v>27 de junio de 2019</v>
      </c>
      <c r="N2146" s="318">
        <f t="shared" si="660"/>
        <v>27</v>
      </c>
      <c r="O2146" s="24">
        <f t="shared" si="661"/>
        <v>43617</v>
      </c>
      <c r="P2146" s="5" t="str">
        <f t="shared" si="662"/>
        <v>15.000,00</v>
      </c>
      <c r="Q2146" s="4" t="e">
        <f t="shared" ca="1" si="663"/>
        <v>#NAME?</v>
      </c>
    </row>
    <row r="2147" spans="1:17">
      <c r="A2147" s="1">
        <f t="shared" si="642"/>
        <v>2146</v>
      </c>
      <c r="C2147" s="8" t="s">
        <v>17</v>
      </c>
      <c r="D2147" s="2">
        <v>43643</v>
      </c>
      <c r="E2147" s="3">
        <v>16000</v>
      </c>
      <c r="F2147" t="s">
        <v>90</v>
      </c>
      <c r="G2147" s="447" t="s">
        <v>979</v>
      </c>
      <c r="H2147" t="s">
        <v>92</v>
      </c>
      <c r="I2147" s="6" t="s">
        <v>1010</v>
      </c>
      <c r="J2147" s="59" t="s">
        <v>22</v>
      </c>
      <c r="L2147" s="5" t="str">
        <f t="shared" si="658"/>
        <v>02146</v>
      </c>
      <c r="M2147" s="46" t="str">
        <f t="shared" si="659"/>
        <v>27 de junio de 2019</v>
      </c>
      <c r="N2147" s="318">
        <f t="shared" si="660"/>
        <v>27</v>
      </c>
      <c r="O2147" s="24">
        <f t="shared" si="661"/>
        <v>43617</v>
      </c>
      <c r="P2147" s="5" t="str">
        <f t="shared" si="662"/>
        <v>16.000,00</v>
      </c>
      <c r="Q2147" s="4" t="e">
        <f t="shared" ca="1" si="663"/>
        <v>#NAME?</v>
      </c>
    </row>
    <row r="2148" spans="1:17">
      <c r="A2148" s="1">
        <f t="shared" si="642"/>
        <v>2147</v>
      </c>
      <c r="C2148" s="83" t="s">
        <v>17</v>
      </c>
      <c r="D2148" s="2">
        <v>43643</v>
      </c>
      <c r="E2148" s="3">
        <v>8000</v>
      </c>
      <c r="F2148" t="s">
        <v>259</v>
      </c>
      <c r="G2148" s="18" t="s">
        <v>58</v>
      </c>
      <c r="H2148" t="s">
        <v>261</v>
      </c>
      <c r="I2148" s="6" t="s">
        <v>987</v>
      </c>
      <c r="J2148" s="59" t="s">
        <v>22</v>
      </c>
      <c r="L2148" s="5" t="str">
        <f t="shared" si="658"/>
        <v>02147</v>
      </c>
      <c r="M2148" s="46" t="str">
        <f t="shared" si="659"/>
        <v>27 de junio de 2019</v>
      </c>
      <c r="N2148" s="318">
        <f t="shared" si="660"/>
        <v>27</v>
      </c>
      <c r="O2148" s="24">
        <f t="shared" si="661"/>
        <v>43617</v>
      </c>
      <c r="P2148" s="5" t="str">
        <f t="shared" si="662"/>
        <v>8.000,00</v>
      </c>
      <c r="Q2148" s="4" t="e">
        <f t="shared" ca="1" si="663"/>
        <v>#NAME?</v>
      </c>
    </row>
    <row r="2149" spans="1:17">
      <c r="A2149" s="1">
        <f t="shared" si="642"/>
        <v>2148</v>
      </c>
      <c r="C2149" s="8" t="s">
        <v>17</v>
      </c>
      <c r="D2149" s="2">
        <v>43644</v>
      </c>
      <c r="E2149" s="3">
        <v>23000</v>
      </c>
      <c r="F2149" t="s">
        <v>786</v>
      </c>
      <c r="G2149" t="s">
        <v>787</v>
      </c>
      <c r="H2149" t="s">
        <v>719</v>
      </c>
      <c r="I2149" s="6" t="s">
        <v>1011</v>
      </c>
      <c r="J2149" s="59" t="s">
        <v>22</v>
      </c>
      <c r="L2149" s="5" t="str">
        <f t="shared" si="658"/>
        <v>02148</v>
      </c>
      <c r="M2149" s="46" t="str">
        <f t="shared" si="659"/>
        <v>28 de junio de 2019</v>
      </c>
      <c r="N2149" s="318">
        <f t="shared" si="660"/>
        <v>28</v>
      </c>
      <c r="O2149" s="24">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1008</v>
      </c>
      <c r="J2150" s="59" t="s">
        <v>22</v>
      </c>
      <c r="L2150" s="5" t="str">
        <f t="shared" si="658"/>
        <v>02149</v>
      </c>
      <c r="M2150" s="46" t="str">
        <f t="shared" si="659"/>
        <v>28 de junio de 2019</v>
      </c>
      <c r="N2150" s="318">
        <f t="shared" si="660"/>
        <v>28</v>
      </c>
      <c r="O2150" s="24">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987</v>
      </c>
      <c r="J2151" s="59" t="s">
        <v>22</v>
      </c>
      <c r="L2151" s="5" t="str">
        <f t="shared" si="658"/>
        <v>02150</v>
      </c>
      <c r="M2151" s="46" t="str">
        <f t="shared" si="659"/>
        <v>28 de junio de 2019</v>
      </c>
      <c r="N2151" s="318">
        <f t="shared" si="660"/>
        <v>28</v>
      </c>
      <c r="O2151" s="24">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985</v>
      </c>
      <c r="J2152" s="59" t="s">
        <v>22</v>
      </c>
      <c r="L2152" s="5" t="str">
        <f t="shared" si="658"/>
        <v>02151</v>
      </c>
      <c r="M2152" s="46" t="str">
        <f t="shared" si="659"/>
        <v>28 de junio de 2019</v>
      </c>
      <c r="N2152" s="318">
        <f t="shared" si="660"/>
        <v>28</v>
      </c>
      <c r="O2152" s="24">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1012</v>
      </c>
      <c r="J2153" s="59" t="s">
        <v>22</v>
      </c>
      <c r="L2153" s="5" t="str">
        <f t="shared" si="658"/>
        <v>02152</v>
      </c>
      <c r="M2153" s="46" t="str">
        <f t="shared" si="659"/>
        <v>28 de junio de 2019</v>
      </c>
      <c r="N2153" s="318">
        <f t="shared" si="660"/>
        <v>28</v>
      </c>
      <c r="O2153" s="24">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992</v>
      </c>
      <c r="J2154" s="59" t="s">
        <v>22</v>
      </c>
      <c r="L2154" s="5" t="str">
        <f t="shared" si="658"/>
        <v>02153</v>
      </c>
      <c r="M2154" s="46" t="str">
        <f t="shared" si="659"/>
        <v>28 de junio de 2019</v>
      </c>
      <c r="N2154" s="318">
        <f t="shared" si="660"/>
        <v>28</v>
      </c>
      <c r="O2154" s="24">
        <f t="shared" si="661"/>
        <v>43617</v>
      </c>
      <c r="P2154" s="5" t="str">
        <f t="shared" si="662"/>
        <v>5.000,00</v>
      </c>
      <c r="Q2154" s="4" t="e">
        <f t="shared" ca="1" si="663"/>
        <v>#NAME?</v>
      </c>
    </row>
    <row r="2155" spans="1:17">
      <c r="A2155" s="1">
        <f t="shared" si="642"/>
        <v>2154</v>
      </c>
      <c r="C2155" s="83" t="s">
        <v>17</v>
      </c>
      <c r="D2155" s="2">
        <v>43644</v>
      </c>
      <c r="E2155" s="160">
        <v>8000</v>
      </c>
      <c r="F2155" t="s">
        <v>492</v>
      </c>
      <c r="G2155" s="18" t="s">
        <v>58</v>
      </c>
      <c r="H2155" t="s">
        <v>493</v>
      </c>
      <c r="I2155" s="6" t="s">
        <v>987</v>
      </c>
      <c r="J2155" s="59" t="s">
        <v>22</v>
      </c>
      <c r="L2155" s="5" t="str">
        <f t="shared" si="658"/>
        <v>02154</v>
      </c>
      <c r="M2155" s="46" t="str">
        <f t="shared" si="659"/>
        <v>28 de junio de 2019</v>
      </c>
      <c r="N2155" s="318">
        <f t="shared" si="660"/>
        <v>28</v>
      </c>
      <c r="O2155" s="24">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47" t="s">
        <v>959</v>
      </c>
      <c r="H2156" t="s">
        <v>254</v>
      </c>
      <c r="I2156" s="6" t="s">
        <v>1013</v>
      </c>
      <c r="J2156" s="59" t="s">
        <v>22</v>
      </c>
      <c r="L2156" s="5" t="str">
        <f t="shared" si="658"/>
        <v>02155</v>
      </c>
      <c r="M2156" s="46" t="str">
        <f t="shared" si="659"/>
        <v>30 de junio de 2019</v>
      </c>
      <c r="N2156" s="318">
        <f t="shared" si="660"/>
        <v>30</v>
      </c>
      <c r="O2156" s="24">
        <f t="shared" si="661"/>
        <v>43617</v>
      </c>
      <c r="P2156" s="5" t="str">
        <f t="shared" si="662"/>
        <v>8.000,00</v>
      </c>
      <c r="Q2156" s="4" t="e">
        <f t="shared" ca="1" si="663"/>
        <v>#NAME?</v>
      </c>
    </row>
    <row r="2157" spans="1:17">
      <c r="A2157" s="1">
        <f t="shared" si="642"/>
        <v>2156</v>
      </c>
      <c r="C2157" s="8" t="s">
        <v>17</v>
      </c>
      <c r="D2157" s="2">
        <v>43645</v>
      </c>
      <c r="E2157" s="3">
        <v>16000</v>
      </c>
      <c r="F2157" t="s">
        <v>844</v>
      </c>
      <c r="G2157" t="s">
        <v>845</v>
      </c>
      <c r="H2157" t="s">
        <v>169</v>
      </c>
      <c r="I2157" s="6" t="s">
        <v>1009</v>
      </c>
      <c r="J2157" s="59" t="s">
        <v>22</v>
      </c>
      <c r="L2157" s="5" t="str">
        <f t="shared" si="658"/>
        <v>02156</v>
      </c>
      <c r="M2157" s="46" t="str">
        <f t="shared" si="659"/>
        <v>29 de junio de 2019</v>
      </c>
      <c r="N2157" s="318">
        <f t="shared" si="660"/>
        <v>29</v>
      </c>
      <c r="O2157" s="24">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1014</v>
      </c>
      <c r="J2158" s="59" t="s">
        <v>22</v>
      </c>
      <c r="L2158" s="5" t="str">
        <f t="shared" si="658"/>
        <v>02157</v>
      </c>
      <c r="M2158" s="46" t="str">
        <f t="shared" si="659"/>
        <v>01 de julio de 2019</v>
      </c>
      <c r="N2158" s="318">
        <f t="shared" si="660"/>
        <v>1</v>
      </c>
      <c r="O2158" s="24">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987</v>
      </c>
      <c r="J2159" s="59" t="s">
        <v>22</v>
      </c>
      <c r="L2159" s="5" t="str">
        <f t="shared" si="658"/>
        <v>02158</v>
      </c>
      <c r="M2159" s="46" t="str">
        <f t="shared" si="659"/>
        <v>01 de julio de 2019</v>
      </c>
      <c r="N2159" s="318">
        <f t="shared" si="660"/>
        <v>1</v>
      </c>
      <c r="O2159" s="24">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1008</v>
      </c>
      <c r="J2160" s="59" t="s">
        <v>22</v>
      </c>
      <c r="L2160" s="5" t="str">
        <f t="shared" si="658"/>
        <v>02159</v>
      </c>
      <c r="M2160" s="46" t="str">
        <f t="shared" si="659"/>
        <v>01 de julio de 2019</v>
      </c>
      <c r="N2160" s="318">
        <f t="shared" si="660"/>
        <v>1</v>
      </c>
      <c r="O2160" s="24">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1008</v>
      </c>
      <c r="J2161" s="59" t="s">
        <v>22</v>
      </c>
      <c r="L2161" s="5" t="str">
        <f t="shared" si="658"/>
        <v>02160</v>
      </c>
      <c r="M2161" s="46" t="str">
        <f t="shared" si="659"/>
        <v>01 de julio de 2019</v>
      </c>
      <c r="N2161" s="318">
        <f t="shared" si="660"/>
        <v>1</v>
      </c>
      <c r="O2161" s="24">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1015</v>
      </c>
      <c r="J2162" s="59" t="s">
        <v>22</v>
      </c>
      <c r="L2162" s="5" t="str">
        <f t="shared" si="658"/>
        <v>02161</v>
      </c>
      <c r="M2162" s="46" t="str">
        <f t="shared" si="659"/>
        <v>01 de julio de 2019</v>
      </c>
      <c r="N2162" s="318">
        <f t="shared" si="660"/>
        <v>1</v>
      </c>
      <c r="O2162" s="24">
        <f t="shared" si="661"/>
        <v>43647</v>
      </c>
      <c r="P2162" s="5" t="str">
        <f t="shared" si="662"/>
        <v>14.300,00</v>
      </c>
      <c r="Q2162" s="4" t="e">
        <f t="shared" ca="1" si="663"/>
        <v>#NAME?</v>
      </c>
    </row>
    <row r="2163" spans="1:17">
      <c r="A2163" s="1">
        <f t="shared" ref="A2163:A2171" si="664">A2162+1</f>
        <v>2162</v>
      </c>
      <c r="C2163" s="83" t="s">
        <v>17</v>
      </c>
      <c r="D2163" s="2">
        <v>43648</v>
      </c>
      <c r="E2163" s="3">
        <v>8000</v>
      </c>
      <c r="F2163" t="s">
        <v>319</v>
      </c>
      <c r="G2163" s="18" t="s">
        <v>58</v>
      </c>
      <c r="H2163" t="s">
        <v>320</v>
      </c>
      <c r="I2163" s="6" t="s">
        <v>987</v>
      </c>
      <c r="J2163" s="59" t="s">
        <v>22</v>
      </c>
      <c r="L2163" s="5" t="str">
        <f t="shared" si="658"/>
        <v>02162</v>
      </c>
      <c r="M2163" s="46" t="str">
        <f t="shared" si="659"/>
        <v>02 de julio de 2019</v>
      </c>
      <c r="N2163" s="318">
        <f t="shared" si="660"/>
        <v>2</v>
      </c>
      <c r="O2163" s="24">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1008</v>
      </c>
      <c r="J2164" s="59" t="s">
        <v>22</v>
      </c>
      <c r="L2164" s="5" t="str">
        <f t="shared" si="658"/>
        <v>02163</v>
      </c>
      <c r="M2164" s="46" t="str">
        <f t="shared" si="659"/>
        <v>02 de julio de 2019</v>
      </c>
      <c r="N2164" s="318">
        <f t="shared" si="660"/>
        <v>2</v>
      </c>
      <c r="O2164" s="24">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1008</v>
      </c>
      <c r="J2165" s="59" t="s">
        <v>22</v>
      </c>
      <c r="L2165" s="5" t="str">
        <f t="shared" si="658"/>
        <v>02164</v>
      </c>
      <c r="M2165" s="46" t="str">
        <f t="shared" si="659"/>
        <v>02 de julio de 2019</v>
      </c>
      <c r="N2165" s="318">
        <f t="shared" si="660"/>
        <v>2</v>
      </c>
      <c r="O2165" s="24">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1008</v>
      </c>
      <c r="J2166" s="59" t="s">
        <v>22</v>
      </c>
      <c r="L2166" s="5" t="str">
        <f t="shared" si="658"/>
        <v>02165</v>
      </c>
      <c r="M2166" s="46" t="str">
        <f t="shared" si="659"/>
        <v>02 de julio de 2019</v>
      </c>
      <c r="N2166" s="318">
        <f t="shared" si="660"/>
        <v>2</v>
      </c>
      <c r="O2166" s="24">
        <f t="shared" si="661"/>
        <v>43647</v>
      </c>
      <c r="P2166" s="5" t="str">
        <f t="shared" si="662"/>
        <v>10.000,00</v>
      </c>
      <c r="Q2166" s="4" t="e">
        <f ca="1">CONVERTIRNUM(E2166)</f>
        <v>#NAME?</v>
      </c>
    </row>
    <row r="2167" spans="1:17">
      <c r="A2167" s="1">
        <f t="shared" si="664"/>
        <v>2166</v>
      </c>
      <c r="C2167" s="8" t="s">
        <v>17</v>
      </c>
      <c r="D2167" s="2">
        <v>43649</v>
      </c>
      <c r="E2167" s="3">
        <v>10000</v>
      </c>
      <c r="F2167" t="s">
        <v>1016</v>
      </c>
      <c r="G2167" t="s">
        <v>1017</v>
      </c>
      <c r="H2167" t="s">
        <v>59</v>
      </c>
      <c r="I2167" s="6" t="s">
        <v>1008</v>
      </c>
      <c r="J2167" s="59" t="s">
        <v>22</v>
      </c>
      <c r="L2167" s="5" t="str">
        <f t="shared" ref="L2167:L2168" si="665">IF(ISBLANK(A2167),"",TEXT(A2167,"00000"))</f>
        <v>02166</v>
      </c>
      <c r="M2167" s="46" t="str">
        <f t="shared" ref="M2167:M2168" si="666">IF(ISBLANK(D2167),"",TEXT(D2167,"dd")&amp;" de "&amp;TEXT(D2167,"mmmm")&amp;" de "&amp;TEXT(YEAR(D2167),"0"))</f>
        <v>03 de julio de 2019</v>
      </c>
      <c r="N2167" s="318">
        <f t="shared" ref="N2167:N2168" si="667">DAY(D2167)</f>
        <v>3</v>
      </c>
      <c r="O2167" s="24">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987</v>
      </c>
      <c r="J2168" s="59" t="s">
        <v>22</v>
      </c>
      <c r="L2168" s="5" t="str">
        <f t="shared" si="665"/>
        <v>02167</v>
      </c>
      <c r="M2168" s="46" t="str">
        <f t="shared" si="666"/>
        <v>04 de julio de 2019</v>
      </c>
      <c r="N2168" s="318">
        <f t="shared" si="667"/>
        <v>4</v>
      </c>
      <c r="O2168" s="24">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1018</v>
      </c>
      <c r="G2169" s="447" t="s">
        <v>1019</v>
      </c>
      <c r="H2169" t="s">
        <v>140</v>
      </c>
      <c r="I2169" s="6" t="s">
        <v>987</v>
      </c>
      <c r="J2169" s="59" t="s">
        <v>22</v>
      </c>
      <c r="L2169" s="5" t="str">
        <f t="shared" ref="L2169:L2188" si="671">IF(ISBLANK(A2169),"",TEXT(A2169,"00000"))</f>
        <v>02168</v>
      </c>
      <c r="M2169" s="46" t="str">
        <f t="shared" ref="M2169:M2188" si="672">IF(ISBLANK(D2169),"",TEXT(D2169,"dd")&amp;" de "&amp;TEXT(D2169,"mmmm")&amp;" de "&amp;TEXT(YEAR(D2169),"0"))</f>
        <v>04 de julio de 2019</v>
      </c>
      <c r="N2169" s="318">
        <f t="shared" ref="N2169:N2188" si="673">DAY(D2169)</f>
        <v>4</v>
      </c>
      <c r="O2169" s="24">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992</v>
      </c>
      <c r="J2170" s="59" t="s">
        <v>22</v>
      </c>
      <c r="L2170" s="5" t="str">
        <f t="shared" si="671"/>
        <v>02169</v>
      </c>
      <c r="M2170" s="46" t="str">
        <f t="shared" si="672"/>
        <v>04 de julio de 2019</v>
      </c>
      <c r="N2170" s="318">
        <f t="shared" si="673"/>
        <v>4</v>
      </c>
      <c r="O2170" s="24">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1008</v>
      </c>
      <c r="J2171" s="59" t="s">
        <v>22</v>
      </c>
      <c r="L2171" s="5" t="str">
        <f t="shared" si="671"/>
        <v>02170</v>
      </c>
      <c r="M2171" s="46" t="str">
        <f t="shared" si="672"/>
        <v>07 de julio de 2019</v>
      </c>
      <c r="N2171" s="318">
        <f t="shared" si="673"/>
        <v>7</v>
      </c>
      <c r="O2171" s="24">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1008</v>
      </c>
      <c r="J2172" s="59" t="s">
        <v>22</v>
      </c>
      <c r="L2172" s="5" t="str">
        <f t="shared" si="671"/>
        <v>02171</v>
      </c>
      <c r="M2172" s="46" t="str">
        <f t="shared" si="672"/>
        <v>07 de julio de 2019</v>
      </c>
      <c r="N2172" s="318">
        <f t="shared" si="673"/>
        <v>7</v>
      </c>
      <c r="O2172" s="24">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1008</v>
      </c>
      <c r="J2173" s="59" t="s">
        <v>22</v>
      </c>
      <c r="L2173" s="5" t="str">
        <f t="shared" si="671"/>
        <v>02172</v>
      </c>
      <c r="M2173" s="46" t="str">
        <f t="shared" si="672"/>
        <v>07 de julio de 2019</v>
      </c>
      <c r="N2173" s="318">
        <f t="shared" si="673"/>
        <v>7</v>
      </c>
      <c r="O2173" s="24">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987</v>
      </c>
      <c r="J2174" s="59" t="s">
        <v>22</v>
      </c>
      <c r="L2174" s="5" t="str">
        <f t="shared" si="671"/>
        <v>02173</v>
      </c>
      <c r="M2174" s="46" t="str">
        <f t="shared" si="672"/>
        <v>07 de julio de 2019</v>
      </c>
      <c r="N2174" s="318">
        <f t="shared" si="673"/>
        <v>7</v>
      </c>
      <c r="O2174" s="24">
        <f t="shared" si="674"/>
        <v>43647</v>
      </c>
      <c r="P2174" s="5" t="str">
        <f t="shared" si="675"/>
        <v>8.000,00</v>
      </c>
      <c r="Q2174" s="4" t="e">
        <f t="shared" ca="1" si="676"/>
        <v>#NAME?</v>
      </c>
    </row>
    <row r="2175" spans="1:17">
      <c r="A2175" s="1">
        <f t="shared" si="677"/>
        <v>2174</v>
      </c>
      <c r="C2175" s="8" t="s">
        <v>17</v>
      </c>
      <c r="D2175" s="2">
        <v>43653</v>
      </c>
      <c r="E2175" s="3">
        <v>10000</v>
      </c>
      <c r="F2175" t="s">
        <v>948</v>
      </c>
      <c r="G2175" t="s">
        <v>949</v>
      </c>
      <c r="H2175" t="s">
        <v>950</v>
      </c>
      <c r="I2175" s="6" t="s">
        <v>1008</v>
      </c>
      <c r="J2175" s="59" t="s">
        <v>22</v>
      </c>
      <c r="L2175" s="5" t="str">
        <f t="shared" si="671"/>
        <v>02174</v>
      </c>
      <c r="M2175" s="46" t="str">
        <f t="shared" si="672"/>
        <v>07 de julio de 2019</v>
      </c>
      <c r="N2175" s="318">
        <f t="shared" si="673"/>
        <v>7</v>
      </c>
      <c r="O2175" s="24">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59" t="s">
        <v>1008</v>
      </c>
      <c r="J2176" s="59" t="s">
        <v>22</v>
      </c>
      <c r="L2176" s="5" t="str">
        <f t="shared" si="671"/>
        <v>02175</v>
      </c>
      <c r="M2176" s="46" t="str">
        <f t="shared" si="672"/>
        <v>08 de julio de 2019</v>
      </c>
      <c r="N2176" s="318">
        <f t="shared" si="673"/>
        <v>8</v>
      </c>
      <c r="O2176" s="24">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59" t="s">
        <v>1008</v>
      </c>
      <c r="J2177" s="59" t="s">
        <v>22</v>
      </c>
      <c r="L2177" s="5" t="str">
        <f t="shared" si="671"/>
        <v>02176</v>
      </c>
      <c r="M2177" s="46" t="str">
        <f t="shared" si="672"/>
        <v>08 de julio de 2019</v>
      </c>
      <c r="N2177" s="318">
        <f t="shared" si="673"/>
        <v>8</v>
      </c>
      <c r="O2177" s="24">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59" t="s">
        <v>1008</v>
      </c>
      <c r="J2178" s="59" t="s">
        <v>22</v>
      </c>
      <c r="L2178" s="5" t="str">
        <f t="shared" si="671"/>
        <v>02177</v>
      </c>
      <c r="M2178" s="46" t="str">
        <f t="shared" si="672"/>
        <v>08 de julio de 2019</v>
      </c>
      <c r="N2178" s="318">
        <f t="shared" si="673"/>
        <v>8</v>
      </c>
      <c r="O2178" s="24">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59" t="s">
        <v>1008</v>
      </c>
      <c r="J2179" s="59" t="s">
        <v>22</v>
      </c>
      <c r="L2179" s="5" t="str">
        <f t="shared" si="671"/>
        <v>02178</v>
      </c>
      <c r="M2179" s="46" t="str">
        <f t="shared" si="672"/>
        <v>09 de julio de 2019</v>
      </c>
      <c r="N2179" s="318">
        <f t="shared" si="673"/>
        <v>9</v>
      </c>
      <c r="O2179" s="24">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1014</v>
      </c>
      <c r="J2180" s="59" t="s">
        <v>22</v>
      </c>
      <c r="L2180" s="5" t="str">
        <f t="shared" si="671"/>
        <v>02179</v>
      </c>
      <c r="M2180" s="46" t="str">
        <f t="shared" si="672"/>
        <v>09 de julio de 2019</v>
      </c>
      <c r="N2180" s="318">
        <f t="shared" si="673"/>
        <v>9</v>
      </c>
      <c r="O2180" s="24">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1020</v>
      </c>
      <c r="J2181" s="59" t="s">
        <v>22</v>
      </c>
      <c r="L2181" s="5" t="str">
        <f t="shared" si="671"/>
        <v>02180</v>
      </c>
      <c r="M2181" s="46" t="str">
        <f t="shared" si="672"/>
        <v>09 de julio de 2019</v>
      </c>
      <c r="N2181" s="318">
        <f t="shared" si="673"/>
        <v>9</v>
      </c>
      <c r="O2181" s="24">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1021</v>
      </c>
      <c r="J2182" s="59" t="s">
        <v>22</v>
      </c>
      <c r="L2182" s="5" t="str">
        <f t="shared" si="671"/>
        <v>02181</v>
      </c>
      <c r="M2182" s="46" t="str">
        <f t="shared" si="672"/>
        <v>09 de julio de 2019</v>
      </c>
      <c r="N2182" s="318">
        <f t="shared" si="673"/>
        <v>9</v>
      </c>
      <c r="O2182" s="24">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1022</v>
      </c>
      <c r="J2183" s="59" t="s">
        <v>22</v>
      </c>
      <c r="L2183" s="5" t="str">
        <f t="shared" si="671"/>
        <v>02182</v>
      </c>
      <c r="M2183" s="46" t="str">
        <f t="shared" si="672"/>
        <v>10 de julio de 2019</v>
      </c>
      <c r="N2183" s="318">
        <f t="shared" si="673"/>
        <v>10</v>
      </c>
      <c r="O2183" s="24">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1023</v>
      </c>
      <c r="J2184" s="59" t="s">
        <v>22</v>
      </c>
      <c r="L2184" s="5" t="str">
        <f t="shared" si="671"/>
        <v>02183</v>
      </c>
      <c r="M2184" s="46" t="str">
        <f t="shared" si="672"/>
        <v>10 de julio de 2019</v>
      </c>
      <c r="N2184" s="318">
        <f t="shared" si="673"/>
        <v>10</v>
      </c>
      <c r="O2184" s="24">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1024</v>
      </c>
      <c r="J2185" s="59" t="s">
        <v>22</v>
      </c>
      <c r="L2185" s="5" t="str">
        <f t="shared" si="671"/>
        <v>02184</v>
      </c>
      <c r="M2185" s="46" t="str">
        <f t="shared" si="672"/>
        <v>10 de julio de 2019</v>
      </c>
      <c r="N2185" s="318">
        <f t="shared" si="673"/>
        <v>10</v>
      </c>
      <c r="O2185" s="24">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59" t="s">
        <v>1008</v>
      </c>
      <c r="J2186" s="59" t="s">
        <v>22</v>
      </c>
      <c r="L2186" s="5" t="str">
        <f t="shared" si="671"/>
        <v>02185</v>
      </c>
      <c r="M2186" s="46" t="str">
        <f t="shared" si="672"/>
        <v>09 de julio de 2019</v>
      </c>
      <c r="N2186" s="318">
        <f t="shared" si="673"/>
        <v>9</v>
      </c>
      <c r="O2186" s="24">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59" t="s">
        <v>1008</v>
      </c>
      <c r="J2187" s="59" t="s">
        <v>22</v>
      </c>
      <c r="L2187" s="5" t="str">
        <f t="shared" si="671"/>
        <v>02186</v>
      </c>
      <c r="M2187" s="46" t="str">
        <f t="shared" si="672"/>
        <v>10 de julio de 2019</v>
      </c>
      <c r="N2187" s="318">
        <f t="shared" si="673"/>
        <v>10</v>
      </c>
      <c r="O2187" s="24">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1" t="s">
        <v>240</v>
      </c>
      <c r="H2188" t="s">
        <v>241</v>
      </c>
      <c r="I2188" s="6" t="s">
        <v>1013</v>
      </c>
      <c r="J2188" s="59" t="s">
        <v>22</v>
      </c>
      <c r="L2188" s="5" t="str">
        <f t="shared" si="671"/>
        <v>02187</v>
      </c>
      <c r="M2188" s="46" t="str">
        <f t="shared" si="672"/>
        <v>11 de julio de 2019</v>
      </c>
      <c r="N2188" s="318">
        <f t="shared" si="673"/>
        <v>11</v>
      </c>
      <c r="O2188" s="24">
        <f t="shared" si="674"/>
        <v>43647</v>
      </c>
      <c r="P2188" s="5" t="str">
        <f t="shared" si="675"/>
        <v>8.000,00</v>
      </c>
      <c r="Q2188" s="4" t="e">
        <f t="shared" ca="1" si="676"/>
        <v>#NAME?</v>
      </c>
    </row>
    <row r="2189" spans="1:17">
      <c r="A2189" s="1">
        <f t="shared" si="677"/>
        <v>2188</v>
      </c>
      <c r="C2189" s="8" t="s">
        <v>17</v>
      </c>
      <c r="D2189" s="2">
        <v>43657</v>
      </c>
      <c r="E2189" s="3">
        <v>2000</v>
      </c>
      <c r="F2189" t="s">
        <v>239</v>
      </c>
      <c r="G2189" s="71" t="s">
        <v>240</v>
      </c>
      <c r="H2189" t="s">
        <v>241</v>
      </c>
      <c r="I2189" s="6" t="s">
        <v>1021</v>
      </c>
      <c r="J2189" s="59" t="s">
        <v>22</v>
      </c>
      <c r="L2189" s="5" t="str">
        <f t="shared" ref="L2189:L2202" si="678">IF(ISBLANK(A2189),"",TEXT(A2189,"00000"))</f>
        <v>02188</v>
      </c>
      <c r="M2189" s="46" t="str">
        <f t="shared" ref="M2189:M2202" si="679">IF(ISBLANK(D2189),"",TEXT(D2189,"dd")&amp;" de "&amp;TEXT(D2189,"mmmm")&amp;" de "&amp;TEXT(YEAR(D2189),"0"))</f>
        <v>11 de julio de 2019</v>
      </c>
      <c r="N2189" s="318">
        <f t="shared" ref="N2189:N2202" si="680">DAY(D2189)</f>
        <v>11</v>
      </c>
      <c r="O2189" s="24">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1025</v>
      </c>
      <c r="J2190" s="59" t="s">
        <v>22</v>
      </c>
      <c r="L2190" s="5" t="str">
        <f t="shared" si="678"/>
        <v>02189</v>
      </c>
      <c r="M2190" s="46" t="str">
        <f t="shared" si="679"/>
        <v>11 de julio de 2019</v>
      </c>
      <c r="N2190" s="318">
        <f t="shared" si="680"/>
        <v>11</v>
      </c>
      <c r="O2190" s="24">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1008</v>
      </c>
      <c r="J2191" s="59" t="s">
        <v>22</v>
      </c>
      <c r="L2191" s="5" t="str">
        <f t="shared" si="678"/>
        <v>02190</v>
      </c>
      <c r="M2191" s="46" t="str">
        <f t="shared" si="679"/>
        <v>14 de julio de 2019</v>
      </c>
      <c r="N2191" s="318">
        <f t="shared" si="680"/>
        <v>14</v>
      </c>
      <c r="O2191" s="24">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1008</v>
      </c>
      <c r="J2192" s="59" t="s">
        <v>22</v>
      </c>
      <c r="L2192" s="5" t="str">
        <f t="shared" si="678"/>
        <v>02191</v>
      </c>
      <c r="M2192" s="46" t="str">
        <f t="shared" si="679"/>
        <v>14 de julio de 2019</v>
      </c>
      <c r="N2192" s="318">
        <f t="shared" si="680"/>
        <v>14</v>
      </c>
      <c r="O2192" s="24">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1008</v>
      </c>
      <c r="J2193" s="59" t="s">
        <v>22</v>
      </c>
      <c r="L2193" s="5" t="str">
        <f t="shared" si="678"/>
        <v>02192</v>
      </c>
      <c r="M2193" s="46" t="str">
        <f t="shared" si="679"/>
        <v>15 de julio de 2019</v>
      </c>
      <c r="N2193" s="318">
        <f t="shared" si="680"/>
        <v>15</v>
      </c>
      <c r="O2193" s="24">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1008</v>
      </c>
      <c r="J2194" s="59" t="s">
        <v>22</v>
      </c>
      <c r="L2194" s="5" t="str">
        <f t="shared" si="678"/>
        <v>02193</v>
      </c>
      <c r="M2194" s="46" t="str">
        <f t="shared" si="679"/>
        <v>15 de julio de 2019</v>
      </c>
      <c r="N2194" s="318">
        <f t="shared" si="680"/>
        <v>15</v>
      </c>
      <c r="O2194" s="24">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987</v>
      </c>
      <c r="J2195" s="59" t="s">
        <v>22</v>
      </c>
      <c r="L2195" s="5" t="str">
        <f t="shared" si="678"/>
        <v>02194</v>
      </c>
      <c r="M2195" s="46" t="str">
        <f t="shared" si="679"/>
        <v>15 de julio de 2019</v>
      </c>
      <c r="N2195" s="318">
        <f t="shared" si="680"/>
        <v>15</v>
      </c>
      <c r="O2195" s="24">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1008</v>
      </c>
      <c r="J2196" s="59" t="s">
        <v>22</v>
      </c>
      <c r="L2196" s="5" t="str">
        <f t="shared" si="678"/>
        <v>02195</v>
      </c>
      <c r="M2196" s="46" t="str">
        <f t="shared" si="679"/>
        <v>17 de julio de 2019</v>
      </c>
      <c r="N2196" s="318">
        <f t="shared" si="680"/>
        <v>17</v>
      </c>
      <c r="O2196" s="24">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1008</v>
      </c>
      <c r="J2197" s="59" t="s">
        <v>22</v>
      </c>
      <c r="L2197" s="5" t="str">
        <f t="shared" si="678"/>
        <v>02196</v>
      </c>
      <c r="M2197" s="46" t="str">
        <f t="shared" si="679"/>
        <v>18 de julio de 2019</v>
      </c>
      <c r="N2197" s="318">
        <f t="shared" si="680"/>
        <v>18</v>
      </c>
      <c r="O2197" s="24">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1008</v>
      </c>
      <c r="J2198" s="59" t="s">
        <v>22</v>
      </c>
      <c r="L2198" s="5" t="str">
        <f t="shared" si="678"/>
        <v>02197</v>
      </c>
      <c r="M2198" s="46" t="str">
        <f t="shared" si="679"/>
        <v>18 de julio de 2019</v>
      </c>
      <c r="N2198" s="318">
        <f t="shared" si="680"/>
        <v>18</v>
      </c>
      <c r="O2198" s="24">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1008</v>
      </c>
      <c r="J2199" s="59" t="s">
        <v>22</v>
      </c>
      <c r="L2199" s="5" t="str">
        <f t="shared" si="678"/>
        <v>02198</v>
      </c>
      <c r="M2199" s="46" t="str">
        <f t="shared" si="679"/>
        <v>18 de julio de 2019</v>
      </c>
      <c r="N2199" s="318">
        <f t="shared" si="680"/>
        <v>18</v>
      </c>
      <c r="O2199" s="24">
        <f t="shared" si="681"/>
        <v>43647</v>
      </c>
      <c r="P2199" s="5" t="str">
        <f t="shared" si="684"/>
        <v>10.000,00</v>
      </c>
      <c r="Q2199" s="4" t="e">
        <f t="shared" ca="1" si="685"/>
        <v>#NAME?</v>
      </c>
    </row>
    <row r="2200" spans="1:17">
      <c r="A2200" s="1">
        <f t="shared" si="677"/>
        <v>2199</v>
      </c>
      <c r="C2200" s="8" t="s">
        <v>17</v>
      </c>
      <c r="D2200" s="2">
        <v>43664</v>
      </c>
      <c r="E2200" s="3">
        <v>20000</v>
      </c>
      <c r="F2200" t="s">
        <v>999</v>
      </c>
      <c r="G2200" t="s">
        <v>1000</v>
      </c>
      <c r="H2200" t="s">
        <v>1001</v>
      </c>
      <c r="I2200" s="6" t="s">
        <v>1026</v>
      </c>
      <c r="J2200" s="59" t="s">
        <v>22</v>
      </c>
      <c r="L2200" s="5" t="str">
        <f t="shared" si="678"/>
        <v>02199</v>
      </c>
      <c r="M2200" s="46" t="str">
        <f t="shared" si="679"/>
        <v>18 de julio de 2019</v>
      </c>
      <c r="N2200" s="318">
        <f t="shared" si="680"/>
        <v>18</v>
      </c>
      <c r="O2200" s="24">
        <f t="shared" si="681"/>
        <v>43647</v>
      </c>
      <c r="P2200" s="5" t="str">
        <f t="shared" si="684"/>
        <v>20.000,00</v>
      </c>
      <c r="Q2200" s="4" t="e">
        <f t="shared" ca="1" si="685"/>
        <v>#NAME?</v>
      </c>
    </row>
    <row r="2201" spans="1:17">
      <c r="A2201" s="1">
        <f t="shared" si="677"/>
        <v>2200</v>
      </c>
      <c r="C2201" s="83" t="s">
        <v>17</v>
      </c>
      <c r="D2201" s="2">
        <v>43666</v>
      </c>
      <c r="E2201" s="3">
        <v>10000</v>
      </c>
      <c r="F2201" t="s">
        <v>40</v>
      </c>
      <c r="G2201" s="18" t="s">
        <v>58</v>
      </c>
      <c r="H2201" t="s">
        <v>42</v>
      </c>
      <c r="I2201" s="6" t="s">
        <v>1008</v>
      </c>
      <c r="J2201" s="59" t="s">
        <v>22</v>
      </c>
      <c r="L2201" s="5" t="str">
        <f t="shared" si="678"/>
        <v>02200</v>
      </c>
      <c r="M2201" s="46" t="str">
        <f t="shared" si="679"/>
        <v>20 de julio de 2019</v>
      </c>
      <c r="N2201" s="318">
        <f t="shared" si="680"/>
        <v>20</v>
      </c>
      <c r="O2201" s="24">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1013</v>
      </c>
      <c r="J2202" s="59" t="s">
        <v>22</v>
      </c>
      <c r="L2202" s="5" t="str">
        <f t="shared" si="678"/>
        <v>02201</v>
      </c>
      <c r="M2202" s="46" t="str">
        <f t="shared" si="679"/>
        <v>21 de julio de 2019</v>
      </c>
      <c r="N2202" s="318">
        <f t="shared" si="680"/>
        <v>21</v>
      </c>
      <c r="O2202" s="24">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1021</v>
      </c>
      <c r="J2203" s="59" t="s">
        <v>22</v>
      </c>
      <c r="L2203" s="5" t="str">
        <f t="shared" ref="L2203:L2209" si="686">IF(ISBLANK(A2203),"",TEXT(A2203,"00000"))</f>
        <v>02202</v>
      </c>
      <c r="M2203" s="46" t="str">
        <f t="shared" ref="M2203:M2209" si="687">IF(ISBLANK(D2203),"",TEXT(D2203,"dd")&amp;" de "&amp;TEXT(D2203,"mmmm")&amp;" de "&amp;TEXT(YEAR(D2203),"0"))</f>
        <v>22 de julio de 2019</v>
      </c>
      <c r="N2203" s="318">
        <f t="shared" ref="N2203:N2244" si="688">DAY(D2203)</f>
        <v>22</v>
      </c>
      <c r="O2203" s="24">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3" t="s">
        <v>17</v>
      </c>
      <c r="D2204" s="2">
        <v>43669</v>
      </c>
      <c r="E2204" s="3">
        <v>10000</v>
      </c>
      <c r="F2204" t="s">
        <v>319</v>
      </c>
      <c r="G2204" s="18" t="s">
        <v>58</v>
      </c>
      <c r="H2204" t="s">
        <v>320</v>
      </c>
      <c r="I2204" s="6" t="s">
        <v>1008</v>
      </c>
      <c r="J2204" s="59" t="s">
        <v>22</v>
      </c>
      <c r="L2204" s="5" t="str">
        <f t="shared" si="686"/>
        <v>02203</v>
      </c>
      <c r="M2204" s="46" t="str">
        <f t="shared" si="687"/>
        <v>23 de julio de 2019</v>
      </c>
      <c r="N2204" s="318">
        <f t="shared" si="688"/>
        <v>23</v>
      </c>
      <c r="O2204" s="24">
        <f t="shared" si="689"/>
        <v>43647</v>
      </c>
      <c r="P2204" s="5" t="str">
        <f t="shared" si="690"/>
        <v>10.000,00</v>
      </c>
      <c r="Q2204" s="4" t="e">
        <f t="shared" ca="1" si="691"/>
        <v>#NAME?</v>
      </c>
    </row>
    <row r="2205" spans="1:17">
      <c r="A2205" s="1">
        <f t="shared" si="677"/>
        <v>2204</v>
      </c>
      <c r="C2205" s="8" t="s">
        <v>17</v>
      </c>
      <c r="D2205" s="2">
        <v>43669</v>
      </c>
      <c r="E2205" s="3">
        <v>10000</v>
      </c>
      <c r="F2205" t="s">
        <v>1005</v>
      </c>
      <c r="G2205" t="s">
        <v>1006</v>
      </c>
      <c r="H2205" t="s">
        <v>539</v>
      </c>
      <c r="I2205" s="6" t="s">
        <v>1008</v>
      </c>
      <c r="J2205" s="59" t="s">
        <v>22</v>
      </c>
      <c r="L2205" s="5" t="str">
        <f t="shared" si="686"/>
        <v>02204</v>
      </c>
      <c r="M2205" s="46" t="str">
        <f t="shared" si="687"/>
        <v>23 de julio de 2019</v>
      </c>
      <c r="N2205" s="318">
        <f t="shared" si="688"/>
        <v>23</v>
      </c>
      <c r="O2205" s="24">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1008</v>
      </c>
      <c r="J2206" s="59" t="s">
        <v>22</v>
      </c>
      <c r="L2206" s="5" t="str">
        <f t="shared" si="686"/>
        <v>02205</v>
      </c>
      <c r="M2206" s="46" t="str">
        <f t="shared" si="687"/>
        <v>24 de julio de 2019</v>
      </c>
      <c r="N2206" s="318">
        <f t="shared" si="688"/>
        <v>24</v>
      </c>
      <c r="O2206" s="24">
        <f t="shared" si="689"/>
        <v>43647</v>
      </c>
      <c r="P2206" s="5" t="str">
        <f t="shared" si="690"/>
        <v>10.000,00</v>
      </c>
      <c r="Q2206" s="4" t="e">
        <f t="shared" ca="1" si="691"/>
        <v>#NAME?</v>
      </c>
    </row>
    <row r="2207" spans="1:17">
      <c r="A2207" s="1">
        <f t="shared" si="677"/>
        <v>2206</v>
      </c>
      <c r="C2207" s="83" t="s">
        <v>17</v>
      </c>
      <c r="D2207" s="2">
        <v>43670</v>
      </c>
      <c r="E2207" s="3">
        <f>2*14500</f>
        <v>29000</v>
      </c>
      <c r="F2207" s="22" t="s">
        <v>422</v>
      </c>
      <c r="G2207" s="18" t="s">
        <v>58</v>
      </c>
      <c r="H2207" t="s">
        <v>423</v>
      </c>
      <c r="I2207" s="6" t="s">
        <v>1026</v>
      </c>
      <c r="J2207" s="59" t="s">
        <v>22</v>
      </c>
      <c r="L2207" s="5" t="str">
        <f t="shared" si="686"/>
        <v>02206</v>
      </c>
      <c r="M2207" s="46" t="str">
        <f t="shared" si="687"/>
        <v>24 de julio de 2019</v>
      </c>
      <c r="N2207" s="318">
        <f t="shared" si="688"/>
        <v>24</v>
      </c>
      <c r="O2207" s="24">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59" t="s">
        <v>987</v>
      </c>
      <c r="J2208" s="59" t="s">
        <v>22</v>
      </c>
      <c r="L2208" s="5" t="str">
        <f t="shared" si="686"/>
        <v>02207</v>
      </c>
      <c r="M2208" s="46" t="str">
        <f t="shared" si="687"/>
        <v>25 de julio de 2019</v>
      </c>
      <c r="N2208" s="318">
        <f t="shared" si="688"/>
        <v>25</v>
      </c>
      <c r="O2208" s="24">
        <f t="shared" si="689"/>
        <v>43647</v>
      </c>
      <c r="P2208" s="5" t="str">
        <f t="shared" si="690"/>
        <v>8.000,00</v>
      </c>
      <c r="Q2208" s="4" t="e">
        <f t="shared" ca="1" si="691"/>
        <v>#NAME?</v>
      </c>
    </row>
    <row r="2209" spans="1:17">
      <c r="A2209" s="1">
        <f t="shared" si="677"/>
        <v>2208</v>
      </c>
      <c r="C2209" s="83" t="s">
        <v>17</v>
      </c>
      <c r="D2209" s="2">
        <v>43671</v>
      </c>
      <c r="E2209" s="3">
        <v>10000</v>
      </c>
      <c r="F2209" t="s">
        <v>259</v>
      </c>
      <c r="G2209" s="18" t="s">
        <v>58</v>
      </c>
      <c r="H2209" t="s">
        <v>261</v>
      </c>
      <c r="I2209" s="6" t="s">
        <v>1008</v>
      </c>
      <c r="J2209" s="59" t="s">
        <v>22</v>
      </c>
      <c r="L2209" s="5" t="str">
        <f t="shared" si="686"/>
        <v>02208</v>
      </c>
      <c r="M2209" s="46" t="str">
        <f t="shared" si="687"/>
        <v>25 de julio de 2019</v>
      </c>
      <c r="N2209" s="318">
        <f t="shared" si="688"/>
        <v>25</v>
      </c>
      <c r="O2209" s="24">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1008</v>
      </c>
      <c r="J2210" s="59" t="s">
        <v>22</v>
      </c>
      <c r="L2210" s="5" t="str">
        <f>IF(ISBLANK(A2210),"",TEXT(A2210,"00000"))</f>
        <v>02209</v>
      </c>
      <c r="M2210" s="46" t="str">
        <f>IF(ISBLANK(D2210),"",TEXT(D2210,"dd")&amp;" de "&amp;TEXT(D2210,"mmmm")&amp;" de "&amp;TEXT(YEAR(D2210),"0"))</f>
        <v>25 de julio de 2019</v>
      </c>
      <c r="N2210" s="318">
        <f t="shared" si="688"/>
        <v>25</v>
      </c>
      <c r="O2210" s="24">
        <f>DATE(YEAR(D2210),MONTH(D2210),1)</f>
        <v>43647</v>
      </c>
      <c r="P2210" s="5" t="str">
        <f t="shared" si="690"/>
        <v>10.000,00</v>
      </c>
      <c r="Q2210" s="4" t="e">
        <f t="shared" ca="1" si="691"/>
        <v>#NAME?</v>
      </c>
    </row>
    <row r="2211" spans="1:17">
      <c r="A2211" s="1">
        <f t="shared" si="677"/>
        <v>2210</v>
      </c>
      <c r="C2211" s="83" t="s">
        <v>17</v>
      </c>
      <c r="D2211" s="2">
        <v>43671</v>
      </c>
      <c r="E2211" s="160">
        <v>10000</v>
      </c>
      <c r="F2211" t="s">
        <v>492</v>
      </c>
      <c r="G2211" s="18" t="s">
        <v>58</v>
      </c>
      <c r="H2211" t="s">
        <v>493</v>
      </c>
      <c r="I2211" s="6" t="s">
        <v>1008</v>
      </c>
      <c r="J2211" s="59" t="s">
        <v>22</v>
      </c>
      <c r="L2211" s="5" t="str">
        <f t="shared" ref="L2211:L2215" si="692">IF(ISBLANK(A2211),"",TEXT(A2211,"00000"))</f>
        <v>02210</v>
      </c>
      <c r="M2211" s="46" t="str">
        <f t="shared" ref="M2211:M2215" si="693">IF(ISBLANK(D2211),"",TEXT(D2211,"dd")&amp;" de "&amp;TEXT(D2211,"mmmm")&amp;" de "&amp;TEXT(YEAR(D2211),"0"))</f>
        <v>25 de julio de 2019</v>
      </c>
      <c r="N2211" s="318">
        <f t="shared" si="688"/>
        <v>25</v>
      </c>
      <c r="O2211" s="24">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1008</v>
      </c>
      <c r="J2212" s="59" t="s">
        <v>22</v>
      </c>
      <c r="L2212" s="5" t="str">
        <f t="shared" si="692"/>
        <v>02211</v>
      </c>
      <c r="M2212" s="46" t="str">
        <f t="shared" si="693"/>
        <v>25 de julio de 2019</v>
      </c>
      <c r="N2212" s="318">
        <f t="shared" si="688"/>
        <v>25</v>
      </c>
      <c r="O2212" s="24">
        <f t="shared" si="694"/>
        <v>43647</v>
      </c>
      <c r="P2212" s="5" t="str">
        <f t="shared" si="690"/>
        <v>20.000,00</v>
      </c>
      <c r="Q2212" s="4" t="e">
        <f t="shared" ca="1" si="691"/>
        <v>#NAME?</v>
      </c>
    </row>
    <row r="2213" spans="1:17">
      <c r="A2213" s="1">
        <f t="shared" si="677"/>
        <v>2212</v>
      </c>
      <c r="C2213" s="8" t="s">
        <v>17</v>
      </c>
      <c r="D2213" s="2">
        <v>43671</v>
      </c>
      <c r="E2213" s="3">
        <v>10000</v>
      </c>
      <c r="F2213" t="s">
        <v>252</v>
      </c>
      <c r="G2213" s="447" t="s">
        <v>959</v>
      </c>
      <c r="H2213" t="s">
        <v>254</v>
      </c>
      <c r="I2213" s="6" t="s">
        <v>1027</v>
      </c>
      <c r="J2213" s="59" t="s">
        <v>22</v>
      </c>
      <c r="L2213" s="5" t="str">
        <f t="shared" si="692"/>
        <v>02212</v>
      </c>
      <c r="M2213" s="46" t="str">
        <f t="shared" si="693"/>
        <v>25 de julio de 2019</v>
      </c>
      <c r="N2213" s="318">
        <f t="shared" si="688"/>
        <v>25</v>
      </c>
      <c r="O2213" s="24">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1008</v>
      </c>
      <c r="J2214" s="59" t="s">
        <v>22</v>
      </c>
      <c r="L2214" s="5" t="str">
        <f t="shared" si="692"/>
        <v>02213</v>
      </c>
      <c r="M2214" s="46" t="str">
        <f t="shared" si="693"/>
        <v>03 de julio de 2019</v>
      </c>
      <c r="N2214" s="318">
        <f t="shared" si="688"/>
        <v>3</v>
      </c>
      <c r="O2214" s="24">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1008</v>
      </c>
      <c r="J2215" s="59" t="s">
        <v>22</v>
      </c>
      <c r="L2215" s="5" t="str">
        <f t="shared" si="692"/>
        <v>02214</v>
      </c>
      <c r="M2215" s="46" t="str">
        <f t="shared" si="693"/>
        <v>26 de julio de 2019</v>
      </c>
      <c r="N2215" s="318">
        <f t="shared" si="688"/>
        <v>26</v>
      </c>
      <c r="O2215" s="24">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1008</v>
      </c>
      <c r="J2216" s="59" t="s">
        <v>22</v>
      </c>
      <c r="L2216" s="5" t="str">
        <f>IF(ISBLANK(A2216),"",TEXT(A2216,"00000"))</f>
        <v>02215</v>
      </c>
      <c r="M2216" s="46" t="str">
        <f>IF(ISBLANK(D2216),"",TEXT(D2216,"dd")&amp;" de "&amp;TEXT(D2216,"mmmm")&amp;" de "&amp;TEXT(YEAR(D2216),"0"))</f>
        <v>26 de julio de 2019</v>
      </c>
      <c r="N2216" s="318">
        <f t="shared" si="688"/>
        <v>26</v>
      </c>
      <c r="O2216" s="24">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1014</v>
      </c>
      <c r="J2217" s="59" t="s">
        <v>22</v>
      </c>
      <c r="L2217" s="5" t="str">
        <f t="shared" ref="L2217:L2245" si="695">IF(ISBLANK(A2217),"",TEXT(A2217,"00000"))</f>
        <v>02216</v>
      </c>
      <c r="M2217" s="46" t="str">
        <f t="shared" ref="M2217:M2245" si="696">IF(ISBLANK(D2217),"",TEXT(D2217,"dd")&amp;" de "&amp;TEXT(D2217,"mmmm")&amp;" de "&amp;TEXT(YEAR(D2217),"0"))</f>
        <v>26 de julio de 2019</v>
      </c>
      <c r="N2217" s="318">
        <f t="shared" si="688"/>
        <v>26</v>
      </c>
      <c r="O2217" s="24">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1008</v>
      </c>
      <c r="J2218" s="59" t="s">
        <v>22</v>
      </c>
      <c r="L2218" s="5" t="str">
        <f t="shared" si="695"/>
        <v>02217</v>
      </c>
      <c r="M2218" s="46" t="str">
        <f t="shared" si="696"/>
        <v>26 de julio de 2019</v>
      </c>
      <c r="N2218" s="318">
        <f t="shared" si="688"/>
        <v>26</v>
      </c>
      <c r="O2218" s="24">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1014</v>
      </c>
      <c r="J2219" s="59" t="s">
        <v>22</v>
      </c>
      <c r="L2219" s="5" t="str">
        <f t="shared" si="695"/>
        <v>02218</v>
      </c>
      <c r="M2219" s="46" t="str">
        <f t="shared" si="696"/>
        <v>27 de julio de 2019</v>
      </c>
      <c r="N2219" s="318">
        <f t="shared" si="688"/>
        <v>27</v>
      </c>
      <c r="O2219" s="24">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1026</v>
      </c>
      <c r="J2220" s="59" t="s">
        <v>22</v>
      </c>
      <c r="L2220" s="5" t="str">
        <f t="shared" si="695"/>
        <v>02219</v>
      </c>
      <c r="M2220" s="46" t="str">
        <f t="shared" si="696"/>
        <v>28 de julio de 2019</v>
      </c>
      <c r="N2220" s="318">
        <f t="shared" si="688"/>
        <v>28</v>
      </c>
      <c r="O2220" s="24">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1026</v>
      </c>
      <c r="J2221" s="59" t="s">
        <v>22</v>
      </c>
      <c r="L2221" s="5" t="str">
        <f t="shared" si="695"/>
        <v>02220</v>
      </c>
      <c r="M2221" s="46" t="str">
        <f t="shared" si="696"/>
        <v>29 de julio de 2019</v>
      </c>
      <c r="N2221" s="318">
        <f t="shared" si="688"/>
        <v>29</v>
      </c>
      <c r="O2221" s="24">
        <f t="shared" si="697"/>
        <v>43647</v>
      </c>
      <c r="P2221" s="5" t="str">
        <f t="shared" si="690"/>
        <v>20.000,00</v>
      </c>
      <c r="Q2221" s="4" t="e">
        <f t="shared" ca="1" si="691"/>
        <v>#NAME?</v>
      </c>
    </row>
    <row r="2222" spans="1:17">
      <c r="A2222" s="1">
        <f t="shared" si="677"/>
        <v>2221</v>
      </c>
      <c r="C2222" s="8" t="s">
        <v>17</v>
      </c>
      <c r="D2222" s="2">
        <v>43675</v>
      </c>
      <c r="E2222" s="3">
        <v>10000</v>
      </c>
      <c r="F2222" t="s">
        <v>936</v>
      </c>
      <c r="G2222" t="s">
        <v>937</v>
      </c>
      <c r="H2222" t="s">
        <v>150</v>
      </c>
      <c r="I2222" s="6" t="s">
        <v>1008</v>
      </c>
      <c r="J2222" s="59" t="s">
        <v>22</v>
      </c>
      <c r="L2222" s="5" t="str">
        <f t="shared" si="695"/>
        <v>02221</v>
      </c>
      <c r="M2222" s="46" t="str">
        <f t="shared" si="696"/>
        <v>29 de julio de 2019</v>
      </c>
      <c r="N2222" s="318">
        <f t="shared" si="688"/>
        <v>29</v>
      </c>
      <c r="O2222" s="24">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1008</v>
      </c>
      <c r="J2223" s="59" t="s">
        <v>22</v>
      </c>
      <c r="L2223" s="5" t="str">
        <f t="shared" si="695"/>
        <v>02222</v>
      </c>
      <c r="M2223" s="46" t="str">
        <f t="shared" si="696"/>
        <v>29 de julio de 2019</v>
      </c>
      <c r="N2223" s="318">
        <f t="shared" si="688"/>
        <v>29</v>
      </c>
      <c r="O2223" s="24">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1008</v>
      </c>
      <c r="J2224" s="59" t="s">
        <v>22</v>
      </c>
      <c r="L2224" s="5" t="str">
        <f t="shared" si="695"/>
        <v>02223</v>
      </c>
      <c r="M2224" s="46" t="str">
        <f t="shared" si="696"/>
        <v>17 de julio de 2019</v>
      </c>
      <c r="N2224" s="318">
        <f t="shared" si="688"/>
        <v>17</v>
      </c>
      <c r="O2224" s="24">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1026</v>
      </c>
      <c r="J2225" s="59" t="s">
        <v>22</v>
      </c>
      <c r="L2225" s="5" t="str">
        <f t="shared" si="695"/>
        <v>02224</v>
      </c>
      <c r="M2225" s="46" t="str">
        <f t="shared" si="696"/>
        <v>30 de julio de 2019</v>
      </c>
      <c r="N2225" s="318">
        <f t="shared" si="688"/>
        <v>30</v>
      </c>
      <c r="O2225" s="24">
        <f t="shared" si="697"/>
        <v>43647</v>
      </c>
      <c r="P2225" s="5" t="str">
        <f t="shared" si="690"/>
        <v>20.000,00</v>
      </c>
      <c r="Q2225" s="4" t="e">
        <f t="shared" ca="1" si="691"/>
        <v>#NAME?</v>
      </c>
    </row>
    <row r="2226" spans="1:17">
      <c r="A2226" s="1">
        <f t="shared" si="677"/>
        <v>2225</v>
      </c>
      <c r="C2226" s="8" t="s">
        <v>17</v>
      </c>
      <c r="D2226" s="2">
        <v>43676</v>
      </c>
      <c r="E2226" s="3">
        <v>10000</v>
      </c>
      <c r="F2226" t="s">
        <v>1018</v>
      </c>
      <c r="G2226" s="447" t="s">
        <v>1019</v>
      </c>
      <c r="H2226" t="s">
        <v>140</v>
      </c>
      <c r="I2226" s="6" t="s">
        <v>1008</v>
      </c>
      <c r="J2226" s="59" t="s">
        <v>22</v>
      </c>
      <c r="L2226" s="5" t="str">
        <f t="shared" si="695"/>
        <v>02225</v>
      </c>
      <c r="M2226" s="46" t="str">
        <f t="shared" si="696"/>
        <v>30 de julio de 2019</v>
      </c>
      <c r="N2226" s="318">
        <f t="shared" si="688"/>
        <v>30</v>
      </c>
      <c r="O2226" s="24">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1008</v>
      </c>
      <c r="J2227" s="59" t="s">
        <v>22</v>
      </c>
      <c r="L2227" s="5" t="str">
        <f t="shared" si="695"/>
        <v>02226</v>
      </c>
      <c r="M2227" s="46" t="str">
        <f t="shared" si="696"/>
        <v>30 de julio de 2019</v>
      </c>
      <c r="N2227" s="318">
        <f t="shared" si="688"/>
        <v>30</v>
      </c>
      <c r="O2227" s="24">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1025</v>
      </c>
      <c r="J2228" s="59" t="s">
        <v>22</v>
      </c>
      <c r="L2228" s="5" t="str">
        <f t="shared" si="695"/>
        <v>02227</v>
      </c>
      <c r="M2228" s="46" t="str">
        <f t="shared" si="696"/>
        <v>31 de julio de 2019</v>
      </c>
      <c r="N2228" s="318">
        <f t="shared" si="688"/>
        <v>31</v>
      </c>
      <c r="O2228" s="24">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1027</v>
      </c>
      <c r="J2229" s="59" t="s">
        <v>22</v>
      </c>
      <c r="L2229" s="5" t="str">
        <f t="shared" si="695"/>
        <v>02228</v>
      </c>
      <c r="M2229" s="46" t="str">
        <f t="shared" si="696"/>
        <v>31 de julio de 2019</v>
      </c>
      <c r="N2229" s="318">
        <f t="shared" si="688"/>
        <v>31</v>
      </c>
      <c r="O2229" s="24">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1027</v>
      </c>
      <c r="J2230" s="59" t="s">
        <v>22</v>
      </c>
      <c r="L2230" s="5" t="str">
        <f t="shared" si="695"/>
        <v>02229</v>
      </c>
      <c r="M2230" s="46" t="str">
        <f t="shared" si="696"/>
        <v>01 de agosto de 2019</v>
      </c>
      <c r="N2230" s="318">
        <f t="shared" si="688"/>
        <v>1</v>
      </c>
      <c r="O2230" s="24">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1027</v>
      </c>
      <c r="J2231" s="59" t="s">
        <v>22</v>
      </c>
      <c r="L2231" s="5" t="str">
        <f t="shared" si="695"/>
        <v>02230</v>
      </c>
      <c r="M2231" s="46" t="str">
        <f t="shared" si="696"/>
        <v>01 de agosto de 2019</v>
      </c>
      <c r="N2231" s="318">
        <f t="shared" si="688"/>
        <v>1</v>
      </c>
      <c r="O2231" s="24">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1026</v>
      </c>
      <c r="J2232" s="59" t="s">
        <v>22</v>
      </c>
      <c r="L2232" s="5" t="str">
        <f t="shared" si="695"/>
        <v>02231</v>
      </c>
      <c r="M2232" s="46" t="str">
        <f t="shared" si="696"/>
        <v>01 de agosto de 2019</v>
      </c>
      <c r="N2232" s="318">
        <f t="shared" si="688"/>
        <v>1</v>
      </c>
      <c r="O2232" s="24">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1027</v>
      </c>
      <c r="J2233" s="59" t="s">
        <v>22</v>
      </c>
      <c r="L2233" s="5" t="str">
        <f t="shared" si="695"/>
        <v>02232</v>
      </c>
      <c r="M2233" s="46" t="str">
        <f t="shared" si="696"/>
        <v>01 de agosto de 2019</v>
      </c>
      <c r="N2233" s="318">
        <f t="shared" si="688"/>
        <v>1</v>
      </c>
      <c r="O2233" s="24">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1008</v>
      </c>
      <c r="J2234" s="59" t="s">
        <v>22</v>
      </c>
      <c r="L2234" s="5" t="str">
        <f t="shared" si="695"/>
        <v>02233</v>
      </c>
      <c r="M2234" s="46" t="str">
        <f t="shared" si="696"/>
        <v>02 de agosto de 2019</v>
      </c>
      <c r="N2234" s="318">
        <f t="shared" si="688"/>
        <v>2</v>
      </c>
      <c r="O2234" s="24">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1027</v>
      </c>
      <c r="J2235" s="59" t="s">
        <v>22</v>
      </c>
      <c r="L2235" s="5" t="str">
        <f t="shared" si="695"/>
        <v>02234</v>
      </c>
      <c r="M2235" s="46" t="str">
        <f t="shared" si="696"/>
        <v>03 de julio de 2019</v>
      </c>
      <c r="N2235" s="318">
        <f t="shared" si="688"/>
        <v>3</v>
      </c>
      <c r="O2235" s="24">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1028</v>
      </c>
      <c r="J2236" s="59" t="s">
        <v>22</v>
      </c>
      <c r="L2236" s="5" t="str">
        <f t="shared" si="695"/>
        <v>02235</v>
      </c>
      <c r="M2236" s="46" t="str">
        <f t="shared" si="696"/>
        <v>04 de agosto de 2019</v>
      </c>
      <c r="N2236" s="318">
        <f t="shared" si="688"/>
        <v>4</v>
      </c>
      <c r="O2236" s="24">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1027</v>
      </c>
      <c r="J2237" s="59" t="s">
        <v>22</v>
      </c>
      <c r="L2237" s="5" t="str">
        <f t="shared" si="695"/>
        <v>02236</v>
      </c>
      <c r="M2237" s="46" t="str">
        <f t="shared" si="696"/>
        <v>05 de agosto de 2019</v>
      </c>
      <c r="N2237" s="318">
        <f t="shared" si="688"/>
        <v>5</v>
      </c>
      <c r="O2237" s="24">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1027</v>
      </c>
      <c r="J2238" s="59" t="s">
        <v>22</v>
      </c>
      <c r="L2238" s="5" t="str">
        <f t="shared" si="695"/>
        <v>02237</v>
      </c>
      <c r="M2238" s="46" t="str">
        <f t="shared" si="696"/>
        <v>05 de agosto de 2019</v>
      </c>
      <c r="N2238" s="318">
        <f t="shared" si="688"/>
        <v>5</v>
      </c>
      <c r="O2238" s="24">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1027</v>
      </c>
      <c r="J2239" s="59" t="s">
        <v>22</v>
      </c>
      <c r="L2239" s="5" t="str">
        <f t="shared" si="695"/>
        <v>02238</v>
      </c>
      <c r="M2239" s="46" t="str">
        <f t="shared" si="696"/>
        <v>05 de agosto de 2019</v>
      </c>
      <c r="N2239" s="318">
        <f t="shared" si="688"/>
        <v>5</v>
      </c>
      <c r="O2239" s="24">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1027</v>
      </c>
      <c r="J2240" s="59" t="s">
        <v>22</v>
      </c>
      <c r="L2240" s="5" t="str">
        <f t="shared" si="695"/>
        <v>02239</v>
      </c>
      <c r="M2240" s="46" t="str">
        <f t="shared" si="696"/>
        <v>05 de agosto de 2019</v>
      </c>
      <c r="N2240" s="318">
        <f t="shared" si="688"/>
        <v>5</v>
      </c>
      <c r="O2240" s="24">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1027</v>
      </c>
      <c r="J2241" s="59" t="s">
        <v>22</v>
      </c>
      <c r="L2241" s="5" t="str">
        <f t="shared" si="695"/>
        <v>02240</v>
      </c>
      <c r="M2241" s="46" t="str">
        <f t="shared" si="696"/>
        <v>05 de agosto de 2019</v>
      </c>
      <c r="N2241" s="318">
        <f t="shared" si="688"/>
        <v>5</v>
      </c>
      <c r="O2241" s="24">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1029</v>
      </c>
      <c r="J2242" s="59" t="s">
        <v>22</v>
      </c>
      <c r="L2242" s="5" t="str">
        <f t="shared" si="695"/>
        <v>02241</v>
      </c>
      <c r="M2242" s="46" t="str">
        <f t="shared" si="696"/>
        <v>05 de agosto de 2019</v>
      </c>
      <c r="N2242" s="318">
        <f t="shared" si="688"/>
        <v>5</v>
      </c>
      <c r="O2242" s="24">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1030</v>
      </c>
      <c r="J2243" s="59" t="s">
        <v>22</v>
      </c>
      <c r="L2243" s="5" t="str">
        <f t="shared" si="695"/>
        <v>02242</v>
      </c>
      <c r="M2243" s="46" t="str">
        <f t="shared" si="696"/>
        <v>05 de agosto de 2019</v>
      </c>
      <c r="N2243" s="318">
        <f t="shared" si="688"/>
        <v>5</v>
      </c>
      <c r="O2243" s="24">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1031</v>
      </c>
      <c r="J2244" s="59" t="s">
        <v>22</v>
      </c>
      <c r="L2244" s="5" t="str">
        <f t="shared" si="695"/>
        <v>02243</v>
      </c>
      <c r="M2244" s="46" t="str">
        <f t="shared" si="696"/>
        <v>05 de agosto de 2019</v>
      </c>
      <c r="N2244" s="318">
        <f t="shared" si="688"/>
        <v>5</v>
      </c>
      <c r="O2244" s="24">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1032</v>
      </c>
      <c r="J2245" s="59" t="s">
        <v>22</v>
      </c>
      <c r="L2245" s="5" t="str">
        <f t="shared" si="695"/>
        <v>02244</v>
      </c>
      <c r="M2245" s="46" t="str">
        <f t="shared" si="696"/>
        <v>06 de agosto de 2019</v>
      </c>
      <c r="N2245" s="318">
        <f t="shared" ref="N2245:N2257" si="700">DAY(D2245)</f>
        <v>6</v>
      </c>
      <c r="O2245" s="24">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59" t="s">
        <v>1033</v>
      </c>
      <c r="J2246" s="59" t="s">
        <v>22</v>
      </c>
      <c r="L2246" s="5" t="str">
        <f t="shared" ref="L2246:L2257" si="702">IF(ISBLANK(A2246),"",TEXT(A2246,"00000"))</f>
        <v>02245</v>
      </c>
      <c r="M2246" s="46" t="str">
        <f t="shared" ref="M2246:M2257" si="703">IF(ISBLANK(D2246),"",TEXT(D2246,"dd")&amp;" de "&amp;TEXT(D2246,"mmmm")&amp;" de "&amp;TEXT(YEAR(D2246),"0"))</f>
        <v>06 de agosto de 2019</v>
      </c>
      <c r="N2246" s="318">
        <f t="shared" si="700"/>
        <v>6</v>
      </c>
      <c r="O2246" s="24">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1034</v>
      </c>
      <c r="J2247" s="59" t="s">
        <v>22</v>
      </c>
      <c r="L2247" s="5" t="str">
        <f t="shared" si="702"/>
        <v>02246</v>
      </c>
      <c r="M2247" s="46" t="str">
        <f t="shared" si="703"/>
        <v>06 de agosto de 2019</v>
      </c>
      <c r="N2247" s="318">
        <f t="shared" si="700"/>
        <v>6</v>
      </c>
      <c r="O2247" s="24">
        <f t="shared" si="704"/>
        <v>43678</v>
      </c>
      <c r="P2247" s="5" t="str">
        <f t="shared" si="701"/>
        <v>20.000,00</v>
      </c>
      <c r="Q2247" s="4" t="e">
        <f t="shared" ca="1" si="698"/>
        <v>#NAME?</v>
      </c>
    </row>
    <row r="2248" spans="1:17">
      <c r="A2248" s="1">
        <f t="shared" si="699"/>
        <v>2247</v>
      </c>
      <c r="C2248" s="83" t="s">
        <v>17</v>
      </c>
      <c r="D2248" s="2">
        <v>43653</v>
      </c>
      <c r="E2248" s="3">
        <v>20000</v>
      </c>
      <c r="F2248" t="s">
        <v>40</v>
      </c>
      <c r="G2248" s="18" t="s">
        <v>58</v>
      </c>
      <c r="H2248" t="s">
        <v>42</v>
      </c>
      <c r="I2248" s="6" t="s">
        <v>1032</v>
      </c>
      <c r="J2248" s="59" t="s">
        <v>22</v>
      </c>
      <c r="L2248" s="5" t="str">
        <f t="shared" si="702"/>
        <v>02247</v>
      </c>
      <c r="M2248" s="46" t="str">
        <f t="shared" si="703"/>
        <v>07 de julio de 2019</v>
      </c>
      <c r="N2248" s="318">
        <f t="shared" si="700"/>
        <v>7</v>
      </c>
      <c r="O2248" s="24">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1027</v>
      </c>
      <c r="J2249" s="59" t="s">
        <v>22</v>
      </c>
      <c r="L2249" s="5" t="str">
        <f t="shared" si="702"/>
        <v>02248</v>
      </c>
      <c r="M2249" s="46" t="str">
        <f t="shared" si="703"/>
        <v>07 de julio de 2019</v>
      </c>
      <c r="N2249" s="318">
        <f t="shared" si="700"/>
        <v>7</v>
      </c>
      <c r="O2249" s="24">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1027</v>
      </c>
      <c r="J2250" s="59" t="s">
        <v>22</v>
      </c>
      <c r="L2250" s="5" t="str">
        <f t="shared" si="702"/>
        <v>02249</v>
      </c>
      <c r="M2250" s="46" t="str">
        <f t="shared" si="703"/>
        <v>08 de agosto de 2019</v>
      </c>
      <c r="N2250" s="318">
        <f t="shared" si="700"/>
        <v>8</v>
      </c>
      <c r="O2250" s="24">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1027</v>
      </c>
      <c r="J2251" s="59" t="s">
        <v>22</v>
      </c>
      <c r="L2251" s="5" t="str">
        <f t="shared" si="702"/>
        <v>02250</v>
      </c>
      <c r="M2251" s="46" t="str">
        <f t="shared" si="703"/>
        <v>08 de agosto de 2019</v>
      </c>
      <c r="N2251" s="318">
        <f t="shared" si="700"/>
        <v>8</v>
      </c>
      <c r="O2251" s="24">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1021</v>
      </c>
      <c r="J2252" s="59" t="s">
        <v>22</v>
      </c>
      <c r="L2252" s="5" t="str">
        <f t="shared" si="702"/>
        <v>02251</v>
      </c>
      <c r="M2252" s="46" t="str">
        <f t="shared" si="703"/>
        <v>08 de agosto de 2019</v>
      </c>
      <c r="N2252" s="318">
        <f t="shared" si="700"/>
        <v>8</v>
      </c>
      <c r="O2252" s="24">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1027</v>
      </c>
      <c r="J2253" s="59" t="s">
        <v>22</v>
      </c>
      <c r="L2253" s="5" t="str">
        <f t="shared" si="702"/>
        <v>02252</v>
      </c>
      <c r="M2253" s="46" t="str">
        <f t="shared" si="703"/>
        <v>08 de agosto de 2019</v>
      </c>
      <c r="N2253" s="318">
        <f t="shared" si="700"/>
        <v>8</v>
      </c>
      <c r="O2253" s="24">
        <f t="shared" si="704"/>
        <v>43678</v>
      </c>
      <c r="P2253" s="5" t="str">
        <f t="shared" si="701"/>
        <v>10.000,00</v>
      </c>
      <c r="Q2253" s="4" t="e">
        <f t="shared" ca="1" si="705"/>
        <v>#NAME?</v>
      </c>
    </row>
    <row r="2254" spans="1:17">
      <c r="A2254" s="1">
        <f t="shared" si="699"/>
        <v>2253</v>
      </c>
      <c r="C2254" s="8" t="s">
        <v>17</v>
      </c>
      <c r="D2254" s="2">
        <v>43685</v>
      </c>
      <c r="E2254" s="3">
        <v>10000</v>
      </c>
      <c r="F2254" t="s">
        <v>948</v>
      </c>
      <c r="G2254" t="s">
        <v>949</v>
      </c>
      <c r="H2254" t="s">
        <v>950</v>
      </c>
      <c r="I2254" s="6" t="s">
        <v>1027</v>
      </c>
      <c r="J2254" s="59" t="s">
        <v>22</v>
      </c>
      <c r="L2254" s="5" t="str">
        <f t="shared" si="702"/>
        <v>02253</v>
      </c>
      <c r="M2254" s="46" t="str">
        <f t="shared" si="703"/>
        <v>08 de agosto de 2019</v>
      </c>
      <c r="N2254" s="318">
        <f t="shared" si="700"/>
        <v>8</v>
      </c>
      <c r="O2254" s="24">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1027</v>
      </c>
      <c r="J2255" s="59" t="s">
        <v>22</v>
      </c>
      <c r="L2255" s="5" t="str">
        <f t="shared" si="702"/>
        <v>02254</v>
      </c>
      <c r="M2255" s="46" t="str">
        <f t="shared" si="703"/>
        <v>07 de agosto de 2019</v>
      </c>
      <c r="N2255" s="318">
        <f t="shared" si="700"/>
        <v>7</v>
      </c>
      <c r="O2255" s="24">
        <f t="shared" si="704"/>
        <v>43678</v>
      </c>
      <c r="P2255" s="5" t="str">
        <f t="shared" si="701"/>
        <v>10.000,00</v>
      </c>
      <c r="Q2255" s="4" t="e">
        <f t="shared" ca="1" si="705"/>
        <v>#NAME?</v>
      </c>
    </row>
    <row r="2256" spans="1:17">
      <c r="A2256" s="1">
        <f t="shared" si="699"/>
        <v>2255</v>
      </c>
      <c r="C2256" s="83" t="s">
        <v>17</v>
      </c>
      <c r="D2256" s="2">
        <v>43685</v>
      </c>
      <c r="E2256" s="3">
        <v>21000</v>
      </c>
      <c r="F2256" t="s">
        <v>410</v>
      </c>
      <c r="G2256" s="18" t="s">
        <v>58</v>
      </c>
      <c r="H2256" t="s">
        <v>411</v>
      </c>
      <c r="I2256" s="6" t="s">
        <v>1035</v>
      </c>
      <c r="J2256" s="59" t="s">
        <v>22</v>
      </c>
      <c r="L2256" s="5" t="str">
        <f t="shared" si="702"/>
        <v>02255</v>
      </c>
      <c r="M2256" s="46" t="str">
        <f t="shared" si="703"/>
        <v>08 de agosto de 2019</v>
      </c>
      <c r="N2256" s="318">
        <f t="shared" si="700"/>
        <v>8</v>
      </c>
      <c r="O2256" s="24">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1008</v>
      </c>
      <c r="J2257" s="59" t="s">
        <v>22</v>
      </c>
      <c r="L2257" s="5" t="str">
        <f t="shared" si="702"/>
        <v>02256</v>
      </c>
      <c r="M2257" s="46" t="str">
        <f t="shared" si="703"/>
        <v>09 de agosto de 2019</v>
      </c>
      <c r="N2257" s="318">
        <f t="shared" si="700"/>
        <v>9</v>
      </c>
      <c r="O2257" s="24">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1036</v>
      </c>
      <c r="J2258" s="59" t="s">
        <v>22</v>
      </c>
      <c r="L2258" s="5" t="str">
        <f t="shared" ref="L2258:L2292" si="706">IF(ISBLANK(A2258),"",TEXT(A2258,"00000"))</f>
        <v>02257</v>
      </c>
      <c r="M2258" s="46" t="str">
        <f t="shared" ref="M2258:M2292" si="707">IF(ISBLANK(D2258),"",TEXT(D2258,"dd")&amp;" de "&amp;TEXT(D2258,"mmmm")&amp;" de "&amp;TEXT(YEAR(D2258),"0"))</f>
        <v>09 de agosto de 2019</v>
      </c>
      <c r="N2258" s="318">
        <f t="shared" ref="N2258:N2300" si="708">DAY(D2258)</f>
        <v>9</v>
      </c>
      <c r="O2258" s="24">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1027</v>
      </c>
      <c r="J2259" s="59" t="s">
        <v>22</v>
      </c>
      <c r="L2259" s="5" t="str">
        <f t="shared" si="706"/>
        <v>02258</v>
      </c>
      <c r="M2259" s="46" t="str">
        <f t="shared" si="707"/>
        <v>10 de agosto de 2019</v>
      </c>
      <c r="N2259" s="318">
        <f t="shared" si="708"/>
        <v>10</v>
      </c>
      <c r="O2259" s="24">
        <f t="shared" si="709"/>
        <v>43678</v>
      </c>
      <c r="P2259" s="5" t="str">
        <f t="shared" si="710"/>
        <v>10.000,00</v>
      </c>
      <c r="Q2259" s="4" t="e">
        <f t="shared" ca="1" si="705"/>
        <v>#NAME?</v>
      </c>
    </row>
    <row r="2260" spans="1:17">
      <c r="A2260" s="1">
        <f t="shared" si="699"/>
        <v>2259</v>
      </c>
      <c r="C2260" s="83" t="s">
        <v>17</v>
      </c>
      <c r="D2260" s="2">
        <v>43688</v>
      </c>
      <c r="E2260" s="3">
        <v>10000</v>
      </c>
      <c r="F2260" t="s">
        <v>319</v>
      </c>
      <c r="G2260" s="18" t="s">
        <v>58</v>
      </c>
      <c r="H2260" t="s">
        <v>320</v>
      </c>
      <c r="I2260" s="6" t="s">
        <v>1027</v>
      </c>
      <c r="J2260" s="59" t="s">
        <v>22</v>
      </c>
      <c r="L2260" s="5" t="str">
        <f t="shared" si="706"/>
        <v>02259</v>
      </c>
      <c r="M2260" s="46" t="str">
        <f t="shared" si="707"/>
        <v>11 de agosto de 2019</v>
      </c>
      <c r="N2260" s="318">
        <f t="shared" si="708"/>
        <v>11</v>
      </c>
      <c r="O2260" s="24">
        <f t="shared" si="709"/>
        <v>43678</v>
      </c>
      <c r="P2260" s="5" t="str">
        <f t="shared" si="710"/>
        <v>10.000,00</v>
      </c>
      <c r="Q2260" s="4" t="e">
        <f t="shared" ca="1" si="705"/>
        <v>#NAME?</v>
      </c>
    </row>
    <row r="2261" spans="1:17">
      <c r="A2261" s="1">
        <f t="shared" si="699"/>
        <v>2260</v>
      </c>
      <c r="C2261" s="8" t="s">
        <v>17</v>
      </c>
      <c r="D2261" s="2">
        <v>43689</v>
      </c>
      <c r="E2261" s="3">
        <v>10000</v>
      </c>
      <c r="F2261" t="s">
        <v>342</v>
      </c>
      <c r="G2261" t="s">
        <v>1037</v>
      </c>
      <c r="H2261" t="s">
        <v>344</v>
      </c>
      <c r="I2261" s="6" t="s">
        <v>1027</v>
      </c>
      <c r="J2261" s="59" t="s">
        <v>22</v>
      </c>
      <c r="L2261" s="5" t="str">
        <f t="shared" si="706"/>
        <v>02260</v>
      </c>
      <c r="M2261" s="46" t="str">
        <f t="shared" si="707"/>
        <v>12 de agosto de 2019</v>
      </c>
      <c r="N2261" s="318">
        <f t="shared" si="708"/>
        <v>12</v>
      </c>
      <c r="O2261" s="24">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1027</v>
      </c>
      <c r="J2262" s="59" t="s">
        <v>22</v>
      </c>
      <c r="L2262" s="5" t="str">
        <f t="shared" si="706"/>
        <v>02261</v>
      </c>
      <c r="M2262" s="46" t="str">
        <f t="shared" si="707"/>
        <v>12 de agosto de 2019</v>
      </c>
      <c r="N2262" s="318">
        <f t="shared" si="708"/>
        <v>12</v>
      </c>
      <c r="O2262" s="24">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1027</v>
      </c>
      <c r="J2263" s="59" t="s">
        <v>22</v>
      </c>
      <c r="L2263" s="5" t="str">
        <f t="shared" si="706"/>
        <v>02262</v>
      </c>
      <c r="M2263" s="46" t="str">
        <f t="shared" si="707"/>
        <v>13 de agosto de 2019</v>
      </c>
      <c r="N2263" s="318">
        <f t="shared" si="708"/>
        <v>13</v>
      </c>
      <c r="O2263" s="24">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1026</v>
      </c>
      <c r="J2264" s="59" t="s">
        <v>22</v>
      </c>
      <c r="L2264" s="5" t="str">
        <f t="shared" si="706"/>
        <v>02263</v>
      </c>
      <c r="M2264" s="46" t="str">
        <f t="shared" si="707"/>
        <v>15 de agosto de 2019</v>
      </c>
      <c r="N2264" s="318">
        <f t="shared" si="708"/>
        <v>15</v>
      </c>
      <c r="O2264" s="24">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1038</v>
      </c>
      <c r="J2265" s="59" t="s">
        <v>22</v>
      </c>
      <c r="L2265" s="5" t="str">
        <f t="shared" si="706"/>
        <v>02264</v>
      </c>
      <c r="M2265" s="46" t="str">
        <f t="shared" si="707"/>
        <v>15 de agosto de 2019</v>
      </c>
      <c r="N2265" s="318">
        <f t="shared" si="708"/>
        <v>15</v>
      </c>
      <c r="O2265" s="24">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1027</v>
      </c>
      <c r="J2266" s="59" t="s">
        <v>22</v>
      </c>
      <c r="L2266" s="5" t="str">
        <f t="shared" si="706"/>
        <v>02265</v>
      </c>
      <c r="M2266" s="46" t="str">
        <f t="shared" si="707"/>
        <v>15 de agosto de 2019</v>
      </c>
      <c r="N2266" s="318">
        <f t="shared" si="708"/>
        <v>15</v>
      </c>
      <c r="O2266" s="24">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1026</v>
      </c>
      <c r="J2267" s="59" t="s">
        <v>22</v>
      </c>
      <c r="L2267" s="5" t="str">
        <f t="shared" si="706"/>
        <v>02266</v>
      </c>
      <c r="M2267" s="46" t="str">
        <f t="shared" si="707"/>
        <v>15 de agosto de 2019</v>
      </c>
      <c r="N2267" s="318">
        <f t="shared" si="708"/>
        <v>15</v>
      </c>
      <c r="O2267" s="24">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1026</v>
      </c>
      <c r="J2268" s="59" t="s">
        <v>22</v>
      </c>
      <c r="L2268" s="5" t="str">
        <f t="shared" si="706"/>
        <v>02267</v>
      </c>
      <c r="M2268" s="46" t="str">
        <f t="shared" si="707"/>
        <v>15 de agosto de 2019</v>
      </c>
      <c r="N2268" s="318">
        <f t="shared" si="708"/>
        <v>15</v>
      </c>
      <c r="O2268" s="24">
        <f t="shared" si="709"/>
        <v>43678</v>
      </c>
      <c r="P2268" s="5" t="str">
        <f t="shared" si="710"/>
        <v>20.000,00</v>
      </c>
      <c r="Q2268" s="4" t="e">
        <f t="shared" ca="1" si="705"/>
        <v>#NAME?</v>
      </c>
    </row>
    <row r="2269" spans="1:17">
      <c r="A2269" s="1">
        <f t="shared" si="711"/>
        <v>2268</v>
      </c>
      <c r="C2269" s="8" t="s">
        <v>17</v>
      </c>
      <c r="D2269" s="2">
        <v>43654</v>
      </c>
      <c r="E2269" s="3">
        <v>8000</v>
      </c>
      <c r="F2269" t="s">
        <v>177</v>
      </c>
      <c r="G2269" t="s">
        <v>942</v>
      </c>
      <c r="H2269" t="s">
        <v>179</v>
      </c>
      <c r="I2269" s="6" t="s">
        <v>1039</v>
      </c>
      <c r="J2269" s="59" t="s">
        <v>22</v>
      </c>
      <c r="L2269" s="5" t="str">
        <f t="shared" si="706"/>
        <v>02268</v>
      </c>
      <c r="M2269" s="46" t="str">
        <f t="shared" si="707"/>
        <v>08 de julio de 2019</v>
      </c>
      <c r="N2269" s="318">
        <f t="shared" si="708"/>
        <v>8</v>
      </c>
      <c r="O2269" s="24">
        <f t="shared" si="709"/>
        <v>43647</v>
      </c>
      <c r="P2269" s="5" t="str">
        <f t="shared" si="710"/>
        <v>8.000,00</v>
      </c>
      <c r="Q2269" s="4" t="e">
        <f t="shared" ca="1" si="705"/>
        <v>#NAME?</v>
      </c>
    </row>
    <row r="2270" spans="1:17">
      <c r="A2270" s="1">
        <f t="shared" si="711"/>
        <v>2269</v>
      </c>
      <c r="C2270" s="8" t="s">
        <v>17</v>
      </c>
      <c r="D2270" s="2">
        <v>43689</v>
      </c>
      <c r="E2270" s="3">
        <v>10000</v>
      </c>
      <c r="F2270" t="s">
        <v>177</v>
      </c>
      <c r="G2270" t="s">
        <v>942</v>
      </c>
      <c r="H2270" t="s">
        <v>179</v>
      </c>
      <c r="I2270" s="6" t="s">
        <v>1040</v>
      </c>
      <c r="J2270" s="59" t="s">
        <v>22</v>
      </c>
      <c r="L2270" s="5" t="str">
        <f t="shared" si="706"/>
        <v>02269</v>
      </c>
      <c r="M2270" s="46" t="str">
        <f t="shared" si="707"/>
        <v>12 de agosto de 2019</v>
      </c>
      <c r="N2270" s="318">
        <f t="shared" si="708"/>
        <v>12</v>
      </c>
      <c r="O2270" s="24">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1027</v>
      </c>
      <c r="J2271" s="59" t="s">
        <v>22</v>
      </c>
      <c r="L2271" s="5" t="str">
        <f t="shared" si="706"/>
        <v>02270</v>
      </c>
      <c r="M2271" s="46" t="str">
        <f t="shared" si="707"/>
        <v>20 de agosto de 2019</v>
      </c>
      <c r="N2271" s="318">
        <f t="shared" si="708"/>
        <v>20</v>
      </c>
      <c r="O2271" s="24">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1008</v>
      </c>
      <c r="J2272" s="59" t="s">
        <v>22</v>
      </c>
      <c r="L2272" s="5" t="str">
        <f t="shared" si="706"/>
        <v>02271</v>
      </c>
      <c r="M2272" s="46" t="str">
        <f t="shared" si="707"/>
        <v>21 de agosto de 2019</v>
      </c>
      <c r="N2272" s="318">
        <f t="shared" si="708"/>
        <v>21</v>
      </c>
      <c r="O2272" s="24">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1027</v>
      </c>
      <c r="J2273" s="59" t="s">
        <v>22</v>
      </c>
      <c r="L2273" s="5" t="str">
        <f t="shared" si="706"/>
        <v>02272</v>
      </c>
      <c r="M2273" s="46" t="str">
        <f t="shared" si="707"/>
        <v>22 de agosto de 2019</v>
      </c>
      <c r="N2273" s="318">
        <f t="shared" si="708"/>
        <v>22</v>
      </c>
      <c r="O2273" s="24">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1027</v>
      </c>
      <c r="J2274" s="59" t="s">
        <v>22</v>
      </c>
      <c r="L2274" s="5" t="str">
        <f t="shared" si="706"/>
        <v>02273</v>
      </c>
      <c r="M2274" s="46" t="str">
        <f t="shared" si="707"/>
        <v>22 de agosto de 2019</v>
      </c>
      <c r="N2274" s="318">
        <f t="shared" si="708"/>
        <v>22</v>
      </c>
      <c r="O2274" s="24">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1027</v>
      </c>
      <c r="J2275" s="59" t="s">
        <v>22</v>
      </c>
      <c r="L2275" s="5" t="str">
        <f t="shared" si="706"/>
        <v>02274</v>
      </c>
      <c r="M2275" s="46" t="str">
        <f t="shared" si="707"/>
        <v>22 de agosto de 2019</v>
      </c>
      <c r="N2275" s="318">
        <f t="shared" si="708"/>
        <v>22</v>
      </c>
      <c r="O2275" s="24">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1028</v>
      </c>
      <c r="J2276" s="59" t="s">
        <v>22</v>
      </c>
      <c r="L2276" s="5" t="str">
        <f t="shared" si="706"/>
        <v>02275</v>
      </c>
      <c r="M2276" s="46" t="str">
        <f t="shared" si="707"/>
        <v>23 de agosto de 2019</v>
      </c>
      <c r="N2276" s="318">
        <f t="shared" si="708"/>
        <v>23</v>
      </c>
      <c r="O2276" s="24">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1027</v>
      </c>
      <c r="J2277" s="59" t="s">
        <v>22</v>
      </c>
      <c r="L2277" s="5" t="str">
        <f t="shared" si="706"/>
        <v>02276</v>
      </c>
      <c r="M2277" s="46" t="str">
        <f t="shared" si="707"/>
        <v>24 de agosto de 2019</v>
      </c>
      <c r="N2277" s="318">
        <f t="shared" si="708"/>
        <v>24</v>
      </c>
      <c r="O2277" s="24">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1026</v>
      </c>
      <c r="J2278" s="59" t="s">
        <v>22</v>
      </c>
      <c r="L2278" s="5" t="str">
        <f t="shared" si="706"/>
        <v>02277</v>
      </c>
      <c r="M2278" s="46" t="str">
        <f t="shared" si="707"/>
        <v>25 de agosto de 2019</v>
      </c>
      <c r="N2278" s="318">
        <f t="shared" si="708"/>
        <v>25</v>
      </c>
      <c r="O2278" s="24">
        <f t="shared" si="709"/>
        <v>43678</v>
      </c>
      <c r="P2278" s="5" t="str">
        <f t="shared" si="710"/>
        <v>20.000,00</v>
      </c>
      <c r="Q2278" s="4" t="e">
        <f t="shared" ca="1" si="705"/>
        <v>#NAME?</v>
      </c>
    </row>
    <row r="2279" spans="1:17">
      <c r="A2279" s="1">
        <f t="shared" si="711"/>
        <v>2278</v>
      </c>
      <c r="C2279" s="8" t="s">
        <v>17</v>
      </c>
      <c r="D2279" s="2">
        <v>43703</v>
      </c>
      <c r="E2279" s="3">
        <v>10000</v>
      </c>
      <c r="F2279" t="s">
        <v>1016</v>
      </c>
      <c r="G2279" t="s">
        <v>1017</v>
      </c>
      <c r="H2279" t="s">
        <v>59</v>
      </c>
      <c r="I2279" s="6" t="s">
        <v>1027</v>
      </c>
      <c r="J2279" s="59" t="s">
        <v>22</v>
      </c>
      <c r="L2279" s="5" t="str">
        <f t="shared" si="706"/>
        <v>02278</v>
      </c>
      <c r="M2279" s="46" t="str">
        <f t="shared" si="707"/>
        <v>26 de agosto de 2019</v>
      </c>
      <c r="N2279" s="318">
        <f t="shared" si="708"/>
        <v>26</v>
      </c>
      <c r="O2279" s="24">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1032</v>
      </c>
      <c r="J2280" s="59" t="s">
        <v>22</v>
      </c>
      <c r="L2280" s="5" t="str">
        <f t="shared" si="706"/>
        <v>02279</v>
      </c>
      <c r="M2280" s="46" t="str">
        <f t="shared" si="707"/>
        <v>26 de agosto de 2019</v>
      </c>
      <c r="N2280" s="318">
        <f t="shared" si="708"/>
        <v>26</v>
      </c>
      <c r="O2280" s="24">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59" t="s">
        <v>733</v>
      </c>
      <c r="L2281" s="5" t="str">
        <f t="shared" si="706"/>
        <v>02280</v>
      </c>
      <c r="M2281" s="46" t="str">
        <f t="shared" si="707"/>
        <v>26 de agosto de 2019</v>
      </c>
      <c r="N2281" s="318">
        <f t="shared" si="708"/>
        <v>26</v>
      </c>
      <c r="O2281" s="24">
        <f t="shared" si="709"/>
        <v>43678</v>
      </c>
      <c r="P2281" s="5" t="str">
        <f t="shared" si="710"/>
        <v>10.000,00</v>
      </c>
      <c r="Q2281" s="4" t="e">
        <f t="shared" ca="1" si="712"/>
        <v>#NAME?</v>
      </c>
    </row>
    <row r="2282" spans="1:17">
      <c r="A2282" s="1">
        <f t="shared" si="711"/>
        <v>2281</v>
      </c>
      <c r="C2282" s="8" t="s">
        <v>17</v>
      </c>
      <c r="D2282" s="2">
        <v>43703</v>
      </c>
      <c r="E2282" s="3">
        <v>10000</v>
      </c>
      <c r="F2282" t="s">
        <v>936</v>
      </c>
      <c r="G2282" t="s">
        <v>937</v>
      </c>
      <c r="H2282" t="s">
        <v>150</v>
      </c>
      <c r="I2282" s="6" t="s">
        <v>1027</v>
      </c>
      <c r="J2282" s="59" t="s">
        <v>22</v>
      </c>
      <c r="L2282" s="5" t="str">
        <f t="shared" si="706"/>
        <v>02281</v>
      </c>
      <c r="M2282" s="46" t="str">
        <f t="shared" si="707"/>
        <v>26 de agosto de 2019</v>
      </c>
      <c r="N2282" s="318">
        <f t="shared" si="708"/>
        <v>26</v>
      </c>
      <c r="O2282" s="24">
        <f t="shared" si="709"/>
        <v>43678</v>
      </c>
      <c r="P2282" s="5" t="str">
        <f t="shared" si="710"/>
        <v>10.000,00</v>
      </c>
      <c r="Q2282" s="4" t="e">
        <f t="shared" ca="1" si="712"/>
        <v>#NAME?</v>
      </c>
    </row>
    <row r="2283" spans="1:17">
      <c r="A2283" s="1">
        <f t="shared" si="711"/>
        <v>2282</v>
      </c>
      <c r="C2283" s="8" t="s">
        <v>17</v>
      </c>
      <c r="D2283" s="2">
        <v>43704</v>
      </c>
      <c r="E2283" s="3">
        <v>10000</v>
      </c>
      <c r="F2283" t="s">
        <v>1018</v>
      </c>
      <c r="G2283" s="447" t="s">
        <v>1019</v>
      </c>
      <c r="H2283" t="s">
        <v>140</v>
      </c>
      <c r="I2283" s="6" t="s">
        <v>1027</v>
      </c>
      <c r="J2283" s="59" t="s">
        <v>22</v>
      </c>
      <c r="L2283" s="5" t="str">
        <f t="shared" si="706"/>
        <v>02282</v>
      </c>
      <c r="M2283" s="46" t="str">
        <f t="shared" si="707"/>
        <v>27 de agosto de 2019</v>
      </c>
      <c r="N2283" s="318">
        <f t="shared" si="708"/>
        <v>27</v>
      </c>
      <c r="O2283" s="24">
        <f t="shared" si="709"/>
        <v>43678</v>
      </c>
      <c r="P2283" s="5" t="str">
        <f t="shared" si="710"/>
        <v>10.000,00</v>
      </c>
      <c r="Q2283" s="4" t="e">
        <f t="shared" ca="1" si="705"/>
        <v>#NAME?</v>
      </c>
    </row>
    <row r="2284" spans="1:17">
      <c r="A2284" s="1">
        <f t="shared" si="711"/>
        <v>2283</v>
      </c>
      <c r="C2284" s="83" t="s">
        <v>17</v>
      </c>
      <c r="D2284" s="2">
        <v>43704</v>
      </c>
      <c r="E2284" s="160">
        <v>10000</v>
      </c>
      <c r="F2284" t="s">
        <v>492</v>
      </c>
      <c r="G2284" s="18" t="s">
        <v>58</v>
      </c>
      <c r="H2284" t="s">
        <v>493</v>
      </c>
      <c r="I2284" s="6" t="s">
        <v>1027</v>
      </c>
      <c r="J2284" s="59" t="s">
        <v>22</v>
      </c>
      <c r="L2284" s="5" t="str">
        <f t="shared" si="706"/>
        <v>02283</v>
      </c>
      <c r="M2284" s="46" t="str">
        <f t="shared" si="707"/>
        <v>27 de agosto de 2019</v>
      </c>
      <c r="N2284" s="318">
        <f t="shared" si="708"/>
        <v>27</v>
      </c>
      <c r="O2284" s="24">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1027</v>
      </c>
      <c r="J2285" s="59" t="s">
        <v>22</v>
      </c>
      <c r="L2285" s="5" t="str">
        <f t="shared" si="706"/>
        <v>02284</v>
      </c>
      <c r="M2285" s="46" t="str">
        <f t="shared" si="707"/>
        <v>27 de agosto de 2019</v>
      </c>
      <c r="N2285" s="318">
        <f t="shared" si="708"/>
        <v>27</v>
      </c>
      <c r="O2285" s="24">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1026</v>
      </c>
      <c r="J2286" s="59" t="s">
        <v>22</v>
      </c>
      <c r="L2286" s="5" t="str">
        <f t="shared" si="706"/>
        <v>02285</v>
      </c>
      <c r="M2286" s="46" t="str">
        <f t="shared" si="707"/>
        <v>26 de agosto de 2019</v>
      </c>
      <c r="N2286" s="318">
        <f t="shared" si="708"/>
        <v>26</v>
      </c>
      <c r="O2286" s="24">
        <f t="shared" si="709"/>
        <v>43678</v>
      </c>
      <c r="P2286" s="5" t="str">
        <f t="shared" si="710"/>
        <v>20.000,00</v>
      </c>
      <c r="Q2286" s="4" t="e">
        <f t="shared" ca="1" si="705"/>
        <v>#NAME?</v>
      </c>
    </row>
    <row r="2287" spans="1:17">
      <c r="A2287" s="1">
        <f t="shared" si="711"/>
        <v>2286</v>
      </c>
      <c r="C2287" s="8" t="s">
        <v>17</v>
      </c>
      <c r="D2287" s="2">
        <v>43705</v>
      </c>
      <c r="E2287" s="3">
        <v>10000</v>
      </c>
      <c r="F2287" t="s">
        <v>252</v>
      </c>
      <c r="G2287" s="447" t="s">
        <v>959</v>
      </c>
      <c r="H2287" t="s">
        <v>254</v>
      </c>
      <c r="I2287" s="6" t="s">
        <v>1036</v>
      </c>
      <c r="J2287" s="59" t="s">
        <v>22</v>
      </c>
      <c r="L2287" s="5" t="str">
        <f t="shared" si="706"/>
        <v>02286</v>
      </c>
      <c r="M2287" s="46" t="str">
        <f t="shared" si="707"/>
        <v>28 de agosto de 2019</v>
      </c>
      <c r="N2287" s="318">
        <f t="shared" si="708"/>
        <v>28</v>
      </c>
      <c r="O2287" s="24">
        <f t="shared" si="709"/>
        <v>43678</v>
      </c>
      <c r="P2287" s="5" t="str">
        <f t="shared" si="710"/>
        <v>10.000,00</v>
      </c>
      <c r="Q2287" s="4" t="e">
        <f t="shared" ca="1" si="705"/>
        <v>#NAME?</v>
      </c>
    </row>
    <row r="2288" spans="1:17">
      <c r="A2288" s="1">
        <f t="shared" si="711"/>
        <v>2287</v>
      </c>
      <c r="C2288" s="8" t="s">
        <v>17</v>
      </c>
      <c r="D2288" s="2">
        <v>43699</v>
      </c>
      <c r="E2288" s="3">
        <v>12000</v>
      </c>
      <c r="F2288" t="s">
        <v>844</v>
      </c>
      <c r="G2288" t="s">
        <v>845</v>
      </c>
      <c r="H2288" t="s">
        <v>169</v>
      </c>
      <c r="I2288" s="6" t="s">
        <v>1041</v>
      </c>
      <c r="J2288" s="59" t="s">
        <v>22</v>
      </c>
      <c r="L2288" s="5" t="str">
        <f t="shared" si="706"/>
        <v>02287</v>
      </c>
      <c r="M2288" s="46" t="str">
        <f t="shared" si="707"/>
        <v>22 de agosto de 2019</v>
      </c>
      <c r="N2288" s="318">
        <f t="shared" si="708"/>
        <v>22</v>
      </c>
      <c r="O2288" s="24">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1027</v>
      </c>
      <c r="J2289" s="59" t="s">
        <v>22</v>
      </c>
      <c r="L2289" s="5" t="str">
        <f t="shared" si="706"/>
        <v>02288</v>
      </c>
      <c r="M2289" s="46" t="str">
        <f t="shared" si="707"/>
        <v>27 de agosto de 2019</v>
      </c>
      <c r="N2289" s="318">
        <f t="shared" si="708"/>
        <v>27</v>
      </c>
      <c r="O2289" s="24">
        <f t="shared" si="709"/>
        <v>43678</v>
      </c>
      <c r="P2289" s="5" t="str">
        <f t="shared" si="710"/>
        <v>10.000,00</v>
      </c>
      <c r="Q2289" s="4" t="e">
        <f t="shared" ca="1" si="705"/>
        <v>#NAME?</v>
      </c>
    </row>
    <row r="2290" spans="1:17">
      <c r="A2290" s="1">
        <f t="shared" si="711"/>
        <v>2289</v>
      </c>
      <c r="C2290" s="8" t="s">
        <v>17</v>
      </c>
      <c r="D2290" s="2">
        <v>43696</v>
      </c>
      <c r="E2290" s="3">
        <v>10000</v>
      </c>
      <c r="F2290" t="s">
        <v>1005</v>
      </c>
      <c r="G2290" t="s">
        <v>1006</v>
      </c>
      <c r="H2290" t="s">
        <v>539</v>
      </c>
      <c r="I2290" s="6" t="s">
        <v>1027</v>
      </c>
      <c r="J2290" s="59" t="s">
        <v>22</v>
      </c>
      <c r="L2290" s="5" t="str">
        <f t="shared" si="706"/>
        <v>02289</v>
      </c>
      <c r="M2290" s="46" t="str">
        <f t="shared" si="707"/>
        <v>19 de agosto de 2019</v>
      </c>
      <c r="N2290" s="318">
        <f t="shared" si="708"/>
        <v>19</v>
      </c>
      <c r="O2290" s="24">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1027</v>
      </c>
      <c r="J2291" s="59" t="s">
        <v>22</v>
      </c>
      <c r="L2291" s="5" t="str">
        <f t="shared" si="706"/>
        <v>02290</v>
      </c>
      <c r="M2291" s="46" t="str">
        <f t="shared" si="707"/>
        <v>28 de agosto de 2019</v>
      </c>
      <c r="N2291" s="318">
        <f t="shared" si="708"/>
        <v>28</v>
      </c>
      <c r="O2291" s="24">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1" t="s">
        <v>240</v>
      </c>
      <c r="H2292" t="s">
        <v>241</v>
      </c>
      <c r="I2292" s="6" t="s">
        <v>1027</v>
      </c>
      <c r="J2292" s="59" t="s">
        <v>22</v>
      </c>
      <c r="L2292" s="5" t="str">
        <f t="shared" si="706"/>
        <v>02291</v>
      </c>
      <c r="M2292" s="46" t="str">
        <f t="shared" si="707"/>
        <v>28 de agosto de 2019</v>
      </c>
      <c r="N2292" s="318">
        <f t="shared" si="708"/>
        <v>28</v>
      </c>
      <c r="O2292" s="24">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1032</v>
      </c>
      <c r="J2293" s="59" t="s">
        <v>22</v>
      </c>
      <c r="L2293" s="5" t="str">
        <f>IF(ISBLANK(A2293),"",TEXT(A2293,"00000"))</f>
        <v>02292</v>
      </c>
      <c r="M2293" s="46" t="str">
        <f>IF(ISBLANK(D2293),"",TEXT(D2293,"dd")&amp;" de "&amp;TEXT(D2293,"mmmm")&amp;" de "&amp;TEXT(YEAR(D2293),"0"))</f>
        <v>28 de agosto de 2019</v>
      </c>
      <c r="N2293" s="318">
        <f t="shared" si="708"/>
        <v>28</v>
      </c>
      <c r="O2293" s="24">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1027</v>
      </c>
      <c r="J2294" s="59" t="s">
        <v>22</v>
      </c>
      <c r="L2294" s="5" t="str">
        <f t="shared" ref="L2294:L2305" si="714">IF(ISBLANK(A2294),"",TEXT(A2294,"00000"))</f>
        <v>02293</v>
      </c>
      <c r="M2294" s="46" t="str">
        <f t="shared" ref="M2294:M2305" si="715">IF(ISBLANK(D2294),"",TEXT(D2294,"dd")&amp;" de "&amp;TEXT(D2294,"mmmm")&amp;" de "&amp;TEXT(YEAR(D2294),"0"))</f>
        <v>29 de agosto de 2019</v>
      </c>
      <c r="N2294" s="318">
        <f t="shared" si="708"/>
        <v>29</v>
      </c>
      <c r="O2294" s="24">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1028</v>
      </c>
      <c r="J2295" s="59" t="s">
        <v>22</v>
      </c>
      <c r="L2295" s="5" t="str">
        <f t="shared" si="714"/>
        <v>02294</v>
      </c>
      <c r="M2295" s="46" t="str">
        <f t="shared" si="715"/>
        <v>29 de agosto de 2019</v>
      </c>
      <c r="N2295" s="318">
        <f t="shared" si="708"/>
        <v>29</v>
      </c>
      <c r="O2295" s="24">
        <f t="shared" si="716"/>
        <v>43678</v>
      </c>
      <c r="P2295" s="5" t="str">
        <f t="shared" si="710"/>
        <v>5.000,00</v>
      </c>
      <c r="Q2295" s="4" t="e">
        <f t="shared" ca="1" si="713"/>
        <v>#NAME?</v>
      </c>
    </row>
    <row r="2296" spans="1:17">
      <c r="A2296" s="1">
        <f t="shared" si="711"/>
        <v>2295</v>
      </c>
      <c r="C2296" s="8" t="s">
        <v>17</v>
      </c>
      <c r="D2296" s="2">
        <v>43706</v>
      </c>
      <c r="E2296" s="3">
        <v>30000</v>
      </c>
      <c r="F2296" t="s">
        <v>90</v>
      </c>
      <c r="G2296" s="447" t="s">
        <v>979</v>
      </c>
      <c r="H2296" t="s">
        <v>92</v>
      </c>
      <c r="I2296" s="6" t="s">
        <v>1032</v>
      </c>
      <c r="J2296" s="59" t="s">
        <v>22</v>
      </c>
      <c r="L2296" s="5" t="str">
        <f t="shared" si="714"/>
        <v>02295</v>
      </c>
      <c r="M2296" s="46" t="str">
        <f t="shared" si="715"/>
        <v>29 de agosto de 2019</v>
      </c>
      <c r="N2296" s="318">
        <f t="shared" si="708"/>
        <v>29</v>
      </c>
      <c r="O2296" s="24">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1036</v>
      </c>
      <c r="J2297" s="59" t="s">
        <v>22</v>
      </c>
      <c r="L2297" s="5" t="str">
        <f t="shared" si="714"/>
        <v>02296</v>
      </c>
      <c r="M2297" s="46" t="str">
        <f t="shared" si="715"/>
        <v>29 de agosto de 2019</v>
      </c>
      <c r="N2297" s="318">
        <f t="shared" si="708"/>
        <v>29</v>
      </c>
      <c r="O2297" s="24">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1036</v>
      </c>
      <c r="J2298" s="59" t="s">
        <v>22</v>
      </c>
      <c r="L2298" s="5" t="str">
        <f t="shared" si="714"/>
        <v>02297</v>
      </c>
      <c r="M2298" s="46" t="str">
        <f t="shared" si="715"/>
        <v>29 de agosto de 2019</v>
      </c>
      <c r="N2298" s="318">
        <f t="shared" si="708"/>
        <v>29</v>
      </c>
      <c r="O2298" s="24">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1027</v>
      </c>
      <c r="J2299" s="59" t="s">
        <v>22</v>
      </c>
      <c r="L2299" s="5" t="str">
        <f t="shared" si="714"/>
        <v>02298</v>
      </c>
      <c r="M2299" s="46" t="str">
        <f t="shared" si="715"/>
        <v>30 de agosto de 2019</v>
      </c>
      <c r="N2299" s="318">
        <f t="shared" si="708"/>
        <v>30</v>
      </c>
      <c r="O2299" s="24">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1027</v>
      </c>
      <c r="J2300" s="59" t="s">
        <v>22</v>
      </c>
      <c r="L2300" s="5" t="str">
        <f t="shared" si="714"/>
        <v>02299</v>
      </c>
      <c r="M2300" s="46" t="str">
        <f t="shared" si="715"/>
        <v>30 de agosto de 2019</v>
      </c>
      <c r="N2300" s="318">
        <f t="shared" si="708"/>
        <v>30</v>
      </c>
      <c r="O2300" s="24">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1042</v>
      </c>
      <c r="J2301" s="59" t="s">
        <v>22</v>
      </c>
      <c r="L2301" s="5" t="str">
        <f t="shared" si="714"/>
        <v>02300</v>
      </c>
      <c r="M2301" s="46" t="str">
        <f t="shared" si="715"/>
        <v>30 de agosto de 2019</v>
      </c>
      <c r="N2301" s="318">
        <f t="shared" ref="N2301:N2345" si="717">DAY(D2301)</f>
        <v>30</v>
      </c>
      <c r="O2301" s="24">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1027</v>
      </c>
      <c r="J2302" s="59" t="s">
        <v>22</v>
      </c>
      <c r="L2302" s="5" t="str">
        <f t="shared" si="714"/>
        <v>02301</v>
      </c>
      <c r="M2302" s="46" t="str">
        <f t="shared" si="715"/>
        <v>30 de agosto de 2019</v>
      </c>
      <c r="N2302" s="318">
        <f t="shared" si="717"/>
        <v>30</v>
      </c>
      <c r="O2302" s="24">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1027</v>
      </c>
      <c r="J2303" s="59" t="s">
        <v>22</v>
      </c>
      <c r="L2303" s="5" t="str">
        <f t="shared" si="714"/>
        <v>02302</v>
      </c>
      <c r="M2303" s="46" t="str">
        <f t="shared" si="715"/>
        <v>02 de septiembre de 2019</v>
      </c>
      <c r="N2303" s="318">
        <f t="shared" si="717"/>
        <v>2</v>
      </c>
      <c r="O2303" s="24">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1036</v>
      </c>
      <c r="J2304" s="59" t="s">
        <v>22</v>
      </c>
      <c r="L2304" s="5" t="str">
        <f t="shared" si="714"/>
        <v>02303</v>
      </c>
      <c r="M2304" s="46" t="str">
        <f t="shared" si="715"/>
        <v>03 de septiembre de 2019</v>
      </c>
      <c r="N2304" s="318">
        <f t="shared" si="717"/>
        <v>3</v>
      </c>
      <c r="O2304" s="24">
        <f t="shared" si="716"/>
        <v>43709</v>
      </c>
      <c r="P2304" s="5" t="str">
        <f t="shared" si="718"/>
        <v>23.400,00</v>
      </c>
      <c r="Q2304" s="4" t="e">
        <f t="shared" ca="1" si="713"/>
        <v>#NAME?</v>
      </c>
    </row>
    <row r="2305" spans="1:17">
      <c r="A2305" s="1">
        <f t="shared" si="711"/>
        <v>2304</v>
      </c>
      <c r="C2305" s="8" t="s">
        <v>17</v>
      </c>
      <c r="D2305" s="2">
        <v>43711</v>
      </c>
      <c r="E2305" s="3">
        <v>23400</v>
      </c>
      <c r="F2305" t="s">
        <v>948</v>
      </c>
      <c r="G2305" t="s">
        <v>949</v>
      </c>
      <c r="H2305" t="s">
        <v>950</v>
      </c>
      <c r="I2305" s="6" t="s">
        <v>1036</v>
      </c>
      <c r="J2305" s="59" t="s">
        <v>22</v>
      </c>
      <c r="L2305" s="5" t="str">
        <f t="shared" si="714"/>
        <v>02304</v>
      </c>
      <c r="M2305" s="46" t="str">
        <f t="shared" si="715"/>
        <v>03 de septiembre de 2019</v>
      </c>
      <c r="N2305" s="318">
        <f t="shared" si="717"/>
        <v>3</v>
      </c>
      <c r="O2305" s="24">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1043</v>
      </c>
      <c r="J2306" s="59" t="s">
        <v>22</v>
      </c>
      <c r="L2306" s="5" t="str">
        <f>IF(ISBLANK(A2306),"",TEXT(A2306,"00000"))</f>
        <v>02305</v>
      </c>
      <c r="M2306" s="46" t="str">
        <f>IF(ISBLANK(D2306),"",TEXT(D2306,"dd")&amp;" de "&amp;TEXT(D2306,"mmmm")&amp;" de "&amp;TEXT(YEAR(D2306),"0"))</f>
        <v>03 de septiembre de 2019</v>
      </c>
      <c r="N2306" s="318">
        <f t="shared" si="717"/>
        <v>3</v>
      </c>
      <c r="O2306" s="24">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1044</v>
      </c>
      <c r="J2307" s="59" t="s">
        <v>22</v>
      </c>
      <c r="L2307" s="5" t="str">
        <f t="shared" ref="L2307:L2313" si="720">IF(ISBLANK(A2307),"",TEXT(A2307,"00000"))</f>
        <v>02306</v>
      </c>
      <c r="M2307" s="46" t="str">
        <f t="shared" ref="M2307:M2313" si="721">IF(ISBLANK(D2307),"",TEXT(D2307,"dd")&amp;" de "&amp;TEXT(D2307,"mmmm")&amp;" de "&amp;TEXT(YEAR(D2307),"0"))</f>
        <v>03 de septiembre de 2019</v>
      </c>
      <c r="N2307" s="318">
        <f t="shared" si="717"/>
        <v>3</v>
      </c>
      <c r="O2307" s="24">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1045</v>
      </c>
      <c r="J2308" s="59" t="s">
        <v>22</v>
      </c>
      <c r="L2308" s="5" t="str">
        <f t="shared" si="720"/>
        <v>02307</v>
      </c>
      <c r="M2308" s="46" t="str">
        <f t="shared" si="721"/>
        <v>03 de septiembre de 2019</v>
      </c>
      <c r="N2308" s="318">
        <f t="shared" si="717"/>
        <v>3</v>
      </c>
      <c r="O2308" s="24">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1036</v>
      </c>
      <c r="J2309" s="59" t="s">
        <v>22</v>
      </c>
      <c r="L2309" s="5" t="str">
        <f t="shared" si="720"/>
        <v>02308</v>
      </c>
      <c r="M2309" s="46" t="str">
        <f t="shared" si="721"/>
        <v>03 de septiembre de 2019</v>
      </c>
      <c r="N2309" s="318">
        <f t="shared" si="717"/>
        <v>3</v>
      </c>
      <c r="O2309" s="24">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1046</v>
      </c>
      <c r="J2310" s="59" t="s">
        <v>22</v>
      </c>
      <c r="L2310" s="5" t="str">
        <f t="shared" si="720"/>
        <v>02309</v>
      </c>
      <c r="M2310" s="46" t="str">
        <f t="shared" si="721"/>
        <v>03 de septiembre de 2019</v>
      </c>
      <c r="N2310" s="318">
        <f t="shared" si="717"/>
        <v>3</v>
      </c>
      <c r="O2310" s="24">
        <f t="shared" si="722"/>
        <v>43709</v>
      </c>
      <c r="P2310" s="5" t="str">
        <f t="shared" si="718"/>
        <v>18.018,00</v>
      </c>
      <c r="Q2310" s="4" t="e">
        <f t="shared" ca="1" si="719"/>
        <v>#NAME?</v>
      </c>
    </row>
    <row r="2311" spans="1:17">
      <c r="A2311" s="1">
        <f t="shared" si="711"/>
        <v>2310</v>
      </c>
      <c r="C2311" s="83" t="s">
        <v>17</v>
      </c>
      <c r="D2311" s="2">
        <v>43711</v>
      </c>
      <c r="E2311" s="160">
        <v>23500</v>
      </c>
      <c r="F2311" t="s">
        <v>492</v>
      </c>
      <c r="G2311" s="18" t="s">
        <v>58</v>
      </c>
      <c r="H2311" t="s">
        <v>493</v>
      </c>
      <c r="I2311" s="6" t="s">
        <v>1036</v>
      </c>
      <c r="J2311" s="59" t="s">
        <v>22</v>
      </c>
      <c r="L2311" s="5" t="str">
        <f t="shared" si="720"/>
        <v>02310</v>
      </c>
      <c r="M2311" s="46" t="str">
        <f t="shared" si="721"/>
        <v>03 de septiembre de 2019</v>
      </c>
      <c r="N2311" s="318">
        <f t="shared" si="717"/>
        <v>3</v>
      </c>
      <c r="O2311" s="24">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1036</v>
      </c>
      <c r="J2312" s="59" t="s">
        <v>22</v>
      </c>
      <c r="L2312" s="5" t="str">
        <f t="shared" si="720"/>
        <v>02311</v>
      </c>
      <c r="M2312" s="46" t="str">
        <f t="shared" si="721"/>
        <v>03 de septiembre de 2019</v>
      </c>
      <c r="N2312" s="318">
        <f t="shared" si="717"/>
        <v>3</v>
      </c>
      <c r="O2312" s="24">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1043</v>
      </c>
      <c r="J2313" s="59" t="s">
        <v>22</v>
      </c>
      <c r="L2313" s="5" t="str">
        <f t="shared" si="720"/>
        <v>02312</v>
      </c>
      <c r="M2313" s="46" t="str">
        <f t="shared" si="721"/>
        <v>03 de septiembre de 2019</v>
      </c>
      <c r="N2313" s="318">
        <f t="shared" si="717"/>
        <v>3</v>
      </c>
      <c r="O2313" s="24">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1032</v>
      </c>
      <c r="J2314" s="59" t="s">
        <v>22</v>
      </c>
      <c r="L2314" s="5" t="str">
        <f>IF(ISBLANK(A2314),"",TEXT(A2314,"00000"))</f>
        <v>02313</v>
      </c>
      <c r="M2314" s="46" t="str">
        <f>IF(ISBLANK(D2314),"",TEXT(D2314,"dd")&amp;" de "&amp;TEXT(D2314,"mmmm")&amp;" de "&amp;TEXT(YEAR(D2314),"0"))</f>
        <v>03 de septiembre de 2019</v>
      </c>
      <c r="N2314" s="318">
        <f t="shared" si="717"/>
        <v>3</v>
      </c>
      <c r="O2314" s="24">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1036</v>
      </c>
      <c r="J2315" s="59" t="s">
        <v>22</v>
      </c>
      <c r="L2315" s="5" t="str">
        <f t="shared" ref="L2315:L2345" si="723">IF(ISBLANK(A2315),"",TEXT(A2315,"00000"))</f>
        <v>02314</v>
      </c>
      <c r="M2315" s="46" t="str">
        <f t="shared" ref="M2315:M2345" si="724">IF(ISBLANK(D2315),"",TEXT(D2315,"dd")&amp;" de "&amp;TEXT(D2315,"mmmm")&amp;" de "&amp;TEXT(YEAR(D2315),"0"))</f>
        <v>03 de septiembre de 2019</v>
      </c>
      <c r="N2315" s="318">
        <f t="shared" si="717"/>
        <v>3</v>
      </c>
      <c r="O2315" s="24">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1032</v>
      </c>
      <c r="J2316" s="59" t="s">
        <v>22</v>
      </c>
      <c r="L2316" s="5" t="str">
        <f t="shared" si="723"/>
        <v>02315</v>
      </c>
      <c r="M2316" s="46" t="str">
        <f t="shared" si="724"/>
        <v>03 de septiembre de 2019</v>
      </c>
      <c r="N2316" s="318">
        <f t="shared" si="717"/>
        <v>3</v>
      </c>
      <c r="O2316" s="24">
        <f t="shared" si="725"/>
        <v>43709</v>
      </c>
      <c r="P2316" s="5" t="str">
        <f t="shared" si="718"/>
        <v>34.000,00</v>
      </c>
      <c r="Q2316" s="4" t="e">
        <f t="shared" ref="Q2316:Q2336" ca="1" si="726">CONVERTIRNUM(E2316)</f>
        <v>#NAME?</v>
      </c>
    </row>
    <row r="2317" spans="1:17">
      <c r="A2317" s="1">
        <f t="shared" si="711"/>
        <v>2316</v>
      </c>
      <c r="C2317" s="83" t="s">
        <v>17</v>
      </c>
      <c r="D2317" s="2">
        <v>43711</v>
      </c>
      <c r="E2317" s="3">
        <v>23400</v>
      </c>
      <c r="F2317" t="s">
        <v>319</v>
      </c>
      <c r="G2317" s="18" t="s">
        <v>58</v>
      </c>
      <c r="H2317" t="s">
        <v>320</v>
      </c>
      <c r="I2317" s="6" t="s">
        <v>1036</v>
      </c>
      <c r="J2317" s="59" t="s">
        <v>22</v>
      </c>
      <c r="L2317" s="5" t="str">
        <f t="shared" si="723"/>
        <v>02316</v>
      </c>
      <c r="M2317" s="46" t="str">
        <f t="shared" si="724"/>
        <v>03 de septiembre de 2019</v>
      </c>
      <c r="N2317" s="318">
        <f t="shared" si="717"/>
        <v>3</v>
      </c>
      <c r="O2317" s="24">
        <f t="shared" si="725"/>
        <v>43709</v>
      </c>
      <c r="P2317" s="5" t="str">
        <f t="shared" si="718"/>
        <v>23.400,00</v>
      </c>
      <c r="Q2317" s="4" t="e">
        <f t="shared" ca="1" si="726"/>
        <v>#NAME?</v>
      </c>
    </row>
    <row r="2318" spans="1:17">
      <c r="A2318" s="1">
        <f t="shared" si="711"/>
        <v>2317</v>
      </c>
      <c r="C2318" s="83" t="s">
        <v>17</v>
      </c>
      <c r="D2318" s="2">
        <v>43712</v>
      </c>
      <c r="E2318" s="3">
        <v>10000</v>
      </c>
      <c r="F2318" t="s">
        <v>259</v>
      </c>
      <c r="G2318" s="18" t="s">
        <v>58</v>
      </c>
      <c r="H2318" t="s">
        <v>261</v>
      </c>
      <c r="I2318" s="6" t="s">
        <v>1027</v>
      </c>
      <c r="J2318" s="59" t="s">
        <v>22</v>
      </c>
      <c r="L2318" s="5" t="str">
        <f t="shared" si="723"/>
        <v>02317</v>
      </c>
      <c r="M2318" s="46" t="str">
        <f t="shared" si="724"/>
        <v>04 de septiembre de 2019</v>
      </c>
      <c r="N2318" s="318">
        <f t="shared" si="717"/>
        <v>4</v>
      </c>
      <c r="O2318" s="24">
        <f t="shared" si="725"/>
        <v>43709</v>
      </c>
      <c r="P2318" s="5" t="str">
        <f t="shared" si="718"/>
        <v>10.000,00</v>
      </c>
      <c r="Q2318" s="4" t="e">
        <f t="shared" ca="1" si="726"/>
        <v>#NAME?</v>
      </c>
    </row>
    <row r="2319" spans="1:17">
      <c r="A2319" s="1">
        <f t="shared" si="711"/>
        <v>2318</v>
      </c>
      <c r="C2319" s="8" t="s">
        <v>17</v>
      </c>
      <c r="D2319" s="2">
        <v>43712</v>
      </c>
      <c r="E2319" s="3">
        <v>23400</v>
      </c>
      <c r="F2319" t="s">
        <v>239</v>
      </c>
      <c r="G2319" s="71" t="s">
        <v>240</v>
      </c>
      <c r="H2319" t="s">
        <v>241</v>
      </c>
      <c r="I2319" s="6" t="s">
        <v>1036</v>
      </c>
      <c r="J2319" s="59" t="s">
        <v>22</v>
      </c>
      <c r="L2319" s="5" t="str">
        <f t="shared" si="723"/>
        <v>02318</v>
      </c>
      <c r="M2319" s="46" t="str">
        <f t="shared" si="724"/>
        <v>04 de septiembre de 2019</v>
      </c>
      <c r="N2319" s="318">
        <f t="shared" si="717"/>
        <v>4</v>
      </c>
      <c r="O2319" s="24">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1043</v>
      </c>
      <c r="J2320" s="59" t="s">
        <v>22</v>
      </c>
      <c r="L2320" s="5" t="str">
        <f t="shared" si="723"/>
        <v>02319</v>
      </c>
      <c r="M2320" s="46" t="str">
        <f t="shared" si="724"/>
        <v>05 de septiembre de 2019</v>
      </c>
      <c r="N2320" s="318">
        <f t="shared" si="717"/>
        <v>5</v>
      </c>
      <c r="O2320" s="24">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1036</v>
      </c>
      <c r="J2321" s="59" t="s">
        <v>22</v>
      </c>
      <c r="L2321" s="5" t="str">
        <f t="shared" si="723"/>
        <v>02320</v>
      </c>
      <c r="M2321" s="46" t="str">
        <f t="shared" si="724"/>
        <v>04 de septiembre de 2019</v>
      </c>
      <c r="N2321" s="318">
        <f t="shared" si="717"/>
        <v>4</v>
      </c>
      <c r="O2321" s="24">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1043</v>
      </c>
      <c r="J2322" s="59" t="s">
        <v>22</v>
      </c>
      <c r="L2322" s="5" t="str">
        <f t="shared" si="723"/>
        <v>02321</v>
      </c>
      <c r="M2322" s="46" t="str">
        <f t="shared" si="724"/>
        <v>05 de septiembre de 2019</v>
      </c>
      <c r="N2322" s="318">
        <f t="shared" si="717"/>
        <v>5</v>
      </c>
      <c r="O2322" s="24">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1036</v>
      </c>
      <c r="J2323" s="59" t="s">
        <v>22</v>
      </c>
      <c r="L2323" s="5" t="str">
        <f t="shared" si="723"/>
        <v>02322</v>
      </c>
      <c r="M2323" s="46" t="str">
        <f t="shared" si="724"/>
        <v>05 de septiembre de 2019</v>
      </c>
      <c r="N2323" s="318">
        <f t="shared" si="717"/>
        <v>5</v>
      </c>
      <c r="O2323" s="24">
        <f t="shared" si="725"/>
        <v>43709</v>
      </c>
      <c r="P2323" s="5" t="str">
        <f t="shared" si="718"/>
        <v>23.400,00</v>
      </c>
      <c r="Q2323" s="4" t="e">
        <f t="shared" ca="1" si="726"/>
        <v>#NAME?</v>
      </c>
    </row>
    <row r="2324" spans="1:17">
      <c r="A2324" s="1">
        <f t="shared" si="727"/>
        <v>2323</v>
      </c>
      <c r="C2324" s="83" t="s">
        <v>17</v>
      </c>
      <c r="D2324" s="2">
        <v>43713</v>
      </c>
      <c r="E2324" s="3">
        <v>10000</v>
      </c>
      <c r="F2324" t="s">
        <v>40</v>
      </c>
      <c r="G2324" s="18" t="s">
        <v>58</v>
      </c>
      <c r="H2324" t="s">
        <v>42</v>
      </c>
      <c r="I2324" s="6" t="s">
        <v>1036</v>
      </c>
      <c r="J2324" s="59" t="s">
        <v>22</v>
      </c>
      <c r="L2324" s="5" t="str">
        <f t="shared" si="723"/>
        <v>02323</v>
      </c>
      <c r="M2324" s="46" t="str">
        <f t="shared" si="724"/>
        <v>05 de septiembre de 2019</v>
      </c>
      <c r="N2324" s="318">
        <f t="shared" si="717"/>
        <v>5</v>
      </c>
      <c r="O2324" s="24">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1036</v>
      </c>
      <c r="J2325" s="59" t="s">
        <v>22</v>
      </c>
      <c r="L2325" s="5" t="str">
        <f t="shared" si="723"/>
        <v>02324</v>
      </c>
      <c r="M2325" s="46" t="str">
        <f t="shared" si="724"/>
        <v>06 de septiembre de 2019</v>
      </c>
      <c r="N2325" s="318">
        <f t="shared" si="717"/>
        <v>6</v>
      </c>
      <c r="O2325" s="24">
        <f t="shared" si="725"/>
        <v>43709</v>
      </c>
      <c r="P2325" s="5" t="str">
        <f t="shared" si="718"/>
        <v>23.400,00</v>
      </c>
      <c r="Q2325" s="4" t="e">
        <f t="shared" ca="1" si="726"/>
        <v>#NAME?</v>
      </c>
    </row>
    <row r="2326" spans="1:17">
      <c r="A2326" s="1">
        <f t="shared" si="727"/>
        <v>2325</v>
      </c>
      <c r="C2326" s="8" t="s">
        <v>17</v>
      </c>
      <c r="D2326" s="2">
        <v>43714</v>
      </c>
      <c r="E2326" s="3">
        <v>13000</v>
      </c>
      <c r="F2326" t="s">
        <v>252</v>
      </c>
      <c r="G2326" s="447" t="s">
        <v>959</v>
      </c>
      <c r="H2326" t="s">
        <v>254</v>
      </c>
      <c r="I2326" s="6" t="s">
        <v>1036</v>
      </c>
      <c r="J2326" s="59" t="s">
        <v>22</v>
      </c>
      <c r="L2326" s="5" t="str">
        <f t="shared" si="723"/>
        <v>02325</v>
      </c>
      <c r="M2326" s="46" t="str">
        <f t="shared" si="724"/>
        <v>06 de septiembre de 2019</v>
      </c>
      <c r="N2326" s="318">
        <f t="shared" si="717"/>
        <v>6</v>
      </c>
      <c r="O2326" s="24">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1043</v>
      </c>
      <c r="J2327" s="59" t="s">
        <v>22</v>
      </c>
      <c r="L2327" s="5" t="str">
        <f t="shared" si="723"/>
        <v>02326</v>
      </c>
      <c r="M2327" s="46" t="str">
        <f t="shared" si="724"/>
        <v>07 de septiembre de 2019</v>
      </c>
      <c r="N2327" s="318">
        <f t="shared" si="717"/>
        <v>7</v>
      </c>
      <c r="O2327" s="24">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1043</v>
      </c>
      <c r="J2328" s="59" t="s">
        <v>22</v>
      </c>
      <c r="L2328" s="5" t="str">
        <f t="shared" si="723"/>
        <v>02327</v>
      </c>
      <c r="M2328" s="46" t="str">
        <f t="shared" si="724"/>
        <v>09 de septiembre de 2019</v>
      </c>
      <c r="N2328" s="318">
        <f t="shared" si="717"/>
        <v>9</v>
      </c>
      <c r="O2328" s="24">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1043</v>
      </c>
      <c r="J2329" s="59" t="s">
        <v>22</v>
      </c>
      <c r="L2329" s="5" t="str">
        <f t="shared" si="723"/>
        <v>02328</v>
      </c>
      <c r="M2329" s="46" t="str">
        <f t="shared" si="724"/>
        <v>09 de septiembre de 2019</v>
      </c>
      <c r="N2329" s="318">
        <f t="shared" si="717"/>
        <v>9</v>
      </c>
      <c r="O2329" s="24">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1036</v>
      </c>
      <c r="J2330" s="59" t="s">
        <v>22</v>
      </c>
      <c r="L2330" s="5" t="str">
        <f t="shared" si="723"/>
        <v>02329</v>
      </c>
      <c r="M2330" s="46" t="str">
        <f t="shared" si="724"/>
        <v>09 de septiembre de 2019</v>
      </c>
      <c r="N2330" s="318">
        <f t="shared" si="717"/>
        <v>9</v>
      </c>
      <c r="O2330" s="24">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1036</v>
      </c>
      <c r="J2331" s="59" t="s">
        <v>22</v>
      </c>
      <c r="L2331" s="5" t="str">
        <f t="shared" si="723"/>
        <v>02330</v>
      </c>
      <c r="M2331" s="46" t="str">
        <f t="shared" si="724"/>
        <v>09 de septiembre de 2019</v>
      </c>
      <c r="N2331" s="318">
        <f t="shared" si="717"/>
        <v>9</v>
      </c>
      <c r="O2331" s="24">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1036</v>
      </c>
      <c r="J2332" s="59" t="s">
        <v>22</v>
      </c>
      <c r="L2332" s="5" t="str">
        <f t="shared" si="723"/>
        <v>02331</v>
      </c>
      <c r="M2332" s="46" t="str">
        <f t="shared" si="724"/>
        <v>09 de septiembre de 2019</v>
      </c>
      <c r="N2332" s="318">
        <f t="shared" si="717"/>
        <v>9</v>
      </c>
      <c r="O2332" s="24">
        <f t="shared" si="725"/>
        <v>43709</v>
      </c>
      <c r="P2332" s="5" t="str">
        <f t="shared" si="718"/>
        <v>20.500,00</v>
      </c>
      <c r="Q2332" s="4" t="e">
        <f t="shared" ca="1" si="726"/>
        <v>#NAME?</v>
      </c>
    </row>
    <row r="2333" spans="1:17">
      <c r="A2333" s="1">
        <f t="shared" si="727"/>
        <v>2332</v>
      </c>
      <c r="C2333" s="8" t="s">
        <v>17</v>
      </c>
      <c r="D2333" s="2">
        <v>43717</v>
      </c>
      <c r="E2333" s="3">
        <v>21100</v>
      </c>
      <c r="F2333" t="s">
        <v>1005</v>
      </c>
      <c r="G2333" t="s">
        <v>1006</v>
      </c>
      <c r="H2333" t="s">
        <v>539</v>
      </c>
      <c r="I2333" s="6" t="s">
        <v>1036</v>
      </c>
      <c r="J2333" s="59" t="s">
        <v>22</v>
      </c>
      <c r="L2333" s="5" t="str">
        <f t="shared" si="723"/>
        <v>02332</v>
      </c>
      <c r="M2333" s="46" t="str">
        <f t="shared" si="724"/>
        <v>09 de septiembre de 2019</v>
      </c>
      <c r="N2333" s="318">
        <f t="shared" si="717"/>
        <v>9</v>
      </c>
      <c r="O2333" s="24">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1036</v>
      </c>
      <c r="J2334" s="59" t="s">
        <v>22</v>
      </c>
      <c r="L2334" s="5" t="str">
        <f t="shared" si="723"/>
        <v>02333</v>
      </c>
      <c r="M2334" s="46" t="str">
        <f t="shared" si="724"/>
        <v>09 de septiembre de 2019</v>
      </c>
      <c r="N2334" s="318">
        <f t="shared" si="717"/>
        <v>9</v>
      </c>
      <c r="O2334" s="24">
        <f t="shared" si="725"/>
        <v>43709</v>
      </c>
      <c r="P2334" s="5" t="str">
        <f t="shared" si="718"/>
        <v>20.500,00</v>
      </c>
      <c r="Q2334" s="4" t="e">
        <f t="shared" ca="1" si="726"/>
        <v>#NAME?</v>
      </c>
    </row>
    <row r="2335" spans="1:17">
      <c r="A2335" s="1">
        <f t="shared" si="727"/>
        <v>2334</v>
      </c>
      <c r="C2335" s="8" t="s">
        <v>17</v>
      </c>
      <c r="D2335" s="2">
        <v>43719</v>
      </c>
      <c r="E2335" s="3">
        <v>10000</v>
      </c>
      <c r="F2335" t="s">
        <v>177</v>
      </c>
      <c r="G2335" t="s">
        <v>942</v>
      </c>
      <c r="H2335" t="s">
        <v>179</v>
      </c>
      <c r="I2335" s="6" t="s">
        <v>1047</v>
      </c>
      <c r="J2335" s="59" t="s">
        <v>22</v>
      </c>
      <c r="L2335" s="5" t="str">
        <f t="shared" si="723"/>
        <v>02334</v>
      </c>
      <c r="M2335" s="46" t="str">
        <f t="shared" si="724"/>
        <v>11 de septiembre de 2019</v>
      </c>
      <c r="N2335" s="318">
        <f t="shared" si="717"/>
        <v>11</v>
      </c>
      <c r="O2335" s="24">
        <f t="shared" si="725"/>
        <v>43709</v>
      </c>
      <c r="P2335" s="5" t="str">
        <f t="shared" si="718"/>
        <v>10.000,00</v>
      </c>
      <c r="Q2335" s="4" t="e">
        <f t="shared" ca="1" si="726"/>
        <v>#NAME?</v>
      </c>
    </row>
    <row r="2336" spans="1:17">
      <c r="A2336" s="1">
        <f t="shared" si="727"/>
        <v>2335</v>
      </c>
      <c r="C2336" s="8" t="s">
        <v>17</v>
      </c>
      <c r="D2336" s="2">
        <v>43719</v>
      </c>
      <c r="E2336" s="550">
        <v>20500</v>
      </c>
      <c r="F2336" t="s">
        <v>103</v>
      </c>
      <c r="G2336" s="552" t="s">
        <v>1048</v>
      </c>
      <c r="H2336" t="s">
        <v>105</v>
      </c>
      <c r="I2336" s="6" t="s">
        <v>1049</v>
      </c>
      <c r="J2336" s="59" t="s">
        <v>22</v>
      </c>
      <c r="L2336" s="5" t="str">
        <f t="shared" si="723"/>
        <v>02335</v>
      </c>
      <c r="M2336" s="46" t="str">
        <f t="shared" si="724"/>
        <v>11 de septiembre de 2019</v>
      </c>
      <c r="N2336" s="318">
        <f t="shared" si="717"/>
        <v>11</v>
      </c>
      <c r="O2336" s="24">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59" t="s">
        <v>1050</v>
      </c>
      <c r="J2337" s="59" t="s">
        <v>22</v>
      </c>
      <c r="L2337" s="5" t="str">
        <f t="shared" si="723"/>
        <v>02336</v>
      </c>
      <c r="M2337" s="46" t="str">
        <f t="shared" si="724"/>
        <v>11 de septiembre de 2019</v>
      </c>
      <c r="N2337" s="318">
        <f t="shared" si="717"/>
        <v>11</v>
      </c>
      <c r="O2337" s="24">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1036</v>
      </c>
      <c r="J2338" s="59" t="s">
        <v>22</v>
      </c>
      <c r="L2338" s="5" t="str">
        <f t="shared" si="723"/>
        <v>02337</v>
      </c>
      <c r="M2338" s="46" t="str">
        <f t="shared" si="724"/>
        <v>12 de septiembre de 2019</v>
      </c>
      <c r="N2338" s="318">
        <f t="shared" si="717"/>
        <v>12</v>
      </c>
      <c r="O2338" s="24">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1036</v>
      </c>
      <c r="J2339" s="59" t="s">
        <v>22</v>
      </c>
      <c r="L2339" s="5" t="str">
        <f t="shared" si="723"/>
        <v>02338</v>
      </c>
      <c r="M2339" s="46" t="str">
        <f t="shared" si="724"/>
        <v>12 de septiembre de 2019</v>
      </c>
      <c r="N2339" s="318">
        <f t="shared" si="717"/>
        <v>12</v>
      </c>
      <c r="O2339" s="24">
        <f t="shared" si="725"/>
        <v>43709</v>
      </c>
      <c r="P2339" s="5" t="str">
        <f t="shared" si="728"/>
        <v>22.000,00</v>
      </c>
      <c r="Q2339" s="4" t="e">
        <f t="shared" ca="1" si="729"/>
        <v>#NAME?</v>
      </c>
    </row>
    <row r="2340" spans="1:17">
      <c r="A2340" s="1">
        <f t="shared" si="727"/>
        <v>2339</v>
      </c>
      <c r="C2340" s="8" t="s">
        <v>17</v>
      </c>
      <c r="D2340" s="2">
        <v>43722</v>
      </c>
      <c r="E2340" s="3">
        <v>20500</v>
      </c>
      <c r="F2340" t="s">
        <v>342</v>
      </c>
      <c r="G2340" t="s">
        <v>1037</v>
      </c>
      <c r="H2340" t="s">
        <v>344</v>
      </c>
      <c r="I2340" s="6" t="s">
        <v>1036</v>
      </c>
      <c r="J2340" s="59" t="s">
        <v>22</v>
      </c>
      <c r="L2340" s="5" t="str">
        <f t="shared" si="723"/>
        <v>02339</v>
      </c>
      <c r="M2340" s="46" t="str">
        <f t="shared" si="724"/>
        <v>14 de septiembre de 2019</v>
      </c>
      <c r="N2340" s="318">
        <f t="shared" si="717"/>
        <v>14</v>
      </c>
      <c r="O2340" s="24">
        <f t="shared" si="725"/>
        <v>43709</v>
      </c>
      <c r="P2340" s="5" t="str">
        <f t="shared" si="728"/>
        <v>20.500,00</v>
      </c>
      <c r="Q2340" s="4" t="e">
        <f t="shared" ca="1" si="729"/>
        <v>#NAME?</v>
      </c>
    </row>
    <row r="2341" spans="1:17">
      <c r="A2341" s="1">
        <f t="shared" si="727"/>
        <v>2340</v>
      </c>
      <c r="C2341" s="8" t="s">
        <v>17</v>
      </c>
      <c r="D2341" s="2">
        <v>43722</v>
      </c>
      <c r="E2341" s="3">
        <v>20500</v>
      </c>
      <c r="F2341" t="s">
        <v>936</v>
      </c>
      <c r="G2341" t="s">
        <v>937</v>
      </c>
      <c r="H2341" t="s">
        <v>150</v>
      </c>
      <c r="I2341" s="6" t="s">
        <v>1036</v>
      </c>
      <c r="J2341" s="59" t="s">
        <v>22</v>
      </c>
      <c r="L2341" s="5" t="str">
        <f t="shared" si="723"/>
        <v>02340</v>
      </c>
      <c r="M2341" s="46" t="str">
        <f t="shared" si="724"/>
        <v>14 de septiembre de 2019</v>
      </c>
      <c r="N2341" s="318">
        <f t="shared" si="717"/>
        <v>14</v>
      </c>
      <c r="O2341" s="24">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1036</v>
      </c>
      <c r="J2342" s="59" t="s">
        <v>22</v>
      </c>
      <c r="L2342" s="5" t="str">
        <f t="shared" si="723"/>
        <v>02341</v>
      </c>
      <c r="M2342" s="46" t="str">
        <f t="shared" si="724"/>
        <v>13 de septiembre de 2019</v>
      </c>
      <c r="N2342" s="318">
        <f t="shared" si="717"/>
        <v>13</v>
      </c>
      <c r="O2342" s="24">
        <f t="shared" si="725"/>
        <v>43709</v>
      </c>
      <c r="P2342" s="5" t="str">
        <f t="shared" si="728"/>
        <v>20.500,00</v>
      </c>
      <c r="Q2342" s="4" t="e">
        <f t="shared" ca="1" si="729"/>
        <v>#NAME?</v>
      </c>
    </row>
    <row r="2343" spans="1:17">
      <c r="A2343" s="1">
        <f t="shared" si="727"/>
        <v>2342</v>
      </c>
      <c r="C2343" s="8" t="s">
        <v>17</v>
      </c>
      <c r="D2343" s="2">
        <v>43722</v>
      </c>
      <c r="E2343" s="550">
        <v>20500</v>
      </c>
      <c r="F2343" t="s">
        <v>100</v>
      </c>
      <c r="G2343" t="s">
        <v>95</v>
      </c>
      <c r="H2343" t="s">
        <v>101</v>
      </c>
      <c r="I2343" s="6" t="s">
        <v>1049</v>
      </c>
      <c r="J2343" s="59" t="s">
        <v>22</v>
      </c>
      <c r="L2343" s="5" t="str">
        <f t="shared" si="723"/>
        <v>02342</v>
      </c>
      <c r="M2343" s="46" t="str">
        <f t="shared" si="724"/>
        <v>14 de septiembre de 2019</v>
      </c>
      <c r="N2343" s="318">
        <f t="shared" si="717"/>
        <v>14</v>
      </c>
      <c r="O2343" s="24">
        <f t="shared" si="725"/>
        <v>43709</v>
      </c>
      <c r="P2343" s="5" t="str">
        <f t="shared" si="728"/>
        <v>20.500,00</v>
      </c>
      <c r="Q2343" s="4" t="e">
        <f t="shared" ca="1" si="729"/>
        <v>#NAME?</v>
      </c>
    </row>
    <row r="2344" spans="1:17">
      <c r="A2344" s="1">
        <f t="shared" si="727"/>
        <v>2343</v>
      </c>
      <c r="C2344" s="8" t="s">
        <v>17</v>
      </c>
      <c r="D2344" s="2">
        <v>43722</v>
      </c>
      <c r="E2344" s="3">
        <v>10000</v>
      </c>
      <c r="F2344" t="s">
        <v>786</v>
      </c>
      <c r="G2344" t="s">
        <v>787</v>
      </c>
      <c r="H2344" t="s">
        <v>719</v>
      </c>
      <c r="I2344" s="6" t="s">
        <v>1027</v>
      </c>
      <c r="J2344" s="59" t="s">
        <v>22</v>
      </c>
      <c r="L2344" s="5" t="str">
        <f t="shared" si="723"/>
        <v>02343</v>
      </c>
      <c r="M2344" s="46" t="str">
        <f t="shared" si="724"/>
        <v>14 de septiembre de 2019</v>
      </c>
      <c r="N2344" s="318">
        <f t="shared" si="717"/>
        <v>14</v>
      </c>
      <c r="O2344" s="24">
        <f t="shared" si="725"/>
        <v>43709</v>
      </c>
      <c r="P2344" s="5" t="str">
        <f t="shared" si="728"/>
        <v>10.000,00</v>
      </c>
      <c r="Q2344" s="4" t="e">
        <f t="shared" ca="1" si="729"/>
        <v>#NAME?</v>
      </c>
    </row>
    <row r="2345" spans="1:17">
      <c r="A2345" s="1">
        <f t="shared" si="727"/>
        <v>2344</v>
      </c>
      <c r="C2345" s="8" t="s">
        <v>17</v>
      </c>
      <c r="D2345" s="2">
        <v>43722</v>
      </c>
      <c r="E2345" s="550">
        <v>20500</v>
      </c>
      <c r="F2345" t="s">
        <v>786</v>
      </c>
      <c r="G2345" t="s">
        <v>787</v>
      </c>
      <c r="H2345" t="s">
        <v>719</v>
      </c>
      <c r="I2345" s="6" t="s">
        <v>1049</v>
      </c>
      <c r="J2345" s="59" t="s">
        <v>22</v>
      </c>
      <c r="L2345" s="5" t="str">
        <f t="shared" si="723"/>
        <v>02344</v>
      </c>
      <c r="M2345" s="46" t="str">
        <f t="shared" si="724"/>
        <v>14 de septiembre de 2019</v>
      </c>
      <c r="N2345" s="318">
        <f t="shared" si="717"/>
        <v>14</v>
      </c>
      <c r="O2345" s="24">
        <f t="shared" si="725"/>
        <v>43709</v>
      </c>
      <c r="P2345" s="5" t="str">
        <f t="shared" si="728"/>
        <v>20.500,00</v>
      </c>
      <c r="Q2345" s="4" t="e">
        <f t="shared" ca="1" si="729"/>
        <v>#NAME?</v>
      </c>
    </row>
    <row r="2346" spans="1:17">
      <c r="A2346" s="1">
        <f t="shared" si="727"/>
        <v>2345</v>
      </c>
      <c r="C2346" s="8" t="s">
        <v>17</v>
      </c>
      <c r="D2346" s="2">
        <v>43722</v>
      </c>
      <c r="E2346" s="3">
        <v>10000</v>
      </c>
      <c r="F2346" t="s">
        <v>252</v>
      </c>
      <c r="G2346" s="447" t="s">
        <v>959</v>
      </c>
      <c r="H2346" t="s">
        <v>254</v>
      </c>
      <c r="I2346" s="6" t="s">
        <v>1051</v>
      </c>
      <c r="J2346" s="59" t="s">
        <v>22</v>
      </c>
      <c r="L2346" s="5" t="str">
        <f t="shared" ref="L2346:L2369" si="730">IF(ISBLANK(A2346),"",TEXT(A2346,"00000"))</f>
        <v>02345</v>
      </c>
      <c r="M2346" s="46" t="str">
        <f t="shared" ref="M2346:M2369" si="731">IF(ISBLANK(D2346),"",TEXT(D2346,"dd")&amp;" de "&amp;TEXT(D2346,"mmmm")&amp;" de "&amp;TEXT(YEAR(D2346),"0"))</f>
        <v>14 de septiembre de 2019</v>
      </c>
      <c r="N2346" s="318">
        <f t="shared" ref="N2346:N2369" si="732">DAY(D2346)</f>
        <v>14</v>
      </c>
      <c r="O2346" s="24">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1052</v>
      </c>
      <c r="H2347" t="s">
        <v>596</v>
      </c>
      <c r="I2347" s="551" t="s">
        <v>1053</v>
      </c>
      <c r="J2347" s="59" t="s">
        <v>22</v>
      </c>
      <c r="L2347" s="5" t="str">
        <f t="shared" si="730"/>
        <v>02346</v>
      </c>
      <c r="M2347" s="46" t="str">
        <f t="shared" si="731"/>
        <v>12 de septiembre de 2019</v>
      </c>
      <c r="N2347" s="318">
        <f t="shared" si="732"/>
        <v>12</v>
      </c>
      <c r="O2347" s="24">
        <f t="shared" si="733"/>
        <v>43709</v>
      </c>
      <c r="P2347" s="5" t="str">
        <f t="shared" si="728"/>
        <v>35.000,00</v>
      </c>
      <c r="Q2347" s="4" t="e">
        <f t="shared" ca="1" si="729"/>
        <v>#NAME?</v>
      </c>
    </row>
    <row r="2348" spans="1:17">
      <c r="A2348" s="1">
        <f t="shared" si="727"/>
        <v>2347</v>
      </c>
      <c r="C2348" s="83" t="s">
        <v>17</v>
      </c>
      <c r="D2348" s="2">
        <v>43723</v>
      </c>
      <c r="E2348" s="3">
        <v>29725</v>
      </c>
      <c r="F2348" s="22" t="s">
        <v>422</v>
      </c>
      <c r="G2348" s="18" t="s">
        <v>58</v>
      </c>
      <c r="H2348" t="s">
        <v>423</v>
      </c>
      <c r="I2348" s="6" t="s">
        <v>1036</v>
      </c>
      <c r="J2348" s="59" t="s">
        <v>22</v>
      </c>
      <c r="L2348" s="5" t="str">
        <f t="shared" si="730"/>
        <v>02347</v>
      </c>
      <c r="M2348" s="46" t="str">
        <f t="shared" si="731"/>
        <v>15 de septiembre de 2019</v>
      </c>
      <c r="N2348" s="318">
        <f t="shared" si="732"/>
        <v>15</v>
      </c>
      <c r="O2348" s="24">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1043</v>
      </c>
      <c r="J2349" s="59" t="s">
        <v>22</v>
      </c>
      <c r="L2349" s="5" t="str">
        <f t="shared" si="730"/>
        <v>02348</v>
      </c>
      <c r="M2349" s="46" t="str">
        <f t="shared" si="731"/>
        <v>17 de septiembre de 2019</v>
      </c>
      <c r="N2349" s="318">
        <f t="shared" si="732"/>
        <v>17</v>
      </c>
      <c r="O2349" s="24">
        <f t="shared" si="733"/>
        <v>43709</v>
      </c>
      <c r="P2349" s="5" t="str">
        <f t="shared" si="728"/>
        <v>11.000,00</v>
      </c>
      <c r="Q2349" s="4" t="e">
        <f t="shared" ca="1" si="729"/>
        <v>#NAME?</v>
      </c>
    </row>
    <row r="2350" spans="1:17">
      <c r="A2350" s="1">
        <f t="shared" si="727"/>
        <v>2349</v>
      </c>
      <c r="C2350" s="8" t="s">
        <v>17</v>
      </c>
      <c r="D2350" s="2">
        <v>43726</v>
      </c>
      <c r="E2350" s="550">
        <v>21600</v>
      </c>
      <c r="F2350" t="s">
        <v>126</v>
      </c>
      <c r="G2350" t="s">
        <v>127</v>
      </c>
      <c r="H2350" t="s">
        <v>128</v>
      </c>
      <c r="I2350" s="6" t="s">
        <v>1049</v>
      </c>
      <c r="J2350" s="59" t="s">
        <v>22</v>
      </c>
      <c r="L2350" s="5" t="str">
        <f t="shared" si="730"/>
        <v>02349</v>
      </c>
      <c r="M2350" s="46" t="str">
        <f t="shared" si="731"/>
        <v>18 de septiembre de 2019</v>
      </c>
      <c r="N2350" s="318">
        <f t="shared" si="732"/>
        <v>18</v>
      </c>
      <c r="O2350" s="24">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1054</v>
      </c>
      <c r="J2351" s="59" t="s">
        <v>22</v>
      </c>
      <c r="L2351" s="5" t="str">
        <f t="shared" si="730"/>
        <v>02350</v>
      </c>
      <c r="M2351" s="46" t="str">
        <f t="shared" si="731"/>
        <v>18 de septiembre de 2019</v>
      </c>
      <c r="N2351" s="318">
        <f t="shared" si="732"/>
        <v>18</v>
      </c>
      <c r="O2351" s="24">
        <f t="shared" si="733"/>
        <v>43709</v>
      </c>
      <c r="P2351" s="5" t="str">
        <f t="shared" si="728"/>
        <v>21.600,00</v>
      </c>
      <c r="Q2351" s="4" t="e">
        <f t="shared" ca="1" si="729"/>
        <v>#NAME?</v>
      </c>
    </row>
    <row r="2352" spans="1:17">
      <c r="A2352" s="1">
        <f t="shared" si="727"/>
        <v>2351</v>
      </c>
      <c r="C2352" s="8" t="s">
        <v>17</v>
      </c>
      <c r="D2352" s="2">
        <v>43727</v>
      </c>
      <c r="E2352" s="3">
        <v>21600</v>
      </c>
      <c r="F2352" t="s">
        <v>1018</v>
      </c>
      <c r="G2352" s="447" t="s">
        <v>1019</v>
      </c>
      <c r="H2352" t="s">
        <v>140</v>
      </c>
      <c r="I2352" s="6" t="s">
        <v>1036</v>
      </c>
      <c r="J2352" s="59" t="s">
        <v>22</v>
      </c>
      <c r="L2352" s="5" t="str">
        <f t="shared" si="730"/>
        <v>02351</v>
      </c>
      <c r="M2352" s="46" t="str">
        <f t="shared" si="731"/>
        <v>19 de septiembre de 2019</v>
      </c>
      <c r="N2352" s="318">
        <f t="shared" si="732"/>
        <v>19</v>
      </c>
      <c r="O2352" s="24">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1036</v>
      </c>
      <c r="J2353" s="59" t="s">
        <v>22</v>
      </c>
      <c r="L2353" s="5" t="str">
        <f t="shared" si="730"/>
        <v>02352</v>
      </c>
      <c r="M2353" s="46" t="str">
        <f t="shared" si="731"/>
        <v>19 de septiembre de 2019</v>
      </c>
      <c r="N2353" s="318">
        <f t="shared" si="732"/>
        <v>19</v>
      </c>
      <c r="O2353" s="24">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1036</v>
      </c>
      <c r="J2354" s="59" t="s">
        <v>22</v>
      </c>
      <c r="L2354" s="5" t="str">
        <f t="shared" si="730"/>
        <v>02353</v>
      </c>
      <c r="M2354" s="46" t="str">
        <f t="shared" si="731"/>
        <v>19 de septiembre de 2019</v>
      </c>
      <c r="N2354" s="318">
        <f t="shared" si="732"/>
        <v>19</v>
      </c>
      <c r="O2354" s="24">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1036</v>
      </c>
      <c r="J2355" s="59" t="s">
        <v>22</v>
      </c>
      <c r="L2355" s="5" t="str">
        <f t="shared" si="730"/>
        <v>02354</v>
      </c>
      <c r="M2355" s="46" t="str">
        <f t="shared" si="731"/>
        <v>19 de septiembre de 2019</v>
      </c>
      <c r="N2355" s="318">
        <f t="shared" si="732"/>
        <v>19</v>
      </c>
      <c r="O2355" s="24">
        <f t="shared" si="733"/>
        <v>43709</v>
      </c>
      <c r="P2355" s="5" t="str">
        <f t="shared" si="728"/>
        <v>21.600,00</v>
      </c>
      <c r="Q2355" s="4" t="e">
        <f t="shared" ca="1" si="729"/>
        <v>#NAME?</v>
      </c>
    </row>
    <row r="2356" spans="1:17">
      <c r="A2356" s="1">
        <f t="shared" si="727"/>
        <v>2355</v>
      </c>
      <c r="C2356" s="8" t="s">
        <v>17</v>
      </c>
      <c r="D2356" s="2">
        <v>43730</v>
      </c>
      <c r="E2356" s="3">
        <v>21600</v>
      </c>
      <c r="F2356" t="s">
        <v>844</v>
      </c>
      <c r="G2356" t="s">
        <v>845</v>
      </c>
      <c r="H2356" t="s">
        <v>169</v>
      </c>
      <c r="I2356" s="6" t="s">
        <v>1036</v>
      </c>
      <c r="J2356" s="59" t="s">
        <v>22</v>
      </c>
      <c r="L2356" s="5" t="str">
        <f t="shared" si="730"/>
        <v>02355</v>
      </c>
      <c r="M2356" s="46" t="str">
        <f t="shared" si="731"/>
        <v>22 de septiembre de 2019</v>
      </c>
      <c r="N2356" s="318">
        <f t="shared" si="732"/>
        <v>22</v>
      </c>
      <c r="O2356" s="24">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1036</v>
      </c>
      <c r="J2357" s="59" t="s">
        <v>22</v>
      </c>
      <c r="L2357" s="5" t="str">
        <f t="shared" si="730"/>
        <v>02356</v>
      </c>
      <c r="M2357" s="46" t="str">
        <f t="shared" si="731"/>
        <v>23 de septiembre de 2019</v>
      </c>
      <c r="N2357" s="318">
        <f t="shared" si="732"/>
        <v>23</v>
      </c>
      <c r="O2357" s="24">
        <f t="shared" si="733"/>
        <v>43709</v>
      </c>
      <c r="P2357" s="5" t="str">
        <f t="shared" si="728"/>
        <v>19.800,00</v>
      </c>
      <c r="Q2357" s="4" t="e">
        <f t="shared" ca="1" si="729"/>
        <v>#NAME?</v>
      </c>
    </row>
    <row r="2358" spans="1:17">
      <c r="A2358" s="1">
        <f t="shared" si="727"/>
        <v>2357</v>
      </c>
      <c r="C2358" s="8" t="s">
        <v>17</v>
      </c>
      <c r="D2358" s="2">
        <v>43731</v>
      </c>
      <c r="E2358" s="3">
        <v>19800</v>
      </c>
      <c r="F2358" t="s">
        <v>130</v>
      </c>
      <c r="G2358" t="s">
        <v>1055</v>
      </c>
      <c r="H2358" t="s">
        <v>132</v>
      </c>
      <c r="I2358" s="6" t="s">
        <v>1036</v>
      </c>
      <c r="J2358" s="59" t="s">
        <v>22</v>
      </c>
      <c r="L2358" s="5" t="str">
        <f t="shared" si="730"/>
        <v>02357</v>
      </c>
      <c r="M2358" s="46" t="str">
        <f t="shared" si="731"/>
        <v>23 de septiembre de 2019</v>
      </c>
      <c r="N2358" s="318">
        <f t="shared" si="732"/>
        <v>23</v>
      </c>
      <c r="O2358" s="24">
        <f t="shared" si="733"/>
        <v>43709</v>
      </c>
      <c r="P2358" s="5" t="str">
        <f t="shared" si="728"/>
        <v>19.800,00</v>
      </c>
      <c r="Q2358" s="4" t="e">
        <f t="shared" ca="1" si="729"/>
        <v>#NAME?</v>
      </c>
    </row>
    <row r="2359" spans="1:17">
      <c r="A2359" s="1">
        <f t="shared" si="727"/>
        <v>2358</v>
      </c>
      <c r="C2359" s="8" t="s">
        <v>17</v>
      </c>
      <c r="D2359" s="2">
        <v>43731</v>
      </c>
      <c r="E2359" s="3">
        <v>19800</v>
      </c>
      <c r="F2359" t="s">
        <v>1016</v>
      </c>
      <c r="G2359" t="s">
        <v>1017</v>
      </c>
      <c r="H2359" t="s">
        <v>59</v>
      </c>
      <c r="I2359" s="6" t="s">
        <v>1036</v>
      </c>
      <c r="J2359" s="59" t="s">
        <v>22</v>
      </c>
      <c r="L2359" s="5" t="str">
        <f t="shared" si="730"/>
        <v>02358</v>
      </c>
      <c r="M2359" s="46" t="str">
        <f t="shared" si="731"/>
        <v>23 de septiembre de 2019</v>
      </c>
      <c r="N2359" s="318">
        <f t="shared" si="732"/>
        <v>23</v>
      </c>
      <c r="O2359" s="24">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1056</v>
      </c>
      <c r="J2360" s="59" t="s">
        <v>22</v>
      </c>
      <c r="L2360" s="5" t="str">
        <f t="shared" si="730"/>
        <v>02359</v>
      </c>
      <c r="M2360" s="46" t="str">
        <f t="shared" si="731"/>
        <v>23 de septiembre de 2019</v>
      </c>
      <c r="N2360" s="318">
        <f t="shared" si="732"/>
        <v>23</v>
      </c>
      <c r="O2360" s="24">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1036</v>
      </c>
      <c r="J2361" s="59" t="s">
        <v>22</v>
      </c>
      <c r="L2361" s="5" t="str">
        <f t="shared" si="730"/>
        <v>02360</v>
      </c>
      <c r="M2361" s="46" t="str">
        <f t="shared" si="731"/>
        <v>23 de septiembre de 2019</v>
      </c>
      <c r="N2361" s="318">
        <f t="shared" si="732"/>
        <v>23</v>
      </c>
      <c r="O2361" s="24">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1036</v>
      </c>
      <c r="J2362" s="59" t="s">
        <v>22</v>
      </c>
      <c r="L2362" s="5" t="str">
        <f t="shared" si="730"/>
        <v>02361</v>
      </c>
      <c r="M2362" s="46" t="str">
        <f t="shared" si="731"/>
        <v>23 de septiembre de 2019</v>
      </c>
      <c r="N2362" s="318">
        <f t="shared" si="732"/>
        <v>23</v>
      </c>
      <c r="O2362" s="24">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1036</v>
      </c>
      <c r="J2363" s="59" t="s">
        <v>22</v>
      </c>
      <c r="L2363" s="5" t="str">
        <f t="shared" si="730"/>
        <v>02362</v>
      </c>
      <c r="M2363" s="46" t="str">
        <f t="shared" si="731"/>
        <v>23 de septiembre de 2019</v>
      </c>
      <c r="N2363" s="318">
        <f t="shared" si="732"/>
        <v>23</v>
      </c>
      <c r="O2363" s="24">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1036</v>
      </c>
      <c r="J2364" s="59" t="s">
        <v>22</v>
      </c>
      <c r="L2364" s="5" t="str">
        <f t="shared" si="730"/>
        <v>02363</v>
      </c>
      <c r="M2364" s="46" t="str">
        <f t="shared" si="731"/>
        <v>24 de septiembre de 2019</v>
      </c>
      <c r="N2364" s="318">
        <f t="shared" si="732"/>
        <v>24</v>
      </c>
      <c r="O2364" s="24">
        <f t="shared" si="733"/>
        <v>43709</v>
      </c>
      <c r="P2364" s="5" t="str">
        <f t="shared" si="728"/>
        <v>21.600,00</v>
      </c>
      <c r="Q2364" s="4" t="e">
        <f t="shared" ca="1" si="734"/>
        <v>#NAME?</v>
      </c>
    </row>
    <row r="2365" spans="1:17">
      <c r="A2365" s="1">
        <f t="shared" si="727"/>
        <v>2364</v>
      </c>
      <c r="C2365" s="8" t="s">
        <v>17</v>
      </c>
      <c r="D2365" s="2">
        <v>43733</v>
      </c>
      <c r="E2365" s="3">
        <v>39600</v>
      </c>
      <c r="F2365" t="s">
        <v>999</v>
      </c>
      <c r="G2365" t="s">
        <v>1000</v>
      </c>
      <c r="H2365" t="s">
        <v>1001</v>
      </c>
      <c r="I2365" s="6" t="s">
        <v>1042</v>
      </c>
      <c r="J2365" s="59" t="s">
        <v>22</v>
      </c>
      <c r="L2365" s="5" t="str">
        <f t="shared" si="730"/>
        <v>02364</v>
      </c>
      <c r="M2365" s="46" t="str">
        <f t="shared" si="731"/>
        <v>25 de septiembre de 2019</v>
      </c>
      <c r="N2365" s="318">
        <f t="shared" si="732"/>
        <v>25</v>
      </c>
      <c r="O2365" s="24">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1036</v>
      </c>
      <c r="J2366" s="59" t="s">
        <v>22</v>
      </c>
      <c r="L2366" s="5" t="str">
        <f t="shared" si="730"/>
        <v>02365</v>
      </c>
      <c r="M2366" s="46" t="str">
        <f t="shared" si="731"/>
        <v>26 de septiembre de 2019</v>
      </c>
      <c r="N2366" s="318">
        <f t="shared" si="732"/>
        <v>26</v>
      </c>
      <c r="O2366" s="24">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1036</v>
      </c>
      <c r="J2367" s="59" t="s">
        <v>22</v>
      </c>
      <c r="L2367" s="5" t="str">
        <f t="shared" si="730"/>
        <v>02366</v>
      </c>
      <c r="M2367" s="46" t="str">
        <f t="shared" si="731"/>
        <v>27 de septiembre de 2019</v>
      </c>
      <c r="N2367" s="318">
        <f t="shared" si="732"/>
        <v>27</v>
      </c>
      <c r="O2367" s="24">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1036</v>
      </c>
      <c r="J2368" s="59" t="s">
        <v>22</v>
      </c>
      <c r="L2368" s="5" t="str">
        <f t="shared" si="730"/>
        <v>02367</v>
      </c>
      <c r="M2368" s="46" t="str">
        <f t="shared" si="731"/>
        <v>27 de septiembre de 2019</v>
      </c>
      <c r="N2368" s="318">
        <f t="shared" si="732"/>
        <v>27</v>
      </c>
      <c r="O2368" s="24">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1036</v>
      </c>
      <c r="J2369" s="59" t="s">
        <v>22</v>
      </c>
      <c r="L2369" s="5" t="str">
        <f t="shared" si="730"/>
        <v>02368</v>
      </c>
      <c r="M2369" s="46" t="str">
        <f t="shared" si="731"/>
        <v>27 de septiembre de 2019</v>
      </c>
      <c r="N2369" s="318">
        <f t="shared" si="732"/>
        <v>27</v>
      </c>
      <c r="O2369" s="24">
        <f t="shared" si="733"/>
        <v>43709</v>
      </c>
      <c r="P2369" s="5" t="str">
        <f t="shared" si="728"/>
        <v>19.800,00</v>
      </c>
      <c r="Q2369" s="4" t="e">
        <f t="shared" ca="1" si="734"/>
        <v>#NAME?</v>
      </c>
    </row>
    <row r="2370" spans="1:17">
      <c r="A2370" s="1">
        <f t="shared" si="727"/>
        <v>2369</v>
      </c>
      <c r="C2370" s="8" t="s">
        <v>17</v>
      </c>
      <c r="D2370" s="2">
        <v>43736</v>
      </c>
      <c r="E2370" s="550">
        <v>19800</v>
      </c>
      <c r="F2370" t="s">
        <v>126</v>
      </c>
      <c r="G2370" t="s">
        <v>127</v>
      </c>
      <c r="H2370" t="s">
        <v>128</v>
      </c>
      <c r="I2370" s="6" t="s">
        <v>1057</v>
      </c>
      <c r="J2370" s="59" t="s">
        <v>22</v>
      </c>
      <c r="L2370" s="5" t="str">
        <f t="shared" ref="L2370:L2373" si="735">IF(ISBLANK(A2370),"",TEXT(A2370,"00000"))</f>
        <v>02369</v>
      </c>
      <c r="M2370" s="46" t="str">
        <f t="shared" ref="M2370:M2373" si="736">IF(ISBLANK(D2370),"",TEXT(D2370,"dd")&amp;" de "&amp;TEXT(D2370,"mmmm")&amp;" de "&amp;TEXT(YEAR(D2370),"0"))</f>
        <v>28 de septiembre de 2019</v>
      </c>
      <c r="N2370" s="318">
        <f t="shared" ref="N2370:N2373" si="737">DAY(D2370)</f>
        <v>28</v>
      </c>
      <c r="O2370" s="24">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1036</v>
      </c>
      <c r="J2371" s="59" t="s">
        <v>22</v>
      </c>
      <c r="L2371" s="5" t="str">
        <f t="shared" si="735"/>
        <v>02370</v>
      </c>
      <c r="M2371" s="46" t="str">
        <f t="shared" si="736"/>
        <v>28 de septiembre de 2019</v>
      </c>
      <c r="N2371" s="318">
        <f t="shared" si="737"/>
        <v>28</v>
      </c>
      <c r="O2371" s="24">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1036</v>
      </c>
      <c r="J2372" s="59" t="s">
        <v>22</v>
      </c>
      <c r="L2372" s="5" t="str">
        <f t="shared" si="735"/>
        <v>02371</v>
      </c>
      <c r="M2372" s="46" t="str">
        <f t="shared" si="736"/>
        <v>28 de septiembre de 2019</v>
      </c>
      <c r="N2372" s="318">
        <f t="shared" si="737"/>
        <v>28</v>
      </c>
      <c r="O2372" s="24">
        <f t="shared" si="738"/>
        <v>43709</v>
      </c>
      <c r="P2372" s="5" t="str">
        <f t="shared" si="739"/>
        <v>19.800,00</v>
      </c>
      <c r="Q2372" s="4" t="e">
        <f t="shared" ca="1" si="734"/>
        <v>#NAME?</v>
      </c>
    </row>
    <row r="2373" spans="1:17">
      <c r="A2373" s="1">
        <f t="shared" si="727"/>
        <v>2372</v>
      </c>
      <c r="C2373" s="8" t="s">
        <v>17</v>
      </c>
      <c r="D2373" s="2">
        <v>43737</v>
      </c>
      <c r="E2373" s="3">
        <v>4800</v>
      </c>
      <c r="F2373" t="s">
        <v>90</v>
      </c>
      <c r="G2373" s="447" t="s">
        <v>979</v>
      </c>
      <c r="H2373" t="s">
        <v>92</v>
      </c>
      <c r="I2373" s="6" t="s">
        <v>1058</v>
      </c>
      <c r="J2373" s="59" t="s">
        <v>22</v>
      </c>
      <c r="L2373" s="5" t="str">
        <f t="shared" si="735"/>
        <v>02372</v>
      </c>
      <c r="M2373" s="46" t="str">
        <f t="shared" si="736"/>
        <v>29 de septiembre de 2019</v>
      </c>
      <c r="N2373" s="318">
        <f t="shared" si="737"/>
        <v>29</v>
      </c>
      <c r="O2373" s="24">
        <f t="shared" si="738"/>
        <v>43709</v>
      </c>
      <c r="P2373" s="5" t="str">
        <f t="shared" si="739"/>
        <v>4.800,00</v>
      </c>
      <c r="Q2373" s="4" t="e">
        <f t="shared" ca="1" si="734"/>
        <v>#NAME?</v>
      </c>
    </row>
    <row r="2374" spans="1:17">
      <c r="A2374" s="1">
        <f t="shared" si="727"/>
        <v>2373</v>
      </c>
      <c r="C2374" s="8" t="s">
        <v>17</v>
      </c>
      <c r="D2374" s="2">
        <v>43737</v>
      </c>
      <c r="E2374" s="3">
        <v>15200</v>
      </c>
      <c r="F2374" t="s">
        <v>90</v>
      </c>
      <c r="G2374" s="447" t="s">
        <v>979</v>
      </c>
      <c r="H2374" t="s">
        <v>92</v>
      </c>
      <c r="I2374" s="6" t="s">
        <v>1059</v>
      </c>
      <c r="J2374" s="59" t="s">
        <v>1060</v>
      </c>
      <c r="L2374" s="5" t="str">
        <f t="shared" ref="L2374:L2411" si="740">IF(ISBLANK(A2374),"",TEXT(A2374,"00000"))</f>
        <v>02373</v>
      </c>
      <c r="M2374" s="46" t="str">
        <f t="shared" ref="M2374:M2411" si="741">IF(ISBLANK(D2374),"",TEXT(D2374,"dd")&amp;" de "&amp;TEXT(D2374,"mmmm")&amp;" de "&amp;TEXT(YEAR(D2374),"0"))</f>
        <v>29 de septiembre de 2019</v>
      </c>
      <c r="N2374" s="318">
        <f t="shared" ref="N2374:N2421" si="742">DAY(D2374)</f>
        <v>29</v>
      </c>
      <c r="O2374" s="24">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1036</v>
      </c>
      <c r="J2375" s="59" t="s">
        <v>22</v>
      </c>
      <c r="L2375" s="5" t="str">
        <f t="shared" si="740"/>
        <v>02374</v>
      </c>
      <c r="M2375" s="46" t="str">
        <f t="shared" si="741"/>
        <v>30 de septiembre de 2019</v>
      </c>
      <c r="N2375" s="318">
        <f t="shared" si="742"/>
        <v>30</v>
      </c>
      <c r="O2375" s="24">
        <f t="shared" si="743"/>
        <v>43709</v>
      </c>
      <c r="P2375" s="5" t="str">
        <f t="shared" si="744"/>
        <v>21.100,00</v>
      </c>
      <c r="Q2375" s="4" t="e">
        <f t="shared" ca="1" si="745"/>
        <v>#NAME?</v>
      </c>
    </row>
    <row r="2376" spans="1:17">
      <c r="A2376" s="1">
        <f t="shared" si="727"/>
        <v>2375</v>
      </c>
      <c r="C2376" s="83" t="s">
        <v>17</v>
      </c>
      <c r="D2376" s="2">
        <v>43738</v>
      </c>
      <c r="E2376" s="3">
        <v>21100</v>
      </c>
      <c r="F2376" t="s">
        <v>259</v>
      </c>
      <c r="G2376" s="18" t="s">
        <v>58</v>
      </c>
      <c r="H2376" t="s">
        <v>261</v>
      </c>
      <c r="I2376" s="6" t="s">
        <v>1036</v>
      </c>
      <c r="J2376" s="59" t="s">
        <v>22</v>
      </c>
      <c r="L2376" s="5" t="str">
        <f t="shared" si="740"/>
        <v>02375</v>
      </c>
      <c r="M2376" s="46" t="str">
        <f t="shared" si="741"/>
        <v>30 de septiembre de 2019</v>
      </c>
      <c r="N2376" s="318">
        <f t="shared" si="742"/>
        <v>30</v>
      </c>
      <c r="O2376" s="24">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1036</v>
      </c>
      <c r="J2377" s="59" t="s">
        <v>22</v>
      </c>
      <c r="L2377" s="5" t="str">
        <f t="shared" si="740"/>
        <v>02376</v>
      </c>
      <c r="M2377" s="46" t="str">
        <f t="shared" si="741"/>
        <v>30 de septiembre de 2019</v>
      </c>
      <c r="N2377" s="318">
        <f t="shared" si="742"/>
        <v>30</v>
      </c>
      <c r="O2377" s="24">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1061</v>
      </c>
      <c r="J2378" s="59" t="s">
        <v>22</v>
      </c>
      <c r="L2378" s="5" t="str">
        <f t="shared" si="740"/>
        <v>02377</v>
      </c>
      <c r="M2378" s="46" t="str">
        <f t="shared" si="741"/>
        <v>01 de octubre de 2019</v>
      </c>
      <c r="N2378" s="318">
        <f t="shared" si="742"/>
        <v>1</v>
      </c>
      <c r="O2378" s="24">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1062</v>
      </c>
      <c r="J2379" s="59" t="s">
        <v>22</v>
      </c>
      <c r="L2379" s="5" t="str">
        <f t="shared" si="740"/>
        <v>02378</v>
      </c>
      <c r="M2379" s="46" t="str">
        <f t="shared" si="741"/>
        <v>01 de octubre de 2019</v>
      </c>
      <c r="N2379" s="318">
        <f t="shared" si="742"/>
        <v>1</v>
      </c>
      <c r="O2379" s="24">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1061</v>
      </c>
      <c r="J2380" s="59" t="s">
        <v>22</v>
      </c>
      <c r="L2380" s="5" t="str">
        <f t="shared" si="740"/>
        <v>02379</v>
      </c>
      <c r="M2380" s="46" t="str">
        <f t="shared" si="741"/>
        <v>01 de octubre de 2019</v>
      </c>
      <c r="N2380" s="318">
        <f t="shared" si="742"/>
        <v>1</v>
      </c>
      <c r="O2380" s="24">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1061</v>
      </c>
      <c r="J2381" s="59" t="s">
        <v>22</v>
      </c>
      <c r="L2381" s="5" t="str">
        <f t="shared" si="740"/>
        <v>02380</v>
      </c>
      <c r="M2381" s="46" t="str">
        <f t="shared" si="741"/>
        <v>01 de octubre de 2019</v>
      </c>
      <c r="N2381" s="318">
        <f t="shared" si="742"/>
        <v>1</v>
      </c>
      <c r="O2381" s="24">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1061</v>
      </c>
      <c r="J2382" s="59" t="s">
        <v>22</v>
      </c>
      <c r="L2382" s="5" t="str">
        <f t="shared" si="740"/>
        <v>02381</v>
      </c>
      <c r="M2382" s="46" t="str">
        <f t="shared" si="741"/>
        <v>02 de octubre de 2019</v>
      </c>
      <c r="N2382" s="318">
        <f t="shared" si="742"/>
        <v>2</v>
      </c>
      <c r="O2382" s="24">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1061</v>
      </c>
      <c r="J2383" s="59" t="s">
        <v>22</v>
      </c>
      <c r="L2383" s="5" t="str">
        <f t="shared" si="740"/>
        <v>02382</v>
      </c>
      <c r="M2383" s="46" t="str">
        <f t="shared" si="741"/>
        <v>02 de octubre de 2019</v>
      </c>
      <c r="N2383" s="318">
        <f t="shared" si="742"/>
        <v>2</v>
      </c>
      <c r="O2383" s="24">
        <f t="shared" si="743"/>
        <v>43739</v>
      </c>
      <c r="P2383" s="5" t="str">
        <f t="shared" si="744"/>
        <v>21.100,00</v>
      </c>
      <c r="Q2383" s="4" t="e">
        <f t="shared" ca="1" si="746"/>
        <v>#NAME?</v>
      </c>
    </row>
    <row r="2384" spans="1:17">
      <c r="A2384" s="1">
        <f t="shared" si="727"/>
        <v>2383</v>
      </c>
      <c r="B2384" s="8"/>
      <c r="C2384" s="8" t="s">
        <v>17</v>
      </c>
      <c r="D2384" s="2">
        <v>43740</v>
      </c>
      <c r="E2384" s="3">
        <v>21100</v>
      </c>
      <c r="F2384" t="s">
        <v>948</v>
      </c>
      <c r="G2384" t="s">
        <v>949</v>
      </c>
      <c r="H2384" t="s">
        <v>950</v>
      </c>
      <c r="I2384" s="6" t="s">
        <v>1061</v>
      </c>
      <c r="J2384" s="59" t="s">
        <v>22</v>
      </c>
      <c r="L2384" s="5" t="str">
        <f t="shared" si="740"/>
        <v>02383</v>
      </c>
      <c r="M2384" s="46" t="str">
        <f t="shared" si="741"/>
        <v>02 de octubre de 2019</v>
      </c>
      <c r="N2384" s="318">
        <f t="shared" si="742"/>
        <v>2</v>
      </c>
      <c r="O2384" s="24">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1036</v>
      </c>
      <c r="J2385" s="59" t="s">
        <v>22</v>
      </c>
      <c r="L2385" s="5" t="str">
        <f t="shared" si="740"/>
        <v>02384</v>
      </c>
      <c r="M2385" s="46" t="str">
        <f t="shared" si="741"/>
        <v>02 de octubre de 2019</v>
      </c>
      <c r="N2385" s="318">
        <f t="shared" si="742"/>
        <v>2</v>
      </c>
      <c r="O2385" s="24">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1063</v>
      </c>
      <c r="J2386" s="59" t="s">
        <v>22</v>
      </c>
      <c r="L2386" s="5" t="str">
        <f t="shared" si="740"/>
        <v>02385</v>
      </c>
      <c r="M2386" s="46" t="str">
        <f t="shared" si="741"/>
        <v>02 de octubre de 2019</v>
      </c>
      <c r="N2386" s="318">
        <f t="shared" si="742"/>
        <v>2</v>
      </c>
      <c r="O2386" s="24">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1064</v>
      </c>
      <c r="J2387" s="59" t="s">
        <v>22</v>
      </c>
      <c r="L2387" s="5" t="str">
        <f t="shared" si="740"/>
        <v>02386</v>
      </c>
      <c r="M2387" s="46" t="str">
        <f t="shared" si="741"/>
        <v>02 de octubre de 2019</v>
      </c>
      <c r="N2387" s="318">
        <f t="shared" si="742"/>
        <v>2</v>
      </c>
      <c r="O2387" s="24">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1065</v>
      </c>
      <c r="J2388" s="59" t="s">
        <v>22</v>
      </c>
      <c r="L2388" s="5" t="str">
        <f t="shared" si="740"/>
        <v>02387</v>
      </c>
      <c r="M2388" s="46" t="str">
        <f t="shared" si="741"/>
        <v>02 de octubre de 2019</v>
      </c>
      <c r="N2388" s="318">
        <f t="shared" si="742"/>
        <v>2</v>
      </c>
      <c r="O2388" s="24">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1066</v>
      </c>
      <c r="J2389" s="59" t="s">
        <v>22</v>
      </c>
      <c r="L2389" s="5" t="str">
        <f t="shared" si="740"/>
        <v>02388</v>
      </c>
      <c r="M2389" s="46" t="str">
        <f t="shared" si="741"/>
        <v>02 de octubre de 2019</v>
      </c>
      <c r="N2389" s="318">
        <f t="shared" si="742"/>
        <v>2</v>
      </c>
      <c r="O2389" s="24">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1066</v>
      </c>
      <c r="J2390" s="59" t="s">
        <v>22</v>
      </c>
      <c r="L2390" s="5" t="str">
        <f t="shared" si="740"/>
        <v>02389</v>
      </c>
      <c r="M2390" s="46" t="str">
        <f t="shared" si="741"/>
        <v>02 de octubre de 2019</v>
      </c>
      <c r="N2390" s="318">
        <f t="shared" si="742"/>
        <v>2</v>
      </c>
      <c r="O2390" s="24">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1061</v>
      </c>
      <c r="J2391" s="59" t="s">
        <v>22</v>
      </c>
      <c r="L2391" s="5" t="str">
        <f t="shared" si="740"/>
        <v>02390</v>
      </c>
      <c r="M2391" s="46" t="str">
        <f t="shared" si="741"/>
        <v>02 de octubre de 2019</v>
      </c>
      <c r="N2391" s="318">
        <f t="shared" si="742"/>
        <v>2</v>
      </c>
      <c r="O2391" s="24">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1061</v>
      </c>
      <c r="J2392" s="59" t="s">
        <v>22</v>
      </c>
      <c r="L2392" s="5" t="str">
        <f t="shared" si="740"/>
        <v>02391</v>
      </c>
      <c r="M2392" s="46" t="str">
        <f t="shared" si="741"/>
        <v>03 de octubre de 2019</v>
      </c>
      <c r="N2392" s="318">
        <f t="shared" si="742"/>
        <v>3</v>
      </c>
      <c r="O2392" s="24">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1067</v>
      </c>
      <c r="J2393" s="59" t="s">
        <v>22</v>
      </c>
      <c r="L2393" s="5" t="str">
        <f t="shared" si="740"/>
        <v>02392</v>
      </c>
      <c r="M2393" s="46" t="str">
        <f t="shared" si="741"/>
        <v>03 de octubre de 2019</v>
      </c>
      <c r="N2393" s="318">
        <f t="shared" si="742"/>
        <v>3</v>
      </c>
      <c r="O2393" s="24">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1067</v>
      </c>
      <c r="J2394" s="59" t="s">
        <v>22</v>
      </c>
      <c r="L2394" s="5" t="str">
        <f t="shared" si="740"/>
        <v>02393</v>
      </c>
      <c r="M2394" s="46" t="str">
        <f t="shared" si="741"/>
        <v>03 de octubre de 2019</v>
      </c>
      <c r="N2394" s="318">
        <f t="shared" si="742"/>
        <v>3</v>
      </c>
      <c r="O2394" s="24">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1061</v>
      </c>
      <c r="J2395" s="59" t="s">
        <v>22</v>
      </c>
      <c r="L2395" s="5" t="str">
        <f t="shared" si="740"/>
        <v>02394</v>
      </c>
      <c r="M2395" s="46" t="str">
        <f t="shared" si="741"/>
        <v>03 de octubre de 2019</v>
      </c>
      <c r="N2395" s="318">
        <f t="shared" si="742"/>
        <v>3</v>
      </c>
      <c r="O2395" s="24">
        <f t="shared" si="743"/>
        <v>43739</v>
      </c>
      <c r="P2395" s="5" t="str">
        <f t="shared" si="744"/>
        <v>30.000,00</v>
      </c>
      <c r="Q2395" s="4" t="e">
        <f t="shared" ca="1" si="746"/>
        <v>#NAME?</v>
      </c>
    </row>
    <row r="2396" spans="1:17">
      <c r="A2396" s="1">
        <f t="shared" si="748"/>
        <v>2395</v>
      </c>
      <c r="B2396" s="8"/>
      <c r="C2396" s="83" t="s">
        <v>17</v>
      </c>
      <c r="D2396" s="2">
        <v>43742</v>
      </c>
      <c r="E2396" s="160">
        <v>21100</v>
      </c>
      <c r="F2396" t="s">
        <v>492</v>
      </c>
      <c r="G2396" s="18" t="s">
        <v>58</v>
      </c>
      <c r="H2396" t="s">
        <v>493</v>
      </c>
      <c r="I2396" s="6" t="s">
        <v>1061</v>
      </c>
      <c r="J2396" s="59" t="s">
        <v>22</v>
      </c>
      <c r="L2396" s="5" t="str">
        <f t="shared" si="740"/>
        <v>02395</v>
      </c>
      <c r="M2396" s="46" t="str">
        <f t="shared" si="741"/>
        <v>04 de octubre de 2019</v>
      </c>
      <c r="N2396" s="318">
        <f t="shared" si="742"/>
        <v>4</v>
      </c>
      <c r="O2396" s="24">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1061</v>
      </c>
      <c r="J2397" s="59" t="s">
        <v>22</v>
      </c>
      <c r="L2397" s="5" t="str">
        <f t="shared" si="740"/>
        <v>02396</v>
      </c>
      <c r="M2397" s="46" t="str">
        <f t="shared" si="741"/>
        <v>04 de octubre de 2019</v>
      </c>
      <c r="N2397" s="318">
        <f t="shared" si="742"/>
        <v>4</v>
      </c>
      <c r="O2397" s="24">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1061</v>
      </c>
      <c r="J2398" s="59" t="s">
        <v>22</v>
      </c>
      <c r="L2398" s="5" t="str">
        <f t="shared" si="740"/>
        <v>02397</v>
      </c>
      <c r="M2398" s="46" t="str">
        <f t="shared" si="741"/>
        <v>04 de octubre de 2019</v>
      </c>
      <c r="N2398" s="318">
        <f t="shared" si="742"/>
        <v>4</v>
      </c>
      <c r="O2398" s="24">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1061</v>
      </c>
      <c r="J2399" s="59" t="s">
        <v>22</v>
      </c>
      <c r="L2399" s="5" t="str">
        <f t="shared" si="740"/>
        <v>02398</v>
      </c>
      <c r="M2399" s="46" t="str">
        <f t="shared" si="741"/>
        <v>05 de octubre de 2019</v>
      </c>
      <c r="N2399" s="318">
        <f t="shared" si="742"/>
        <v>5</v>
      </c>
      <c r="O2399" s="24">
        <f t="shared" si="743"/>
        <v>43739</v>
      </c>
      <c r="P2399" s="5" t="str">
        <f t="shared" si="744"/>
        <v>21.100,00</v>
      </c>
      <c r="Q2399" s="4" t="e">
        <f t="shared" ca="1" si="746"/>
        <v>#NAME?</v>
      </c>
    </row>
    <row r="2400" spans="1:17">
      <c r="A2400" s="1">
        <f t="shared" si="749"/>
        <v>2399</v>
      </c>
      <c r="B2400" s="8"/>
      <c r="C2400" s="83" t="s">
        <v>17</v>
      </c>
      <c r="D2400" s="2">
        <v>43742</v>
      </c>
      <c r="E2400" s="3">
        <f>20000+1100</f>
        <v>21100</v>
      </c>
      <c r="F2400" t="s">
        <v>319</v>
      </c>
      <c r="G2400" s="18" t="s">
        <v>58</v>
      </c>
      <c r="H2400" t="s">
        <v>320</v>
      </c>
      <c r="I2400" s="6" t="s">
        <v>1061</v>
      </c>
      <c r="J2400" s="59" t="s">
        <v>22</v>
      </c>
      <c r="L2400" s="5" t="str">
        <f t="shared" si="740"/>
        <v>02399</v>
      </c>
      <c r="M2400" s="46" t="str">
        <f t="shared" si="741"/>
        <v>04 de octubre de 2019</v>
      </c>
      <c r="N2400" s="318">
        <f t="shared" si="742"/>
        <v>4</v>
      </c>
      <c r="O2400" s="24">
        <f t="shared" si="743"/>
        <v>43739</v>
      </c>
      <c r="P2400" s="5" t="str">
        <f t="shared" si="744"/>
        <v>21.100,00</v>
      </c>
      <c r="Q2400" s="4" t="e">
        <f t="shared" ca="1" si="746"/>
        <v>#NAME?</v>
      </c>
    </row>
    <row r="2401" spans="1:17">
      <c r="A2401" s="1">
        <f t="shared" si="749"/>
        <v>2400</v>
      </c>
      <c r="B2401" s="8"/>
      <c r="C2401" s="8" t="s">
        <v>17</v>
      </c>
      <c r="D2401" s="2">
        <v>43745</v>
      </c>
      <c r="E2401" s="550">
        <v>20300</v>
      </c>
      <c r="F2401" t="s">
        <v>103</v>
      </c>
      <c r="G2401" s="552" t="s">
        <v>1048</v>
      </c>
      <c r="H2401" t="s">
        <v>105</v>
      </c>
      <c r="I2401" s="6" t="s">
        <v>1057</v>
      </c>
      <c r="J2401" s="59" t="s">
        <v>22</v>
      </c>
      <c r="L2401" s="5" t="str">
        <f t="shared" si="740"/>
        <v>02400</v>
      </c>
      <c r="M2401" s="46" t="str">
        <f t="shared" si="741"/>
        <v>07 de octubre de 2019</v>
      </c>
      <c r="N2401" s="318">
        <f t="shared" si="742"/>
        <v>7</v>
      </c>
      <c r="O2401" s="24">
        <f t="shared" si="743"/>
        <v>43739</v>
      </c>
      <c r="P2401" s="5" t="str">
        <f t="shared" si="744"/>
        <v>20.300,00</v>
      </c>
      <c r="Q2401" s="4" t="e">
        <f t="shared" ca="1" si="746"/>
        <v>#NAME?</v>
      </c>
    </row>
    <row r="2402" spans="1:17">
      <c r="A2402" s="1">
        <f t="shared" si="749"/>
        <v>2401</v>
      </c>
      <c r="B2402" s="8"/>
      <c r="C2402" s="83" t="s">
        <v>17</v>
      </c>
      <c r="D2402" s="2">
        <v>43747</v>
      </c>
      <c r="E2402" s="3">
        <v>29435</v>
      </c>
      <c r="F2402" s="22" t="s">
        <v>422</v>
      </c>
      <c r="G2402" s="18" t="s">
        <v>58</v>
      </c>
      <c r="H2402" t="s">
        <v>423</v>
      </c>
      <c r="I2402" s="6" t="s">
        <v>1061</v>
      </c>
      <c r="J2402" s="59" t="s">
        <v>22</v>
      </c>
      <c r="L2402" s="5" t="str">
        <f t="shared" si="740"/>
        <v>02401</v>
      </c>
      <c r="M2402" s="46" t="str">
        <f t="shared" si="741"/>
        <v>09 de octubre de 2019</v>
      </c>
      <c r="N2402" s="318">
        <f t="shared" si="742"/>
        <v>9</v>
      </c>
      <c r="O2402" s="24">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942</v>
      </c>
      <c r="H2403" t="s">
        <v>179</v>
      </c>
      <c r="I2403" s="6" t="s">
        <v>1068</v>
      </c>
      <c r="J2403" s="59" t="s">
        <v>22</v>
      </c>
      <c r="L2403" s="5" t="str">
        <f t="shared" si="740"/>
        <v>02402</v>
      </c>
      <c r="M2403" s="46" t="str">
        <f t="shared" si="741"/>
        <v>09 de octubre de 2019</v>
      </c>
      <c r="N2403" s="318">
        <f t="shared" si="742"/>
        <v>9</v>
      </c>
      <c r="O2403" s="24">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1061</v>
      </c>
      <c r="J2404" s="59" t="s">
        <v>22</v>
      </c>
      <c r="L2404" s="5" t="str">
        <f t="shared" si="740"/>
        <v>02403</v>
      </c>
      <c r="M2404" s="46" t="str">
        <f t="shared" si="741"/>
        <v>10 de octubre de 2019</v>
      </c>
      <c r="N2404" s="318">
        <f t="shared" si="742"/>
        <v>10</v>
      </c>
      <c r="O2404" s="24">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59" t="s">
        <v>733</v>
      </c>
      <c r="L2405" s="5" t="str">
        <f t="shared" si="740"/>
        <v>02404</v>
      </c>
      <c r="M2405" s="46" t="str">
        <f t="shared" si="741"/>
        <v>10 de octubre de 2019</v>
      </c>
      <c r="N2405" s="318">
        <f t="shared" si="742"/>
        <v>10</v>
      </c>
      <c r="O2405" s="24">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1061</v>
      </c>
      <c r="J2406" s="59" t="s">
        <v>22</v>
      </c>
      <c r="L2406" s="5" t="str">
        <f t="shared" si="740"/>
        <v>02405</v>
      </c>
      <c r="M2406" s="46" t="str">
        <f t="shared" si="741"/>
        <v>10 de octubre de 2019</v>
      </c>
      <c r="N2406" s="318">
        <f t="shared" si="742"/>
        <v>10</v>
      </c>
      <c r="O2406" s="24">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1061</v>
      </c>
      <c r="J2407" s="59" t="s">
        <v>22</v>
      </c>
      <c r="L2407" s="5" t="str">
        <f t="shared" si="740"/>
        <v>02406</v>
      </c>
      <c r="M2407" s="46" t="str">
        <f t="shared" si="741"/>
        <v>11 de octubre de 2019</v>
      </c>
      <c r="N2407" s="318">
        <f t="shared" si="742"/>
        <v>11</v>
      </c>
      <c r="O2407" s="24">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1069</v>
      </c>
      <c r="J2408" s="59" t="s">
        <v>22</v>
      </c>
      <c r="L2408" s="5" t="str">
        <f t="shared" si="740"/>
        <v>02407</v>
      </c>
      <c r="M2408" s="46" t="str">
        <f t="shared" si="741"/>
        <v>11 de octubre de 2019</v>
      </c>
      <c r="N2408" s="318">
        <f t="shared" si="742"/>
        <v>11</v>
      </c>
      <c r="O2408" s="24">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47" t="s">
        <v>959</v>
      </c>
      <c r="H2409" t="s">
        <v>254</v>
      </c>
      <c r="I2409" s="6" t="s">
        <v>1066</v>
      </c>
      <c r="J2409" s="59" t="s">
        <v>22</v>
      </c>
      <c r="L2409" s="5" t="str">
        <f t="shared" si="740"/>
        <v>02408</v>
      </c>
      <c r="M2409" s="46" t="str">
        <f t="shared" si="741"/>
        <v>11 de octubre de 2019</v>
      </c>
      <c r="N2409" s="318">
        <f t="shared" si="742"/>
        <v>11</v>
      </c>
      <c r="O2409" s="24">
        <f t="shared" si="743"/>
        <v>43739</v>
      </c>
      <c r="P2409" s="5" t="str">
        <f t="shared" si="744"/>
        <v>11.000,00</v>
      </c>
      <c r="Q2409" s="4" t="e">
        <f t="shared" ca="1" si="746"/>
        <v>#NAME?</v>
      </c>
    </row>
    <row r="2410" spans="1:17">
      <c r="A2410" s="1">
        <f t="shared" si="749"/>
        <v>2409</v>
      </c>
      <c r="B2410" s="8"/>
      <c r="C2410" s="83" t="s">
        <v>17</v>
      </c>
      <c r="D2410" s="2">
        <v>43750</v>
      </c>
      <c r="E2410" s="3">
        <v>90000</v>
      </c>
      <c r="F2410" t="s">
        <v>1070</v>
      </c>
      <c r="G2410" s="18" t="s">
        <v>58</v>
      </c>
      <c r="H2410" t="s">
        <v>481</v>
      </c>
      <c r="I2410" s="6" t="s">
        <v>1071</v>
      </c>
      <c r="J2410" s="59" t="s">
        <v>22</v>
      </c>
      <c r="L2410" s="5" t="str">
        <f t="shared" si="740"/>
        <v>02409</v>
      </c>
      <c r="M2410" s="46" t="str">
        <f t="shared" si="741"/>
        <v>12 de octubre de 2019</v>
      </c>
      <c r="N2410" s="318">
        <f t="shared" si="742"/>
        <v>12</v>
      </c>
      <c r="O2410" s="24">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1061</v>
      </c>
      <c r="J2411" s="59" t="s">
        <v>22</v>
      </c>
      <c r="L2411" s="5" t="str">
        <f t="shared" si="740"/>
        <v>02410</v>
      </c>
      <c r="M2411" s="46" t="str">
        <f t="shared" si="741"/>
        <v>13 de octubre de 2019</v>
      </c>
      <c r="N2411" s="318">
        <f t="shared" si="742"/>
        <v>13</v>
      </c>
      <c r="O2411" s="24">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1061</v>
      </c>
      <c r="J2412" s="59" t="s">
        <v>22</v>
      </c>
      <c r="L2412" s="5" t="str">
        <f>IF(ISBLANK(A2412),"",TEXT(A2412,"00000"))</f>
        <v>02411</v>
      </c>
      <c r="M2412" s="46" t="str">
        <f>IF(ISBLANK(D2412),"",TEXT(D2412,"dd")&amp;" de "&amp;TEXT(D2412,"mmmm")&amp;" de "&amp;TEXT(YEAR(D2412),"0"))</f>
        <v>14 de octubre de 2019</v>
      </c>
      <c r="N2412" s="318">
        <f t="shared" si="742"/>
        <v>14</v>
      </c>
      <c r="O2412" s="24">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1005</v>
      </c>
      <c r="G2413" t="s">
        <v>1006</v>
      </c>
      <c r="H2413" t="s">
        <v>539</v>
      </c>
      <c r="I2413" s="6" t="s">
        <v>1061</v>
      </c>
      <c r="J2413" s="59" t="s">
        <v>22</v>
      </c>
      <c r="L2413" s="5" t="str">
        <f t="shared" ref="L2413:L2423" si="750">IF(ISBLANK(A2413),"",TEXT(A2413,"00000"))</f>
        <v>02412</v>
      </c>
      <c r="M2413" s="46" t="str">
        <f t="shared" ref="M2413:M2423" si="751">IF(ISBLANK(D2413),"",TEXT(D2413,"dd")&amp;" de "&amp;TEXT(D2413,"mmmm")&amp;" de "&amp;TEXT(YEAR(D2413),"0"))</f>
        <v>14 de octubre de 2019</v>
      </c>
      <c r="N2413" s="318">
        <f t="shared" si="742"/>
        <v>14</v>
      </c>
      <c r="O2413" s="24">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936</v>
      </c>
      <c r="G2414" t="s">
        <v>937</v>
      </c>
      <c r="H2414" t="s">
        <v>150</v>
      </c>
      <c r="I2414" s="6" t="s">
        <v>1061</v>
      </c>
      <c r="J2414" s="59" t="s">
        <v>22</v>
      </c>
      <c r="L2414" s="5" t="str">
        <f t="shared" si="750"/>
        <v>02413</v>
      </c>
      <c r="M2414" s="46" t="str">
        <f t="shared" si="751"/>
        <v>14 de octubre de 2019</v>
      </c>
      <c r="N2414" s="318">
        <f t="shared" si="742"/>
        <v>14</v>
      </c>
      <c r="O2414" s="24">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1061</v>
      </c>
      <c r="J2415" s="59" t="s">
        <v>22</v>
      </c>
      <c r="L2415" s="5" t="str">
        <f t="shared" si="750"/>
        <v>02414</v>
      </c>
      <c r="M2415" s="46" t="str">
        <f t="shared" si="751"/>
        <v>14 de octubre de 2019</v>
      </c>
      <c r="N2415" s="318">
        <f t="shared" si="742"/>
        <v>14</v>
      </c>
      <c r="O2415" s="24">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1061</v>
      </c>
      <c r="J2416" s="59" t="s">
        <v>22</v>
      </c>
      <c r="L2416" s="5" t="str">
        <f t="shared" si="750"/>
        <v>02415</v>
      </c>
      <c r="M2416" s="46" t="str">
        <f t="shared" si="751"/>
        <v>14 de octubre de 2019</v>
      </c>
      <c r="N2416" s="318">
        <f t="shared" si="742"/>
        <v>14</v>
      </c>
      <c r="O2416" s="24">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1061</v>
      </c>
      <c r="J2417" s="59" t="s">
        <v>22</v>
      </c>
      <c r="L2417" s="5" t="str">
        <f t="shared" si="750"/>
        <v>02416</v>
      </c>
      <c r="M2417" s="46" t="str">
        <f t="shared" si="751"/>
        <v>14 de octubre de 2019</v>
      </c>
      <c r="N2417" s="318">
        <f t="shared" si="742"/>
        <v>14</v>
      </c>
      <c r="O2417" s="24">
        <f t="shared" si="752"/>
        <v>43739</v>
      </c>
      <c r="P2417" s="5" t="str">
        <f t="shared" si="744"/>
        <v>20.000,00</v>
      </c>
      <c r="Q2417" s="4" t="e">
        <f t="shared" ca="1" si="746"/>
        <v>#NAME?</v>
      </c>
    </row>
    <row r="2418" spans="1:17">
      <c r="A2418" s="316">
        <f t="shared" si="749"/>
        <v>2417</v>
      </c>
      <c r="B2418" s="541"/>
      <c r="C2418" s="12" t="s">
        <v>225</v>
      </c>
      <c r="D2418" s="17">
        <v>43752</v>
      </c>
      <c r="E2418" s="13">
        <v>25000</v>
      </c>
      <c r="F2418" s="14" t="s">
        <v>107</v>
      </c>
      <c r="G2418" s="14" t="s">
        <v>108</v>
      </c>
      <c r="H2418" s="14" t="s">
        <v>109</v>
      </c>
      <c r="I2418" s="15" t="s">
        <v>1072</v>
      </c>
      <c r="J2418" s="60" t="s">
        <v>933</v>
      </c>
      <c r="K2418" s="16"/>
      <c r="L2418" s="5" t="str">
        <f t="shared" si="750"/>
        <v>02417</v>
      </c>
      <c r="M2418" s="46" t="str">
        <f t="shared" si="751"/>
        <v>14 de octubre de 2019</v>
      </c>
      <c r="N2418" s="318">
        <f t="shared" si="742"/>
        <v>14</v>
      </c>
      <c r="O2418" s="24">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1061</v>
      </c>
      <c r="J2419" s="59" t="s">
        <v>22</v>
      </c>
      <c r="L2419" s="5" t="str">
        <f t="shared" si="750"/>
        <v>02418</v>
      </c>
      <c r="M2419" s="46" t="str">
        <f t="shared" si="751"/>
        <v>15 de octubre de 2019</v>
      </c>
      <c r="N2419" s="318">
        <f t="shared" si="742"/>
        <v>15</v>
      </c>
      <c r="O2419" s="24">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1037</v>
      </c>
      <c r="H2420" t="s">
        <v>344</v>
      </c>
      <c r="I2420" s="6" t="s">
        <v>1061</v>
      </c>
      <c r="J2420" s="59" t="s">
        <v>22</v>
      </c>
      <c r="L2420" s="5" t="str">
        <f t="shared" si="750"/>
        <v>02419</v>
      </c>
      <c r="M2420" s="46" t="str">
        <f t="shared" si="751"/>
        <v>16 de octubre de 2019</v>
      </c>
      <c r="N2420" s="318">
        <f t="shared" si="742"/>
        <v>16</v>
      </c>
      <c r="O2420" s="24">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1061</v>
      </c>
      <c r="J2421" s="59" t="s">
        <v>22</v>
      </c>
      <c r="L2421" s="5" t="str">
        <f t="shared" si="750"/>
        <v>02420</v>
      </c>
      <c r="M2421" s="46" t="str">
        <f t="shared" si="751"/>
        <v>16 de octubre de 2019</v>
      </c>
      <c r="N2421" s="318">
        <f t="shared" si="742"/>
        <v>16</v>
      </c>
      <c r="O2421" s="24">
        <f t="shared" si="752"/>
        <v>43739</v>
      </c>
      <c r="P2421" s="5" t="str">
        <f t="shared" si="744"/>
        <v>19.800,00</v>
      </c>
      <c r="Q2421" s="4" t="e">
        <f t="shared" ca="1" si="746"/>
        <v>#NAME?</v>
      </c>
    </row>
    <row r="2422" spans="1:17">
      <c r="A2422" s="1">
        <f t="shared" si="749"/>
        <v>2421</v>
      </c>
      <c r="B2422" s="8"/>
      <c r="C2422" s="83" t="s">
        <v>17</v>
      </c>
      <c r="D2422" s="2">
        <v>43754</v>
      </c>
      <c r="E2422" s="3">
        <v>19800</v>
      </c>
      <c r="F2422" t="s">
        <v>259</v>
      </c>
      <c r="G2422" s="18" t="s">
        <v>58</v>
      </c>
      <c r="H2422" t="s">
        <v>261</v>
      </c>
      <c r="I2422" s="6" t="s">
        <v>1061</v>
      </c>
      <c r="J2422" s="59" t="s">
        <v>22</v>
      </c>
      <c r="L2422" s="5" t="str">
        <f t="shared" si="750"/>
        <v>02421</v>
      </c>
      <c r="M2422" s="46" t="str">
        <f t="shared" si="751"/>
        <v>16 de octubre de 2019</v>
      </c>
      <c r="N2422" s="318">
        <f t="shared" ref="N2422:N2428" si="753">DAY(D2422)</f>
        <v>16</v>
      </c>
      <c r="O2422" s="24">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1061</v>
      </c>
      <c r="J2423" s="59" t="s">
        <v>22</v>
      </c>
      <c r="L2423" s="5" t="str">
        <f t="shared" si="750"/>
        <v>02422</v>
      </c>
      <c r="M2423" s="46" t="str">
        <f t="shared" si="751"/>
        <v>17 de octubre de 2019</v>
      </c>
      <c r="N2423" s="318">
        <f t="shared" si="753"/>
        <v>17</v>
      </c>
      <c r="O2423" s="24">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1051</v>
      </c>
      <c r="J2424" s="59" t="s">
        <v>22</v>
      </c>
      <c r="L2424" s="5" t="str">
        <f t="shared" ref="L2424:L2428" si="755">IF(ISBLANK(A2424),"",TEXT(A2424,"00000"))</f>
        <v>02423</v>
      </c>
      <c r="M2424" s="46" t="str">
        <f t="shared" ref="M2424:M2428" si="756">IF(ISBLANK(D2424),"",TEXT(D2424,"dd")&amp;" de "&amp;TEXT(D2424,"mmmm")&amp;" de "&amp;TEXT(YEAR(D2424),"0"))</f>
        <v>17 de octubre de 2019</v>
      </c>
      <c r="N2424" s="318">
        <f t="shared" si="753"/>
        <v>17</v>
      </c>
      <c r="O2424" s="24">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1061</v>
      </c>
      <c r="J2425" s="59" t="s">
        <v>22</v>
      </c>
      <c r="L2425" s="5" t="str">
        <f t="shared" si="755"/>
        <v>02424</v>
      </c>
      <c r="M2425" s="46" t="str">
        <f t="shared" si="756"/>
        <v>17 de octubre de 2019</v>
      </c>
      <c r="N2425" s="318">
        <f t="shared" si="753"/>
        <v>17</v>
      </c>
      <c r="O2425" s="24">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1061</v>
      </c>
      <c r="J2426" s="59" t="s">
        <v>22</v>
      </c>
      <c r="L2426" s="5" t="str">
        <f t="shared" si="755"/>
        <v>02425</v>
      </c>
      <c r="M2426" s="46" t="str">
        <f t="shared" si="756"/>
        <v>17 de octubre de 2019</v>
      </c>
      <c r="N2426" s="318">
        <f t="shared" si="753"/>
        <v>17</v>
      </c>
      <c r="O2426" s="24">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1051</v>
      </c>
      <c r="J2427" s="59" t="s">
        <v>22</v>
      </c>
      <c r="L2427" s="5" t="str">
        <f t="shared" si="755"/>
        <v>02426</v>
      </c>
      <c r="M2427" s="46" t="str">
        <f t="shared" si="756"/>
        <v>19 de octubre de 2019</v>
      </c>
      <c r="N2427" s="318">
        <f t="shared" si="753"/>
        <v>19</v>
      </c>
      <c r="O2427" s="24">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1061</v>
      </c>
      <c r="J2428" s="59" t="s">
        <v>22</v>
      </c>
      <c r="L2428" s="5" t="str">
        <f t="shared" si="755"/>
        <v>02427</v>
      </c>
      <c r="M2428" s="46" t="str">
        <f t="shared" si="756"/>
        <v>20 de octubre de 2019</v>
      </c>
      <c r="N2428" s="318">
        <f t="shared" si="753"/>
        <v>20</v>
      </c>
      <c r="O2428" s="24">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1061</v>
      </c>
      <c r="J2429" s="59" t="s">
        <v>22</v>
      </c>
      <c r="L2429" s="5" t="str">
        <f t="shared" ref="L2429:L2461" si="759">IF(ISBLANK(A2429),"",TEXT(A2429,"00000"))</f>
        <v>02428</v>
      </c>
      <c r="M2429" s="46" t="str">
        <f t="shared" ref="M2429:M2461" si="760">IF(ISBLANK(D2429),"",TEXT(D2429,"dd")&amp;" de "&amp;TEXT(D2429,"mmmm")&amp;" de "&amp;TEXT(YEAR(D2429),"0"))</f>
        <v>20 de octubre de 2019</v>
      </c>
      <c r="N2429" s="318">
        <f t="shared" ref="N2429:N2479" si="761">DAY(D2429)</f>
        <v>20</v>
      </c>
      <c r="O2429" s="24">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1061</v>
      </c>
      <c r="J2430" s="59" t="s">
        <v>22</v>
      </c>
      <c r="L2430" s="5" t="str">
        <f t="shared" si="759"/>
        <v>02429</v>
      </c>
      <c r="M2430" s="46" t="str">
        <f t="shared" si="760"/>
        <v>20 de octubre de 2019</v>
      </c>
      <c r="N2430" s="318">
        <f t="shared" si="761"/>
        <v>20</v>
      </c>
      <c r="O2430" s="24">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1066</v>
      </c>
      <c r="J2431" s="59" t="s">
        <v>22</v>
      </c>
      <c r="L2431" s="5" t="str">
        <f t="shared" si="759"/>
        <v>02430</v>
      </c>
      <c r="M2431" s="46" t="str">
        <f t="shared" si="760"/>
        <v>20 de octubre de 2019</v>
      </c>
      <c r="N2431" s="318">
        <f t="shared" si="761"/>
        <v>20</v>
      </c>
      <c r="O2431" s="24">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1073</v>
      </c>
      <c r="J2432" s="59" t="s">
        <v>22</v>
      </c>
      <c r="L2432" s="5" t="str">
        <f t="shared" si="759"/>
        <v>02431</v>
      </c>
      <c r="M2432" s="46" t="str">
        <f t="shared" si="760"/>
        <v>20 de octubre de 2019</v>
      </c>
      <c r="N2432" s="318">
        <f t="shared" si="761"/>
        <v>20</v>
      </c>
      <c r="O2432" s="24">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1066</v>
      </c>
      <c r="J2433" s="59" t="s">
        <v>22</v>
      </c>
      <c r="L2433" s="5" t="str">
        <f t="shared" si="759"/>
        <v>02432</v>
      </c>
      <c r="M2433" s="46" t="str">
        <f t="shared" si="760"/>
        <v>20 de octubre de 2019</v>
      </c>
      <c r="N2433" s="318">
        <f t="shared" si="761"/>
        <v>20</v>
      </c>
      <c r="O2433" s="24">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1074</v>
      </c>
      <c r="J2434" s="59" t="s">
        <v>22</v>
      </c>
      <c r="L2434" s="5" t="str">
        <f t="shared" si="759"/>
        <v>02433</v>
      </c>
      <c r="M2434" s="46" t="str">
        <f t="shared" si="760"/>
        <v>21 de octubre de 2019</v>
      </c>
      <c r="N2434" s="318">
        <f t="shared" si="761"/>
        <v>21</v>
      </c>
      <c r="O2434" s="24">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1066</v>
      </c>
      <c r="J2435" s="59" t="s">
        <v>22</v>
      </c>
      <c r="L2435" s="5" t="str">
        <f t="shared" si="759"/>
        <v>02434</v>
      </c>
      <c r="M2435" s="46" t="str">
        <f t="shared" si="760"/>
        <v>21 de octubre de 2019</v>
      </c>
      <c r="N2435" s="318">
        <f t="shared" si="761"/>
        <v>21</v>
      </c>
      <c r="O2435" s="24">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1066</v>
      </c>
      <c r="J2436" s="59" t="s">
        <v>22</v>
      </c>
      <c r="L2436" s="5" t="str">
        <f t="shared" si="759"/>
        <v>02435</v>
      </c>
      <c r="M2436" s="46" t="str">
        <f t="shared" si="760"/>
        <v>21 de octubre de 2019</v>
      </c>
      <c r="N2436" s="318">
        <f t="shared" si="761"/>
        <v>21</v>
      </c>
      <c r="O2436" s="24">
        <f t="shared" si="762"/>
        <v>43739</v>
      </c>
      <c r="P2436" s="5" t="str">
        <f t="shared" si="763"/>
        <v>23.000,00</v>
      </c>
      <c r="Q2436" s="4" t="e">
        <f t="shared" ca="1" si="764"/>
        <v>#NAME?</v>
      </c>
    </row>
    <row r="2437" spans="1:17">
      <c r="A2437" s="1">
        <f t="shared" si="765"/>
        <v>2436</v>
      </c>
      <c r="B2437" s="8"/>
      <c r="C2437" s="8" t="s">
        <v>17</v>
      </c>
      <c r="D2437" s="2">
        <v>43759</v>
      </c>
      <c r="E2437" s="3">
        <v>28800</v>
      </c>
      <c r="F2437" t="s">
        <v>1005</v>
      </c>
      <c r="G2437" t="s">
        <v>1006</v>
      </c>
      <c r="H2437" t="s">
        <v>539</v>
      </c>
      <c r="I2437" s="6" t="s">
        <v>1066</v>
      </c>
      <c r="J2437" s="59" t="s">
        <v>22</v>
      </c>
      <c r="L2437" s="5" t="str">
        <f t="shared" si="759"/>
        <v>02436</v>
      </c>
      <c r="M2437" s="46" t="str">
        <f t="shared" si="760"/>
        <v>21 de octubre de 2019</v>
      </c>
      <c r="N2437" s="318">
        <f t="shared" si="761"/>
        <v>21</v>
      </c>
      <c r="O2437" s="24">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1066</v>
      </c>
      <c r="J2438" s="59" t="s">
        <v>22</v>
      </c>
      <c r="L2438" s="5" t="str">
        <f t="shared" si="759"/>
        <v>02437</v>
      </c>
      <c r="M2438" s="46" t="str">
        <f t="shared" si="760"/>
        <v>21 de octubre de 2019</v>
      </c>
      <c r="N2438" s="318">
        <f t="shared" si="761"/>
        <v>21</v>
      </c>
      <c r="O2438" s="24">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1066</v>
      </c>
      <c r="J2439" s="59" t="s">
        <v>22</v>
      </c>
      <c r="L2439" s="5" t="str">
        <f t="shared" si="759"/>
        <v>02438</v>
      </c>
      <c r="M2439" s="46" t="str">
        <f t="shared" si="760"/>
        <v>21 de octubre de 2019</v>
      </c>
      <c r="N2439" s="318">
        <f t="shared" si="761"/>
        <v>21</v>
      </c>
      <c r="O2439" s="24">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1075</v>
      </c>
      <c r="J2440" s="59" t="s">
        <v>22</v>
      </c>
      <c r="L2440" s="5" t="str">
        <f t="shared" si="759"/>
        <v>02439</v>
      </c>
      <c r="M2440" s="46" t="str">
        <f t="shared" si="760"/>
        <v>21 de octubre de 2019</v>
      </c>
      <c r="N2440" s="318">
        <f t="shared" si="761"/>
        <v>21</v>
      </c>
      <c r="O2440" s="24">
        <f t="shared" si="762"/>
        <v>43739</v>
      </c>
      <c r="P2440" s="5" t="str">
        <f t="shared" si="763"/>
        <v>28.200,00</v>
      </c>
      <c r="Q2440" s="4" t="e">
        <f t="shared" ca="1" si="764"/>
        <v>#NAME?</v>
      </c>
    </row>
    <row r="2441" spans="1:17">
      <c r="A2441" s="1">
        <f t="shared" si="766"/>
        <v>2440</v>
      </c>
      <c r="B2441" s="8"/>
      <c r="C2441" s="83" t="s">
        <v>17</v>
      </c>
      <c r="D2441" s="2">
        <v>43759</v>
      </c>
      <c r="E2441" s="160">
        <v>27000</v>
      </c>
      <c r="F2441" t="s">
        <v>492</v>
      </c>
      <c r="G2441" s="18" t="s">
        <v>58</v>
      </c>
      <c r="H2441" t="s">
        <v>493</v>
      </c>
      <c r="I2441" s="6" t="s">
        <v>1066</v>
      </c>
      <c r="J2441" s="59" t="s">
        <v>22</v>
      </c>
      <c r="L2441" s="5" t="str">
        <f t="shared" si="759"/>
        <v>02440</v>
      </c>
      <c r="M2441" s="46" t="str">
        <f t="shared" si="760"/>
        <v>21 de octubre de 2019</v>
      </c>
      <c r="N2441" s="318">
        <f t="shared" si="761"/>
        <v>21</v>
      </c>
      <c r="O2441" s="24">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1032</v>
      </c>
      <c r="J2442" s="59" t="s">
        <v>22</v>
      </c>
      <c r="L2442" s="5" t="str">
        <f t="shared" si="759"/>
        <v>02441</v>
      </c>
      <c r="M2442" s="46" t="str">
        <f t="shared" si="760"/>
        <v>21 de octubre de 2019</v>
      </c>
      <c r="N2442" s="318">
        <f t="shared" si="761"/>
        <v>21</v>
      </c>
      <c r="O2442" s="24">
        <f t="shared" si="762"/>
        <v>43739</v>
      </c>
      <c r="P2442" s="5" t="str">
        <f t="shared" si="763"/>
        <v>29.800,00</v>
      </c>
      <c r="Q2442" s="4" t="e">
        <f t="shared" ca="1" si="764"/>
        <v>#NAME?</v>
      </c>
    </row>
    <row r="2443" spans="1:17">
      <c r="A2443" s="1">
        <f t="shared" si="766"/>
        <v>2442</v>
      </c>
      <c r="B2443" s="8"/>
      <c r="C2443" s="8" t="s">
        <v>17</v>
      </c>
      <c r="D2443" s="2">
        <v>43759</v>
      </c>
      <c r="E2443" s="550">
        <v>26700</v>
      </c>
      <c r="F2443" t="s">
        <v>103</v>
      </c>
      <c r="G2443" s="552" t="s">
        <v>1048</v>
      </c>
      <c r="H2443" t="s">
        <v>105</v>
      </c>
      <c r="I2443" s="6" t="s">
        <v>1076</v>
      </c>
      <c r="J2443" s="59" t="s">
        <v>22</v>
      </c>
      <c r="L2443" s="5" t="str">
        <f t="shared" si="759"/>
        <v>02442</v>
      </c>
      <c r="M2443" s="46" t="str">
        <f t="shared" si="760"/>
        <v>21 de octubre de 2019</v>
      </c>
      <c r="N2443" s="318">
        <f t="shared" si="761"/>
        <v>21</v>
      </c>
      <c r="O2443" s="24">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1077</v>
      </c>
      <c r="J2444" s="59" t="s">
        <v>22</v>
      </c>
      <c r="L2444" s="5" t="str">
        <f t="shared" si="759"/>
        <v>02443</v>
      </c>
      <c r="M2444" s="46" t="str">
        <f t="shared" si="760"/>
        <v>21 de octubre de 2019</v>
      </c>
      <c r="N2444" s="318">
        <f t="shared" si="761"/>
        <v>21</v>
      </c>
      <c r="O2444" s="24">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1066</v>
      </c>
      <c r="J2445" s="59" t="s">
        <v>22</v>
      </c>
      <c r="L2445" s="5" t="str">
        <f t="shared" si="759"/>
        <v>02444</v>
      </c>
      <c r="M2445" s="46" t="str">
        <f t="shared" si="760"/>
        <v>22 de octubre de 2019</v>
      </c>
      <c r="N2445" s="318">
        <f t="shared" si="761"/>
        <v>22</v>
      </c>
      <c r="O2445" s="24">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1066</v>
      </c>
      <c r="J2446" s="59" t="s">
        <v>22</v>
      </c>
      <c r="L2446" s="5" t="str">
        <f t="shared" si="759"/>
        <v>02445</v>
      </c>
      <c r="M2446" s="46" t="str">
        <f t="shared" si="760"/>
        <v>22 de octubre de 2019</v>
      </c>
      <c r="N2446" s="318">
        <f t="shared" si="761"/>
        <v>22</v>
      </c>
      <c r="O2446" s="24">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1" t="s">
        <v>240</v>
      </c>
      <c r="H2447" t="s">
        <v>241</v>
      </c>
      <c r="I2447" s="6" t="s">
        <v>1061</v>
      </c>
      <c r="J2447" s="59" t="s">
        <v>22</v>
      </c>
      <c r="L2447" s="5" t="str">
        <f t="shared" si="759"/>
        <v>02446</v>
      </c>
      <c r="M2447" s="46" t="str">
        <f t="shared" si="760"/>
        <v>22 de octubre de 2019</v>
      </c>
      <c r="N2447" s="318">
        <f t="shared" si="761"/>
        <v>22</v>
      </c>
      <c r="O2447" s="24">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1066</v>
      </c>
      <c r="J2448" s="59" t="s">
        <v>22</v>
      </c>
      <c r="L2448" s="5" t="str">
        <f t="shared" si="759"/>
        <v>02447</v>
      </c>
      <c r="M2448" s="46" t="str">
        <f t="shared" si="760"/>
        <v>22 de octubre de 2019</v>
      </c>
      <c r="N2448" s="318">
        <f t="shared" si="761"/>
        <v>22</v>
      </c>
      <c r="O2448" s="24">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1066</v>
      </c>
      <c r="J2449" s="59" t="s">
        <v>22</v>
      </c>
      <c r="L2449" s="5" t="str">
        <f t="shared" si="759"/>
        <v>02448</v>
      </c>
      <c r="M2449" s="46" t="str">
        <f t="shared" si="760"/>
        <v>22 de octubre de 2019</v>
      </c>
      <c r="N2449" s="318">
        <f t="shared" si="761"/>
        <v>22</v>
      </c>
      <c r="O2449" s="24">
        <f t="shared" si="762"/>
        <v>43739</v>
      </c>
      <c r="P2449" s="5" t="str">
        <f t="shared" si="763"/>
        <v>25.900,00</v>
      </c>
      <c r="Q2449" s="4" t="e">
        <f t="shared" ca="1" si="767"/>
        <v>#NAME?</v>
      </c>
    </row>
    <row r="2450" spans="1:17">
      <c r="A2450" s="1">
        <f t="shared" si="766"/>
        <v>2449</v>
      </c>
      <c r="C2450" s="8" t="s">
        <v>17</v>
      </c>
      <c r="D2450" s="2">
        <v>43761</v>
      </c>
      <c r="E2450" s="3">
        <v>47000</v>
      </c>
      <c r="F2450" t="s">
        <v>1018</v>
      </c>
      <c r="G2450" s="447" t="s">
        <v>1019</v>
      </c>
      <c r="H2450" t="s">
        <v>140</v>
      </c>
      <c r="I2450" s="6" t="s">
        <v>1061</v>
      </c>
      <c r="J2450" s="59" t="s">
        <v>22</v>
      </c>
      <c r="L2450" s="5" t="str">
        <f t="shared" si="759"/>
        <v>02449</v>
      </c>
      <c r="M2450" s="46" t="str">
        <f t="shared" si="760"/>
        <v>23 de octubre de 2019</v>
      </c>
      <c r="N2450" s="318">
        <f t="shared" si="761"/>
        <v>23</v>
      </c>
      <c r="O2450" s="24">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1066</v>
      </c>
      <c r="J2451" s="59" t="s">
        <v>22</v>
      </c>
      <c r="L2451" s="5" t="str">
        <f t="shared" si="759"/>
        <v>02450</v>
      </c>
      <c r="M2451" s="46" t="str">
        <f t="shared" si="760"/>
        <v>23 de octubre de 2019</v>
      </c>
      <c r="N2451" s="318">
        <f t="shared" si="761"/>
        <v>23</v>
      </c>
      <c r="O2451" s="24">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1061</v>
      </c>
      <c r="J2452" s="59" t="s">
        <v>22</v>
      </c>
      <c r="L2452" s="5" t="str">
        <f t="shared" si="759"/>
        <v>02451</v>
      </c>
      <c r="M2452" s="46" t="str">
        <f t="shared" si="760"/>
        <v>23 de octubre de 2019</v>
      </c>
      <c r="N2452" s="318">
        <f t="shared" si="761"/>
        <v>23</v>
      </c>
      <c r="O2452" s="24">
        <f t="shared" si="762"/>
        <v>43739</v>
      </c>
      <c r="P2452" s="5" t="str">
        <f t="shared" si="763"/>
        <v>47.000,00</v>
      </c>
      <c r="Q2452" s="4" t="e">
        <f t="shared" ca="1" si="767"/>
        <v>#NAME?</v>
      </c>
    </row>
    <row r="2453" spans="1:17">
      <c r="A2453" s="1">
        <f t="shared" si="766"/>
        <v>2452</v>
      </c>
      <c r="C2453" s="83" t="s">
        <v>17</v>
      </c>
      <c r="D2453" s="2">
        <v>43761</v>
      </c>
      <c r="E2453" s="3">
        <v>47000</v>
      </c>
      <c r="F2453" t="s">
        <v>40</v>
      </c>
      <c r="G2453" s="18" t="s">
        <v>58</v>
      </c>
      <c r="H2453" t="s">
        <v>42</v>
      </c>
      <c r="I2453" s="6" t="s">
        <v>1061</v>
      </c>
      <c r="J2453" s="59" t="s">
        <v>22</v>
      </c>
      <c r="L2453" s="5" t="str">
        <f t="shared" si="759"/>
        <v>02452</v>
      </c>
      <c r="M2453" s="46" t="str">
        <f t="shared" si="760"/>
        <v>23 de octubre de 2019</v>
      </c>
      <c r="N2453" s="318">
        <f t="shared" si="761"/>
        <v>23</v>
      </c>
      <c r="O2453" s="24">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1066</v>
      </c>
      <c r="J2454" s="59" t="s">
        <v>22</v>
      </c>
      <c r="L2454" s="5" t="str">
        <f t="shared" si="759"/>
        <v>02453</v>
      </c>
      <c r="M2454" s="46" t="str">
        <f t="shared" si="760"/>
        <v>24 de octubre de 2019</v>
      </c>
      <c r="N2454" s="318">
        <f t="shared" si="761"/>
        <v>24</v>
      </c>
      <c r="O2454" s="24">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1066</v>
      </c>
      <c r="J2455" s="59" t="s">
        <v>22</v>
      </c>
      <c r="L2455" s="5" t="str">
        <f t="shared" si="759"/>
        <v>02454</v>
      </c>
      <c r="M2455" s="46" t="str">
        <f t="shared" si="760"/>
        <v>24 de octubre de 2019</v>
      </c>
      <c r="N2455" s="318">
        <f t="shared" si="761"/>
        <v>24</v>
      </c>
      <c r="O2455" s="24">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1061</v>
      </c>
      <c r="J2456" s="59" t="s">
        <v>22</v>
      </c>
      <c r="L2456" s="5" t="str">
        <f t="shared" si="759"/>
        <v>02455</v>
      </c>
      <c r="M2456" s="46" t="str">
        <f t="shared" si="760"/>
        <v>24 de octubre de 2019</v>
      </c>
      <c r="N2456" s="318">
        <f t="shared" si="761"/>
        <v>24</v>
      </c>
      <c r="O2456" s="24">
        <f t="shared" si="762"/>
        <v>43739</v>
      </c>
      <c r="P2456" s="5" t="str">
        <f>TEXT(E2456,"#.##0,00")</f>
        <v>48.000,00</v>
      </c>
      <c r="Q2456" s="4" t="e">
        <f ca="1">CONVERTIRNUM(E2456)</f>
        <v>#NAME?</v>
      </c>
    </row>
    <row r="2457" spans="1:17">
      <c r="A2457" s="1">
        <f t="shared" si="766"/>
        <v>2456</v>
      </c>
      <c r="C2457" s="8" t="s">
        <v>17</v>
      </c>
      <c r="D2457" s="2">
        <v>43762</v>
      </c>
      <c r="E2457" s="3">
        <v>25900</v>
      </c>
      <c r="F2457" t="s">
        <v>948</v>
      </c>
      <c r="G2457" t="s">
        <v>949</v>
      </c>
      <c r="H2457" t="s">
        <v>950</v>
      </c>
      <c r="I2457" s="6" t="s">
        <v>1066</v>
      </c>
      <c r="J2457" s="59" t="s">
        <v>22</v>
      </c>
      <c r="L2457" s="5" t="str">
        <f t="shared" si="759"/>
        <v>02456</v>
      </c>
      <c r="M2457" s="46" t="str">
        <f t="shared" si="760"/>
        <v>24 de octubre de 2019</v>
      </c>
      <c r="N2457" s="318">
        <f t="shared" si="761"/>
        <v>24</v>
      </c>
      <c r="O2457" s="24">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1037</v>
      </c>
      <c r="H2458" t="s">
        <v>344</v>
      </c>
      <c r="I2458" s="6" t="s">
        <v>1066</v>
      </c>
      <c r="J2458" s="59" t="s">
        <v>22</v>
      </c>
      <c r="L2458" s="5" t="str">
        <f t="shared" si="759"/>
        <v>02457</v>
      </c>
      <c r="M2458" s="46" t="str">
        <f t="shared" si="760"/>
        <v>25 de octubre de 2019</v>
      </c>
      <c r="N2458" s="318">
        <f t="shared" si="761"/>
        <v>25</v>
      </c>
      <c r="O2458" s="24">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1061</v>
      </c>
      <c r="J2459" s="59" t="s">
        <v>22</v>
      </c>
      <c r="L2459" s="5" t="str">
        <f t="shared" si="759"/>
        <v>02458</v>
      </c>
      <c r="M2459" s="46" t="str">
        <f t="shared" si="760"/>
        <v>25 de octubre de 2019</v>
      </c>
      <c r="N2459" s="318">
        <f t="shared" si="761"/>
        <v>25</v>
      </c>
      <c r="O2459" s="24">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1061</v>
      </c>
      <c r="J2460" s="59" t="s">
        <v>22</v>
      </c>
      <c r="L2460" s="5" t="str">
        <f t="shared" si="759"/>
        <v>02459</v>
      </c>
      <c r="M2460" s="46" t="str">
        <f t="shared" si="760"/>
        <v>25 de octubre de 2019</v>
      </c>
      <c r="N2460" s="318">
        <f t="shared" si="761"/>
        <v>25</v>
      </c>
      <c r="O2460" s="24">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1062</v>
      </c>
      <c r="J2461" s="59" t="s">
        <v>22</v>
      </c>
      <c r="L2461" s="5" t="str">
        <f t="shared" si="759"/>
        <v>02460</v>
      </c>
      <c r="M2461" s="46" t="str">
        <f t="shared" si="760"/>
        <v>26 de octubre de 2019</v>
      </c>
      <c r="N2461" s="318">
        <f t="shared" si="761"/>
        <v>26</v>
      </c>
      <c r="O2461" s="24">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1078</v>
      </c>
      <c r="J2462" s="59" t="s">
        <v>22</v>
      </c>
      <c r="L2462" s="5" t="str">
        <f>IF(ISBLANK(A2462),"",TEXT(A2462,"00000"))</f>
        <v>02461</v>
      </c>
      <c r="M2462" s="46" t="str">
        <f>IF(ISBLANK(D2462),"",TEXT(D2462,"dd")&amp;" de "&amp;TEXT(D2462,"mmmm")&amp;" de "&amp;TEXT(YEAR(D2462),"0"))</f>
        <v>27 de octubre de 2019</v>
      </c>
      <c r="N2462" s="318">
        <f t="shared" si="761"/>
        <v>27</v>
      </c>
      <c r="O2462" s="24">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1052</v>
      </c>
      <c r="H2463" t="s">
        <v>596</v>
      </c>
      <c r="I2463" s="6" t="s">
        <v>1066</v>
      </c>
      <c r="J2463" s="59" t="s">
        <v>22</v>
      </c>
      <c r="L2463" s="5" t="str">
        <f t="shared" ref="L2463:L2473" si="770">IF(ISBLANK(A2463),"",TEXT(A2463,"00000"))</f>
        <v>02462</v>
      </c>
      <c r="M2463" s="46" t="str">
        <f t="shared" ref="M2463:M2473" si="771">IF(ISBLANK(D2463),"",TEXT(D2463,"dd")&amp;" de "&amp;TEXT(D2463,"mmmm")&amp;" de "&amp;TEXT(YEAR(D2463),"0"))</f>
        <v>27 de octubre de 2019</v>
      </c>
      <c r="N2463" s="318">
        <f t="shared" si="761"/>
        <v>27</v>
      </c>
      <c r="O2463" s="24">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1061</v>
      </c>
      <c r="J2464" s="59" t="s">
        <v>22</v>
      </c>
      <c r="L2464" s="5" t="str">
        <f t="shared" si="770"/>
        <v>02463</v>
      </c>
      <c r="M2464" s="46" t="str">
        <f t="shared" si="771"/>
        <v>28 de octubre de 2019</v>
      </c>
      <c r="N2464" s="318">
        <f t="shared" si="761"/>
        <v>28</v>
      </c>
      <c r="O2464" s="24">
        <f t="shared" si="772"/>
        <v>43739</v>
      </c>
      <c r="P2464" s="5" t="str">
        <f t="shared" si="768"/>
        <v>52.000,00</v>
      </c>
      <c r="Q2464" s="4" t="e">
        <f t="shared" ca="1" si="769"/>
        <v>#NAME?</v>
      </c>
    </row>
    <row r="2465" spans="1:17">
      <c r="A2465" s="1">
        <f t="shared" si="766"/>
        <v>2464</v>
      </c>
      <c r="C2465" s="8" t="s">
        <v>17</v>
      </c>
      <c r="D2465" s="2">
        <v>43766</v>
      </c>
      <c r="E2465" s="3">
        <v>31450</v>
      </c>
      <c r="F2465" t="s">
        <v>936</v>
      </c>
      <c r="G2465" t="s">
        <v>937</v>
      </c>
      <c r="H2465" t="s">
        <v>150</v>
      </c>
      <c r="I2465" s="6" t="s">
        <v>1066</v>
      </c>
      <c r="J2465" s="59" t="s">
        <v>22</v>
      </c>
      <c r="L2465" s="5" t="str">
        <f t="shared" si="770"/>
        <v>02464</v>
      </c>
      <c r="M2465" s="46" t="str">
        <f t="shared" si="771"/>
        <v>28 de octubre de 2019</v>
      </c>
      <c r="N2465" s="318">
        <f t="shared" si="761"/>
        <v>28</v>
      </c>
      <c r="O2465" s="24">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1066</v>
      </c>
      <c r="J2466" s="59" t="s">
        <v>22</v>
      </c>
      <c r="L2466" s="5" t="str">
        <f t="shared" si="770"/>
        <v>02465</v>
      </c>
      <c r="M2466" s="46" t="str">
        <f t="shared" si="771"/>
        <v>23 de octubre de 2019</v>
      </c>
      <c r="N2466" s="318">
        <f t="shared" si="761"/>
        <v>23</v>
      </c>
      <c r="O2466" s="24">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1066</v>
      </c>
      <c r="J2467" s="59" t="s">
        <v>22</v>
      </c>
      <c r="L2467" s="5" t="str">
        <f t="shared" si="770"/>
        <v>02466</v>
      </c>
      <c r="M2467" s="46" t="str">
        <f t="shared" si="771"/>
        <v>28 de octubre de 2019</v>
      </c>
      <c r="N2467" s="318">
        <f t="shared" si="761"/>
        <v>28</v>
      </c>
      <c r="O2467" s="24">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1061</v>
      </c>
      <c r="J2468" s="59" t="s">
        <v>22</v>
      </c>
      <c r="L2468" s="5" t="str">
        <f t="shared" si="770"/>
        <v>02467</v>
      </c>
      <c r="M2468" s="46" t="str">
        <f t="shared" si="771"/>
        <v>28 de octubre de 2019</v>
      </c>
      <c r="N2468" s="318">
        <f t="shared" si="761"/>
        <v>28</v>
      </c>
      <c r="O2468" s="24">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1066</v>
      </c>
      <c r="J2469" s="59" t="s">
        <v>22</v>
      </c>
      <c r="L2469" s="5" t="str">
        <f t="shared" si="770"/>
        <v>02468</v>
      </c>
      <c r="M2469" s="46" t="str">
        <f t="shared" si="771"/>
        <v>29 de octubre de 2019</v>
      </c>
      <c r="N2469" s="318">
        <f t="shared" si="761"/>
        <v>29</v>
      </c>
      <c r="O2469" s="24">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1079</v>
      </c>
      <c r="J2470" s="59" t="s">
        <v>22</v>
      </c>
      <c r="L2470" s="5" t="str">
        <f t="shared" si="770"/>
        <v>02469</v>
      </c>
      <c r="M2470" s="46" t="str">
        <f t="shared" si="771"/>
        <v>29 de octubre de 2019</v>
      </c>
      <c r="N2470" s="318">
        <f t="shared" si="761"/>
        <v>29</v>
      </c>
      <c r="O2470" s="24">
        <f t="shared" si="772"/>
        <v>43739</v>
      </c>
      <c r="P2470" s="5" t="str">
        <f t="shared" si="768"/>
        <v>81.400,00</v>
      </c>
      <c r="Q2470" s="4" t="e">
        <f ca="1">CONVERTIRNUM(E2470)</f>
        <v>#NAME?</v>
      </c>
    </row>
    <row r="2471" spans="1:17">
      <c r="A2471" s="1">
        <f t="shared" si="766"/>
        <v>2470</v>
      </c>
      <c r="C2471" s="8" t="s">
        <v>17</v>
      </c>
      <c r="D2471" s="2">
        <v>43767</v>
      </c>
      <c r="E2471" s="3">
        <v>60000</v>
      </c>
      <c r="F2471" t="s">
        <v>90</v>
      </c>
      <c r="G2471" s="447" t="s">
        <v>979</v>
      </c>
      <c r="H2471" t="s">
        <v>92</v>
      </c>
      <c r="I2471" s="6" t="s">
        <v>1061</v>
      </c>
      <c r="J2471" s="59" t="s">
        <v>22</v>
      </c>
      <c r="L2471" s="5" t="str">
        <f t="shared" si="770"/>
        <v>02470</v>
      </c>
      <c r="M2471" s="46" t="str">
        <f t="shared" si="771"/>
        <v>29 de octubre de 2019</v>
      </c>
      <c r="N2471" s="318">
        <f t="shared" si="761"/>
        <v>29</v>
      </c>
      <c r="O2471" s="24">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999</v>
      </c>
      <c r="G2472" t="s">
        <v>1000</v>
      </c>
      <c r="H2472" t="s">
        <v>1001</v>
      </c>
      <c r="I2472" s="6" t="s">
        <v>1066</v>
      </c>
      <c r="J2472" s="59" t="s">
        <v>22</v>
      </c>
      <c r="L2472" s="5" t="str">
        <f t="shared" si="770"/>
        <v>02471</v>
      </c>
      <c r="M2472" s="46" t="str">
        <f t="shared" si="771"/>
        <v>29 de octubre de 2019</v>
      </c>
      <c r="N2472" s="318">
        <f t="shared" si="761"/>
        <v>29</v>
      </c>
      <c r="O2472" s="24">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59" t="s">
        <v>1080</v>
      </c>
      <c r="J2473" s="59" t="s">
        <v>22</v>
      </c>
      <c r="L2473" s="5" t="str">
        <f t="shared" si="770"/>
        <v>02472</v>
      </c>
      <c r="M2473" s="46" t="str">
        <f t="shared" si="771"/>
        <v>29 de octubre de 2019</v>
      </c>
      <c r="N2473" s="318">
        <f t="shared" si="761"/>
        <v>29</v>
      </c>
      <c r="O2473" s="24">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1061</v>
      </c>
      <c r="J2474" s="59" t="s">
        <v>22</v>
      </c>
      <c r="L2474" s="5" t="str">
        <f>IF(ISBLANK(A2474),"",TEXT(A2474,"00000"))</f>
        <v>02473</v>
      </c>
      <c r="M2474" s="46" t="str">
        <f>IF(ISBLANK(D2474),"",TEXT(D2474,"dd")&amp;" de "&amp;TEXT(D2474,"mmmm")&amp;" de "&amp;TEXT(YEAR(D2474),"0"))</f>
        <v>29 de octubre de 2019</v>
      </c>
      <c r="N2474" s="318">
        <f t="shared" si="761"/>
        <v>29</v>
      </c>
      <c r="O2474" s="24">
        <f>DATE(YEAR(D2474),MONTH(D2474),1)</f>
        <v>43739</v>
      </c>
      <c r="P2474" s="5" t="str">
        <f t="shared" si="768"/>
        <v>51.250,00</v>
      </c>
      <c r="Q2474" s="4" t="e">
        <f t="shared" ca="1" si="773"/>
        <v>#NAME?</v>
      </c>
    </row>
    <row r="2475" spans="1:17">
      <c r="A2475" s="1">
        <f t="shared" si="766"/>
        <v>2474</v>
      </c>
      <c r="C2475" s="8" t="s">
        <v>17</v>
      </c>
      <c r="D2475" s="2">
        <v>43767</v>
      </c>
      <c r="E2475" s="3">
        <v>51250</v>
      </c>
      <c r="F2475" t="s">
        <v>1016</v>
      </c>
      <c r="G2475" t="s">
        <v>1017</v>
      </c>
      <c r="H2475" t="s">
        <v>59</v>
      </c>
      <c r="I2475" s="6" t="s">
        <v>1061</v>
      </c>
      <c r="J2475" s="59" t="s">
        <v>22</v>
      </c>
      <c r="L2475" s="5" t="str">
        <f t="shared" ref="L2475:L2481" si="774">IF(ISBLANK(A2475),"",TEXT(A2475,"00000"))</f>
        <v>02474</v>
      </c>
      <c r="M2475" s="46" t="str">
        <f t="shared" ref="M2475:M2481" si="775">IF(ISBLANK(D2475),"",TEXT(D2475,"dd")&amp;" de "&amp;TEXT(D2475,"mmmm")&amp;" de "&amp;TEXT(YEAR(D2475),"0"))</f>
        <v>29 de octubre de 2019</v>
      </c>
      <c r="N2475" s="318">
        <f t="shared" si="761"/>
        <v>29</v>
      </c>
      <c r="O2475" s="24">
        <f t="shared" ref="O2475:O2481" si="776">DATE(YEAR(D2475),MONTH(D2475),1)</f>
        <v>43739</v>
      </c>
      <c r="P2475" s="5" t="str">
        <f t="shared" si="768"/>
        <v>51.250,00</v>
      </c>
      <c r="Q2475" s="4" t="e">
        <f ca="1">CONVERTIRNUM(E2475)</f>
        <v>#NAME?</v>
      </c>
    </row>
    <row r="2476" spans="1:17">
      <c r="A2476" s="1">
        <f t="shared" si="766"/>
        <v>2475</v>
      </c>
      <c r="B2476" s="8"/>
      <c r="C2476" s="83" t="s">
        <v>17</v>
      </c>
      <c r="D2476" s="2">
        <v>43761</v>
      </c>
      <c r="E2476" s="3">
        <v>38715</v>
      </c>
      <c r="F2476" s="22" t="s">
        <v>422</v>
      </c>
      <c r="G2476" s="18" t="s">
        <v>58</v>
      </c>
      <c r="H2476" t="s">
        <v>423</v>
      </c>
      <c r="I2476" s="6" t="s">
        <v>1066</v>
      </c>
      <c r="J2476" s="59" t="s">
        <v>22</v>
      </c>
      <c r="L2476" s="5" t="str">
        <f t="shared" si="774"/>
        <v>02475</v>
      </c>
      <c r="M2476" s="46" t="str">
        <f t="shared" si="775"/>
        <v>23 de octubre de 2019</v>
      </c>
      <c r="N2476" s="318">
        <f t="shared" si="761"/>
        <v>23</v>
      </c>
      <c r="O2476" s="24">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1066</v>
      </c>
      <c r="J2477" s="59" t="s">
        <v>22</v>
      </c>
      <c r="L2477" s="5" t="str">
        <f t="shared" si="774"/>
        <v>02476</v>
      </c>
      <c r="M2477" s="46" t="str">
        <f t="shared" si="775"/>
        <v>28 de octubre de 2019</v>
      </c>
      <c r="N2477" s="318">
        <f t="shared" si="761"/>
        <v>28</v>
      </c>
      <c r="O2477" s="24">
        <f t="shared" si="776"/>
        <v>43739</v>
      </c>
      <c r="P2477" s="5" t="str">
        <f t="shared" si="768"/>
        <v>31.450,00</v>
      </c>
      <c r="Q2477" s="4" t="e">
        <f t="shared" ca="1" si="777"/>
        <v>#NAME?</v>
      </c>
    </row>
    <row r="2478" spans="1:17">
      <c r="A2478" s="1">
        <f t="shared" si="766"/>
        <v>2477</v>
      </c>
      <c r="B2478" s="8"/>
      <c r="C2478" s="8" t="s">
        <v>17</v>
      </c>
      <c r="D2478" s="50">
        <v>43765</v>
      </c>
      <c r="E2478" s="3">
        <v>31000</v>
      </c>
      <c r="F2478" t="s">
        <v>181</v>
      </c>
      <c r="G2478" t="s">
        <v>182</v>
      </c>
      <c r="H2478" t="s">
        <v>183</v>
      </c>
      <c r="I2478" s="6" t="s">
        <v>1081</v>
      </c>
      <c r="J2478" s="59" t="s">
        <v>22</v>
      </c>
      <c r="L2478" s="5" t="str">
        <f t="shared" si="774"/>
        <v>02477</v>
      </c>
      <c r="M2478" s="46" t="str">
        <f t="shared" si="775"/>
        <v>27 de octubre de 2019</v>
      </c>
      <c r="N2478" s="318">
        <f t="shared" si="761"/>
        <v>27</v>
      </c>
      <c r="O2478" s="24">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1082</v>
      </c>
      <c r="J2479" s="59" t="s">
        <v>22</v>
      </c>
      <c r="L2479" s="5" t="str">
        <f t="shared" si="774"/>
        <v>02478</v>
      </c>
      <c r="M2479" s="46" t="str">
        <f t="shared" si="775"/>
        <v>30 de octubre de 2019</v>
      </c>
      <c r="N2479" s="318">
        <f t="shared" si="761"/>
        <v>30</v>
      </c>
      <c r="O2479" s="24">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1083</v>
      </c>
      <c r="J2480" s="59" t="s">
        <v>22</v>
      </c>
      <c r="L2480" s="5" t="str">
        <f t="shared" si="774"/>
        <v>02479</v>
      </c>
      <c r="M2480" s="46" t="str">
        <f t="shared" si="775"/>
        <v>30 de octubre de 2019</v>
      </c>
      <c r="N2480" s="318">
        <f t="shared" ref="N2480:N2481" si="778">DAY(D2480)</f>
        <v>30</v>
      </c>
      <c r="O2480" s="24">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47" t="s">
        <v>959</v>
      </c>
      <c r="H2481" t="s">
        <v>254</v>
      </c>
      <c r="I2481" s="6" t="s">
        <v>1081</v>
      </c>
      <c r="J2481" s="59" t="s">
        <v>22</v>
      </c>
      <c r="L2481" s="5" t="str">
        <f t="shared" si="774"/>
        <v>02480</v>
      </c>
      <c r="M2481" s="46" t="str">
        <f t="shared" si="775"/>
        <v>30 de octubre de 2019</v>
      </c>
      <c r="N2481" s="318">
        <f t="shared" si="778"/>
        <v>30</v>
      </c>
      <c r="O2481" s="24">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47" t="s">
        <v>959</v>
      </c>
      <c r="H2482" t="s">
        <v>254</v>
      </c>
      <c r="I2482" s="6" t="s">
        <v>1081</v>
      </c>
      <c r="J2482" s="59" t="s">
        <v>22</v>
      </c>
      <c r="L2482" s="5" t="str">
        <f t="shared" ref="L2482:L2486" si="779">IF(ISBLANK(A2482),"",TEXT(A2482,"00000"))</f>
        <v>02481</v>
      </c>
      <c r="M2482" s="46" t="str">
        <f t="shared" ref="M2482:M2486" si="780">IF(ISBLANK(D2482),"",TEXT(D2482,"dd")&amp;" de "&amp;TEXT(D2482,"mmmm")&amp;" de "&amp;TEXT(YEAR(D2482),"0"))</f>
        <v>30 de octubre de 2019</v>
      </c>
      <c r="N2482" s="318">
        <f t="shared" ref="N2482:N2486" si="781">DAY(D2482)</f>
        <v>30</v>
      </c>
      <c r="O2482" s="24">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1083</v>
      </c>
      <c r="J2483" s="59" t="s">
        <v>22</v>
      </c>
      <c r="L2483" s="5" t="str">
        <f t="shared" si="779"/>
        <v>02482</v>
      </c>
      <c r="M2483" s="46" t="str">
        <f t="shared" si="780"/>
        <v>30 de octubre de 2019</v>
      </c>
      <c r="N2483" s="318">
        <f t="shared" si="781"/>
        <v>30</v>
      </c>
      <c r="O2483" s="24">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1061</v>
      </c>
      <c r="J2484" s="59" t="s">
        <v>22</v>
      </c>
      <c r="L2484" s="5" t="str">
        <f t="shared" si="779"/>
        <v>02483</v>
      </c>
      <c r="M2484" s="46" t="str">
        <f t="shared" si="780"/>
        <v>30 de octubre de 2019</v>
      </c>
      <c r="N2484" s="318">
        <f t="shared" si="781"/>
        <v>30</v>
      </c>
      <c r="O2484" s="24">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1061</v>
      </c>
      <c r="J2485" s="59" t="s">
        <v>22</v>
      </c>
      <c r="L2485" s="5" t="str">
        <f t="shared" si="779"/>
        <v>02484</v>
      </c>
      <c r="M2485" s="46" t="str">
        <f t="shared" si="780"/>
        <v>30 de octubre de 2019</v>
      </c>
      <c r="N2485" s="318">
        <f t="shared" si="781"/>
        <v>30</v>
      </c>
      <c r="O2485" s="24">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1066</v>
      </c>
      <c r="J2486" s="59" t="s">
        <v>22</v>
      </c>
      <c r="L2486" s="5" t="str">
        <f t="shared" si="779"/>
        <v>02485</v>
      </c>
      <c r="M2486" s="46" t="str">
        <f t="shared" si="780"/>
        <v>30 de octubre de 2019</v>
      </c>
      <c r="N2486" s="318">
        <f t="shared" si="781"/>
        <v>30</v>
      </c>
      <c r="O2486" s="24">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1083</v>
      </c>
      <c r="J2487" s="59" t="s">
        <v>22</v>
      </c>
      <c r="L2487" s="5" t="str">
        <f t="shared" ref="L2487:L2511" si="786">IF(ISBLANK(A2487),"",TEXT(A2487,"00000"))</f>
        <v>02486</v>
      </c>
      <c r="M2487" s="46" t="str">
        <f t="shared" ref="M2487:M2511" si="787">IF(ISBLANK(D2487),"",TEXT(D2487,"dd")&amp;" de "&amp;TEXT(D2487,"mmmm")&amp;" de "&amp;TEXT(YEAR(D2487),"0"))</f>
        <v>30 de octubre de 2019</v>
      </c>
      <c r="N2487" s="318">
        <f t="shared" ref="N2487:N2526" si="788">DAY(D2487)</f>
        <v>30</v>
      </c>
      <c r="O2487" s="24">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844</v>
      </c>
      <c r="G2488" t="s">
        <v>845</v>
      </c>
      <c r="H2488" t="s">
        <v>169</v>
      </c>
      <c r="I2488" s="6" t="s">
        <v>1061</v>
      </c>
      <c r="J2488" s="59" t="s">
        <v>22</v>
      </c>
      <c r="L2488" s="5" t="str">
        <f t="shared" si="786"/>
        <v>02487</v>
      </c>
      <c r="M2488" s="46" t="str">
        <f t="shared" si="787"/>
        <v>30 de octubre de 2019</v>
      </c>
      <c r="N2488" s="318">
        <f t="shared" si="788"/>
        <v>30</v>
      </c>
      <c r="O2488" s="24">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1061</v>
      </c>
      <c r="J2489" s="59" t="s">
        <v>22</v>
      </c>
      <c r="L2489" s="5" t="str">
        <f t="shared" si="786"/>
        <v>02488</v>
      </c>
      <c r="M2489" s="46" t="str">
        <f t="shared" si="787"/>
        <v>30 de octubre de 2019</v>
      </c>
      <c r="N2489" s="318">
        <f t="shared" si="788"/>
        <v>30</v>
      </c>
      <c r="O2489" s="24">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1055</v>
      </c>
      <c r="H2490" t="s">
        <v>132</v>
      </c>
      <c r="I2490" s="6" t="s">
        <v>1061</v>
      </c>
      <c r="J2490" s="59" t="s">
        <v>22</v>
      </c>
      <c r="L2490" s="5" t="str">
        <f t="shared" si="786"/>
        <v>02489</v>
      </c>
      <c r="M2490" s="46" t="str">
        <f t="shared" si="787"/>
        <v>30 de octubre de 2019</v>
      </c>
      <c r="N2490" s="318">
        <f t="shared" si="788"/>
        <v>30</v>
      </c>
      <c r="O2490" s="24">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1061</v>
      </c>
      <c r="J2491" s="59" t="s">
        <v>22</v>
      </c>
      <c r="L2491" s="5" t="str">
        <f t="shared" si="786"/>
        <v>02490</v>
      </c>
      <c r="M2491" s="46" t="str">
        <f t="shared" si="787"/>
        <v>30 de octubre de 2019</v>
      </c>
      <c r="N2491" s="318">
        <f t="shared" si="788"/>
        <v>30</v>
      </c>
      <c r="O2491" s="24">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1061</v>
      </c>
      <c r="J2492" s="59" t="s">
        <v>22</v>
      </c>
      <c r="L2492" s="5" t="str">
        <f t="shared" si="786"/>
        <v>02491</v>
      </c>
      <c r="M2492" s="46" t="str">
        <f t="shared" si="787"/>
        <v>31 de octubre de 2019</v>
      </c>
      <c r="N2492" s="318">
        <f t="shared" si="788"/>
        <v>31</v>
      </c>
      <c r="O2492" s="24">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1081</v>
      </c>
      <c r="J2493" s="59" t="s">
        <v>22</v>
      </c>
      <c r="L2493" s="5" t="str">
        <f t="shared" si="786"/>
        <v>02492</v>
      </c>
      <c r="M2493" s="46" t="str">
        <f t="shared" si="787"/>
        <v>31 de octubre de 2019</v>
      </c>
      <c r="N2493" s="318">
        <f t="shared" si="788"/>
        <v>31</v>
      </c>
      <c r="O2493" s="24">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1084</v>
      </c>
      <c r="J2494" s="59" t="s">
        <v>22</v>
      </c>
      <c r="L2494" s="5" t="str">
        <f t="shared" si="786"/>
        <v>02493</v>
      </c>
      <c r="M2494" s="46" t="str">
        <f t="shared" si="787"/>
        <v>01 de noviembre de 2019</v>
      </c>
      <c r="N2494" s="318">
        <f t="shared" si="788"/>
        <v>1</v>
      </c>
      <c r="O2494" s="24">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1083</v>
      </c>
      <c r="J2495" s="59" t="s">
        <v>22</v>
      </c>
      <c r="L2495" s="5" t="str">
        <f t="shared" si="786"/>
        <v>02494</v>
      </c>
      <c r="M2495" s="46" t="str">
        <f t="shared" si="787"/>
        <v>03 de noviembre de 2019</v>
      </c>
      <c r="N2495" s="318">
        <f t="shared" si="788"/>
        <v>3</v>
      </c>
      <c r="O2495" s="24">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1061</v>
      </c>
      <c r="J2496" s="59" t="s">
        <v>22</v>
      </c>
      <c r="L2496" s="5" t="str">
        <f t="shared" si="786"/>
        <v>02495</v>
      </c>
      <c r="M2496" s="46" t="str">
        <f t="shared" si="787"/>
        <v>03 de noviembre de 2019</v>
      </c>
      <c r="N2496" s="318">
        <f t="shared" si="788"/>
        <v>3</v>
      </c>
      <c r="O2496" s="24">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1083</v>
      </c>
      <c r="J2497" s="59" t="s">
        <v>22</v>
      </c>
      <c r="L2497" s="5" t="str">
        <f t="shared" si="786"/>
        <v>02496</v>
      </c>
      <c r="M2497" s="46" t="str">
        <f t="shared" si="787"/>
        <v>04 de noviembre de 2019</v>
      </c>
      <c r="N2497" s="318">
        <f t="shared" si="788"/>
        <v>4</v>
      </c>
      <c r="O2497" s="24">
        <f t="shared" si="789"/>
        <v>43770</v>
      </c>
      <c r="P2497" s="5" t="str">
        <f t="shared" si="790"/>
        <v>60.000,00</v>
      </c>
      <c r="Q2497" s="4" t="e">
        <f t="shared" ca="1" si="791"/>
        <v>#NAME?</v>
      </c>
    </row>
    <row r="2498" spans="1:17">
      <c r="A2498" s="1">
        <f t="shared" si="785"/>
        <v>2497</v>
      </c>
      <c r="B2498" s="8"/>
      <c r="C2498" s="83" t="s">
        <v>17</v>
      </c>
      <c r="D2498" s="2">
        <v>43773</v>
      </c>
      <c r="E2498" s="160">
        <v>56300</v>
      </c>
      <c r="F2498" t="s">
        <v>492</v>
      </c>
      <c r="G2498" s="18" t="s">
        <v>58</v>
      </c>
      <c r="H2498" t="s">
        <v>493</v>
      </c>
      <c r="I2498" s="6" t="s">
        <v>1083</v>
      </c>
      <c r="J2498" s="59" t="s">
        <v>22</v>
      </c>
      <c r="L2498" s="5" t="str">
        <f t="shared" si="786"/>
        <v>02497</v>
      </c>
      <c r="M2498" s="46" t="str">
        <f t="shared" si="787"/>
        <v>04 de noviembre de 2019</v>
      </c>
      <c r="N2498" s="318">
        <f t="shared" si="788"/>
        <v>4</v>
      </c>
      <c r="O2498" s="24">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1085</v>
      </c>
      <c r="J2499" s="59" t="s">
        <v>22</v>
      </c>
      <c r="L2499" s="5" t="str">
        <f t="shared" si="786"/>
        <v>02498</v>
      </c>
      <c r="M2499" s="46" t="str">
        <f t="shared" si="787"/>
        <v>30 de octubre de 2019</v>
      </c>
      <c r="N2499" s="318">
        <f t="shared" si="788"/>
        <v>30</v>
      </c>
      <c r="O2499" s="24">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1061</v>
      </c>
      <c r="J2500" s="59" t="s">
        <v>22</v>
      </c>
      <c r="L2500" s="5" t="str">
        <f t="shared" si="786"/>
        <v>02499</v>
      </c>
      <c r="M2500" s="46" t="str">
        <f t="shared" si="787"/>
        <v>04 de noviembre de 2019</v>
      </c>
      <c r="N2500" s="318">
        <f t="shared" si="788"/>
        <v>4</v>
      </c>
      <c r="O2500" s="24">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1083</v>
      </c>
      <c r="J2501" s="59" t="s">
        <v>22</v>
      </c>
      <c r="L2501" s="5" t="str">
        <f t="shared" si="786"/>
        <v>02500</v>
      </c>
      <c r="M2501" s="46" t="str">
        <f t="shared" si="787"/>
        <v>05 de noviembre de 2019</v>
      </c>
      <c r="N2501" s="318">
        <f t="shared" si="788"/>
        <v>5</v>
      </c>
      <c r="O2501" s="24">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1086</v>
      </c>
      <c r="J2502" s="59" t="s">
        <v>22</v>
      </c>
      <c r="L2502" s="5" t="str">
        <f t="shared" si="786"/>
        <v>02501</v>
      </c>
      <c r="M2502" s="46" t="str">
        <f t="shared" si="787"/>
        <v>05 de noviembre de 2019</v>
      </c>
      <c r="N2502" s="318">
        <f t="shared" si="788"/>
        <v>5</v>
      </c>
      <c r="O2502" s="24">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1083</v>
      </c>
      <c r="J2503" s="59" t="s">
        <v>22</v>
      </c>
      <c r="L2503" s="5" t="str">
        <f t="shared" si="786"/>
        <v>02502</v>
      </c>
      <c r="M2503" s="46" t="str">
        <f t="shared" si="787"/>
        <v>05 de noviembre de 2019</v>
      </c>
      <c r="N2503" s="318">
        <f t="shared" si="788"/>
        <v>5</v>
      </c>
      <c r="O2503" s="24">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1087</v>
      </c>
      <c r="J2504" s="59" t="s">
        <v>22</v>
      </c>
      <c r="L2504" s="5" t="str">
        <f t="shared" si="786"/>
        <v>02503</v>
      </c>
      <c r="M2504" s="46" t="str">
        <f t="shared" si="787"/>
        <v>01 de noviembre de 2019</v>
      </c>
      <c r="N2504" s="318">
        <f t="shared" si="788"/>
        <v>1</v>
      </c>
      <c r="O2504" s="24">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1088</v>
      </c>
      <c r="J2505" s="59" t="s">
        <v>22</v>
      </c>
      <c r="L2505" s="5" t="str">
        <f t="shared" si="786"/>
        <v>02504</v>
      </c>
      <c r="M2505" s="46" t="str">
        <f t="shared" si="787"/>
        <v>05 de noviembre de 2019</v>
      </c>
      <c r="N2505" s="318">
        <f t="shared" si="788"/>
        <v>5</v>
      </c>
      <c r="O2505" s="24">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1089</v>
      </c>
      <c r="J2506" s="59" t="s">
        <v>22</v>
      </c>
      <c r="L2506" s="5" t="str">
        <f t="shared" si="786"/>
        <v>02505</v>
      </c>
      <c r="M2506" s="46" t="str">
        <f t="shared" si="787"/>
        <v>05 de noviembre de 2019</v>
      </c>
      <c r="N2506" s="318">
        <f t="shared" si="788"/>
        <v>5</v>
      </c>
      <c r="O2506" s="24">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1083</v>
      </c>
      <c r="J2507" s="59" t="s">
        <v>22</v>
      </c>
      <c r="L2507" s="5" t="str">
        <f t="shared" si="786"/>
        <v>02506</v>
      </c>
      <c r="M2507" s="46" t="str">
        <f t="shared" si="787"/>
        <v>05 de noviembre de 2019</v>
      </c>
      <c r="N2507" s="318">
        <f t="shared" si="788"/>
        <v>5</v>
      </c>
      <c r="O2507" s="24">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1083</v>
      </c>
      <c r="J2508" s="59" t="s">
        <v>22</v>
      </c>
      <c r="L2508" s="5" t="str">
        <f t="shared" si="786"/>
        <v>02507</v>
      </c>
      <c r="M2508" s="46" t="str">
        <f t="shared" si="787"/>
        <v>05 de noviembre de 2019</v>
      </c>
      <c r="N2508" s="318">
        <f t="shared" si="788"/>
        <v>5</v>
      </c>
      <c r="O2508" s="24">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1083</v>
      </c>
      <c r="J2509" s="59" t="s">
        <v>22</v>
      </c>
      <c r="L2509" s="5" t="str">
        <f t="shared" si="786"/>
        <v>02508</v>
      </c>
      <c r="M2509" s="46" t="str">
        <f t="shared" si="787"/>
        <v>06 de noviembre de 2019</v>
      </c>
      <c r="N2509" s="318">
        <f t="shared" si="788"/>
        <v>6</v>
      </c>
      <c r="O2509" s="24">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1090</v>
      </c>
      <c r="J2510" s="59" t="s">
        <v>22</v>
      </c>
      <c r="L2510" s="5" t="str">
        <f t="shared" si="786"/>
        <v>02509</v>
      </c>
      <c r="M2510" s="46" t="str">
        <f t="shared" si="787"/>
        <v>06 de noviembre de 2019</v>
      </c>
      <c r="N2510" s="318">
        <f t="shared" si="788"/>
        <v>6</v>
      </c>
      <c r="O2510" s="24">
        <f t="shared" si="789"/>
        <v>43770</v>
      </c>
      <c r="P2510" s="5" t="str">
        <f t="shared" si="790"/>
        <v>100.000,00</v>
      </c>
      <c r="Q2510" s="4" t="e">
        <f t="shared" ca="1" si="791"/>
        <v>#NAME?</v>
      </c>
    </row>
    <row r="2511" spans="1:17">
      <c r="A2511" s="1">
        <f t="shared" si="785"/>
        <v>2510</v>
      </c>
      <c r="B2511" s="8"/>
      <c r="C2511" s="8" t="s">
        <v>17</v>
      </c>
      <c r="D2511" s="2">
        <v>43775</v>
      </c>
      <c r="E2511" s="550">
        <f>1.4*25800</f>
        <v>36120</v>
      </c>
      <c r="F2511" t="s">
        <v>103</v>
      </c>
      <c r="G2511" s="552" t="s">
        <v>1048</v>
      </c>
      <c r="H2511" t="s">
        <v>105</v>
      </c>
      <c r="I2511" s="6" t="s">
        <v>1091</v>
      </c>
      <c r="J2511" s="59" t="s">
        <v>22</v>
      </c>
      <c r="L2511" s="5" t="str">
        <f t="shared" si="786"/>
        <v>02510</v>
      </c>
      <c r="M2511" s="46" t="str">
        <f t="shared" si="787"/>
        <v>06 de noviembre de 2019</v>
      </c>
      <c r="N2511" s="318">
        <f t="shared" si="788"/>
        <v>6</v>
      </c>
      <c r="O2511" s="24">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1085</v>
      </c>
      <c r="J2512" s="59" t="s">
        <v>22</v>
      </c>
      <c r="L2512" s="5" t="str">
        <f>IF(ISBLANK(A2512),"",TEXT(A2512,"00000"))</f>
        <v>02511</v>
      </c>
      <c r="M2512" s="46" t="str">
        <f>IF(ISBLANK(D2512),"",TEXT(D2512,"dd")&amp;" de "&amp;TEXT(D2512,"mmmm")&amp;" de "&amp;TEXT(YEAR(D2512),"0"))</f>
        <v>07 de noviembre de 2019</v>
      </c>
      <c r="N2512" s="318">
        <f t="shared" si="788"/>
        <v>7</v>
      </c>
      <c r="O2512" s="24">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47" t="s">
        <v>959</v>
      </c>
      <c r="H2513" t="s">
        <v>254</v>
      </c>
      <c r="I2513" s="6" t="s">
        <v>1082</v>
      </c>
      <c r="J2513" s="59" t="s">
        <v>22</v>
      </c>
      <c r="L2513" s="5" t="str">
        <f t="shared" ref="L2513:L2528" si="792">IF(ISBLANK(A2513),"",TEXT(A2513,"00000"))</f>
        <v>02512</v>
      </c>
      <c r="M2513" s="46" t="str">
        <f t="shared" ref="M2513:M2528" si="793">IF(ISBLANK(D2513),"",TEXT(D2513,"dd")&amp;" de "&amp;TEXT(D2513,"mmmm")&amp;" de "&amp;TEXT(YEAR(D2513),"0"))</f>
        <v>07 de noviembre de 2019</v>
      </c>
      <c r="N2513" s="318">
        <f t="shared" si="788"/>
        <v>7</v>
      </c>
      <c r="O2513" s="24">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1083</v>
      </c>
      <c r="J2514" s="59" t="s">
        <v>22</v>
      </c>
      <c r="L2514" s="5" t="str">
        <f t="shared" si="792"/>
        <v>02513</v>
      </c>
      <c r="M2514" s="46" t="str">
        <f t="shared" si="793"/>
        <v>07 de noviembre de 2019</v>
      </c>
      <c r="N2514" s="318">
        <f t="shared" si="788"/>
        <v>7</v>
      </c>
      <c r="O2514" s="24">
        <f t="shared" si="794"/>
        <v>43770</v>
      </c>
      <c r="P2514" s="5" t="str">
        <f t="shared" si="790"/>
        <v>56.250,00</v>
      </c>
      <c r="Q2514" s="4" t="e">
        <f t="shared" ca="1" si="791"/>
        <v>#NAME?</v>
      </c>
    </row>
    <row r="2515" spans="1:17">
      <c r="A2515" s="1">
        <f t="shared" si="785"/>
        <v>2514</v>
      </c>
      <c r="B2515" s="8"/>
      <c r="C2515" s="8" t="s">
        <v>17</v>
      </c>
      <c r="D2515" s="2">
        <v>43776</v>
      </c>
      <c r="E2515" s="3">
        <v>56250</v>
      </c>
      <c r="F2515" t="s">
        <v>948</v>
      </c>
      <c r="G2515" t="s">
        <v>949</v>
      </c>
      <c r="H2515" t="s">
        <v>950</v>
      </c>
      <c r="I2515" s="6" t="s">
        <v>1083</v>
      </c>
      <c r="J2515" s="59" t="s">
        <v>22</v>
      </c>
      <c r="L2515" s="5" t="str">
        <f t="shared" si="792"/>
        <v>02514</v>
      </c>
      <c r="M2515" s="46" t="str">
        <f t="shared" si="793"/>
        <v>07 de noviembre de 2019</v>
      </c>
      <c r="N2515" s="318">
        <f t="shared" si="788"/>
        <v>7</v>
      </c>
      <c r="O2515" s="24">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1092</v>
      </c>
      <c r="J2516" s="59" t="s">
        <v>22</v>
      </c>
      <c r="L2516" s="5" t="str">
        <f t="shared" si="792"/>
        <v>02515</v>
      </c>
      <c r="M2516" s="46" t="str">
        <f t="shared" si="793"/>
        <v>07 de noviembre de 2019</v>
      </c>
      <c r="N2516" s="318">
        <f t="shared" si="788"/>
        <v>7</v>
      </c>
      <c r="O2516" s="24">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1083</v>
      </c>
      <c r="J2517" s="59" t="s">
        <v>22</v>
      </c>
      <c r="L2517" s="5" t="str">
        <f t="shared" si="792"/>
        <v>02516</v>
      </c>
      <c r="M2517" s="46" t="str">
        <f t="shared" si="793"/>
        <v>07 de noviembre de 2019</v>
      </c>
      <c r="N2517" s="318">
        <f t="shared" si="788"/>
        <v>7</v>
      </c>
      <c r="O2517" s="24">
        <f t="shared" si="794"/>
        <v>43770</v>
      </c>
      <c r="P2517" s="5" t="str">
        <f t="shared" si="790"/>
        <v>56.250,00</v>
      </c>
      <c r="Q2517" s="4" t="e">
        <f t="shared" ca="1" si="791"/>
        <v>#NAME?</v>
      </c>
    </row>
    <row r="2518" spans="1:17">
      <c r="A2518" s="1">
        <f t="shared" ref="A2518:A2534" si="795">A2517+1</f>
        <v>2517</v>
      </c>
      <c r="C2518" s="83" t="s">
        <v>17</v>
      </c>
      <c r="D2518" s="2">
        <v>43778</v>
      </c>
      <c r="E2518" s="3">
        <v>56250</v>
      </c>
      <c r="F2518" t="s">
        <v>40</v>
      </c>
      <c r="G2518" s="18" t="s">
        <v>58</v>
      </c>
      <c r="H2518" t="s">
        <v>42</v>
      </c>
      <c r="I2518" s="6" t="s">
        <v>1083</v>
      </c>
      <c r="J2518" s="59" t="s">
        <v>22</v>
      </c>
      <c r="L2518" s="5" t="str">
        <f t="shared" si="792"/>
        <v>02517</v>
      </c>
      <c r="M2518" s="46" t="str">
        <f t="shared" si="793"/>
        <v>09 de noviembre de 2019</v>
      </c>
      <c r="N2518" s="318">
        <f t="shared" si="788"/>
        <v>9</v>
      </c>
      <c r="O2518" s="24">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1088</v>
      </c>
      <c r="J2519" s="59" t="s">
        <v>22</v>
      </c>
      <c r="L2519" s="5" t="str">
        <f t="shared" si="792"/>
        <v>02518</v>
      </c>
      <c r="M2519" s="46" t="str">
        <f t="shared" si="793"/>
        <v>09 de noviembre de 2019</v>
      </c>
      <c r="N2519" s="318">
        <f t="shared" si="788"/>
        <v>9</v>
      </c>
      <c r="O2519" s="24">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1037</v>
      </c>
      <c r="H2520" t="s">
        <v>344</v>
      </c>
      <c r="I2520" s="6" t="s">
        <v>1083</v>
      </c>
      <c r="J2520" s="59" t="s">
        <v>22</v>
      </c>
      <c r="L2520" s="5" t="str">
        <f t="shared" si="792"/>
        <v>02519</v>
      </c>
      <c r="M2520" s="46" t="str">
        <f t="shared" si="793"/>
        <v>09 de noviembre de 2019</v>
      </c>
      <c r="N2520" s="318">
        <f t="shared" si="788"/>
        <v>9</v>
      </c>
      <c r="O2520" s="24">
        <f t="shared" si="794"/>
        <v>43770</v>
      </c>
      <c r="P2520" s="5" t="str">
        <f t="shared" si="790"/>
        <v>56.250,00</v>
      </c>
      <c r="Q2520" s="4" t="e">
        <f t="shared" ca="1" si="791"/>
        <v>#NAME?</v>
      </c>
    </row>
    <row r="2521" spans="1:17">
      <c r="A2521" s="1">
        <f t="shared" si="795"/>
        <v>2520</v>
      </c>
      <c r="B2521" s="8"/>
      <c r="C2521" s="83" t="s">
        <v>17</v>
      </c>
      <c r="D2521" s="2">
        <v>43778</v>
      </c>
      <c r="E2521" s="3">
        <v>40000</v>
      </c>
      <c r="F2521" t="s">
        <v>259</v>
      </c>
      <c r="G2521" s="18" t="s">
        <v>58</v>
      </c>
      <c r="H2521" t="s">
        <v>261</v>
      </c>
      <c r="I2521" s="6" t="s">
        <v>1066</v>
      </c>
      <c r="J2521" s="59" t="s">
        <v>22</v>
      </c>
      <c r="L2521" s="5" t="str">
        <f t="shared" si="792"/>
        <v>02520</v>
      </c>
      <c r="M2521" s="46" t="str">
        <f t="shared" si="793"/>
        <v>09 de noviembre de 2019</v>
      </c>
      <c r="N2521" s="318">
        <f t="shared" si="788"/>
        <v>9</v>
      </c>
      <c r="O2521" s="24">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1083</v>
      </c>
      <c r="J2522" s="59" t="s">
        <v>22</v>
      </c>
      <c r="L2522" s="5" t="str">
        <f t="shared" si="792"/>
        <v>02521</v>
      </c>
      <c r="M2522" s="46" t="str">
        <f t="shared" si="793"/>
        <v>09 de noviembre de 2019</v>
      </c>
      <c r="N2522" s="318">
        <f t="shared" si="788"/>
        <v>9</v>
      </c>
      <c r="O2522" s="24">
        <f t="shared" si="794"/>
        <v>43770</v>
      </c>
      <c r="P2522" s="5" t="str">
        <f t="shared" si="790"/>
        <v>56.250,00</v>
      </c>
      <c r="Q2522" s="4" t="e">
        <f t="shared" ca="1" si="791"/>
        <v>#NAME?</v>
      </c>
    </row>
    <row r="2523" spans="1:17">
      <c r="A2523" s="1">
        <f t="shared" si="795"/>
        <v>2522</v>
      </c>
      <c r="B2523" s="8"/>
      <c r="C2523" s="8" t="s">
        <v>17</v>
      </c>
      <c r="D2523" s="2">
        <v>43779</v>
      </c>
      <c r="E2523" s="3">
        <v>60000</v>
      </c>
      <c r="F2523" t="s">
        <v>1005</v>
      </c>
      <c r="G2523" t="s">
        <v>1006</v>
      </c>
      <c r="H2523" t="s">
        <v>539</v>
      </c>
      <c r="I2523" s="6" t="s">
        <v>1083</v>
      </c>
      <c r="J2523" s="59" t="s">
        <v>22</v>
      </c>
      <c r="L2523" s="5" t="str">
        <f t="shared" si="792"/>
        <v>02522</v>
      </c>
      <c r="M2523" s="46" t="str">
        <f t="shared" si="793"/>
        <v>10 de noviembre de 2019</v>
      </c>
      <c r="N2523" s="318">
        <f t="shared" si="788"/>
        <v>10</v>
      </c>
      <c r="O2523" s="24">
        <f t="shared" si="794"/>
        <v>43770</v>
      </c>
      <c r="P2523" s="5" t="str">
        <f t="shared" si="790"/>
        <v>60.000,00</v>
      </c>
      <c r="Q2523" s="4" t="e">
        <f t="shared" ca="1" si="791"/>
        <v>#NAME?</v>
      </c>
    </row>
    <row r="2524" spans="1:17">
      <c r="A2524" s="1">
        <f t="shared" si="795"/>
        <v>2523</v>
      </c>
      <c r="B2524" s="8"/>
      <c r="C2524" s="8" t="s">
        <v>17</v>
      </c>
      <c r="D2524" s="2">
        <v>43779</v>
      </c>
      <c r="E2524" s="3">
        <f>56250*2</f>
        <v>112500</v>
      </c>
      <c r="F2524" t="s">
        <v>786</v>
      </c>
      <c r="G2524" t="s">
        <v>787</v>
      </c>
      <c r="H2524" t="s">
        <v>719</v>
      </c>
      <c r="I2524" s="6" t="s">
        <v>1089</v>
      </c>
      <c r="J2524" s="59" t="s">
        <v>22</v>
      </c>
      <c r="L2524" s="5" t="str">
        <f t="shared" si="792"/>
        <v>02523</v>
      </c>
      <c r="M2524" s="46" t="str">
        <f t="shared" si="793"/>
        <v>10 de noviembre de 2019</v>
      </c>
      <c r="N2524" s="318">
        <f t="shared" si="788"/>
        <v>10</v>
      </c>
      <c r="O2524" s="24">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1083</v>
      </c>
      <c r="J2525" s="59" t="s">
        <v>22</v>
      </c>
      <c r="L2525" s="5" t="str">
        <f t="shared" si="792"/>
        <v>02524</v>
      </c>
      <c r="M2525" s="46" t="str">
        <f t="shared" si="793"/>
        <v>10 de noviembre de 2019</v>
      </c>
      <c r="N2525" s="318">
        <f t="shared" si="788"/>
        <v>10</v>
      </c>
      <c r="O2525" s="24">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1052</v>
      </c>
      <c r="H2526" t="s">
        <v>596</v>
      </c>
      <c r="I2526" s="6" t="s">
        <v>1083</v>
      </c>
      <c r="J2526" s="59" t="s">
        <v>22</v>
      </c>
      <c r="L2526" s="5" t="str">
        <f t="shared" si="792"/>
        <v>02525</v>
      </c>
      <c r="M2526" s="46" t="str">
        <f t="shared" si="793"/>
        <v>10 de noviembre de 2019</v>
      </c>
      <c r="N2526" s="318">
        <f t="shared" si="788"/>
        <v>10</v>
      </c>
      <c r="O2526" s="24">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1083</v>
      </c>
      <c r="J2527" s="59" t="s">
        <v>22</v>
      </c>
      <c r="L2527" s="5" t="str">
        <f t="shared" si="792"/>
        <v>02526</v>
      </c>
      <c r="M2527" s="46" t="str">
        <f t="shared" si="793"/>
        <v>10 de noviembre de 2019</v>
      </c>
      <c r="N2527" s="318">
        <f t="shared" ref="N2527:N2544" si="796">DAY(D2527)</f>
        <v>10</v>
      </c>
      <c r="O2527" s="24">
        <f t="shared" si="794"/>
        <v>43770</v>
      </c>
      <c r="P2527" s="5" t="str">
        <f t="shared" ref="P2527:P2544" si="797">TEXT(E2527,"#.##0,00")</f>
        <v>56.250,00</v>
      </c>
      <c r="Q2527" s="4" t="e">
        <f t="shared" ref="Q2527:Q2544" ca="1" si="798">CONVERTIRNUM(E2527)</f>
        <v>#NAME?</v>
      </c>
    </row>
    <row r="2528" spans="1:17">
      <c r="A2528" s="1">
        <f t="shared" si="795"/>
        <v>2527</v>
      </c>
      <c r="B2528" s="8"/>
      <c r="C2528" s="83" t="s">
        <v>17</v>
      </c>
      <c r="D2528" s="2">
        <v>43779</v>
      </c>
      <c r="E2528" s="3">
        <v>56250</v>
      </c>
      <c r="F2528" t="s">
        <v>319</v>
      </c>
      <c r="G2528" s="18" t="s">
        <v>58</v>
      </c>
      <c r="H2528" t="s">
        <v>320</v>
      </c>
      <c r="I2528" s="6" t="s">
        <v>1083</v>
      </c>
      <c r="J2528" s="59" t="s">
        <v>22</v>
      </c>
      <c r="L2528" s="5" t="str">
        <f t="shared" si="792"/>
        <v>02527</v>
      </c>
      <c r="M2528" s="46" t="str">
        <f t="shared" si="793"/>
        <v>10 de noviembre de 2019</v>
      </c>
      <c r="N2528" s="318">
        <f t="shared" si="796"/>
        <v>10</v>
      </c>
      <c r="O2528" s="24">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1083</v>
      </c>
      <c r="J2529" s="59" t="s">
        <v>22</v>
      </c>
      <c r="L2529" s="5" t="str">
        <f>IF(ISBLANK(A2529),"",TEXT(A2529,"00000"))</f>
        <v>02528</v>
      </c>
      <c r="M2529" s="46" t="str">
        <f>IF(ISBLANK(D2529),"",TEXT(D2529,"dd")&amp;" de "&amp;TEXT(D2529,"mmmm")&amp;" de "&amp;TEXT(YEAR(D2529),"0"))</f>
        <v>10 de noviembre de 2019</v>
      </c>
      <c r="N2529" s="318">
        <f t="shared" si="796"/>
        <v>10</v>
      </c>
      <c r="O2529" s="24">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1083</v>
      </c>
      <c r="J2530" s="59" t="s">
        <v>22</v>
      </c>
      <c r="L2530" s="5" t="str">
        <f t="shared" ref="L2530:L2544" si="799">IF(ISBLANK(A2530),"",TEXT(A2530,"00000"))</f>
        <v>02529</v>
      </c>
      <c r="M2530" s="46" t="str">
        <f t="shared" ref="M2530:M2544" si="800">IF(ISBLANK(D2530),"",TEXT(D2530,"dd")&amp;" de "&amp;TEXT(D2530,"mmmm")&amp;" de "&amp;TEXT(YEAR(D2530),"0"))</f>
        <v>10 de noviembre de 2019</v>
      </c>
      <c r="N2530" s="318">
        <f t="shared" si="796"/>
        <v>10</v>
      </c>
      <c r="O2530" s="24">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1085</v>
      </c>
      <c r="J2531" s="59" t="s">
        <v>22</v>
      </c>
      <c r="L2531" s="5" t="str">
        <f t="shared" si="799"/>
        <v>02530</v>
      </c>
      <c r="M2531" s="46" t="str">
        <f t="shared" si="800"/>
        <v>11 de noviembre de 2019</v>
      </c>
      <c r="N2531" s="318">
        <f t="shared" si="796"/>
        <v>11</v>
      </c>
      <c r="O2531" s="24">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1083</v>
      </c>
      <c r="J2532" s="59" t="s">
        <v>22</v>
      </c>
      <c r="L2532" s="5" t="str">
        <f t="shared" si="799"/>
        <v>02531</v>
      </c>
      <c r="M2532" s="46" t="str">
        <f t="shared" si="800"/>
        <v>12 de noviembre de 2019</v>
      </c>
      <c r="N2532" s="318">
        <f t="shared" si="796"/>
        <v>12</v>
      </c>
      <c r="O2532" s="24">
        <f t="shared" si="801"/>
        <v>43770</v>
      </c>
      <c r="P2532" s="5" t="str">
        <f t="shared" si="797"/>
        <v>75.000,00</v>
      </c>
      <c r="Q2532" s="4" t="e">
        <f t="shared" ca="1" si="798"/>
        <v>#NAME?</v>
      </c>
    </row>
    <row r="2533" spans="1:17">
      <c r="A2533" s="1">
        <f t="shared" si="795"/>
        <v>2532</v>
      </c>
      <c r="B2533" s="8"/>
      <c r="C2533" s="8" t="s">
        <v>17</v>
      </c>
      <c r="D2533" s="2">
        <v>43782</v>
      </c>
      <c r="E2533" s="550">
        <f>5*25800</f>
        <v>129000</v>
      </c>
      <c r="F2533" t="s">
        <v>122</v>
      </c>
      <c r="G2533" t="s">
        <v>123</v>
      </c>
      <c r="H2533" t="s">
        <v>124</v>
      </c>
      <c r="I2533" s="6" t="s">
        <v>1093</v>
      </c>
      <c r="J2533" s="59" t="s">
        <v>22</v>
      </c>
      <c r="L2533" s="5" t="str">
        <f t="shared" si="799"/>
        <v>02532</v>
      </c>
      <c r="M2533" s="46" t="str">
        <f t="shared" si="800"/>
        <v>13 de noviembre de 2019</v>
      </c>
      <c r="N2533" s="318">
        <f t="shared" si="796"/>
        <v>13</v>
      </c>
      <c r="O2533" s="24">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942</v>
      </c>
      <c r="H2534" t="s">
        <v>179</v>
      </c>
      <c r="I2534" s="6" t="s">
        <v>1094</v>
      </c>
      <c r="J2534" s="59" t="s">
        <v>22</v>
      </c>
      <c r="L2534" s="5" t="str">
        <f t="shared" si="799"/>
        <v>02533</v>
      </c>
      <c r="M2534" s="46" t="str">
        <f t="shared" si="800"/>
        <v>13 de noviembre de 2019</v>
      </c>
      <c r="N2534" s="318">
        <f t="shared" si="796"/>
        <v>13</v>
      </c>
      <c r="O2534" s="24">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1095</v>
      </c>
      <c r="J2535" s="59" t="s">
        <v>22</v>
      </c>
      <c r="L2535" s="5" t="str">
        <f t="shared" si="799"/>
        <v>02534</v>
      </c>
      <c r="M2535" s="46" t="str">
        <f t="shared" si="800"/>
        <v>13 de noviembre de 2019</v>
      </c>
      <c r="N2535" s="318">
        <f t="shared" si="796"/>
        <v>13</v>
      </c>
      <c r="O2535" s="24">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1083</v>
      </c>
      <c r="J2536" s="59" t="s">
        <v>22</v>
      </c>
      <c r="L2536" s="5" t="str">
        <f t="shared" si="799"/>
        <v>02535</v>
      </c>
      <c r="M2536" s="46" t="str">
        <f t="shared" si="800"/>
        <v>15 de noviembre de 2019</v>
      </c>
      <c r="N2536" s="318">
        <f t="shared" si="796"/>
        <v>15</v>
      </c>
      <c r="O2536" s="24">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47" t="s">
        <v>959</v>
      </c>
      <c r="H2537" t="s">
        <v>254</v>
      </c>
      <c r="I2537" s="6" t="s">
        <v>1096</v>
      </c>
      <c r="J2537" s="59" t="s">
        <v>22</v>
      </c>
      <c r="L2537" s="5" t="str">
        <f t="shared" si="799"/>
        <v>02536</v>
      </c>
      <c r="M2537" s="46" t="str">
        <f t="shared" si="800"/>
        <v>15 de noviembre de 2019</v>
      </c>
      <c r="N2537" s="318">
        <f t="shared" si="796"/>
        <v>15</v>
      </c>
      <c r="O2537" s="24">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1055</v>
      </c>
      <c r="H2538" t="s">
        <v>132</v>
      </c>
      <c r="I2538" s="6" t="s">
        <v>1083</v>
      </c>
      <c r="J2538" s="59" t="s">
        <v>22</v>
      </c>
      <c r="L2538" s="5" t="str">
        <f t="shared" si="799"/>
        <v>02537</v>
      </c>
      <c r="M2538" s="46" t="str">
        <f t="shared" si="800"/>
        <v>15 de noviembre de 2019</v>
      </c>
      <c r="N2538" s="318">
        <f t="shared" si="796"/>
        <v>15</v>
      </c>
      <c r="O2538" s="24">
        <f t="shared" si="801"/>
        <v>43770</v>
      </c>
      <c r="P2538" s="5" t="str">
        <f t="shared" si="797"/>
        <v>64.500,00</v>
      </c>
      <c r="Q2538" s="4" t="e">
        <f t="shared" ca="1" si="798"/>
        <v>#NAME?</v>
      </c>
    </row>
    <row r="2539" spans="1:17">
      <c r="A2539" s="1">
        <f t="shared" si="802"/>
        <v>2538</v>
      </c>
      <c r="B2539" s="8"/>
      <c r="C2539" s="8" t="s">
        <v>17</v>
      </c>
      <c r="D2539" s="2">
        <v>43786</v>
      </c>
      <c r="E2539" s="3">
        <v>64500</v>
      </c>
      <c r="F2539" t="s">
        <v>936</v>
      </c>
      <c r="G2539" t="s">
        <v>937</v>
      </c>
      <c r="H2539" t="s">
        <v>150</v>
      </c>
      <c r="I2539" s="6" t="s">
        <v>1083</v>
      </c>
      <c r="J2539" s="59" t="s">
        <v>22</v>
      </c>
      <c r="L2539" s="5" t="str">
        <f t="shared" si="799"/>
        <v>02538</v>
      </c>
      <c r="M2539" s="46" t="str">
        <f t="shared" si="800"/>
        <v>17 de noviembre de 2019</v>
      </c>
      <c r="N2539" s="318">
        <f t="shared" si="796"/>
        <v>17</v>
      </c>
      <c r="O2539" s="24">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1083</v>
      </c>
      <c r="J2540" s="59" t="s">
        <v>22</v>
      </c>
      <c r="L2540" s="5" t="str">
        <f t="shared" si="799"/>
        <v>02539</v>
      </c>
      <c r="M2540" s="46" t="str">
        <f t="shared" si="800"/>
        <v>17 de noviembre de 2019</v>
      </c>
      <c r="N2540" s="318">
        <f t="shared" si="796"/>
        <v>17</v>
      </c>
      <c r="O2540" s="24">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1083</v>
      </c>
      <c r="J2541" s="59" t="s">
        <v>22</v>
      </c>
      <c r="L2541" s="5" t="str">
        <f t="shared" si="799"/>
        <v>02540</v>
      </c>
      <c r="M2541" s="46" t="str">
        <f t="shared" si="800"/>
        <v>17 de noviembre de 2019</v>
      </c>
      <c r="N2541" s="318">
        <f t="shared" si="796"/>
        <v>17</v>
      </c>
      <c r="O2541" s="24">
        <f t="shared" si="801"/>
        <v>43770</v>
      </c>
      <c r="P2541" s="5" t="str">
        <f t="shared" si="797"/>
        <v>64.500,00</v>
      </c>
      <c r="Q2541" s="4" t="e">
        <f t="shared" ca="1" si="798"/>
        <v>#NAME?</v>
      </c>
    </row>
    <row r="2542" spans="1:17">
      <c r="A2542" s="1">
        <f>A2541+1</f>
        <v>2541</v>
      </c>
      <c r="B2542" s="8"/>
      <c r="C2542" s="8" t="s">
        <v>17</v>
      </c>
      <c r="D2542" s="2">
        <v>43786</v>
      </c>
      <c r="E2542" s="3">
        <v>64500</v>
      </c>
      <c r="F2542" t="s">
        <v>239</v>
      </c>
      <c r="G2542" s="71" t="s">
        <v>240</v>
      </c>
      <c r="H2542" t="s">
        <v>241</v>
      </c>
      <c r="I2542" s="6" t="s">
        <v>1083</v>
      </c>
      <c r="J2542" s="59" t="s">
        <v>22</v>
      </c>
      <c r="L2542" s="5" t="str">
        <f t="shared" si="799"/>
        <v>02541</v>
      </c>
      <c r="M2542" s="46" t="str">
        <f t="shared" si="800"/>
        <v>17 de noviembre de 2019</v>
      </c>
      <c r="N2542" s="318">
        <f t="shared" si="796"/>
        <v>17</v>
      </c>
      <c r="O2542" s="24">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1097</v>
      </c>
      <c r="J2543" s="59" t="s">
        <v>22</v>
      </c>
      <c r="L2543" s="5" t="str">
        <f t="shared" si="799"/>
        <v>02542</v>
      </c>
      <c r="M2543" s="46" t="str">
        <f t="shared" si="800"/>
        <v>18 de noviembre de 2019</v>
      </c>
      <c r="N2543" s="318">
        <f t="shared" si="796"/>
        <v>18</v>
      </c>
      <c r="O2543" s="24">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1083</v>
      </c>
      <c r="J2544" s="59" t="s">
        <v>22</v>
      </c>
      <c r="L2544" s="5" t="str">
        <f t="shared" si="799"/>
        <v>02543</v>
      </c>
      <c r="M2544" s="46" t="str">
        <f t="shared" si="800"/>
        <v>19 de noviembre de 2019</v>
      </c>
      <c r="N2544" s="318">
        <f t="shared" si="796"/>
        <v>19</v>
      </c>
      <c r="O2544" s="24">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1098</v>
      </c>
      <c r="J2545" s="59" t="s">
        <v>22</v>
      </c>
      <c r="L2545" s="5" t="str">
        <f t="shared" ref="L2545:L2556" si="805">IF(ISBLANK(A2545),"",TEXT(A2545,"00000"))</f>
        <v>02544</v>
      </c>
      <c r="M2545" s="46" t="str">
        <f t="shared" ref="M2545:M2556" si="806">IF(ISBLANK(D2545),"",TEXT(D2545,"dd")&amp;" de "&amp;TEXT(D2545,"mmmm")&amp;" de "&amp;TEXT(YEAR(D2545),"0"))</f>
        <v>19 de noviembre de 2019</v>
      </c>
      <c r="N2545" s="318">
        <f t="shared" ref="N2545:N2570" si="807">DAY(D2545)</f>
        <v>19</v>
      </c>
      <c r="O2545" s="24">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1089</v>
      </c>
      <c r="J2546" s="59" t="s">
        <v>22</v>
      </c>
      <c r="L2546" s="5" t="str">
        <f t="shared" si="805"/>
        <v>02545</v>
      </c>
      <c r="M2546" s="46" t="str">
        <f t="shared" si="806"/>
        <v>20 de noviembre de 2019</v>
      </c>
      <c r="N2546" s="318">
        <f t="shared" si="807"/>
        <v>20</v>
      </c>
      <c r="O2546" s="24">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1083</v>
      </c>
      <c r="J2547" s="59" t="s">
        <v>22</v>
      </c>
      <c r="L2547" s="5" t="str">
        <f t="shared" si="805"/>
        <v>02546</v>
      </c>
      <c r="M2547" s="46" t="str">
        <f t="shared" si="806"/>
        <v>21 de noviembre de 2019</v>
      </c>
      <c r="N2547" s="318">
        <f t="shared" si="807"/>
        <v>21</v>
      </c>
      <c r="O2547" s="24">
        <f t="shared" si="808"/>
        <v>43770</v>
      </c>
      <c r="P2547" s="5" t="str">
        <f t="shared" si="809"/>
        <v>73.500,00</v>
      </c>
      <c r="Q2547" s="4" t="e">
        <f t="shared" ca="1" si="810"/>
        <v>#NAME?</v>
      </c>
    </row>
    <row r="2548" spans="1:17">
      <c r="A2548" s="1">
        <f t="shared" si="804"/>
        <v>2547</v>
      </c>
      <c r="B2548" s="8"/>
      <c r="C2548" s="8" t="s">
        <v>17</v>
      </c>
      <c r="D2548" s="2">
        <v>43790</v>
      </c>
      <c r="E2548" s="3">
        <v>73500</v>
      </c>
      <c r="F2548" t="s">
        <v>1018</v>
      </c>
      <c r="G2548" s="447" t="s">
        <v>1019</v>
      </c>
      <c r="H2548" t="s">
        <v>140</v>
      </c>
      <c r="I2548" s="6" t="s">
        <v>1083</v>
      </c>
      <c r="J2548" s="59" t="s">
        <v>22</v>
      </c>
      <c r="L2548" s="5" t="str">
        <f t="shared" si="805"/>
        <v>02547</v>
      </c>
      <c r="M2548" s="46" t="str">
        <f t="shared" si="806"/>
        <v>21 de noviembre de 2019</v>
      </c>
      <c r="N2548" s="318">
        <f t="shared" si="807"/>
        <v>21</v>
      </c>
      <c r="O2548" s="24">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1083</v>
      </c>
      <c r="J2549" s="59" t="s">
        <v>22</v>
      </c>
      <c r="L2549" s="5" t="str">
        <f t="shared" si="805"/>
        <v>02548</v>
      </c>
      <c r="M2549" s="46" t="str">
        <f t="shared" si="806"/>
        <v>21 de noviembre de 2019</v>
      </c>
      <c r="N2549" s="318">
        <f t="shared" si="807"/>
        <v>21</v>
      </c>
      <c r="O2549" s="24">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1088</v>
      </c>
      <c r="J2550" s="59" t="s">
        <v>22</v>
      </c>
      <c r="L2550" s="5" t="str">
        <f t="shared" si="805"/>
        <v>02549</v>
      </c>
      <c r="M2550" s="46" t="str">
        <f t="shared" si="806"/>
        <v>22 de noviembre de 2019</v>
      </c>
      <c r="N2550" s="318">
        <f t="shared" si="807"/>
        <v>22</v>
      </c>
      <c r="O2550" s="24">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1083</v>
      </c>
      <c r="J2551" s="59" t="s">
        <v>22</v>
      </c>
      <c r="L2551" s="5" t="str">
        <f t="shared" si="805"/>
        <v>02550</v>
      </c>
      <c r="M2551" s="46" t="str">
        <f t="shared" si="806"/>
        <v>22 de noviembre de 2019</v>
      </c>
      <c r="N2551" s="318">
        <f t="shared" si="807"/>
        <v>22</v>
      </c>
      <c r="O2551" s="24">
        <f t="shared" si="808"/>
        <v>43770</v>
      </c>
      <c r="P2551" s="5" t="str">
        <f t="shared" si="809"/>
        <v>73.500,00</v>
      </c>
      <c r="Q2551" s="4" t="e">
        <f t="shared" ca="1" si="810"/>
        <v>#NAME?</v>
      </c>
    </row>
    <row r="2552" spans="1:17">
      <c r="A2552" s="1">
        <f t="shared" si="811"/>
        <v>2551</v>
      </c>
      <c r="B2552" s="8"/>
      <c r="C2552" s="8" t="s">
        <v>17</v>
      </c>
      <c r="D2552" s="2">
        <v>43793</v>
      </c>
      <c r="E2552" s="3">
        <v>73500</v>
      </c>
      <c r="F2552" t="s">
        <v>844</v>
      </c>
      <c r="G2552" t="s">
        <v>845</v>
      </c>
      <c r="H2552" t="s">
        <v>169</v>
      </c>
      <c r="I2552" s="6" t="s">
        <v>1083</v>
      </c>
      <c r="J2552" s="59" t="s">
        <v>22</v>
      </c>
      <c r="L2552" s="5" t="str">
        <f t="shared" si="805"/>
        <v>02551</v>
      </c>
      <c r="M2552" s="46" t="str">
        <f t="shared" si="806"/>
        <v>24 de noviembre de 2019</v>
      </c>
      <c r="N2552" s="318">
        <f t="shared" si="807"/>
        <v>24</v>
      </c>
      <c r="O2552" s="24">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1099</v>
      </c>
      <c r="J2553" s="59" t="s">
        <v>22</v>
      </c>
      <c r="L2553" s="5" t="str">
        <f t="shared" si="805"/>
        <v>02552</v>
      </c>
      <c r="M2553" s="46" t="str">
        <f t="shared" si="806"/>
        <v>24 de noviembre de 2019</v>
      </c>
      <c r="N2553" s="318">
        <f t="shared" si="807"/>
        <v>24</v>
      </c>
      <c r="O2553" s="24">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1083</v>
      </c>
      <c r="J2554" s="59" t="s">
        <v>22</v>
      </c>
      <c r="L2554" s="5" t="str">
        <f t="shared" si="805"/>
        <v>02553</v>
      </c>
      <c r="M2554" s="46" t="str">
        <f t="shared" si="806"/>
        <v>25 de noviembre de 2019</v>
      </c>
      <c r="N2554" s="318">
        <f t="shared" si="807"/>
        <v>25</v>
      </c>
      <c r="O2554" s="24">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999</v>
      </c>
      <c r="G2555" t="s">
        <v>1000</v>
      </c>
      <c r="H2555" t="s">
        <v>1001</v>
      </c>
      <c r="I2555" s="6" t="s">
        <v>1083</v>
      </c>
      <c r="J2555" s="59" t="s">
        <v>22</v>
      </c>
      <c r="L2555" s="5" t="str">
        <f t="shared" si="805"/>
        <v>02554</v>
      </c>
      <c r="M2555" s="46" t="str">
        <f t="shared" si="806"/>
        <v>24 de noviembre de 2019</v>
      </c>
      <c r="N2555" s="318">
        <f t="shared" si="807"/>
        <v>24</v>
      </c>
      <c r="O2555" s="24">
        <f t="shared" si="808"/>
        <v>43770</v>
      </c>
      <c r="P2555" s="5" t="str">
        <f t="shared" si="809"/>
        <v>73.500,00</v>
      </c>
      <c r="Q2555" s="4" t="e">
        <f t="shared" ca="1" si="810"/>
        <v>#NAME?</v>
      </c>
    </row>
    <row r="2556" spans="1:17">
      <c r="A2556" s="1">
        <f t="shared" si="812"/>
        <v>2555</v>
      </c>
      <c r="B2556" s="8"/>
      <c r="C2556" s="8" t="s">
        <v>17</v>
      </c>
      <c r="D2556" s="2">
        <v>43784</v>
      </c>
      <c r="E2556" s="550">
        <f>1.1*25800</f>
        <v>28380.000000000004</v>
      </c>
      <c r="F2556" t="s">
        <v>103</v>
      </c>
      <c r="G2556" s="552" t="s">
        <v>1048</v>
      </c>
      <c r="H2556" t="s">
        <v>105</v>
      </c>
      <c r="I2556" s="6" t="s">
        <v>1100</v>
      </c>
      <c r="J2556" s="59" t="s">
        <v>22</v>
      </c>
      <c r="L2556" s="5" t="str">
        <f t="shared" si="805"/>
        <v>02555</v>
      </c>
      <c r="M2556" s="46" t="str">
        <f t="shared" si="806"/>
        <v>15 de noviembre de 2019</v>
      </c>
      <c r="N2556" s="318">
        <f t="shared" si="807"/>
        <v>15</v>
      </c>
      <c r="O2556" s="24">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1101</v>
      </c>
      <c r="J2557" s="59" t="s">
        <v>22</v>
      </c>
      <c r="L2557" s="5" t="str">
        <f>IF(ISBLANK(A2557),"",TEXT(A2557,"00000"))</f>
        <v>02556</v>
      </c>
      <c r="M2557" s="46" t="str">
        <f>IF(ISBLANK(D2557),"",TEXT(D2557,"dd")&amp;" de "&amp;TEXT(D2557,"mmmm")&amp;" de "&amp;TEXT(YEAR(D2557),"0"))</f>
        <v>26 de noviembre de 2019</v>
      </c>
      <c r="N2557" s="318">
        <f t="shared" si="807"/>
        <v>26</v>
      </c>
      <c r="O2557" s="24">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47" t="s">
        <v>1102</v>
      </c>
      <c r="H2558" t="s">
        <v>217</v>
      </c>
      <c r="I2558" s="6" t="s">
        <v>1103</v>
      </c>
      <c r="J2558" s="59" t="s">
        <v>22</v>
      </c>
      <c r="L2558" s="5" t="str">
        <f t="shared" ref="L2558:L2602" si="813">IF(ISBLANK(A2558),"",TEXT(A2558,"00000"))</f>
        <v>02557</v>
      </c>
      <c r="M2558" s="46" t="str">
        <f t="shared" ref="M2558:M2602" si="814">IF(ISBLANK(D2558),"",TEXT(D2558,"dd")&amp;" de "&amp;TEXT(D2558,"mmmm")&amp;" de "&amp;TEXT(YEAR(D2558),"0"))</f>
        <v>26 de noviembre de 2019</v>
      </c>
      <c r="N2558" s="318">
        <f t="shared" si="807"/>
        <v>26</v>
      </c>
      <c r="O2558" s="24">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47" t="s">
        <v>1102</v>
      </c>
      <c r="H2559" t="s">
        <v>217</v>
      </c>
      <c r="I2559" s="6" t="s">
        <v>1083</v>
      </c>
      <c r="J2559" s="59" t="s">
        <v>22</v>
      </c>
      <c r="L2559" s="5" t="str">
        <f t="shared" si="813"/>
        <v>02558</v>
      </c>
      <c r="M2559" s="46" t="str">
        <f t="shared" si="814"/>
        <v>26 de noviembre de 2019</v>
      </c>
      <c r="N2559" s="318">
        <f t="shared" si="807"/>
        <v>26</v>
      </c>
      <c r="O2559" s="24">
        <f t="shared" si="815"/>
        <v>43770</v>
      </c>
      <c r="P2559" s="5" t="str">
        <f t="shared" si="809"/>
        <v>81.750,00</v>
      </c>
      <c r="Q2559" s="4" t="e">
        <f t="shared" ca="1" si="810"/>
        <v>#NAME?</v>
      </c>
    </row>
    <row r="2560" spans="1:17">
      <c r="A2560" s="1">
        <f t="shared" si="812"/>
        <v>2559</v>
      </c>
      <c r="B2560" s="8"/>
      <c r="C2560" s="8" t="s">
        <v>17</v>
      </c>
      <c r="D2560" s="2">
        <v>43797</v>
      </c>
      <c r="E2560" s="3">
        <v>81750</v>
      </c>
      <c r="F2560" t="s">
        <v>948</v>
      </c>
      <c r="G2560" t="s">
        <v>949</v>
      </c>
      <c r="H2560" t="s">
        <v>950</v>
      </c>
      <c r="I2560" s="6" t="s">
        <v>1101</v>
      </c>
      <c r="J2560" s="59" t="s">
        <v>22</v>
      </c>
      <c r="L2560" s="5" t="str">
        <f t="shared" si="813"/>
        <v>02559</v>
      </c>
      <c r="M2560" s="46" t="str">
        <f t="shared" si="814"/>
        <v>28 de noviembre de 2019</v>
      </c>
      <c r="N2560" s="318">
        <f t="shared" si="807"/>
        <v>28</v>
      </c>
      <c r="O2560" s="24">
        <f t="shared" si="815"/>
        <v>43770</v>
      </c>
      <c r="P2560" s="5" t="str">
        <f t="shared" si="809"/>
        <v>81.750,00</v>
      </c>
      <c r="Q2560" s="4" t="e">
        <f t="shared" ca="1" si="810"/>
        <v>#NAME?</v>
      </c>
    </row>
    <row r="2561" spans="1:17">
      <c r="A2561" s="1">
        <f t="shared" si="812"/>
        <v>2560</v>
      </c>
      <c r="C2561" s="8" t="s">
        <v>17</v>
      </c>
      <c r="D2561" s="2">
        <v>43797</v>
      </c>
      <c r="E2561" s="3">
        <v>100000</v>
      </c>
      <c r="F2561" t="s">
        <v>90</v>
      </c>
      <c r="G2561" s="447" t="s">
        <v>979</v>
      </c>
      <c r="H2561" t="s">
        <v>92</v>
      </c>
      <c r="I2561" s="6" t="s">
        <v>1083</v>
      </c>
      <c r="J2561" s="59" t="s">
        <v>22</v>
      </c>
      <c r="L2561" s="5" t="str">
        <f t="shared" si="813"/>
        <v>02560</v>
      </c>
      <c r="M2561" s="46" t="str">
        <f t="shared" si="814"/>
        <v>28 de noviembre de 2019</v>
      </c>
      <c r="N2561" s="318">
        <f t="shared" si="807"/>
        <v>28</v>
      </c>
      <c r="O2561" s="24">
        <f t="shared" si="815"/>
        <v>43770</v>
      </c>
      <c r="P2561" s="5" t="str">
        <f t="shared" si="809"/>
        <v>100.000,00</v>
      </c>
      <c r="Q2561" s="4" t="e">
        <f t="shared" ca="1" si="810"/>
        <v>#NAME?</v>
      </c>
    </row>
    <row r="2562" spans="1:17">
      <c r="A2562" s="1">
        <f t="shared" si="812"/>
        <v>2561</v>
      </c>
      <c r="B2562" s="8"/>
      <c r="C2562" s="83" t="s">
        <v>17</v>
      </c>
      <c r="D2562" s="2">
        <v>43798</v>
      </c>
      <c r="E2562" s="3">
        <v>118540</v>
      </c>
      <c r="F2562" s="22" t="s">
        <v>422</v>
      </c>
      <c r="G2562" s="18" t="s">
        <v>58</v>
      </c>
      <c r="H2562" t="s">
        <v>423</v>
      </c>
      <c r="I2562" s="6" t="s">
        <v>1083</v>
      </c>
      <c r="J2562" s="59" t="s">
        <v>22</v>
      </c>
      <c r="L2562" s="5" t="str">
        <f t="shared" si="813"/>
        <v>02561</v>
      </c>
      <c r="M2562" s="46" t="str">
        <f t="shared" si="814"/>
        <v>29 de noviembre de 2019</v>
      </c>
      <c r="N2562" s="318">
        <f t="shared" si="807"/>
        <v>29</v>
      </c>
      <c r="O2562" s="24">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1101</v>
      </c>
      <c r="J2563" s="59" t="s">
        <v>22</v>
      </c>
      <c r="L2563" s="5" t="str">
        <f t="shared" si="813"/>
        <v>02562</v>
      </c>
      <c r="M2563" s="46" t="str">
        <f t="shared" si="814"/>
        <v>29 de noviembre de 2019</v>
      </c>
      <c r="N2563" s="318">
        <f t="shared" si="807"/>
        <v>29</v>
      </c>
      <c r="O2563" s="24">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1083</v>
      </c>
      <c r="J2564" s="59" t="s">
        <v>22</v>
      </c>
      <c r="L2564" s="5" t="str">
        <f t="shared" si="813"/>
        <v>02563</v>
      </c>
      <c r="M2564" s="46" t="str">
        <f t="shared" si="814"/>
        <v>29 de noviembre de 2019</v>
      </c>
      <c r="N2564" s="318">
        <f t="shared" si="807"/>
        <v>29</v>
      </c>
      <c r="O2564" s="24">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1052</v>
      </c>
      <c r="H2565" t="s">
        <v>596</v>
      </c>
      <c r="I2565" s="6" t="s">
        <v>1101</v>
      </c>
      <c r="J2565" s="59" t="s">
        <v>22</v>
      </c>
      <c r="L2565" s="5" t="str">
        <f t="shared" si="813"/>
        <v>02564</v>
      </c>
      <c r="M2565" s="46" t="str">
        <f t="shared" si="814"/>
        <v>29 de noviembre de 2019</v>
      </c>
      <c r="N2565" s="318">
        <f t="shared" si="807"/>
        <v>29</v>
      </c>
      <c r="O2565" s="24">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1083</v>
      </c>
      <c r="J2566" s="59" t="s">
        <v>22</v>
      </c>
      <c r="L2566" s="5" t="str">
        <f t="shared" si="813"/>
        <v>02565</v>
      </c>
      <c r="M2566" s="46" t="str">
        <f t="shared" si="814"/>
        <v>24 de noviembre de 2019</v>
      </c>
      <c r="N2566" s="318">
        <f t="shared" si="807"/>
        <v>24</v>
      </c>
      <c r="O2566" s="24">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1101</v>
      </c>
      <c r="J2567" s="59" t="s">
        <v>22</v>
      </c>
      <c r="L2567" s="5" t="str">
        <f t="shared" si="813"/>
        <v>02566</v>
      </c>
      <c r="M2567" s="46" t="str">
        <f t="shared" si="814"/>
        <v>29 de noviembre de 2019</v>
      </c>
      <c r="N2567" s="318">
        <f t="shared" si="807"/>
        <v>29</v>
      </c>
      <c r="O2567" s="24">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1104</v>
      </c>
      <c r="J2568" s="59" t="s">
        <v>22</v>
      </c>
      <c r="L2568" s="5" t="str">
        <f t="shared" si="813"/>
        <v>02567</v>
      </c>
      <c r="M2568" s="46" t="str">
        <f t="shared" si="814"/>
        <v>30 de noviembre de 2019</v>
      </c>
      <c r="N2568" s="318">
        <f t="shared" si="807"/>
        <v>30</v>
      </c>
      <c r="O2568" s="24">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1105</v>
      </c>
      <c r="J2569" s="59" t="s">
        <v>22</v>
      </c>
      <c r="L2569" s="5" t="str">
        <f t="shared" si="813"/>
        <v>02568</v>
      </c>
      <c r="M2569" s="46" t="str">
        <f t="shared" si="814"/>
        <v>30 de noviembre de 2019</v>
      </c>
      <c r="N2569" s="318">
        <f t="shared" si="807"/>
        <v>30</v>
      </c>
      <c r="O2569" s="24">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1101</v>
      </c>
      <c r="J2570" s="59" t="s">
        <v>22</v>
      </c>
      <c r="L2570" s="5" t="str">
        <f t="shared" si="813"/>
        <v>02569</v>
      </c>
      <c r="M2570" s="46" t="str">
        <f t="shared" si="814"/>
        <v>30 de noviembre de 2019</v>
      </c>
      <c r="N2570" s="318">
        <f t="shared" si="807"/>
        <v>30</v>
      </c>
      <c r="O2570" s="24">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1101</v>
      </c>
      <c r="J2571" s="59" t="s">
        <v>22</v>
      </c>
      <c r="L2571" s="5" t="str">
        <f t="shared" si="813"/>
        <v>02570</v>
      </c>
      <c r="M2571" s="46" t="str">
        <f t="shared" si="814"/>
        <v>30 de noviembre de 2019</v>
      </c>
      <c r="N2571" s="318">
        <f t="shared" ref="N2571:N2602" si="819">DAY(D2571)</f>
        <v>30</v>
      </c>
      <c r="O2571" s="24">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1101</v>
      </c>
      <c r="J2572" s="59" t="s">
        <v>22</v>
      </c>
      <c r="L2572" s="5" t="str">
        <f t="shared" si="813"/>
        <v>02571</v>
      </c>
      <c r="M2572" s="46" t="str">
        <f t="shared" si="814"/>
        <v>30 de noviembre de 2019</v>
      </c>
      <c r="N2572" s="318">
        <f t="shared" si="819"/>
        <v>30</v>
      </c>
      <c r="O2572" s="24">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1106</v>
      </c>
      <c r="J2573" s="59" t="s">
        <v>22</v>
      </c>
      <c r="L2573" s="5" t="str">
        <f t="shared" si="813"/>
        <v>02572</v>
      </c>
      <c r="M2573" s="46" t="str">
        <f t="shared" si="814"/>
        <v>01 de diciembre de 2019</v>
      </c>
      <c r="N2573" s="318">
        <f t="shared" si="819"/>
        <v>1</v>
      </c>
      <c r="O2573" s="24">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1101</v>
      </c>
      <c r="J2574" s="59" t="s">
        <v>22</v>
      </c>
      <c r="L2574" s="5" t="str">
        <f t="shared" si="813"/>
        <v>02573</v>
      </c>
      <c r="M2574" s="46" t="str">
        <f t="shared" si="814"/>
        <v>01 de diciembre de 2019</v>
      </c>
      <c r="N2574" s="318">
        <f t="shared" si="819"/>
        <v>1</v>
      </c>
      <c r="O2574" s="24">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1107</v>
      </c>
      <c r="J2575" s="59" t="s">
        <v>22</v>
      </c>
      <c r="L2575" s="5" t="str">
        <f t="shared" si="813"/>
        <v>02574</v>
      </c>
      <c r="M2575" s="46" t="str">
        <f t="shared" si="814"/>
        <v>01 de diciembre de 2019</v>
      </c>
      <c r="N2575" s="318">
        <f t="shared" si="819"/>
        <v>1</v>
      </c>
      <c r="O2575" s="24">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1083</v>
      </c>
      <c r="J2576" s="59" t="s">
        <v>22</v>
      </c>
      <c r="L2576" s="5" t="str">
        <f t="shared" si="813"/>
        <v>02575</v>
      </c>
      <c r="M2576" s="46" t="str">
        <f t="shared" si="814"/>
        <v>01 de diciembre de 2019</v>
      </c>
      <c r="N2576" s="318">
        <f t="shared" si="819"/>
        <v>1</v>
      </c>
      <c r="O2576" s="24">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1101</v>
      </c>
      <c r="J2577" s="59" t="s">
        <v>22</v>
      </c>
      <c r="L2577" s="5" t="str">
        <f t="shared" si="813"/>
        <v>02576</v>
      </c>
      <c r="M2577" s="46" t="str">
        <f t="shared" si="814"/>
        <v>01 de diciembre de 2019</v>
      </c>
      <c r="N2577" s="318">
        <f t="shared" si="819"/>
        <v>1</v>
      </c>
      <c r="O2577" s="24">
        <f t="shared" si="815"/>
        <v>43800</v>
      </c>
      <c r="P2577" s="5" t="str">
        <f t="shared" si="820"/>
        <v>81.750,00</v>
      </c>
      <c r="Q2577" s="4" t="e">
        <f t="shared" ca="1" si="816"/>
        <v>#NAME?</v>
      </c>
    </row>
    <row r="2578" spans="1:17">
      <c r="A2578" s="1">
        <f t="shared" ref="A2578:A2580" si="821">A2577+1</f>
        <v>2577</v>
      </c>
      <c r="C2578" s="8" t="s">
        <v>17</v>
      </c>
      <c r="D2578" s="2">
        <v>43800</v>
      </c>
      <c r="E2578" s="3">
        <v>81750</v>
      </c>
      <c r="F2578" t="s">
        <v>936</v>
      </c>
      <c r="G2578" t="s">
        <v>937</v>
      </c>
      <c r="H2578" t="s">
        <v>150</v>
      </c>
      <c r="I2578" s="6" t="s">
        <v>1101</v>
      </c>
      <c r="J2578" s="59" t="s">
        <v>22</v>
      </c>
      <c r="L2578" s="5" t="str">
        <f t="shared" si="813"/>
        <v>02577</v>
      </c>
      <c r="M2578" s="46" t="str">
        <f t="shared" si="814"/>
        <v>01 de diciembre de 2019</v>
      </c>
      <c r="N2578" s="318">
        <f t="shared" si="819"/>
        <v>1</v>
      </c>
      <c r="O2578" s="24">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1101</v>
      </c>
      <c r="J2579" s="59" t="s">
        <v>22</v>
      </c>
      <c r="L2579" s="5" t="str">
        <f t="shared" si="813"/>
        <v>02578</v>
      </c>
      <c r="M2579" s="46" t="str">
        <f t="shared" si="814"/>
        <v>01 de diciembre de 2019</v>
      </c>
      <c r="N2579" s="318">
        <f t="shared" si="819"/>
        <v>1</v>
      </c>
      <c r="O2579" s="24">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1101</v>
      </c>
      <c r="J2580" s="59" t="s">
        <v>22</v>
      </c>
      <c r="L2580" s="5" t="str">
        <f t="shared" si="813"/>
        <v>02579</v>
      </c>
      <c r="M2580" s="46" t="str">
        <f t="shared" si="814"/>
        <v>01 de diciembre de 2019</v>
      </c>
      <c r="N2580" s="318">
        <f t="shared" si="819"/>
        <v>1</v>
      </c>
      <c r="O2580" s="24">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1108</v>
      </c>
      <c r="J2581" s="59" t="s">
        <v>22</v>
      </c>
      <c r="L2581" s="5" t="str">
        <f t="shared" si="813"/>
        <v>02580</v>
      </c>
      <c r="M2581" s="46" t="str">
        <f t="shared" si="814"/>
        <v>01 de diciembre de 2019</v>
      </c>
      <c r="N2581" s="318">
        <f t="shared" si="819"/>
        <v>1</v>
      </c>
      <c r="O2581" s="24">
        <f t="shared" si="815"/>
        <v>43800</v>
      </c>
      <c r="P2581" s="5" t="str">
        <f t="shared" si="820"/>
        <v>81.750,00</v>
      </c>
      <c r="Q2581" s="4" t="e">
        <f t="shared" ca="1" si="816"/>
        <v>#NAME?</v>
      </c>
    </row>
    <row r="2582" spans="1:17">
      <c r="A2582" s="1">
        <f>A2581+1</f>
        <v>2581</v>
      </c>
      <c r="C2582" s="8" t="s">
        <v>17</v>
      </c>
      <c r="D2582" s="2">
        <v>43800</v>
      </c>
      <c r="E2582" s="3">
        <v>81750</v>
      </c>
      <c r="F2582" t="s">
        <v>1005</v>
      </c>
      <c r="G2582" t="s">
        <v>1006</v>
      </c>
      <c r="H2582" t="s">
        <v>539</v>
      </c>
      <c r="I2582" s="6" t="s">
        <v>1101</v>
      </c>
      <c r="J2582" s="59" t="s">
        <v>22</v>
      </c>
      <c r="L2582" s="5" t="str">
        <f t="shared" si="813"/>
        <v>02581</v>
      </c>
      <c r="M2582" s="46" t="str">
        <f t="shared" si="814"/>
        <v>01 de diciembre de 2019</v>
      </c>
      <c r="N2582" s="318">
        <f t="shared" si="819"/>
        <v>1</v>
      </c>
      <c r="O2582" s="24">
        <f t="shared" si="815"/>
        <v>43800</v>
      </c>
      <c r="P2582" s="5" t="str">
        <f t="shared" si="820"/>
        <v>81.750,00</v>
      </c>
      <c r="Q2582" s="4" t="e">
        <f t="shared" ca="1" si="816"/>
        <v>#NAME?</v>
      </c>
    </row>
    <row r="2583" spans="1:17">
      <c r="A2583" s="1">
        <f t="shared" ref="A2583:A2585" si="822">A2582+1</f>
        <v>2582</v>
      </c>
      <c r="B2583" s="8"/>
      <c r="C2583" s="83" t="s">
        <v>17</v>
      </c>
      <c r="D2583" s="2">
        <v>43800</v>
      </c>
      <c r="E2583" s="160">
        <v>81750</v>
      </c>
      <c r="F2583" t="s">
        <v>492</v>
      </c>
      <c r="G2583" s="18" t="s">
        <v>58</v>
      </c>
      <c r="H2583" t="s">
        <v>493</v>
      </c>
      <c r="I2583" s="6" t="s">
        <v>1101</v>
      </c>
      <c r="J2583" s="59" t="s">
        <v>22</v>
      </c>
      <c r="L2583" s="5" t="str">
        <f t="shared" si="813"/>
        <v>02582</v>
      </c>
      <c r="M2583" s="46" t="str">
        <f t="shared" si="814"/>
        <v>01 de diciembre de 2019</v>
      </c>
      <c r="N2583" s="318">
        <f t="shared" si="819"/>
        <v>1</v>
      </c>
      <c r="O2583" s="24">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1101</v>
      </c>
      <c r="J2584" s="59" t="s">
        <v>22</v>
      </c>
      <c r="L2584" s="5" t="str">
        <f t="shared" si="813"/>
        <v>02583</v>
      </c>
      <c r="M2584" s="46" t="str">
        <f t="shared" si="814"/>
        <v>01 de diciembre de 2019</v>
      </c>
      <c r="N2584" s="318">
        <f t="shared" si="819"/>
        <v>1</v>
      </c>
      <c r="O2584" s="24">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1016</v>
      </c>
      <c r="G2585" t="s">
        <v>1017</v>
      </c>
      <c r="H2585" t="s">
        <v>59</v>
      </c>
      <c r="I2585" s="6" t="s">
        <v>1109</v>
      </c>
      <c r="J2585" s="59" t="s">
        <v>22</v>
      </c>
      <c r="L2585" s="5" t="str">
        <f t="shared" si="813"/>
        <v>02584</v>
      </c>
      <c r="M2585" s="46" t="str">
        <f t="shared" si="814"/>
        <v>01 de diciembre de 2019</v>
      </c>
      <c r="N2585" s="318">
        <f t="shared" si="819"/>
        <v>1</v>
      </c>
      <c r="O2585" s="24">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1110</v>
      </c>
      <c r="J2586" s="59" t="s">
        <v>22</v>
      </c>
      <c r="L2586" s="5" t="str">
        <f t="shared" si="813"/>
        <v>02585</v>
      </c>
      <c r="M2586" s="46" t="str">
        <f t="shared" si="814"/>
        <v>01 de diciembre de 2019</v>
      </c>
      <c r="N2586" s="318">
        <f t="shared" si="819"/>
        <v>1</v>
      </c>
      <c r="O2586" s="24">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1" t="s">
        <v>240</v>
      </c>
      <c r="H2587" t="s">
        <v>241</v>
      </c>
      <c r="I2587" s="6" t="s">
        <v>1101</v>
      </c>
      <c r="J2587" s="59" t="s">
        <v>22</v>
      </c>
      <c r="L2587" s="5" t="str">
        <f t="shared" si="813"/>
        <v>02586</v>
      </c>
      <c r="M2587" s="46" t="str">
        <f t="shared" si="814"/>
        <v>01 de diciembre de 2019</v>
      </c>
      <c r="N2587" s="318">
        <f t="shared" si="819"/>
        <v>1</v>
      </c>
      <c r="O2587" s="24">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1101</v>
      </c>
      <c r="J2588" s="59" t="s">
        <v>22</v>
      </c>
      <c r="L2588" s="5" t="str">
        <f t="shared" si="813"/>
        <v>02587</v>
      </c>
      <c r="M2588" s="46" t="str">
        <f t="shared" si="814"/>
        <v>01 de diciembre de 2019</v>
      </c>
      <c r="N2588" s="318">
        <f t="shared" si="819"/>
        <v>1</v>
      </c>
      <c r="O2588" s="24">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47" t="s">
        <v>959</v>
      </c>
      <c r="H2589" t="s">
        <v>254</v>
      </c>
      <c r="I2589" s="6" t="s">
        <v>1085</v>
      </c>
      <c r="J2589" s="59" t="s">
        <v>22</v>
      </c>
      <c r="L2589" s="5" t="str">
        <f t="shared" si="813"/>
        <v>02588</v>
      </c>
      <c r="M2589" s="46" t="str">
        <f t="shared" si="814"/>
        <v>01 de diciembre de 2019</v>
      </c>
      <c r="N2589" s="318">
        <f t="shared" si="819"/>
        <v>1</v>
      </c>
      <c r="O2589" s="24">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1083</v>
      </c>
      <c r="J2590" s="59" t="s">
        <v>22</v>
      </c>
      <c r="L2590" s="5" t="str">
        <f t="shared" si="813"/>
        <v>02589</v>
      </c>
      <c r="M2590" s="46" t="str">
        <f t="shared" si="814"/>
        <v>01 de diciembre de 2019</v>
      </c>
      <c r="N2590" s="318">
        <f t="shared" si="819"/>
        <v>1</v>
      </c>
      <c r="O2590" s="24">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1098</v>
      </c>
      <c r="J2591" s="59" t="s">
        <v>22</v>
      </c>
      <c r="L2591" s="5" t="str">
        <f t="shared" si="813"/>
        <v>02590</v>
      </c>
      <c r="M2591" s="46" t="str">
        <f t="shared" si="814"/>
        <v>03 de diciembre de 2019</v>
      </c>
      <c r="N2591" s="318">
        <f t="shared" si="819"/>
        <v>3</v>
      </c>
      <c r="O2591" s="24">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1101</v>
      </c>
      <c r="J2592" s="59" t="s">
        <v>22</v>
      </c>
      <c r="L2592" s="5" t="str">
        <f t="shared" si="813"/>
        <v>02591</v>
      </c>
      <c r="M2592" s="46" t="str">
        <f t="shared" si="814"/>
        <v>03 de diciembre de 2019</v>
      </c>
      <c r="N2592" s="318">
        <f t="shared" si="819"/>
        <v>3</v>
      </c>
      <c r="O2592" s="24">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1083</v>
      </c>
      <c r="J2593" s="59" t="s">
        <v>22</v>
      </c>
      <c r="L2593" s="5" t="str">
        <f t="shared" si="813"/>
        <v>02592</v>
      </c>
      <c r="M2593" s="46" t="str">
        <f t="shared" si="814"/>
        <v>03 de diciembre de 2019</v>
      </c>
      <c r="N2593" s="318">
        <f t="shared" si="819"/>
        <v>3</v>
      </c>
      <c r="O2593" s="24">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1110</v>
      </c>
      <c r="J2594" s="59" t="s">
        <v>22</v>
      </c>
      <c r="L2594" s="5" t="str">
        <f t="shared" si="813"/>
        <v>02593</v>
      </c>
      <c r="M2594" s="46" t="str">
        <f t="shared" si="814"/>
        <v>04 de diciembre de 2019</v>
      </c>
      <c r="N2594" s="318">
        <f t="shared" si="819"/>
        <v>4</v>
      </c>
      <c r="O2594" s="24">
        <f t="shared" si="815"/>
        <v>43800</v>
      </c>
      <c r="P2594" s="5" t="str">
        <f t="shared" si="825"/>
        <v>40.000,00</v>
      </c>
      <c r="Q2594" s="4" t="e">
        <f t="shared" ca="1" si="826"/>
        <v>#NAME?</v>
      </c>
    </row>
    <row r="2595" spans="1:17">
      <c r="A2595" s="1">
        <f t="shared" ref="A2595:A2596" si="828">A2594+1</f>
        <v>2594</v>
      </c>
      <c r="B2595" s="8"/>
      <c r="C2595" s="83" t="s">
        <v>17</v>
      </c>
      <c r="D2595" s="2">
        <v>43803</v>
      </c>
      <c r="E2595" s="3">
        <v>97500</v>
      </c>
      <c r="F2595" t="s">
        <v>259</v>
      </c>
      <c r="G2595" s="18" t="s">
        <v>58</v>
      </c>
      <c r="H2595" t="s">
        <v>261</v>
      </c>
      <c r="I2595" s="6" t="s">
        <v>1083</v>
      </c>
      <c r="J2595" s="59" t="s">
        <v>22</v>
      </c>
      <c r="L2595" s="5" t="str">
        <f t="shared" si="813"/>
        <v>02594</v>
      </c>
      <c r="M2595" s="46" t="str">
        <f t="shared" si="814"/>
        <v>04 de diciembre de 2019</v>
      </c>
      <c r="N2595" s="318">
        <f t="shared" si="819"/>
        <v>4</v>
      </c>
      <c r="O2595" s="24">
        <f t="shared" si="815"/>
        <v>43800</v>
      </c>
      <c r="P2595" s="5" t="str">
        <f t="shared" si="825"/>
        <v>97.500,00</v>
      </c>
      <c r="Q2595" s="4" t="e">
        <f t="shared" ca="1" si="826"/>
        <v>#NAME?</v>
      </c>
    </row>
    <row r="2596" spans="1:17">
      <c r="A2596" s="1">
        <f t="shared" si="828"/>
        <v>2595</v>
      </c>
      <c r="B2596" s="8"/>
      <c r="C2596" s="83" t="s">
        <v>17</v>
      </c>
      <c r="D2596" s="2">
        <v>43803</v>
      </c>
      <c r="E2596" s="3">
        <v>20000</v>
      </c>
      <c r="F2596" t="s">
        <v>303</v>
      </c>
      <c r="G2596" s="18" t="s">
        <v>58</v>
      </c>
      <c r="H2596" t="s">
        <v>304</v>
      </c>
      <c r="I2596" s="6" t="s">
        <v>1088</v>
      </c>
      <c r="J2596" s="59" t="s">
        <v>22</v>
      </c>
      <c r="L2596" s="5" t="str">
        <f t="shared" si="813"/>
        <v>02595</v>
      </c>
      <c r="M2596" s="46" t="str">
        <f t="shared" si="814"/>
        <v>04 de diciembre de 2019</v>
      </c>
      <c r="N2596" s="318">
        <f t="shared" si="819"/>
        <v>4</v>
      </c>
      <c r="O2596" s="24">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1106</v>
      </c>
      <c r="J2597" s="59" t="s">
        <v>22</v>
      </c>
      <c r="L2597" s="5" t="str">
        <f t="shared" si="813"/>
        <v>02596</v>
      </c>
      <c r="M2597" s="46" t="str">
        <f t="shared" si="814"/>
        <v>05 de diciembre de 2019</v>
      </c>
      <c r="N2597" s="318">
        <f t="shared" si="819"/>
        <v>5</v>
      </c>
      <c r="O2597" s="24">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2" t="s">
        <v>1048</v>
      </c>
      <c r="H2598" t="s">
        <v>105</v>
      </c>
      <c r="I2598" s="6" t="s">
        <v>1101</v>
      </c>
      <c r="J2598" s="59" t="s">
        <v>22</v>
      </c>
      <c r="L2598" s="5" t="str">
        <f t="shared" si="813"/>
        <v>02597</v>
      </c>
      <c r="M2598" s="46" t="str">
        <f t="shared" si="814"/>
        <v>06 de diciembre de 2019</v>
      </c>
      <c r="N2598" s="318">
        <f t="shared" si="819"/>
        <v>6</v>
      </c>
      <c r="O2598" s="24">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1080</v>
      </c>
      <c r="J2599" s="59" t="s">
        <v>22</v>
      </c>
      <c r="L2599" s="5" t="str">
        <f t="shared" si="813"/>
        <v>02598</v>
      </c>
      <c r="M2599" s="46" t="str">
        <f t="shared" si="814"/>
        <v>06 de diciembre de 2019</v>
      </c>
      <c r="N2599" s="318">
        <f t="shared" si="819"/>
        <v>6</v>
      </c>
      <c r="O2599" s="24">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1101</v>
      </c>
      <c r="J2600" s="59" t="s">
        <v>22</v>
      </c>
      <c r="L2600" s="5" t="str">
        <f t="shared" si="813"/>
        <v>02599</v>
      </c>
      <c r="M2600" s="46" t="str">
        <f t="shared" si="814"/>
        <v>06 de diciembre de 2019</v>
      </c>
      <c r="N2600" s="318">
        <f t="shared" si="819"/>
        <v>6</v>
      </c>
      <c r="O2600" s="24">
        <f t="shared" si="815"/>
        <v>43800</v>
      </c>
      <c r="P2600" s="5" t="str">
        <f t="shared" si="825"/>
        <v>97.500,00</v>
      </c>
      <c r="Q2600" s="4" t="e">
        <f t="shared" ca="1" si="826"/>
        <v>#NAME?</v>
      </c>
    </row>
    <row r="2601" spans="1:17">
      <c r="A2601" s="316">
        <f t="shared" ref="A2601" si="830">A2600+1</f>
        <v>2600</v>
      </c>
      <c r="B2601" s="12"/>
      <c r="C2601" s="12" t="s">
        <v>225</v>
      </c>
      <c r="D2601" s="17">
        <v>43806</v>
      </c>
      <c r="E2601" s="13">
        <v>195000</v>
      </c>
      <c r="F2601" s="14" t="s">
        <v>999</v>
      </c>
      <c r="G2601" s="14" t="s">
        <v>1000</v>
      </c>
      <c r="H2601" s="14" t="s">
        <v>1001</v>
      </c>
      <c r="I2601" s="15" t="s">
        <v>1111</v>
      </c>
      <c r="J2601" s="60" t="s">
        <v>426</v>
      </c>
      <c r="K2601" s="16"/>
      <c r="L2601" s="5" t="str">
        <f t="shared" si="813"/>
        <v>02600</v>
      </c>
      <c r="M2601" s="46" t="str">
        <f t="shared" si="814"/>
        <v>07 de diciembre de 2019</v>
      </c>
      <c r="N2601" s="318">
        <f t="shared" si="819"/>
        <v>7</v>
      </c>
      <c r="O2601" s="24">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1101</v>
      </c>
      <c r="J2602" s="59" t="s">
        <v>22</v>
      </c>
      <c r="L2602" s="5" t="str">
        <f t="shared" si="813"/>
        <v>02601</v>
      </c>
      <c r="M2602" s="46" t="str">
        <f t="shared" si="814"/>
        <v>07 de diciembre de 2019</v>
      </c>
      <c r="N2602" s="318">
        <f t="shared" si="819"/>
        <v>7</v>
      </c>
      <c r="O2602" s="24">
        <f t="shared" si="815"/>
        <v>43800</v>
      </c>
      <c r="P2602" s="5" t="str">
        <f t="shared" si="825"/>
        <v>148.000,00</v>
      </c>
      <c r="Q2602" s="4" t="e">
        <f t="shared" ca="1" si="826"/>
        <v>#NAME?</v>
      </c>
    </row>
    <row r="2603" spans="1:17">
      <c r="A2603" s="1">
        <f>A2602+1</f>
        <v>2602</v>
      </c>
      <c r="B2603" s="8"/>
      <c r="C2603" s="8" t="s">
        <v>17</v>
      </c>
      <c r="D2603" s="2">
        <v>43806</v>
      </c>
      <c r="E2603" s="3">
        <v>195000</v>
      </c>
      <c r="F2603" t="s">
        <v>999</v>
      </c>
      <c r="G2603" t="s">
        <v>1000</v>
      </c>
      <c r="H2603" t="s">
        <v>1001</v>
      </c>
      <c r="I2603" s="6" t="s">
        <v>1098</v>
      </c>
      <c r="J2603" s="59" t="s">
        <v>22</v>
      </c>
      <c r="L2603" s="5" t="str">
        <f t="shared" ref="L2603:L2608" si="831">IF(ISBLANK(A2603),"",TEXT(A2603,"00000"))</f>
        <v>02602</v>
      </c>
      <c r="M2603" s="46" t="str">
        <f t="shared" ref="M2603:M2608" si="832">IF(ISBLANK(D2603),"",TEXT(D2603,"dd")&amp;" de "&amp;TEXT(D2603,"mmmm")&amp;" de "&amp;TEXT(YEAR(D2603),"0"))</f>
        <v>07 de diciembre de 2019</v>
      </c>
      <c r="N2603" s="318">
        <f t="shared" ref="N2603:N2608" si="833">DAY(D2603)</f>
        <v>7</v>
      </c>
      <c r="O2603" s="24">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1101</v>
      </c>
      <c r="J2604" s="59" t="s">
        <v>22</v>
      </c>
      <c r="L2604" s="5" t="str">
        <f t="shared" si="831"/>
        <v>02603</v>
      </c>
      <c r="M2604" s="46" t="str">
        <f t="shared" si="832"/>
        <v>09 de diciembre de 2019</v>
      </c>
      <c r="N2604" s="318">
        <f t="shared" si="833"/>
        <v>9</v>
      </c>
      <c r="O2604" s="24">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1101</v>
      </c>
      <c r="J2605" s="59" t="s">
        <v>22</v>
      </c>
      <c r="L2605" s="5" t="str">
        <f t="shared" si="831"/>
        <v>02604</v>
      </c>
      <c r="M2605" s="46" t="str">
        <f t="shared" si="832"/>
        <v>09 de diciembre de 2019</v>
      </c>
      <c r="N2605" s="318">
        <f t="shared" si="833"/>
        <v>9</v>
      </c>
      <c r="O2605" s="24">
        <f t="shared" si="834"/>
        <v>43800</v>
      </c>
      <c r="P2605" s="5" t="str">
        <f t="shared" si="835"/>
        <v>105.250,00</v>
      </c>
      <c r="Q2605" s="4" t="e">
        <f t="shared" ca="1" si="836"/>
        <v>#NAME?</v>
      </c>
    </row>
    <row r="2606" spans="1:17">
      <c r="A2606" s="1">
        <f>A2605+1</f>
        <v>2605</v>
      </c>
      <c r="C2606" s="83" t="s">
        <v>17</v>
      </c>
      <c r="D2606" s="2">
        <v>43802</v>
      </c>
      <c r="E2606" s="3">
        <v>97500</v>
      </c>
      <c r="F2606" t="s">
        <v>40</v>
      </c>
      <c r="G2606" s="18" t="s">
        <v>58</v>
      </c>
      <c r="H2606" t="s">
        <v>42</v>
      </c>
      <c r="I2606" t="s">
        <v>1101</v>
      </c>
      <c r="J2606" s="59" t="s">
        <v>22</v>
      </c>
      <c r="L2606" s="5" t="str">
        <f t="shared" si="831"/>
        <v>02605</v>
      </c>
      <c r="M2606" s="46" t="str">
        <f t="shared" si="832"/>
        <v>03 de diciembre de 2019</v>
      </c>
      <c r="N2606" s="318">
        <f t="shared" si="833"/>
        <v>3</v>
      </c>
      <c r="O2606" s="24">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1112</v>
      </c>
      <c r="J2607" s="59" t="s">
        <v>22</v>
      </c>
      <c r="L2607" s="5" t="str">
        <f t="shared" si="831"/>
        <v>02606</v>
      </c>
      <c r="M2607" s="46" t="str">
        <f t="shared" si="832"/>
        <v>10 de diciembre de 2019</v>
      </c>
      <c r="N2607" s="318">
        <f t="shared" si="833"/>
        <v>10</v>
      </c>
      <c r="O2607" s="24">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1113</v>
      </c>
      <c r="J2608" s="59" t="s">
        <v>22</v>
      </c>
      <c r="L2608" s="5" t="str">
        <f t="shared" si="831"/>
        <v>02607</v>
      </c>
      <c r="M2608" s="46" t="str">
        <f t="shared" si="832"/>
        <v>11 de diciembre de 2019</v>
      </c>
      <c r="N2608" s="318">
        <f t="shared" si="833"/>
        <v>11</v>
      </c>
      <c r="O2608" s="24">
        <f t="shared" si="834"/>
        <v>43800</v>
      </c>
      <c r="P2608" s="5" t="str">
        <f t="shared" si="835"/>
        <v>105.250,00</v>
      </c>
      <c r="Q2608" s="4" t="e">
        <f t="shared" ca="1" si="836"/>
        <v>#NAME?</v>
      </c>
    </row>
    <row r="2609" spans="1:17">
      <c r="A2609" s="1">
        <f t="shared" si="838"/>
        <v>2608</v>
      </c>
      <c r="B2609" s="8"/>
      <c r="C2609" s="8" t="s">
        <v>17</v>
      </c>
      <c r="D2609" s="2">
        <v>43810</v>
      </c>
      <c r="E2609" s="3">
        <v>2387000</v>
      </c>
      <c r="F2609" t="s">
        <v>1114</v>
      </c>
      <c r="G2609" t="s">
        <v>1115</v>
      </c>
      <c r="H2609" t="s">
        <v>1116</v>
      </c>
      <c r="I2609" s="6" t="s">
        <v>1117</v>
      </c>
      <c r="J2609" s="59" t="s">
        <v>22</v>
      </c>
      <c r="L2609" s="5" t="str">
        <f t="shared" ref="L2609" si="839">IF(ISBLANK(A2609),"",TEXT(A2609,"00000"))</f>
        <v>02608</v>
      </c>
      <c r="M2609" s="46" t="str">
        <f t="shared" ref="M2609" si="840">IF(ISBLANK(D2609),"",TEXT(D2609,"dd")&amp;" de "&amp;TEXT(D2609,"mmmm")&amp;" de "&amp;TEXT(YEAR(D2609),"0"))</f>
        <v>11 de diciembre de 2019</v>
      </c>
      <c r="N2609" s="318">
        <f t="shared" ref="N2609" si="841">DAY(D2609)</f>
        <v>11</v>
      </c>
      <c r="O2609" s="24">
        <f t="shared" ref="O2609" si="842">DATE(YEAR(D2609),MONTH(D2609),1)</f>
        <v>43800</v>
      </c>
      <c r="P2609" s="5" t="str">
        <f t="shared" ref="P2609" si="843">TEXT(E2609,"#.##0,00")</f>
        <v>2.387.000,00</v>
      </c>
      <c r="Q2609" s="4" t="e">
        <f t="shared" ref="Q2609" ca="1" si="844">CONVERTIRNUM(E2609)</f>
        <v>#NAME?</v>
      </c>
    </row>
    <row r="2610" spans="1:17">
      <c r="A2610" s="592">
        <f>A2609+1</f>
        <v>2609</v>
      </c>
      <c r="B2610" s="593"/>
      <c r="C2610" s="593" t="s">
        <v>225</v>
      </c>
      <c r="D2610" s="594">
        <v>43810</v>
      </c>
      <c r="E2610" s="595">
        <v>2387000</v>
      </c>
      <c r="F2610" s="596" t="s">
        <v>1114</v>
      </c>
      <c r="G2610" s="596" t="s">
        <v>1115</v>
      </c>
      <c r="H2610" s="596" t="s">
        <v>1116</v>
      </c>
      <c r="I2610" s="597" t="s">
        <v>1118</v>
      </c>
      <c r="J2610" s="598" t="s">
        <v>1119</v>
      </c>
      <c r="K2610" s="599"/>
      <c r="L2610" s="5" t="str">
        <f t="shared" ref="L2610:L2629" si="845">IF(ISBLANK(A2610),"",TEXT(A2610,"00000"))</f>
        <v>02609</v>
      </c>
      <c r="M2610" s="46" t="str">
        <f t="shared" ref="M2610:M2629" si="846">IF(ISBLANK(D2610),"",TEXT(D2610,"dd")&amp;" de "&amp;TEXT(D2610,"mmmm")&amp;" de "&amp;TEXT(YEAR(D2610),"0"))</f>
        <v>11 de diciembre de 2019</v>
      </c>
      <c r="N2610" s="318">
        <f t="shared" ref="N2610:N2629" si="847">DAY(D2610)</f>
        <v>11</v>
      </c>
      <c r="O2610" s="24">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1083</v>
      </c>
      <c r="J2611" s="59" t="s">
        <v>22</v>
      </c>
      <c r="L2611" s="5" t="str">
        <f t="shared" si="845"/>
        <v>02610</v>
      </c>
      <c r="M2611" s="46" t="str">
        <f t="shared" si="846"/>
        <v>12 de diciembre de 2019</v>
      </c>
      <c r="N2611" s="318">
        <f t="shared" si="847"/>
        <v>12</v>
      </c>
      <c r="O2611" s="24">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1101</v>
      </c>
      <c r="J2612" s="59" t="s">
        <v>22</v>
      </c>
      <c r="L2612" s="5" t="str">
        <f t="shared" si="845"/>
        <v>02611</v>
      </c>
      <c r="M2612" s="46" t="str">
        <f t="shared" si="846"/>
        <v>12 de diciembre de 2019</v>
      </c>
      <c r="N2612" s="318">
        <f t="shared" si="847"/>
        <v>12</v>
      </c>
      <c r="O2612" s="24">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1101</v>
      </c>
      <c r="J2613" s="59" t="s">
        <v>22</v>
      </c>
      <c r="L2613" s="5" t="str">
        <f t="shared" si="845"/>
        <v>02612</v>
      </c>
      <c r="M2613" s="46" t="str">
        <f t="shared" si="846"/>
        <v>12 de diciembre de 2019</v>
      </c>
      <c r="N2613" s="318">
        <f t="shared" si="847"/>
        <v>12</v>
      </c>
      <c r="O2613" s="24">
        <f t="shared" si="848"/>
        <v>43800</v>
      </c>
      <c r="P2613" s="5" t="str">
        <f t="shared" si="849"/>
        <v>105.250,00</v>
      </c>
      <c r="Q2613" s="4" t="e">
        <f t="shared" ca="1" si="850"/>
        <v>#NAME?</v>
      </c>
    </row>
    <row r="2614" spans="1:17">
      <c r="A2614" s="1">
        <f>A2613+1</f>
        <v>2613</v>
      </c>
      <c r="B2614" s="8"/>
      <c r="C2614" s="83" t="s">
        <v>17</v>
      </c>
      <c r="D2614" s="2">
        <v>43807</v>
      </c>
      <c r="E2614" s="3">
        <v>141375</v>
      </c>
      <c r="F2614" s="22" t="s">
        <v>422</v>
      </c>
      <c r="G2614" s="18" t="s">
        <v>58</v>
      </c>
      <c r="H2614" t="s">
        <v>423</v>
      </c>
      <c r="I2614" s="6" t="s">
        <v>1101</v>
      </c>
      <c r="J2614" s="59" t="s">
        <v>22</v>
      </c>
      <c r="L2614" s="5" t="str">
        <f t="shared" si="845"/>
        <v>02613</v>
      </c>
      <c r="M2614" s="46" t="str">
        <f t="shared" si="846"/>
        <v>08 de diciembre de 2019</v>
      </c>
      <c r="N2614" s="318">
        <f t="shared" si="847"/>
        <v>8</v>
      </c>
      <c r="O2614" s="24">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1037</v>
      </c>
      <c r="H2615" t="s">
        <v>344</v>
      </c>
      <c r="I2615" s="6" t="s">
        <v>1101</v>
      </c>
      <c r="J2615" s="59" t="s">
        <v>22</v>
      </c>
      <c r="L2615" s="5" t="str">
        <f t="shared" si="845"/>
        <v>02614</v>
      </c>
      <c r="M2615" s="46" t="str">
        <f t="shared" si="846"/>
        <v>13 de diciembre de 2019</v>
      </c>
      <c r="N2615" s="318">
        <f t="shared" si="847"/>
        <v>13</v>
      </c>
      <c r="O2615" s="24">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1101</v>
      </c>
      <c r="J2616" s="59" t="s">
        <v>22</v>
      </c>
      <c r="L2616" s="5" t="str">
        <f t="shared" si="845"/>
        <v>02615</v>
      </c>
      <c r="M2616" s="46" t="str">
        <f t="shared" si="846"/>
        <v>13 de diciembre de 2019</v>
      </c>
      <c r="N2616" s="318">
        <f t="shared" si="847"/>
        <v>13</v>
      </c>
      <c r="O2616" s="24">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942</v>
      </c>
      <c r="H2617" t="s">
        <v>179</v>
      </c>
      <c r="I2617" s="6" t="s">
        <v>1120</v>
      </c>
      <c r="J2617" s="59" t="s">
        <v>22</v>
      </c>
      <c r="L2617" s="5" t="str">
        <f t="shared" si="845"/>
        <v>02616</v>
      </c>
      <c r="M2617" s="46" t="str">
        <f t="shared" si="846"/>
        <v>13 de diciembre de 2019</v>
      </c>
      <c r="N2617" s="318">
        <f t="shared" si="847"/>
        <v>13</v>
      </c>
      <c r="O2617" s="24">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1101</v>
      </c>
      <c r="J2618" s="59" t="s">
        <v>22</v>
      </c>
      <c r="L2618" s="5" t="str">
        <f t="shared" si="845"/>
        <v>02617</v>
      </c>
      <c r="M2618" s="46" t="str">
        <f t="shared" si="846"/>
        <v>17 de diciembre de 2019</v>
      </c>
      <c r="N2618" s="318">
        <f t="shared" si="847"/>
        <v>17</v>
      </c>
      <c r="O2618" s="24">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1101</v>
      </c>
      <c r="J2619" s="59" t="s">
        <v>22</v>
      </c>
      <c r="L2619" s="5" t="str">
        <f t="shared" si="845"/>
        <v>02618</v>
      </c>
      <c r="M2619" s="46" t="str">
        <f t="shared" si="846"/>
        <v>05 de diciembre de 2019</v>
      </c>
      <c r="N2619" s="318">
        <f t="shared" si="847"/>
        <v>5</v>
      </c>
      <c r="O2619" s="24">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1101</v>
      </c>
      <c r="J2620" s="59" t="s">
        <v>22</v>
      </c>
      <c r="L2620" s="5" t="str">
        <f t="shared" si="845"/>
        <v>02619</v>
      </c>
      <c r="M2620" s="46" t="str">
        <f t="shared" si="846"/>
        <v>06 de diciembre de 2019</v>
      </c>
      <c r="N2620" s="318">
        <f t="shared" si="847"/>
        <v>6</v>
      </c>
      <c r="O2620" s="24">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1101</v>
      </c>
      <c r="J2621" s="59" t="s">
        <v>22</v>
      </c>
      <c r="L2621" s="5" t="str">
        <f t="shared" si="845"/>
        <v>02620</v>
      </c>
      <c r="M2621" s="46" t="str">
        <f t="shared" si="846"/>
        <v>19 de diciembre de 2019</v>
      </c>
      <c r="N2621" s="318">
        <f t="shared" si="847"/>
        <v>19</v>
      </c>
      <c r="O2621" s="24">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1121</v>
      </c>
      <c r="J2622" s="59" t="s">
        <v>22</v>
      </c>
      <c r="L2622" s="5" t="str">
        <f t="shared" si="845"/>
        <v>02621</v>
      </c>
      <c r="M2622" s="46" t="str">
        <f t="shared" si="846"/>
        <v>20 de diciembre de 2019</v>
      </c>
      <c r="N2622" s="318">
        <f t="shared" si="847"/>
        <v>20</v>
      </c>
      <c r="O2622" s="24">
        <f t="shared" si="848"/>
        <v>43800</v>
      </c>
      <c r="P2622" s="5" t="str">
        <f t="shared" si="849"/>
        <v>106.000,00</v>
      </c>
      <c r="Q2622" s="4" t="e">
        <f t="shared" ca="1" si="850"/>
        <v>#NAME?</v>
      </c>
    </row>
    <row r="2623" spans="1:17">
      <c r="A2623" s="1">
        <f t="shared" si="854"/>
        <v>2622</v>
      </c>
      <c r="B2623" s="8"/>
      <c r="C2623" s="8" t="s">
        <v>17</v>
      </c>
      <c r="D2623" s="2">
        <v>43819</v>
      </c>
      <c r="E2623" s="3">
        <v>105250</v>
      </c>
      <c r="F2623" t="s">
        <v>1018</v>
      </c>
      <c r="G2623" s="447" t="s">
        <v>1019</v>
      </c>
      <c r="H2623" t="s">
        <v>140</v>
      </c>
      <c r="I2623" s="6" t="s">
        <v>1101</v>
      </c>
      <c r="J2623" s="59" t="s">
        <v>22</v>
      </c>
      <c r="L2623" s="5" t="str">
        <f t="shared" si="845"/>
        <v>02622</v>
      </c>
      <c r="M2623" s="46" t="str">
        <f t="shared" si="846"/>
        <v>20 de diciembre de 2019</v>
      </c>
      <c r="N2623" s="318">
        <f t="shared" si="847"/>
        <v>20</v>
      </c>
      <c r="O2623" s="24">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1101</v>
      </c>
      <c r="J2624" s="59" t="s">
        <v>22</v>
      </c>
      <c r="L2624" s="5" t="str">
        <f t="shared" si="845"/>
        <v>02623</v>
      </c>
      <c r="M2624" s="46" t="str">
        <f t="shared" si="846"/>
        <v>19 de diciembre de 2019</v>
      </c>
      <c r="N2624" s="318">
        <f t="shared" si="847"/>
        <v>19</v>
      </c>
      <c r="O2624" s="24">
        <f t="shared" si="848"/>
        <v>43800</v>
      </c>
      <c r="P2624" s="5" t="str">
        <f t="shared" si="849"/>
        <v>105.250,00</v>
      </c>
      <c r="Q2624" s="4" t="e">
        <f t="shared" ca="1" si="850"/>
        <v>#NAME?</v>
      </c>
    </row>
    <row r="2625" spans="1:17">
      <c r="A2625" s="316">
        <f t="shared" ref="A2625:A2629" si="855">A2624+1</f>
        <v>2624</v>
      </c>
      <c r="B2625" s="12"/>
      <c r="C2625" s="12" t="s">
        <v>225</v>
      </c>
      <c r="D2625" s="17">
        <v>43820</v>
      </c>
      <c r="E2625" s="13">
        <v>105250</v>
      </c>
      <c r="F2625" s="14" t="s">
        <v>215</v>
      </c>
      <c r="G2625" s="14" t="s">
        <v>1102</v>
      </c>
      <c r="H2625" s="14" t="s">
        <v>217</v>
      </c>
      <c r="I2625" s="15" t="s">
        <v>1101</v>
      </c>
      <c r="J2625" s="60" t="s">
        <v>426</v>
      </c>
      <c r="K2625" s="16"/>
      <c r="L2625" s="5" t="str">
        <f t="shared" si="845"/>
        <v>02624</v>
      </c>
      <c r="M2625" s="46" t="str">
        <f t="shared" si="846"/>
        <v>21 de diciembre de 2019</v>
      </c>
      <c r="N2625" s="318">
        <f t="shared" si="847"/>
        <v>21</v>
      </c>
      <c r="O2625" s="24">
        <f t="shared" si="848"/>
        <v>43800</v>
      </c>
      <c r="P2625" s="5" t="str">
        <f t="shared" si="849"/>
        <v>105.250,00</v>
      </c>
      <c r="Q2625" s="4" t="e">
        <f t="shared" ca="1" si="850"/>
        <v>#NAME?</v>
      </c>
    </row>
    <row r="2626" spans="1:17">
      <c r="A2626" s="1">
        <f t="shared" si="855"/>
        <v>2625</v>
      </c>
      <c r="B2626" s="8"/>
      <c r="C2626" s="8" t="s">
        <v>17</v>
      </c>
      <c r="D2626" s="2">
        <v>43820</v>
      </c>
      <c r="E2626" s="3">
        <v>105250</v>
      </c>
      <c r="F2626" t="s">
        <v>844</v>
      </c>
      <c r="G2626" t="s">
        <v>845</v>
      </c>
      <c r="H2626" t="s">
        <v>169</v>
      </c>
      <c r="I2626" s="6" t="s">
        <v>1101</v>
      </c>
      <c r="J2626" s="59" t="s">
        <v>22</v>
      </c>
      <c r="L2626" s="5" t="str">
        <f t="shared" si="845"/>
        <v>02625</v>
      </c>
      <c r="M2626" s="46" t="str">
        <f t="shared" si="846"/>
        <v>21 de diciembre de 2019</v>
      </c>
      <c r="N2626" s="318">
        <f t="shared" si="847"/>
        <v>21</v>
      </c>
      <c r="O2626" s="24">
        <f t="shared" si="848"/>
        <v>43800</v>
      </c>
      <c r="P2626" s="5" t="str">
        <f t="shared" si="849"/>
        <v>105.250,00</v>
      </c>
      <c r="Q2626" s="4" t="e">
        <f t="shared" ca="1" si="850"/>
        <v>#NAME?</v>
      </c>
    </row>
    <row r="2627" spans="1:17">
      <c r="A2627" s="1">
        <f t="shared" si="855"/>
        <v>2626</v>
      </c>
      <c r="B2627" s="8"/>
      <c r="C2627" s="83" t="s">
        <v>17</v>
      </c>
      <c r="D2627" s="2">
        <v>43822</v>
      </c>
      <c r="E2627" s="3">
        <f>210000+500</f>
        <v>210500</v>
      </c>
      <c r="F2627" t="s">
        <v>319</v>
      </c>
      <c r="G2627" s="18" t="s">
        <v>58</v>
      </c>
      <c r="H2627" t="s">
        <v>320</v>
      </c>
      <c r="I2627" s="6" t="s">
        <v>1098</v>
      </c>
      <c r="J2627" s="59" t="s">
        <v>22</v>
      </c>
      <c r="L2627" s="5" t="str">
        <f t="shared" si="845"/>
        <v>02626</v>
      </c>
      <c r="M2627" s="46" t="str">
        <f t="shared" si="846"/>
        <v>23 de diciembre de 2019</v>
      </c>
      <c r="N2627" s="318">
        <f t="shared" si="847"/>
        <v>23</v>
      </c>
      <c r="O2627" s="24">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47" t="s">
        <v>959</v>
      </c>
      <c r="H2628" t="s">
        <v>254</v>
      </c>
      <c r="I2628" s="6" t="s">
        <v>1106</v>
      </c>
      <c r="J2628" s="59" t="s">
        <v>22</v>
      </c>
      <c r="L2628" s="5" t="str">
        <f t="shared" si="845"/>
        <v>02627</v>
      </c>
      <c r="M2628" s="46" t="str">
        <f t="shared" si="846"/>
        <v>13 de diciembre de 2019</v>
      </c>
      <c r="N2628" s="318">
        <f t="shared" si="847"/>
        <v>13</v>
      </c>
      <c r="O2628" s="24">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1101</v>
      </c>
      <c r="J2629" s="59" t="s">
        <v>22</v>
      </c>
      <c r="L2629" s="5" t="str">
        <f t="shared" si="845"/>
        <v>02628</v>
      </c>
      <c r="M2629" s="46" t="str">
        <f t="shared" si="846"/>
        <v>26 de diciembre de 2019</v>
      </c>
      <c r="N2629" s="318">
        <f t="shared" si="847"/>
        <v>26</v>
      </c>
      <c r="O2629" s="24">
        <f t="shared" si="848"/>
        <v>43800</v>
      </c>
      <c r="P2629" s="5" t="str">
        <f t="shared" si="849"/>
        <v>105.250,00</v>
      </c>
      <c r="Q2629" s="4" t="e">
        <f t="shared" ca="1" si="850"/>
        <v>#NAME?</v>
      </c>
    </row>
    <row r="2630" spans="1:17">
      <c r="A2630" s="1">
        <f>A2629+1</f>
        <v>2629</v>
      </c>
      <c r="B2630" s="8"/>
      <c r="C2630" s="8" t="s">
        <v>17</v>
      </c>
      <c r="D2630" s="2">
        <v>43825</v>
      </c>
      <c r="E2630" s="3">
        <v>20000</v>
      </c>
      <c r="F2630" t="s">
        <v>252</v>
      </c>
      <c r="G2630" s="447" t="s">
        <v>959</v>
      </c>
      <c r="H2630" t="s">
        <v>254</v>
      </c>
      <c r="I2630" s="6" t="s">
        <v>1106</v>
      </c>
      <c r="J2630" s="59" t="s">
        <v>22</v>
      </c>
      <c r="L2630" s="5" t="str">
        <f t="shared" ref="L2630:L2644" si="856">IF(ISBLANK(A2630),"",TEXT(A2630,"00000"))</f>
        <v>02629</v>
      </c>
      <c r="M2630" s="46" t="str">
        <f t="shared" ref="M2630:M2644" si="857">IF(ISBLANK(D2630),"",TEXT(D2630,"dd")&amp;" de "&amp;TEXT(D2630,"mmmm")&amp;" de "&amp;TEXT(YEAR(D2630),"0"))</f>
        <v>26 de diciembre de 2019</v>
      </c>
      <c r="N2630" s="318">
        <f t="shared" ref="N2630:N2658" si="858">DAY(D2630)</f>
        <v>26</v>
      </c>
      <c r="O2630" s="24">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1101</v>
      </c>
      <c r="J2631" s="59" t="s">
        <v>22</v>
      </c>
      <c r="L2631" s="5" t="str">
        <f t="shared" si="856"/>
        <v>02630</v>
      </c>
      <c r="M2631" s="46" t="str">
        <f t="shared" si="857"/>
        <v>21 de diciembre de 2019</v>
      </c>
      <c r="N2631" s="318">
        <f t="shared" si="858"/>
        <v>21</v>
      </c>
      <c r="O2631" s="24">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1122</v>
      </c>
      <c r="J2632" s="59" t="s">
        <v>22</v>
      </c>
      <c r="L2632" s="5" t="str">
        <f t="shared" si="856"/>
        <v>02631</v>
      </c>
      <c r="M2632" s="46" t="str">
        <f t="shared" si="857"/>
        <v>30 de diciembre de 2019</v>
      </c>
      <c r="N2632" s="318">
        <f t="shared" si="858"/>
        <v>30</v>
      </c>
      <c r="O2632" s="24">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1101</v>
      </c>
      <c r="J2633" s="59" t="s">
        <v>22</v>
      </c>
      <c r="L2633" s="5" t="str">
        <f t="shared" si="856"/>
        <v>02632</v>
      </c>
      <c r="M2633" s="46" t="str">
        <f t="shared" si="857"/>
        <v>30 de diciembre de 2019</v>
      </c>
      <c r="N2633" s="318">
        <f t="shared" si="858"/>
        <v>30</v>
      </c>
      <c r="O2633" s="24">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1123</v>
      </c>
      <c r="J2634" s="59" t="s">
        <v>22</v>
      </c>
      <c r="L2634" s="5" t="str">
        <f t="shared" si="856"/>
        <v>02633</v>
      </c>
      <c r="M2634" s="46" t="str">
        <f t="shared" si="857"/>
        <v>08 de diciembre de 2019</v>
      </c>
      <c r="N2634" s="318">
        <f t="shared" si="858"/>
        <v>8</v>
      </c>
      <c r="O2634" s="24">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1106</v>
      </c>
      <c r="J2635" s="59" t="s">
        <v>22</v>
      </c>
      <c r="L2635" s="5" t="str">
        <f t="shared" si="856"/>
        <v>02634</v>
      </c>
      <c r="M2635" s="46" t="str">
        <f t="shared" si="857"/>
        <v>01 de enero de 2020</v>
      </c>
      <c r="N2635" s="318">
        <f t="shared" si="858"/>
        <v>1</v>
      </c>
      <c r="O2635" s="24">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1122</v>
      </c>
      <c r="J2636" s="59" t="s">
        <v>22</v>
      </c>
      <c r="L2636" s="5" t="str">
        <f t="shared" si="856"/>
        <v>02635</v>
      </c>
      <c r="M2636" s="46" t="str">
        <f t="shared" si="857"/>
        <v>04 de enero de 2020</v>
      </c>
      <c r="N2636" s="318">
        <f t="shared" si="858"/>
        <v>4</v>
      </c>
      <c r="O2636" s="24">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2" t="s">
        <v>1048</v>
      </c>
      <c r="H2637" t="s">
        <v>105</v>
      </c>
      <c r="I2637" s="6" t="s">
        <v>1122</v>
      </c>
      <c r="J2637" s="59" t="s">
        <v>22</v>
      </c>
      <c r="L2637" s="5" t="str">
        <f t="shared" si="856"/>
        <v>02636</v>
      </c>
      <c r="M2637" s="46" t="str">
        <f t="shared" si="857"/>
        <v>04 de enero de 2020</v>
      </c>
      <c r="N2637" s="318">
        <f t="shared" si="858"/>
        <v>4</v>
      </c>
      <c r="O2637" s="24">
        <f t="shared" si="859"/>
        <v>43831</v>
      </c>
      <c r="P2637" s="5" t="str">
        <f t="shared" si="860"/>
        <v>136.250,00</v>
      </c>
      <c r="Q2637" s="4" t="e">
        <f t="shared" ca="1" si="863"/>
        <v>#NAME?</v>
      </c>
    </row>
    <row r="2638" spans="1:17">
      <c r="A2638" s="1">
        <f>A2637+1</f>
        <v>2637</v>
      </c>
      <c r="C2638" s="8" t="s">
        <v>17</v>
      </c>
      <c r="D2638" s="2">
        <v>43834</v>
      </c>
      <c r="E2638" s="3">
        <v>136250</v>
      </c>
      <c r="F2638" t="s">
        <v>1005</v>
      </c>
      <c r="G2638" t="s">
        <v>1006</v>
      </c>
      <c r="H2638" t="s">
        <v>539</v>
      </c>
      <c r="I2638" s="6" t="s">
        <v>1122</v>
      </c>
      <c r="J2638" s="59" t="s">
        <v>22</v>
      </c>
      <c r="L2638" s="5" t="str">
        <f t="shared" si="856"/>
        <v>02637</v>
      </c>
      <c r="M2638" s="46" t="str">
        <f t="shared" si="857"/>
        <v>04 de enero de 2020</v>
      </c>
      <c r="N2638" s="318">
        <f t="shared" si="858"/>
        <v>4</v>
      </c>
      <c r="O2638" s="24">
        <f t="shared" si="859"/>
        <v>43831</v>
      </c>
      <c r="P2638" s="5" t="str">
        <f t="shared" si="860"/>
        <v>136.250,00</v>
      </c>
      <c r="Q2638" s="4" t="e">
        <f t="shared" ca="1" si="863"/>
        <v>#NAME?</v>
      </c>
    </row>
    <row r="2639" spans="1:17">
      <c r="A2639" s="1">
        <f t="shared" ref="A2639" si="865">A2638+1</f>
        <v>2638</v>
      </c>
      <c r="B2639" s="8"/>
      <c r="C2639" s="83" t="s">
        <v>17</v>
      </c>
      <c r="D2639" s="2">
        <v>43834</v>
      </c>
      <c r="E2639" s="3">
        <v>136250</v>
      </c>
      <c r="F2639" t="s">
        <v>259</v>
      </c>
      <c r="G2639" s="18" t="s">
        <v>58</v>
      </c>
      <c r="H2639" t="s">
        <v>261</v>
      </c>
      <c r="I2639" s="6" t="s">
        <v>1101</v>
      </c>
      <c r="J2639" s="59" t="s">
        <v>22</v>
      </c>
      <c r="L2639" s="5" t="str">
        <f t="shared" si="856"/>
        <v>02638</v>
      </c>
      <c r="M2639" s="46" t="str">
        <f t="shared" si="857"/>
        <v>04 de enero de 2020</v>
      </c>
      <c r="N2639" s="318">
        <f t="shared" si="858"/>
        <v>4</v>
      </c>
      <c r="O2639" s="24">
        <f t="shared" si="859"/>
        <v>43831</v>
      </c>
      <c r="P2639" s="5" t="str">
        <f t="shared" si="860"/>
        <v>136.250,00</v>
      </c>
      <c r="Q2639" s="4" t="e">
        <f t="shared" ca="1" si="863"/>
        <v>#NAME?</v>
      </c>
    </row>
    <row r="2640" spans="1:17">
      <c r="A2640" s="600">
        <f>A2639+1</f>
        <v>2639</v>
      </c>
      <c r="C2640" s="8" t="s">
        <v>17</v>
      </c>
      <c r="D2640" s="2">
        <v>43834</v>
      </c>
      <c r="E2640" s="3">
        <v>136250</v>
      </c>
      <c r="F2640" t="s">
        <v>454</v>
      </c>
      <c r="G2640" t="s">
        <v>761</v>
      </c>
      <c r="H2640" t="s">
        <v>455</v>
      </c>
      <c r="I2640" s="6" t="s">
        <v>1122</v>
      </c>
      <c r="J2640" s="59" t="s">
        <v>22</v>
      </c>
      <c r="L2640" s="5" t="str">
        <f t="shared" si="856"/>
        <v>02639</v>
      </c>
      <c r="M2640" s="46" t="str">
        <f t="shared" si="857"/>
        <v>04 de enero de 2020</v>
      </c>
      <c r="N2640" s="318">
        <f t="shared" si="858"/>
        <v>4</v>
      </c>
      <c r="O2640" s="24">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1124</v>
      </c>
      <c r="J2641" s="59" t="s">
        <v>22</v>
      </c>
      <c r="L2641" s="5" t="str">
        <f t="shared" si="856"/>
        <v>02640</v>
      </c>
      <c r="M2641" s="46" t="str">
        <f t="shared" si="857"/>
        <v>04 de enero de 2020</v>
      </c>
      <c r="N2641" s="318">
        <f t="shared" si="858"/>
        <v>4</v>
      </c>
      <c r="O2641" s="24">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1125</v>
      </c>
      <c r="J2642" s="59" t="s">
        <v>22</v>
      </c>
      <c r="L2642" s="5" t="str">
        <f t="shared" si="856"/>
        <v>02641</v>
      </c>
      <c r="M2642" s="46" t="str">
        <f t="shared" si="857"/>
        <v>04 de enero de 2020</v>
      </c>
      <c r="N2642" s="318">
        <f t="shared" si="858"/>
        <v>4</v>
      </c>
      <c r="O2642" s="24">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948</v>
      </c>
      <c r="G2643" t="s">
        <v>949</v>
      </c>
      <c r="H2643" t="s">
        <v>950</v>
      </c>
      <c r="I2643" s="6" t="s">
        <v>1126</v>
      </c>
      <c r="J2643" s="59" t="s">
        <v>22</v>
      </c>
      <c r="L2643" s="5" t="str">
        <f t="shared" si="856"/>
        <v>02642</v>
      </c>
      <c r="M2643" s="46" t="str">
        <f t="shared" si="857"/>
        <v>03 de enero de 2020</v>
      </c>
      <c r="N2643" s="318">
        <f t="shared" si="858"/>
        <v>3</v>
      </c>
      <c r="O2643" s="24">
        <f t="shared" si="859"/>
        <v>43831</v>
      </c>
      <c r="P2643" s="5" t="str">
        <f t="shared" si="860"/>
        <v>105.250,00</v>
      </c>
      <c r="Q2643" s="4" t="e">
        <f t="shared" ca="1" si="863"/>
        <v>#NAME?</v>
      </c>
    </row>
    <row r="2644" spans="1:17">
      <c r="A2644" s="1">
        <f t="shared" si="866"/>
        <v>2643</v>
      </c>
      <c r="C2644" s="8" t="s">
        <v>17</v>
      </c>
      <c r="D2644" s="2">
        <v>43834</v>
      </c>
      <c r="E2644" s="3">
        <v>31000</v>
      </c>
      <c r="F2644" t="s">
        <v>948</v>
      </c>
      <c r="G2644" t="s">
        <v>949</v>
      </c>
      <c r="H2644" t="s">
        <v>950</v>
      </c>
      <c r="I2644" s="6" t="s">
        <v>1127</v>
      </c>
      <c r="J2644" s="59" t="s">
        <v>22</v>
      </c>
      <c r="L2644" s="5" t="str">
        <f t="shared" si="856"/>
        <v>02643</v>
      </c>
      <c r="M2644" s="46" t="str">
        <f t="shared" si="857"/>
        <v>04 de enero de 2020</v>
      </c>
      <c r="N2644" s="318">
        <f t="shared" si="858"/>
        <v>4</v>
      </c>
      <c r="O2644" s="24">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1122</v>
      </c>
      <c r="J2645" s="59" t="s">
        <v>22</v>
      </c>
      <c r="L2645" s="5" t="str">
        <f>IF(ISBLANK(A2645),"",TEXT(A2645,"00000"))</f>
        <v>02644</v>
      </c>
      <c r="M2645" s="46" t="str">
        <f>IF(ISBLANK(D2645),"",TEXT(D2645,"dd")&amp;" de "&amp;TEXT(D2645,"mmmm")&amp;" de "&amp;TEXT(YEAR(D2645),"0"))</f>
        <v>04 de enero de 2020</v>
      </c>
      <c r="N2645" s="318">
        <f t="shared" si="858"/>
        <v>4</v>
      </c>
      <c r="O2645" s="24">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1122</v>
      </c>
      <c r="J2646" s="59" t="s">
        <v>22</v>
      </c>
      <c r="L2646" s="5" t="str">
        <f t="shared" ref="L2646:L2680" si="867">IF(ISBLANK(A2646),"",TEXT(A2646,"00000"))</f>
        <v>02645</v>
      </c>
      <c r="M2646" s="46" t="str">
        <f t="shared" ref="M2646:M2680" si="868">IF(ISBLANK(D2646),"",TEXT(D2646,"dd")&amp;" de "&amp;TEXT(D2646,"mmmm")&amp;" de "&amp;TEXT(YEAR(D2646),"0"))</f>
        <v>05 de enero de 2020</v>
      </c>
      <c r="N2646" s="318">
        <f t="shared" si="858"/>
        <v>5</v>
      </c>
      <c r="O2646" s="24">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1122</v>
      </c>
      <c r="J2647" s="59" t="s">
        <v>22</v>
      </c>
      <c r="L2647" s="5" t="str">
        <f t="shared" si="867"/>
        <v>02646</v>
      </c>
      <c r="M2647" s="46" t="str">
        <f t="shared" si="868"/>
        <v>05 de enero de 2020</v>
      </c>
      <c r="N2647" s="318">
        <f t="shared" si="858"/>
        <v>5</v>
      </c>
      <c r="O2647" s="24">
        <f t="shared" si="869"/>
        <v>43831</v>
      </c>
      <c r="P2647" s="5" t="str">
        <f t="shared" si="860"/>
        <v>136.250,00</v>
      </c>
      <c r="Q2647" s="4" t="e">
        <f t="shared" ca="1" si="863"/>
        <v>#NAME?</v>
      </c>
    </row>
    <row r="2648" spans="1:17">
      <c r="A2648" s="1">
        <f>A2647+1</f>
        <v>2647</v>
      </c>
      <c r="C2648" s="8" t="s">
        <v>17</v>
      </c>
      <c r="D2648" s="2">
        <v>43832</v>
      </c>
      <c r="E2648" s="3">
        <v>105250</v>
      </c>
      <c r="F2648" t="s">
        <v>177</v>
      </c>
      <c r="G2648" t="s">
        <v>942</v>
      </c>
      <c r="H2648" t="s">
        <v>179</v>
      </c>
      <c r="I2648" s="6" t="s">
        <v>1128</v>
      </c>
      <c r="J2648" s="59" t="s">
        <v>22</v>
      </c>
      <c r="L2648" s="5" t="str">
        <f t="shared" si="867"/>
        <v>02647</v>
      </c>
      <c r="M2648" s="46" t="str">
        <f t="shared" si="868"/>
        <v>02 de enero de 2020</v>
      </c>
      <c r="N2648" s="318">
        <f t="shared" si="858"/>
        <v>2</v>
      </c>
      <c r="O2648" s="24">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1122</v>
      </c>
      <c r="J2649" s="59" t="s">
        <v>22</v>
      </c>
      <c r="L2649" s="5" t="str">
        <f t="shared" si="867"/>
        <v>02648</v>
      </c>
      <c r="M2649" s="46" t="str">
        <f t="shared" si="868"/>
        <v>06 de enero de 2020</v>
      </c>
      <c r="N2649" s="318">
        <f t="shared" si="858"/>
        <v>6</v>
      </c>
      <c r="O2649" s="24">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1129</v>
      </c>
      <c r="J2650" s="59" t="s">
        <v>22</v>
      </c>
      <c r="L2650" s="5" t="str">
        <f t="shared" si="867"/>
        <v>02649</v>
      </c>
      <c r="M2650" s="46" t="str">
        <f t="shared" si="868"/>
        <v>06 de enero de 2020</v>
      </c>
      <c r="N2650" s="318">
        <f t="shared" si="858"/>
        <v>6</v>
      </c>
      <c r="O2650" s="24">
        <f t="shared" si="869"/>
        <v>43831</v>
      </c>
      <c r="P2650" s="5" t="str">
        <f t="shared" si="860"/>
        <v>137.000,00</v>
      </c>
      <c r="Q2650" s="4" t="e">
        <f t="shared" ca="1" si="863"/>
        <v>#NAME?</v>
      </c>
    </row>
    <row r="2651" spans="1:17">
      <c r="A2651" s="1">
        <f t="shared" ref="A2651:A2662" si="872">A2650+1</f>
        <v>2650</v>
      </c>
      <c r="C2651" s="83" t="s">
        <v>17</v>
      </c>
      <c r="D2651" s="2">
        <v>43836</v>
      </c>
      <c r="E2651" s="3">
        <v>136250</v>
      </c>
      <c r="F2651" t="s">
        <v>40</v>
      </c>
      <c r="G2651" s="18" t="s">
        <v>58</v>
      </c>
      <c r="H2651" t="s">
        <v>42</v>
      </c>
      <c r="I2651" s="6" t="s">
        <v>1122</v>
      </c>
      <c r="J2651" s="59" t="s">
        <v>22</v>
      </c>
      <c r="L2651" s="5" t="str">
        <f t="shared" si="867"/>
        <v>02650</v>
      </c>
      <c r="M2651" s="46" t="str">
        <f t="shared" si="868"/>
        <v>06 de enero de 2020</v>
      </c>
      <c r="N2651" s="318">
        <f t="shared" si="858"/>
        <v>6</v>
      </c>
      <c r="O2651" s="24">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1101</v>
      </c>
      <c r="J2652" s="59" t="s">
        <v>22</v>
      </c>
      <c r="L2652" s="5" t="str">
        <f t="shared" si="867"/>
        <v>02651</v>
      </c>
      <c r="M2652" s="46" t="str">
        <f t="shared" si="868"/>
        <v>06 de enero de 2020</v>
      </c>
      <c r="N2652" s="318">
        <f t="shared" si="858"/>
        <v>6</v>
      </c>
      <c r="O2652" s="24">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1130</v>
      </c>
      <c r="J2653" s="59" t="s">
        <v>22</v>
      </c>
      <c r="L2653" s="5" t="str">
        <f t="shared" si="867"/>
        <v>02652</v>
      </c>
      <c r="M2653" s="46" t="str">
        <f t="shared" si="868"/>
        <v>07 de enero de 2020</v>
      </c>
      <c r="N2653" s="318">
        <f t="shared" si="858"/>
        <v>7</v>
      </c>
      <c r="O2653" s="24">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1122</v>
      </c>
      <c r="J2654" s="59" t="s">
        <v>22</v>
      </c>
      <c r="L2654" s="5" t="str">
        <f t="shared" si="867"/>
        <v>02653</v>
      </c>
      <c r="M2654" s="46" t="str">
        <f t="shared" si="868"/>
        <v>08 de enero de 2020</v>
      </c>
      <c r="N2654" s="318">
        <f t="shared" si="858"/>
        <v>8</v>
      </c>
      <c r="O2654" s="24">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1122</v>
      </c>
      <c r="J2655" s="59" t="s">
        <v>22</v>
      </c>
      <c r="L2655" s="5" t="str">
        <f t="shared" si="867"/>
        <v>02654</v>
      </c>
      <c r="M2655" s="46" t="str">
        <f t="shared" si="868"/>
        <v>09 de enero de 2020</v>
      </c>
      <c r="N2655" s="318">
        <f t="shared" si="858"/>
        <v>9</v>
      </c>
      <c r="O2655" s="24">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1122</v>
      </c>
      <c r="J2656" s="59" t="s">
        <v>22</v>
      </c>
      <c r="L2656" s="5" t="str">
        <f t="shared" si="867"/>
        <v>02655</v>
      </c>
      <c r="M2656" s="46" t="str">
        <f t="shared" si="868"/>
        <v>09 de enero de 2020</v>
      </c>
      <c r="N2656" s="318">
        <f t="shared" si="858"/>
        <v>9</v>
      </c>
      <c r="O2656" s="24">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1131</v>
      </c>
      <c r="J2657" s="59" t="s">
        <v>22</v>
      </c>
      <c r="L2657" s="5" t="str">
        <f t="shared" si="867"/>
        <v>02656</v>
      </c>
      <c r="M2657" s="46" t="str">
        <f t="shared" si="868"/>
        <v>09 de enero de 2020</v>
      </c>
      <c r="N2657" s="318">
        <f t="shared" si="858"/>
        <v>9</v>
      </c>
      <c r="O2657" s="24">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1122</v>
      </c>
      <c r="J2658" s="59" t="s">
        <v>22</v>
      </c>
      <c r="L2658" s="5" t="str">
        <f t="shared" si="867"/>
        <v>02657</v>
      </c>
      <c r="M2658" s="46" t="str">
        <f t="shared" si="868"/>
        <v>09 de enero de 2020</v>
      </c>
      <c r="N2658" s="318">
        <f t="shared" si="858"/>
        <v>9</v>
      </c>
      <c r="O2658" s="24">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1132</v>
      </c>
      <c r="J2659" s="59" t="s">
        <v>22</v>
      </c>
      <c r="L2659" s="5" t="str">
        <f t="shared" si="867"/>
        <v>02658</v>
      </c>
      <c r="M2659" s="46" t="str">
        <f t="shared" si="868"/>
        <v>09 de enero de 2020</v>
      </c>
      <c r="N2659" s="318">
        <f t="shared" ref="N2659:N2680" si="875">DAY(D2659)</f>
        <v>9</v>
      </c>
      <c r="O2659" s="24">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1122</v>
      </c>
      <c r="J2660" s="59" t="s">
        <v>22</v>
      </c>
      <c r="L2660" s="5" t="str">
        <f t="shared" si="867"/>
        <v>02659</v>
      </c>
      <c r="M2660" s="46" t="str">
        <f t="shared" si="868"/>
        <v>09 de enero de 2020</v>
      </c>
      <c r="N2660" s="318">
        <f t="shared" si="875"/>
        <v>9</v>
      </c>
      <c r="O2660" s="24">
        <f t="shared" si="869"/>
        <v>43831</v>
      </c>
      <c r="P2660" s="5" t="str">
        <f t="shared" si="873"/>
        <v>136.250,00</v>
      </c>
      <c r="Q2660" s="4" t="e">
        <f t="shared" ca="1" si="874"/>
        <v>#NAME?</v>
      </c>
    </row>
    <row r="2661" spans="1:17">
      <c r="A2661" s="1">
        <f t="shared" si="872"/>
        <v>2660</v>
      </c>
      <c r="B2661" s="8"/>
      <c r="C2661" s="83" t="s">
        <v>17</v>
      </c>
      <c r="D2661" s="2">
        <v>43840</v>
      </c>
      <c r="E2661" s="3">
        <v>197575</v>
      </c>
      <c r="F2661" s="22" t="s">
        <v>422</v>
      </c>
      <c r="G2661" s="18" t="s">
        <v>58</v>
      </c>
      <c r="H2661" t="s">
        <v>423</v>
      </c>
      <c r="I2661" s="6" t="s">
        <v>1122</v>
      </c>
      <c r="J2661" s="59" t="s">
        <v>22</v>
      </c>
      <c r="L2661" s="5" t="str">
        <f t="shared" si="867"/>
        <v>02660</v>
      </c>
      <c r="M2661" s="46" t="str">
        <f t="shared" si="868"/>
        <v>10 de enero de 2020</v>
      </c>
      <c r="N2661" s="318">
        <f t="shared" si="875"/>
        <v>10</v>
      </c>
      <c r="O2661" s="24">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1122</v>
      </c>
      <c r="J2662" s="59" t="s">
        <v>22</v>
      </c>
      <c r="L2662" s="5" t="str">
        <f t="shared" si="867"/>
        <v>02661</v>
      </c>
      <c r="M2662" s="46" t="str">
        <f t="shared" si="868"/>
        <v>11 de enero de 2020</v>
      </c>
      <c r="N2662" s="318">
        <f t="shared" si="875"/>
        <v>11</v>
      </c>
      <c r="O2662" s="24">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1133</v>
      </c>
      <c r="J2663" s="59" t="s">
        <v>22</v>
      </c>
      <c r="L2663" s="5" t="str">
        <f t="shared" si="867"/>
        <v>02662</v>
      </c>
      <c r="M2663" s="46" t="str">
        <f t="shared" si="868"/>
        <v>10 de enero de 2020</v>
      </c>
      <c r="N2663" s="318">
        <f t="shared" si="875"/>
        <v>10</v>
      </c>
      <c r="O2663" s="24">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1037</v>
      </c>
      <c r="H2664" t="s">
        <v>344</v>
      </c>
      <c r="I2664" s="6" t="s">
        <v>1122</v>
      </c>
      <c r="J2664" s="59" t="s">
        <v>22</v>
      </c>
      <c r="L2664" s="5" t="str">
        <f t="shared" si="867"/>
        <v>02663</v>
      </c>
      <c r="M2664" s="46" t="str">
        <f t="shared" si="868"/>
        <v>11 de enero de 2020</v>
      </c>
      <c r="N2664" s="318">
        <f t="shared" si="875"/>
        <v>11</v>
      </c>
      <c r="O2664" s="24">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1122</v>
      </c>
      <c r="J2665" s="59" t="s">
        <v>22</v>
      </c>
      <c r="L2665" s="5" t="str">
        <f t="shared" si="867"/>
        <v>02664</v>
      </c>
      <c r="M2665" s="46" t="str">
        <f t="shared" si="868"/>
        <v>11 de enero de 2020</v>
      </c>
      <c r="N2665" s="318">
        <f t="shared" si="875"/>
        <v>11</v>
      </c>
      <c r="O2665" s="24">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1134</v>
      </c>
      <c r="J2666" s="59" t="s">
        <v>22</v>
      </c>
      <c r="L2666" s="5" t="str">
        <f t="shared" si="867"/>
        <v>02665</v>
      </c>
      <c r="M2666" s="46" t="str">
        <f t="shared" si="868"/>
        <v>11 de enero de 2020</v>
      </c>
      <c r="N2666" s="318">
        <f t="shared" si="875"/>
        <v>11</v>
      </c>
      <c r="O2666" s="24">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1122</v>
      </c>
      <c r="J2667" s="59" t="s">
        <v>22</v>
      </c>
      <c r="L2667" s="5" t="str">
        <f t="shared" si="867"/>
        <v>02666</v>
      </c>
      <c r="M2667" s="46" t="str">
        <f t="shared" si="868"/>
        <v>11 de enero de 2020</v>
      </c>
      <c r="N2667" s="318">
        <f t="shared" si="875"/>
        <v>11</v>
      </c>
      <c r="O2667" s="24">
        <f t="shared" si="869"/>
        <v>43831</v>
      </c>
      <c r="P2667" s="5" t="str">
        <f t="shared" si="873"/>
        <v>136.250,00</v>
      </c>
      <c r="Q2667" s="4" t="e">
        <f t="shared" ca="1" si="874"/>
        <v>#NAME?</v>
      </c>
    </row>
    <row r="2668" spans="1:17">
      <c r="A2668" s="1">
        <f t="shared" ref="A2668" si="877">A2667+1</f>
        <v>2667</v>
      </c>
      <c r="B2668" s="8"/>
      <c r="C2668" s="83" t="s">
        <v>17</v>
      </c>
      <c r="D2668" s="2">
        <v>43843</v>
      </c>
      <c r="E2668" s="160">
        <v>136250</v>
      </c>
      <c r="F2668" t="s">
        <v>492</v>
      </c>
      <c r="G2668" s="18" t="s">
        <v>58</v>
      </c>
      <c r="H2668" t="s">
        <v>493</v>
      </c>
      <c r="I2668" s="6" t="s">
        <v>1122</v>
      </c>
      <c r="J2668" s="59" t="s">
        <v>22</v>
      </c>
      <c r="L2668" s="5" t="str">
        <f t="shared" si="867"/>
        <v>02667</v>
      </c>
      <c r="M2668" s="46" t="str">
        <f t="shared" si="868"/>
        <v>13 de enero de 2020</v>
      </c>
      <c r="N2668" s="318">
        <f t="shared" si="875"/>
        <v>13</v>
      </c>
      <c r="O2668" s="24">
        <f t="shared" si="869"/>
        <v>43831</v>
      </c>
      <c r="P2668" s="5" t="str">
        <f t="shared" si="873"/>
        <v>136.250,00</v>
      </c>
      <c r="Q2668" s="4" t="e">
        <f t="shared" ca="1" si="874"/>
        <v>#NAME?</v>
      </c>
    </row>
    <row r="2669" spans="1:17">
      <c r="A2669" s="1">
        <f>A2668+1</f>
        <v>2668</v>
      </c>
      <c r="B2669" s="8"/>
      <c r="C2669" s="8" t="s">
        <v>17</v>
      </c>
      <c r="D2669" s="2">
        <v>43845</v>
      </c>
      <c r="E2669" s="3">
        <v>136250</v>
      </c>
      <c r="F2669" t="s">
        <v>844</v>
      </c>
      <c r="G2669" t="s">
        <v>845</v>
      </c>
      <c r="H2669" t="s">
        <v>169</v>
      </c>
      <c r="I2669" s="6" t="s">
        <v>1122</v>
      </c>
      <c r="J2669" s="59" t="s">
        <v>22</v>
      </c>
      <c r="L2669" s="5" t="str">
        <f t="shared" si="867"/>
        <v>02668</v>
      </c>
      <c r="M2669" s="46" t="str">
        <f t="shared" si="868"/>
        <v>15 de enero de 2020</v>
      </c>
      <c r="N2669" s="318">
        <f t="shared" si="875"/>
        <v>15</v>
      </c>
      <c r="O2669" s="24">
        <f t="shared" si="869"/>
        <v>43831</v>
      </c>
      <c r="P2669" s="5" t="str">
        <f t="shared" si="873"/>
        <v>136.250,00</v>
      </c>
      <c r="Q2669" s="4" t="e">
        <f t="shared" ca="1" si="874"/>
        <v>#NAME?</v>
      </c>
    </row>
    <row r="2670" spans="1:17">
      <c r="A2670" s="1">
        <f>A2669+1</f>
        <v>2669</v>
      </c>
      <c r="B2670" s="8"/>
      <c r="C2670" s="8" t="s">
        <v>17</v>
      </c>
      <c r="D2670" s="2">
        <v>43845</v>
      </c>
      <c r="E2670" s="3">
        <v>30000</v>
      </c>
      <c r="F2670" t="s">
        <v>252</v>
      </c>
      <c r="G2670" s="447" t="s">
        <v>959</v>
      </c>
      <c r="H2670" t="s">
        <v>254</v>
      </c>
      <c r="I2670" s="6" t="s">
        <v>1135</v>
      </c>
      <c r="J2670" s="59" t="s">
        <v>22</v>
      </c>
      <c r="L2670" s="5" t="str">
        <f t="shared" si="867"/>
        <v>02669</v>
      </c>
      <c r="M2670" s="46" t="str">
        <f t="shared" si="868"/>
        <v>15 de enero de 2020</v>
      </c>
      <c r="N2670" s="318">
        <f t="shared" si="875"/>
        <v>15</v>
      </c>
      <c r="O2670" s="24">
        <f t="shared" si="869"/>
        <v>43831</v>
      </c>
      <c r="P2670" s="5" t="str">
        <f t="shared" si="873"/>
        <v>30.000,00</v>
      </c>
      <c r="Q2670" s="4" t="e">
        <f t="shared" ca="1" si="874"/>
        <v>#NAME?</v>
      </c>
    </row>
    <row r="2671" spans="1:17">
      <c r="A2671" s="1">
        <f>A2670+1</f>
        <v>2670</v>
      </c>
      <c r="C2671" s="8" t="s">
        <v>17</v>
      </c>
      <c r="D2671" s="2">
        <v>43847</v>
      </c>
      <c r="E2671" s="3">
        <v>136250</v>
      </c>
      <c r="F2671" t="s">
        <v>936</v>
      </c>
      <c r="G2671" t="s">
        <v>937</v>
      </c>
      <c r="H2671" t="s">
        <v>150</v>
      </c>
      <c r="I2671" s="6" t="s">
        <v>1122</v>
      </c>
      <c r="J2671" s="59" t="s">
        <v>22</v>
      </c>
      <c r="L2671" s="5" t="str">
        <f t="shared" si="867"/>
        <v>02670</v>
      </c>
      <c r="M2671" s="46" t="str">
        <f t="shared" si="868"/>
        <v>17 de enero de 2020</v>
      </c>
      <c r="N2671" s="318">
        <f t="shared" si="875"/>
        <v>17</v>
      </c>
      <c r="O2671" s="24">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1122</v>
      </c>
      <c r="J2672" s="59" t="s">
        <v>22</v>
      </c>
      <c r="L2672" s="5" t="str">
        <f t="shared" si="867"/>
        <v>02671</v>
      </c>
      <c r="M2672" s="46" t="str">
        <f t="shared" si="868"/>
        <v>21 de enero de 2020</v>
      </c>
      <c r="N2672" s="318">
        <f t="shared" si="875"/>
        <v>21</v>
      </c>
      <c r="O2672" s="24">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1098</v>
      </c>
      <c r="J2673" s="59" t="s">
        <v>22</v>
      </c>
      <c r="L2673" s="5" t="str">
        <f t="shared" si="867"/>
        <v>02672</v>
      </c>
      <c r="M2673" s="46" t="str">
        <f t="shared" si="868"/>
        <v>21 de enero de 2020</v>
      </c>
      <c r="N2673" s="318">
        <f t="shared" si="875"/>
        <v>21</v>
      </c>
      <c r="O2673" s="24">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1122</v>
      </c>
      <c r="J2674" s="59" t="s">
        <v>22</v>
      </c>
      <c r="L2674" s="5" t="str">
        <f t="shared" si="867"/>
        <v>02673</v>
      </c>
      <c r="M2674" s="46" t="str">
        <f t="shared" si="868"/>
        <v>22 de enero de 2020</v>
      </c>
      <c r="N2674" s="318">
        <f t="shared" si="875"/>
        <v>22</v>
      </c>
      <c r="O2674" s="24">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1083</v>
      </c>
      <c r="J2675" s="59" t="s">
        <v>22</v>
      </c>
      <c r="L2675" s="5" t="str">
        <f t="shared" si="867"/>
        <v>02674</v>
      </c>
      <c r="M2675" s="46" t="str">
        <f t="shared" si="868"/>
        <v>07 de enero de 2020</v>
      </c>
      <c r="N2675" s="318">
        <f t="shared" si="875"/>
        <v>7</v>
      </c>
      <c r="O2675" s="24">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1106</v>
      </c>
      <c r="J2676" s="59" t="s">
        <v>22</v>
      </c>
      <c r="L2676" s="5" t="str">
        <f t="shared" si="867"/>
        <v>02675</v>
      </c>
      <c r="M2676" s="46" t="str">
        <f t="shared" si="868"/>
        <v>04 de enero de 2020</v>
      </c>
      <c r="N2676" s="318">
        <f t="shared" si="875"/>
        <v>4</v>
      </c>
      <c r="O2676" s="24">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1101</v>
      </c>
      <c r="J2677" s="59" t="s">
        <v>22</v>
      </c>
      <c r="L2677" s="5" t="str">
        <f t="shared" si="867"/>
        <v>02676</v>
      </c>
      <c r="M2677" s="46" t="str">
        <f t="shared" si="868"/>
        <v>04 de enero de 2020</v>
      </c>
      <c r="N2677" s="318">
        <f t="shared" si="875"/>
        <v>4</v>
      </c>
      <c r="O2677" s="24">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1136</v>
      </c>
      <c r="J2678" s="59" t="s">
        <v>22</v>
      </c>
      <c r="L2678" s="5" t="str">
        <f t="shared" si="867"/>
        <v>02677</v>
      </c>
      <c r="M2678" s="46" t="str">
        <f t="shared" si="868"/>
        <v>22 de enero de 2020</v>
      </c>
      <c r="N2678" s="318">
        <f t="shared" si="875"/>
        <v>22</v>
      </c>
      <c r="O2678" s="24">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1133</v>
      </c>
      <c r="J2679" s="59" t="s">
        <v>22</v>
      </c>
      <c r="L2679" s="5" t="str">
        <f t="shared" si="867"/>
        <v>02678</v>
      </c>
      <c r="M2679" s="46" t="str">
        <f t="shared" si="868"/>
        <v>22 de enero de 2020</v>
      </c>
      <c r="N2679" s="318">
        <f t="shared" si="875"/>
        <v>22</v>
      </c>
      <c r="O2679" s="24">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1137</v>
      </c>
      <c r="J2680" s="59" t="s">
        <v>22</v>
      </c>
      <c r="L2680" s="5" t="str">
        <f t="shared" si="867"/>
        <v>02679</v>
      </c>
      <c r="M2680" s="46" t="str">
        <f t="shared" si="868"/>
        <v>22 de enero de 2020</v>
      </c>
      <c r="N2680" s="318">
        <f t="shared" si="875"/>
        <v>22</v>
      </c>
      <c r="O2680" s="24">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1138</v>
      </c>
      <c r="J2681" s="59" t="s">
        <v>22</v>
      </c>
      <c r="L2681" s="5" t="str">
        <f t="shared" ref="L2681" si="879">IF(ISBLANK(A2681),"",TEXT(A2681,"00000"))</f>
        <v>02680</v>
      </c>
      <c r="M2681" s="46" t="str">
        <f t="shared" ref="M2681" si="880">IF(ISBLANK(D2681),"",TEXT(D2681,"dd")&amp;" de "&amp;TEXT(D2681,"mmmm")&amp;" de "&amp;TEXT(YEAR(D2681),"0"))</f>
        <v>22 de enero de 2020</v>
      </c>
      <c r="N2681" s="318">
        <f t="shared" ref="N2681" si="881">DAY(D2681)</f>
        <v>22</v>
      </c>
      <c r="O2681" s="24">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1" t="s">
        <v>240</v>
      </c>
      <c r="H2682" t="s">
        <v>241</v>
      </c>
      <c r="I2682" s="6" t="s">
        <v>1122</v>
      </c>
      <c r="J2682" s="59" t="s">
        <v>22</v>
      </c>
      <c r="L2682" s="5" t="str">
        <f t="shared" ref="L2682:L2683" si="885">IF(ISBLANK(A2682),"",TEXT(A2682,"00000"))</f>
        <v>02681</v>
      </c>
      <c r="M2682" s="46" t="str">
        <f t="shared" ref="M2682:M2683" si="886">IF(ISBLANK(D2682),"",TEXT(D2682,"dd")&amp;" de "&amp;TEXT(D2682,"mmmm")&amp;" de "&amp;TEXT(YEAR(D2682),"0"))</f>
        <v>23 de enero de 2020</v>
      </c>
      <c r="N2682" s="318">
        <f t="shared" ref="N2682:N2683" si="887">DAY(D2682)</f>
        <v>23</v>
      </c>
      <c r="O2682" s="24">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1122</v>
      </c>
      <c r="J2683" s="59" t="s">
        <v>22</v>
      </c>
      <c r="L2683" s="5" t="str">
        <f t="shared" si="885"/>
        <v>02682</v>
      </c>
      <c r="M2683" s="46" t="str">
        <f t="shared" si="886"/>
        <v>23 de enero de 2020</v>
      </c>
      <c r="N2683" s="318">
        <f t="shared" si="887"/>
        <v>23</v>
      </c>
      <c r="O2683" s="24">
        <f t="shared" si="888"/>
        <v>43831</v>
      </c>
      <c r="P2683" s="5" t="str">
        <f t="shared" si="889"/>
        <v>136.250,00</v>
      </c>
      <c r="Q2683" s="4" t="e">
        <f t="shared" ca="1" si="890"/>
        <v>#NAME?</v>
      </c>
    </row>
    <row r="2684" spans="1:17">
      <c r="A2684" s="1">
        <f t="shared" si="891"/>
        <v>2683</v>
      </c>
      <c r="C2684" s="8" t="s">
        <v>17</v>
      </c>
      <c r="D2684" s="2">
        <v>43853</v>
      </c>
      <c r="E2684" s="3">
        <v>136250</v>
      </c>
      <c r="F2684" t="s">
        <v>1139</v>
      </c>
      <c r="G2684" t="s">
        <v>1140</v>
      </c>
      <c r="H2684" t="s">
        <v>1116</v>
      </c>
      <c r="I2684" s="6" t="s">
        <v>1122</v>
      </c>
      <c r="J2684" s="59" t="s">
        <v>22</v>
      </c>
      <c r="L2684" s="5" t="str">
        <f t="shared" ref="L2684:L2686" si="892">IF(ISBLANK(A2684),"",TEXT(A2684,"00000"))</f>
        <v>02683</v>
      </c>
      <c r="M2684" s="46" t="str">
        <f t="shared" ref="M2684:M2686" si="893">IF(ISBLANK(D2684),"",TEXT(D2684,"dd")&amp;" de "&amp;TEXT(D2684,"mmmm")&amp;" de "&amp;TEXT(YEAR(D2684),"0"))</f>
        <v>23 de enero de 2020</v>
      </c>
      <c r="N2684" s="318">
        <f t="shared" ref="N2684:N2686" si="894">DAY(D2684)</f>
        <v>23</v>
      </c>
      <c r="O2684" s="24">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1018</v>
      </c>
      <c r="G2685" s="447" t="s">
        <v>1019</v>
      </c>
      <c r="H2685" t="s">
        <v>140</v>
      </c>
      <c r="I2685" s="6" t="s">
        <v>1122</v>
      </c>
      <c r="J2685" s="59" t="s">
        <v>22</v>
      </c>
      <c r="L2685" s="5" t="str">
        <f t="shared" si="892"/>
        <v>02684</v>
      </c>
      <c r="M2685" s="46" t="str">
        <f t="shared" si="893"/>
        <v>23 de enero de 2020</v>
      </c>
      <c r="N2685" s="318">
        <f t="shared" si="894"/>
        <v>23</v>
      </c>
      <c r="O2685" s="24">
        <f t="shared" si="895"/>
        <v>43831</v>
      </c>
      <c r="P2685" s="5" t="str">
        <f t="shared" si="896"/>
        <v>136.250,00</v>
      </c>
      <c r="Q2685" s="4" t="e">
        <f t="shared" ca="1" si="897"/>
        <v>#NAME?</v>
      </c>
    </row>
    <row r="2686" spans="1:17">
      <c r="A2686" s="316">
        <f t="shared" si="891"/>
        <v>2685</v>
      </c>
      <c r="B2686" s="12"/>
      <c r="C2686" s="12" t="s">
        <v>225</v>
      </c>
      <c r="D2686" s="17">
        <v>43854</v>
      </c>
      <c r="E2686" s="603">
        <f>1*74200+70000</f>
        <v>144200</v>
      </c>
      <c r="F2686" s="14" t="s">
        <v>126</v>
      </c>
      <c r="G2686" s="14" t="s">
        <v>127</v>
      </c>
      <c r="H2686" s="14" t="s">
        <v>128</v>
      </c>
      <c r="I2686" s="15" t="s">
        <v>1101</v>
      </c>
      <c r="J2686" s="60" t="s">
        <v>426</v>
      </c>
      <c r="K2686" s="16"/>
      <c r="L2686" s="5" t="str">
        <f t="shared" si="892"/>
        <v>02685</v>
      </c>
      <c r="M2686" s="46" t="str">
        <f t="shared" si="893"/>
        <v>24 de enero de 2020</v>
      </c>
      <c r="N2686" s="318">
        <f t="shared" si="894"/>
        <v>24</v>
      </c>
      <c r="O2686" s="24">
        <f t="shared" si="895"/>
        <v>43831</v>
      </c>
      <c r="P2686" s="5" t="str">
        <f t="shared" si="896"/>
        <v>144.200,00</v>
      </c>
      <c r="Q2686" s="4" t="e">
        <f t="shared" ca="1" si="897"/>
        <v>#NAME?</v>
      </c>
    </row>
    <row r="2687" spans="1:17">
      <c r="A2687" s="1">
        <f>A2686+1</f>
        <v>2686</v>
      </c>
      <c r="B2687" s="8"/>
      <c r="C2687" s="8" t="s">
        <v>17</v>
      </c>
      <c r="D2687" s="2">
        <v>43854</v>
      </c>
      <c r="E2687" s="550">
        <f>1*74200+70000</f>
        <v>144200</v>
      </c>
      <c r="F2687" t="s">
        <v>126</v>
      </c>
      <c r="G2687" t="s">
        <v>127</v>
      </c>
      <c r="H2687" t="s">
        <v>128</v>
      </c>
      <c r="I2687" s="6" t="s">
        <v>1141</v>
      </c>
      <c r="J2687" s="59" t="s">
        <v>22</v>
      </c>
      <c r="L2687" s="5" t="str">
        <f t="shared" ref="L2687:L2690" si="898">IF(ISBLANK(A2687),"",TEXT(A2687,"00000"))</f>
        <v>02686</v>
      </c>
      <c r="M2687" s="46" t="str">
        <f t="shared" ref="M2687:M2690" si="899">IF(ISBLANK(D2687),"",TEXT(D2687,"dd")&amp;" de "&amp;TEXT(D2687,"mmmm")&amp;" de "&amp;TEXT(YEAR(D2687),"0"))</f>
        <v>24 de enero de 2020</v>
      </c>
      <c r="N2687" s="318">
        <f t="shared" ref="N2687:N2701" si="900">DAY(D2687)</f>
        <v>24</v>
      </c>
      <c r="O2687" s="24">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1122</v>
      </c>
      <c r="J2688" s="59" t="s">
        <v>22</v>
      </c>
      <c r="L2688" s="5" t="str">
        <f t="shared" si="898"/>
        <v>02687</v>
      </c>
      <c r="M2688" s="46" t="str">
        <f t="shared" si="899"/>
        <v>23 de enero de 2020</v>
      </c>
      <c r="N2688" s="318">
        <f t="shared" si="900"/>
        <v>23</v>
      </c>
      <c r="O2688" s="24">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1122</v>
      </c>
      <c r="J2689" s="59" t="s">
        <v>22</v>
      </c>
      <c r="L2689" s="5" t="str">
        <f t="shared" si="898"/>
        <v>02688</v>
      </c>
      <c r="M2689" s="46" t="str">
        <f t="shared" si="899"/>
        <v>23 de enero de 2020</v>
      </c>
      <c r="N2689" s="318">
        <f t="shared" si="900"/>
        <v>23</v>
      </c>
      <c r="O2689" s="24">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1122</v>
      </c>
      <c r="J2690" s="59" t="s">
        <v>22</v>
      </c>
      <c r="L2690" s="5" t="str">
        <f t="shared" si="898"/>
        <v>02689</v>
      </c>
      <c r="M2690" s="46" t="str">
        <f t="shared" si="899"/>
        <v>23 de enero de 2020</v>
      </c>
      <c r="N2690" s="318">
        <f t="shared" si="900"/>
        <v>23</v>
      </c>
      <c r="O2690" s="24">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1122</v>
      </c>
      <c r="J2691" s="59" t="s">
        <v>22</v>
      </c>
      <c r="L2691" s="5" t="str">
        <f>IF(ISBLANK(A2691),"",TEXT(A2691,"00000"))</f>
        <v>02690</v>
      </c>
      <c r="M2691" s="46" t="str">
        <f>IF(ISBLANK(D2691),"",TEXT(D2691,"dd")&amp;" de "&amp;TEXT(D2691,"mmmm")&amp;" de "&amp;TEXT(YEAR(D2691),"0"))</f>
        <v>25 de enero de 2020</v>
      </c>
      <c r="N2691" s="318">
        <f t="shared" si="900"/>
        <v>25</v>
      </c>
      <c r="O2691" s="24">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1016</v>
      </c>
      <c r="G2692" t="s">
        <v>1017</v>
      </c>
      <c r="H2692" t="s">
        <v>59</v>
      </c>
      <c r="I2692" s="6" t="s">
        <v>1122</v>
      </c>
      <c r="J2692" s="59" t="s">
        <v>22</v>
      </c>
      <c r="L2692" s="5" t="str">
        <f t="shared" ref="L2692:L2701" si="906">IF(ISBLANK(A2692),"",TEXT(A2692,"00000"))</f>
        <v>02691</v>
      </c>
      <c r="M2692" s="46" t="str">
        <f t="shared" ref="M2692:M2701" si="907">IF(ISBLANK(D2692),"",TEXT(D2692,"dd")&amp;" de "&amp;TEXT(D2692,"mmmm")&amp;" de "&amp;TEXT(YEAR(D2692),"0"))</f>
        <v>27 de enero de 2020</v>
      </c>
      <c r="N2692" s="318">
        <f t="shared" si="900"/>
        <v>27</v>
      </c>
      <c r="O2692" s="24">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1122</v>
      </c>
      <c r="J2693" s="59" t="s">
        <v>22</v>
      </c>
      <c r="L2693" s="5" t="str">
        <f t="shared" si="906"/>
        <v>02692</v>
      </c>
      <c r="M2693" s="46" t="str">
        <f t="shared" si="907"/>
        <v>27 de enero de 2020</v>
      </c>
      <c r="N2693" s="318">
        <f t="shared" si="900"/>
        <v>27</v>
      </c>
      <c r="O2693" s="24">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1122</v>
      </c>
      <c r="J2694" s="59" t="s">
        <v>22</v>
      </c>
      <c r="L2694" s="5" t="str">
        <f t="shared" si="906"/>
        <v>02693</v>
      </c>
      <c r="M2694" s="46" t="str">
        <f t="shared" si="907"/>
        <v>26 de enero de 2020</v>
      </c>
      <c r="N2694" s="318">
        <f t="shared" si="900"/>
        <v>26</v>
      </c>
      <c r="O2694" s="24">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1122</v>
      </c>
      <c r="J2695" s="59" t="s">
        <v>22</v>
      </c>
      <c r="L2695" s="5" t="str">
        <f t="shared" si="906"/>
        <v>02694</v>
      </c>
      <c r="M2695" s="46" t="str">
        <f t="shared" si="907"/>
        <v>29 de enero de 2020</v>
      </c>
      <c r="N2695" s="318">
        <f t="shared" si="900"/>
        <v>29</v>
      </c>
      <c r="O2695" s="24">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1101</v>
      </c>
      <c r="J2696" s="59" t="s">
        <v>22</v>
      </c>
      <c r="L2696" s="5" t="str">
        <f t="shared" si="906"/>
        <v>02695</v>
      </c>
      <c r="M2696" s="46" t="str">
        <f t="shared" si="907"/>
        <v>30 de enero de 2020</v>
      </c>
      <c r="N2696" s="318">
        <f t="shared" si="900"/>
        <v>30</v>
      </c>
      <c r="O2696" s="24">
        <f t="shared" si="908"/>
        <v>43831</v>
      </c>
      <c r="P2696" s="5" t="str">
        <f t="shared" si="902"/>
        <v>136.250,00</v>
      </c>
      <c r="Q2696" s="4" t="e">
        <f t="shared" ca="1" si="909"/>
        <v>#NAME?</v>
      </c>
    </row>
    <row r="2697" spans="1:17">
      <c r="A2697" s="1">
        <f>A2696+1</f>
        <v>2696</v>
      </c>
      <c r="B2697" s="8"/>
      <c r="C2697" s="8" t="s">
        <v>17</v>
      </c>
      <c r="D2697" s="2">
        <v>43861</v>
      </c>
      <c r="E2697" s="3">
        <v>300000</v>
      </c>
      <c r="F2697" t="s">
        <v>90</v>
      </c>
      <c r="G2697" s="447" t="s">
        <v>979</v>
      </c>
      <c r="H2697" t="s">
        <v>92</v>
      </c>
      <c r="I2697" s="6" t="s">
        <v>1098</v>
      </c>
      <c r="J2697" s="59" t="s">
        <v>22</v>
      </c>
      <c r="L2697" s="5" t="str">
        <f t="shared" si="906"/>
        <v>02696</v>
      </c>
      <c r="M2697" s="46" t="str">
        <f t="shared" si="907"/>
        <v>31 de enero de 2020</v>
      </c>
      <c r="N2697" s="318">
        <f t="shared" si="900"/>
        <v>31</v>
      </c>
      <c r="O2697" s="24">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1122</v>
      </c>
      <c r="J2698" s="59" t="s">
        <v>22</v>
      </c>
      <c r="L2698" s="5" t="str">
        <f t="shared" si="906"/>
        <v>02697</v>
      </c>
      <c r="M2698" s="46" t="str">
        <f t="shared" si="907"/>
        <v>30 de enero de 2020</v>
      </c>
      <c r="N2698" s="318">
        <f t="shared" si="900"/>
        <v>30</v>
      </c>
      <c r="O2698" s="24">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942</v>
      </c>
      <c r="H2699" t="s">
        <v>179</v>
      </c>
      <c r="I2699" s="6" t="s">
        <v>1142</v>
      </c>
      <c r="J2699" s="59" t="s">
        <v>22</v>
      </c>
      <c r="L2699" s="5" t="str">
        <f t="shared" si="906"/>
        <v>02698</v>
      </c>
      <c r="M2699" s="46" t="str">
        <f t="shared" si="907"/>
        <v>01 de febrero de 2020</v>
      </c>
      <c r="N2699" s="318">
        <f t="shared" si="900"/>
        <v>1</v>
      </c>
      <c r="O2699" s="24">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1122</v>
      </c>
      <c r="J2700" s="59" t="s">
        <v>22</v>
      </c>
      <c r="L2700" s="5" t="str">
        <f t="shared" si="906"/>
        <v>02699</v>
      </c>
      <c r="M2700" s="46" t="str">
        <f t="shared" si="907"/>
        <v>01 de febrero de 2020</v>
      </c>
      <c r="N2700" s="318">
        <f t="shared" si="900"/>
        <v>1</v>
      </c>
      <c r="O2700" s="24">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1143</v>
      </c>
      <c r="J2701" s="59" t="s">
        <v>22</v>
      </c>
      <c r="L2701" s="5" t="str">
        <f t="shared" si="906"/>
        <v>02700</v>
      </c>
      <c r="M2701" s="46" t="str">
        <f t="shared" si="907"/>
        <v>02 de febrero de 2020</v>
      </c>
      <c r="N2701" s="318">
        <f t="shared" si="900"/>
        <v>2</v>
      </c>
      <c r="O2701" s="24">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1143</v>
      </c>
      <c r="J2702" s="59" t="s">
        <v>22</v>
      </c>
      <c r="L2702" s="5" t="str">
        <f t="shared" ref="L2702:L2717" si="913">IF(ISBLANK(A2702),"",TEXT(A2702,"00000"))</f>
        <v>02701</v>
      </c>
      <c r="M2702" s="46" t="str">
        <f t="shared" ref="M2702:M2717" si="914">IF(ISBLANK(D2702),"",TEXT(D2702,"dd")&amp;" de "&amp;TEXT(D2702,"mmmm")&amp;" de "&amp;TEXT(YEAR(D2702),"0"))</f>
        <v>02 de febrero de 2020</v>
      </c>
      <c r="N2702" s="318">
        <f t="shared" ref="N2702:N2717" si="915">DAY(D2702)</f>
        <v>2</v>
      </c>
      <c r="O2702" s="24">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1143</v>
      </c>
      <c r="J2703" s="59" t="s">
        <v>22</v>
      </c>
      <c r="L2703" s="5" t="str">
        <f t="shared" si="913"/>
        <v>02702</v>
      </c>
      <c r="M2703" s="46" t="str">
        <f t="shared" si="914"/>
        <v>02 de febrero de 2020</v>
      </c>
      <c r="N2703" s="318">
        <f t="shared" si="915"/>
        <v>2</v>
      </c>
      <c r="O2703" s="24">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1143</v>
      </c>
      <c r="J2704" s="59" t="s">
        <v>22</v>
      </c>
      <c r="L2704" s="5" t="str">
        <f t="shared" si="913"/>
        <v>02703</v>
      </c>
      <c r="M2704" s="46" t="str">
        <f t="shared" si="914"/>
        <v>02 de febrero de 2020</v>
      </c>
      <c r="N2704" s="318">
        <f t="shared" si="915"/>
        <v>2</v>
      </c>
      <c r="O2704" s="24">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1143</v>
      </c>
      <c r="J2705" s="59" t="s">
        <v>22</v>
      </c>
      <c r="L2705" s="5" t="str">
        <f t="shared" si="913"/>
        <v>02704</v>
      </c>
      <c r="M2705" s="46" t="str">
        <f t="shared" si="914"/>
        <v>02 de febrero de 2020</v>
      </c>
      <c r="N2705" s="318">
        <f t="shared" si="915"/>
        <v>2</v>
      </c>
      <c r="O2705" s="24">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1055</v>
      </c>
      <c r="H2706" t="s">
        <v>132</v>
      </c>
      <c r="I2706" s="6" t="s">
        <v>1098</v>
      </c>
      <c r="J2706" s="59" t="s">
        <v>22</v>
      </c>
      <c r="L2706" s="5" t="str">
        <f t="shared" si="913"/>
        <v>02705</v>
      </c>
      <c r="M2706" s="46" t="str">
        <f t="shared" si="914"/>
        <v>02 de febrero de 2020</v>
      </c>
      <c r="N2706" s="318">
        <f t="shared" si="915"/>
        <v>2</v>
      </c>
      <c r="O2706" s="24">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47" t="s">
        <v>959</v>
      </c>
      <c r="H2707" t="s">
        <v>254</v>
      </c>
      <c r="I2707" s="6" t="s">
        <v>1144</v>
      </c>
      <c r="J2707" s="59" t="s">
        <v>22</v>
      </c>
      <c r="L2707" s="5" t="str">
        <f t="shared" si="913"/>
        <v>02706</v>
      </c>
      <c r="M2707" s="46" t="str">
        <f t="shared" si="914"/>
        <v>02 de febrero de 2020</v>
      </c>
      <c r="N2707" s="318">
        <f t="shared" si="915"/>
        <v>2</v>
      </c>
      <c r="O2707" s="24">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1145</v>
      </c>
      <c r="J2708" s="59" t="s">
        <v>22</v>
      </c>
      <c r="L2708" s="5" t="str">
        <f t="shared" si="913"/>
        <v>02707</v>
      </c>
      <c r="M2708" s="46" t="str">
        <f t="shared" si="914"/>
        <v>02 de febrero de 2020</v>
      </c>
      <c r="N2708" s="318">
        <f t="shared" si="915"/>
        <v>2</v>
      </c>
      <c r="O2708" s="24">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1143</v>
      </c>
      <c r="J2709" s="59" t="s">
        <v>22</v>
      </c>
      <c r="L2709" s="5" t="str">
        <f t="shared" si="913"/>
        <v>02708</v>
      </c>
      <c r="M2709" s="46" t="str">
        <f t="shared" si="914"/>
        <v>03 de febrero de 2020</v>
      </c>
      <c r="N2709" s="318">
        <f t="shared" si="915"/>
        <v>3</v>
      </c>
      <c r="O2709" s="24">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1143</v>
      </c>
      <c r="J2710" s="59" t="s">
        <v>22</v>
      </c>
      <c r="L2710" s="5" t="str">
        <f t="shared" si="913"/>
        <v>02709</v>
      </c>
      <c r="M2710" s="46" t="str">
        <f t="shared" si="914"/>
        <v>03 de febrero de 2020</v>
      </c>
      <c r="N2710" s="318">
        <f t="shared" si="915"/>
        <v>3</v>
      </c>
      <c r="O2710" s="24">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1146</v>
      </c>
      <c r="J2711" s="59" t="s">
        <v>22</v>
      </c>
      <c r="L2711" s="5" t="str">
        <f t="shared" si="913"/>
        <v>02710</v>
      </c>
      <c r="M2711" s="46" t="str">
        <f t="shared" si="914"/>
        <v>03 de febrero de 2020</v>
      </c>
      <c r="N2711" s="318">
        <f t="shared" si="915"/>
        <v>3</v>
      </c>
      <c r="O2711" s="24">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1143</v>
      </c>
      <c r="J2712" s="59" t="s">
        <v>22</v>
      </c>
      <c r="L2712" s="5" t="str">
        <f t="shared" si="913"/>
        <v>02711</v>
      </c>
      <c r="M2712" s="46" t="str">
        <f t="shared" si="914"/>
        <v>03 de febrero de 2020</v>
      </c>
      <c r="N2712" s="318">
        <f t="shared" si="915"/>
        <v>3</v>
      </c>
      <c r="O2712" s="24">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1133</v>
      </c>
      <c r="J2713" s="59" t="s">
        <v>22</v>
      </c>
      <c r="L2713" s="5" t="str">
        <f t="shared" si="913"/>
        <v>02712</v>
      </c>
      <c r="M2713" s="46" t="str">
        <f t="shared" si="914"/>
        <v>04 de febrero de 2020</v>
      </c>
      <c r="N2713" s="318">
        <f t="shared" si="915"/>
        <v>4</v>
      </c>
      <c r="O2713" s="24">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1143</v>
      </c>
      <c r="J2714" s="59" t="s">
        <v>22</v>
      </c>
      <c r="L2714" s="5" t="str">
        <f t="shared" si="913"/>
        <v>02713</v>
      </c>
      <c r="M2714" s="46" t="str">
        <f t="shared" si="914"/>
        <v>04 de febrero de 2020</v>
      </c>
      <c r="N2714" s="318">
        <f t="shared" si="915"/>
        <v>4</v>
      </c>
      <c r="O2714" s="24">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1147</v>
      </c>
      <c r="J2715" s="59" t="s">
        <v>22</v>
      </c>
      <c r="L2715" s="5" t="str">
        <f t="shared" si="913"/>
        <v>02714</v>
      </c>
      <c r="M2715" s="46" t="str">
        <f t="shared" si="914"/>
        <v>04 de febrero de 2020</v>
      </c>
      <c r="N2715" s="318">
        <f t="shared" si="915"/>
        <v>4</v>
      </c>
      <c r="O2715" s="24">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1143</v>
      </c>
      <c r="J2716" s="59" t="s">
        <v>22</v>
      </c>
      <c r="L2716" s="5" t="str">
        <f t="shared" si="913"/>
        <v>02715</v>
      </c>
      <c r="M2716" s="46" t="str">
        <f t="shared" si="914"/>
        <v>04 de febrero de 2020</v>
      </c>
      <c r="N2716" s="318">
        <f t="shared" si="915"/>
        <v>4</v>
      </c>
      <c r="O2716" s="24">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1148</v>
      </c>
      <c r="J2717" s="59" t="s">
        <v>22</v>
      </c>
      <c r="L2717" s="5" t="str">
        <f t="shared" si="913"/>
        <v>02716</v>
      </c>
      <c r="M2717" s="46" t="str">
        <f t="shared" si="914"/>
        <v>07 de enero de 2020</v>
      </c>
      <c r="N2717" s="318">
        <f t="shared" si="915"/>
        <v>7</v>
      </c>
      <c r="O2717" s="24">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1149</v>
      </c>
      <c r="J2718" s="59" t="s">
        <v>22</v>
      </c>
      <c r="L2718" s="5" t="str">
        <f t="shared" ref="L2718:L2737" si="923">IF(ISBLANK(A2718),"",TEXT(A2718,"00000"))</f>
        <v>02717</v>
      </c>
      <c r="M2718" s="46" t="str">
        <f t="shared" ref="M2718:M2737" si="924">IF(ISBLANK(D2718),"",TEXT(D2718,"dd")&amp;" de "&amp;TEXT(D2718,"mmmm")&amp;" de "&amp;TEXT(YEAR(D2718),"0"))</f>
        <v>04 de febrero de 2020</v>
      </c>
      <c r="N2718" s="318">
        <f t="shared" ref="N2718:N2754" si="925">DAY(D2718)</f>
        <v>4</v>
      </c>
      <c r="O2718" s="24">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1005</v>
      </c>
      <c r="G2719" t="s">
        <v>1006</v>
      </c>
      <c r="H2719" t="s">
        <v>539</v>
      </c>
      <c r="I2719" s="6" t="s">
        <v>1143</v>
      </c>
      <c r="J2719" s="59" t="s">
        <v>22</v>
      </c>
      <c r="L2719" s="5" t="str">
        <f t="shared" si="923"/>
        <v>02718</v>
      </c>
      <c r="M2719" s="46" t="str">
        <f t="shared" si="924"/>
        <v>05 de febrero de 2020</v>
      </c>
      <c r="N2719" s="318">
        <f t="shared" si="925"/>
        <v>5</v>
      </c>
      <c r="O2719" s="24">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1143</v>
      </c>
      <c r="J2720" s="59" t="s">
        <v>22</v>
      </c>
      <c r="L2720" s="5" t="str">
        <f t="shared" si="923"/>
        <v>02719</v>
      </c>
      <c r="M2720" s="46" t="str">
        <f t="shared" si="924"/>
        <v>05 de febrero de 2020</v>
      </c>
      <c r="N2720" s="318">
        <f t="shared" si="925"/>
        <v>5</v>
      </c>
      <c r="O2720" s="24">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1122</v>
      </c>
      <c r="J2721" s="59" t="s">
        <v>22</v>
      </c>
      <c r="L2721" s="5" t="str">
        <f t="shared" si="923"/>
        <v>02720</v>
      </c>
      <c r="M2721" s="46" t="str">
        <f t="shared" si="924"/>
        <v>05 de febrero de 2020</v>
      </c>
      <c r="N2721" s="318">
        <f t="shared" si="925"/>
        <v>5</v>
      </c>
      <c r="O2721" s="24">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1143</v>
      </c>
      <c r="J2722" s="59" t="s">
        <v>22</v>
      </c>
      <c r="L2722" s="5" t="str">
        <f t="shared" si="923"/>
        <v>02721</v>
      </c>
      <c r="M2722" s="46" t="str">
        <f t="shared" si="924"/>
        <v>05 de febrero de 2020</v>
      </c>
      <c r="N2722" s="318">
        <f t="shared" si="925"/>
        <v>5</v>
      </c>
      <c r="O2722" s="24">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0">
        <f>73400*10</f>
        <v>734000</v>
      </c>
      <c r="F2723" t="s">
        <v>786</v>
      </c>
      <c r="G2723" t="s">
        <v>787</v>
      </c>
      <c r="H2723" t="s">
        <v>719</v>
      </c>
      <c r="I2723" s="6" t="s">
        <v>1150</v>
      </c>
      <c r="J2723" s="59" t="s">
        <v>22</v>
      </c>
      <c r="L2723" s="5" t="str">
        <f t="shared" si="923"/>
        <v>02722</v>
      </c>
      <c r="M2723" s="46" t="str">
        <f t="shared" si="924"/>
        <v>05 de febrero de 2020</v>
      </c>
      <c r="N2723" s="318">
        <f t="shared" si="925"/>
        <v>5</v>
      </c>
      <c r="O2723" s="24">
        <f t="shared" si="926"/>
        <v>43862</v>
      </c>
      <c r="P2723" s="5" t="str">
        <f t="shared" si="930"/>
        <v>734.000,00</v>
      </c>
      <c r="Q2723" s="4" t="e">
        <f t="shared" ca="1" si="931"/>
        <v>#NAME?</v>
      </c>
    </row>
    <row r="2724" spans="1:17">
      <c r="A2724" s="1">
        <f>A2723+1</f>
        <v>2723</v>
      </c>
      <c r="C2724" s="8" t="s">
        <v>17</v>
      </c>
      <c r="D2724" s="2">
        <v>43866</v>
      </c>
      <c r="E2724" s="550">
        <f>73400*2+20000</f>
        <v>166800</v>
      </c>
      <c r="F2724" t="s">
        <v>401</v>
      </c>
      <c r="G2724" t="s">
        <v>402</v>
      </c>
      <c r="H2724" t="s">
        <v>403</v>
      </c>
      <c r="I2724" s="6" t="s">
        <v>1151</v>
      </c>
      <c r="J2724" s="59" t="s">
        <v>22</v>
      </c>
      <c r="L2724" s="5" t="str">
        <f t="shared" si="923"/>
        <v>02723</v>
      </c>
      <c r="M2724" s="46" t="str">
        <f t="shared" si="924"/>
        <v>05 de febrero de 2020</v>
      </c>
      <c r="N2724" s="318">
        <f t="shared" si="925"/>
        <v>5</v>
      </c>
      <c r="O2724" s="24">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1143</v>
      </c>
      <c r="J2725" s="59" t="s">
        <v>22</v>
      </c>
      <c r="L2725" s="5" t="str">
        <f t="shared" si="923"/>
        <v>02724</v>
      </c>
      <c r="M2725" s="46" t="str">
        <f t="shared" si="924"/>
        <v>06 de febrero de 2020</v>
      </c>
      <c r="N2725" s="318">
        <f t="shared" si="925"/>
        <v>6</v>
      </c>
      <c r="O2725" s="24">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1152</v>
      </c>
      <c r="J2726" s="59" t="s">
        <v>22</v>
      </c>
      <c r="L2726" s="5" t="str">
        <f t="shared" si="923"/>
        <v>02725</v>
      </c>
      <c r="M2726" s="46" t="str">
        <f t="shared" si="924"/>
        <v>06 de febrero de 2020</v>
      </c>
      <c r="N2726" s="318">
        <f t="shared" si="925"/>
        <v>6</v>
      </c>
      <c r="O2726" s="24">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1153</v>
      </c>
      <c r="J2727" s="59" t="s">
        <v>22</v>
      </c>
      <c r="L2727" s="5" t="str">
        <f t="shared" si="923"/>
        <v>02726</v>
      </c>
      <c r="M2727" s="46" t="str">
        <f t="shared" si="924"/>
        <v>06 de febrero de 2020</v>
      </c>
      <c r="N2727" s="318">
        <f t="shared" si="925"/>
        <v>6</v>
      </c>
      <c r="O2727" s="24">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1154</v>
      </c>
      <c r="J2728" s="59" t="s">
        <v>22</v>
      </c>
      <c r="L2728" s="5" t="str">
        <f t="shared" si="923"/>
        <v>02727</v>
      </c>
      <c r="M2728" s="46" t="str">
        <f t="shared" si="924"/>
        <v>06 de febrero de 2020</v>
      </c>
      <c r="N2728" s="318">
        <f t="shared" si="925"/>
        <v>6</v>
      </c>
      <c r="O2728" s="24">
        <f t="shared" si="926"/>
        <v>43862</v>
      </c>
      <c r="P2728" s="5" t="str">
        <f t="shared" si="930"/>
        <v>129.000,00</v>
      </c>
      <c r="Q2728" s="4" t="e">
        <f t="shared" ca="1" si="931"/>
        <v>#NAME?</v>
      </c>
    </row>
    <row r="2729" spans="1:17">
      <c r="A2729" s="1">
        <f>A2728+1</f>
        <v>2728</v>
      </c>
      <c r="C2729" s="8" t="s">
        <v>17</v>
      </c>
      <c r="D2729" s="2">
        <v>43867</v>
      </c>
      <c r="E2729" s="3">
        <v>136250</v>
      </c>
      <c r="F2729" t="s">
        <v>239</v>
      </c>
      <c r="G2729" s="71" t="s">
        <v>240</v>
      </c>
      <c r="H2729" t="s">
        <v>241</v>
      </c>
      <c r="I2729" s="6" t="s">
        <v>1143</v>
      </c>
      <c r="J2729" s="59" t="s">
        <v>22</v>
      </c>
      <c r="L2729" s="5" t="str">
        <f t="shared" si="923"/>
        <v>02728</v>
      </c>
      <c r="M2729" s="46" t="str">
        <f t="shared" si="924"/>
        <v>06 de febrero de 2020</v>
      </c>
      <c r="N2729" s="318">
        <f t="shared" si="925"/>
        <v>6</v>
      </c>
      <c r="O2729" s="24">
        <f t="shared" si="926"/>
        <v>43862</v>
      </c>
      <c r="P2729" s="5" t="str">
        <f t="shared" si="930"/>
        <v>136.250,00</v>
      </c>
      <c r="Q2729" s="4" t="e">
        <f t="shared" ca="1" si="931"/>
        <v>#NAME?</v>
      </c>
    </row>
    <row r="2730" spans="1:17">
      <c r="A2730" s="1">
        <f t="shared" ref="A2730:A2732" si="933">A2729+1</f>
        <v>2729</v>
      </c>
      <c r="C2730" s="8" t="s">
        <v>17</v>
      </c>
      <c r="D2730" s="2">
        <v>43867</v>
      </c>
      <c r="E2730" s="550">
        <f>73400*2+36000</f>
        <v>182800</v>
      </c>
      <c r="F2730" t="s">
        <v>291</v>
      </c>
      <c r="G2730" t="s">
        <v>292</v>
      </c>
      <c r="H2730" t="s">
        <v>293</v>
      </c>
      <c r="I2730" s="159" t="s">
        <v>1155</v>
      </c>
      <c r="J2730" s="59" t="s">
        <v>22</v>
      </c>
      <c r="L2730" s="5" t="str">
        <f t="shared" si="923"/>
        <v>02729</v>
      </c>
      <c r="M2730" s="46" t="str">
        <f t="shared" si="924"/>
        <v>06 de febrero de 2020</v>
      </c>
      <c r="N2730" s="318">
        <f t="shared" si="925"/>
        <v>6</v>
      </c>
      <c r="O2730" s="24">
        <f t="shared" si="926"/>
        <v>43862</v>
      </c>
      <c r="P2730" s="5" t="str">
        <f t="shared" si="930"/>
        <v>182.800,00</v>
      </c>
      <c r="Q2730" s="4" t="e">
        <f t="shared" ca="1" si="931"/>
        <v>#NAME?</v>
      </c>
    </row>
    <row r="2731" spans="1:17">
      <c r="A2731" s="1">
        <f t="shared" si="933"/>
        <v>2730</v>
      </c>
      <c r="B2731" s="8"/>
      <c r="C2731" s="83" t="s">
        <v>17</v>
      </c>
      <c r="D2731" s="2">
        <v>43867</v>
      </c>
      <c r="E2731" s="160">
        <v>136250</v>
      </c>
      <c r="F2731" t="s">
        <v>492</v>
      </c>
      <c r="G2731" s="18" t="s">
        <v>58</v>
      </c>
      <c r="H2731" t="s">
        <v>493</v>
      </c>
      <c r="I2731" s="6" t="s">
        <v>1143</v>
      </c>
      <c r="J2731" s="59" t="s">
        <v>22</v>
      </c>
      <c r="L2731" s="5" t="str">
        <f t="shared" si="923"/>
        <v>02730</v>
      </c>
      <c r="M2731" s="46" t="str">
        <f t="shared" si="924"/>
        <v>06 de febrero de 2020</v>
      </c>
      <c r="N2731" s="318">
        <f t="shared" si="925"/>
        <v>6</v>
      </c>
      <c r="O2731" s="24">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1143</v>
      </c>
      <c r="J2732" s="59" t="s">
        <v>22</v>
      </c>
      <c r="L2732" s="5" t="str">
        <f t="shared" si="923"/>
        <v>02731</v>
      </c>
      <c r="M2732" s="46" t="str">
        <f t="shared" si="924"/>
        <v>06 de febrero de 2020</v>
      </c>
      <c r="N2732" s="318">
        <f t="shared" si="925"/>
        <v>6</v>
      </c>
      <c r="O2732" s="24">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1156</v>
      </c>
      <c r="J2733" s="59" t="s">
        <v>22</v>
      </c>
      <c r="L2733" s="5" t="str">
        <f t="shared" si="923"/>
        <v>02732</v>
      </c>
      <c r="M2733" s="46" t="str">
        <f t="shared" si="924"/>
        <v>06 de febrero de 2020</v>
      </c>
      <c r="N2733" s="318">
        <f t="shared" si="925"/>
        <v>6</v>
      </c>
      <c r="O2733" s="24">
        <f t="shared" si="926"/>
        <v>43862</v>
      </c>
      <c r="P2733" s="5" t="str">
        <f t="shared" si="930"/>
        <v>300.000,00</v>
      </c>
      <c r="Q2733" s="4" t="e">
        <f t="shared" ca="1" si="931"/>
        <v>#NAME?</v>
      </c>
    </row>
    <row r="2734" spans="1:17">
      <c r="A2734" s="1">
        <f t="shared" ref="A2734" si="934">A2733+1</f>
        <v>2733</v>
      </c>
      <c r="B2734" s="8"/>
      <c r="C2734" s="83" t="s">
        <v>17</v>
      </c>
      <c r="D2734" s="2">
        <v>43868</v>
      </c>
      <c r="E2734" s="3">
        <v>197575</v>
      </c>
      <c r="F2734" s="22" t="s">
        <v>422</v>
      </c>
      <c r="G2734" s="18" t="s">
        <v>58</v>
      </c>
      <c r="H2734" t="s">
        <v>423</v>
      </c>
      <c r="I2734" s="6" t="s">
        <v>1143</v>
      </c>
      <c r="J2734" s="59" t="s">
        <v>22</v>
      </c>
      <c r="L2734" s="5" t="str">
        <f t="shared" si="923"/>
        <v>02733</v>
      </c>
      <c r="M2734" s="46" t="str">
        <f t="shared" si="924"/>
        <v>07 de febrero de 2020</v>
      </c>
      <c r="N2734" s="318">
        <f t="shared" si="925"/>
        <v>7</v>
      </c>
      <c r="O2734" s="24">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1147</v>
      </c>
      <c r="J2735" s="59" t="s">
        <v>22</v>
      </c>
      <c r="L2735" s="5" t="str">
        <f t="shared" si="923"/>
        <v>02734</v>
      </c>
      <c r="M2735" s="46" t="str">
        <f t="shared" si="924"/>
        <v>07 de febrero de 2020</v>
      </c>
      <c r="N2735" s="318">
        <f t="shared" si="925"/>
        <v>7</v>
      </c>
      <c r="O2735" s="24">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1143</v>
      </c>
      <c r="J2736" s="59" t="s">
        <v>22</v>
      </c>
      <c r="L2736" s="5" t="str">
        <f t="shared" si="923"/>
        <v>02735</v>
      </c>
      <c r="M2736" s="46" t="str">
        <f t="shared" si="924"/>
        <v>07 de febrero de 2020</v>
      </c>
      <c r="N2736" s="318">
        <f t="shared" si="925"/>
        <v>7</v>
      </c>
      <c r="O2736" s="24">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1122</v>
      </c>
      <c r="J2737" s="59" t="s">
        <v>22</v>
      </c>
      <c r="L2737" s="5" t="str">
        <f t="shared" si="923"/>
        <v>02736</v>
      </c>
      <c r="M2737" s="46" t="str">
        <f t="shared" si="924"/>
        <v>07 de febrero de 2020</v>
      </c>
      <c r="N2737" s="318">
        <f t="shared" si="925"/>
        <v>7</v>
      </c>
      <c r="O2737" s="24">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1143</v>
      </c>
      <c r="J2738" s="59" t="s">
        <v>22</v>
      </c>
      <c r="L2738" s="5" t="str">
        <f>IF(ISBLANK(A2738),"",TEXT(A2738,"00000"))</f>
        <v>02737</v>
      </c>
      <c r="M2738" s="46" t="str">
        <f>IF(ISBLANK(D2738),"",TEXT(D2738,"dd")&amp;" de "&amp;TEXT(D2738,"mmmm")&amp;" de "&amp;TEXT(YEAR(D2738),"0"))</f>
        <v>08 de febrero de 2020</v>
      </c>
      <c r="N2738" s="318">
        <f t="shared" si="925"/>
        <v>8</v>
      </c>
      <c r="O2738" s="24">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2" t="s">
        <v>1048</v>
      </c>
      <c r="H2739" t="s">
        <v>105</v>
      </c>
      <c r="I2739" s="6" t="s">
        <v>1143</v>
      </c>
      <c r="J2739" s="59" t="s">
        <v>22</v>
      </c>
      <c r="L2739" s="5" t="str">
        <f t="shared" ref="L2739:L2754" si="937">IF(ISBLANK(A2739),"",TEXT(A2739,"00000"))</f>
        <v>02738</v>
      </c>
      <c r="M2739" s="46" t="str">
        <f t="shared" ref="M2739:M2754" si="938">IF(ISBLANK(D2739),"",TEXT(D2739,"dd")&amp;" de "&amp;TEXT(D2739,"mmmm")&amp;" de "&amp;TEXT(YEAR(D2739),"0"))</f>
        <v>08 de febrero de 2020</v>
      </c>
      <c r="N2739" s="318">
        <f t="shared" si="925"/>
        <v>8</v>
      </c>
      <c r="O2739" s="24">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1143</v>
      </c>
      <c r="J2740" s="59" t="s">
        <v>22</v>
      </c>
      <c r="L2740" s="5" t="str">
        <f t="shared" si="937"/>
        <v>02739</v>
      </c>
      <c r="M2740" s="46" t="str">
        <f t="shared" si="938"/>
        <v>08 de febrero de 2020</v>
      </c>
      <c r="N2740" s="318">
        <f t="shared" si="925"/>
        <v>8</v>
      </c>
      <c r="O2740" s="24">
        <f t="shared" si="939"/>
        <v>43862</v>
      </c>
      <c r="P2740" s="5" t="str">
        <f t="shared" si="930"/>
        <v>140.000,00</v>
      </c>
      <c r="Q2740" s="4" t="e">
        <f t="shared" ca="1" si="931"/>
        <v>#NAME?</v>
      </c>
    </row>
    <row r="2741" spans="1:17">
      <c r="A2741" s="1">
        <f>A2740+1</f>
        <v>2740</v>
      </c>
      <c r="B2741" s="8"/>
      <c r="C2741" s="83" t="s">
        <v>17</v>
      </c>
      <c r="D2741" s="2">
        <v>43869</v>
      </c>
      <c r="E2741" s="3">
        <v>136250</v>
      </c>
      <c r="F2741" t="s">
        <v>259</v>
      </c>
      <c r="G2741" s="18" t="s">
        <v>58</v>
      </c>
      <c r="H2741" t="s">
        <v>261</v>
      </c>
      <c r="I2741" s="6" t="s">
        <v>1122</v>
      </c>
      <c r="J2741" s="59" t="s">
        <v>22</v>
      </c>
      <c r="L2741" s="5" t="str">
        <f t="shared" si="937"/>
        <v>02740</v>
      </c>
      <c r="M2741" s="46" t="str">
        <f t="shared" si="938"/>
        <v>08 de febrero de 2020</v>
      </c>
      <c r="N2741" s="318">
        <f t="shared" si="925"/>
        <v>8</v>
      </c>
      <c r="O2741" s="24">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1037</v>
      </c>
      <c r="H2742" t="s">
        <v>344</v>
      </c>
      <c r="I2742" s="6" t="s">
        <v>1143</v>
      </c>
      <c r="J2742" s="59" t="s">
        <v>22</v>
      </c>
      <c r="L2742" s="5" t="str">
        <f t="shared" si="937"/>
        <v>02741</v>
      </c>
      <c r="M2742" s="46" t="str">
        <f t="shared" si="938"/>
        <v>10 de febrero de 2020</v>
      </c>
      <c r="N2742" s="318">
        <f t="shared" si="925"/>
        <v>10</v>
      </c>
      <c r="O2742" s="24">
        <f t="shared" si="939"/>
        <v>43862</v>
      </c>
      <c r="P2742" s="5" t="str">
        <f t="shared" si="930"/>
        <v>136.250,00</v>
      </c>
      <c r="Q2742" s="4" t="e">
        <f t="shared" ca="1" si="931"/>
        <v>#NAME?</v>
      </c>
    </row>
    <row r="2743" spans="1:17">
      <c r="A2743" s="1">
        <f>A2742+1</f>
        <v>2742</v>
      </c>
      <c r="B2743" s="8"/>
      <c r="C2743" s="8" t="s">
        <v>17</v>
      </c>
      <c r="D2743" s="2">
        <v>43872</v>
      </c>
      <c r="E2743" s="550">
        <f>1*73500+50000+5000</f>
        <v>128500</v>
      </c>
      <c r="F2743" t="s">
        <v>126</v>
      </c>
      <c r="G2743" t="s">
        <v>127</v>
      </c>
      <c r="H2743" t="s">
        <v>128</v>
      </c>
      <c r="I2743" s="6" t="s">
        <v>1154</v>
      </c>
      <c r="J2743" s="59" t="s">
        <v>22</v>
      </c>
      <c r="L2743" s="5" t="str">
        <f t="shared" si="937"/>
        <v>02742</v>
      </c>
      <c r="M2743" s="46" t="str">
        <f t="shared" si="938"/>
        <v>11 de febrero de 2020</v>
      </c>
      <c r="N2743" s="318">
        <f t="shared" si="925"/>
        <v>11</v>
      </c>
      <c r="O2743" s="24">
        <f t="shared" si="939"/>
        <v>43862</v>
      </c>
      <c r="P2743" s="5" t="str">
        <f t="shared" si="930"/>
        <v>128.500,00</v>
      </c>
      <c r="Q2743" s="4" t="e">
        <f t="shared" ca="1" si="931"/>
        <v>#NAME?</v>
      </c>
    </row>
    <row r="2744" spans="1:17">
      <c r="A2744" s="1">
        <f t="shared" ref="A2744" si="941">A2743+1</f>
        <v>2743</v>
      </c>
      <c r="C2744" s="83" t="s">
        <v>17</v>
      </c>
      <c r="D2744" s="2">
        <v>43871</v>
      </c>
      <c r="E2744" s="3">
        <v>136250</v>
      </c>
      <c r="F2744" t="s">
        <v>40</v>
      </c>
      <c r="G2744" s="18" t="s">
        <v>58</v>
      </c>
      <c r="H2744" t="s">
        <v>42</v>
      </c>
      <c r="I2744" s="6" t="s">
        <v>1143</v>
      </c>
      <c r="J2744" s="59" t="s">
        <v>22</v>
      </c>
      <c r="L2744" s="5" t="str">
        <f t="shared" si="937"/>
        <v>02743</v>
      </c>
      <c r="M2744" s="46" t="str">
        <f t="shared" si="938"/>
        <v>10 de febrero de 2020</v>
      </c>
      <c r="N2744" s="318">
        <f t="shared" si="925"/>
        <v>10</v>
      </c>
      <c r="O2744" s="24">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1133</v>
      </c>
      <c r="J2745" s="59" t="s">
        <v>22</v>
      </c>
      <c r="L2745" s="5" t="str">
        <f t="shared" si="937"/>
        <v>02744</v>
      </c>
      <c r="M2745" s="46" t="str">
        <f t="shared" si="938"/>
        <v>11 de febrero de 2020</v>
      </c>
      <c r="N2745" s="318">
        <f t="shared" si="925"/>
        <v>11</v>
      </c>
      <c r="O2745" s="24">
        <f t="shared" si="939"/>
        <v>43862</v>
      </c>
      <c r="P2745" s="5" t="str">
        <f t="shared" si="930"/>
        <v>30.000,00</v>
      </c>
      <c r="Q2745" s="4" t="e">
        <f t="shared" ca="1" si="931"/>
        <v>#NAME?</v>
      </c>
    </row>
    <row r="2746" spans="1:17">
      <c r="A2746" s="1">
        <f t="shared" ref="A2746" si="942">A2745+1</f>
        <v>2745</v>
      </c>
      <c r="B2746" s="8"/>
      <c r="C2746" s="83" t="s">
        <v>17</v>
      </c>
      <c r="D2746" s="2">
        <v>43872</v>
      </c>
      <c r="E2746" s="3">
        <v>136250</v>
      </c>
      <c r="F2746" t="s">
        <v>319</v>
      </c>
      <c r="G2746" s="18" t="s">
        <v>58</v>
      </c>
      <c r="H2746" t="s">
        <v>320</v>
      </c>
      <c r="I2746" s="6" t="s">
        <v>1143</v>
      </c>
      <c r="J2746" s="59" t="s">
        <v>22</v>
      </c>
      <c r="L2746" s="5" t="str">
        <f t="shared" si="937"/>
        <v>02745</v>
      </c>
      <c r="M2746" s="46" t="str">
        <f t="shared" si="938"/>
        <v>11 de febrero de 2020</v>
      </c>
      <c r="N2746" s="318">
        <f t="shared" si="925"/>
        <v>11</v>
      </c>
      <c r="O2746" s="24">
        <f t="shared" si="939"/>
        <v>43862</v>
      </c>
      <c r="P2746" s="5" t="str">
        <f t="shared" si="930"/>
        <v>136.250,00</v>
      </c>
      <c r="Q2746" s="4" t="e">
        <f t="shared" ca="1" si="931"/>
        <v>#NAME?</v>
      </c>
    </row>
    <row r="2747" spans="1:17">
      <c r="A2747" s="600">
        <f t="shared" ref="A2747:A2753" si="943">A2746+1</f>
        <v>2746</v>
      </c>
      <c r="B2747" s="8"/>
      <c r="C2747" s="8" t="s">
        <v>17</v>
      </c>
      <c r="D2747" s="2">
        <v>43872</v>
      </c>
      <c r="E2747" s="3">
        <v>136250</v>
      </c>
      <c r="F2747" t="s">
        <v>454</v>
      </c>
      <c r="G2747" t="s">
        <v>761</v>
      </c>
      <c r="H2747" t="s">
        <v>455</v>
      </c>
      <c r="I2747" s="6" t="s">
        <v>1143</v>
      </c>
      <c r="J2747" s="59" t="s">
        <v>22</v>
      </c>
      <c r="L2747" s="5" t="str">
        <f t="shared" si="937"/>
        <v>02746</v>
      </c>
      <c r="M2747" s="46" t="str">
        <f t="shared" si="938"/>
        <v>11 de febrero de 2020</v>
      </c>
      <c r="N2747" s="318">
        <f t="shared" si="925"/>
        <v>11</v>
      </c>
      <c r="O2747" s="24">
        <f t="shared" si="939"/>
        <v>43862</v>
      </c>
      <c r="P2747" s="5" t="str">
        <f t="shared" si="930"/>
        <v>136.250,00</v>
      </c>
      <c r="Q2747" s="4" t="e">
        <f t="shared" ca="1" si="931"/>
        <v>#NAME?</v>
      </c>
    </row>
    <row r="2748" spans="1:17">
      <c r="A2748" s="1">
        <f t="shared" si="943"/>
        <v>2747</v>
      </c>
      <c r="B2748" s="8"/>
      <c r="C2748" s="8" t="s">
        <v>17</v>
      </c>
      <c r="D2748" s="2">
        <v>43874</v>
      </c>
      <c r="E2748" s="3">
        <v>136250</v>
      </c>
      <c r="F2748" t="s">
        <v>1139</v>
      </c>
      <c r="G2748" t="s">
        <v>1140</v>
      </c>
      <c r="H2748" t="s">
        <v>1116</v>
      </c>
      <c r="I2748" s="6" t="s">
        <v>1143</v>
      </c>
      <c r="J2748" s="59" t="s">
        <v>22</v>
      </c>
      <c r="L2748" s="5" t="str">
        <f t="shared" si="937"/>
        <v>02747</v>
      </c>
      <c r="M2748" s="46" t="str">
        <f t="shared" si="938"/>
        <v>13 de febrero de 2020</v>
      </c>
      <c r="N2748" s="318">
        <f t="shared" si="925"/>
        <v>13</v>
      </c>
      <c r="O2748" s="24">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1143</v>
      </c>
      <c r="J2749" s="59" t="s">
        <v>22</v>
      </c>
      <c r="L2749" s="5" t="str">
        <f t="shared" si="937"/>
        <v>02748</v>
      </c>
      <c r="M2749" s="46" t="str">
        <f t="shared" si="938"/>
        <v>13 de febrero de 2020</v>
      </c>
      <c r="N2749" s="318">
        <f t="shared" si="925"/>
        <v>13</v>
      </c>
      <c r="O2749" s="24">
        <f t="shared" si="939"/>
        <v>43862</v>
      </c>
      <c r="P2749" s="5" t="str">
        <f t="shared" si="930"/>
        <v>136.250,00</v>
      </c>
      <c r="Q2749" s="4" t="e">
        <f t="shared" ca="1" si="944"/>
        <v>#NAME?</v>
      </c>
    </row>
    <row r="2750" spans="1:17">
      <c r="A2750" s="1">
        <f t="shared" si="943"/>
        <v>2749</v>
      </c>
      <c r="B2750" s="8"/>
      <c r="C2750" s="8" t="s">
        <v>17</v>
      </c>
      <c r="D2750" s="2">
        <v>43874</v>
      </c>
      <c r="E2750" s="3">
        <v>136250</v>
      </c>
      <c r="F2750" t="s">
        <v>948</v>
      </c>
      <c r="G2750" t="s">
        <v>949</v>
      </c>
      <c r="H2750" t="s">
        <v>950</v>
      </c>
      <c r="I2750" s="6" t="s">
        <v>1143</v>
      </c>
      <c r="J2750" s="59" t="s">
        <v>22</v>
      </c>
      <c r="L2750" s="5" t="str">
        <f t="shared" si="937"/>
        <v>02749</v>
      </c>
      <c r="M2750" s="46" t="str">
        <f t="shared" si="938"/>
        <v>13 de febrero de 2020</v>
      </c>
      <c r="N2750" s="318">
        <f t="shared" si="925"/>
        <v>13</v>
      </c>
      <c r="O2750" s="24">
        <f t="shared" si="939"/>
        <v>43862</v>
      </c>
      <c r="P2750" s="5" t="str">
        <f t="shared" si="930"/>
        <v>136.250,00</v>
      </c>
      <c r="Q2750" s="4" t="e">
        <f t="shared" ca="1" si="944"/>
        <v>#NAME?</v>
      </c>
    </row>
    <row r="2751" spans="1:17">
      <c r="A2751" s="1">
        <f t="shared" si="943"/>
        <v>2750</v>
      </c>
      <c r="B2751" s="8"/>
      <c r="C2751" s="8" t="s">
        <v>17</v>
      </c>
      <c r="D2751" s="2">
        <v>43876</v>
      </c>
      <c r="E2751" s="3">
        <v>175000</v>
      </c>
      <c r="F2751" t="s">
        <v>999</v>
      </c>
      <c r="G2751" t="s">
        <v>1000</v>
      </c>
      <c r="H2751" t="s">
        <v>1001</v>
      </c>
      <c r="I2751" s="6" t="s">
        <v>1157</v>
      </c>
      <c r="J2751" s="59" t="s">
        <v>22</v>
      </c>
      <c r="L2751" s="5" t="str">
        <f t="shared" si="937"/>
        <v>02750</v>
      </c>
      <c r="M2751" s="46" t="str">
        <f t="shared" si="938"/>
        <v>15 de febrero de 2020</v>
      </c>
      <c r="N2751" s="318">
        <f t="shared" si="925"/>
        <v>15</v>
      </c>
      <c r="O2751" s="24">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1143</v>
      </c>
      <c r="J2752" s="59" t="s">
        <v>22</v>
      </c>
      <c r="L2752" s="5" t="str">
        <f t="shared" si="937"/>
        <v>02751</v>
      </c>
      <c r="M2752" s="46" t="str">
        <f t="shared" si="938"/>
        <v>15 de febrero de 2020</v>
      </c>
      <c r="N2752" s="318">
        <f t="shared" si="925"/>
        <v>15</v>
      </c>
      <c r="O2752" s="24">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1158</v>
      </c>
      <c r="J2753" s="59" t="s">
        <v>22</v>
      </c>
      <c r="L2753" s="5" t="str">
        <f t="shared" si="937"/>
        <v>02752</v>
      </c>
      <c r="M2753" s="46" t="str">
        <f t="shared" si="938"/>
        <v>16 de febrero de 2020</v>
      </c>
      <c r="N2753" s="318">
        <f t="shared" si="925"/>
        <v>16</v>
      </c>
      <c r="O2753" s="24">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1083</v>
      </c>
      <c r="J2754" s="59" t="s">
        <v>22</v>
      </c>
      <c r="L2754" s="5" t="str">
        <f t="shared" si="937"/>
        <v>02753</v>
      </c>
      <c r="M2754" s="46" t="str">
        <f t="shared" si="938"/>
        <v>18 de diciembre de 2019</v>
      </c>
      <c r="N2754" s="318">
        <f t="shared" si="925"/>
        <v>18</v>
      </c>
      <c r="O2754" s="24">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1151</v>
      </c>
      <c r="J2755" s="59" t="s">
        <v>22</v>
      </c>
      <c r="L2755" s="5" t="str">
        <f t="shared" ref="L2755:L2757" si="946">IF(ISBLANK(A2755),"",TEXT(A2755,"00000"))</f>
        <v>02754</v>
      </c>
      <c r="M2755" s="46" t="str">
        <f t="shared" ref="M2755:M2757" si="947">IF(ISBLANK(D2755),"",TEXT(D2755,"dd")&amp;" de "&amp;TEXT(D2755,"mmmm")&amp;" de "&amp;TEXT(YEAR(D2755),"0"))</f>
        <v>16 de febrero de 2020</v>
      </c>
      <c r="N2755" s="318">
        <f t="shared" ref="N2755:N2767" si="948">DAY(D2755)</f>
        <v>16</v>
      </c>
      <c r="O2755" s="24">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1143</v>
      </c>
      <c r="J2756" s="59" t="s">
        <v>22</v>
      </c>
      <c r="L2756" s="5" t="str">
        <f t="shared" si="946"/>
        <v>02755</v>
      </c>
      <c r="M2756" s="46" t="str">
        <f t="shared" si="947"/>
        <v>17 de febrero de 2020</v>
      </c>
      <c r="N2756" s="318">
        <f t="shared" si="948"/>
        <v>17</v>
      </c>
      <c r="O2756" s="24">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47" t="s">
        <v>959</v>
      </c>
      <c r="H2757" t="s">
        <v>254</v>
      </c>
      <c r="I2757" s="6" t="s">
        <v>1159</v>
      </c>
      <c r="J2757" s="59" t="s">
        <v>22</v>
      </c>
      <c r="L2757" s="5" t="str">
        <f t="shared" si="946"/>
        <v>02756</v>
      </c>
      <c r="M2757" s="46" t="str">
        <f t="shared" si="947"/>
        <v>21 de febrero de 2020</v>
      </c>
      <c r="N2757" s="318">
        <f t="shared" si="948"/>
        <v>21</v>
      </c>
      <c r="O2757" s="24">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1160</v>
      </c>
      <c r="J2758" s="59" t="s">
        <v>22</v>
      </c>
      <c r="L2758" s="5" t="str">
        <f>IF(ISBLANK(A2758),"",TEXT(A2758,"00000"))</f>
        <v>02757</v>
      </c>
      <c r="M2758" s="46" t="str">
        <f>IF(ISBLANK(D2758),"",TEXT(D2758,"dd")&amp;" de "&amp;TEXT(D2758,"mmmm")&amp;" de "&amp;TEXT(YEAR(D2758),"0"))</f>
        <v>22 de febrero de 2020</v>
      </c>
      <c r="N2758" s="318">
        <f t="shared" si="948"/>
        <v>22</v>
      </c>
      <c r="O2758" s="24">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1052</v>
      </c>
      <c r="H2759" t="s">
        <v>596</v>
      </c>
      <c r="I2759" s="6" t="s">
        <v>1122</v>
      </c>
      <c r="J2759" s="59" t="s">
        <v>22</v>
      </c>
      <c r="L2759" s="5" t="str">
        <f t="shared" ref="L2759:L2767" si="953">IF(ISBLANK(A2759),"",TEXT(A2759,"00000"))</f>
        <v>02758</v>
      </c>
      <c r="M2759" s="46" t="str">
        <f t="shared" ref="M2759:M2767" si="954">IF(ISBLANK(D2759),"",TEXT(D2759,"dd")&amp;" de "&amp;TEXT(D2759,"mmmm")&amp;" de "&amp;TEXT(YEAR(D2759),"0"))</f>
        <v>22 de febrero de 2020</v>
      </c>
      <c r="N2759" s="318">
        <f t="shared" si="948"/>
        <v>22</v>
      </c>
      <c r="O2759" s="24">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1143</v>
      </c>
      <c r="J2760" s="59" t="s">
        <v>22</v>
      </c>
      <c r="L2760" s="5" t="str">
        <f t="shared" si="953"/>
        <v>02759</v>
      </c>
      <c r="M2760" s="46" t="str">
        <f t="shared" si="954"/>
        <v>23 de febrero de 2020</v>
      </c>
      <c r="N2760" s="318">
        <f t="shared" si="948"/>
        <v>23</v>
      </c>
      <c r="O2760" s="24">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1143</v>
      </c>
      <c r="J2761" s="59" t="s">
        <v>22</v>
      </c>
      <c r="L2761" s="5" t="str">
        <f t="shared" si="953"/>
        <v>02760</v>
      </c>
      <c r="M2761" s="46" t="str">
        <f t="shared" si="954"/>
        <v>23 de febrero de 2020</v>
      </c>
      <c r="N2761" s="318">
        <f t="shared" si="948"/>
        <v>23</v>
      </c>
      <c r="O2761" s="24">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1143</v>
      </c>
      <c r="J2762" s="59" t="s">
        <v>22</v>
      </c>
      <c r="L2762" s="5" t="str">
        <f t="shared" si="953"/>
        <v>02761</v>
      </c>
      <c r="M2762" s="46" t="str">
        <f t="shared" si="954"/>
        <v>26 de febrero de 2020</v>
      </c>
      <c r="N2762" s="318">
        <f t="shared" si="948"/>
        <v>26</v>
      </c>
      <c r="O2762" s="24">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1143</v>
      </c>
      <c r="J2763" s="59" t="s">
        <v>22</v>
      </c>
      <c r="L2763" s="5" t="str">
        <f t="shared" si="953"/>
        <v>02762</v>
      </c>
      <c r="M2763" s="46" t="str">
        <f t="shared" si="954"/>
        <v>26 de febrero de 2020</v>
      </c>
      <c r="N2763" s="318">
        <f t="shared" si="948"/>
        <v>26</v>
      </c>
      <c r="O2763" s="24">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1110</v>
      </c>
      <c r="J2764" s="59" t="s">
        <v>22</v>
      </c>
      <c r="L2764" s="5" t="str">
        <f t="shared" si="953"/>
        <v>02763</v>
      </c>
      <c r="M2764" s="46" t="str">
        <f t="shared" si="954"/>
        <v>27 de febrero de 2020</v>
      </c>
      <c r="N2764" s="318">
        <f t="shared" si="948"/>
        <v>27</v>
      </c>
      <c r="O2764" s="24">
        <f t="shared" si="955"/>
        <v>43862</v>
      </c>
      <c r="P2764" s="5" t="str">
        <f t="shared" si="950"/>
        <v>200.000,00</v>
      </c>
      <c r="Q2764" s="4" t="e">
        <f t="shared" ca="1" si="951"/>
        <v>#NAME?</v>
      </c>
    </row>
    <row r="2765" spans="1:17">
      <c r="A2765" s="1">
        <f t="shared" si="956"/>
        <v>2764</v>
      </c>
      <c r="B2765" s="8"/>
      <c r="C2765" s="8" t="s">
        <v>17</v>
      </c>
      <c r="D2765" s="2">
        <v>43888</v>
      </c>
      <c r="E2765" s="3">
        <v>136250</v>
      </c>
      <c r="F2765" t="s">
        <v>1016</v>
      </c>
      <c r="G2765" t="s">
        <v>1017</v>
      </c>
      <c r="H2765" t="s">
        <v>59</v>
      </c>
      <c r="I2765" s="6" t="s">
        <v>1143</v>
      </c>
      <c r="J2765" s="59" t="s">
        <v>22</v>
      </c>
      <c r="L2765" s="5" t="str">
        <f t="shared" si="953"/>
        <v>02764</v>
      </c>
      <c r="M2765" s="46" t="str">
        <f t="shared" si="954"/>
        <v>27 de febrero de 2020</v>
      </c>
      <c r="N2765" s="318">
        <f t="shared" si="948"/>
        <v>27</v>
      </c>
      <c r="O2765" s="24">
        <f t="shared" si="955"/>
        <v>43862</v>
      </c>
      <c r="P2765" s="5" t="str">
        <f t="shared" si="950"/>
        <v>136.250,00</v>
      </c>
      <c r="Q2765" s="4" t="e">
        <f ca="1">CONVERTIRNUM(E2765)</f>
        <v>#NAME?</v>
      </c>
    </row>
    <row r="2766" spans="1:17">
      <c r="A2766" s="1">
        <f t="shared" si="956"/>
        <v>2765</v>
      </c>
      <c r="B2766" s="8"/>
      <c r="C2766" s="8" t="s">
        <v>17</v>
      </c>
      <c r="D2766" s="2">
        <v>43889</v>
      </c>
      <c r="E2766" s="3">
        <v>136250</v>
      </c>
      <c r="F2766" t="s">
        <v>1018</v>
      </c>
      <c r="G2766" s="447" t="s">
        <v>1161</v>
      </c>
      <c r="H2766" t="s">
        <v>140</v>
      </c>
      <c r="I2766" s="6" t="s">
        <v>1143</v>
      </c>
      <c r="J2766" s="59" t="s">
        <v>22</v>
      </c>
      <c r="L2766" s="5" t="str">
        <f t="shared" si="953"/>
        <v>02765</v>
      </c>
      <c r="M2766" s="46" t="str">
        <f t="shared" si="954"/>
        <v>28 de febrero de 2020</v>
      </c>
      <c r="N2766" s="318">
        <f t="shared" si="948"/>
        <v>28</v>
      </c>
      <c r="O2766" s="24">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1143</v>
      </c>
      <c r="J2767" s="59" t="s">
        <v>22</v>
      </c>
      <c r="L2767" s="5" t="str">
        <f t="shared" si="953"/>
        <v>02766</v>
      </c>
      <c r="M2767" s="46" t="str">
        <f t="shared" si="954"/>
        <v>28 de febrero de 2020</v>
      </c>
      <c r="N2767" s="318">
        <f t="shared" si="948"/>
        <v>28</v>
      </c>
      <c r="O2767" s="24">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1147</v>
      </c>
      <c r="J2768" s="59" t="s">
        <v>22</v>
      </c>
      <c r="L2768" s="5" t="str">
        <f t="shared" ref="L2768:L2793" si="958">IF(ISBLANK(A2768),"",TEXT(A2768,"00000"))</f>
        <v>02767</v>
      </c>
      <c r="M2768" s="46" t="str">
        <f t="shared" ref="M2768:M2793" si="959">IF(ISBLANK(D2768),"",TEXT(D2768,"dd")&amp;" de "&amp;TEXT(D2768,"mmmm")&amp;" de "&amp;TEXT(YEAR(D2768),"0"))</f>
        <v>29 de febrero de 2020</v>
      </c>
      <c r="N2768" s="318">
        <f t="shared" ref="N2768:N2793" si="960">DAY(D2768)</f>
        <v>29</v>
      </c>
      <c r="O2768" s="24">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47" t="s">
        <v>979</v>
      </c>
      <c r="H2769" t="s">
        <v>92</v>
      </c>
      <c r="I2769" s="6" t="s">
        <v>1143</v>
      </c>
      <c r="J2769" s="59" t="s">
        <v>22</v>
      </c>
      <c r="L2769" s="5" t="str">
        <f t="shared" si="958"/>
        <v>02768</v>
      </c>
      <c r="M2769" s="46" t="str">
        <f t="shared" si="959"/>
        <v>29 de febrero de 2020</v>
      </c>
      <c r="N2769" s="318">
        <f t="shared" si="960"/>
        <v>29</v>
      </c>
      <c r="O2769" s="24">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1143</v>
      </c>
      <c r="J2770" s="59" t="s">
        <v>22</v>
      </c>
      <c r="L2770" s="5" t="str">
        <f t="shared" si="958"/>
        <v>02769</v>
      </c>
      <c r="M2770" s="46" t="str">
        <f t="shared" si="959"/>
        <v>29 de febrero de 2020</v>
      </c>
      <c r="N2770" s="318">
        <f t="shared" si="960"/>
        <v>29</v>
      </c>
      <c r="O2770" s="24">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1143</v>
      </c>
      <c r="J2771" s="59" t="s">
        <v>22</v>
      </c>
      <c r="L2771" s="5" t="str">
        <f t="shared" si="958"/>
        <v>02770</v>
      </c>
      <c r="M2771" s="46" t="str">
        <f t="shared" si="959"/>
        <v>29 de febrero de 2020</v>
      </c>
      <c r="N2771" s="318">
        <f t="shared" si="960"/>
        <v>29</v>
      </c>
      <c r="O2771" s="24">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1162</v>
      </c>
      <c r="J2772" s="59" t="s">
        <v>22</v>
      </c>
      <c r="L2772" s="5" t="str">
        <f t="shared" si="958"/>
        <v>02771</v>
      </c>
      <c r="M2772" s="46" t="str">
        <f t="shared" si="959"/>
        <v>03 de marzo de 2020</v>
      </c>
      <c r="N2772" s="318">
        <f t="shared" si="960"/>
        <v>3</v>
      </c>
      <c r="O2772" s="24">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1163</v>
      </c>
      <c r="J2773" s="59" t="s">
        <v>22</v>
      </c>
      <c r="L2773" s="5" t="str">
        <f t="shared" si="958"/>
        <v>02772</v>
      </c>
      <c r="M2773" s="46" t="str">
        <f t="shared" si="959"/>
        <v>03 de marzo de 2020</v>
      </c>
      <c r="N2773" s="318">
        <f t="shared" si="960"/>
        <v>3</v>
      </c>
      <c r="O2773" s="24">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1162</v>
      </c>
      <c r="J2774" s="59" t="s">
        <v>22</v>
      </c>
      <c r="L2774" s="5" t="str">
        <f t="shared" si="958"/>
        <v>02773</v>
      </c>
      <c r="M2774" s="46" t="str">
        <f t="shared" si="959"/>
        <v>03 de marzo de 2020</v>
      </c>
      <c r="N2774" s="318">
        <f t="shared" si="960"/>
        <v>3</v>
      </c>
      <c r="O2774" s="24">
        <f t="shared" si="961"/>
        <v>43891</v>
      </c>
      <c r="P2774" s="5" t="str">
        <f t="shared" si="962"/>
        <v>185.250,00</v>
      </c>
      <c r="Q2774" s="4" t="e">
        <f t="shared" ca="1" si="963"/>
        <v>#NAME?</v>
      </c>
    </row>
    <row r="2775" spans="1:17">
      <c r="A2775" s="1">
        <f>A2774+1</f>
        <v>2774</v>
      </c>
      <c r="C2775" s="8" t="s">
        <v>17</v>
      </c>
      <c r="D2775" s="2">
        <v>43893</v>
      </c>
      <c r="E2775" s="3">
        <v>185250</v>
      </c>
      <c r="F2775" t="s">
        <v>1005</v>
      </c>
      <c r="G2775" t="s">
        <v>1006</v>
      </c>
      <c r="H2775" t="s">
        <v>539</v>
      </c>
      <c r="I2775" s="6" t="s">
        <v>1164</v>
      </c>
      <c r="J2775" s="59" t="s">
        <v>22</v>
      </c>
      <c r="L2775" s="5" t="str">
        <f t="shared" si="958"/>
        <v>02774</v>
      </c>
      <c r="M2775" s="46" t="str">
        <f t="shared" si="959"/>
        <v>03 de marzo de 2020</v>
      </c>
      <c r="N2775" s="318">
        <f t="shared" si="960"/>
        <v>3</v>
      </c>
      <c r="O2775" s="24">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1055</v>
      </c>
      <c r="H2776" t="s">
        <v>132</v>
      </c>
      <c r="I2776" s="6" t="s">
        <v>1165</v>
      </c>
      <c r="J2776" s="59" t="s">
        <v>22</v>
      </c>
      <c r="L2776" s="5" t="str">
        <f t="shared" si="958"/>
        <v>02775</v>
      </c>
      <c r="M2776" s="46" t="str">
        <f t="shared" si="959"/>
        <v>29 de febrero de 2020</v>
      </c>
      <c r="N2776" s="318">
        <f t="shared" si="960"/>
        <v>29</v>
      </c>
      <c r="O2776" s="24">
        <f t="shared" si="961"/>
        <v>43862</v>
      </c>
      <c r="P2776" s="5" t="str">
        <f t="shared" si="962"/>
        <v>136.250,00</v>
      </c>
      <c r="Q2776" s="4" t="e">
        <f t="shared" ca="1" si="963"/>
        <v>#NAME?</v>
      </c>
    </row>
    <row r="2777" spans="1:17">
      <c r="A2777" s="1">
        <f t="shared" si="965"/>
        <v>2776</v>
      </c>
      <c r="B2777" s="8"/>
      <c r="C2777" s="83" t="s">
        <v>17</v>
      </c>
      <c r="D2777" s="2">
        <v>43894</v>
      </c>
      <c r="E2777" s="160">
        <v>185250</v>
      </c>
      <c r="F2777" t="s">
        <v>492</v>
      </c>
      <c r="G2777" s="18" t="s">
        <v>58</v>
      </c>
      <c r="H2777" t="s">
        <v>493</v>
      </c>
      <c r="I2777" s="6" t="s">
        <v>1164</v>
      </c>
      <c r="J2777" s="59" t="s">
        <v>22</v>
      </c>
      <c r="L2777" s="5" t="str">
        <f t="shared" si="958"/>
        <v>02776</v>
      </c>
      <c r="M2777" s="46" t="str">
        <f t="shared" si="959"/>
        <v>04 de marzo de 2020</v>
      </c>
      <c r="N2777" s="318">
        <f t="shared" si="960"/>
        <v>4</v>
      </c>
      <c r="O2777" s="24">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1164</v>
      </c>
      <c r="J2778" s="59" t="s">
        <v>22</v>
      </c>
      <c r="L2778" s="5" t="str">
        <f t="shared" si="958"/>
        <v>02777</v>
      </c>
      <c r="M2778" s="46" t="str">
        <f t="shared" si="959"/>
        <v>04 de marzo de 2020</v>
      </c>
      <c r="N2778" s="318">
        <f t="shared" si="960"/>
        <v>4</v>
      </c>
      <c r="O2778" s="24">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1164</v>
      </c>
      <c r="J2779" s="59" t="s">
        <v>22</v>
      </c>
      <c r="L2779" s="5" t="str">
        <f t="shared" si="958"/>
        <v>02778</v>
      </c>
      <c r="M2779" s="46" t="str">
        <f t="shared" si="959"/>
        <v>04 de marzo de 2020</v>
      </c>
      <c r="N2779" s="318">
        <f t="shared" si="960"/>
        <v>4</v>
      </c>
      <c r="O2779" s="24">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1165</v>
      </c>
      <c r="J2780" s="59" t="s">
        <v>22</v>
      </c>
      <c r="L2780" s="5" t="str">
        <f t="shared" si="958"/>
        <v>02779</v>
      </c>
      <c r="M2780" s="46" t="str">
        <f t="shared" si="959"/>
        <v>04 de marzo de 2020</v>
      </c>
      <c r="N2780" s="318">
        <f t="shared" si="960"/>
        <v>4</v>
      </c>
      <c r="O2780" s="24">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1164</v>
      </c>
      <c r="J2781" s="59" t="s">
        <v>22</v>
      </c>
      <c r="L2781" s="5" t="str">
        <f t="shared" si="958"/>
        <v>02780</v>
      </c>
      <c r="M2781" s="46" t="str">
        <f t="shared" si="959"/>
        <v>03 de marzo de 2020</v>
      </c>
      <c r="N2781" s="318">
        <f t="shared" si="960"/>
        <v>3</v>
      </c>
      <c r="O2781" s="24">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1164</v>
      </c>
      <c r="J2782" s="59" t="s">
        <v>22</v>
      </c>
      <c r="L2782" s="5" t="str">
        <f t="shared" si="958"/>
        <v>02781</v>
      </c>
      <c r="M2782" s="46" t="str">
        <f t="shared" si="959"/>
        <v>04 de marzo de 2020</v>
      </c>
      <c r="N2782" s="318">
        <f t="shared" si="960"/>
        <v>4</v>
      </c>
      <c r="O2782" s="24">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1166</v>
      </c>
      <c r="J2783" s="59" t="s">
        <v>22</v>
      </c>
      <c r="L2783" s="5" t="str">
        <f t="shared" si="958"/>
        <v>02782</v>
      </c>
      <c r="M2783" s="46" t="str">
        <f t="shared" si="959"/>
        <v>04 de marzo de 2020</v>
      </c>
      <c r="N2783" s="318">
        <f t="shared" si="960"/>
        <v>4</v>
      </c>
      <c r="O2783" s="24">
        <f t="shared" si="961"/>
        <v>43891</v>
      </c>
      <c r="P2783" s="5" t="str">
        <f t="shared" si="966"/>
        <v>586.750,00</v>
      </c>
      <c r="Q2783" s="4" t="e">
        <f t="shared" ca="1" si="967"/>
        <v>#NAME?</v>
      </c>
    </row>
    <row r="2784" spans="1:17">
      <c r="A2784" s="1">
        <f>A2783+1</f>
        <v>2783</v>
      </c>
      <c r="C2784" s="8" t="s">
        <v>17</v>
      </c>
      <c r="D2784" s="2">
        <v>43890</v>
      </c>
      <c r="E2784" s="3">
        <f>272500+49000</f>
        <v>321500</v>
      </c>
      <c r="F2784" t="s">
        <v>936</v>
      </c>
      <c r="G2784" t="s">
        <v>937</v>
      </c>
      <c r="H2784" t="s">
        <v>150</v>
      </c>
      <c r="I2784" s="6" t="s">
        <v>1156</v>
      </c>
      <c r="J2784" s="59" t="s">
        <v>22</v>
      </c>
      <c r="L2784" s="5" t="str">
        <f t="shared" si="958"/>
        <v>02783</v>
      </c>
      <c r="M2784" s="46" t="str">
        <f t="shared" si="959"/>
        <v>29 de febrero de 2020</v>
      </c>
      <c r="N2784" s="318">
        <f t="shared" si="960"/>
        <v>29</v>
      </c>
      <c r="O2784" s="24">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1143</v>
      </c>
      <c r="J2785" s="59" t="s">
        <v>22</v>
      </c>
      <c r="L2785" s="5" t="str">
        <f t="shared" si="958"/>
        <v>02784</v>
      </c>
      <c r="M2785" s="46" t="str">
        <f t="shared" si="959"/>
        <v>03 de marzo de 2020</v>
      </c>
      <c r="N2785" s="318">
        <f t="shared" si="960"/>
        <v>3</v>
      </c>
      <c r="O2785" s="24">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1147</v>
      </c>
      <c r="J2786" s="59" t="s">
        <v>22</v>
      </c>
      <c r="L2786" s="5" t="str">
        <f t="shared" si="958"/>
        <v>02785</v>
      </c>
      <c r="M2786" s="46" t="str">
        <f t="shared" si="959"/>
        <v>04 de marzo de 2020</v>
      </c>
      <c r="N2786" s="318">
        <f t="shared" si="960"/>
        <v>4</v>
      </c>
      <c r="O2786" s="24">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1167</v>
      </c>
      <c r="J2787" s="59" t="s">
        <v>22</v>
      </c>
      <c r="L2787" s="5" t="str">
        <f t="shared" si="958"/>
        <v>02786</v>
      </c>
      <c r="M2787" s="46" t="str">
        <f t="shared" si="959"/>
        <v>05 de marzo de 2020</v>
      </c>
      <c r="N2787" s="318">
        <f t="shared" si="960"/>
        <v>5</v>
      </c>
      <c r="O2787" s="24">
        <f t="shared" si="961"/>
        <v>43891</v>
      </c>
      <c r="P2787" s="5" t="str">
        <f t="shared" si="966"/>
        <v>185.250,00</v>
      </c>
      <c r="Q2787" s="4" t="e">
        <f t="shared" ca="1" si="967"/>
        <v>#NAME?</v>
      </c>
    </row>
    <row r="2788" spans="1:17">
      <c r="A2788" s="1">
        <f>A2787+1</f>
        <v>2787</v>
      </c>
      <c r="C2788" s="8" t="s">
        <v>17</v>
      </c>
      <c r="D2788" s="2">
        <v>43895</v>
      </c>
      <c r="E2788" s="3">
        <f>185250-38200</f>
        <v>147050</v>
      </c>
      <c r="F2788" t="s">
        <v>48</v>
      </c>
      <c r="G2788" t="s">
        <v>49</v>
      </c>
      <c r="H2788" t="s">
        <v>50</v>
      </c>
      <c r="I2788" s="6" t="s">
        <v>1168</v>
      </c>
      <c r="J2788" s="59" t="s">
        <v>22</v>
      </c>
      <c r="L2788" s="5" t="str">
        <f t="shared" si="958"/>
        <v>02787</v>
      </c>
      <c r="M2788" s="46" t="str">
        <f t="shared" si="959"/>
        <v>05 de marzo de 2020</v>
      </c>
      <c r="N2788" s="318">
        <f t="shared" si="960"/>
        <v>5</v>
      </c>
      <c r="O2788" s="24">
        <f t="shared" si="961"/>
        <v>43891</v>
      </c>
      <c r="P2788" s="5" t="str">
        <f t="shared" si="966"/>
        <v>147.050,00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1164</v>
      </c>
      <c r="J2789" s="59" t="s">
        <v>22</v>
      </c>
      <c r="L2789" s="5" t="str">
        <f t="shared" si="958"/>
        <v>02788</v>
      </c>
      <c r="M2789" s="46" t="str">
        <f t="shared" si="959"/>
        <v>05 de marzo de 2020</v>
      </c>
      <c r="N2789" s="318">
        <f t="shared" si="960"/>
        <v>5</v>
      </c>
      <c r="O2789" s="24">
        <f t="shared" si="961"/>
        <v>43891</v>
      </c>
      <c r="P2789" s="5" t="str">
        <f t="shared" si="966"/>
        <v>185.250,00</v>
      </c>
      <c r="Q2789" s="4" t="e">
        <f t="shared" ca="1" si="967"/>
        <v>#NAME?</v>
      </c>
    </row>
    <row r="2790" spans="1:17">
      <c r="A2790" s="1">
        <f>A2789+1</f>
        <v>2789</v>
      </c>
      <c r="B2790" s="8"/>
      <c r="C2790" s="83" t="s">
        <v>17</v>
      </c>
      <c r="D2790" s="2">
        <v>43895</v>
      </c>
      <c r="E2790" s="3">
        <v>185250</v>
      </c>
      <c r="F2790" t="s">
        <v>259</v>
      </c>
      <c r="G2790" s="18" t="s">
        <v>58</v>
      </c>
      <c r="H2790" t="s">
        <v>261</v>
      </c>
      <c r="I2790" s="6" t="s">
        <v>1143</v>
      </c>
      <c r="J2790" s="59" t="s">
        <v>22</v>
      </c>
      <c r="L2790" s="5" t="str">
        <f t="shared" si="958"/>
        <v>02789</v>
      </c>
      <c r="M2790" s="46" t="str">
        <f t="shared" si="959"/>
        <v>05 de marzo de 2020</v>
      </c>
      <c r="N2790" s="318">
        <f t="shared" si="960"/>
        <v>5</v>
      </c>
      <c r="O2790" s="24">
        <f t="shared" si="961"/>
        <v>43891</v>
      </c>
      <c r="P2790" s="5" t="str">
        <f t="shared" si="966"/>
        <v>185.250,00</v>
      </c>
      <c r="Q2790" s="4" t="e">
        <f t="shared" ca="1" si="967"/>
        <v>#NAME?</v>
      </c>
    </row>
    <row r="2791" spans="1:17">
      <c r="A2791" s="1">
        <f t="shared" ref="A2791:A2794" si="970">A2790+1</f>
        <v>2790</v>
      </c>
      <c r="C2791" s="83" t="s">
        <v>17</v>
      </c>
      <c r="D2791" s="2">
        <v>43896</v>
      </c>
      <c r="E2791" s="3">
        <v>185250</v>
      </c>
      <c r="F2791" t="s">
        <v>40</v>
      </c>
      <c r="G2791" s="447" t="s">
        <v>1169</v>
      </c>
      <c r="H2791" t="s">
        <v>42</v>
      </c>
      <c r="I2791" s="6" t="s">
        <v>1164</v>
      </c>
      <c r="J2791" s="59" t="s">
        <v>22</v>
      </c>
      <c r="L2791" s="5" t="str">
        <f t="shared" si="958"/>
        <v>02790</v>
      </c>
      <c r="M2791" s="46" t="str">
        <f t="shared" si="959"/>
        <v>06 de marzo de 2020</v>
      </c>
      <c r="N2791" s="318">
        <f t="shared" si="960"/>
        <v>6</v>
      </c>
      <c r="O2791" s="24">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1037</v>
      </c>
      <c r="H2792" t="s">
        <v>344</v>
      </c>
      <c r="I2792" s="6" t="s">
        <v>1164</v>
      </c>
      <c r="J2792" s="59" t="s">
        <v>22</v>
      </c>
      <c r="L2792" s="5" t="str">
        <f t="shared" si="958"/>
        <v>02791</v>
      </c>
      <c r="M2792" s="46" t="str">
        <f t="shared" si="959"/>
        <v>06 de marzo de 2020</v>
      </c>
      <c r="N2792" s="318">
        <f t="shared" si="960"/>
        <v>6</v>
      </c>
      <c r="O2792" s="24">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1170</v>
      </c>
      <c r="J2793" s="59" t="s">
        <v>22</v>
      </c>
      <c r="L2793" s="5" t="str">
        <f t="shared" si="958"/>
        <v>02792</v>
      </c>
      <c r="M2793" s="46" t="str">
        <f t="shared" si="959"/>
        <v>06 de marzo de 2020</v>
      </c>
      <c r="N2793" s="318">
        <f t="shared" si="960"/>
        <v>6</v>
      </c>
      <c r="O2793" s="24">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1171</v>
      </c>
      <c r="J2794" s="59" t="s">
        <v>22</v>
      </c>
      <c r="L2794" s="5" t="str">
        <f t="shared" ref="L2794:L2809" si="971">IF(ISBLANK(A2794),"",TEXT(A2794,"00000"))</f>
        <v>02793</v>
      </c>
      <c r="M2794" s="46" t="str">
        <f t="shared" ref="M2794:M2809" si="972">IF(ISBLANK(D2794),"",TEXT(D2794,"dd")&amp;" de "&amp;TEXT(D2794,"mmmm")&amp;" de "&amp;TEXT(YEAR(D2794),"0"))</f>
        <v>06 de marzo de 2020</v>
      </c>
      <c r="N2794" s="318">
        <f t="shared" ref="N2794:N2809" si="973">DAY(D2794)</f>
        <v>6</v>
      </c>
      <c r="O2794" s="24">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1164</v>
      </c>
      <c r="J2795" s="59" t="s">
        <v>22</v>
      </c>
      <c r="L2795" s="5" t="str">
        <f t="shared" si="971"/>
        <v>02794</v>
      </c>
      <c r="M2795" s="46" t="str">
        <f t="shared" si="972"/>
        <v>06 de marzo de 2020</v>
      </c>
      <c r="N2795" s="318">
        <f t="shared" si="973"/>
        <v>6</v>
      </c>
      <c r="O2795" s="24">
        <f t="shared" si="974"/>
        <v>43891</v>
      </c>
      <c r="P2795" s="5" t="str">
        <f t="shared" si="966"/>
        <v>185.250,00</v>
      </c>
      <c r="Q2795" s="4" t="e">
        <f t="shared" ca="1" si="967"/>
        <v>#NAME?</v>
      </c>
    </row>
    <row r="2796" spans="1:17">
      <c r="A2796" s="1">
        <f>A2795+1</f>
        <v>2795</v>
      </c>
      <c r="C2796" s="8" t="s">
        <v>17</v>
      </c>
      <c r="D2796" s="2">
        <v>43896</v>
      </c>
      <c r="E2796" s="3">
        <f>2*185250</f>
        <v>370500</v>
      </c>
      <c r="F2796" t="s">
        <v>844</v>
      </c>
      <c r="G2796" t="s">
        <v>845</v>
      </c>
      <c r="H2796" t="s">
        <v>169</v>
      </c>
      <c r="I2796" s="6" t="s">
        <v>1156</v>
      </c>
      <c r="J2796" s="59" t="s">
        <v>22</v>
      </c>
      <c r="L2796" s="5" t="str">
        <f t="shared" si="971"/>
        <v>02795</v>
      </c>
      <c r="M2796" s="46" t="str">
        <f t="shared" si="972"/>
        <v>06 de marzo de 2020</v>
      </c>
      <c r="N2796" s="318">
        <f t="shared" si="973"/>
        <v>6</v>
      </c>
      <c r="O2796" s="24">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1164</v>
      </c>
      <c r="J2797" s="59" t="s">
        <v>22</v>
      </c>
      <c r="L2797" s="5" t="str">
        <f t="shared" si="971"/>
        <v>02796</v>
      </c>
      <c r="M2797" s="46" t="str">
        <f t="shared" si="972"/>
        <v>08 de marzo de 2020</v>
      </c>
      <c r="N2797" s="318">
        <f t="shared" si="973"/>
        <v>8</v>
      </c>
      <c r="O2797" s="24">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1163</v>
      </c>
      <c r="J2798" s="59" t="s">
        <v>22</v>
      </c>
      <c r="L2798" s="5" t="str">
        <f t="shared" si="971"/>
        <v>02797</v>
      </c>
      <c r="M2798" s="46" t="str">
        <f t="shared" si="972"/>
        <v>07 de marzo de 2020</v>
      </c>
      <c r="N2798" s="318">
        <f t="shared" si="973"/>
        <v>7</v>
      </c>
      <c r="O2798" s="24">
        <f t="shared" si="974"/>
        <v>43891</v>
      </c>
      <c r="P2798" s="5" t="str">
        <f t="shared" si="966"/>
        <v>90.000,00</v>
      </c>
      <c r="Q2798" s="4" t="e">
        <f t="shared" ref="Q2798:Q2803" ca="1" si="975">CONVERTIRNUM(E2798)</f>
        <v>#NAME?</v>
      </c>
    </row>
    <row r="2799" spans="1:17">
      <c r="A2799" s="1">
        <f t="shared" ref="A2799:A2805" si="976">A2798+1</f>
        <v>2798</v>
      </c>
      <c r="B2799" s="8"/>
      <c r="C2799" s="83" t="s">
        <v>17</v>
      </c>
      <c r="D2799" s="2">
        <v>43899</v>
      </c>
      <c r="E2799" s="3">
        <v>265615</v>
      </c>
      <c r="F2799" s="22" t="s">
        <v>422</v>
      </c>
      <c r="G2799" s="18" t="s">
        <v>58</v>
      </c>
      <c r="H2799" t="s">
        <v>423</v>
      </c>
      <c r="I2799" s="6" t="s">
        <v>1162</v>
      </c>
      <c r="J2799" s="59" t="s">
        <v>22</v>
      </c>
      <c r="L2799" s="5" t="str">
        <f t="shared" si="971"/>
        <v>02798</v>
      </c>
      <c r="M2799" s="46" t="str">
        <f t="shared" si="972"/>
        <v>09 de marzo de 2020</v>
      </c>
      <c r="N2799" s="318">
        <f t="shared" si="973"/>
        <v>9</v>
      </c>
      <c r="O2799" s="24">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1164</v>
      </c>
      <c r="J2800" s="59" t="s">
        <v>22</v>
      </c>
      <c r="L2800" s="5" t="str">
        <f t="shared" si="971"/>
        <v>02799</v>
      </c>
      <c r="M2800" s="46" t="str">
        <f t="shared" si="972"/>
        <v>08 de marzo de 2020</v>
      </c>
      <c r="N2800" s="318">
        <f t="shared" si="973"/>
        <v>8</v>
      </c>
      <c r="O2800" s="24">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1164</v>
      </c>
      <c r="J2801" s="59" t="s">
        <v>22</v>
      </c>
      <c r="L2801" s="5" t="str">
        <f t="shared" si="971"/>
        <v>02800</v>
      </c>
      <c r="M2801" s="46" t="str">
        <f t="shared" si="972"/>
        <v>07 de marzo de 2020</v>
      </c>
      <c r="N2801" s="318">
        <f t="shared" si="973"/>
        <v>7</v>
      </c>
      <c r="O2801" s="24">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1172</v>
      </c>
      <c r="J2802" s="59" t="s">
        <v>22</v>
      </c>
      <c r="L2802" s="5" t="str">
        <f t="shared" si="971"/>
        <v>02801</v>
      </c>
      <c r="M2802" s="46" t="str">
        <f t="shared" si="972"/>
        <v>10 de marzo de 2020</v>
      </c>
      <c r="N2802" s="318">
        <f t="shared" si="973"/>
        <v>10</v>
      </c>
      <c r="O2802" s="24">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1164</v>
      </c>
      <c r="J2803" s="59" t="s">
        <v>22</v>
      </c>
      <c r="L2803" s="5" t="str">
        <f t="shared" si="971"/>
        <v>02802</v>
      </c>
      <c r="M2803" s="46" t="str">
        <f t="shared" si="972"/>
        <v>10 de marzo de 2020</v>
      </c>
      <c r="N2803" s="318">
        <f t="shared" si="973"/>
        <v>10</v>
      </c>
      <c r="O2803" s="24">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1164</v>
      </c>
      <c r="J2804" s="59" t="s">
        <v>22</v>
      </c>
      <c r="L2804" s="5" t="str">
        <f t="shared" si="971"/>
        <v>02803</v>
      </c>
      <c r="M2804" s="46" t="str">
        <f t="shared" si="972"/>
        <v>11 de marzo de 2020</v>
      </c>
      <c r="N2804" s="318">
        <f t="shared" si="973"/>
        <v>11</v>
      </c>
      <c r="O2804" s="24">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1164</v>
      </c>
      <c r="J2805" s="59" t="s">
        <v>22</v>
      </c>
      <c r="L2805" s="5" t="str">
        <f t="shared" si="971"/>
        <v>02804</v>
      </c>
      <c r="M2805" s="46" t="str">
        <f t="shared" si="972"/>
        <v>11 de marzo de 2020</v>
      </c>
      <c r="N2805" s="318">
        <f t="shared" si="973"/>
        <v>11</v>
      </c>
      <c r="O2805" s="24">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47" t="s">
        <v>959</v>
      </c>
      <c r="H2806" t="s">
        <v>254</v>
      </c>
      <c r="I2806" s="6" t="s">
        <v>1173</v>
      </c>
      <c r="J2806" s="59" t="s">
        <v>22</v>
      </c>
      <c r="L2806" s="5" t="str">
        <f t="shared" si="971"/>
        <v>02805</v>
      </c>
      <c r="M2806" s="46" t="str">
        <f t="shared" si="972"/>
        <v>12 de marzo de 2020</v>
      </c>
      <c r="N2806" s="318">
        <f t="shared" si="973"/>
        <v>12</v>
      </c>
      <c r="O2806" s="24">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2" t="s">
        <v>1048</v>
      </c>
      <c r="H2807" t="s">
        <v>105</v>
      </c>
      <c r="I2807" s="6" t="s">
        <v>1164</v>
      </c>
      <c r="J2807" s="59" t="s">
        <v>22</v>
      </c>
      <c r="L2807" s="5" t="str">
        <f t="shared" si="971"/>
        <v>02806</v>
      </c>
      <c r="M2807" s="46" t="str">
        <f t="shared" si="972"/>
        <v>13 de marzo de 2020</v>
      </c>
      <c r="N2807" s="318">
        <f t="shared" si="973"/>
        <v>13</v>
      </c>
      <c r="O2807" s="24">
        <f t="shared" si="974"/>
        <v>43891</v>
      </c>
      <c r="P2807" s="5" t="str">
        <f t="shared" si="977"/>
        <v>186.000,00</v>
      </c>
      <c r="Q2807" s="4" t="e">
        <f t="shared" ca="1" si="978"/>
        <v>#NAME?</v>
      </c>
    </row>
    <row r="2808" spans="1:17">
      <c r="A2808" s="1">
        <f t="shared" ref="A2808:A2812" si="979">A2807+1</f>
        <v>2807</v>
      </c>
      <c r="B2808" s="8"/>
      <c r="C2808" s="83" t="s">
        <v>17</v>
      </c>
      <c r="D2808" s="2">
        <v>43902</v>
      </c>
      <c r="E2808" s="3">
        <v>200000</v>
      </c>
      <c r="F2808" t="s">
        <v>319</v>
      </c>
      <c r="G2808" s="18" t="s">
        <v>58</v>
      </c>
      <c r="H2808" t="s">
        <v>320</v>
      </c>
      <c r="I2808" s="6" t="s">
        <v>1164</v>
      </c>
      <c r="J2808" s="59" t="s">
        <v>22</v>
      </c>
      <c r="L2808" s="5" t="str">
        <f t="shared" si="971"/>
        <v>02807</v>
      </c>
      <c r="M2808" s="46" t="str">
        <f t="shared" si="972"/>
        <v>12 de marzo de 2020</v>
      </c>
      <c r="N2808" s="318">
        <f t="shared" si="973"/>
        <v>12</v>
      </c>
      <c r="O2808" s="24">
        <f t="shared" si="974"/>
        <v>43891</v>
      </c>
      <c r="P2808" s="5" t="str">
        <f t="shared" si="977"/>
        <v>200.000,00</v>
      </c>
      <c r="Q2808" s="4" t="e">
        <f t="shared" ca="1" si="978"/>
        <v>#NAME?</v>
      </c>
    </row>
    <row r="2809" spans="1:17">
      <c r="A2809" s="600">
        <f>A2808+1</f>
        <v>2808</v>
      </c>
      <c r="B2809" s="8"/>
      <c r="C2809" s="8" t="s">
        <v>17</v>
      </c>
      <c r="D2809" s="2">
        <v>43902</v>
      </c>
      <c r="E2809" s="3">
        <v>185250</v>
      </c>
      <c r="F2809" t="s">
        <v>454</v>
      </c>
      <c r="G2809" t="s">
        <v>761</v>
      </c>
      <c r="H2809" t="s">
        <v>455</v>
      </c>
      <c r="I2809" s="6" t="s">
        <v>1164</v>
      </c>
      <c r="J2809" s="59" t="s">
        <v>22</v>
      </c>
      <c r="L2809" s="5" t="str">
        <f t="shared" si="971"/>
        <v>02808</v>
      </c>
      <c r="M2809" s="46" t="str">
        <f t="shared" si="972"/>
        <v>12 de marzo de 2020</v>
      </c>
      <c r="N2809" s="318">
        <f t="shared" si="973"/>
        <v>12</v>
      </c>
      <c r="O2809" s="24">
        <f t="shared" si="974"/>
        <v>43891</v>
      </c>
      <c r="P2809" s="5" t="str">
        <f t="shared" si="977"/>
        <v>185.250,00</v>
      </c>
      <c r="Q2809" s="4" t="e">
        <f t="shared" ca="1" si="978"/>
        <v>#NAME?</v>
      </c>
    </row>
    <row r="2810" spans="1:17">
      <c r="A2810" s="600">
        <f>A2809+1</f>
        <v>2809</v>
      </c>
      <c r="B2810" s="8"/>
      <c r="C2810" s="8" t="s">
        <v>17</v>
      </c>
      <c r="D2810" s="2">
        <v>43903</v>
      </c>
      <c r="E2810" s="3">
        <f>372000</f>
        <v>372000</v>
      </c>
      <c r="F2810" t="s">
        <v>1174</v>
      </c>
      <c r="G2810" t="s">
        <v>1175</v>
      </c>
      <c r="H2810" t="s">
        <v>187</v>
      </c>
      <c r="I2810" s="6" t="s">
        <v>1156</v>
      </c>
      <c r="J2810" s="59" t="s">
        <v>22</v>
      </c>
      <c r="L2810" s="5" t="str">
        <f t="shared" ref="L2810:L2823" si="980">IF(ISBLANK(A2810),"",TEXT(A2810,"00000"))</f>
        <v>02809</v>
      </c>
      <c r="M2810" s="46" t="str">
        <f t="shared" ref="M2810:M2823" si="981">IF(ISBLANK(D2810),"",TEXT(D2810,"dd")&amp;" de "&amp;TEXT(D2810,"mmmm")&amp;" de "&amp;TEXT(YEAR(D2810),"0"))</f>
        <v>13 de marzo de 2020</v>
      </c>
      <c r="N2810" s="318">
        <f t="shared" ref="N2810:N2842" si="982">DAY(D2810)</f>
        <v>13</v>
      </c>
      <c r="O2810" s="24">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948</v>
      </c>
      <c r="G2811" t="s">
        <v>949</v>
      </c>
      <c r="H2811" t="s">
        <v>950</v>
      </c>
      <c r="I2811" s="6" t="s">
        <v>1164</v>
      </c>
      <c r="J2811" s="59" t="s">
        <v>22</v>
      </c>
      <c r="L2811" s="5" t="str">
        <f t="shared" si="980"/>
        <v>02810</v>
      </c>
      <c r="M2811" s="46" t="str">
        <f t="shared" si="981"/>
        <v>15 de marzo de 2020</v>
      </c>
      <c r="N2811" s="318">
        <f t="shared" si="982"/>
        <v>15</v>
      </c>
      <c r="O2811" s="24">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1164</v>
      </c>
      <c r="J2812" s="59" t="s">
        <v>22</v>
      </c>
      <c r="L2812" s="5" t="str">
        <f t="shared" si="980"/>
        <v>02811</v>
      </c>
      <c r="M2812" s="46" t="str">
        <f t="shared" si="981"/>
        <v>16 de marzo de 2020</v>
      </c>
      <c r="N2812" s="318">
        <f t="shared" si="982"/>
        <v>16</v>
      </c>
      <c r="O2812" s="24">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1164</v>
      </c>
      <c r="J2813" s="59" t="s">
        <v>22</v>
      </c>
      <c r="L2813" s="5" t="str">
        <f t="shared" si="980"/>
        <v>02812</v>
      </c>
      <c r="M2813" s="46" t="str">
        <f t="shared" si="981"/>
        <v>19 de marzo de 2020</v>
      </c>
      <c r="N2813" s="318">
        <f t="shared" si="982"/>
        <v>19</v>
      </c>
      <c r="O2813" s="24">
        <f t="shared" si="983"/>
        <v>43891</v>
      </c>
      <c r="P2813" s="5" t="str">
        <f t="shared" si="984"/>
        <v>186.000,00</v>
      </c>
      <c r="Q2813" s="4" t="e">
        <f t="shared" ca="1" si="985"/>
        <v>#NAME?</v>
      </c>
    </row>
    <row r="2814" spans="1:17">
      <c r="A2814" s="1">
        <f t="shared" si="986"/>
        <v>2813</v>
      </c>
      <c r="C2814" s="8" t="s">
        <v>17</v>
      </c>
      <c r="D2814" s="2">
        <v>43910</v>
      </c>
      <c r="E2814" s="3">
        <v>185250</v>
      </c>
      <c r="F2814" t="s">
        <v>239</v>
      </c>
      <c r="G2814" s="550" t="s">
        <v>240</v>
      </c>
      <c r="H2814" t="s">
        <v>241</v>
      </c>
      <c r="I2814" s="6" t="s">
        <v>1164</v>
      </c>
      <c r="J2814" s="59" t="s">
        <v>22</v>
      </c>
      <c r="L2814" s="5" t="str">
        <f t="shared" si="980"/>
        <v>02813</v>
      </c>
      <c r="M2814" s="46" t="str">
        <f t="shared" si="981"/>
        <v>20 de marzo de 2020</v>
      </c>
      <c r="N2814" s="318">
        <f t="shared" si="982"/>
        <v>20</v>
      </c>
      <c r="O2814" s="24">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1164</v>
      </c>
      <c r="J2815" s="59" t="s">
        <v>22</v>
      </c>
      <c r="L2815" s="5" t="str">
        <f t="shared" si="980"/>
        <v>02814</v>
      </c>
      <c r="M2815" s="46" t="str">
        <f t="shared" si="981"/>
        <v>20 de marzo de 2020</v>
      </c>
      <c r="N2815" s="318">
        <f t="shared" si="982"/>
        <v>20</v>
      </c>
      <c r="O2815" s="24">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1164</v>
      </c>
      <c r="J2816" s="59" t="s">
        <v>22</v>
      </c>
      <c r="L2816" s="5" t="str">
        <f t="shared" si="980"/>
        <v>02815</v>
      </c>
      <c r="M2816" s="46" t="str">
        <f t="shared" si="981"/>
        <v>20 de marzo de 2020</v>
      </c>
      <c r="N2816" s="318">
        <f t="shared" si="982"/>
        <v>20</v>
      </c>
      <c r="O2816" s="24">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1164</v>
      </c>
      <c r="J2817" s="59" t="s">
        <v>22</v>
      </c>
      <c r="L2817" s="5" t="str">
        <f t="shared" si="980"/>
        <v>02816</v>
      </c>
      <c r="M2817" s="46" t="str">
        <f t="shared" si="981"/>
        <v>22 de marzo de 2020</v>
      </c>
      <c r="N2817" s="318">
        <f t="shared" si="982"/>
        <v>22</v>
      </c>
      <c r="O2817" s="24">
        <f t="shared" si="983"/>
        <v>43891</v>
      </c>
      <c r="P2817" s="5" t="str">
        <f t="shared" si="984"/>
        <v>185.250,00</v>
      </c>
      <c r="Q2817" s="4" t="e">
        <f t="shared" ca="1" si="985"/>
        <v>#NAME?</v>
      </c>
    </row>
    <row r="2818" spans="1:17">
      <c r="A2818" s="1">
        <f t="shared" si="986"/>
        <v>2817</v>
      </c>
      <c r="B2818" s="8"/>
      <c r="C2818" s="8" t="s">
        <v>17</v>
      </c>
      <c r="D2818" s="2">
        <v>43913</v>
      </c>
      <c r="E2818" s="3">
        <v>185250</v>
      </c>
      <c r="F2818" t="s">
        <v>936</v>
      </c>
      <c r="G2818" t="s">
        <v>937</v>
      </c>
      <c r="H2818" t="s">
        <v>150</v>
      </c>
      <c r="I2818" s="6" t="s">
        <v>1176</v>
      </c>
      <c r="J2818" s="59" t="s">
        <v>22</v>
      </c>
      <c r="L2818" s="5" t="str">
        <f t="shared" si="980"/>
        <v>02817</v>
      </c>
      <c r="M2818" s="46" t="str">
        <f t="shared" si="981"/>
        <v>23 de marzo de 2020</v>
      </c>
      <c r="N2818" s="318">
        <f t="shared" si="982"/>
        <v>23</v>
      </c>
      <c r="O2818" s="24">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1164</v>
      </c>
      <c r="J2819" s="59" t="s">
        <v>22</v>
      </c>
      <c r="L2819" s="5" t="str">
        <f t="shared" si="980"/>
        <v>02818</v>
      </c>
      <c r="M2819" s="46" t="str">
        <f t="shared" si="981"/>
        <v>23 de marzo de 2020</v>
      </c>
      <c r="N2819" s="318">
        <f t="shared" si="982"/>
        <v>23</v>
      </c>
      <c r="O2819" s="24">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47" t="s">
        <v>959</v>
      </c>
      <c r="H2820" t="s">
        <v>254</v>
      </c>
      <c r="I2820" s="6" t="s">
        <v>1163</v>
      </c>
      <c r="J2820" s="59" t="s">
        <v>22</v>
      </c>
      <c r="L2820" s="5" t="str">
        <f t="shared" si="980"/>
        <v>02819</v>
      </c>
      <c r="M2820" s="46" t="str">
        <f t="shared" si="981"/>
        <v>23 de marzo de 2020</v>
      </c>
      <c r="N2820" s="318">
        <f t="shared" si="982"/>
        <v>23</v>
      </c>
      <c r="O2820" s="24">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1164</v>
      </c>
      <c r="J2821" s="59" t="s">
        <v>22</v>
      </c>
      <c r="L2821" s="5" t="str">
        <f t="shared" si="980"/>
        <v>02820</v>
      </c>
      <c r="M2821" s="46" t="str">
        <f t="shared" si="981"/>
        <v>06 de marzo de 2020</v>
      </c>
      <c r="N2821" s="318">
        <f t="shared" si="982"/>
        <v>6</v>
      </c>
      <c r="O2821" s="24">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1147</v>
      </c>
      <c r="J2822" s="59" t="s">
        <v>22</v>
      </c>
      <c r="L2822" s="5" t="str">
        <f t="shared" si="980"/>
        <v>02821</v>
      </c>
      <c r="M2822" s="46" t="str">
        <f t="shared" si="981"/>
        <v>11 de marzo de 2020</v>
      </c>
      <c r="N2822" s="318">
        <f t="shared" si="982"/>
        <v>11</v>
      </c>
      <c r="O2822" s="24">
        <f t="shared" si="983"/>
        <v>43891</v>
      </c>
      <c r="P2822" s="5" t="str">
        <f t="shared" si="984"/>
        <v>100.000,00</v>
      </c>
      <c r="Q2822" s="4" t="e">
        <f t="shared" ca="1" si="985"/>
        <v>#NAME?</v>
      </c>
    </row>
    <row r="2823" spans="1:17">
      <c r="A2823" s="608">
        <f t="shared" si="988"/>
        <v>2822</v>
      </c>
      <c r="B2823" s="8"/>
      <c r="C2823" s="8" t="s">
        <v>17</v>
      </c>
      <c r="D2823" s="2">
        <v>43902</v>
      </c>
      <c r="E2823" s="3">
        <v>185250</v>
      </c>
      <c r="F2823" t="s">
        <v>633</v>
      </c>
      <c r="G2823" t="s">
        <v>634</v>
      </c>
      <c r="H2823" t="s">
        <v>635</v>
      </c>
      <c r="I2823" s="6" t="s">
        <v>1164</v>
      </c>
      <c r="J2823" s="59" t="s">
        <v>22</v>
      </c>
      <c r="L2823" s="5" t="str">
        <f t="shared" si="980"/>
        <v>02822</v>
      </c>
      <c r="M2823" s="46" t="str">
        <f t="shared" si="981"/>
        <v>12 de marzo de 2020</v>
      </c>
      <c r="N2823" s="318">
        <f t="shared" si="982"/>
        <v>12</v>
      </c>
      <c r="O2823" s="24">
        <f t="shared" si="983"/>
        <v>43891</v>
      </c>
      <c r="P2823" s="5" t="str">
        <f t="shared" si="984"/>
        <v>185.250,00</v>
      </c>
      <c r="Q2823" s="4" t="e">
        <f t="shared" ca="1" si="985"/>
        <v>#NAME?</v>
      </c>
    </row>
    <row r="2824" spans="1:17">
      <c r="A2824" s="600">
        <f t="shared" si="988"/>
        <v>2823</v>
      </c>
      <c r="B2824" s="8"/>
      <c r="C2824" s="8" t="s">
        <v>17</v>
      </c>
      <c r="D2824" s="2">
        <v>43913</v>
      </c>
      <c r="E2824" s="3">
        <v>185250</v>
      </c>
      <c r="F2824" t="s">
        <v>243</v>
      </c>
      <c r="G2824" t="s">
        <v>244</v>
      </c>
      <c r="H2824" t="s">
        <v>245</v>
      </c>
      <c r="I2824" s="6" t="s">
        <v>1164</v>
      </c>
      <c r="J2824" s="59" t="s">
        <v>22</v>
      </c>
      <c r="L2824" s="5" t="str">
        <f>IF(ISBLANK(A2824),"",TEXT(A2824,"00000"))</f>
        <v>02823</v>
      </c>
      <c r="M2824" s="46" t="str">
        <f>IF(ISBLANK(D2824),"",TEXT(D2824,"dd")&amp;" de "&amp;TEXT(D2824,"mmmm")&amp;" de "&amp;TEXT(YEAR(D2824),"0"))</f>
        <v>23 de marzo de 2020</v>
      </c>
      <c r="N2824" s="318">
        <f t="shared" si="982"/>
        <v>23</v>
      </c>
      <c r="O2824" s="24">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1163</v>
      </c>
      <c r="J2825" s="59" t="s">
        <v>22</v>
      </c>
      <c r="L2825" s="5" t="str">
        <f t="shared" ref="L2825:L2836" si="989">IF(ISBLANK(A2825),"",TEXT(A2825,"00000"))</f>
        <v>02824</v>
      </c>
      <c r="M2825" s="46" t="str">
        <f t="shared" ref="M2825:M2836" si="990">IF(ISBLANK(D2825),"",TEXT(D2825,"dd")&amp;" de "&amp;TEXT(D2825,"mmmm")&amp;" de "&amp;TEXT(YEAR(D2825),"0"))</f>
        <v>23 de marzo de 2020</v>
      </c>
      <c r="N2825" s="318">
        <f t="shared" si="982"/>
        <v>23</v>
      </c>
      <c r="O2825" s="24">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1139</v>
      </c>
      <c r="G2826" t="s">
        <v>1140</v>
      </c>
      <c r="H2826" t="s">
        <v>1116</v>
      </c>
      <c r="I2826" s="6" t="s">
        <v>1164</v>
      </c>
      <c r="J2826" s="59" t="s">
        <v>22</v>
      </c>
      <c r="L2826" s="5" t="str">
        <f t="shared" si="989"/>
        <v>02825</v>
      </c>
      <c r="M2826" s="46" t="str">
        <f t="shared" si="990"/>
        <v>23 de marzo de 2020</v>
      </c>
      <c r="N2826" s="318">
        <f t="shared" si="982"/>
        <v>23</v>
      </c>
      <c r="O2826" s="24">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1164</v>
      </c>
      <c r="J2827" s="59" t="s">
        <v>22</v>
      </c>
      <c r="L2827" s="5" t="str">
        <f t="shared" si="989"/>
        <v>02826</v>
      </c>
      <c r="M2827" s="46" t="str">
        <f t="shared" si="990"/>
        <v>23 de marzo de 2020</v>
      </c>
      <c r="N2827" s="318">
        <f t="shared" si="982"/>
        <v>23</v>
      </c>
      <c r="O2827" s="24">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1164</v>
      </c>
      <c r="J2828" s="59" t="s">
        <v>22</v>
      </c>
      <c r="L2828" s="5" t="str">
        <f t="shared" si="989"/>
        <v>02827</v>
      </c>
      <c r="M2828" s="46" t="str">
        <f t="shared" si="990"/>
        <v>24 de marzo de 2020</v>
      </c>
      <c r="N2828" s="318">
        <f t="shared" si="982"/>
        <v>24</v>
      </c>
      <c r="O2828" s="24">
        <f t="shared" si="991"/>
        <v>43891</v>
      </c>
      <c r="P2828" s="5" t="str">
        <f t="shared" si="984"/>
        <v>185.250,00</v>
      </c>
      <c r="Q2828" s="4" t="e">
        <f t="shared" ca="1" si="985"/>
        <v>#NAME?</v>
      </c>
    </row>
    <row r="2829" spans="1:17">
      <c r="A2829" s="1">
        <f t="shared" si="988"/>
        <v>2828</v>
      </c>
      <c r="B2829" s="8"/>
      <c r="C2829" s="8" t="s">
        <v>17</v>
      </c>
      <c r="D2829" s="2">
        <v>43915</v>
      </c>
      <c r="E2829" s="550">
        <f>185250+185250/2.5*0.5</f>
        <v>222300</v>
      </c>
      <c r="F2829" t="s">
        <v>230</v>
      </c>
      <c r="G2829" t="s">
        <v>231</v>
      </c>
      <c r="H2829" t="s">
        <v>232</v>
      </c>
      <c r="I2829" s="6" t="s">
        <v>1177</v>
      </c>
      <c r="J2829" s="59" t="s">
        <v>22</v>
      </c>
      <c r="L2829" s="5" t="str">
        <f t="shared" si="989"/>
        <v>02828</v>
      </c>
      <c r="M2829" s="46" t="str">
        <f t="shared" si="990"/>
        <v>25 de marzo de 2020</v>
      </c>
      <c r="N2829" s="318">
        <f t="shared" si="982"/>
        <v>25</v>
      </c>
      <c r="O2829" s="24">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1164</v>
      </c>
      <c r="J2830" s="59" t="s">
        <v>22</v>
      </c>
      <c r="L2830" s="5" t="str">
        <f t="shared" si="989"/>
        <v>02829</v>
      </c>
      <c r="M2830" s="46" t="str">
        <f t="shared" si="990"/>
        <v>25 de marzo de 2020</v>
      </c>
      <c r="N2830" s="318">
        <f t="shared" si="982"/>
        <v>25</v>
      </c>
      <c r="O2830" s="24">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1164</v>
      </c>
      <c r="J2831" s="59" t="s">
        <v>22</v>
      </c>
      <c r="L2831" s="5" t="str">
        <f t="shared" si="989"/>
        <v>02830</v>
      </c>
      <c r="M2831" s="46" t="str">
        <f t="shared" si="990"/>
        <v>25 de marzo de 2020</v>
      </c>
      <c r="N2831" s="318">
        <f t="shared" si="982"/>
        <v>25</v>
      </c>
      <c r="O2831" s="24">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1178</v>
      </c>
      <c r="J2832" s="59" t="s">
        <v>22</v>
      </c>
      <c r="L2832" s="5" t="str">
        <f t="shared" si="989"/>
        <v>02831</v>
      </c>
      <c r="M2832" s="46" t="str">
        <f t="shared" si="990"/>
        <v>25 de marzo de 2020</v>
      </c>
      <c r="N2832" s="318">
        <f t="shared" si="982"/>
        <v>25</v>
      </c>
      <c r="O2832" s="24">
        <f t="shared" si="991"/>
        <v>43891</v>
      </c>
      <c r="P2832" s="5" t="str">
        <f t="shared" si="984"/>
        <v>307.000,00</v>
      </c>
      <c r="Q2832" s="4" t="e">
        <f t="shared" ca="1" si="985"/>
        <v>#NAME?</v>
      </c>
    </row>
    <row r="2833" spans="1:17">
      <c r="A2833" s="1">
        <f>A2832+1</f>
        <v>2832</v>
      </c>
      <c r="B2833" s="8"/>
      <c r="C2833" s="8" t="s">
        <v>17</v>
      </c>
      <c r="D2833" s="2">
        <v>43915</v>
      </c>
      <c r="E2833" s="160">
        <f>260225-185250</f>
        <v>74975</v>
      </c>
      <c r="F2833" t="s">
        <v>334</v>
      </c>
      <c r="G2833" t="s">
        <v>85</v>
      </c>
      <c r="H2833" t="s">
        <v>335</v>
      </c>
      <c r="I2833" s="6" t="s">
        <v>1179</v>
      </c>
      <c r="J2833" s="59" t="s">
        <v>22</v>
      </c>
      <c r="L2833" s="5" t="str">
        <f t="shared" si="989"/>
        <v>02832</v>
      </c>
      <c r="M2833" s="46" t="str">
        <f t="shared" si="990"/>
        <v>25 de marzo de 2020</v>
      </c>
      <c r="N2833" s="318">
        <f t="shared" si="982"/>
        <v>25</v>
      </c>
      <c r="O2833" s="24">
        <f t="shared" si="991"/>
        <v>43891</v>
      </c>
      <c r="P2833" s="5" t="str">
        <f t="shared" si="984"/>
        <v>74.975,00</v>
      </c>
      <c r="Q2833" s="4" t="e">
        <f t="shared" ca="1" si="985"/>
        <v>#NAME?</v>
      </c>
    </row>
    <row r="2834" spans="1:17">
      <c r="A2834" s="1">
        <f t="shared" ref="A2834:A2838" si="993">A2833+1</f>
        <v>2833</v>
      </c>
      <c r="B2834" s="8"/>
      <c r="C2834" s="8" t="s">
        <v>17</v>
      </c>
      <c r="D2834" s="2">
        <v>43915</v>
      </c>
      <c r="E2834" s="160">
        <v>185250</v>
      </c>
      <c r="F2834" t="s">
        <v>84</v>
      </c>
      <c r="G2834" t="s">
        <v>85</v>
      </c>
      <c r="H2834" t="s">
        <v>86</v>
      </c>
      <c r="I2834" s="6" t="s">
        <v>1176</v>
      </c>
      <c r="J2834" s="59" t="s">
        <v>22</v>
      </c>
      <c r="L2834" s="5" t="str">
        <f t="shared" si="989"/>
        <v>02833</v>
      </c>
      <c r="M2834" s="46" t="str">
        <f t="shared" si="990"/>
        <v>25 de marzo de 2020</v>
      </c>
      <c r="N2834" s="318">
        <f t="shared" si="982"/>
        <v>25</v>
      </c>
      <c r="O2834" s="24">
        <f t="shared" si="991"/>
        <v>43891</v>
      </c>
      <c r="P2834" s="5" t="str">
        <f t="shared" si="984"/>
        <v>185.250,00</v>
      </c>
      <c r="Q2834" s="4" t="e">
        <f t="shared" ca="1" si="985"/>
        <v>#NAME?</v>
      </c>
    </row>
    <row r="2835" spans="1:17">
      <c r="A2835" s="1">
        <f>A2834+1</f>
        <v>2834</v>
      </c>
      <c r="B2835" s="8"/>
      <c r="C2835" s="8" t="s">
        <v>17</v>
      </c>
      <c r="D2835" s="2">
        <v>43915</v>
      </c>
      <c r="E2835" s="160">
        <v>185250</v>
      </c>
      <c r="F2835" t="s">
        <v>130</v>
      </c>
      <c r="G2835" t="s">
        <v>1055</v>
      </c>
      <c r="H2835" t="s">
        <v>132</v>
      </c>
      <c r="I2835" s="6" t="s">
        <v>1164</v>
      </c>
      <c r="J2835" s="59" t="s">
        <v>22</v>
      </c>
      <c r="L2835" s="5" t="str">
        <f t="shared" si="989"/>
        <v>02834</v>
      </c>
      <c r="M2835" s="46" t="str">
        <f t="shared" si="990"/>
        <v>25 de marzo de 2020</v>
      </c>
      <c r="N2835" s="318">
        <f t="shared" si="982"/>
        <v>25</v>
      </c>
      <c r="O2835" s="24">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1052</v>
      </c>
      <c r="H2836" t="s">
        <v>596</v>
      </c>
      <c r="I2836" s="6" t="s">
        <v>1156</v>
      </c>
      <c r="J2836" s="59" t="s">
        <v>22</v>
      </c>
      <c r="L2836" s="5" t="str">
        <f t="shared" si="989"/>
        <v>02835</v>
      </c>
      <c r="M2836" s="46" t="str">
        <f t="shared" si="990"/>
        <v>25 de marzo de 2020</v>
      </c>
      <c r="N2836" s="318">
        <f t="shared" si="982"/>
        <v>25</v>
      </c>
      <c r="O2836" s="24">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1180</v>
      </c>
      <c r="J2837" s="59" t="s">
        <v>22</v>
      </c>
      <c r="L2837" s="5" t="str">
        <f>IF(ISBLANK(A2837),"",TEXT(A2837,"00000"))</f>
        <v>02836</v>
      </c>
      <c r="M2837" s="46" t="str">
        <f>IF(ISBLANK(D2837),"",TEXT(D2837,"dd")&amp;" de "&amp;TEXT(D2837,"mmmm")&amp;" de "&amp;TEXT(YEAR(D2837),"0"))</f>
        <v>25 de marzo de 2020</v>
      </c>
      <c r="N2837" s="318">
        <f t="shared" si="982"/>
        <v>25</v>
      </c>
      <c r="O2837" s="24">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1164</v>
      </c>
      <c r="J2838" s="59" t="s">
        <v>22</v>
      </c>
      <c r="L2838" s="5" t="str">
        <f t="shared" ref="L2838:L2864" si="994">IF(ISBLANK(A2838),"",TEXT(A2838,"00000"))</f>
        <v>02837</v>
      </c>
      <c r="M2838" s="46" t="str">
        <f t="shared" ref="M2838:M2864" si="995">IF(ISBLANK(D2838),"",TEXT(D2838,"dd")&amp;" de "&amp;TEXT(D2838,"mmmm")&amp;" de "&amp;TEXT(YEAR(D2838),"0"))</f>
        <v>26 de marzo de 2020</v>
      </c>
      <c r="N2838" s="318">
        <f t="shared" si="982"/>
        <v>26</v>
      </c>
      <c r="O2838" s="24">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47" t="s">
        <v>979</v>
      </c>
      <c r="H2839" t="s">
        <v>92</v>
      </c>
      <c r="I2839" s="6" t="s">
        <v>1181</v>
      </c>
      <c r="J2839" s="59" t="s">
        <v>22</v>
      </c>
      <c r="L2839" s="5" t="str">
        <f t="shared" si="994"/>
        <v>02838</v>
      </c>
      <c r="M2839" s="46" t="str">
        <f t="shared" si="995"/>
        <v>27 de marzo de 2020</v>
      </c>
      <c r="N2839" s="318">
        <f t="shared" si="982"/>
        <v>27</v>
      </c>
      <c r="O2839" s="24">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1164</v>
      </c>
      <c r="J2840" s="59" t="s">
        <v>22</v>
      </c>
      <c r="L2840" s="5" t="str">
        <f t="shared" si="994"/>
        <v>02839</v>
      </c>
      <c r="M2840" s="46" t="str">
        <f t="shared" si="995"/>
        <v>27 de marzo de 2020</v>
      </c>
      <c r="N2840" s="318">
        <f t="shared" si="982"/>
        <v>27</v>
      </c>
      <c r="O2840" s="24">
        <f t="shared" si="996"/>
        <v>43891</v>
      </c>
      <c r="P2840" s="5" t="str">
        <f t="shared" si="984"/>
        <v>185.250,00</v>
      </c>
      <c r="Q2840" s="4" t="e">
        <f t="shared" ca="1" si="985"/>
        <v>#NAME?</v>
      </c>
    </row>
    <row r="2841" spans="1:17">
      <c r="A2841" s="1">
        <f>A2840+1</f>
        <v>2840</v>
      </c>
      <c r="C2841" s="8" t="s">
        <v>17</v>
      </c>
      <c r="D2841" s="2">
        <v>43920</v>
      </c>
      <c r="E2841" s="3">
        <v>185250</v>
      </c>
      <c r="F2841" t="s">
        <v>1018</v>
      </c>
      <c r="G2841" s="447" t="s">
        <v>1161</v>
      </c>
      <c r="H2841" t="s">
        <v>140</v>
      </c>
      <c r="I2841" s="6" t="s">
        <v>1164</v>
      </c>
      <c r="J2841" s="59" t="s">
        <v>22</v>
      </c>
      <c r="L2841" s="5" t="str">
        <f t="shared" si="994"/>
        <v>02840</v>
      </c>
      <c r="M2841" s="46" t="str">
        <f t="shared" si="995"/>
        <v>30 de marzo de 2020</v>
      </c>
      <c r="N2841" s="318">
        <f t="shared" si="982"/>
        <v>30</v>
      </c>
      <c r="O2841" s="24">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1164</v>
      </c>
      <c r="J2842" s="59" t="s">
        <v>22</v>
      </c>
      <c r="L2842" s="5" t="str">
        <f t="shared" si="994"/>
        <v>02841</v>
      </c>
      <c r="M2842" s="46" t="str">
        <f t="shared" si="995"/>
        <v>30 de marzo de 2020</v>
      </c>
      <c r="N2842" s="318">
        <f t="shared" si="982"/>
        <v>30</v>
      </c>
      <c r="O2842" s="24">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1163</v>
      </c>
      <c r="J2843" s="59" t="s">
        <v>22</v>
      </c>
      <c r="L2843" s="5" t="str">
        <f t="shared" si="994"/>
        <v>02842</v>
      </c>
      <c r="M2843" s="46" t="str">
        <f t="shared" si="995"/>
        <v>30 de marzo de 2020</v>
      </c>
      <c r="N2843" s="318">
        <f t="shared" ref="N2843:N2864" si="997">DAY(D2843)</f>
        <v>30</v>
      </c>
      <c r="O2843" s="24">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1182</v>
      </c>
      <c r="J2844" s="59" t="s">
        <v>22</v>
      </c>
      <c r="L2844" s="5" t="str">
        <f t="shared" si="994"/>
        <v>02843</v>
      </c>
      <c r="M2844" s="46" t="str">
        <f t="shared" si="995"/>
        <v>01 de abril de 2020</v>
      </c>
      <c r="N2844" s="318">
        <f t="shared" si="997"/>
        <v>1</v>
      </c>
      <c r="O2844" s="24">
        <f t="shared" si="996"/>
        <v>43922</v>
      </c>
      <c r="P2844" s="5" t="str">
        <f t="shared" si="998"/>
        <v>300.000,00</v>
      </c>
      <c r="Q2844" s="4" t="e">
        <f t="shared" ca="1" si="999"/>
        <v>#NAME?</v>
      </c>
    </row>
    <row r="2845" spans="1:17">
      <c r="A2845" s="1">
        <f>A2844+1</f>
        <v>2844</v>
      </c>
      <c r="C2845" s="8" t="s">
        <v>17</v>
      </c>
      <c r="D2845" s="2">
        <v>43922</v>
      </c>
      <c r="E2845" s="3">
        <v>186000</v>
      </c>
      <c r="F2845" t="s">
        <v>103</v>
      </c>
      <c r="G2845" s="552" t="s">
        <v>1048</v>
      </c>
      <c r="H2845" t="s">
        <v>105</v>
      </c>
      <c r="I2845" s="6" t="s">
        <v>1176</v>
      </c>
      <c r="J2845" s="59" t="s">
        <v>22</v>
      </c>
      <c r="L2845" s="5" t="str">
        <f t="shared" si="994"/>
        <v>02844</v>
      </c>
      <c r="M2845" s="46" t="str">
        <f t="shared" si="995"/>
        <v>01 de abril de 2020</v>
      </c>
      <c r="N2845" s="318">
        <f t="shared" si="997"/>
        <v>1</v>
      </c>
      <c r="O2845" s="24">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1176</v>
      </c>
      <c r="J2846" s="59" t="s">
        <v>22</v>
      </c>
      <c r="L2846" s="5" t="str">
        <f t="shared" si="994"/>
        <v>02845</v>
      </c>
      <c r="M2846" s="46" t="str">
        <f t="shared" si="995"/>
        <v>01 de abril de 2020</v>
      </c>
      <c r="N2846" s="318">
        <f t="shared" si="997"/>
        <v>1</v>
      </c>
      <c r="O2846" s="24">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1016</v>
      </c>
      <c r="G2847" t="s">
        <v>1017</v>
      </c>
      <c r="H2847" t="s">
        <v>59</v>
      </c>
      <c r="I2847" s="6" t="s">
        <v>1162</v>
      </c>
      <c r="J2847" s="59" t="s">
        <v>22</v>
      </c>
      <c r="L2847" s="5" t="str">
        <f t="shared" si="994"/>
        <v>02846</v>
      </c>
      <c r="M2847" s="46" t="str">
        <f t="shared" si="995"/>
        <v>01 de abril de 2020</v>
      </c>
      <c r="N2847" s="318">
        <f t="shared" si="997"/>
        <v>1</v>
      </c>
      <c r="O2847" s="24">
        <f t="shared" si="996"/>
        <v>43922</v>
      </c>
      <c r="P2847" s="5" t="str">
        <f t="shared" si="998"/>
        <v>185.000,00</v>
      </c>
      <c r="Q2847" s="4" t="e">
        <f ca="1">CONVERTIRNUM(E2847)</f>
        <v>#NAME?</v>
      </c>
    </row>
    <row r="2848" spans="1:17">
      <c r="A2848" s="1">
        <f t="shared" si="1002"/>
        <v>2847</v>
      </c>
      <c r="C2848" s="8" t="s">
        <v>17</v>
      </c>
      <c r="D2848" s="2">
        <v>43922</v>
      </c>
      <c r="E2848" s="3">
        <v>186250</v>
      </c>
      <c r="F2848" t="s">
        <v>1005</v>
      </c>
      <c r="G2848" t="s">
        <v>1006</v>
      </c>
      <c r="H2848" t="s">
        <v>539</v>
      </c>
      <c r="I2848" s="6" t="s">
        <v>1176</v>
      </c>
      <c r="J2848" s="59" t="s">
        <v>22</v>
      </c>
      <c r="L2848" s="5" t="str">
        <f t="shared" si="994"/>
        <v>02847</v>
      </c>
      <c r="M2848" s="46" t="str">
        <f t="shared" si="995"/>
        <v>01 de abril de 2020</v>
      </c>
      <c r="N2848" s="318">
        <f t="shared" si="997"/>
        <v>1</v>
      </c>
      <c r="O2848" s="24">
        <f t="shared" si="996"/>
        <v>43922</v>
      </c>
      <c r="P2848" s="5" t="str">
        <f t="shared" si="998"/>
        <v>186.250,00</v>
      </c>
      <c r="Q2848" s="4" t="e">
        <f t="shared" ref="Q2848:Q2851" ca="1" si="1003">CONVERTIRNUM(E2848)</f>
        <v>#NAME?</v>
      </c>
    </row>
    <row r="2849" spans="1:17">
      <c r="A2849" s="600">
        <f t="shared" si="1002"/>
        <v>2848</v>
      </c>
      <c r="C2849" s="8" t="s">
        <v>17</v>
      </c>
      <c r="D2849" s="2">
        <v>43922</v>
      </c>
      <c r="E2849" s="3">
        <v>185250</v>
      </c>
      <c r="F2849" t="s">
        <v>454</v>
      </c>
      <c r="G2849" t="s">
        <v>761</v>
      </c>
      <c r="H2849" t="s">
        <v>455</v>
      </c>
      <c r="I2849" s="6" t="s">
        <v>1176</v>
      </c>
      <c r="J2849" s="59" t="s">
        <v>22</v>
      </c>
      <c r="L2849" s="5" t="str">
        <f t="shared" si="994"/>
        <v>02848</v>
      </c>
      <c r="M2849" s="46" t="str">
        <f t="shared" si="995"/>
        <v>01 de abril de 2020</v>
      </c>
      <c r="N2849" s="318">
        <f t="shared" si="997"/>
        <v>1</v>
      </c>
      <c r="O2849" s="24">
        <f t="shared" si="996"/>
        <v>43922</v>
      </c>
      <c r="P2849" s="5" t="str">
        <f t="shared" si="998"/>
        <v>185.250,00</v>
      </c>
      <c r="Q2849" s="4" t="e">
        <f t="shared" ca="1" si="1003"/>
        <v>#NAME?</v>
      </c>
    </row>
    <row r="2850" spans="1:17">
      <c r="A2850" s="1">
        <f t="shared" si="1002"/>
        <v>2849</v>
      </c>
      <c r="C2850" s="8" t="s">
        <v>17</v>
      </c>
      <c r="D2850" s="2">
        <v>43922</v>
      </c>
      <c r="E2850" s="3">
        <v>186250</v>
      </c>
      <c r="F2850" t="s">
        <v>948</v>
      </c>
      <c r="G2850" t="s">
        <v>949</v>
      </c>
      <c r="H2850" t="s">
        <v>950</v>
      </c>
      <c r="I2850" s="6" t="s">
        <v>1176</v>
      </c>
      <c r="J2850" s="59" t="s">
        <v>22</v>
      </c>
      <c r="L2850" s="5" t="str">
        <f t="shared" si="994"/>
        <v>02849</v>
      </c>
      <c r="M2850" s="46" t="str">
        <f t="shared" si="995"/>
        <v>01 de abril de 2020</v>
      </c>
      <c r="N2850" s="318">
        <f t="shared" si="997"/>
        <v>1</v>
      </c>
      <c r="O2850" s="24">
        <f t="shared" si="996"/>
        <v>43922</v>
      </c>
      <c r="P2850" s="5" t="str">
        <f t="shared" si="998"/>
        <v>186.250,00</v>
      </c>
      <c r="Q2850" s="4" t="e">
        <f t="shared" ca="1" si="1003"/>
        <v>#NAME?</v>
      </c>
    </row>
    <row r="2851" spans="1:17">
      <c r="A2851" s="1">
        <f t="shared" si="1002"/>
        <v>2850</v>
      </c>
      <c r="B2851" s="8"/>
      <c r="C2851" s="83" t="s">
        <v>17</v>
      </c>
      <c r="D2851" s="2">
        <v>43923</v>
      </c>
      <c r="E2851" s="160">
        <v>186000</v>
      </c>
      <c r="F2851" t="s">
        <v>492</v>
      </c>
      <c r="G2851" s="18" t="s">
        <v>58</v>
      </c>
      <c r="H2851" t="s">
        <v>493</v>
      </c>
      <c r="I2851" s="6" t="s">
        <v>1176</v>
      </c>
      <c r="J2851" s="59" t="s">
        <v>22</v>
      </c>
      <c r="L2851" s="5" t="str">
        <f t="shared" si="994"/>
        <v>02850</v>
      </c>
      <c r="M2851" s="46" t="str">
        <f t="shared" si="995"/>
        <v>02 de abril de 2020</v>
      </c>
      <c r="N2851" s="318">
        <f t="shared" si="997"/>
        <v>2</v>
      </c>
      <c r="O2851" s="24">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1176</v>
      </c>
      <c r="J2852" s="59" t="s">
        <v>22</v>
      </c>
      <c r="L2852" s="5" t="str">
        <f t="shared" si="994"/>
        <v>02851</v>
      </c>
      <c r="M2852" s="46" t="str">
        <f t="shared" si="995"/>
        <v>02 de abril de 2020</v>
      </c>
      <c r="N2852" s="318">
        <f t="shared" si="997"/>
        <v>2</v>
      </c>
      <c r="O2852" s="24">
        <f t="shared" si="996"/>
        <v>43922</v>
      </c>
      <c r="P2852" s="5" t="str">
        <f t="shared" si="998"/>
        <v>185.250,00</v>
      </c>
      <c r="Q2852" s="4" t="e">
        <f ca="1">CONVERTIRNUM(E2852)</f>
        <v>#NAME?</v>
      </c>
    </row>
    <row r="2853" spans="1:17">
      <c r="A2853" s="1">
        <f t="shared" ref="A2853:A2854" si="1004">A2852+1</f>
        <v>2852</v>
      </c>
      <c r="C2853" s="8" t="s">
        <v>17</v>
      </c>
      <c r="D2853" s="2">
        <v>43924</v>
      </c>
      <c r="E2853" s="3">
        <v>188000</v>
      </c>
      <c r="F2853" t="s">
        <v>162</v>
      </c>
      <c r="G2853" t="s">
        <v>163</v>
      </c>
      <c r="H2853" t="s">
        <v>164</v>
      </c>
      <c r="I2853" s="6" t="s">
        <v>1164</v>
      </c>
      <c r="J2853" s="59" t="s">
        <v>22</v>
      </c>
      <c r="L2853" s="5" t="str">
        <f t="shared" si="994"/>
        <v>02852</v>
      </c>
      <c r="M2853" s="46" t="str">
        <f t="shared" si="995"/>
        <v>03 de abril de 2020</v>
      </c>
      <c r="N2853" s="318">
        <f t="shared" si="997"/>
        <v>3</v>
      </c>
      <c r="O2853" s="24">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1176</v>
      </c>
      <c r="J2854" s="59" t="s">
        <v>22</v>
      </c>
      <c r="L2854" s="5" t="str">
        <f t="shared" si="994"/>
        <v>02853</v>
      </c>
      <c r="M2854" s="46" t="str">
        <f t="shared" si="995"/>
        <v>02 de abril de 2020</v>
      </c>
      <c r="N2854" s="318">
        <f t="shared" si="997"/>
        <v>2</v>
      </c>
      <c r="O2854" s="24">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1037</v>
      </c>
      <c r="H2855" t="s">
        <v>344</v>
      </c>
      <c r="I2855" s="6" t="s">
        <v>1176</v>
      </c>
      <c r="J2855" s="59" t="s">
        <v>22</v>
      </c>
      <c r="L2855" s="5" t="str">
        <f t="shared" si="994"/>
        <v>02854</v>
      </c>
      <c r="M2855" s="46" t="str">
        <f t="shared" si="995"/>
        <v>02 de abril de 2020</v>
      </c>
      <c r="N2855" s="318">
        <f t="shared" si="997"/>
        <v>2</v>
      </c>
      <c r="O2855" s="24">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1176</v>
      </c>
      <c r="J2856" s="59" t="s">
        <v>22</v>
      </c>
      <c r="L2856" s="5" t="str">
        <f t="shared" si="994"/>
        <v>02855</v>
      </c>
      <c r="M2856" s="46" t="str">
        <f t="shared" si="995"/>
        <v>02 de abril de 2020</v>
      </c>
      <c r="N2856" s="318">
        <f t="shared" si="997"/>
        <v>2</v>
      </c>
      <c r="O2856" s="24">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1183</v>
      </c>
      <c r="J2857" s="59" t="s">
        <v>426</v>
      </c>
      <c r="L2857" s="5" t="str">
        <f t="shared" si="994"/>
        <v>02856</v>
      </c>
      <c r="M2857" s="46" t="str">
        <f t="shared" si="995"/>
        <v>02 de abril de 2020</v>
      </c>
      <c r="N2857" s="318">
        <f t="shared" si="997"/>
        <v>2</v>
      </c>
      <c r="O2857" s="24">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1176</v>
      </c>
      <c r="J2858" s="59" t="s">
        <v>22</v>
      </c>
      <c r="L2858" s="5" t="str">
        <f t="shared" si="994"/>
        <v>02857</v>
      </c>
      <c r="M2858" s="46" t="str">
        <f t="shared" si="995"/>
        <v>02 de abril de 2020</v>
      </c>
      <c r="N2858" s="318">
        <f t="shared" si="997"/>
        <v>2</v>
      </c>
      <c r="O2858" s="24">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1184</v>
      </c>
      <c r="J2859" s="59" t="s">
        <v>22</v>
      </c>
      <c r="L2859" s="5" t="str">
        <f t="shared" si="994"/>
        <v>02858</v>
      </c>
      <c r="M2859" s="46" t="str">
        <f t="shared" si="995"/>
        <v>01 de abril de 2020</v>
      </c>
      <c r="N2859" s="318">
        <f t="shared" si="997"/>
        <v>1</v>
      </c>
      <c r="O2859" s="24">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1185</v>
      </c>
      <c r="J2860" s="59" t="s">
        <v>22</v>
      </c>
      <c r="L2860" s="5" t="str">
        <f t="shared" si="994"/>
        <v>02859</v>
      </c>
      <c r="M2860" s="46" t="str">
        <f t="shared" si="995"/>
        <v>01 de abril de 2020</v>
      </c>
      <c r="N2860" s="318">
        <f t="shared" si="997"/>
        <v>1</v>
      </c>
      <c r="O2860" s="24">
        <f t="shared" si="996"/>
        <v>43922</v>
      </c>
      <c r="P2860" s="5" t="str">
        <f t="shared" si="1005"/>
        <v>185.250,00</v>
      </c>
      <c r="Q2860" s="4" t="e">
        <f t="shared" ca="1" si="1006"/>
        <v>#NAME?</v>
      </c>
    </row>
    <row r="2861" spans="1:17">
      <c r="A2861" s="1">
        <f>A2860+1</f>
        <v>2860</v>
      </c>
      <c r="C2861" s="8" t="s">
        <v>17</v>
      </c>
      <c r="D2861" s="2">
        <v>43923</v>
      </c>
      <c r="E2861" s="3">
        <v>186250</v>
      </c>
      <c r="F2861" t="s">
        <v>844</v>
      </c>
      <c r="G2861" t="s">
        <v>845</v>
      </c>
      <c r="H2861" t="s">
        <v>169</v>
      </c>
      <c r="I2861" s="6" t="s">
        <v>1176</v>
      </c>
      <c r="J2861" s="59" t="s">
        <v>22</v>
      </c>
      <c r="L2861" s="5" t="str">
        <f t="shared" si="994"/>
        <v>02860</v>
      </c>
      <c r="M2861" s="46" t="str">
        <f t="shared" si="995"/>
        <v>02 de abril de 2020</v>
      </c>
      <c r="N2861" s="318">
        <f t="shared" si="997"/>
        <v>2</v>
      </c>
      <c r="O2861" s="24">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1176</v>
      </c>
      <c r="J2862" s="59" t="s">
        <v>22</v>
      </c>
      <c r="L2862" s="5" t="str">
        <f t="shared" si="994"/>
        <v>02861</v>
      </c>
      <c r="M2862" s="46" t="str">
        <f t="shared" si="995"/>
        <v>03 de abril de 2020</v>
      </c>
      <c r="N2862" s="318">
        <f t="shared" si="997"/>
        <v>3</v>
      </c>
      <c r="O2862" s="24">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1176</v>
      </c>
      <c r="J2863" s="59" t="s">
        <v>22</v>
      </c>
      <c r="L2863" s="5" t="str">
        <f t="shared" si="994"/>
        <v>02862</v>
      </c>
      <c r="M2863" s="46" t="str">
        <f t="shared" si="995"/>
        <v>02 de marzo de 2020</v>
      </c>
      <c r="N2863" s="318">
        <f t="shared" si="997"/>
        <v>2</v>
      </c>
      <c r="O2863" s="24">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1186</v>
      </c>
      <c r="J2864" s="59" t="s">
        <v>22</v>
      </c>
      <c r="L2864" s="5" t="str">
        <f t="shared" si="994"/>
        <v>02863</v>
      </c>
      <c r="M2864" s="46" t="str">
        <f t="shared" si="995"/>
        <v>03 de abril de 2020</v>
      </c>
      <c r="N2864" s="318">
        <f t="shared" si="997"/>
        <v>3</v>
      </c>
      <c r="O2864" s="24">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1176</v>
      </c>
      <c r="J2865" s="59" t="s">
        <v>22</v>
      </c>
      <c r="L2865" s="5" t="str">
        <f t="shared" ref="L2865:L2879" si="1010">IF(ISBLANK(A2865),"",TEXT(A2865,"00000"))</f>
        <v>02864</v>
      </c>
      <c r="M2865" s="46" t="str">
        <f t="shared" ref="M2865:M2879" si="1011">IF(ISBLANK(D2865),"",TEXT(D2865,"dd")&amp;" de "&amp;TEXT(D2865,"mmmm")&amp;" de "&amp;TEXT(YEAR(D2865),"0"))</f>
        <v>03 de abril de 2020</v>
      </c>
      <c r="N2865" s="318">
        <f t="shared" ref="N2865:N2879" si="1012">DAY(D2865)</f>
        <v>3</v>
      </c>
      <c r="O2865" s="24">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1176</v>
      </c>
      <c r="J2866" s="59" t="s">
        <v>22</v>
      </c>
      <c r="L2866" s="5" t="str">
        <f t="shared" si="1010"/>
        <v>02865</v>
      </c>
      <c r="M2866" s="46" t="str">
        <f t="shared" si="1011"/>
        <v>02 de abril de 2020</v>
      </c>
      <c r="N2866" s="318">
        <f t="shared" si="1012"/>
        <v>2</v>
      </c>
      <c r="O2866" s="24">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1176</v>
      </c>
      <c r="J2867" s="59" t="s">
        <v>22</v>
      </c>
      <c r="L2867" s="5" t="str">
        <f t="shared" si="1010"/>
        <v>02866</v>
      </c>
      <c r="M2867" s="46" t="str">
        <f t="shared" si="1011"/>
        <v>03 de abril de 2020</v>
      </c>
      <c r="N2867" s="318">
        <f t="shared" si="1012"/>
        <v>3</v>
      </c>
      <c r="O2867" s="24">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1139</v>
      </c>
      <c r="G2868" t="s">
        <v>1140</v>
      </c>
      <c r="H2868" t="s">
        <v>1116</v>
      </c>
      <c r="I2868" s="6" t="s">
        <v>1176</v>
      </c>
      <c r="J2868" s="59" t="s">
        <v>22</v>
      </c>
      <c r="L2868" s="5" t="str">
        <f t="shared" si="1010"/>
        <v>02867</v>
      </c>
      <c r="M2868" s="46" t="str">
        <f t="shared" si="1011"/>
        <v>05 de abril de 2020</v>
      </c>
      <c r="N2868" s="318">
        <f t="shared" si="1012"/>
        <v>5</v>
      </c>
      <c r="O2868" s="24">
        <f t="shared" si="1013"/>
        <v>43922</v>
      </c>
      <c r="P2868" s="5" t="str">
        <f t="shared" si="1014"/>
        <v>186.000,00</v>
      </c>
      <c r="Q2868" s="4" t="e">
        <f t="shared" ca="1" si="1015"/>
        <v>#NAME?</v>
      </c>
    </row>
    <row r="2869" spans="1:17">
      <c r="A2869" s="1">
        <f>A2868+1</f>
        <v>2868</v>
      </c>
      <c r="C2869" s="8" t="s">
        <v>17</v>
      </c>
      <c r="D2869" s="2">
        <v>43926</v>
      </c>
      <c r="E2869" s="3">
        <f>186000+38200</f>
        <v>224200</v>
      </c>
      <c r="F2869" s="552" t="s">
        <v>1187</v>
      </c>
      <c r="G2869" t="s">
        <v>1188</v>
      </c>
      <c r="H2869" t="s">
        <v>50</v>
      </c>
      <c r="I2869" s="6" t="s">
        <v>1189</v>
      </c>
      <c r="J2869" s="59" t="s">
        <v>22</v>
      </c>
      <c r="L2869" s="5" t="str">
        <f t="shared" si="1010"/>
        <v>02868</v>
      </c>
      <c r="M2869" s="46" t="str">
        <f t="shared" si="1011"/>
        <v>05 de abril de 2020</v>
      </c>
      <c r="N2869" s="318">
        <f t="shared" si="1012"/>
        <v>5</v>
      </c>
      <c r="O2869" s="24">
        <f t="shared" si="1013"/>
        <v>43922</v>
      </c>
      <c r="P2869" s="5" t="str">
        <f t="shared" si="1014"/>
        <v>224.200,00</v>
      </c>
      <c r="Q2869" s="4" t="e">
        <f t="shared" ca="1" si="1015"/>
        <v>#NAME?</v>
      </c>
    </row>
    <row r="2870" spans="1:17">
      <c r="A2870" s="600">
        <f>A2869+1</f>
        <v>2869</v>
      </c>
      <c r="C2870" s="8" t="s">
        <v>17</v>
      </c>
      <c r="D2870" s="2">
        <v>43926</v>
      </c>
      <c r="E2870" s="3">
        <v>200000</v>
      </c>
      <c r="F2870" t="s">
        <v>1174</v>
      </c>
      <c r="G2870" t="s">
        <v>1175</v>
      </c>
      <c r="H2870" t="s">
        <v>187</v>
      </c>
      <c r="I2870" s="6" t="s">
        <v>1156</v>
      </c>
      <c r="J2870" s="59" t="s">
        <v>22</v>
      </c>
      <c r="L2870" s="5" t="str">
        <f t="shared" si="1010"/>
        <v>02869</v>
      </c>
      <c r="M2870" s="46" t="str">
        <f t="shared" si="1011"/>
        <v>05 de abril de 2020</v>
      </c>
      <c r="N2870" s="318">
        <f t="shared" si="1012"/>
        <v>5</v>
      </c>
      <c r="O2870" s="24">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1176</v>
      </c>
      <c r="J2871" s="59" t="s">
        <v>22</v>
      </c>
      <c r="L2871" s="5" t="str">
        <f t="shared" si="1010"/>
        <v>02870</v>
      </c>
      <c r="M2871" s="46" t="str">
        <f t="shared" si="1011"/>
        <v>06 de abril de 2020</v>
      </c>
      <c r="N2871" s="318">
        <f t="shared" si="1012"/>
        <v>6</v>
      </c>
      <c r="O2871" s="24">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1176</v>
      </c>
      <c r="J2872" s="59" t="s">
        <v>22</v>
      </c>
      <c r="L2872" s="5" t="str">
        <f t="shared" si="1010"/>
        <v>02871</v>
      </c>
      <c r="M2872" s="46" t="str">
        <f t="shared" si="1011"/>
        <v>06 de abril de 2020</v>
      </c>
      <c r="N2872" s="318">
        <f t="shared" si="1012"/>
        <v>6</v>
      </c>
      <c r="O2872" s="24">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1176</v>
      </c>
      <c r="J2873" s="59" t="s">
        <v>22</v>
      </c>
      <c r="L2873" s="5" t="str">
        <f t="shared" si="1010"/>
        <v>02872</v>
      </c>
      <c r="M2873" s="46" t="str">
        <f t="shared" si="1011"/>
        <v>08 de abril de 2020</v>
      </c>
      <c r="N2873" s="318">
        <f t="shared" si="1012"/>
        <v>8</v>
      </c>
      <c r="O2873" s="24">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1176</v>
      </c>
      <c r="J2874" s="59" t="s">
        <v>22</v>
      </c>
      <c r="L2874" s="5" t="str">
        <f t="shared" si="1010"/>
        <v>02873</v>
      </c>
      <c r="M2874" s="46" t="str">
        <f t="shared" si="1011"/>
        <v>08 de abril de 2020</v>
      </c>
      <c r="N2874" s="318">
        <f t="shared" si="1012"/>
        <v>8</v>
      </c>
      <c r="O2874" s="24">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1176</v>
      </c>
      <c r="J2875" s="59" t="s">
        <v>22</v>
      </c>
      <c r="L2875" s="5" t="str">
        <f t="shared" si="1010"/>
        <v>02874</v>
      </c>
      <c r="M2875" s="46" t="str">
        <f t="shared" si="1011"/>
        <v>08 de abril de 2020</v>
      </c>
      <c r="N2875" s="318">
        <f t="shared" si="1012"/>
        <v>8</v>
      </c>
      <c r="O2875" s="24">
        <f t="shared" si="1013"/>
        <v>43922</v>
      </c>
      <c r="P2875" s="5" t="str">
        <f t="shared" si="1014"/>
        <v>187.000,00</v>
      </c>
      <c r="Q2875" s="4" t="e">
        <f t="shared" ca="1" si="1015"/>
        <v>#NAME?</v>
      </c>
    </row>
    <row r="2876" spans="1:17">
      <c r="A2876" s="1">
        <f>A2875+1</f>
        <v>2875</v>
      </c>
      <c r="B2876" s="8"/>
      <c r="C2876" s="83" t="s">
        <v>17</v>
      </c>
      <c r="D2876" s="2">
        <v>43930</v>
      </c>
      <c r="E2876" s="3">
        <v>185250</v>
      </c>
      <c r="F2876" t="s">
        <v>259</v>
      </c>
      <c r="G2876" s="18" t="s">
        <v>58</v>
      </c>
      <c r="H2876" t="s">
        <v>261</v>
      </c>
      <c r="I2876" s="6" t="s">
        <v>1164</v>
      </c>
      <c r="J2876" s="59" t="s">
        <v>22</v>
      </c>
      <c r="L2876" s="5" t="str">
        <f t="shared" si="1010"/>
        <v>02875</v>
      </c>
      <c r="M2876" s="46" t="str">
        <f t="shared" si="1011"/>
        <v>09 de abril de 2020</v>
      </c>
      <c r="N2876" s="318">
        <f t="shared" si="1012"/>
        <v>9</v>
      </c>
      <c r="O2876" s="24">
        <f t="shared" si="1013"/>
        <v>43922</v>
      </c>
      <c r="P2876" s="5" t="str">
        <f t="shared" si="1014"/>
        <v>185.250,00</v>
      </c>
      <c r="Q2876" s="4" t="e">
        <f t="shared" ca="1" si="1015"/>
        <v>#NAME?</v>
      </c>
    </row>
    <row r="2877" spans="1:17">
      <c r="A2877" s="1">
        <f t="shared" ref="A2877" si="1018">A2876+1</f>
        <v>2876</v>
      </c>
      <c r="C2877" s="83" t="s">
        <v>17</v>
      </c>
      <c r="D2877" s="2">
        <v>43930</v>
      </c>
      <c r="E2877" s="3">
        <v>186250</v>
      </c>
      <c r="F2877" t="s">
        <v>40</v>
      </c>
      <c r="G2877" s="447" t="s">
        <v>1169</v>
      </c>
      <c r="H2877" t="s">
        <v>42</v>
      </c>
      <c r="I2877" s="6" t="s">
        <v>1176</v>
      </c>
      <c r="J2877" s="59" t="s">
        <v>22</v>
      </c>
      <c r="L2877" s="5" t="str">
        <f t="shared" si="1010"/>
        <v>02876</v>
      </c>
      <c r="M2877" s="46" t="str">
        <f t="shared" si="1011"/>
        <v>09 de abril de 2020</v>
      </c>
      <c r="N2877" s="318">
        <f t="shared" si="1012"/>
        <v>9</v>
      </c>
      <c r="O2877" s="24">
        <f t="shared" si="1013"/>
        <v>43922</v>
      </c>
      <c r="P2877" s="5" t="str">
        <f t="shared" si="1014"/>
        <v>186.250,00</v>
      </c>
      <c r="Q2877" s="4" t="e">
        <f t="shared" ca="1" si="1015"/>
        <v>#NAME?</v>
      </c>
    </row>
    <row r="2878" spans="1:17">
      <c r="A2878" s="1">
        <f t="shared" ref="A2878:A2883" si="1019">A2877+1</f>
        <v>2877</v>
      </c>
      <c r="B2878" s="8"/>
      <c r="C2878" s="8" t="s">
        <v>17</v>
      </c>
      <c r="D2878" s="2">
        <v>43931</v>
      </c>
      <c r="E2878" s="3">
        <v>90000</v>
      </c>
      <c r="F2878" t="s">
        <v>28</v>
      </c>
      <c r="G2878" t="s">
        <v>716</v>
      </c>
      <c r="H2878" t="s">
        <v>30</v>
      </c>
      <c r="I2878" s="6" t="s">
        <v>1179</v>
      </c>
      <c r="J2878" s="59" t="s">
        <v>22</v>
      </c>
      <c r="L2878" s="5" t="str">
        <f t="shared" si="1010"/>
        <v>02877</v>
      </c>
      <c r="M2878" s="46" t="str">
        <f t="shared" si="1011"/>
        <v>10 de abril de 2020</v>
      </c>
      <c r="N2878" s="318">
        <f t="shared" si="1012"/>
        <v>10</v>
      </c>
      <c r="O2878" s="24">
        <f t="shared" si="1013"/>
        <v>43922</v>
      </c>
      <c r="P2878" s="5" t="str">
        <f t="shared" si="1014"/>
        <v>90.000,00</v>
      </c>
      <c r="Q2878" s="4" t="e">
        <f t="shared" ca="1" si="1015"/>
        <v>#NAME?</v>
      </c>
    </row>
    <row r="2879" spans="1:17">
      <c r="A2879" s="1">
        <f t="shared" si="1019"/>
        <v>2878</v>
      </c>
      <c r="C2879" s="8" t="s">
        <v>17</v>
      </c>
      <c r="D2879" s="2">
        <v>43934</v>
      </c>
      <c r="E2879" s="3">
        <v>80000</v>
      </c>
      <c r="F2879" t="s">
        <v>401</v>
      </c>
      <c r="G2879" t="s">
        <v>402</v>
      </c>
      <c r="H2879" t="s">
        <v>403</v>
      </c>
      <c r="I2879" s="6" t="s">
        <v>1163</v>
      </c>
      <c r="J2879" s="59" t="s">
        <v>22</v>
      </c>
      <c r="L2879" s="5" t="str">
        <f t="shared" si="1010"/>
        <v>02878</v>
      </c>
      <c r="M2879" s="46" t="str">
        <f t="shared" si="1011"/>
        <v>13 de abril de 2020</v>
      </c>
      <c r="N2879" s="318">
        <f t="shared" si="1012"/>
        <v>13</v>
      </c>
      <c r="O2879" s="24">
        <f t="shared" si="1013"/>
        <v>43922</v>
      </c>
      <c r="P2879" s="5" t="str">
        <f t="shared" si="1014"/>
        <v>80.000,00</v>
      </c>
      <c r="Q2879" s="4" t="e">
        <f t="shared" ca="1" si="1015"/>
        <v>#NAME?</v>
      </c>
    </row>
    <row r="2880" spans="1:17">
      <c r="A2880" s="1">
        <f t="shared" si="1019"/>
        <v>2879</v>
      </c>
      <c r="C2880" s="8" t="s">
        <v>17</v>
      </c>
      <c r="D2880" s="2">
        <v>43934</v>
      </c>
      <c r="E2880" s="3">
        <v>80000</v>
      </c>
      <c r="F2880" t="s">
        <v>401</v>
      </c>
      <c r="G2880" t="s">
        <v>402</v>
      </c>
      <c r="H2880" t="s">
        <v>403</v>
      </c>
      <c r="I2880" s="6" t="s">
        <v>1179</v>
      </c>
      <c r="J2880" s="59" t="s">
        <v>22</v>
      </c>
      <c r="L2880" s="5" t="str">
        <f t="shared" ref="L2880:L2888" si="1020">IF(ISBLANK(A2880),"",TEXT(A2880,"00000"))</f>
        <v>02879</v>
      </c>
      <c r="M2880" s="46" t="str">
        <f t="shared" ref="M2880:M2888" si="1021">IF(ISBLANK(D2880),"",TEXT(D2880,"dd")&amp;" de "&amp;TEXT(D2880,"mmmm")&amp;" de "&amp;TEXT(YEAR(D2880),"0"))</f>
        <v>13 de abril de 2020</v>
      </c>
      <c r="N2880" s="318">
        <f t="shared" ref="N2880:N2903" si="1022">DAY(D2880)</f>
        <v>13</v>
      </c>
      <c r="O2880" s="24">
        <f t="shared" ref="O2880:O2888" si="1023">DATE(YEAR(D2880),MONTH(D2880),1)</f>
        <v>43922</v>
      </c>
      <c r="P2880" s="5" t="str">
        <f t="shared" ref="P2880:P2903" si="1024">TEXT(E2880,"#.##0,00")</f>
        <v>80.000,00</v>
      </c>
      <c r="Q2880" s="4" t="e">
        <f t="shared" ref="Q2880:Q2903" ca="1" si="1025">CONVERTIRNUM(E2880)</f>
        <v>#NAME?</v>
      </c>
    </row>
    <row r="2881" spans="1:17">
      <c r="A2881" s="1">
        <f t="shared" si="1019"/>
        <v>2880</v>
      </c>
      <c r="B2881" s="8"/>
      <c r="C2881" s="8" t="s">
        <v>17</v>
      </c>
      <c r="D2881" s="2">
        <v>43934</v>
      </c>
      <c r="E2881" s="3">
        <v>186250</v>
      </c>
      <c r="F2881" t="s">
        <v>62</v>
      </c>
      <c r="G2881" t="s">
        <v>63</v>
      </c>
      <c r="H2881" t="s">
        <v>64</v>
      </c>
      <c r="I2881" s="6" t="s">
        <v>1176</v>
      </c>
      <c r="J2881" s="59" t="s">
        <v>22</v>
      </c>
      <c r="L2881" s="5" t="str">
        <f t="shared" si="1020"/>
        <v>02880</v>
      </c>
      <c r="M2881" s="46" t="str">
        <f t="shared" si="1021"/>
        <v>13 de abril de 2020</v>
      </c>
      <c r="N2881" s="318">
        <f t="shared" si="1022"/>
        <v>13</v>
      </c>
      <c r="O2881" s="24">
        <f t="shared" si="1023"/>
        <v>43922</v>
      </c>
      <c r="P2881" s="5" t="str">
        <f t="shared" si="1024"/>
        <v>186.250,00</v>
      </c>
      <c r="Q2881" s="4" t="e">
        <f t="shared" ca="1" si="1025"/>
        <v>#NAME?</v>
      </c>
    </row>
    <row r="2882" spans="1:17">
      <c r="A2882" s="1">
        <f t="shared" si="1019"/>
        <v>2881</v>
      </c>
      <c r="B2882" s="8"/>
      <c r="C2882" s="83" t="s">
        <v>17</v>
      </c>
      <c r="D2882" s="2">
        <v>43935</v>
      </c>
      <c r="E2882" s="3">
        <v>271615</v>
      </c>
      <c r="F2882" s="22" t="s">
        <v>422</v>
      </c>
      <c r="G2882" s="18" t="s">
        <v>58</v>
      </c>
      <c r="H2882" t="s">
        <v>423</v>
      </c>
      <c r="I2882" s="6" t="s">
        <v>1190</v>
      </c>
      <c r="J2882" s="59" t="s">
        <v>22</v>
      </c>
      <c r="L2882" s="5" t="str">
        <f t="shared" si="1020"/>
        <v>02881</v>
      </c>
      <c r="M2882" s="46" t="str">
        <f t="shared" si="1021"/>
        <v>14 de abril de 2020</v>
      </c>
      <c r="N2882" s="318">
        <f t="shared" si="1022"/>
        <v>14</v>
      </c>
      <c r="O2882" s="24">
        <f t="shared" si="1023"/>
        <v>43922</v>
      </c>
      <c r="P2882" s="5" t="str">
        <f t="shared" si="1024"/>
        <v>271.615,00</v>
      </c>
      <c r="Q2882" s="4" t="e">
        <f t="shared" ca="1" si="1025"/>
        <v>#NAME?</v>
      </c>
    </row>
    <row r="2883" spans="1:17">
      <c r="A2883" s="1">
        <f t="shared" si="1019"/>
        <v>2882</v>
      </c>
      <c r="B2883" s="8"/>
      <c r="C2883" s="8" t="s">
        <v>17</v>
      </c>
      <c r="D2883" s="2">
        <v>43934</v>
      </c>
      <c r="E2883" s="3">
        <v>250000</v>
      </c>
      <c r="F2883" t="s">
        <v>53</v>
      </c>
      <c r="G2883" t="s">
        <v>677</v>
      </c>
      <c r="H2883" t="s">
        <v>55</v>
      </c>
      <c r="I2883" s="6" t="s">
        <v>1176</v>
      </c>
      <c r="J2883" s="59" t="s">
        <v>22</v>
      </c>
      <c r="L2883" s="5" t="str">
        <f t="shared" si="1020"/>
        <v>02882</v>
      </c>
      <c r="M2883" s="46" t="str">
        <f t="shared" si="1021"/>
        <v>13 de abril de 2020</v>
      </c>
      <c r="N2883" s="318">
        <f t="shared" si="1022"/>
        <v>13</v>
      </c>
      <c r="O2883" s="24">
        <f t="shared" si="1023"/>
        <v>43922</v>
      </c>
      <c r="P2883" s="5" t="str">
        <f t="shared" si="1024"/>
        <v>250.000,00</v>
      </c>
      <c r="Q2883" s="4" t="e">
        <f t="shared" ca="1" si="1025"/>
        <v>#NAME?</v>
      </c>
    </row>
    <row r="2884" spans="1:17">
      <c r="A2884" s="1">
        <f t="shared" ref="A2884" si="1026">A2883+1</f>
        <v>2883</v>
      </c>
      <c r="B2884" s="8"/>
      <c r="C2884" s="8" t="s">
        <v>17</v>
      </c>
      <c r="D2884" s="2">
        <v>43936</v>
      </c>
      <c r="E2884" s="3">
        <v>185250</v>
      </c>
      <c r="F2884" t="s">
        <v>181</v>
      </c>
      <c r="G2884" t="s">
        <v>182</v>
      </c>
      <c r="H2884" t="s">
        <v>183</v>
      </c>
      <c r="I2884" s="6" t="s">
        <v>1176</v>
      </c>
      <c r="J2884" s="59" t="s">
        <v>22</v>
      </c>
      <c r="L2884" s="5" t="str">
        <f t="shared" si="1020"/>
        <v>02883</v>
      </c>
      <c r="M2884" s="46" t="str">
        <f t="shared" si="1021"/>
        <v>15 de abril de 2020</v>
      </c>
      <c r="N2884" s="318">
        <f t="shared" si="1022"/>
        <v>15</v>
      </c>
      <c r="O2884" s="24">
        <f t="shared" si="1023"/>
        <v>43922</v>
      </c>
      <c r="P2884" s="5" t="str">
        <f t="shared" si="1024"/>
        <v>185.250,00</v>
      </c>
      <c r="Q2884" s="4" t="e">
        <f t="shared" ca="1" si="1025"/>
        <v>#NAME?</v>
      </c>
    </row>
    <row r="2885" spans="1:17">
      <c r="A2885" s="1">
        <f>A2884+1</f>
        <v>2884</v>
      </c>
      <c r="B2885" s="8"/>
      <c r="C2885" s="8" t="s">
        <v>17</v>
      </c>
      <c r="D2885" s="2">
        <v>43937</v>
      </c>
      <c r="E2885" s="3">
        <v>200000</v>
      </c>
      <c r="F2885" t="s">
        <v>32</v>
      </c>
      <c r="G2885" t="s">
        <v>33</v>
      </c>
      <c r="H2885" t="s">
        <v>34</v>
      </c>
      <c r="I2885" s="6" t="s">
        <v>1191</v>
      </c>
      <c r="J2885" s="59" t="s">
        <v>22</v>
      </c>
      <c r="L2885" s="5" t="str">
        <f t="shared" si="1020"/>
        <v>02884</v>
      </c>
      <c r="M2885" s="46" t="str">
        <f t="shared" si="1021"/>
        <v>16 de abril de 2020</v>
      </c>
      <c r="N2885" s="318">
        <f t="shared" si="1022"/>
        <v>16</v>
      </c>
      <c r="O2885" s="24">
        <f t="shared" si="1023"/>
        <v>43922</v>
      </c>
      <c r="P2885" s="5" t="str">
        <f t="shared" si="1024"/>
        <v>200.000,00</v>
      </c>
      <c r="Q2885" s="4" t="e">
        <f t="shared" ca="1" si="1025"/>
        <v>#NAME?</v>
      </c>
    </row>
    <row r="2886" spans="1:17">
      <c r="A2886" s="1">
        <f>A2885+1</f>
        <v>2885</v>
      </c>
      <c r="B2886" s="8"/>
      <c r="C2886" s="8" t="s">
        <v>17</v>
      </c>
      <c r="D2886" s="2">
        <v>43937</v>
      </c>
      <c r="E2886" s="3">
        <v>185200</v>
      </c>
      <c r="F2886" t="s">
        <v>284</v>
      </c>
      <c r="G2886" t="s">
        <v>687</v>
      </c>
      <c r="H2886" t="s">
        <v>285</v>
      </c>
      <c r="I2886" s="6" t="s">
        <v>1164</v>
      </c>
      <c r="J2886" s="59" t="s">
        <v>22</v>
      </c>
      <c r="L2886" s="5" t="str">
        <f t="shared" si="1020"/>
        <v>02885</v>
      </c>
      <c r="M2886" s="46" t="str">
        <f t="shared" si="1021"/>
        <v>16 de abril de 2020</v>
      </c>
      <c r="N2886" s="318">
        <f t="shared" si="1022"/>
        <v>16</v>
      </c>
      <c r="O2886" s="24">
        <f t="shared" si="1023"/>
        <v>43922</v>
      </c>
      <c r="P2886" s="5" t="str">
        <f t="shared" si="1024"/>
        <v>185.200,00</v>
      </c>
      <c r="Q2886" s="4" t="e">
        <f t="shared" ca="1" si="1025"/>
        <v>#NAME?</v>
      </c>
    </row>
    <row r="2887" spans="1:17">
      <c r="A2887" s="1">
        <f>A2886+1</f>
        <v>2886</v>
      </c>
      <c r="B2887" s="8"/>
      <c r="C2887" s="8" t="s">
        <v>17</v>
      </c>
      <c r="D2887" s="2">
        <v>43938</v>
      </c>
      <c r="E2887" s="3">
        <v>185250</v>
      </c>
      <c r="F2887" t="s">
        <v>771</v>
      </c>
      <c r="G2887" t="s">
        <v>772</v>
      </c>
      <c r="H2887" t="s">
        <v>773</v>
      </c>
      <c r="I2887" s="6" t="s">
        <v>1176</v>
      </c>
      <c r="J2887" s="59" t="s">
        <v>22</v>
      </c>
      <c r="L2887" s="5" t="str">
        <f t="shared" si="1020"/>
        <v>02886</v>
      </c>
      <c r="M2887" s="46" t="str">
        <f t="shared" si="1021"/>
        <v>17 de abril de 2020</v>
      </c>
      <c r="N2887" s="318">
        <f t="shared" si="1022"/>
        <v>17</v>
      </c>
      <c r="O2887" s="24">
        <f t="shared" si="1023"/>
        <v>43922</v>
      </c>
      <c r="P2887" s="5" t="str">
        <f t="shared" si="1024"/>
        <v>185.250,00</v>
      </c>
      <c r="Q2887" s="4" t="e">
        <f t="shared" ca="1" si="1025"/>
        <v>#NAME?</v>
      </c>
    </row>
    <row r="2888" spans="1:17">
      <c r="A2888" s="1">
        <f>A2887+1</f>
        <v>2887</v>
      </c>
      <c r="C2888" s="8" t="s">
        <v>17</v>
      </c>
      <c r="D2888" s="2">
        <v>43938</v>
      </c>
      <c r="E2888" s="3">
        <v>300000</v>
      </c>
      <c r="F2888" t="s">
        <v>612</v>
      </c>
      <c r="G2888" t="s">
        <v>613</v>
      </c>
      <c r="H2888" t="s">
        <v>614</v>
      </c>
      <c r="I2888" s="6" t="s">
        <v>1177</v>
      </c>
      <c r="J2888" s="59" t="s">
        <v>22</v>
      </c>
      <c r="L2888" s="5" t="str">
        <f t="shared" si="1020"/>
        <v>02887</v>
      </c>
      <c r="M2888" s="46" t="str">
        <f t="shared" si="1021"/>
        <v>17 de abril de 2020</v>
      </c>
      <c r="N2888" s="318">
        <f t="shared" si="1022"/>
        <v>17</v>
      </c>
      <c r="O2888" s="24">
        <f t="shared" si="1023"/>
        <v>43922</v>
      </c>
      <c r="P2888" s="5" t="str">
        <f t="shared" si="1024"/>
        <v>300.000,00</v>
      </c>
      <c r="Q2888" s="4" t="e">
        <f t="shared" ca="1" si="1025"/>
        <v>#NAME?</v>
      </c>
    </row>
    <row r="2889" spans="1:17">
      <c r="A2889" s="600">
        <f t="shared" ref="A2889:A2891" si="1027">A2888+1</f>
        <v>2888</v>
      </c>
      <c r="B2889" s="8"/>
      <c r="C2889" s="8" t="s">
        <v>17</v>
      </c>
      <c r="D2889" s="2">
        <v>43939</v>
      </c>
      <c r="E2889" s="3">
        <v>300000</v>
      </c>
      <c r="F2889" t="s">
        <v>243</v>
      </c>
      <c r="G2889" t="s">
        <v>244</v>
      </c>
      <c r="H2889" t="s">
        <v>245</v>
      </c>
      <c r="I2889" s="6" t="s">
        <v>1192</v>
      </c>
      <c r="J2889" s="59" t="s">
        <v>22</v>
      </c>
      <c r="L2889" s="5" t="str">
        <f>IF(ISBLANK(A2889),"",TEXT(A2889,"00000"))</f>
        <v>02888</v>
      </c>
      <c r="M2889" s="46" t="str">
        <f>IF(ISBLANK(D2889),"",TEXT(D2889,"dd")&amp;" de "&amp;TEXT(D2889,"mmmm")&amp;" de "&amp;TEXT(YEAR(D2889),"0"))</f>
        <v>18 de abril de 2020</v>
      </c>
      <c r="N2889" s="318">
        <f t="shared" si="1022"/>
        <v>18</v>
      </c>
      <c r="O2889" s="24">
        <f>DATE(YEAR(D2889),MONTH(D2889),1)</f>
        <v>43922</v>
      </c>
      <c r="P2889" s="5" t="str">
        <f t="shared" si="1024"/>
        <v>300.000,00</v>
      </c>
      <c r="Q2889" s="4" t="e">
        <f t="shared" ca="1" si="1025"/>
        <v>#NAME?</v>
      </c>
    </row>
    <row r="2890" spans="1:17">
      <c r="A2890" s="1">
        <f t="shared" si="1027"/>
        <v>2889</v>
      </c>
      <c r="B2890" s="8"/>
      <c r="C2890" s="8" t="s">
        <v>17</v>
      </c>
      <c r="D2890" s="2">
        <v>43939</v>
      </c>
      <c r="E2890" s="3">
        <v>741000</v>
      </c>
      <c r="F2890" t="s">
        <v>248</v>
      </c>
      <c r="G2890" t="s">
        <v>249</v>
      </c>
      <c r="H2890" t="s">
        <v>250</v>
      </c>
      <c r="I2890" s="6" t="s">
        <v>1193</v>
      </c>
      <c r="J2890" s="59" t="s">
        <v>22</v>
      </c>
      <c r="L2890" s="5" t="str">
        <f t="shared" ref="L2890:L2903" si="1028">IF(ISBLANK(A2890),"",TEXT(A2890,"00000"))</f>
        <v>02889</v>
      </c>
      <c r="M2890" s="46" t="str">
        <f t="shared" ref="M2890:M2903" si="1029">IF(ISBLANK(D2890),"",TEXT(D2890,"dd")&amp;" de "&amp;TEXT(D2890,"mmmm")&amp;" de "&amp;TEXT(YEAR(D2890),"0"))</f>
        <v>18 de abril de 2020</v>
      </c>
      <c r="N2890" s="318">
        <f t="shared" si="1022"/>
        <v>18</v>
      </c>
      <c r="O2890" s="24">
        <f t="shared" ref="O2890:O2903" si="1030">DATE(YEAR(D2890),MONTH(D2890),1)</f>
        <v>43922</v>
      </c>
      <c r="P2890" s="5" t="str">
        <f t="shared" si="1024"/>
        <v>741.000,00</v>
      </c>
      <c r="Q2890" s="4" t="e">
        <f t="shared" ca="1" si="1025"/>
        <v>#NAME?</v>
      </c>
    </row>
    <row r="2891" spans="1:17">
      <c r="A2891" s="1">
        <f t="shared" si="1027"/>
        <v>2890</v>
      </c>
      <c r="B2891" s="8"/>
      <c r="C2891" s="8" t="s">
        <v>17</v>
      </c>
      <c r="D2891" s="2">
        <v>43940</v>
      </c>
      <c r="E2891" s="3">
        <v>185250</v>
      </c>
      <c r="F2891" t="s">
        <v>362</v>
      </c>
      <c r="G2891" t="s">
        <v>363</v>
      </c>
      <c r="H2891" t="s">
        <v>364</v>
      </c>
      <c r="I2891" s="6" t="s">
        <v>1176</v>
      </c>
      <c r="J2891" s="59" t="s">
        <v>22</v>
      </c>
      <c r="L2891" s="5" t="str">
        <f t="shared" si="1028"/>
        <v>02890</v>
      </c>
      <c r="M2891" s="46" t="str">
        <f t="shared" si="1029"/>
        <v>19 de abril de 2020</v>
      </c>
      <c r="N2891" s="318">
        <f t="shared" si="1022"/>
        <v>19</v>
      </c>
      <c r="O2891" s="24">
        <f t="shared" si="1030"/>
        <v>43922</v>
      </c>
      <c r="P2891" s="5" t="str">
        <f t="shared" si="1024"/>
        <v>185.250,00</v>
      </c>
      <c r="Q2891" s="4" t="e">
        <f t="shared" ca="1" si="1025"/>
        <v>#NAME?</v>
      </c>
    </row>
    <row r="2892" spans="1:17">
      <c r="A2892" s="1">
        <f>A2891+1</f>
        <v>2891</v>
      </c>
      <c r="C2892" s="8" t="s">
        <v>17</v>
      </c>
      <c r="D2892" s="2">
        <v>43940</v>
      </c>
      <c r="E2892" s="3">
        <v>450000</v>
      </c>
      <c r="F2892" t="s">
        <v>66</v>
      </c>
      <c r="G2892" t="s">
        <v>67</v>
      </c>
      <c r="H2892" t="s">
        <v>68</v>
      </c>
      <c r="I2892" s="6" t="s">
        <v>1194</v>
      </c>
      <c r="J2892" s="59" t="s">
        <v>22</v>
      </c>
      <c r="L2892" s="5" t="str">
        <f t="shared" si="1028"/>
        <v>02891</v>
      </c>
      <c r="M2892" s="46" t="str">
        <f t="shared" si="1029"/>
        <v>19 de abril de 2020</v>
      </c>
      <c r="N2892" s="318">
        <f t="shared" si="1022"/>
        <v>19</v>
      </c>
      <c r="O2892" s="24">
        <f t="shared" si="1030"/>
        <v>43922</v>
      </c>
      <c r="P2892" s="5" t="str">
        <f t="shared" si="1024"/>
        <v>450.000,00</v>
      </c>
      <c r="Q2892" s="4" t="e">
        <f t="shared" ca="1" si="1025"/>
        <v>#NAME?</v>
      </c>
    </row>
    <row r="2893" spans="1:17">
      <c r="A2893" s="1">
        <f t="shared" ref="A2893:A2897" si="1031">A2892+1</f>
        <v>2892</v>
      </c>
      <c r="C2893" s="8" t="s">
        <v>17</v>
      </c>
      <c r="D2893" s="2">
        <v>43940</v>
      </c>
      <c r="E2893" s="3">
        <v>186000</v>
      </c>
      <c r="F2893" t="s">
        <v>264</v>
      </c>
      <c r="G2893" t="s">
        <v>265</v>
      </c>
      <c r="H2893" t="s">
        <v>266</v>
      </c>
      <c r="I2893" s="6" t="s">
        <v>1176</v>
      </c>
      <c r="J2893" s="59" t="s">
        <v>22</v>
      </c>
      <c r="L2893" s="5" t="str">
        <f t="shared" si="1028"/>
        <v>02892</v>
      </c>
      <c r="M2893" s="46" t="str">
        <f t="shared" si="1029"/>
        <v>19 de abril de 2020</v>
      </c>
      <c r="N2893" s="318">
        <f t="shared" si="1022"/>
        <v>19</v>
      </c>
      <c r="O2893" s="24">
        <f t="shared" si="1030"/>
        <v>43922</v>
      </c>
      <c r="P2893" s="5" t="str">
        <f t="shared" si="1024"/>
        <v>186.000,00</v>
      </c>
      <c r="Q2893" s="4" t="e">
        <f t="shared" ca="1" si="1025"/>
        <v>#NAME?</v>
      </c>
    </row>
    <row r="2894" spans="1:17">
      <c r="A2894" s="1">
        <f t="shared" si="1031"/>
        <v>2893</v>
      </c>
      <c r="B2894" s="8"/>
      <c r="C2894" s="83" t="s">
        <v>17</v>
      </c>
      <c r="D2894" s="2">
        <v>43940</v>
      </c>
      <c r="E2894" s="3">
        <v>185250</v>
      </c>
      <c r="F2894" t="s">
        <v>319</v>
      </c>
      <c r="G2894" s="18" t="s">
        <v>58</v>
      </c>
      <c r="H2894" t="s">
        <v>320</v>
      </c>
      <c r="I2894" s="6" t="s">
        <v>1176</v>
      </c>
      <c r="J2894" s="59" t="s">
        <v>22</v>
      </c>
      <c r="L2894" s="5" t="str">
        <f t="shared" si="1028"/>
        <v>02893</v>
      </c>
      <c r="M2894" s="46" t="str">
        <f t="shared" si="1029"/>
        <v>19 de abril de 2020</v>
      </c>
      <c r="N2894" s="318">
        <f t="shared" si="1022"/>
        <v>19</v>
      </c>
      <c r="O2894" s="24">
        <f t="shared" si="1030"/>
        <v>43922</v>
      </c>
      <c r="P2894" s="5" t="str">
        <f t="shared" si="1024"/>
        <v>185.250,00</v>
      </c>
      <c r="Q2894" s="4" t="e">
        <f t="shared" ca="1" si="1025"/>
        <v>#NAME?</v>
      </c>
    </row>
    <row r="2895" spans="1:17">
      <c r="A2895" s="1">
        <f t="shared" si="1031"/>
        <v>2894</v>
      </c>
      <c r="B2895" s="8"/>
      <c r="C2895" s="8" t="s">
        <v>17</v>
      </c>
      <c r="D2895" s="2">
        <v>43938</v>
      </c>
      <c r="E2895" s="3">
        <v>200000</v>
      </c>
      <c r="F2895" t="s">
        <v>252</v>
      </c>
      <c r="G2895" s="447" t="s">
        <v>959</v>
      </c>
      <c r="H2895" t="s">
        <v>254</v>
      </c>
      <c r="I2895" s="6" t="s">
        <v>1195</v>
      </c>
      <c r="J2895" s="59" t="s">
        <v>22</v>
      </c>
      <c r="L2895" s="5" t="str">
        <f t="shared" si="1028"/>
        <v>02894</v>
      </c>
      <c r="M2895" s="46" t="str">
        <f t="shared" si="1029"/>
        <v>17 de abril de 2020</v>
      </c>
      <c r="N2895" s="318">
        <f t="shared" si="1022"/>
        <v>17</v>
      </c>
      <c r="O2895" s="24">
        <f t="shared" si="1030"/>
        <v>43922</v>
      </c>
      <c r="P2895" s="5" t="str">
        <f t="shared" si="1024"/>
        <v>200.000,00</v>
      </c>
      <c r="Q2895" s="4" t="e">
        <f t="shared" ca="1" si="1025"/>
        <v>#NAME?</v>
      </c>
    </row>
    <row r="2896" spans="1:17">
      <c r="A2896" s="1">
        <f>A2895+1</f>
        <v>2895</v>
      </c>
      <c r="B2896" s="8"/>
      <c r="C2896" s="8" t="s">
        <v>17</v>
      </c>
      <c r="D2896" s="2">
        <v>43938</v>
      </c>
      <c r="E2896" s="3">
        <v>185250</v>
      </c>
      <c r="F2896" t="s">
        <v>122</v>
      </c>
      <c r="G2896" t="s">
        <v>123</v>
      </c>
      <c r="H2896" t="s">
        <v>124</v>
      </c>
      <c r="I2896" s="6" t="s">
        <v>1176</v>
      </c>
      <c r="J2896" s="59" t="s">
        <v>22</v>
      </c>
      <c r="L2896" s="5" t="str">
        <f t="shared" si="1028"/>
        <v>02895</v>
      </c>
      <c r="M2896" s="46" t="str">
        <f t="shared" si="1029"/>
        <v>17 de abril de 2020</v>
      </c>
      <c r="N2896" s="318">
        <f t="shared" si="1022"/>
        <v>17</v>
      </c>
      <c r="O2896" s="24">
        <f t="shared" si="1030"/>
        <v>43922</v>
      </c>
      <c r="P2896" s="5" t="str">
        <f t="shared" si="1024"/>
        <v>185.250,00</v>
      </c>
      <c r="Q2896" s="4" t="e">
        <f t="shared" ca="1" si="1025"/>
        <v>#NAME?</v>
      </c>
    </row>
    <row r="2897" spans="1:17">
      <c r="A2897" s="1">
        <f t="shared" si="1031"/>
        <v>2896</v>
      </c>
      <c r="B2897" s="8"/>
      <c r="C2897" s="8" t="s">
        <v>17</v>
      </c>
      <c r="D2897" s="2">
        <v>43941</v>
      </c>
      <c r="E2897" s="3">
        <v>185250</v>
      </c>
      <c r="F2897" t="s">
        <v>126</v>
      </c>
      <c r="G2897" t="s">
        <v>127</v>
      </c>
      <c r="H2897" t="s">
        <v>128</v>
      </c>
      <c r="I2897" s="6" t="s">
        <v>1176</v>
      </c>
      <c r="J2897" s="59" t="s">
        <v>22</v>
      </c>
      <c r="L2897" s="5" t="str">
        <f t="shared" si="1028"/>
        <v>02896</v>
      </c>
      <c r="M2897" s="46" t="str">
        <f t="shared" si="1029"/>
        <v>20 de abril de 2020</v>
      </c>
      <c r="N2897" s="318">
        <f t="shared" si="1022"/>
        <v>20</v>
      </c>
      <c r="O2897" s="24">
        <f t="shared" si="1030"/>
        <v>43922</v>
      </c>
      <c r="P2897" s="5" t="str">
        <f t="shared" si="1024"/>
        <v>185.250,00</v>
      </c>
      <c r="Q2897" s="4" t="e">
        <f t="shared" ca="1" si="1025"/>
        <v>#NAME?</v>
      </c>
    </row>
    <row r="2898" spans="1:17">
      <c r="A2898" s="1">
        <f>A2897+1</f>
        <v>2897</v>
      </c>
      <c r="B2898" s="8"/>
      <c r="C2898" s="83" t="s">
        <v>17</v>
      </c>
      <c r="D2898" s="2">
        <v>43941</v>
      </c>
      <c r="E2898" s="3">
        <v>1263050</v>
      </c>
      <c r="F2898" t="s">
        <v>1070</v>
      </c>
      <c r="G2898" s="18" t="s">
        <v>58</v>
      </c>
      <c r="H2898" t="s">
        <v>481</v>
      </c>
      <c r="I2898" s="6" t="s">
        <v>1196</v>
      </c>
      <c r="J2898" s="59" t="s">
        <v>22</v>
      </c>
      <c r="L2898" s="5" t="str">
        <f t="shared" si="1028"/>
        <v>02897</v>
      </c>
      <c r="M2898" s="46" t="str">
        <f t="shared" si="1029"/>
        <v>20 de abril de 2020</v>
      </c>
      <c r="N2898" s="318">
        <f t="shared" si="1022"/>
        <v>20</v>
      </c>
      <c r="O2898" s="24">
        <f t="shared" si="1030"/>
        <v>43922</v>
      </c>
      <c r="P2898" s="5" t="str">
        <f t="shared" si="1024"/>
        <v>1.263.050,00</v>
      </c>
      <c r="Q2898" s="4" t="e">
        <f t="shared" ca="1" si="1025"/>
        <v>#NAME?</v>
      </c>
    </row>
    <row r="2899" spans="1:17">
      <c r="A2899" s="1">
        <f>A2898+1</f>
        <v>2898</v>
      </c>
      <c r="C2899" s="8" t="s">
        <v>17</v>
      </c>
      <c r="D2899" s="2">
        <v>43941</v>
      </c>
      <c r="E2899" s="3">
        <v>100000</v>
      </c>
      <c r="F2899" t="s">
        <v>412</v>
      </c>
      <c r="G2899" t="s">
        <v>413</v>
      </c>
      <c r="H2899" t="s">
        <v>414</v>
      </c>
      <c r="I2899" s="6" t="s">
        <v>1179</v>
      </c>
      <c r="J2899" s="59" t="s">
        <v>22</v>
      </c>
      <c r="L2899" s="5" t="str">
        <f t="shared" si="1028"/>
        <v>02898</v>
      </c>
      <c r="M2899" s="46" t="str">
        <f t="shared" si="1029"/>
        <v>20 de abril de 2020</v>
      </c>
      <c r="N2899" s="318">
        <f t="shared" si="1022"/>
        <v>20</v>
      </c>
      <c r="O2899" s="24">
        <f t="shared" si="1030"/>
        <v>43922</v>
      </c>
      <c r="P2899" s="5" t="str">
        <f t="shared" si="1024"/>
        <v>100.000,00</v>
      </c>
      <c r="Q2899" s="4" t="e">
        <f t="shared" ca="1" si="1025"/>
        <v>#NAME?</v>
      </c>
    </row>
    <row r="2900" spans="1:17">
      <c r="A2900" s="1">
        <f t="shared" ref="A2900:A2902" si="1032">A2899+1</f>
        <v>2899</v>
      </c>
      <c r="C2900" s="8" t="s">
        <v>225</v>
      </c>
      <c r="D2900" s="2">
        <v>43972</v>
      </c>
      <c r="E2900" s="550">
        <f>185250*6</f>
        <v>1111500</v>
      </c>
      <c r="F2900" t="s">
        <v>353</v>
      </c>
      <c r="G2900" t="s">
        <v>354</v>
      </c>
      <c r="H2900" t="s">
        <v>355</v>
      </c>
      <c r="I2900" s="6" t="s">
        <v>1197</v>
      </c>
      <c r="J2900" s="59" t="s">
        <v>426</v>
      </c>
      <c r="L2900" s="5" t="str">
        <f t="shared" si="1028"/>
        <v>02899</v>
      </c>
      <c r="M2900" s="46" t="str">
        <f t="shared" si="1029"/>
        <v>21 de mayo de 2020</v>
      </c>
      <c r="N2900" s="318">
        <f t="shared" si="1022"/>
        <v>21</v>
      </c>
      <c r="O2900" s="24">
        <f t="shared" si="1030"/>
        <v>43952</v>
      </c>
      <c r="P2900" s="5" t="str">
        <f t="shared" si="1024"/>
        <v>1.111.500,00</v>
      </c>
      <c r="Q2900" s="4" t="e">
        <f t="shared" ca="1" si="1025"/>
        <v>#NAME?</v>
      </c>
    </row>
    <row r="2901" spans="1:17">
      <c r="A2901" s="1">
        <f>A2900+1</f>
        <v>2900</v>
      </c>
      <c r="C2901" s="8" t="s">
        <v>17</v>
      </c>
      <c r="D2901" s="2">
        <v>43942</v>
      </c>
      <c r="E2901" s="3">
        <v>185250</v>
      </c>
      <c r="F2901" t="s">
        <v>239</v>
      </c>
      <c r="G2901" s="609" t="s">
        <v>240</v>
      </c>
      <c r="H2901" t="s">
        <v>241</v>
      </c>
      <c r="I2901" s="6" t="s">
        <v>1176</v>
      </c>
      <c r="J2901" s="59" t="s">
        <v>22</v>
      </c>
      <c r="L2901" s="5" t="str">
        <f t="shared" si="1028"/>
        <v>02900</v>
      </c>
      <c r="M2901" s="46" t="str">
        <f t="shared" si="1029"/>
        <v>21 de abril de 2020</v>
      </c>
      <c r="N2901" s="318">
        <f t="shared" si="1022"/>
        <v>21</v>
      </c>
      <c r="O2901" s="24">
        <f t="shared" si="1030"/>
        <v>43922</v>
      </c>
      <c r="P2901" s="5" t="str">
        <f t="shared" si="1024"/>
        <v>185.250,00</v>
      </c>
      <c r="Q2901" s="4" t="e">
        <f t="shared" ca="1" si="1025"/>
        <v>#NAME?</v>
      </c>
    </row>
    <row r="2902" spans="1:17">
      <c r="A2902" s="1">
        <f t="shared" si="1032"/>
        <v>2901</v>
      </c>
      <c r="C2902" s="8" t="s">
        <v>17</v>
      </c>
      <c r="D2902" s="2">
        <v>43942</v>
      </c>
      <c r="E2902" s="3">
        <v>200000</v>
      </c>
      <c r="F2902" t="s">
        <v>483</v>
      </c>
      <c r="G2902" t="s">
        <v>484</v>
      </c>
      <c r="H2902" t="s">
        <v>485</v>
      </c>
      <c r="I2902" s="6" t="s">
        <v>1176</v>
      </c>
      <c r="J2902" s="59" t="s">
        <v>22</v>
      </c>
      <c r="L2902" s="5" t="str">
        <f t="shared" si="1028"/>
        <v>02901</v>
      </c>
      <c r="M2902" s="46" t="str">
        <f t="shared" si="1029"/>
        <v>21 de abril de 2020</v>
      </c>
      <c r="N2902" s="318">
        <f t="shared" si="1022"/>
        <v>21</v>
      </c>
      <c r="O2902" s="24">
        <f t="shared" si="1030"/>
        <v>43922</v>
      </c>
      <c r="P2902" s="5" t="str">
        <f t="shared" si="1024"/>
        <v>200.000,00</v>
      </c>
      <c r="Q2902" s="4" t="e">
        <f t="shared" ca="1" si="1025"/>
        <v>#NAME?</v>
      </c>
    </row>
    <row r="2903" spans="1:17" ht="16.5" customHeight="1">
      <c r="A2903" s="1">
        <f t="shared" ref="A2903:A2908" si="1033">A2902+1</f>
        <v>2902</v>
      </c>
      <c r="C2903" s="8" t="s">
        <v>17</v>
      </c>
      <c r="D2903" s="2">
        <v>43944</v>
      </c>
      <c r="E2903" s="3">
        <v>200000</v>
      </c>
      <c r="F2903" t="s">
        <v>219</v>
      </c>
      <c r="G2903" t="s">
        <v>220</v>
      </c>
      <c r="H2903" t="s">
        <v>221</v>
      </c>
      <c r="I2903" s="6" t="s">
        <v>1176</v>
      </c>
      <c r="J2903" s="59" t="s">
        <v>22</v>
      </c>
      <c r="L2903" s="5" t="str">
        <f t="shared" si="1028"/>
        <v>02902</v>
      </c>
      <c r="M2903" s="46" t="str">
        <f t="shared" si="1029"/>
        <v>23 de abril de 2020</v>
      </c>
      <c r="N2903" s="318">
        <f t="shared" si="1022"/>
        <v>23</v>
      </c>
      <c r="O2903" s="24">
        <f t="shared" si="1030"/>
        <v>43922</v>
      </c>
      <c r="P2903" s="5" t="str">
        <f t="shared" si="1024"/>
        <v>200.000,00</v>
      </c>
      <c r="Q2903" s="4" t="e">
        <f t="shared" ca="1" si="1025"/>
        <v>#NAME?</v>
      </c>
    </row>
    <row r="2904" spans="1:17">
      <c r="A2904" s="1">
        <f t="shared" si="1033"/>
        <v>2903</v>
      </c>
      <c r="C2904" s="8" t="s">
        <v>17</v>
      </c>
      <c r="D2904" s="2">
        <v>43942</v>
      </c>
      <c r="E2904" s="550">
        <f>185250*5+250000</f>
        <v>1176250</v>
      </c>
      <c r="F2904" t="s">
        <v>353</v>
      </c>
      <c r="G2904" t="s">
        <v>354</v>
      </c>
      <c r="H2904" t="s">
        <v>355</v>
      </c>
      <c r="I2904" s="6" t="s">
        <v>1198</v>
      </c>
      <c r="J2904" s="59" t="s">
        <v>22</v>
      </c>
      <c r="L2904" s="5" t="str">
        <f t="shared" ref="L2904:L2905" si="1034">IF(ISBLANK(A2904),"",TEXT(A2904,"00000"))</f>
        <v>02903</v>
      </c>
      <c r="M2904" s="46" t="str">
        <f t="shared" ref="M2904:M2905" si="1035">IF(ISBLANK(D2904),"",TEXT(D2904,"dd")&amp;" de "&amp;TEXT(D2904,"mmmm")&amp;" de "&amp;TEXT(YEAR(D2904),"0"))</f>
        <v>21 de abril de 2020</v>
      </c>
      <c r="N2904" s="318">
        <f t="shared" ref="N2904:N2919" si="1036">DAY(D2904)</f>
        <v>21</v>
      </c>
      <c r="O2904" s="24">
        <f t="shared" ref="O2904:O2905" si="1037">DATE(YEAR(D2904),MONTH(D2904),1)</f>
        <v>43922</v>
      </c>
      <c r="P2904" s="5" t="str">
        <f t="shared" ref="P2904:P2919" si="1038">TEXT(E2904,"#.##0,00")</f>
        <v>1.176.250,00</v>
      </c>
      <c r="Q2904" s="4" t="e">
        <f t="shared" ref="Q2904:Q2915" ca="1" si="1039">CONVERTIRNUM(E2904)</f>
        <v>#NAME?</v>
      </c>
    </row>
    <row r="2905" spans="1:17">
      <c r="A2905" s="1">
        <f t="shared" si="1033"/>
        <v>2904</v>
      </c>
      <c r="C2905" s="8" t="s">
        <v>17</v>
      </c>
      <c r="D2905" s="2">
        <v>43945</v>
      </c>
      <c r="E2905" s="3">
        <v>185250</v>
      </c>
      <c r="F2905" t="s">
        <v>211</v>
      </c>
      <c r="G2905" t="s">
        <v>212</v>
      </c>
      <c r="H2905" t="s">
        <v>213</v>
      </c>
      <c r="I2905" s="6" t="s">
        <v>1176</v>
      </c>
      <c r="J2905" s="59" t="s">
        <v>22</v>
      </c>
      <c r="L2905" s="5" t="str">
        <f t="shared" si="1034"/>
        <v>02904</v>
      </c>
      <c r="M2905" s="46" t="str">
        <f t="shared" si="1035"/>
        <v>24 de abril de 2020</v>
      </c>
      <c r="N2905" s="318">
        <f t="shared" si="1036"/>
        <v>24</v>
      </c>
      <c r="O2905" s="24">
        <f t="shared" si="1037"/>
        <v>43922</v>
      </c>
      <c r="P2905" s="5" t="str">
        <f t="shared" si="1038"/>
        <v>185.250,00</v>
      </c>
      <c r="Q2905" s="4" t="e">
        <f t="shared" ca="1" si="1039"/>
        <v>#NAME?</v>
      </c>
    </row>
    <row r="2906" spans="1:17">
      <c r="A2906" s="1">
        <f t="shared" si="1033"/>
        <v>2905</v>
      </c>
      <c r="C2906" s="8" t="s">
        <v>17</v>
      </c>
      <c r="D2906" s="2">
        <v>43946</v>
      </c>
      <c r="E2906" s="3">
        <v>300000</v>
      </c>
      <c r="F2906" t="s">
        <v>44</v>
      </c>
      <c r="G2906" t="s">
        <v>45</v>
      </c>
      <c r="H2906" t="s">
        <v>46</v>
      </c>
      <c r="I2906" s="6" t="s">
        <v>1199</v>
      </c>
      <c r="J2906" s="59" t="s">
        <v>22</v>
      </c>
      <c r="L2906" s="5" t="str">
        <f>IF(ISBLANK(A2906),"",TEXT(A2906,"00000"))</f>
        <v>02905</v>
      </c>
      <c r="M2906" s="46" t="str">
        <f>IF(ISBLANK(D2906),"",TEXT(D2906,"dd")&amp;" de "&amp;TEXT(D2906,"mmmm")&amp;" de "&amp;TEXT(YEAR(D2906),"0"))</f>
        <v>25 de abril de 2020</v>
      </c>
      <c r="N2906" s="318">
        <f t="shared" si="1036"/>
        <v>25</v>
      </c>
      <c r="O2906" s="24">
        <f>DATE(YEAR(D2906),MONTH(D2906),1)</f>
        <v>43922</v>
      </c>
      <c r="P2906" s="5" t="str">
        <f t="shared" si="1038"/>
        <v>300.000,00</v>
      </c>
      <c r="Q2906" s="4" t="e">
        <f t="shared" ca="1" si="1039"/>
        <v>#NAME?</v>
      </c>
    </row>
    <row r="2907" spans="1:17">
      <c r="A2907" s="1">
        <f t="shared" si="1033"/>
        <v>2906</v>
      </c>
      <c r="C2907" s="8" t="s">
        <v>17</v>
      </c>
      <c r="D2907" s="2">
        <v>43947</v>
      </c>
      <c r="E2907" s="3">
        <v>185250</v>
      </c>
      <c r="F2907" t="s">
        <v>786</v>
      </c>
      <c r="G2907" t="s">
        <v>787</v>
      </c>
      <c r="H2907" t="s">
        <v>719</v>
      </c>
      <c r="I2907" s="6" t="s">
        <v>1176</v>
      </c>
      <c r="J2907" s="59" t="s">
        <v>22</v>
      </c>
      <c r="L2907" s="5" t="str">
        <f t="shared" ref="L2907:L2919" si="1040">IF(ISBLANK(A2907),"",TEXT(A2907,"00000"))</f>
        <v>02906</v>
      </c>
      <c r="M2907" s="46" t="str">
        <f t="shared" ref="M2907:M2919" si="1041">IF(ISBLANK(D2907),"",TEXT(D2907,"dd")&amp;" de "&amp;TEXT(D2907,"mmmm")&amp;" de "&amp;TEXT(YEAR(D2907),"0"))</f>
        <v>26 de abril de 2020</v>
      </c>
      <c r="N2907" s="318">
        <f t="shared" si="1036"/>
        <v>26</v>
      </c>
      <c r="O2907" s="24">
        <f t="shared" ref="O2907:O2919" si="1042">DATE(YEAR(D2907),MONTH(D2907),1)</f>
        <v>43922</v>
      </c>
      <c r="P2907" s="5" t="str">
        <f t="shared" si="1038"/>
        <v>185.250,00</v>
      </c>
      <c r="Q2907" s="4" t="e">
        <f t="shared" ca="1" si="1039"/>
        <v>#NAME?</v>
      </c>
    </row>
    <row r="2908" spans="1:17">
      <c r="A2908" s="1">
        <f t="shared" si="1033"/>
        <v>2907</v>
      </c>
      <c r="C2908" s="8" t="s">
        <v>17</v>
      </c>
      <c r="D2908" s="2">
        <v>43948</v>
      </c>
      <c r="E2908" s="3">
        <v>300000</v>
      </c>
      <c r="F2908" t="s">
        <v>612</v>
      </c>
      <c r="G2908" t="s">
        <v>613</v>
      </c>
      <c r="H2908" t="s">
        <v>614</v>
      </c>
      <c r="I2908" s="6" t="s">
        <v>1200</v>
      </c>
      <c r="J2908" s="59" t="s">
        <v>22</v>
      </c>
      <c r="L2908" s="5" t="str">
        <f t="shared" si="1040"/>
        <v>02907</v>
      </c>
      <c r="M2908" s="46" t="str">
        <f t="shared" si="1041"/>
        <v>27 de abril de 2020</v>
      </c>
      <c r="N2908" s="318">
        <f t="shared" si="1036"/>
        <v>27</v>
      </c>
      <c r="O2908" s="24">
        <f t="shared" si="1042"/>
        <v>43922</v>
      </c>
      <c r="P2908" s="5" t="str">
        <f t="shared" si="1038"/>
        <v>300.000,00</v>
      </c>
      <c r="Q2908" s="4" t="e">
        <f t="shared" ca="1" si="1039"/>
        <v>#NAME?</v>
      </c>
    </row>
    <row r="2909" spans="1:17">
      <c r="A2909" s="1">
        <f t="shared" ref="A2909:A2911" si="1043">A2908+1</f>
        <v>2908</v>
      </c>
      <c r="C2909" s="8" t="s">
        <v>17</v>
      </c>
      <c r="D2909" s="2">
        <v>43934</v>
      </c>
      <c r="E2909" s="3">
        <v>185250</v>
      </c>
      <c r="F2909" t="s">
        <v>177</v>
      </c>
      <c r="G2909" t="s">
        <v>942</v>
      </c>
      <c r="H2909" t="s">
        <v>179</v>
      </c>
      <c r="I2909" s="6" t="s">
        <v>1201</v>
      </c>
      <c r="J2909" s="59" t="s">
        <v>22</v>
      </c>
      <c r="L2909" s="5" t="str">
        <f t="shared" si="1040"/>
        <v>02908</v>
      </c>
      <c r="M2909" s="46" t="str">
        <f t="shared" si="1041"/>
        <v>13 de abril de 2020</v>
      </c>
      <c r="N2909" s="318">
        <f t="shared" si="1036"/>
        <v>13</v>
      </c>
      <c r="O2909" s="24">
        <f t="shared" si="1042"/>
        <v>43922</v>
      </c>
      <c r="P2909" s="5" t="str">
        <f t="shared" si="1038"/>
        <v>185.250,00</v>
      </c>
      <c r="Q2909" s="4" t="e">
        <f t="shared" ca="1" si="1039"/>
        <v>#NAME?</v>
      </c>
    </row>
    <row r="2910" spans="1:17">
      <c r="A2910" s="1">
        <f>A2909+1</f>
        <v>2909</v>
      </c>
      <c r="C2910" s="8" t="s">
        <v>17</v>
      </c>
      <c r="D2910" s="2">
        <v>43948</v>
      </c>
      <c r="E2910" s="3">
        <v>185250</v>
      </c>
      <c r="F2910" t="s">
        <v>177</v>
      </c>
      <c r="G2910" t="s">
        <v>942</v>
      </c>
      <c r="H2910" t="s">
        <v>179</v>
      </c>
      <c r="I2910" s="6" t="s">
        <v>1202</v>
      </c>
      <c r="J2910" s="59" t="s">
        <v>22</v>
      </c>
      <c r="L2910" s="5" t="str">
        <f t="shared" si="1040"/>
        <v>02909</v>
      </c>
      <c r="M2910" s="46" t="str">
        <f t="shared" si="1041"/>
        <v>27 de abril de 2020</v>
      </c>
      <c r="N2910" s="318">
        <f t="shared" si="1036"/>
        <v>27</v>
      </c>
      <c r="O2910" s="24">
        <f t="shared" si="1042"/>
        <v>43922</v>
      </c>
      <c r="P2910" s="5" t="str">
        <f t="shared" si="1038"/>
        <v>185.250,00</v>
      </c>
      <c r="Q2910" s="4" t="e">
        <f t="shared" ca="1" si="1039"/>
        <v>#NAME?</v>
      </c>
    </row>
    <row r="2911" spans="1:17">
      <c r="A2911" s="1">
        <f t="shared" si="1043"/>
        <v>2910</v>
      </c>
      <c r="C2911" s="8" t="s">
        <v>17</v>
      </c>
      <c r="D2911" s="2">
        <v>43949</v>
      </c>
      <c r="E2911" s="3">
        <v>148200</v>
      </c>
      <c r="F2911" t="s">
        <v>230</v>
      </c>
      <c r="G2911" t="s">
        <v>231</v>
      </c>
      <c r="H2911" t="s">
        <v>232</v>
      </c>
      <c r="I2911" s="6" t="s">
        <v>1203</v>
      </c>
      <c r="J2911" s="59" t="s">
        <v>22</v>
      </c>
      <c r="L2911" s="5" t="str">
        <f t="shared" si="1040"/>
        <v>02910</v>
      </c>
      <c r="M2911" s="46" t="str">
        <f t="shared" si="1041"/>
        <v>28 de abril de 2020</v>
      </c>
      <c r="N2911" s="318">
        <f t="shared" si="1036"/>
        <v>28</v>
      </c>
      <c r="O2911" s="24">
        <f t="shared" si="1042"/>
        <v>43922</v>
      </c>
      <c r="P2911" s="5" t="str">
        <f t="shared" si="1038"/>
        <v>148.200,00</v>
      </c>
      <c r="Q2911" s="4" t="e">
        <f t="shared" ca="1" si="1039"/>
        <v>#NAME?</v>
      </c>
    </row>
    <row r="2912" spans="1:17">
      <c r="A2912" s="1">
        <f>A2911+1</f>
        <v>2911</v>
      </c>
      <c r="C2912" s="8" t="s">
        <v>17</v>
      </c>
      <c r="D2912" s="2">
        <v>43949</v>
      </c>
      <c r="E2912" s="3">
        <v>185200</v>
      </c>
      <c r="F2912" t="s">
        <v>284</v>
      </c>
      <c r="G2912" t="s">
        <v>687</v>
      </c>
      <c r="H2912" t="s">
        <v>285</v>
      </c>
      <c r="I2912" s="6" t="s">
        <v>1176</v>
      </c>
      <c r="J2912" s="59" t="s">
        <v>22</v>
      </c>
      <c r="L2912" s="5" t="str">
        <f t="shared" si="1040"/>
        <v>02911</v>
      </c>
      <c r="M2912" s="46" t="str">
        <f t="shared" si="1041"/>
        <v>28 de abril de 2020</v>
      </c>
      <c r="N2912" s="318">
        <f t="shared" si="1036"/>
        <v>28</v>
      </c>
      <c r="O2912" s="24">
        <f t="shared" si="1042"/>
        <v>43922</v>
      </c>
      <c r="P2912" s="5" t="str">
        <f t="shared" si="1038"/>
        <v>185.200,00</v>
      </c>
      <c r="Q2912" s="4" t="e">
        <f t="shared" ca="1" si="1039"/>
        <v>#NAME?</v>
      </c>
    </row>
    <row r="2913" spans="1:17">
      <c r="A2913" s="1">
        <f>A2912+1</f>
        <v>2912</v>
      </c>
      <c r="C2913" s="8" t="s">
        <v>17</v>
      </c>
      <c r="D2913" s="2">
        <v>43949</v>
      </c>
      <c r="E2913" s="3">
        <v>185250</v>
      </c>
      <c r="F2913" t="s">
        <v>296</v>
      </c>
      <c r="G2913" t="s">
        <v>297</v>
      </c>
      <c r="H2913" t="s">
        <v>298</v>
      </c>
      <c r="I2913" s="6" t="s">
        <v>1176</v>
      </c>
      <c r="J2913" s="59" t="s">
        <v>22</v>
      </c>
      <c r="L2913" s="5" t="str">
        <f t="shared" si="1040"/>
        <v>02912</v>
      </c>
      <c r="M2913" s="46" t="str">
        <f t="shared" si="1041"/>
        <v>28 de abril de 2020</v>
      </c>
      <c r="N2913" s="318">
        <f t="shared" si="1036"/>
        <v>28</v>
      </c>
      <c r="O2913" s="24">
        <f t="shared" si="1042"/>
        <v>43922</v>
      </c>
      <c r="P2913" s="5" t="str">
        <f t="shared" si="1038"/>
        <v>185.250,00</v>
      </c>
      <c r="Q2913" s="4" t="e">
        <f t="shared" ca="1" si="1039"/>
        <v>#NAME?</v>
      </c>
    </row>
    <row r="2914" spans="1:17">
      <c r="A2914" s="1">
        <f t="shared" ref="A2914:A2916" si="1044">A2913+1</f>
        <v>2913</v>
      </c>
      <c r="C2914" s="8" t="s">
        <v>17</v>
      </c>
      <c r="D2914" s="2">
        <v>43950</v>
      </c>
      <c r="E2914" s="3">
        <v>400000</v>
      </c>
      <c r="F2914" t="s">
        <v>558</v>
      </c>
      <c r="G2914" t="s">
        <v>559</v>
      </c>
      <c r="H2914" t="s">
        <v>560</v>
      </c>
      <c r="I2914" s="6" t="s">
        <v>1204</v>
      </c>
      <c r="J2914" s="59" t="s">
        <v>22</v>
      </c>
      <c r="L2914" s="5" t="str">
        <f t="shared" si="1040"/>
        <v>02913</v>
      </c>
      <c r="M2914" s="46" t="str">
        <f t="shared" si="1041"/>
        <v>29 de abril de 2020</v>
      </c>
      <c r="N2914" s="318">
        <f t="shared" si="1036"/>
        <v>29</v>
      </c>
      <c r="O2914" s="24">
        <f t="shared" si="1042"/>
        <v>43922</v>
      </c>
      <c r="P2914" s="5" t="str">
        <f t="shared" si="1038"/>
        <v>400.000,00</v>
      </c>
      <c r="Q2914" s="4" t="e">
        <f t="shared" ca="1" si="1039"/>
        <v>#NAME?</v>
      </c>
    </row>
    <row r="2915" spans="1:17">
      <c r="A2915" s="1">
        <f>A2914+1</f>
        <v>2914</v>
      </c>
      <c r="C2915" s="8" t="s">
        <v>17</v>
      </c>
      <c r="D2915" s="2">
        <v>43948</v>
      </c>
      <c r="E2915" s="3">
        <v>70000</v>
      </c>
      <c r="F2915" t="s">
        <v>433</v>
      </c>
      <c r="G2915" t="s">
        <v>434</v>
      </c>
      <c r="H2915" t="s">
        <v>435</v>
      </c>
      <c r="I2915" s="6" t="s">
        <v>1179</v>
      </c>
      <c r="J2915" s="59" t="s">
        <v>22</v>
      </c>
      <c r="L2915" s="5" t="str">
        <f t="shared" si="1040"/>
        <v>02914</v>
      </c>
      <c r="M2915" s="46" t="str">
        <f t="shared" si="1041"/>
        <v>27 de abril de 2020</v>
      </c>
      <c r="N2915" s="318">
        <f t="shared" si="1036"/>
        <v>27</v>
      </c>
      <c r="O2915" s="24">
        <f t="shared" si="1042"/>
        <v>43922</v>
      </c>
      <c r="P2915" s="5" t="str">
        <f t="shared" si="1038"/>
        <v>70.000,00</v>
      </c>
      <c r="Q2915" s="4" t="e">
        <f t="shared" ca="1" si="1039"/>
        <v>#NAME?</v>
      </c>
    </row>
    <row r="2916" spans="1:17">
      <c r="A2916" s="1">
        <f t="shared" si="1044"/>
        <v>2915</v>
      </c>
      <c r="C2916" s="8" t="s">
        <v>17</v>
      </c>
      <c r="D2916" s="2">
        <v>43950</v>
      </c>
      <c r="E2916" s="3">
        <v>185250</v>
      </c>
      <c r="F2916" t="s">
        <v>1016</v>
      </c>
      <c r="G2916" t="s">
        <v>1017</v>
      </c>
      <c r="H2916" t="s">
        <v>59</v>
      </c>
      <c r="I2916" s="6" t="s">
        <v>1176</v>
      </c>
      <c r="J2916" s="59" t="s">
        <v>22</v>
      </c>
      <c r="L2916" s="5" t="str">
        <f t="shared" si="1040"/>
        <v>02915</v>
      </c>
      <c r="M2916" s="46" t="str">
        <f t="shared" si="1041"/>
        <v>29 de abril de 2020</v>
      </c>
      <c r="N2916" s="318">
        <f t="shared" si="1036"/>
        <v>29</v>
      </c>
      <c r="O2916" s="24">
        <f t="shared" si="1042"/>
        <v>43922</v>
      </c>
      <c r="P2916" s="5" t="str">
        <f t="shared" si="1038"/>
        <v>185.250,00</v>
      </c>
      <c r="Q2916" s="4" t="e">
        <f ca="1">CONVERTIRNUM(E2916)</f>
        <v>#NAME?</v>
      </c>
    </row>
    <row r="2917" spans="1:17">
      <c r="A2917" s="1">
        <f t="shared" ref="A2917:A2924" si="1045">A2916+1</f>
        <v>2916</v>
      </c>
      <c r="B2917" s="8"/>
      <c r="C2917" s="8" t="s">
        <v>17</v>
      </c>
      <c r="D2917" s="2">
        <v>43951</v>
      </c>
      <c r="E2917" s="160">
        <f>270000-185250</f>
        <v>84750</v>
      </c>
      <c r="F2917" t="s">
        <v>334</v>
      </c>
      <c r="G2917" t="s">
        <v>85</v>
      </c>
      <c r="H2917" t="s">
        <v>335</v>
      </c>
      <c r="I2917" s="6" t="s">
        <v>1205</v>
      </c>
      <c r="J2917" s="59" t="s">
        <v>22</v>
      </c>
      <c r="L2917" s="5" t="str">
        <f t="shared" si="1040"/>
        <v>02916</v>
      </c>
      <c r="M2917" s="46" t="str">
        <f t="shared" si="1041"/>
        <v>30 de abril de 2020</v>
      </c>
      <c r="N2917" s="318">
        <f t="shared" si="1036"/>
        <v>30</v>
      </c>
      <c r="O2917" s="24">
        <f t="shared" si="1042"/>
        <v>43922</v>
      </c>
      <c r="P2917" s="5" t="str">
        <f t="shared" si="1038"/>
        <v>84.750,00</v>
      </c>
      <c r="Q2917" s="4" t="e">
        <f t="shared" ref="Q2917:Q2920" ca="1" si="1046">CONVERTIRNUM(E2917)</f>
        <v>#NAME?</v>
      </c>
    </row>
    <row r="2918" spans="1:17">
      <c r="A2918" s="1">
        <f t="shared" si="1045"/>
        <v>2917</v>
      </c>
      <c r="B2918" s="8"/>
      <c r="C2918" s="8" t="s">
        <v>17</v>
      </c>
      <c r="D2918" s="2">
        <v>43951</v>
      </c>
      <c r="E2918" s="160">
        <v>185250</v>
      </c>
      <c r="F2918" t="s">
        <v>84</v>
      </c>
      <c r="G2918" t="s">
        <v>85</v>
      </c>
      <c r="H2918" t="s">
        <v>86</v>
      </c>
      <c r="I2918" s="6" t="s">
        <v>1206</v>
      </c>
      <c r="J2918" s="59" t="s">
        <v>22</v>
      </c>
      <c r="L2918" s="5" t="str">
        <f t="shared" si="1040"/>
        <v>02917</v>
      </c>
      <c r="M2918" s="46" t="str">
        <f t="shared" si="1041"/>
        <v>30 de abril de 2020</v>
      </c>
      <c r="N2918" s="318">
        <f t="shared" si="1036"/>
        <v>30</v>
      </c>
      <c r="O2918" s="24">
        <f t="shared" si="1042"/>
        <v>43922</v>
      </c>
      <c r="P2918" s="5" t="str">
        <f t="shared" si="1038"/>
        <v>185.250,00</v>
      </c>
      <c r="Q2918" s="4" t="e">
        <f t="shared" ca="1" si="1046"/>
        <v>#NAME?</v>
      </c>
    </row>
    <row r="2919" spans="1:17">
      <c r="A2919" s="1">
        <f t="shared" si="1045"/>
        <v>2918</v>
      </c>
      <c r="B2919" s="8"/>
      <c r="C2919" s="83" t="s">
        <v>17</v>
      </c>
      <c r="D2919" s="2">
        <v>43951</v>
      </c>
      <c r="E2919" s="3">
        <v>185250</v>
      </c>
      <c r="F2919" t="s">
        <v>259</v>
      </c>
      <c r="G2919" s="617" t="s">
        <v>1207</v>
      </c>
      <c r="H2919" t="s">
        <v>261</v>
      </c>
      <c r="I2919" s="6" t="s">
        <v>1176</v>
      </c>
      <c r="J2919" s="59" t="s">
        <v>22</v>
      </c>
      <c r="L2919" s="5" t="str">
        <f t="shared" si="1040"/>
        <v>02918</v>
      </c>
      <c r="M2919" s="46" t="str">
        <f t="shared" si="1041"/>
        <v>30 de abril de 2020</v>
      </c>
      <c r="N2919" s="318">
        <f t="shared" si="1036"/>
        <v>30</v>
      </c>
      <c r="O2919" s="24">
        <f t="shared" si="1042"/>
        <v>43922</v>
      </c>
      <c r="P2919" s="5" t="str">
        <f t="shared" si="1038"/>
        <v>185.250,00</v>
      </c>
      <c r="Q2919" s="4" t="e">
        <f t="shared" ca="1" si="1046"/>
        <v>#NAME?</v>
      </c>
    </row>
    <row r="2920" spans="1:17">
      <c r="A2920" s="1">
        <f t="shared" si="1045"/>
        <v>2919</v>
      </c>
      <c r="C2920" s="8" t="s">
        <v>17</v>
      </c>
      <c r="D2920" s="2">
        <v>43951</v>
      </c>
      <c r="E2920" s="3">
        <v>250000</v>
      </c>
      <c r="F2920" t="s">
        <v>786</v>
      </c>
      <c r="G2920" t="s">
        <v>787</v>
      </c>
      <c r="H2920" t="s">
        <v>719</v>
      </c>
      <c r="I2920" s="6" t="s">
        <v>1208</v>
      </c>
      <c r="J2920" s="59" t="s">
        <v>22</v>
      </c>
      <c r="L2920" s="5" t="str">
        <f t="shared" ref="L2920" si="1047">IF(ISBLANK(A2920),"",TEXT(A2920,"00000"))</f>
        <v>02919</v>
      </c>
      <c r="M2920" s="46" t="str">
        <f t="shared" ref="M2920" si="1048">IF(ISBLANK(D2920),"",TEXT(D2920,"dd")&amp;" de "&amp;TEXT(D2920,"mmmm")&amp;" de "&amp;TEXT(YEAR(D2920),"0"))</f>
        <v>30 de abril de 2020</v>
      </c>
      <c r="N2920" s="318">
        <f t="shared" ref="N2920" si="1049">DAY(D2920)</f>
        <v>30</v>
      </c>
      <c r="O2920" s="24">
        <f t="shared" ref="O2920" si="1050">DATE(YEAR(D2920),MONTH(D2920),1)</f>
        <v>43922</v>
      </c>
      <c r="P2920" s="5" t="str">
        <f t="shared" ref="P2920" si="1051">TEXT(E2920,"#.##0,00")</f>
        <v>250.000,00</v>
      </c>
      <c r="Q2920" s="4" t="e">
        <f t="shared" ca="1" si="1046"/>
        <v>#NAME?</v>
      </c>
    </row>
    <row r="2921" spans="1:17">
      <c r="A2921" s="1">
        <f t="shared" si="1045"/>
        <v>2920</v>
      </c>
      <c r="C2921" s="8" t="s">
        <v>17</v>
      </c>
      <c r="D2921" s="2">
        <v>43951</v>
      </c>
      <c r="E2921" s="3">
        <v>250000</v>
      </c>
      <c r="F2921" t="s">
        <v>786</v>
      </c>
      <c r="G2921" t="s">
        <v>787</v>
      </c>
      <c r="H2921" t="s">
        <v>719</v>
      </c>
      <c r="I2921" s="6" t="s">
        <v>1209</v>
      </c>
      <c r="J2921" s="59" t="s">
        <v>426</v>
      </c>
      <c r="L2921" s="5" t="str">
        <f t="shared" ref="L2921:L2950" si="1052">IF(ISBLANK(A2921),"",TEXT(A2921,"00000"))</f>
        <v>02920</v>
      </c>
      <c r="M2921" s="46" t="str">
        <f t="shared" ref="M2921:M2950" si="1053">IF(ISBLANK(D2921),"",TEXT(D2921,"dd")&amp;" de "&amp;TEXT(D2921,"mmmm")&amp;" de "&amp;TEXT(YEAR(D2921),"0"))</f>
        <v>30 de abril de 2020</v>
      </c>
      <c r="N2921" s="318">
        <f t="shared" ref="N2921:N2950" si="1054">DAY(D2921)</f>
        <v>30</v>
      </c>
      <c r="O2921" s="24">
        <f t="shared" ref="O2921:O2950" si="1055">DATE(YEAR(D2921),MONTH(D2921),1)</f>
        <v>43922</v>
      </c>
      <c r="P2921" s="5" t="str">
        <f t="shared" ref="P2921:P2950" si="1056">TEXT(E2921,"#.##0,00")</f>
        <v>250.000,00</v>
      </c>
      <c r="Q2921" s="4" t="e">
        <f t="shared" ref="Q2921:Q2923" ca="1" si="1057">CONVERTIRNUM(E2921)</f>
        <v>#NAME?</v>
      </c>
    </row>
    <row r="2922" spans="1:17">
      <c r="A2922" s="1">
        <f t="shared" si="1045"/>
        <v>2921</v>
      </c>
      <c r="C2922" s="8" t="s">
        <v>17</v>
      </c>
      <c r="D2922" s="2">
        <v>43951</v>
      </c>
      <c r="E2922" s="3">
        <v>185250</v>
      </c>
      <c r="F2922" t="s">
        <v>118</v>
      </c>
      <c r="G2922" t="s">
        <v>119</v>
      </c>
      <c r="H2922" t="s">
        <v>120</v>
      </c>
      <c r="I2922" s="6" t="s">
        <v>1176</v>
      </c>
      <c r="J2922" s="59" t="s">
        <v>22</v>
      </c>
      <c r="L2922" s="5" t="str">
        <f t="shared" si="1052"/>
        <v>02921</v>
      </c>
      <c r="M2922" s="46" t="str">
        <f t="shared" si="1053"/>
        <v>30 de abril de 2020</v>
      </c>
      <c r="N2922" s="318">
        <f t="shared" si="1054"/>
        <v>30</v>
      </c>
      <c r="O2922" s="24">
        <f t="shared" si="1055"/>
        <v>43922</v>
      </c>
      <c r="P2922" s="5" t="str">
        <f t="shared" si="1056"/>
        <v>185.250,00</v>
      </c>
      <c r="Q2922" s="4" t="e">
        <f t="shared" ca="1" si="1057"/>
        <v>#NAME?</v>
      </c>
    </row>
    <row r="2923" spans="1:17">
      <c r="A2923" s="1">
        <f t="shared" si="1045"/>
        <v>2922</v>
      </c>
      <c r="C2923" s="8" t="s">
        <v>17</v>
      </c>
      <c r="D2923" s="2">
        <v>43952</v>
      </c>
      <c r="E2923" s="3">
        <v>250000</v>
      </c>
      <c r="F2923" t="s">
        <v>18</v>
      </c>
      <c r="G2923" t="s">
        <v>19</v>
      </c>
      <c r="H2923" t="s">
        <v>20</v>
      </c>
      <c r="I2923" t="s">
        <v>1210</v>
      </c>
      <c r="J2923" s="59" t="s">
        <v>22</v>
      </c>
      <c r="L2923" s="5" t="str">
        <f t="shared" si="1052"/>
        <v>02922</v>
      </c>
      <c r="M2923" s="46" t="str">
        <f t="shared" si="1053"/>
        <v>01 de mayo de 2020</v>
      </c>
      <c r="N2923" s="318">
        <f t="shared" si="1054"/>
        <v>1</v>
      </c>
      <c r="O2923" s="24">
        <f t="shared" si="1055"/>
        <v>43952</v>
      </c>
      <c r="P2923" s="5" t="str">
        <f t="shared" si="1056"/>
        <v>250.000,00</v>
      </c>
      <c r="Q2923" s="4" t="e">
        <f t="shared" ca="1" si="1057"/>
        <v>#NAME?</v>
      </c>
    </row>
    <row r="2924" spans="1:17">
      <c r="A2924" s="1">
        <f t="shared" si="1045"/>
        <v>2923</v>
      </c>
      <c r="C2924" s="8" t="s">
        <v>17</v>
      </c>
      <c r="D2924" s="2">
        <v>43952</v>
      </c>
      <c r="E2924" s="3">
        <v>250000</v>
      </c>
      <c r="F2924" t="s">
        <v>407</v>
      </c>
      <c r="G2924" t="s">
        <v>408</v>
      </c>
      <c r="H2924" t="s">
        <v>409</v>
      </c>
      <c r="I2924" s="6" t="s">
        <v>1211</v>
      </c>
      <c r="J2924" s="59" t="s">
        <v>22</v>
      </c>
      <c r="L2924" s="5" t="str">
        <f t="shared" si="1052"/>
        <v>02923</v>
      </c>
      <c r="M2924" s="46" t="str">
        <f t="shared" si="1053"/>
        <v>01 de mayo de 2020</v>
      </c>
      <c r="N2924" s="318">
        <f t="shared" si="1054"/>
        <v>1</v>
      </c>
      <c r="O2924" s="24">
        <f t="shared" si="1055"/>
        <v>43952</v>
      </c>
      <c r="P2924" s="5" t="str">
        <f t="shared" si="1056"/>
        <v>250.000,00</v>
      </c>
      <c r="Q2924" s="4" t="e">
        <f ca="1">CONVERTIRNUM(E2924)</f>
        <v>#NAME?</v>
      </c>
    </row>
    <row r="2925" spans="1:17">
      <c r="A2925" s="1">
        <f t="shared" ref="A2925" si="1058">A2924+1</f>
        <v>2924</v>
      </c>
      <c r="C2925" s="8" t="s">
        <v>17</v>
      </c>
      <c r="D2925" s="2">
        <v>43951</v>
      </c>
      <c r="E2925" s="3">
        <v>370500</v>
      </c>
      <c r="F2925" t="s">
        <v>999</v>
      </c>
      <c r="G2925" t="s">
        <v>1000</v>
      </c>
      <c r="H2925" t="s">
        <v>1001</v>
      </c>
      <c r="I2925" s="6" t="s">
        <v>1181</v>
      </c>
      <c r="J2925" s="59" t="s">
        <v>22</v>
      </c>
      <c r="L2925" s="5" t="str">
        <f t="shared" si="1052"/>
        <v>02924</v>
      </c>
      <c r="M2925" s="46" t="str">
        <f t="shared" si="1053"/>
        <v>30 de abril de 2020</v>
      </c>
      <c r="N2925" s="318">
        <f t="shared" si="1054"/>
        <v>30</v>
      </c>
      <c r="O2925" s="24">
        <f t="shared" si="1055"/>
        <v>43922</v>
      </c>
      <c r="P2925" s="5" t="str">
        <f t="shared" si="1056"/>
        <v>370.500,00</v>
      </c>
      <c r="Q2925" s="4" t="e">
        <f t="shared" ref="Q2925:Q2950" ca="1" si="1059">CONVERTIRNUM(E2925)</f>
        <v>#NAME?</v>
      </c>
    </row>
    <row r="2926" spans="1:17">
      <c r="A2926" s="1">
        <f>A2925+1</f>
        <v>2925</v>
      </c>
      <c r="C2926" s="8" t="s">
        <v>17</v>
      </c>
      <c r="D2926" s="2">
        <v>43951</v>
      </c>
      <c r="E2926" s="3">
        <v>185250</v>
      </c>
      <c r="F2926" t="s">
        <v>594</v>
      </c>
      <c r="G2926" t="s">
        <v>1052</v>
      </c>
      <c r="H2926" t="s">
        <v>596</v>
      </c>
      <c r="I2926" s="6" t="s">
        <v>1176</v>
      </c>
      <c r="J2926" s="59" t="s">
        <v>22</v>
      </c>
      <c r="L2926" s="5" t="str">
        <f t="shared" si="1052"/>
        <v>02925</v>
      </c>
      <c r="M2926" s="46" t="str">
        <f t="shared" si="1053"/>
        <v>30 de abril de 2020</v>
      </c>
      <c r="N2926" s="318">
        <f t="shared" si="1054"/>
        <v>30</v>
      </c>
      <c r="O2926" s="24">
        <f t="shared" si="1055"/>
        <v>43922</v>
      </c>
      <c r="P2926" s="5" t="str">
        <f t="shared" si="1056"/>
        <v>185.250,00</v>
      </c>
      <c r="Q2926" s="4" t="e">
        <f t="shared" ca="1" si="1059"/>
        <v>#NAME?</v>
      </c>
    </row>
    <row r="2927" spans="1:17">
      <c r="A2927" s="1">
        <f>A2926+1</f>
        <v>2926</v>
      </c>
      <c r="C2927" s="8" t="s">
        <v>17</v>
      </c>
      <c r="D2927" s="2">
        <v>43951</v>
      </c>
      <c r="E2927" s="3">
        <v>185250</v>
      </c>
      <c r="F2927" t="s">
        <v>1018</v>
      </c>
      <c r="G2927" s="447" t="s">
        <v>1161</v>
      </c>
      <c r="H2927" t="s">
        <v>140</v>
      </c>
      <c r="I2927" s="6" t="s">
        <v>1176</v>
      </c>
      <c r="J2927" s="59" t="s">
        <v>22</v>
      </c>
      <c r="L2927" s="5" t="str">
        <f t="shared" si="1052"/>
        <v>02926</v>
      </c>
      <c r="M2927" s="46" t="str">
        <f t="shared" si="1053"/>
        <v>30 de abril de 2020</v>
      </c>
      <c r="N2927" s="318">
        <f t="shared" si="1054"/>
        <v>30</v>
      </c>
      <c r="O2927" s="24">
        <f t="shared" si="1055"/>
        <v>43922</v>
      </c>
      <c r="P2927" s="5" t="str">
        <f t="shared" si="1056"/>
        <v>185.250,00</v>
      </c>
      <c r="Q2927" s="4" t="e">
        <f t="shared" ca="1" si="1059"/>
        <v>#NAME?</v>
      </c>
    </row>
    <row r="2928" spans="1:17">
      <c r="A2928" s="1">
        <f t="shared" ref="A2928:A2935" si="1060">A2927+1</f>
        <v>2927</v>
      </c>
      <c r="C2928" s="8" t="s">
        <v>17</v>
      </c>
      <c r="D2928" s="2">
        <v>43953</v>
      </c>
      <c r="E2928" s="3">
        <v>250000</v>
      </c>
      <c r="F2928" t="s">
        <v>948</v>
      </c>
      <c r="G2928" t="s">
        <v>949</v>
      </c>
      <c r="H2928" t="s">
        <v>950</v>
      </c>
      <c r="I2928" s="6" t="s">
        <v>1211</v>
      </c>
      <c r="J2928" s="59" t="s">
        <v>22</v>
      </c>
      <c r="L2928" s="5" t="str">
        <f t="shared" si="1052"/>
        <v>02927</v>
      </c>
      <c r="M2928" s="46" t="str">
        <f t="shared" si="1053"/>
        <v>02 de mayo de 2020</v>
      </c>
      <c r="N2928" s="318">
        <f t="shared" si="1054"/>
        <v>2</v>
      </c>
      <c r="O2928" s="24">
        <f t="shared" si="1055"/>
        <v>43952</v>
      </c>
      <c r="P2928" s="5" t="str">
        <f t="shared" si="1056"/>
        <v>250.000,00</v>
      </c>
      <c r="Q2928" s="4" t="e">
        <f t="shared" ca="1" si="1059"/>
        <v>#NAME?</v>
      </c>
    </row>
    <row r="2929" spans="1:17">
      <c r="A2929" s="1">
        <f t="shared" si="1060"/>
        <v>2928</v>
      </c>
      <c r="C2929" s="8" t="s">
        <v>17</v>
      </c>
      <c r="D2929" s="2">
        <v>43953</v>
      </c>
      <c r="E2929" s="3">
        <v>250000</v>
      </c>
      <c r="F2929" t="s">
        <v>114</v>
      </c>
      <c r="G2929" t="s">
        <v>115</v>
      </c>
      <c r="H2929" t="s">
        <v>105</v>
      </c>
      <c r="I2929" s="6" t="s">
        <v>1211</v>
      </c>
      <c r="J2929" s="59" t="s">
        <v>22</v>
      </c>
      <c r="L2929" s="5" t="str">
        <f t="shared" si="1052"/>
        <v>02928</v>
      </c>
      <c r="M2929" s="46" t="str">
        <f t="shared" si="1053"/>
        <v>02 de mayo de 2020</v>
      </c>
      <c r="N2929" s="318">
        <f t="shared" si="1054"/>
        <v>2</v>
      </c>
      <c r="O2929" s="24">
        <f t="shared" si="1055"/>
        <v>43952</v>
      </c>
      <c r="P2929" s="5" t="str">
        <f t="shared" si="1056"/>
        <v>250.000,00</v>
      </c>
      <c r="Q2929" s="4" t="e">
        <f t="shared" ca="1" si="1059"/>
        <v>#NAME?</v>
      </c>
    </row>
    <row r="2930" spans="1:17">
      <c r="A2930" s="1">
        <f t="shared" si="1060"/>
        <v>2929</v>
      </c>
      <c r="C2930" s="8" t="s">
        <v>17</v>
      </c>
      <c r="D2930" s="2">
        <v>43953</v>
      </c>
      <c r="E2930" s="3">
        <v>250000</v>
      </c>
      <c r="F2930" t="s">
        <v>324</v>
      </c>
      <c r="G2930" t="s">
        <v>325</v>
      </c>
      <c r="H2930" t="s">
        <v>326</v>
      </c>
      <c r="I2930" s="6" t="s">
        <v>1211</v>
      </c>
      <c r="J2930" s="59" t="s">
        <v>22</v>
      </c>
      <c r="L2930" s="5" t="str">
        <f t="shared" si="1052"/>
        <v>02929</v>
      </c>
      <c r="M2930" s="46" t="str">
        <f t="shared" si="1053"/>
        <v>02 de mayo de 2020</v>
      </c>
      <c r="N2930" s="318">
        <f t="shared" si="1054"/>
        <v>2</v>
      </c>
      <c r="O2930" s="24">
        <f t="shared" si="1055"/>
        <v>43952</v>
      </c>
      <c r="P2930" s="5" t="str">
        <f t="shared" si="1056"/>
        <v>250.000,00</v>
      </c>
      <c r="Q2930" s="4" t="e">
        <f t="shared" ca="1" si="1059"/>
        <v>#NAME?</v>
      </c>
    </row>
    <row r="2931" spans="1:17">
      <c r="A2931" s="1">
        <f t="shared" si="1060"/>
        <v>2930</v>
      </c>
      <c r="B2931" s="8"/>
      <c r="C2931" s="83" t="s">
        <v>17</v>
      </c>
      <c r="D2931" s="2">
        <v>43953</v>
      </c>
      <c r="E2931" s="160">
        <v>250000</v>
      </c>
      <c r="F2931" t="s">
        <v>492</v>
      </c>
      <c r="G2931" s="18" t="s">
        <v>58</v>
      </c>
      <c r="H2931" t="s">
        <v>493</v>
      </c>
      <c r="I2931" s="6" t="s">
        <v>1211</v>
      </c>
      <c r="J2931" s="59" t="s">
        <v>22</v>
      </c>
      <c r="L2931" s="5" t="str">
        <f t="shared" si="1052"/>
        <v>02930</v>
      </c>
      <c r="M2931" s="46" t="str">
        <f t="shared" si="1053"/>
        <v>02 de mayo de 2020</v>
      </c>
      <c r="N2931" s="318">
        <f t="shared" si="1054"/>
        <v>2</v>
      </c>
      <c r="O2931" s="24">
        <f t="shared" si="1055"/>
        <v>43952</v>
      </c>
      <c r="P2931" s="5" t="str">
        <f t="shared" si="1056"/>
        <v>250.000,00</v>
      </c>
      <c r="Q2931" s="4" t="e">
        <f t="shared" ca="1" si="1059"/>
        <v>#NAME?</v>
      </c>
    </row>
    <row r="2932" spans="1:17">
      <c r="A2932" s="1">
        <f>A2931+1</f>
        <v>2931</v>
      </c>
      <c r="C2932" s="8" t="s">
        <v>17</v>
      </c>
      <c r="D2932" s="2">
        <v>43953</v>
      </c>
      <c r="E2932" s="3">
        <v>250000</v>
      </c>
      <c r="F2932" t="s">
        <v>24</v>
      </c>
      <c r="G2932" t="s">
        <v>25</v>
      </c>
      <c r="H2932" t="s">
        <v>26</v>
      </c>
      <c r="I2932" s="6" t="s">
        <v>1211</v>
      </c>
      <c r="J2932" s="59" t="s">
        <v>22</v>
      </c>
      <c r="L2932" s="5" t="str">
        <f t="shared" si="1052"/>
        <v>02931</v>
      </c>
      <c r="M2932" s="46" t="str">
        <f t="shared" si="1053"/>
        <v>02 de mayo de 2020</v>
      </c>
      <c r="N2932" s="318">
        <f t="shared" si="1054"/>
        <v>2</v>
      </c>
      <c r="O2932" s="24">
        <f t="shared" si="1055"/>
        <v>43952</v>
      </c>
      <c r="P2932" s="5" t="str">
        <f t="shared" si="1056"/>
        <v>250.000,00</v>
      </c>
      <c r="Q2932" s="4" t="e">
        <f t="shared" ca="1" si="1059"/>
        <v>#NAME?</v>
      </c>
    </row>
    <row r="2933" spans="1:17">
      <c r="A2933" s="1">
        <f>A2932+1</f>
        <v>2932</v>
      </c>
      <c r="C2933" s="8" t="s">
        <v>17</v>
      </c>
      <c r="D2933" s="2">
        <v>43953</v>
      </c>
      <c r="E2933" s="3">
        <v>250000</v>
      </c>
      <c r="F2933" t="s">
        <v>107</v>
      </c>
      <c r="G2933" t="s">
        <v>108</v>
      </c>
      <c r="H2933" t="s">
        <v>109</v>
      </c>
      <c r="I2933" s="6" t="s">
        <v>1211</v>
      </c>
      <c r="J2933" s="59" t="s">
        <v>22</v>
      </c>
      <c r="L2933" s="5" t="str">
        <f t="shared" si="1052"/>
        <v>02932</v>
      </c>
      <c r="M2933" s="46" t="str">
        <f t="shared" si="1053"/>
        <v>02 de mayo de 2020</v>
      </c>
      <c r="N2933" s="318">
        <f t="shared" si="1054"/>
        <v>2</v>
      </c>
      <c r="O2933" s="24">
        <f t="shared" si="1055"/>
        <v>43952</v>
      </c>
      <c r="P2933" s="5" t="str">
        <f t="shared" si="1056"/>
        <v>250.000,00</v>
      </c>
      <c r="Q2933" s="4" t="e">
        <f t="shared" ca="1" si="1059"/>
        <v>#NAME?</v>
      </c>
    </row>
    <row r="2934" spans="1:17">
      <c r="A2934" s="1">
        <f t="shared" si="1060"/>
        <v>2933</v>
      </c>
      <c r="B2934" s="8"/>
      <c r="C2934" s="83" t="s">
        <v>17</v>
      </c>
      <c r="D2934" s="2">
        <v>43953</v>
      </c>
      <c r="E2934" s="160">
        <v>250000</v>
      </c>
      <c r="F2934" t="s">
        <v>40</v>
      </c>
      <c r="G2934" s="447" t="s">
        <v>1169</v>
      </c>
      <c r="H2934" t="s">
        <v>42</v>
      </c>
      <c r="I2934" s="6" t="s">
        <v>1211</v>
      </c>
      <c r="J2934" s="59" t="s">
        <v>22</v>
      </c>
      <c r="L2934" s="5" t="str">
        <f t="shared" si="1052"/>
        <v>02933</v>
      </c>
      <c r="M2934" s="46" t="str">
        <f t="shared" si="1053"/>
        <v>02 de mayo de 2020</v>
      </c>
      <c r="N2934" s="318">
        <f t="shared" si="1054"/>
        <v>2</v>
      </c>
      <c r="O2934" s="24">
        <f t="shared" si="1055"/>
        <v>43952</v>
      </c>
      <c r="P2934" s="5" t="str">
        <f t="shared" si="1056"/>
        <v>250.000,00</v>
      </c>
      <c r="Q2934" s="4" t="e">
        <f t="shared" ca="1" si="1059"/>
        <v>#NAME?</v>
      </c>
    </row>
    <row r="2935" spans="1:17">
      <c r="A2935" s="1">
        <f t="shared" si="1060"/>
        <v>2934</v>
      </c>
      <c r="B2935" s="8"/>
      <c r="C2935" s="83" t="s">
        <v>17</v>
      </c>
      <c r="D2935" s="2">
        <v>43953</v>
      </c>
      <c r="E2935" s="160">
        <v>250000</v>
      </c>
      <c r="F2935" t="s">
        <v>40</v>
      </c>
      <c r="G2935" s="447" t="s">
        <v>1169</v>
      </c>
      <c r="H2935" t="s">
        <v>42</v>
      </c>
      <c r="I2935" s="6" t="s">
        <v>1212</v>
      </c>
      <c r="J2935" s="59" t="s">
        <v>22</v>
      </c>
      <c r="L2935" s="5" t="str">
        <f t="shared" si="1052"/>
        <v>02934</v>
      </c>
      <c r="M2935" s="46" t="str">
        <f t="shared" si="1053"/>
        <v>02 de mayo de 2020</v>
      </c>
      <c r="N2935" s="318">
        <f t="shared" si="1054"/>
        <v>2</v>
      </c>
      <c r="O2935" s="24">
        <f t="shared" si="1055"/>
        <v>43952</v>
      </c>
      <c r="P2935" s="5" t="str">
        <f t="shared" si="1056"/>
        <v>250.000,00</v>
      </c>
      <c r="Q2935" s="4" t="e">
        <f t="shared" ca="1" si="1059"/>
        <v>#NAME?</v>
      </c>
    </row>
    <row r="2936" spans="1:17">
      <c r="A2936" s="1">
        <f t="shared" ref="A2936:A2951" si="1061">A2935+1</f>
        <v>2935</v>
      </c>
      <c r="B2936" s="8"/>
      <c r="C2936" s="8" t="s">
        <v>17</v>
      </c>
      <c r="D2936" s="2">
        <v>43951</v>
      </c>
      <c r="E2936" s="3">
        <v>555750</v>
      </c>
      <c r="F2936" t="s">
        <v>94</v>
      </c>
      <c r="G2936" t="s">
        <v>607</v>
      </c>
      <c r="H2936" t="s">
        <v>96</v>
      </c>
      <c r="I2936" s="6" t="s">
        <v>1213</v>
      </c>
      <c r="J2936" s="59" t="s">
        <v>22</v>
      </c>
      <c r="L2936" s="5" t="str">
        <f t="shared" si="1052"/>
        <v>02935</v>
      </c>
      <c r="M2936" s="46" t="str">
        <f t="shared" si="1053"/>
        <v>30 de abril de 2020</v>
      </c>
      <c r="N2936" s="318">
        <f t="shared" si="1054"/>
        <v>30</v>
      </c>
      <c r="O2936" s="24">
        <f t="shared" si="1055"/>
        <v>43922</v>
      </c>
      <c r="P2936" s="5" t="str">
        <f t="shared" si="1056"/>
        <v>555.750,00</v>
      </c>
      <c r="Q2936" s="4" t="e">
        <f t="shared" ca="1" si="1059"/>
        <v>#NAME?</v>
      </c>
    </row>
    <row r="2937" spans="1:17">
      <c r="A2937" s="1">
        <f t="shared" si="1061"/>
        <v>2936</v>
      </c>
      <c r="C2937" s="8" t="s">
        <v>17</v>
      </c>
      <c r="D2937" s="2">
        <v>43953</v>
      </c>
      <c r="E2937" s="3">
        <v>50000</v>
      </c>
      <c r="F2937" t="s">
        <v>66</v>
      </c>
      <c r="G2937" t="s">
        <v>67</v>
      </c>
      <c r="H2937" t="s">
        <v>68</v>
      </c>
      <c r="I2937" s="6" t="s">
        <v>1214</v>
      </c>
      <c r="J2937" s="59" t="s">
        <v>22</v>
      </c>
      <c r="L2937" s="5" t="str">
        <f t="shared" si="1052"/>
        <v>02936</v>
      </c>
      <c r="M2937" s="46" t="str">
        <f t="shared" si="1053"/>
        <v>02 de mayo de 2020</v>
      </c>
      <c r="N2937" s="318">
        <f t="shared" si="1054"/>
        <v>2</v>
      </c>
      <c r="O2937" s="24">
        <f t="shared" si="1055"/>
        <v>43952</v>
      </c>
      <c r="P2937" s="5" t="str">
        <f t="shared" si="1056"/>
        <v>50.000,00</v>
      </c>
      <c r="Q2937" s="4" t="e">
        <f t="shared" ca="1" si="1059"/>
        <v>#NAME?</v>
      </c>
    </row>
    <row r="2938" spans="1:17">
      <c r="A2938" s="1">
        <f t="shared" si="1061"/>
        <v>2937</v>
      </c>
      <c r="C2938" s="8" t="s">
        <v>17</v>
      </c>
      <c r="D2938" s="2">
        <v>43954</v>
      </c>
      <c r="E2938" s="3">
        <v>250000</v>
      </c>
      <c r="F2938" t="s">
        <v>1139</v>
      </c>
      <c r="G2938" t="s">
        <v>1140</v>
      </c>
      <c r="H2938" t="s">
        <v>1116</v>
      </c>
      <c r="I2938" s="6" t="s">
        <v>1211</v>
      </c>
      <c r="J2938" s="59" t="s">
        <v>22</v>
      </c>
      <c r="L2938" s="5" t="str">
        <f t="shared" si="1052"/>
        <v>02937</v>
      </c>
      <c r="M2938" s="46" t="str">
        <f t="shared" si="1053"/>
        <v>03 de mayo de 2020</v>
      </c>
      <c r="N2938" s="318">
        <f t="shared" si="1054"/>
        <v>3</v>
      </c>
      <c r="O2938" s="24">
        <f t="shared" si="1055"/>
        <v>43952</v>
      </c>
      <c r="P2938" s="5" t="str">
        <f t="shared" si="1056"/>
        <v>250.000,00</v>
      </c>
      <c r="Q2938" s="4" t="e">
        <f t="shared" ca="1" si="1059"/>
        <v>#NAME?</v>
      </c>
    </row>
    <row r="2939" spans="1:17">
      <c r="A2939" s="1">
        <f t="shared" si="1061"/>
        <v>2938</v>
      </c>
      <c r="C2939" s="8" t="s">
        <v>17</v>
      </c>
      <c r="D2939" s="2">
        <v>43951</v>
      </c>
      <c r="E2939" s="160">
        <v>185250</v>
      </c>
      <c r="F2939" t="s">
        <v>130</v>
      </c>
      <c r="G2939" t="s">
        <v>1055</v>
      </c>
      <c r="H2939" t="s">
        <v>132</v>
      </c>
      <c r="I2939" s="6" t="s">
        <v>1176</v>
      </c>
      <c r="J2939" s="59" t="s">
        <v>22</v>
      </c>
      <c r="L2939" s="5" t="str">
        <f t="shared" si="1052"/>
        <v>02938</v>
      </c>
      <c r="M2939" s="46" t="str">
        <f t="shared" si="1053"/>
        <v>30 de abril de 2020</v>
      </c>
      <c r="N2939" s="318">
        <f t="shared" si="1054"/>
        <v>30</v>
      </c>
      <c r="O2939" s="24">
        <f t="shared" si="1055"/>
        <v>43922</v>
      </c>
      <c r="P2939" s="5" t="str">
        <f t="shared" si="1056"/>
        <v>185.250,00</v>
      </c>
      <c r="Q2939" s="4" t="e">
        <f t="shared" ca="1" si="1059"/>
        <v>#NAME?</v>
      </c>
    </row>
    <row r="2940" spans="1:17">
      <c r="A2940" s="1">
        <f t="shared" si="1061"/>
        <v>2939</v>
      </c>
      <c r="C2940" s="8" t="s">
        <v>17</v>
      </c>
      <c r="D2940" s="2">
        <v>43955</v>
      </c>
      <c r="E2940" s="3">
        <v>250000</v>
      </c>
      <c r="F2940" t="s">
        <v>342</v>
      </c>
      <c r="G2940" t="s">
        <v>1037</v>
      </c>
      <c r="H2940" t="s">
        <v>344</v>
      </c>
      <c r="I2940" s="6" t="s">
        <v>1211</v>
      </c>
      <c r="J2940" s="59" t="s">
        <v>22</v>
      </c>
      <c r="L2940" s="5" t="str">
        <f t="shared" si="1052"/>
        <v>02939</v>
      </c>
      <c r="M2940" s="46" t="str">
        <f t="shared" si="1053"/>
        <v>04 de mayo de 2020</v>
      </c>
      <c r="N2940" s="318">
        <f t="shared" si="1054"/>
        <v>4</v>
      </c>
      <c r="O2940" s="24">
        <f t="shared" si="1055"/>
        <v>43952</v>
      </c>
      <c r="P2940" s="5" t="str">
        <f t="shared" si="1056"/>
        <v>250.000,00</v>
      </c>
      <c r="Q2940" s="4" t="e">
        <f t="shared" ca="1" si="1059"/>
        <v>#NAME?</v>
      </c>
    </row>
    <row r="2941" spans="1:17">
      <c r="A2941" s="1">
        <f t="shared" si="1061"/>
        <v>2940</v>
      </c>
      <c r="C2941" s="8" t="s">
        <v>17</v>
      </c>
      <c r="D2941" s="2">
        <v>43955</v>
      </c>
      <c r="E2941" s="3">
        <v>50000</v>
      </c>
      <c r="F2941" t="s">
        <v>558</v>
      </c>
      <c r="G2941" t="s">
        <v>559</v>
      </c>
      <c r="H2941" t="s">
        <v>560</v>
      </c>
      <c r="I2941" s="6" t="s">
        <v>1214</v>
      </c>
      <c r="J2941" s="59" t="s">
        <v>22</v>
      </c>
      <c r="L2941" s="5" t="str">
        <f t="shared" si="1052"/>
        <v>02940</v>
      </c>
      <c r="M2941" s="46" t="str">
        <f t="shared" si="1053"/>
        <v>04 de mayo de 2020</v>
      </c>
      <c r="N2941" s="318">
        <f t="shared" si="1054"/>
        <v>4</v>
      </c>
      <c r="O2941" s="24">
        <f t="shared" si="1055"/>
        <v>43952</v>
      </c>
      <c r="P2941" s="5" t="str">
        <f t="shared" si="1056"/>
        <v>50.000,00</v>
      </c>
      <c r="Q2941" s="4" t="e">
        <f t="shared" ca="1" si="1059"/>
        <v>#NAME?</v>
      </c>
    </row>
    <row r="2942" spans="1:17">
      <c r="A2942" s="1">
        <f t="shared" si="1061"/>
        <v>2941</v>
      </c>
      <c r="C2942" s="8" t="s">
        <v>17</v>
      </c>
      <c r="D2942" s="2">
        <v>43956</v>
      </c>
      <c r="E2942" s="3">
        <v>250000</v>
      </c>
      <c r="F2942" t="s">
        <v>483</v>
      </c>
      <c r="G2942" t="s">
        <v>484</v>
      </c>
      <c r="H2942" t="s">
        <v>485</v>
      </c>
      <c r="I2942" s="6" t="s">
        <v>1211</v>
      </c>
      <c r="J2942" s="59" t="s">
        <v>22</v>
      </c>
      <c r="L2942" s="5" t="str">
        <f t="shared" si="1052"/>
        <v>02941</v>
      </c>
      <c r="M2942" s="46" t="str">
        <f t="shared" si="1053"/>
        <v>05 de mayo de 2020</v>
      </c>
      <c r="N2942" s="318">
        <f t="shared" si="1054"/>
        <v>5</v>
      </c>
      <c r="O2942" s="24">
        <f t="shared" si="1055"/>
        <v>43952</v>
      </c>
      <c r="P2942" s="5" t="str">
        <f t="shared" si="1056"/>
        <v>250.000,00</v>
      </c>
      <c r="Q2942" s="4" t="e">
        <f t="shared" ca="1" si="1059"/>
        <v>#NAME?</v>
      </c>
    </row>
    <row r="2943" spans="1:17">
      <c r="A2943" s="1">
        <f t="shared" si="1061"/>
        <v>2942</v>
      </c>
      <c r="C2943" s="8" t="s">
        <v>17</v>
      </c>
      <c r="D2943" s="2">
        <v>43956</v>
      </c>
      <c r="E2943" s="3">
        <v>250000</v>
      </c>
      <c r="F2943" t="s">
        <v>1005</v>
      </c>
      <c r="G2943" t="s">
        <v>1006</v>
      </c>
      <c r="H2943" t="s">
        <v>539</v>
      </c>
      <c r="I2943" s="6" t="s">
        <v>1211</v>
      </c>
      <c r="J2943" s="59" t="s">
        <v>22</v>
      </c>
      <c r="L2943" s="5" t="str">
        <f t="shared" si="1052"/>
        <v>02942</v>
      </c>
      <c r="M2943" s="46" t="str">
        <f t="shared" si="1053"/>
        <v>05 de mayo de 2020</v>
      </c>
      <c r="N2943" s="318">
        <f t="shared" si="1054"/>
        <v>5</v>
      </c>
      <c r="O2943" s="24">
        <f t="shared" si="1055"/>
        <v>43952</v>
      </c>
      <c r="P2943" s="5" t="str">
        <f t="shared" si="1056"/>
        <v>250.000,00</v>
      </c>
      <c r="Q2943" s="4" t="e">
        <f t="shared" ca="1" si="1059"/>
        <v>#NAME?</v>
      </c>
    </row>
    <row r="2944" spans="1:17">
      <c r="A2944" s="1">
        <f t="shared" si="1061"/>
        <v>2943</v>
      </c>
      <c r="C2944" s="8" t="s">
        <v>17</v>
      </c>
      <c r="D2944" s="2">
        <v>43956</v>
      </c>
      <c r="E2944" s="3">
        <v>250000</v>
      </c>
      <c r="F2944" t="s">
        <v>201</v>
      </c>
      <c r="G2944" t="s">
        <v>202</v>
      </c>
      <c r="H2944" t="s">
        <v>203</v>
      </c>
      <c r="I2944" s="6" t="s">
        <v>1215</v>
      </c>
      <c r="J2944" s="59" t="s">
        <v>22</v>
      </c>
      <c r="L2944" s="5" t="str">
        <f t="shared" si="1052"/>
        <v>02943</v>
      </c>
      <c r="M2944" s="46" t="str">
        <f t="shared" si="1053"/>
        <v>05 de mayo de 2020</v>
      </c>
      <c r="N2944" s="318">
        <f t="shared" si="1054"/>
        <v>5</v>
      </c>
      <c r="O2944" s="24">
        <f t="shared" si="1055"/>
        <v>43952</v>
      </c>
      <c r="P2944" s="5" t="str">
        <f t="shared" si="1056"/>
        <v>250.000,00</v>
      </c>
      <c r="Q2944" s="4" t="e">
        <f t="shared" ca="1" si="1059"/>
        <v>#NAME?</v>
      </c>
    </row>
    <row r="2945" spans="1:17">
      <c r="A2945" s="1">
        <f t="shared" si="1061"/>
        <v>2944</v>
      </c>
      <c r="C2945" s="8" t="s">
        <v>17</v>
      </c>
      <c r="D2945" s="2">
        <v>43956</v>
      </c>
      <c r="E2945" s="3">
        <v>211800</v>
      </c>
      <c r="F2945" t="s">
        <v>1187</v>
      </c>
      <c r="G2945" t="s">
        <v>1188</v>
      </c>
      <c r="H2945" t="s">
        <v>50</v>
      </c>
      <c r="I2945" s="6" t="s">
        <v>1214</v>
      </c>
      <c r="J2945" s="59" t="s">
        <v>22</v>
      </c>
      <c r="L2945" s="5" t="str">
        <f t="shared" si="1052"/>
        <v>02944</v>
      </c>
      <c r="M2945" s="46" t="str">
        <f t="shared" si="1053"/>
        <v>05 de mayo de 2020</v>
      </c>
      <c r="N2945" s="318">
        <f t="shared" si="1054"/>
        <v>5</v>
      </c>
      <c r="O2945" s="24">
        <f t="shared" si="1055"/>
        <v>43952</v>
      </c>
      <c r="P2945" s="5" t="str">
        <f t="shared" si="1056"/>
        <v>211.800,00</v>
      </c>
      <c r="Q2945" s="4" t="e">
        <f t="shared" ca="1" si="1059"/>
        <v>#NAME?</v>
      </c>
    </row>
    <row r="2946" spans="1:17">
      <c r="A2946" s="1">
        <f t="shared" si="1061"/>
        <v>2945</v>
      </c>
      <c r="C2946" s="8" t="s">
        <v>17</v>
      </c>
      <c r="D2946" s="2">
        <v>43957</v>
      </c>
      <c r="E2946" s="3">
        <v>250000</v>
      </c>
      <c r="F2946" t="s">
        <v>287</v>
      </c>
      <c r="G2946" t="s">
        <v>288</v>
      </c>
      <c r="H2946" t="s">
        <v>289</v>
      </c>
      <c r="I2946" s="6" t="s">
        <v>1211</v>
      </c>
      <c r="J2946" s="59" t="s">
        <v>22</v>
      </c>
      <c r="L2946" s="5" t="str">
        <f t="shared" si="1052"/>
        <v>02945</v>
      </c>
      <c r="M2946" s="46" t="str">
        <f t="shared" si="1053"/>
        <v>06 de mayo de 2020</v>
      </c>
      <c r="N2946" s="318">
        <f t="shared" si="1054"/>
        <v>6</v>
      </c>
      <c r="O2946" s="24">
        <f t="shared" si="1055"/>
        <v>43952</v>
      </c>
      <c r="P2946" s="5" t="str">
        <f t="shared" si="1056"/>
        <v>250.000,00</v>
      </c>
      <c r="Q2946" s="4" t="e">
        <f t="shared" ca="1" si="1059"/>
        <v>#NAME?</v>
      </c>
    </row>
    <row r="2947" spans="1:17">
      <c r="A2947" s="1">
        <f t="shared" si="1061"/>
        <v>2946</v>
      </c>
      <c r="C2947" s="8" t="s">
        <v>17</v>
      </c>
      <c r="D2947" s="2">
        <v>43957</v>
      </c>
      <c r="E2947" s="160">
        <v>40250</v>
      </c>
      <c r="F2947" t="s">
        <v>334</v>
      </c>
      <c r="G2947" t="s">
        <v>85</v>
      </c>
      <c r="H2947" t="s">
        <v>335</v>
      </c>
      <c r="I2947" s="6" t="s">
        <v>1216</v>
      </c>
      <c r="J2947" s="59" t="s">
        <v>22</v>
      </c>
      <c r="L2947" s="5" t="str">
        <f t="shared" si="1052"/>
        <v>02946</v>
      </c>
      <c r="M2947" s="46" t="str">
        <f t="shared" si="1053"/>
        <v>06 de mayo de 2020</v>
      </c>
      <c r="N2947" s="318">
        <f t="shared" si="1054"/>
        <v>6</v>
      </c>
      <c r="O2947" s="24">
        <f t="shared" si="1055"/>
        <v>43952</v>
      </c>
      <c r="P2947" s="5" t="str">
        <f t="shared" si="1056"/>
        <v>40.250,00</v>
      </c>
      <c r="Q2947" s="4" t="e">
        <f t="shared" ca="1" si="1059"/>
        <v>#NAME?</v>
      </c>
    </row>
    <row r="2948" spans="1:17">
      <c r="A2948" s="1">
        <f t="shared" si="1061"/>
        <v>2947</v>
      </c>
      <c r="C2948" s="8" t="s">
        <v>17</v>
      </c>
      <c r="D2948" s="2">
        <v>43957</v>
      </c>
      <c r="E2948" s="160">
        <v>64750</v>
      </c>
      <c r="F2948" t="s">
        <v>84</v>
      </c>
      <c r="G2948" t="s">
        <v>85</v>
      </c>
      <c r="H2948" t="s">
        <v>86</v>
      </c>
      <c r="I2948" s="6" t="s">
        <v>1214</v>
      </c>
      <c r="J2948" s="59" t="s">
        <v>22</v>
      </c>
      <c r="L2948" s="5" t="str">
        <f t="shared" si="1052"/>
        <v>02947</v>
      </c>
      <c r="M2948" s="46" t="str">
        <f t="shared" si="1053"/>
        <v>06 de mayo de 2020</v>
      </c>
      <c r="N2948" s="318">
        <f t="shared" si="1054"/>
        <v>6</v>
      </c>
      <c r="O2948" s="24">
        <f t="shared" si="1055"/>
        <v>43952</v>
      </c>
      <c r="P2948" s="5" t="str">
        <f t="shared" si="1056"/>
        <v>64.750,00</v>
      </c>
      <c r="Q2948" s="4" t="e">
        <f t="shared" ca="1" si="1059"/>
        <v>#NAME?</v>
      </c>
    </row>
    <row r="2949" spans="1:17">
      <c r="A2949" s="600">
        <f t="shared" si="1061"/>
        <v>2948</v>
      </c>
      <c r="C2949" s="8" t="s">
        <v>17</v>
      </c>
      <c r="D2949" s="2">
        <v>43957</v>
      </c>
      <c r="E2949" s="3">
        <v>250000</v>
      </c>
      <c r="F2949" t="s">
        <v>1174</v>
      </c>
      <c r="G2949" t="s">
        <v>1175</v>
      </c>
      <c r="H2949" t="s">
        <v>187</v>
      </c>
      <c r="I2949" s="6" t="s">
        <v>1211</v>
      </c>
      <c r="J2949" s="59" t="s">
        <v>22</v>
      </c>
      <c r="L2949" s="5" t="str">
        <f t="shared" si="1052"/>
        <v>02948</v>
      </c>
      <c r="M2949" s="46" t="str">
        <f t="shared" si="1053"/>
        <v>06 de mayo de 2020</v>
      </c>
      <c r="N2949" s="318">
        <f t="shared" si="1054"/>
        <v>6</v>
      </c>
      <c r="O2949" s="24">
        <f t="shared" si="1055"/>
        <v>43952</v>
      </c>
      <c r="P2949" s="5" t="str">
        <f t="shared" si="1056"/>
        <v>250.000,00</v>
      </c>
      <c r="Q2949" s="4" t="e">
        <f t="shared" ca="1" si="1059"/>
        <v>#NAME?</v>
      </c>
    </row>
    <row r="2950" spans="1:17">
      <c r="A2950" s="1">
        <f t="shared" si="1061"/>
        <v>2949</v>
      </c>
      <c r="C2950" s="8" t="s">
        <v>17</v>
      </c>
      <c r="D2950" s="2">
        <v>43958</v>
      </c>
      <c r="E2950" s="3">
        <v>250000</v>
      </c>
      <c r="F2950" t="s">
        <v>296</v>
      </c>
      <c r="G2950" t="s">
        <v>297</v>
      </c>
      <c r="H2950" t="s">
        <v>298</v>
      </c>
      <c r="I2950" s="6" t="s">
        <v>1211</v>
      </c>
      <c r="J2950" s="59" t="s">
        <v>22</v>
      </c>
      <c r="L2950" s="5" t="str">
        <f t="shared" si="1052"/>
        <v>02949</v>
      </c>
      <c r="M2950" s="46" t="str">
        <f t="shared" si="1053"/>
        <v>07 de mayo de 2020</v>
      </c>
      <c r="N2950" s="318">
        <f t="shared" si="1054"/>
        <v>7</v>
      </c>
      <c r="O2950" s="24">
        <f t="shared" si="1055"/>
        <v>43952</v>
      </c>
      <c r="P2950" s="5" t="str">
        <f t="shared" si="1056"/>
        <v>250.000,00</v>
      </c>
      <c r="Q2950" s="4" t="e">
        <f t="shared" ca="1" si="1059"/>
        <v>#NAME?</v>
      </c>
    </row>
    <row r="2951" spans="1:17">
      <c r="A2951" s="1">
        <f t="shared" si="1061"/>
        <v>2950</v>
      </c>
      <c r="C2951" s="8" t="s">
        <v>17</v>
      </c>
      <c r="D2951" s="2">
        <v>43958</v>
      </c>
      <c r="E2951" s="3">
        <v>50000</v>
      </c>
      <c r="F2951" s="552" t="s">
        <v>24</v>
      </c>
      <c r="G2951" t="s">
        <v>25</v>
      </c>
      <c r="H2951" t="s">
        <v>26</v>
      </c>
      <c r="I2951" s="6" t="s">
        <v>1217</v>
      </c>
      <c r="J2951" s="59" t="s">
        <v>1218</v>
      </c>
      <c r="L2951" s="5" t="str">
        <f t="shared" ref="L2951:L3005" si="1062">IF(ISBLANK(A2951),"",TEXT(A2951,"00000"))</f>
        <v>02950</v>
      </c>
      <c r="M2951" s="46" t="str">
        <f t="shared" ref="M2951:M3005" si="1063">IF(ISBLANK(D2951),"",TEXT(D2951,"dd")&amp;" de "&amp;TEXT(D2951,"mmmm")&amp;" de "&amp;TEXT(YEAR(D2951),"0"))</f>
        <v>07 de mayo de 2020</v>
      </c>
      <c r="N2951" s="318">
        <f t="shared" ref="N2951:N3005" si="1064">DAY(D2951)</f>
        <v>7</v>
      </c>
      <c r="O2951" s="24">
        <f t="shared" ref="O2951:O3005" si="1065">DATE(YEAR(D2951),MONTH(D2951),1)</f>
        <v>43952</v>
      </c>
      <c r="P2951" s="5" t="str">
        <f t="shared" ref="P2951:P3005" si="1066">TEXT(E2951,"#.##0,00")</f>
        <v>50.000,00</v>
      </c>
      <c r="Q2951" s="4" t="e">
        <f t="shared" ref="Q2951:Q2984" ca="1" si="1067">CONVERTIRNUM(E2951)</f>
        <v>#NAME?</v>
      </c>
    </row>
    <row r="2952" spans="1:17">
      <c r="A2952" s="1">
        <f t="shared" ref="A2952:A2954" si="1068">A2951+1</f>
        <v>2951</v>
      </c>
      <c r="C2952" s="8" t="s">
        <v>17</v>
      </c>
      <c r="D2952" s="2">
        <v>43958</v>
      </c>
      <c r="E2952" s="3">
        <v>250000</v>
      </c>
      <c r="F2952" t="s">
        <v>70</v>
      </c>
      <c r="G2952" t="s">
        <v>71</v>
      </c>
      <c r="H2952" t="s">
        <v>72</v>
      </c>
      <c r="I2952" s="6" t="s">
        <v>1211</v>
      </c>
      <c r="J2952" s="59" t="s">
        <v>22</v>
      </c>
      <c r="L2952" s="5" t="str">
        <f t="shared" si="1062"/>
        <v>02951</v>
      </c>
      <c r="M2952" s="46" t="str">
        <f t="shared" si="1063"/>
        <v>07 de mayo de 2020</v>
      </c>
      <c r="N2952" s="318">
        <f t="shared" si="1064"/>
        <v>7</v>
      </c>
      <c r="O2952" s="24">
        <f t="shared" si="1065"/>
        <v>43952</v>
      </c>
      <c r="P2952" s="5" t="str">
        <f t="shared" si="1066"/>
        <v>250.000,00</v>
      </c>
      <c r="Q2952" s="4" t="e">
        <f t="shared" ca="1" si="1067"/>
        <v>#NAME?</v>
      </c>
    </row>
    <row r="2953" spans="1:17">
      <c r="A2953" s="1">
        <f t="shared" si="1068"/>
        <v>2952</v>
      </c>
      <c r="C2953" s="8" t="s">
        <v>17</v>
      </c>
      <c r="D2953" s="2">
        <v>43958</v>
      </c>
      <c r="E2953" s="3">
        <v>50000</v>
      </c>
      <c r="F2953" s="552" t="s">
        <v>70</v>
      </c>
      <c r="G2953" t="s">
        <v>71</v>
      </c>
      <c r="H2953" t="s">
        <v>72</v>
      </c>
      <c r="I2953" s="6" t="s">
        <v>1217</v>
      </c>
      <c r="J2953" s="59" t="s">
        <v>1218</v>
      </c>
      <c r="L2953" s="5" t="str">
        <f t="shared" si="1062"/>
        <v>02952</v>
      </c>
      <c r="M2953" s="46" t="str">
        <f t="shared" si="1063"/>
        <v>07 de mayo de 2020</v>
      </c>
      <c r="N2953" s="318">
        <f t="shared" si="1064"/>
        <v>7</v>
      </c>
      <c r="O2953" s="24">
        <f t="shared" si="1065"/>
        <v>43952</v>
      </c>
      <c r="P2953" s="5" t="str">
        <f t="shared" si="1066"/>
        <v>50.000,00</v>
      </c>
      <c r="Q2953" s="4" t="e">
        <f t="shared" ca="1" si="1067"/>
        <v>#NAME?</v>
      </c>
    </row>
    <row r="2954" spans="1:17">
      <c r="A2954" s="1">
        <f t="shared" si="1068"/>
        <v>2953</v>
      </c>
      <c r="C2954" s="8" t="s">
        <v>17</v>
      </c>
      <c r="D2954" s="2">
        <v>43958</v>
      </c>
      <c r="E2954" s="3">
        <v>50000</v>
      </c>
      <c r="F2954" s="552" t="s">
        <v>948</v>
      </c>
      <c r="G2954" t="s">
        <v>949</v>
      </c>
      <c r="H2954" t="s">
        <v>950</v>
      </c>
      <c r="I2954" s="6" t="s">
        <v>1217</v>
      </c>
      <c r="J2954" s="59" t="s">
        <v>1218</v>
      </c>
      <c r="L2954" s="5" t="str">
        <f t="shared" si="1062"/>
        <v>02953</v>
      </c>
      <c r="M2954" s="46" t="str">
        <f t="shared" si="1063"/>
        <v>07 de mayo de 2020</v>
      </c>
      <c r="N2954" s="318">
        <f t="shared" si="1064"/>
        <v>7</v>
      </c>
      <c r="O2954" s="24">
        <f t="shared" si="1065"/>
        <v>43952</v>
      </c>
      <c r="P2954" s="5" t="str">
        <f t="shared" si="1066"/>
        <v>50.000,00</v>
      </c>
      <c r="Q2954" s="4" t="e">
        <f t="shared" ca="1" si="1067"/>
        <v>#NAME?</v>
      </c>
    </row>
    <row r="2955" spans="1:17">
      <c r="A2955" s="1">
        <f>A2954+1</f>
        <v>2954</v>
      </c>
      <c r="C2955" s="8" t="s">
        <v>17</v>
      </c>
      <c r="D2955" s="2">
        <v>43958</v>
      </c>
      <c r="E2955" s="3">
        <v>100000</v>
      </c>
      <c r="F2955" s="552" t="s">
        <v>558</v>
      </c>
      <c r="G2955" t="s">
        <v>559</v>
      </c>
      <c r="H2955" t="s">
        <v>560</v>
      </c>
      <c r="I2955" s="6" t="s">
        <v>1217</v>
      </c>
      <c r="J2955" s="59" t="s">
        <v>1218</v>
      </c>
      <c r="L2955" s="5" t="str">
        <f t="shared" si="1062"/>
        <v>02954</v>
      </c>
      <c r="M2955" s="46" t="str">
        <f t="shared" si="1063"/>
        <v>07 de mayo de 2020</v>
      </c>
      <c r="N2955" s="318">
        <f t="shared" si="1064"/>
        <v>7</v>
      </c>
      <c r="O2955" s="24">
        <f t="shared" si="1065"/>
        <v>43952</v>
      </c>
      <c r="P2955" s="5" t="str">
        <f t="shared" si="1066"/>
        <v>100.000,00</v>
      </c>
      <c r="Q2955" s="4" t="e">
        <f t="shared" ca="1" si="1067"/>
        <v>#NAME?</v>
      </c>
    </row>
    <row r="2956" spans="1:17">
      <c r="A2956" s="1">
        <f>A2955+1</f>
        <v>2955</v>
      </c>
      <c r="C2956" s="8" t="s">
        <v>17</v>
      </c>
      <c r="D2956" s="2">
        <v>43958</v>
      </c>
      <c r="E2956" s="3">
        <v>50000</v>
      </c>
      <c r="F2956" s="552" t="s">
        <v>1005</v>
      </c>
      <c r="G2956" t="s">
        <v>1006</v>
      </c>
      <c r="H2956" t="s">
        <v>539</v>
      </c>
      <c r="I2956" s="6" t="s">
        <v>1217</v>
      </c>
      <c r="J2956" s="59" t="s">
        <v>1218</v>
      </c>
      <c r="L2956" s="5" t="str">
        <f t="shared" si="1062"/>
        <v>02955</v>
      </c>
      <c r="M2956" s="46" t="str">
        <f t="shared" si="1063"/>
        <v>07 de mayo de 2020</v>
      </c>
      <c r="N2956" s="318">
        <f t="shared" si="1064"/>
        <v>7</v>
      </c>
      <c r="O2956" s="24">
        <f t="shared" si="1065"/>
        <v>43952</v>
      </c>
      <c r="P2956" s="5" t="str">
        <f t="shared" si="1066"/>
        <v>50.000,00</v>
      </c>
      <c r="Q2956" s="4" t="e">
        <f t="shared" ca="1" si="1067"/>
        <v>#NAME?</v>
      </c>
    </row>
    <row r="2957" spans="1:17">
      <c r="A2957" s="1">
        <f t="shared" ref="A2957:A2959" si="1069">A2956+1</f>
        <v>2956</v>
      </c>
      <c r="C2957" s="8" t="s">
        <v>17</v>
      </c>
      <c r="D2957" s="2">
        <v>43958</v>
      </c>
      <c r="E2957" s="3">
        <v>350000</v>
      </c>
      <c r="F2957" t="s">
        <v>80</v>
      </c>
      <c r="G2957" t="s">
        <v>81</v>
      </c>
      <c r="H2957" t="s">
        <v>82</v>
      </c>
      <c r="I2957" s="6" t="s">
        <v>1211</v>
      </c>
      <c r="J2957" s="59" t="s">
        <v>22</v>
      </c>
      <c r="L2957" s="5" t="str">
        <f t="shared" si="1062"/>
        <v>02956</v>
      </c>
      <c r="M2957" s="46" t="str">
        <f t="shared" si="1063"/>
        <v>07 de mayo de 2020</v>
      </c>
      <c r="N2957" s="318">
        <f t="shared" si="1064"/>
        <v>7</v>
      </c>
      <c r="O2957" s="24">
        <f t="shared" si="1065"/>
        <v>43952</v>
      </c>
      <c r="P2957" s="5" t="str">
        <f t="shared" si="1066"/>
        <v>350.000,00</v>
      </c>
      <c r="Q2957" s="4" t="e">
        <f t="shared" ca="1" si="1067"/>
        <v>#NAME?</v>
      </c>
    </row>
    <row r="2958" spans="1:17">
      <c r="A2958" s="1">
        <f t="shared" si="1069"/>
        <v>2957</v>
      </c>
      <c r="C2958" s="8" t="s">
        <v>17</v>
      </c>
      <c r="D2958" s="2">
        <v>43958</v>
      </c>
      <c r="E2958" s="3">
        <v>50000</v>
      </c>
      <c r="F2958" s="552" t="s">
        <v>80</v>
      </c>
      <c r="G2958" t="s">
        <v>81</v>
      </c>
      <c r="H2958" t="s">
        <v>82</v>
      </c>
      <c r="I2958" s="6" t="s">
        <v>1217</v>
      </c>
      <c r="J2958" s="59" t="s">
        <v>1218</v>
      </c>
      <c r="L2958" s="5" t="str">
        <f t="shared" si="1062"/>
        <v>02957</v>
      </c>
      <c r="M2958" s="46" t="str">
        <f t="shared" si="1063"/>
        <v>07 de mayo de 2020</v>
      </c>
      <c r="N2958" s="318">
        <f t="shared" si="1064"/>
        <v>7</v>
      </c>
      <c r="O2958" s="24">
        <f t="shared" si="1065"/>
        <v>43952</v>
      </c>
      <c r="P2958" s="5" t="str">
        <f t="shared" si="1066"/>
        <v>50.000,00</v>
      </c>
      <c r="Q2958" s="4" t="e">
        <f t="shared" ca="1" si="1067"/>
        <v>#NAME?</v>
      </c>
    </row>
    <row r="2959" spans="1:17">
      <c r="A2959" s="1">
        <f t="shared" si="1069"/>
        <v>2958</v>
      </c>
      <c r="C2959" s="8" t="s">
        <v>17</v>
      </c>
      <c r="D2959" s="2">
        <v>43958</v>
      </c>
      <c r="E2959" s="3">
        <v>250000</v>
      </c>
      <c r="F2959" t="s">
        <v>100</v>
      </c>
      <c r="G2959" t="s">
        <v>95</v>
      </c>
      <c r="H2959" t="s">
        <v>101</v>
      </c>
      <c r="I2959" s="6" t="s">
        <v>1211</v>
      </c>
      <c r="J2959" s="59" t="s">
        <v>22</v>
      </c>
      <c r="L2959" s="5" t="str">
        <f t="shared" si="1062"/>
        <v>02958</v>
      </c>
      <c r="M2959" s="46" t="str">
        <f t="shared" si="1063"/>
        <v>07 de mayo de 2020</v>
      </c>
      <c r="N2959" s="318">
        <f t="shared" si="1064"/>
        <v>7</v>
      </c>
      <c r="O2959" s="24">
        <f t="shared" si="1065"/>
        <v>43952</v>
      </c>
      <c r="P2959" s="5" t="str">
        <f t="shared" si="1066"/>
        <v>250.000,00</v>
      </c>
      <c r="Q2959" s="4" t="e">
        <f t="shared" ca="1" si="1067"/>
        <v>#NAME?</v>
      </c>
    </row>
    <row r="2960" spans="1:17">
      <c r="A2960" s="1">
        <f t="shared" ref="A2960:A2965" si="1070">A2959+1</f>
        <v>2959</v>
      </c>
      <c r="C2960" s="8" t="s">
        <v>17</v>
      </c>
      <c r="D2960" s="2">
        <v>43958</v>
      </c>
      <c r="E2960" s="3">
        <v>50000</v>
      </c>
      <c r="F2960" s="552" t="s">
        <v>100</v>
      </c>
      <c r="G2960" t="s">
        <v>95</v>
      </c>
      <c r="H2960" t="s">
        <v>101</v>
      </c>
      <c r="I2960" s="6" t="s">
        <v>1217</v>
      </c>
      <c r="J2960" s="59" t="s">
        <v>1218</v>
      </c>
      <c r="L2960" s="5" t="str">
        <f t="shared" si="1062"/>
        <v>02959</v>
      </c>
      <c r="M2960" s="46" t="str">
        <f t="shared" si="1063"/>
        <v>07 de mayo de 2020</v>
      </c>
      <c r="N2960" s="318">
        <f t="shared" si="1064"/>
        <v>7</v>
      </c>
      <c r="O2960" s="24">
        <f t="shared" si="1065"/>
        <v>43952</v>
      </c>
      <c r="P2960" s="5" t="str">
        <f t="shared" si="1066"/>
        <v>50.000,00</v>
      </c>
      <c r="Q2960" s="4" t="e">
        <f t="shared" ca="1" si="1067"/>
        <v>#NAME?</v>
      </c>
    </row>
    <row r="2961" spans="1:17">
      <c r="A2961" s="1">
        <f t="shared" si="1070"/>
        <v>2960</v>
      </c>
      <c r="C2961" s="8" t="s">
        <v>17</v>
      </c>
      <c r="D2961" s="2">
        <v>43958</v>
      </c>
      <c r="E2961" s="3">
        <v>50000</v>
      </c>
      <c r="F2961" s="552" t="s">
        <v>296</v>
      </c>
      <c r="G2961" t="s">
        <v>297</v>
      </c>
      <c r="H2961" t="s">
        <v>298</v>
      </c>
      <c r="I2961" s="6" t="s">
        <v>1217</v>
      </c>
      <c r="J2961" s="59" t="s">
        <v>1218</v>
      </c>
      <c r="L2961" s="5" t="str">
        <f t="shared" si="1062"/>
        <v>02960</v>
      </c>
      <c r="M2961" s="46" t="str">
        <f t="shared" si="1063"/>
        <v>07 de mayo de 2020</v>
      </c>
      <c r="N2961" s="318">
        <f t="shared" si="1064"/>
        <v>7</v>
      </c>
      <c r="O2961" s="24">
        <f t="shared" si="1065"/>
        <v>43952</v>
      </c>
      <c r="P2961" s="5" t="str">
        <f t="shared" si="1066"/>
        <v>50.000,00</v>
      </c>
      <c r="Q2961" s="4" t="e">
        <f t="shared" ca="1" si="1067"/>
        <v>#NAME?</v>
      </c>
    </row>
    <row r="2962" spans="1:17">
      <c r="A2962" s="1">
        <f t="shared" si="1070"/>
        <v>2961</v>
      </c>
      <c r="C2962" s="8" t="s">
        <v>17</v>
      </c>
      <c r="D2962" s="2">
        <v>43958</v>
      </c>
      <c r="E2962" s="3">
        <v>50000</v>
      </c>
      <c r="F2962" s="552" t="s">
        <v>1139</v>
      </c>
      <c r="G2962" t="s">
        <v>1140</v>
      </c>
      <c r="H2962" t="s">
        <v>1116</v>
      </c>
      <c r="I2962" s="6" t="s">
        <v>1217</v>
      </c>
      <c r="J2962" s="59" t="s">
        <v>1218</v>
      </c>
      <c r="L2962" s="5" t="str">
        <f t="shared" si="1062"/>
        <v>02961</v>
      </c>
      <c r="M2962" s="46" t="str">
        <f t="shared" si="1063"/>
        <v>07 de mayo de 2020</v>
      </c>
      <c r="N2962" s="318">
        <f t="shared" si="1064"/>
        <v>7</v>
      </c>
      <c r="O2962" s="24">
        <f t="shared" si="1065"/>
        <v>43952</v>
      </c>
      <c r="P2962" s="5" t="str">
        <f t="shared" si="1066"/>
        <v>50.000,00</v>
      </c>
      <c r="Q2962" s="4" t="e">
        <f t="shared" ca="1" si="1067"/>
        <v>#NAME?</v>
      </c>
    </row>
    <row r="2963" spans="1:17">
      <c r="A2963" s="1">
        <f t="shared" si="1070"/>
        <v>2962</v>
      </c>
      <c r="C2963" s="8" t="s">
        <v>17</v>
      </c>
      <c r="D2963" s="2">
        <v>43959</v>
      </c>
      <c r="E2963" s="3">
        <v>50000</v>
      </c>
      <c r="F2963" s="552" t="s">
        <v>287</v>
      </c>
      <c r="G2963" t="s">
        <v>288</v>
      </c>
      <c r="H2963" t="s">
        <v>289</v>
      </c>
      <c r="I2963" s="6" t="s">
        <v>1217</v>
      </c>
      <c r="J2963" s="59" t="s">
        <v>1218</v>
      </c>
      <c r="L2963" s="5" t="str">
        <f t="shared" si="1062"/>
        <v>02962</v>
      </c>
      <c r="M2963" s="46" t="str">
        <f t="shared" si="1063"/>
        <v>08 de mayo de 2020</v>
      </c>
      <c r="N2963" s="318">
        <f t="shared" si="1064"/>
        <v>8</v>
      </c>
      <c r="O2963" s="24">
        <f t="shared" si="1065"/>
        <v>43952</v>
      </c>
      <c r="P2963" s="5" t="str">
        <f t="shared" si="1066"/>
        <v>50.000,00</v>
      </c>
      <c r="Q2963" s="4" t="e">
        <f t="shared" ca="1" si="1067"/>
        <v>#NAME?</v>
      </c>
    </row>
    <row r="2964" spans="1:17">
      <c r="A2964" s="1">
        <f t="shared" si="1070"/>
        <v>2963</v>
      </c>
      <c r="C2964" s="8" t="s">
        <v>17</v>
      </c>
      <c r="D2964" s="2">
        <v>43959</v>
      </c>
      <c r="E2964" s="3">
        <v>250000</v>
      </c>
      <c r="F2964" t="s">
        <v>62</v>
      </c>
      <c r="G2964" t="s">
        <v>63</v>
      </c>
      <c r="H2964" t="s">
        <v>64</v>
      </c>
      <c r="I2964" s="6" t="s">
        <v>1211</v>
      </c>
      <c r="J2964" s="59" t="s">
        <v>22</v>
      </c>
      <c r="L2964" s="5" t="str">
        <f t="shared" si="1062"/>
        <v>02963</v>
      </c>
      <c r="M2964" s="46" t="str">
        <f t="shared" si="1063"/>
        <v>08 de mayo de 2020</v>
      </c>
      <c r="N2964" s="318">
        <f t="shared" si="1064"/>
        <v>8</v>
      </c>
      <c r="O2964" s="24">
        <f t="shared" si="1065"/>
        <v>43952</v>
      </c>
      <c r="P2964" s="5" t="str">
        <f t="shared" si="1066"/>
        <v>250.000,00</v>
      </c>
      <c r="Q2964" s="4" t="e">
        <f t="shared" ca="1" si="1067"/>
        <v>#NAME?</v>
      </c>
    </row>
    <row r="2965" spans="1:17">
      <c r="A2965" s="1">
        <f t="shared" si="1070"/>
        <v>2964</v>
      </c>
      <c r="C2965" s="8" t="s">
        <v>17</v>
      </c>
      <c r="D2965" s="2">
        <v>43959</v>
      </c>
      <c r="E2965" s="3">
        <v>50000</v>
      </c>
      <c r="F2965" s="552" t="s">
        <v>62</v>
      </c>
      <c r="G2965" t="s">
        <v>63</v>
      </c>
      <c r="H2965" t="s">
        <v>64</v>
      </c>
      <c r="I2965" s="6" t="s">
        <v>1217</v>
      </c>
      <c r="J2965" s="59" t="s">
        <v>1218</v>
      </c>
      <c r="L2965" s="5" t="str">
        <f t="shared" si="1062"/>
        <v>02964</v>
      </c>
      <c r="M2965" s="46" t="str">
        <f t="shared" si="1063"/>
        <v>08 de mayo de 2020</v>
      </c>
      <c r="N2965" s="318">
        <f t="shared" si="1064"/>
        <v>8</v>
      </c>
      <c r="O2965" s="24">
        <f t="shared" si="1065"/>
        <v>43952</v>
      </c>
      <c r="P2965" s="5" t="str">
        <f t="shared" si="1066"/>
        <v>50.000,00</v>
      </c>
      <c r="Q2965" s="4" t="e">
        <f t="shared" ca="1" si="1067"/>
        <v>#NAME?</v>
      </c>
    </row>
    <row r="2966" spans="1:17">
      <c r="A2966" s="600">
        <f t="shared" ref="A2966:A2968" si="1071">A2965+1</f>
        <v>2965</v>
      </c>
      <c r="C2966" s="8" t="s">
        <v>17</v>
      </c>
      <c r="D2966" s="2">
        <v>43941</v>
      </c>
      <c r="E2966" s="3">
        <v>185250</v>
      </c>
      <c r="F2966" t="s">
        <v>633</v>
      </c>
      <c r="G2966" t="s">
        <v>634</v>
      </c>
      <c r="H2966" t="s">
        <v>635</v>
      </c>
      <c r="I2966" s="6" t="s">
        <v>1176</v>
      </c>
      <c r="J2966" s="59" t="s">
        <v>22</v>
      </c>
      <c r="L2966" s="5" t="str">
        <f t="shared" si="1062"/>
        <v>02965</v>
      </c>
      <c r="M2966" s="46" t="str">
        <f t="shared" si="1063"/>
        <v>20 de abril de 2020</v>
      </c>
      <c r="N2966" s="318">
        <f t="shared" si="1064"/>
        <v>20</v>
      </c>
      <c r="O2966" s="24">
        <f t="shared" si="1065"/>
        <v>43922</v>
      </c>
      <c r="P2966" s="5" t="str">
        <f t="shared" si="1066"/>
        <v>185.250,00</v>
      </c>
      <c r="Q2966" s="4" t="e">
        <f t="shared" ca="1" si="1067"/>
        <v>#NAME?</v>
      </c>
    </row>
    <row r="2967" spans="1:17">
      <c r="A2967" s="1">
        <f t="shared" si="1071"/>
        <v>2966</v>
      </c>
      <c r="C2967" s="8" t="s">
        <v>17</v>
      </c>
      <c r="D2967" s="2">
        <v>43959</v>
      </c>
      <c r="E2967" s="3">
        <v>180000</v>
      </c>
      <c r="F2967" t="s">
        <v>28</v>
      </c>
      <c r="G2967" t="s">
        <v>716</v>
      </c>
      <c r="H2967" t="s">
        <v>30</v>
      </c>
      <c r="I2967" s="6" t="s">
        <v>1205</v>
      </c>
      <c r="J2967" s="59" t="s">
        <v>22</v>
      </c>
      <c r="L2967" s="5" t="str">
        <f t="shared" si="1062"/>
        <v>02966</v>
      </c>
      <c r="M2967" s="46" t="str">
        <f t="shared" si="1063"/>
        <v>08 de mayo de 2020</v>
      </c>
      <c r="N2967" s="318">
        <f t="shared" si="1064"/>
        <v>8</v>
      </c>
      <c r="O2967" s="24">
        <f t="shared" si="1065"/>
        <v>43952</v>
      </c>
      <c r="P2967" s="5" t="str">
        <f t="shared" si="1066"/>
        <v>180.000,00</v>
      </c>
      <c r="Q2967" s="4" t="e">
        <f t="shared" ca="1" si="1067"/>
        <v>#NAME?</v>
      </c>
    </row>
    <row r="2968" spans="1:17">
      <c r="A2968" s="1">
        <f t="shared" si="1071"/>
        <v>2967</v>
      </c>
      <c r="C2968" s="8" t="s">
        <v>225</v>
      </c>
      <c r="D2968" s="2">
        <v>43959</v>
      </c>
      <c r="E2968" s="3">
        <v>50000</v>
      </c>
      <c r="F2968" s="552" t="s">
        <v>28</v>
      </c>
      <c r="G2968" t="s">
        <v>716</v>
      </c>
      <c r="H2968" t="s">
        <v>30</v>
      </c>
      <c r="I2968" s="6" t="s">
        <v>1219</v>
      </c>
      <c r="J2968" s="59" t="s">
        <v>426</v>
      </c>
      <c r="L2968" s="5" t="str">
        <f t="shared" si="1062"/>
        <v>02967</v>
      </c>
      <c r="M2968" s="46" t="str">
        <f t="shared" si="1063"/>
        <v>08 de mayo de 2020</v>
      </c>
      <c r="N2968" s="318">
        <f t="shared" si="1064"/>
        <v>8</v>
      </c>
      <c r="O2968" s="24">
        <f t="shared" si="1065"/>
        <v>43952</v>
      </c>
      <c r="P2968" s="5" t="str">
        <f t="shared" si="1066"/>
        <v>50.000,00</v>
      </c>
      <c r="Q2968" s="4" t="e">
        <f t="shared" ca="1" si="1067"/>
        <v>#NAME?</v>
      </c>
    </row>
    <row r="2969" spans="1:17">
      <c r="A2969" s="1">
        <f>A2968+1</f>
        <v>2968</v>
      </c>
      <c r="C2969" s="8" t="s">
        <v>17</v>
      </c>
      <c r="D2969" s="2">
        <v>43959</v>
      </c>
      <c r="E2969" s="3">
        <v>50000</v>
      </c>
      <c r="F2969" s="552" t="s">
        <v>342</v>
      </c>
      <c r="G2969" t="s">
        <v>1037</v>
      </c>
      <c r="H2969" t="s">
        <v>344</v>
      </c>
      <c r="I2969" s="6" t="s">
        <v>1217</v>
      </c>
      <c r="J2969" s="59" t="s">
        <v>1218</v>
      </c>
      <c r="L2969" s="5" t="str">
        <f t="shared" si="1062"/>
        <v>02968</v>
      </c>
      <c r="M2969" s="46" t="str">
        <f t="shared" si="1063"/>
        <v>08 de mayo de 2020</v>
      </c>
      <c r="N2969" s="318">
        <f t="shared" si="1064"/>
        <v>8</v>
      </c>
      <c r="O2969" s="24">
        <f t="shared" si="1065"/>
        <v>43952</v>
      </c>
      <c r="P2969" s="5" t="str">
        <f t="shared" si="1066"/>
        <v>50.000,00</v>
      </c>
      <c r="Q2969" s="4" t="e">
        <f t="shared" ca="1" si="1067"/>
        <v>#NAME?</v>
      </c>
    </row>
    <row r="2970" spans="1:17">
      <c r="A2970" s="1">
        <f t="shared" ref="A2970:A2973" si="1072">A2969+1</f>
        <v>2969</v>
      </c>
      <c r="C2970" s="8" t="s">
        <v>17</v>
      </c>
      <c r="D2970" s="2">
        <v>43959</v>
      </c>
      <c r="E2970" s="3">
        <v>250000</v>
      </c>
      <c r="F2970" t="s">
        <v>44</v>
      </c>
      <c r="G2970" t="s">
        <v>45</v>
      </c>
      <c r="H2970" t="s">
        <v>46</v>
      </c>
      <c r="I2970" s="6" t="s">
        <v>1211</v>
      </c>
      <c r="J2970" s="59" t="s">
        <v>22</v>
      </c>
      <c r="L2970" s="5" t="str">
        <f t="shared" si="1062"/>
        <v>02969</v>
      </c>
      <c r="M2970" s="46" t="str">
        <f t="shared" si="1063"/>
        <v>08 de mayo de 2020</v>
      </c>
      <c r="N2970" s="318">
        <f t="shared" si="1064"/>
        <v>8</v>
      </c>
      <c r="O2970" s="24">
        <f t="shared" si="1065"/>
        <v>43952</v>
      </c>
      <c r="P2970" s="5" t="str">
        <f t="shared" si="1066"/>
        <v>250.000,00</v>
      </c>
      <c r="Q2970" s="4" t="e">
        <f t="shared" ca="1" si="1067"/>
        <v>#NAME?</v>
      </c>
    </row>
    <row r="2971" spans="1:17">
      <c r="A2971" s="1">
        <f t="shared" si="1072"/>
        <v>2970</v>
      </c>
      <c r="C2971" s="8" t="s">
        <v>17</v>
      </c>
      <c r="D2971" s="2">
        <v>43958</v>
      </c>
      <c r="E2971" s="3">
        <v>50000</v>
      </c>
      <c r="F2971" s="552" t="s">
        <v>44</v>
      </c>
      <c r="G2971" t="s">
        <v>45</v>
      </c>
      <c r="H2971" t="s">
        <v>46</v>
      </c>
      <c r="I2971" s="6" t="s">
        <v>1217</v>
      </c>
      <c r="J2971" s="59" t="s">
        <v>1218</v>
      </c>
      <c r="L2971" s="5" t="str">
        <f t="shared" si="1062"/>
        <v>02970</v>
      </c>
      <c r="M2971" s="46" t="str">
        <f t="shared" si="1063"/>
        <v>07 de mayo de 2020</v>
      </c>
      <c r="N2971" s="318">
        <f t="shared" si="1064"/>
        <v>7</v>
      </c>
      <c r="O2971" s="24">
        <f t="shared" si="1065"/>
        <v>43952</v>
      </c>
      <c r="P2971" s="5" t="str">
        <f t="shared" si="1066"/>
        <v>50.000,00</v>
      </c>
      <c r="Q2971" s="4" t="e">
        <f t="shared" ca="1" si="1067"/>
        <v>#NAME?</v>
      </c>
    </row>
    <row r="2972" spans="1:17">
      <c r="A2972" s="1">
        <f t="shared" si="1072"/>
        <v>2971</v>
      </c>
      <c r="C2972" s="8" t="s">
        <v>17</v>
      </c>
      <c r="D2972" s="2">
        <v>43959</v>
      </c>
      <c r="E2972" s="3">
        <v>250000</v>
      </c>
      <c r="F2972" t="s">
        <v>211</v>
      </c>
      <c r="G2972" t="s">
        <v>212</v>
      </c>
      <c r="H2972" t="s">
        <v>213</v>
      </c>
      <c r="I2972" s="6" t="s">
        <v>1211</v>
      </c>
      <c r="J2972" s="59" t="s">
        <v>22</v>
      </c>
      <c r="L2972" s="5" t="str">
        <f t="shared" si="1062"/>
        <v>02971</v>
      </c>
      <c r="M2972" s="46" t="str">
        <f t="shared" si="1063"/>
        <v>08 de mayo de 2020</v>
      </c>
      <c r="N2972" s="318">
        <f t="shared" si="1064"/>
        <v>8</v>
      </c>
      <c r="O2972" s="24">
        <f t="shared" si="1065"/>
        <v>43952</v>
      </c>
      <c r="P2972" s="5" t="str">
        <f t="shared" si="1066"/>
        <v>250.000,00</v>
      </c>
      <c r="Q2972" s="4" t="e">
        <f t="shared" ca="1" si="1067"/>
        <v>#NAME?</v>
      </c>
    </row>
    <row r="2973" spans="1:17">
      <c r="A2973" s="1">
        <f t="shared" si="1072"/>
        <v>2972</v>
      </c>
      <c r="C2973" s="8" t="s">
        <v>17</v>
      </c>
      <c r="D2973" s="2">
        <v>43959</v>
      </c>
      <c r="E2973" s="3">
        <v>50000</v>
      </c>
      <c r="F2973" s="552" t="s">
        <v>211</v>
      </c>
      <c r="G2973" t="s">
        <v>212</v>
      </c>
      <c r="H2973" t="s">
        <v>213</v>
      </c>
      <c r="I2973" s="6" t="s">
        <v>1217</v>
      </c>
      <c r="J2973" s="59" t="s">
        <v>1218</v>
      </c>
      <c r="L2973" s="5" t="str">
        <f t="shared" si="1062"/>
        <v>02972</v>
      </c>
      <c r="M2973" s="46" t="str">
        <f t="shared" si="1063"/>
        <v>08 de mayo de 2020</v>
      </c>
      <c r="N2973" s="318">
        <f t="shared" si="1064"/>
        <v>8</v>
      </c>
      <c r="O2973" s="24">
        <f t="shared" si="1065"/>
        <v>43952</v>
      </c>
      <c r="P2973" s="5" t="str">
        <f t="shared" si="1066"/>
        <v>50.000,00</v>
      </c>
      <c r="Q2973" s="4" t="e">
        <f t="shared" ca="1" si="1067"/>
        <v>#NAME?</v>
      </c>
    </row>
    <row r="2974" spans="1:17">
      <c r="A2974" s="1">
        <f>A2973+1</f>
        <v>2973</v>
      </c>
      <c r="C2974" s="8" t="s">
        <v>17</v>
      </c>
      <c r="D2974" s="2">
        <v>43959</v>
      </c>
      <c r="E2974" s="3">
        <v>50000</v>
      </c>
      <c r="F2974" s="552" t="s">
        <v>334</v>
      </c>
      <c r="G2974" t="s">
        <v>85</v>
      </c>
      <c r="H2974" t="s">
        <v>335</v>
      </c>
      <c r="I2974" s="6" t="s">
        <v>1217</v>
      </c>
      <c r="J2974" s="59" t="s">
        <v>1218</v>
      </c>
      <c r="L2974" s="5" t="str">
        <f t="shared" si="1062"/>
        <v>02973</v>
      </c>
      <c r="M2974" s="46" t="str">
        <f t="shared" si="1063"/>
        <v>08 de mayo de 2020</v>
      </c>
      <c r="N2974" s="318">
        <f t="shared" si="1064"/>
        <v>8</v>
      </c>
      <c r="O2974" s="24">
        <f t="shared" si="1065"/>
        <v>43952</v>
      </c>
      <c r="P2974" s="5" t="str">
        <f t="shared" si="1066"/>
        <v>50.000,00</v>
      </c>
      <c r="Q2974" s="4" t="e">
        <f t="shared" ca="1" si="1067"/>
        <v>#NAME?</v>
      </c>
    </row>
    <row r="2975" spans="1:17">
      <c r="A2975" s="1">
        <f>A2974+1</f>
        <v>2974</v>
      </c>
      <c r="C2975" s="8" t="s">
        <v>17</v>
      </c>
      <c r="D2975" s="2">
        <v>43959</v>
      </c>
      <c r="E2975" s="3">
        <v>50000</v>
      </c>
      <c r="F2975" s="552" t="s">
        <v>84</v>
      </c>
      <c r="G2975" t="s">
        <v>85</v>
      </c>
      <c r="H2975" t="s">
        <v>86</v>
      </c>
      <c r="I2975" s="6" t="s">
        <v>1217</v>
      </c>
      <c r="J2975" s="59" t="s">
        <v>1218</v>
      </c>
      <c r="L2975" s="5" t="str">
        <f t="shared" si="1062"/>
        <v>02974</v>
      </c>
      <c r="M2975" s="46" t="str">
        <f t="shared" si="1063"/>
        <v>08 de mayo de 2020</v>
      </c>
      <c r="N2975" s="318">
        <f t="shared" si="1064"/>
        <v>8</v>
      </c>
      <c r="O2975" s="24">
        <f t="shared" si="1065"/>
        <v>43952</v>
      </c>
      <c r="P2975" s="5" t="str">
        <f t="shared" si="1066"/>
        <v>50.000,00</v>
      </c>
      <c r="Q2975" s="4" t="e">
        <f t="shared" ca="1" si="1067"/>
        <v>#NAME?</v>
      </c>
    </row>
    <row r="2976" spans="1:17">
      <c r="A2976" s="1">
        <f t="shared" ref="A2976" si="1073">A2975+1</f>
        <v>2975</v>
      </c>
      <c r="B2976" s="8"/>
      <c r="C2976" s="83" t="s">
        <v>17</v>
      </c>
      <c r="D2976" s="2">
        <v>43959</v>
      </c>
      <c r="E2976" s="160">
        <v>50000</v>
      </c>
      <c r="F2976" s="552" t="s">
        <v>492</v>
      </c>
      <c r="G2976" s="18" t="s">
        <v>58</v>
      </c>
      <c r="H2976" t="s">
        <v>493</v>
      </c>
      <c r="I2976" s="6" t="s">
        <v>1217</v>
      </c>
      <c r="J2976" s="59" t="s">
        <v>1218</v>
      </c>
      <c r="L2976" s="5" t="str">
        <f t="shared" si="1062"/>
        <v>02975</v>
      </c>
      <c r="M2976" s="46" t="str">
        <f t="shared" si="1063"/>
        <v>08 de mayo de 2020</v>
      </c>
      <c r="N2976" s="318">
        <f t="shared" si="1064"/>
        <v>8</v>
      </c>
      <c r="O2976" s="24">
        <f t="shared" si="1065"/>
        <v>43952</v>
      </c>
      <c r="P2976" s="5" t="str">
        <f t="shared" si="1066"/>
        <v>50.000,00</v>
      </c>
      <c r="Q2976" s="4" t="e">
        <f t="shared" ca="1" si="1067"/>
        <v>#NAME?</v>
      </c>
    </row>
    <row r="2977" spans="1:17">
      <c r="A2977" s="1">
        <f>A2976+1</f>
        <v>2976</v>
      </c>
      <c r="C2977" s="8" t="s">
        <v>17</v>
      </c>
      <c r="D2977" s="2">
        <v>43959</v>
      </c>
      <c r="E2977" s="3">
        <v>100000</v>
      </c>
      <c r="F2977" t="s">
        <v>401</v>
      </c>
      <c r="G2977" t="s">
        <v>402</v>
      </c>
      <c r="H2977" t="s">
        <v>403</v>
      </c>
      <c r="I2977" s="6" t="s">
        <v>1205</v>
      </c>
      <c r="J2977" s="59" t="s">
        <v>22</v>
      </c>
      <c r="L2977" s="5" t="str">
        <f t="shared" si="1062"/>
        <v>02976</v>
      </c>
      <c r="M2977" s="46" t="str">
        <f t="shared" si="1063"/>
        <v>08 de mayo de 2020</v>
      </c>
      <c r="N2977" s="318">
        <f t="shared" si="1064"/>
        <v>8</v>
      </c>
      <c r="O2977" s="24">
        <f t="shared" si="1065"/>
        <v>43952</v>
      </c>
      <c r="P2977" s="5" t="str">
        <f t="shared" si="1066"/>
        <v>100.000,00</v>
      </c>
      <c r="Q2977" s="4" t="e">
        <f t="shared" ca="1" si="1067"/>
        <v>#NAME?</v>
      </c>
    </row>
    <row r="2978" spans="1:17">
      <c r="A2978" s="1">
        <f t="shared" ref="A2978:A2980" si="1074">A2977+1</f>
        <v>2977</v>
      </c>
      <c r="C2978" s="8" t="s">
        <v>17</v>
      </c>
      <c r="D2978" s="2">
        <v>43959</v>
      </c>
      <c r="E2978" s="3">
        <v>250000</v>
      </c>
      <c r="F2978" t="s">
        <v>103</v>
      </c>
      <c r="G2978" s="552" t="s">
        <v>1048</v>
      </c>
      <c r="H2978" t="s">
        <v>105</v>
      </c>
      <c r="I2978" s="6" t="s">
        <v>1211</v>
      </c>
      <c r="J2978" s="59" t="s">
        <v>22</v>
      </c>
      <c r="L2978" s="5" t="str">
        <f t="shared" si="1062"/>
        <v>02977</v>
      </c>
      <c r="M2978" s="46" t="str">
        <f t="shared" si="1063"/>
        <v>08 de mayo de 2020</v>
      </c>
      <c r="N2978" s="318">
        <f t="shared" si="1064"/>
        <v>8</v>
      </c>
      <c r="O2978" s="24">
        <f t="shared" si="1065"/>
        <v>43952</v>
      </c>
      <c r="P2978" s="5" t="str">
        <f t="shared" si="1066"/>
        <v>250.000,00</v>
      </c>
      <c r="Q2978" s="4" t="e">
        <f t="shared" ca="1" si="1067"/>
        <v>#NAME?</v>
      </c>
    </row>
    <row r="2979" spans="1:17">
      <c r="A2979" s="1">
        <f t="shared" si="1074"/>
        <v>2978</v>
      </c>
      <c r="C2979" s="8" t="s">
        <v>17</v>
      </c>
      <c r="D2979" s="2">
        <v>43959</v>
      </c>
      <c r="E2979" s="3">
        <v>50000</v>
      </c>
      <c r="F2979" s="552" t="s">
        <v>103</v>
      </c>
      <c r="G2979" s="552" t="s">
        <v>1048</v>
      </c>
      <c r="H2979" t="s">
        <v>105</v>
      </c>
      <c r="I2979" s="6" t="s">
        <v>1217</v>
      </c>
      <c r="J2979" s="59" t="s">
        <v>1218</v>
      </c>
      <c r="L2979" s="5" t="str">
        <f t="shared" si="1062"/>
        <v>02978</v>
      </c>
      <c r="M2979" s="46" t="str">
        <f t="shared" si="1063"/>
        <v>08 de mayo de 2020</v>
      </c>
      <c r="N2979" s="318">
        <f t="shared" si="1064"/>
        <v>8</v>
      </c>
      <c r="O2979" s="24">
        <f t="shared" si="1065"/>
        <v>43952</v>
      </c>
      <c r="P2979" s="5" t="str">
        <f t="shared" si="1066"/>
        <v>50.000,00</v>
      </c>
      <c r="Q2979" s="4" t="e">
        <f t="shared" ca="1" si="1067"/>
        <v>#NAME?</v>
      </c>
    </row>
    <row r="2980" spans="1:17">
      <c r="A2980" s="1">
        <f t="shared" si="1074"/>
        <v>2979</v>
      </c>
      <c r="C2980" s="8" t="s">
        <v>17</v>
      </c>
      <c r="D2980" s="2">
        <v>43959</v>
      </c>
      <c r="E2980" s="3">
        <v>250000</v>
      </c>
      <c r="F2980" t="s">
        <v>443</v>
      </c>
      <c r="G2980" t="s">
        <v>444</v>
      </c>
      <c r="H2980" t="s">
        <v>75</v>
      </c>
      <c r="I2980" s="6" t="s">
        <v>1211</v>
      </c>
      <c r="J2980" s="59" t="s">
        <v>22</v>
      </c>
      <c r="L2980" s="5" t="str">
        <f t="shared" si="1062"/>
        <v>02979</v>
      </c>
      <c r="M2980" s="46" t="str">
        <f t="shared" si="1063"/>
        <v>08 de mayo de 2020</v>
      </c>
      <c r="N2980" s="318">
        <f t="shared" si="1064"/>
        <v>8</v>
      </c>
      <c r="O2980" s="24">
        <f t="shared" si="1065"/>
        <v>43952</v>
      </c>
      <c r="P2980" s="5" t="str">
        <f t="shared" si="1066"/>
        <v>250.000,00</v>
      </c>
      <c r="Q2980" s="4" t="e">
        <f t="shared" ca="1" si="1067"/>
        <v>#NAME?</v>
      </c>
    </row>
    <row r="2981" spans="1:17">
      <c r="A2981" s="1">
        <f>A2980+1</f>
        <v>2980</v>
      </c>
      <c r="C2981" s="8" t="s">
        <v>17</v>
      </c>
      <c r="D2981" s="2">
        <v>43959</v>
      </c>
      <c r="E2981" s="3">
        <v>50000</v>
      </c>
      <c r="F2981" s="552" t="s">
        <v>443</v>
      </c>
      <c r="G2981" t="s">
        <v>444</v>
      </c>
      <c r="H2981" t="s">
        <v>75</v>
      </c>
      <c r="I2981" s="6" t="s">
        <v>1217</v>
      </c>
      <c r="J2981" s="59" t="s">
        <v>1218</v>
      </c>
      <c r="L2981" s="5" t="str">
        <f t="shared" si="1062"/>
        <v>02980</v>
      </c>
      <c r="M2981" s="46" t="str">
        <f t="shared" si="1063"/>
        <v>08 de mayo de 2020</v>
      </c>
      <c r="N2981" s="318">
        <f t="shared" si="1064"/>
        <v>8</v>
      </c>
      <c r="O2981" s="24">
        <f t="shared" si="1065"/>
        <v>43952</v>
      </c>
      <c r="P2981" s="5" t="str">
        <f t="shared" si="1066"/>
        <v>50.000,00</v>
      </c>
      <c r="Q2981" s="4" t="e">
        <f t="shared" ca="1" si="1067"/>
        <v>#NAME?</v>
      </c>
    </row>
    <row r="2982" spans="1:17">
      <c r="A2982" s="1">
        <f>A2981+1</f>
        <v>2981</v>
      </c>
      <c r="C2982" s="8" t="s">
        <v>17</v>
      </c>
      <c r="D2982" s="2">
        <v>43959</v>
      </c>
      <c r="E2982" s="3">
        <v>50000</v>
      </c>
      <c r="F2982" s="552" t="s">
        <v>1187</v>
      </c>
      <c r="G2982" t="s">
        <v>1188</v>
      </c>
      <c r="H2982" t="s">
        <v>50</v>
      </c>
      <c r="I2982" s="6" t="s">
        <v>1217</v>
      </c>
      <c r="J2982" s="59" t="s">
        <v>1218</v>
      </c>
      <c r="L2982" s="5" t="str">
        <f t="shared" si="1062"/>
        <v>02981</v>
      </c>
      <c r="M2982" s="46" t="str">
        <f t="shared" si="1063"/>
        <v>08 de mayo de 2020</v>
      </c>
      <c r="N2982" s="318">
        <f t="shared" si="1064"/>
        <v>8</v>
      </c>
      <c r="O2982" s="24">
        <f t="shared" si="1065"/>
        <v>43952</v>
      </c>
      <c r="P2982" s="5" t="str">
        <f t="shared" si="1066"/>
        <v>50.000,00</v>
      </c>
      <c r="Q2982" s="4" t="e">
        <f t="shared" ca="1" si="1067"/>
        <v>#NAME?</v>
      </c>
    </row>
    <row r="2983" spans="1:17">
      <c r="A2983" s="1">
        <f t="shared" ref="A2983" si="1075">A2982+1</f>
        <v>2982</v>
      </c>
      <c r="C2983" s="8" t="s">
        <v>17</v>
      </c>
      <c r="D2983" s="2">
        <v>43959</v>
      </c>
      <c r="E2983" s="3">
        <v>250000</v>
      </c>
      <c r="F2983" t="s">
        <v>181</v>
      </c>
      <c r="G2983" t="s">
        <v>182</v>
      </c>
      <c r="H2983" t="s">
        <v>183</v>
      </c>
      <c r="I2983" s="6" t="s">
        <v>1211</v>
      </c>
      <c r="J2983" s="59" t="s">
        <v>22</v>
      </c>
      <c r="L2983" s="5" t="str">
        <f t="shared" si="1062"/>
        <v>02982</v>
      </c>
      <c r="M2983" s="46" t="str">
        <f t="shared" si="1063"/>
        <v>08 de mayo de 2020</v>
      </c>
      <c r="N2983" s="318">
        <f t="shared" si="1064"/>
        <v>8</v>
      </c>
      <c r="O2983" s="24">
        <f t="shared" si="1065"/>
        <v>43952</v>
      </c>
      <c r="P2983" s="5" t="str">
        <f t="shared" si="1066"/>
        <v>250.000,00</v>
      </c>
      <c r="Q2983" s="4" t="e">
        <f t="shared" ca="1" si="1067"/>
        <v>#NAME?</v>
      </c>
    </row>
    <row r="2984" spans="1:17">
      <c r="A2984" s="1">
        <f>A2983+1</f>
        <v>2983</v>
      </c>
      <c r="C2984" s="8" t="s">
        <v>17</v>
      </c>
      <c r="D2984" s="2">
        <v>43959</v>
      </c>
      <c r="E2984" s="3">
        <v>50000</v>
      </c>
      <c r="F2984" s="552" t="s">
        <v>181</v>
      </c>
      <c r="G2984" t="s">
        <v>182</v>
      </c>
      <c r="H2984" t="s">
        <v>183</v>
      </c>
      <c r="I2984" s="6" t="s">
        <v>1217</v>
      </c>
      <c r="J2984" s="59" t="s">
        <v>1218</v>
      </c>
      <c r="L2984" s="5" t="str">
        <f t="shared" si="1062"/>
        <v>02983</v>
      </c>
      <c r="M2984" s="46" t="str">
        <f t="shared" si="1063"/>
        <v>08 de mayo de 2020</v>
      </c>
      <c r="N2984" s="318">
        <f t="shared" si="1064"/>
        <v>8</v>
      </c>
      <c r="O2984" s="24">
        <f t="shared" si="1065"/>
        <v>43952</v>
      </c>
      <c r="P2984" s="5" t="str">
        <f t="shared" si="1066"/>
        <v>50.000,00</v>
      </c>
      <c r="Q2984" s="4" t="e">
        <f t="shared" ca="1" si="1067"/>
        <v>#NAME?</v>
      </c>
    </row>
    <row r="2985" spans="1:17">
      <c r="A2985" s="1">
        <f>A2984+1</f>
        <v>2984</v>
      </c>
      <c r="C2985" s="8" t="s">
        <v>17</v>
      </c>
      <c r="D2985" s="2">
        <v>43959</v>
      </c>
      <c r="E2985" s="3">
        <v>50000</v>
      </c>
      <c r="F2985" t="s">
        <v>407</v>
      </c>
      <c r="G2985" t="s">
        <v>408</v>
      </c>
      <c r="H2985" t="s">
        <v>409</v>
      </c>
      <c r="I2985" s="6" t="s">
        <v>1217</v>
      </c>
      <c r="J2985" s="59" t="s">
        <v>1218</v>
      </c>
      <c r="L2985" s="5" t="str">
        <f t="shared" si="1062"/>
        <v>02984</v>
      </c>
      <c r="M2985" s="46" t="str">
        <f t="shared" si="1063"/>
        <v>08 de mayo de 2020</v>
      </c>
      <c r="N2985" s="318">
        <f t="shared" si="1064"/>
        <v>8</v>
      </c>
      <c r="O2985" s="24">
        <f t="shared" si="1065"/>
        <v>43952</v>
      </c>
      <c r="P2985" s="5" t="str">
        <f t="shared" si="1066"/>
        <v>50.000,00</v>
      </c>
      <c r="Q2985" s="4" t="e">
        <f ca="1">CONVERTIRNUM(E2985)</f>
        <v>#NAME?</v>
      </c>
    </row>
    <row r="2986" spans="1:17">
      <c r="A2986" s="1">
        <f t="shared" ref="A2986" si="1076">A2985+1</f>
        <v>2985</v>
      </c>
      <c r="C2986" s="8" t="s">
        <v>17</v>
      </c>
      <c r="D2986" s="2">
        <v>43960</v>
      </c>
      <c r="E2986" s="3">
        <v>250000</v>
      </c>
      <c r="F2986" t="s">
        <v>36</v>
      </c>
      <c r="G2986" t="s">
        <v>37</v>
      </c>
      <c r="H2986" t="s">
        <v>38</v>
      </c>
      <c r="I2986" s="6" t="s">
        <v>1211</v>
      </c>
      <c r="J2986" s="59" t="s">
        <v>22</v>
      </c>
      <c r="L2986" s="5" t="str">
        <f t="shared" si="1062"/>
        <v>02985</v>
      </c>
      <c r="M2986" s="46" t="str">
        <f t="shared" si="1063"/>
        <v>09 de mayo de 2020</v>
      </c>
      <c r="N2986" s="318">
        <f t="shared" si="1064"/>
        <v>9</v>
      </c>
      <c r="O2986" s="24">
        <f t="shared" si="1065"/>
        <v>43952</v>
      </c>
      <c r="P2986" s="5" t="str">
        <f t="shared" si="1066"/>
        <v>250.000,00</v>
      </c>
      <c r="Q2986" s="4" t="e">
        <f t="shared" ref="Q2986:Q3005" ca="1" si="1077">CONVERTIRNUM(E2986)</f>
        <v>#NAME?</v>
      </c>
    </row>
    <row r="2987" spans="1:17">
      <c r="A2987" s="1">
        <f>A2986+1</f>
        <v>2986</v>
      </c>
      <c r="C2987" s="8" t="s">
        <v>17</v>
      </c>
      <c r="D2987" s="2">
        <v>43960</v>
      </c>
      <c r="E2987" s="3">
        <v>50000</v>
      </c>
      <c r="F2987" t="s">
        <v>36</v>
      </c>
      <c r="G2987" t="s">
        <v>37</v>
      </c>
      <c r="H2987" t="s">
        <v>38</v>
      </c>
      <c r="I2987" s="6" t="s">
        <v>1217</v>
      </c>
      <c r="J2987" s="59" t="s">
        <v>1218</v>
      </c>
      <c r="L2987" s="5" t="str">
        <f t="shared" si="1062"/>
        <v>02986</v>
      </c>
      <c r="M2987" s="46" t="str">
        <f t="shared" si="1063"/>
        <v>09 de mayo de 2020</v>
      </c>
      <c r="N2987" s="318">
        <f t="shared" si="1064"/>
        <v>9</v>
      </c>
      <c r="O2987" s="24">
        <f t="shared" si="1065"/>
        <v>43952</v>
      </c>
      <c r="P2987" s="5" t="str">
        <f t="shared" si="1066"/>
        <v>50.000,00</v>
      </c>
      <c r="Q2987" s="4" t="e">
        <f t="shared" ca="1" si="1077"/>
        <v>#NAME?</v>
      </c>
    </row>
    <row r="2988" spans="1:17">
      <c r="A2988" s="1">
        <f>A2987+1</f>
        <v>2987</v>
      </c>
      <c r="C2988" s="8" t="s">
        <v>17</v>
      </c>
      <c r="D2988" s="2">
        <v>43960</v>
      </c>
      <c r="E2988" s="3">
        <v>50000</v>
      </c>
      <c r="F2988" t="s">
        <v>483</v>
      </c>
      <c r="G2988" t="s">
        <v>484</v>
      </c>
      <c r="H2988" t="s">
        <v>485</v>
      </c>
      <c r="I2988" s="6" t="s">
        <v>1217</v>
      </c>
      <c r="J2988" s="59" t="s">
        <v>1218</v>
      </c>
      <c r="L2988" s="5" t="str">
        <f t="shared" si="1062"/>
        <v>02987</v>
      </c>
      <c r="M2988" s="46" t="str">
        <f t="shared" si="1063"/>
        <v>09 de mayo de 2020</v>
      </c>
      <c r="N2988" s="318">
        <f t="shared" si="1064"/>
        <v>9</v>
      </c>
      <c r="O2988" s="24">
        <f t="shared" si="1065"/>
        <v>43952</v>
      </c>
      <c r="P2988" s="5" t="str">
        <f t="shared" si="1066"/>
        <v>50.000,00</v>
      </c>
      <c r="Q2988" s="4" t="e">
        <f t="shared" ca="1" si="1077"/>
        <v>#NAME?</v>
      </c>
    </row>
    <row r="2989" spans="1:17">
      <c r="A2989" s="1">
        <f t="shared" ref="A2989:A2990" si="1078">A2988+1</f>
        <v>2988</v>
      </c>
      <c r="C2989" s="8" t="s">
        <v>17</v>
      </c>
      <c r="D2989" s="2">
        <v>43960</v>
      </c>
      <c r="E2989" s="3">
        <v>250000</v>
      </c>
      <c r="F2989" t="s">
        <v>936</v>
      </c>
      <c r="G2989" t="s">
        <v>937</v>
      </c>
      <c r="H2989" t="s">
        <v>150</v>
      </c>
      <c r="I2989" s="6" t="s">
        <v>1211</v>
      </c>
      <c r="J2989" s="59" t="s">
        <v>22</v>
      </c>
      <c r="L2989" s="5" t="str">
        <f t="shared" si="1062"/>
        <v>02988</v>
      </c>
      <c r="M2989" s="46" t="str">
        <f t="shared" si="1063"/>
        <v>09 de mayo de 2020</v>
      </c>
      <c r="N2989" s="318">
        <f t="shared" si="1064"/>
        <v>9</v>
      </c>
      <c r="O2989" s="24">
        <f t="shared" si="1065"/>
        <v>43952</v>
      </c>
      <c r="P2989" s="5" t="str">
        <f t="shared" si="1066"/>
        <v>250.000,00</v>
      </c>
      <c r="Q2989" s="4" t="e">
        <f t="shared" ca="1" si="1077"/>
        <v>#NAME?</v>
      </c>
    </row>
    <row r="2990" spans="1:17">
      <c r="A2990" s="1">
        <f t="shared" si="1078"/>
        <v>2989</v>
      </c>
      <c r="C2990" s="8" t="s">
        <v>17</v>
      </c>
      <c r="D2990" s="2">
        <v>43960</v>
      </c>
      <c r="E2990" s="3">
        <v>50000</v>
      </c>
      <c r="F2990" t="s">
        <v>936</v>
      </c>
      <c r="G2990" t="s">
        <v>937</v>
      </c>
      <c r="H2990" t="s">
        <v>150</v>
      </c>
      <c r="I2990" s="6" t="s">
        <v>1217</v>
      </c>
      <c r="J2990" s="59" t="s">
        <v>1218</v>
      </c>
      <c r="L2990" s="5" t="str">
        <f t="shared" si="1062"/>
        <v>02989</v>
      </c>
      <c r="M2990" s="46" t="str">
        <f t="shared" si="1063"/>
        <v>09 de mayo de 2020</v>
      </c>
      <c r="N2990" s="318">
        <f t="shared" si="1064"/>
        <v>9</v>
      </c>
      <c r="O2990" s="24">
        <f t="shared" si="1065"/>
        <v>43952</v>
      </c>
      <c r="P2990" s="5" t="str">
        <f t="shared" si="1066"/>
        <v>50.000,00</v>
      </c>
      <c r="Q2990" s="4" t="e">
        <f t="shared" ca="1" si="1077"/>
        <v>#NAME?</v>
      </c>
    </row>
    <row r="2991" spans="1:17">
      <c r="A2991" s="1">
        <f>A2990+1</f>
        <v>2990</v>
      </c>
      <c r="C2991" s="8" t="s">
        <v>17</v>
      </c>
      <c r="D2991" s="2">
        <v>43960</v>
      </c>
      <c r="E2991" s="3">
        <v>50000</v>
      </c>
      <c r="F2991" t="s">
        <v>66</v>
      </c>
      <c r="G2991" t="s">
        <v>67</v>
      </c>
      <c r="H2991" t="s">
        <v>68</v>
      </c>
      <c r="I2991" s="6" t="s">
        <v>1217</v>
      </c>
      <c r="J2991" s="59" t="s">
        <v>1218</v>
      </c>
      <c r="L2991" s="5" t="str">
        <f t="shared" si="1062"/>
        <v>02990</v>
      </c>
      <c r="M2991" s="46" t="str">
        <f t="shared" si="1063"/>
        <v>09 de mayo de 2020</v>
      </c>
      <c r="N2991" s="318">
        <f t="shared" si="1064"/>
        <v>9</v>
      </c>
      <c r="O2991" s="24">
        <f t="shared" si="1065"/>
        <v>43952</v>
      </c>
      <c r="P2991" s="5" t="str">
        <f t="shared" si="1066"/>
        <v>50.000,00</v>
      </c>
      <c r="Q2991" s="4" t="e">
        <f t="shared" ca="1" si="1077"/>
        <v>#NAME?</v>
      </c>
    </row>
    <row r="2992" spans="1:17">
      <c r="A2992" s="1">
        <f>A2991+1</f>
        <v>2991</v>
      </c>
      <c r="C2992" s="8" t="s">
        <v>17</v>
      </c>
      <c r="D2992" s="2">
        <v>43951</v>
      </c>
      <c r="E2992" s="3">
        <v>186000</v>
      </c>
      <c r="F2992" t="s">
        <v>162</v>
      </c>
      <c r="G2992" t="s">
        <v>163</v>
      </c>
      <c r="H2992" t="s">
        <v>164</v>
      </c>
      <c r="I2992" s="6" t="s">
        <v>1176</v>
      </c>
      <c r="J2992" s="59" t="s">
        <v>22</v>
      </c>
      <c r="L2992" s="5" t="str">
        <f t="shared" si="1062"/>
        <v>02991</v>
      </c>
      <c r="M2992" s="46" t="str">
        <f t="shared" si="1063"/>
        <v>30 de abril de 2020</v>
      </c>
      <c r="N2992" s="318">
        <f t="shared" si="1064"/>
        <v>30</v>
      </c>
      <c r="O2992" s="24">
        <f t="shared" si="1065"/>
        <v>43922</v>
      </c>
      <c r="P2992" s="5" t="str">
        <f t="shared" si="1066"/>
        <v>186.000,00</v>
      </c>
      <c r="Q2992" s="4" t="e">
        <f t="shared" ca="1" si="1077"/>
        <v>#NAME?</v>
      </c>
    </row>
    <row r="2993" spans="1:17">
      <c r="A2993" s="1">
        <f>A2992+1</f>
        <v>2992</v>
      </c>
      <c r="C2993" s="8" t="s">
        <v>17</v>
      </c>
      <c r="D2993" s="2">
        <v>43955</v>
      </c>
      <c r="E2993" s="3">
        <v>250000</v>
      </c>
      <c r="F2993" t="s">
        <v>162</v>
      </c>
      <c r="G2993" t="s">
        <v>163</v>
      </c>
      <c r="H2993" t="s">
        <v>164</v>
      </c>
      <c r="I2993" s="6" t="s">
        <v>1211</v>
      </c>
      <c r="J2993" s="59" t="s">
        <v>22</v>
      </c>
      <c r="L2993" s="5" t="str">
        <f t="shared" si="1062"/>
        <v>02992</v>
      </c>
      <c r="M2993" s="46" t="str">
        <f t="shared" si="1063"/>
        <v>04 de mayo de 2020</v>
      </c>
      <c r="N2993" s="318">
        <f t="shared" si="1064"/>
        <v>4</v>
      </c>
      <c r="O2993" s="24">
        <f t="shared" si="1065"/>
        <v>43952</v>
      </c>
      <c r="P2993" s="5" t="str">
        <f t="shared" si="1066"/>
        <v>250.000,00</v>
      </c>
      <c r="Q2993" s="4" t="e">
        <f t="shared" ca="1" si="1077"/>
        <v>#NAME?</v>
      </c>
    </row>
    <row r="2994" spans="1:17">
      <c r="A2994" s="1">
        <f>A2993+1</f>
        <v>2993</v>
      </c>
      <c r="C2994" s="8" t="s">
        <v>17</v>
      </c>
      <c r="D2994" s="2">
        <v>43961</v>
      </c>
      <c r="E2994" s="3">
        <v>50000</v>
      </c>
      <c r="F2994" t="s">
        <v>18</v>
      </c>
      <c r="G2994" t="s">
        <v>19</v>
      </c>
      <c r="H2994" t="s">
        <v>20</v>
      </c>
      <c r="I2994" t="s">
        <v>1220</v>
      </c>
      <c r="J2994" s="59" t="s">
        <v>1218</v>
      </c>
      <c r="L2994" s="5" t="str">
        <f t="shared" si="1062"/>
        <v>02993</v>
      </c>
      <c r="M2994" s="46" t="str">
        <f t="shared" si="1063"/>
        <v>10 de mayo de 2020</v>
      </c>
      <c r="N2994" s="318">
        <f t="shared" si="1064"/>
        <v>10</v>
      </c>
      <c r="O2994" s="24">
        <f t="shared" si="1065"/>
        <v>43952</v>
      </c>
      <c r="P2994" s="5" t="str">
        <f t="shared" si="1066"/>
        <v>50.000,00</v>
      </c>
      <c r="Q2994" s="4" t="e">
        <f t="shared" ca="1" si="1077"/>
        <v>#NAME?</v>
      </c>
    </row>
    <row r="2995" spans="1:17">
      <c r="A2995" s="1">
        <f>A2994+1</f>
        <v>2994</v>
      </c>
      <c r="C2995" s="8" t="s">
        <v>17</v>
      </c>
      <c r="D2995" s="2">
        <v>43961</v>
      </c>
      <c r="E2995" s="3">
        <v>50000</v>
      </c>
      <c r="F2995" t="s">
        <v>786</v>
      </c>
      <c r="G2995" t="s">
        <v>787</v>
      </c>
      <c r="H2995" t="s">
        <v>719</v>
      </c>
      <c r="I2995" s="6" t="s">
        <v>1221</v>
      </c>
      <c r="J2995" s="59" t="s">
        <v>1218</v>
      </c>
      <c r="L2995" s="5" t="str">
        <f t="shared" si="1062"/>
        <v>02994</v>
      </c>
      <c r="M2995" s="46" t="str">
        <f t="shared" si="1063"/>
        <v>10 de mayo de 2020</v>
      </c>
      <c r="N2995" s="318">
        <f t="shared" si="1064"/>
        <v>10</v>
      </c>
      <c r="O2995" s="24">
        <f t="shared" si="1065"/>
        <v>43952</v>
      </c>
      <c r="P2995" s="5" t="str">
        <f t="shared" si="1066"/>
        <v>50.000,00</v>
      </c>
      <c r="Q2995" s="4" t="e">
        <f t="shared" ca="1" si="1077"/>
        <v>#NAME?</v>
      </c>
    </row>
    <row r="2996" spans="1:17">
      <c r="A2996" s="1">
        <f t="shared" ref="A2996:A2997" si="1079">A2995+1</f>
        <v>2995</v>
      </c>
      <c r="C2996" s="8" t="s">
        <v>17</v>
      </c>
      <c r="D2996" s="2">
        <v>43962</v>
      </c>
      <c r="E2996" s="3">
        <v>250000</v>
      </c>
      <c r="F2996" t="s">
        <v>126</v>
      </c>
      <c r="G2996" t="s">
        <v>127</v>
      </c>
      <c r="H2996" t="s">
        <v>128</v>
      </c>
      <c r="I2996" s="6" t="s">
        <v>1211</v>
      </c>
      <c r="J2996" s="59" t="s">
        <v>22</v>
      </c>
      <c r="L2996" s="5" t="str">
        <f t="shared" si="1062"/>
        <v>02995</v>
      </c>
      <c r="M2996" s="46" t="str">
        <f t="shared" si="1063"/>
        <v>11 de mayo de 2020</v>
      </c>
      <c r="N2996" s="318">
        <f t="shared" si="1064"/>
        <v>11</v>
      </c>
      <c r="O2996" s="24">
        <f t="shared" si="1065"/>
        <v>43952</v>
      </c>
      <c r="P2996" s="5" t="str">
        <f t="shared" si="1066"/>
        <v>250.000,00</v>
      </c>
      <c r="Q2996" s="4" t="e">
        <f t="shared" ca="1" si="1077"/>
        <v>#NAME?</v>
      </c>
    </row>
    <row r="2997" spans="1:17">
      <c r="A2997" s="1">
        <f t="shared" si="1079"/>
        <v>2996</v>
      </c>
      <c r="C2997" s="8" t="s">
        <v>17</v>
      </c>
      <c r="D2997" s="2">
        <v>43962</v>
      </c>
      <c r="E2997" s="3">
        <v>50000</v>
      </c>
      <c r="F2997" t="s">
        <v>126</v>
      </c>
      <c r="G2997" t="s">
        <v>127</v>
      </c>
      <c r="H2997" t="s">
        <v>128</v>
      </c>
      <c r="I2997" s="6" t="s">
        <v>1217</v>
      </c>
      <c r="J2997" s="59" t="s">
        <v>1218</v>
      </c>
      <c r="L2997" s="5" t="str">
        <f t="shared" si="1062"/>
        <v>02996</v>
      </c>
      <c r="M2997" s="46" t="str">
        <f t="shared" si="1063"/>
        <v>11 de mayo de 2020</v>
      </c>
      <c r="N2997" s="318">
        <f t="shared" si="1064"/>
        <v>11</v>
      </c>
      <c r="O2997" s="24">
        <f t="shared" si="1065"/>
        <v>43952</v>
      </c>
      <c r="P2997" s="5" t="str">
        <f t="shared" si="1066"/>
        <v>50.000,00</v>
      </c>
      <c r="Q2997" s="4" t="e">
        <f t="shared" ca="1" si="1077"/>
        <v>#NAME?</v>
      </c>
    </row>
    <row r="2998" spans="1:17">
      <c r="A2998" s="1">
        <f>A2997+1</f>
        <v>2997</v>
      </c>
      <c r="C2998" s="8" t="s">
        <v>17</v>
      </c>
      <c r="D2998" s="2">
        <v>43962</v>
      </c>
      <c r="E2998" s="3">
        <v>50000</v>
      </c>
      <c r="F2998" t="s">
        <v>201</v>
      </c>
      <c r="G2998" t="s">
        <v>202</v>
      </c>
      <c r="H2998" t="s">
        <v>203</v>
      </c>
      <c r="I2998" s="6" t="s">
        <v>1217</v>
      </c>
      <c r="J2998" s="59" t="s">
        <v>1218</v>
      </c>
      <c r="L2998" s="5" t="str">
        <f t="shared" si="1062"/>
        <v>02997</v>
      </c>
      <c r="M2998" s="46" t="str">
        <f t="shared" si="1063"/>
        <v>11 de mayo de 2020</v>
      </c>
      <c r="N2998" s="318">
        <f t="shared" si="1064"/>
        <v>11</v>
      </c>
      <c r="O2998" s="24">
        <f t="shared" si="1065"/>
        <v>43952</v>
      </c>
      <c r="P2998" s="5" t="str">
        <f t="shared" si="1066"/>
        <v>50.000,00</v>
      </c>
      <c r="Q2998" s="4" t="e">
        <f t="shared" ca="1" si="1077"/>
        <v>#NAME?</v>
      </c>
    </row>
    <row r="2999" spans="1:17">
      <c r="A2999" s="1">
        <f t="shared" ref="A2999:A3001" si="1080">A2998+1</f>
        <v>2998</v>
      </c>
      <c r="C2999" s="8" t="s">
        <v>17</v>
      </c>
      <c r="D2999" s="2">
        <v>43962</v>
      </c>
      <c r="E2999" s="3">
        <v>250000</v>
      </c>
      <c r="F2999" t="s">
        <v>713</v>
      </c>
      <c r="G2999" t="s">
        <v>714</v>
      </c>
      <c r="H2999" t="s">
        <v>154</v>
      </c>
      <c r="I2999" s="6" t="s">
        <v>1211</v>
      </c>
      <c r="J2999" s="59" t="s">
        <v>22</v>
      </c>
      <c r="L2999" s="5" t="str">
        <f t="shared" si="1062"/>
        <v>02998</v>
      </c>
      <c r="M2999" s="46" t="str">
        <f t="shared" si="1063"/>
        <v>11 de mayo de 2020</v>
      </c>
      <c r="N2999" s="318">
        <f t="shared" si="1064"/>
        <v>11</v>
      </c>
      <c r="O2999" s="24">
        <f t="shared" si="1065"/>
        <v>43952</v>
      </c>
      <c r="P2999" s="5" t="str">
        <f t="shared" si="1066"/>
        <v>250.000,00</v>
      </c>
      <c r="Q2999" s="4" t="e">
        <f t="shared" ca="1" si="1077"/>
        <v>#NAME?</v>
      </c>
    </row>
    <row r="3000" spans="1:17">
      <c r="A3000" s="1">
        <f t="shared" si="1080"/>
        <v>2999</v>
      </c>
      <c r="C3000" s="8" t="s">
        <v>17</v>
      </c>
      <c r="D3000" s="2">
        <v>43962</v>
      </c>
      <c r="E3000" s="3">
        <v>50000</v>
      </c>
      <c r="F3000" t="s">
        <v>713</v>
      </c>
      <c r="G3000" t="s">
        <v>714</v>
      </c>
      <c r="H3000" t="s">
        <v>154</v>
      </c>
      <c r="I3000" s="6" t="s">
        <v>1217</v>
      </c>
      <c r="J3000" s="59" t="s">
        <v>1218</v>
      </c>
      <c r="L3000" s="5" t="str">
        <f t="shared" si="1062"/>
        <v>02999</v>
      </c>
      <c r="M3000" s="46" t="str">
        <f t="shared" si="1063"/>
        <v>11 de mayo de 2020</v>
      </c>
      <c r="N3000" s="318">
        <f t="shared" si="1064"/>
        <v>11</v>
      </c>
      <c r="O3000" s="24">
        <f t="shared" si="1065"/>
        <v>43952</v>
      </c>
      <c r="P3000" s="5" t="str">
        <f t="shared" si="1066"/>
        <v>50.000,00</v>
      </c>
      <c r="Q3000" s="4" t="e">
        <f t="shared" ca="1" si="1077"/>
        <v>#NAME?</v>
      </c>
    </row>
    <row r="3001" spans="1:17">
      <c r="A3001" s="1">
        <f t="shared" si="1080"/>
        <v>3000</v>
      </c>
      <c r="C3001" s="8" t="s">
        <v>17</v>
      </c>
      <c r="D3001" s="2">
        <v>43962</v>
      </c>
      <c r="E3001" s="3">
        <v>250000</v>
      </c>
      <c r="F3001" t="s">
        <v>312</v>
      </c>
      <c r="G3001" t="s">
        <v>313</v>
      </c>
      <c r="H3001" t="s">
        <v>314</v>
      </c>
      <c r="I3001" s="6" t="s">
        <v>1211</v>
      </c>
      <c r="J3001" s="59" t="s">
        <v>22</v>
      </c>
      <c r="L3001" s="5" t="str">
        <f t="shared" si="1062"/>
        <v>03000</v>
      </c>
      <c r="M3001" s="46" t="str">
        <f t="shared" si="1063"/>
        <v>11 de mayo de 2020</v>
      </c>
      <c r="N3001" s="318">
        <f t="shared" si="1064"/>
        <v>11</v>
      </c>
      <c r="O3001" s="24">
        <f t="shared" si="1065"/>
        <v>43952</v>
      </c>
      <c r="P3001" s="5" t="str">
        <f t="shared" si="1066"/>
        <v>250.000,00</v>
      </c>
      <c r="Q3001" s="4" t="e">
        <f t="shared" ca="1" si="1077"/>
        <v>#NAME?</v>
      </c>
    </row>
    <row r="3002" spans="1:17">
      <c r="A3002" s="1">
        <f t="shared" ref="A3002:A3007" si="1081">A3001+1</f>
        <v>3001</v>
      </c>
      <c r="C3002" s="8" t="s">
        <v>17</v>
      </c>
      <c r="D3002" s="2">
        <v>43962</v>
      </c>
      <c r="E3002" s="3">
        <v>50000</v>
      </c>
      <c r="F3002" t="s">
        <v>312</v>
      </c>
      <c r="G3002" t="s">
        <v>1222</v>
      </c>
      <c r="H3002" t="s">
        <v>314</v>
      </c>
      <c r="I3002" s="6" t="s">
        <v>1217</v>
      </c>
      <c r="J3002" s="59" t="s">
        <v>1218</v>
      </c>
      <c r="L3002" s="5" t="str">
        <f t="shared" si="1062"/>
        <v>03001</v>
      </c>
      <c r="M3002" s="46" t="str">
        <f t="shared" si="1063"/>
        <v>11 de mayo de 2020</v>
      </c>
      <c r="N3002" s="318">
        <f t="shared" si="1064"/>
        <v>11</v>
      </c>
      <c r="O3002" s="24">
        <f t="shared" si="1065"/>
        <v>43952</v>
      </c>
      <c r="P3002" s="5" t="str">
        <f t="shared" si="1066"/>
        <v>50.000,00</v>
      </c>
      <c r="Q3002" s="4" t="e">
        <f t="shared" ca="1" si="1077"/>
        <v>#NAME?</v>
      </c>
    </row>
    <row r="3003" spans="1:17">
      <c r="A3003" s="600">
        <f t="shared" si="1081"/>
        <v>3002</v>
      </c>
      <c r="C3003" s="8" t="s">
        <v>17</v>
      </c>
      <c r="D3003" s="2">
        <v>43962</v>
      </c>
      <c r="E3003" s="3">
        <v>250000</v>
      </c>
      <c r="F3003" t="s">
        <v>243</v>
      </c>
      <c r="G3003" t="s">
        <v>244</v>
      </c>
      <c r="H3003" t="s">
        <v>245</v>
      </c>
      <c r="I3003" s="6" t="s">
        <v>1211</v>
      </c>
      <c r="J3003" s="59" t="s">
        <v>22</v>
      </c>
      <c r="L3003" s="5" t="str">
        <f t="shared" si="1062"/>
        <v>03002</v>
      </c>
      <c r="M3003" s="46" t="str">
        <f t="shared" si="1063"/>
        <v>11 de mayo de 2020</v>
      </c>
      <c r="N3003" s="318">
        <f t="shared" si="1064"/>
        <v>11</v>
      </c>
      <c r="O3003" s="24">
        <f t="shared" si="1065"/>
        <v>43952</v>
      </c>
      <c r="P3003" s="5" t="str">
        <f t="shared" si="1066"/>
        <v>250.000,00</v>
      </c>
      <c r="Q3003" s="4" t="e">
        <f t="shared" ca="1" si="1077"/>
        <v>#NAME?</v>
      </c>
    </row>
    <row r="3004" spans="1:17">
      <c r="A3004" s="600">
        <f t="shared" si="1081"/>
        <v>3003</v>
      </c>
      <c r="C3004" s="8" t="s">
        <v>17</v>
      </c>
      <c r="D3004" s="2">
        <v>43962</v>
      </c>
      <c r="E3004" s="3">
        <v>50000</v>
      </c>
      <c r="F3004" t="s">
        <v>243</v>
      </c>
      <c r="G3004" t="s">
        <v>244</v>
      </c>
      <c r="H3004" t="s">
        <v>245</v>
      </c>
      <c r="I3004" s="6" t="s">
        <v>1217</v>
      </c>
      <c r="J3004" s="59" t="s">
        <v>1218</v>
      </c>
      <c r="L3004" s="5" t="str">
        <f t="shared" si="1062"/>
        <v>03003</v>
      </c>
      <c r="M3004" s="46" t="str">
        <f t="shared" si="1063"/>
        <v>11 de mayo de 2020</v>
      </c>
      <c r="N3004" s="318">
        <f t="shared" si="1064"/>
        <v>11</v>
      </c>
      <c r="O3004" s="24">
        <f t="shared" si="1065"/>
        <v>43952</v>
      </c>
      <c r="P3004" s="5" t="str">
        <f t="shared" si="1066"/>
        <v>50.000,00</v>
      </c>
      <c r="Q3004" s="4" t="e">
        <f t="shared" ca="1" si="1077"/>
        <v>#NAME?</v>
      </c>
    </row>
    <row r="3005" spans="1:17">
      <c r="A3005" s="1">
        <f t="shared" si="1081"/>
        <v>3004</v>
      </c>
      <c r="C3005" s="8" t="s">
        <v>17</v>
      </c>
      <c r="D3005" s="2">
        <v>43962</v>
      </c>
      <c r="E3005" s="3">
        <v>250000</v>
      </c>
      <c r="F3005" t="s">
        <v>239</v>
      </c>
      <c r="G3005" s="609" t="s">
        <v>240</v>
      </c>
      <c r="H3005" t="s">
        <v>241</v>
      </c>
      <c r="I3005" s="6" t="s">
        <v>1211</v>
      </c>
      <c r="J3005" s="59" t="s">
        <v>22</v>
      </c>
      <c r="L3005" s="5" t="str">
        <f t="shared" si="1062"/>
        <v>03004</v>
      </c>
      <c r="M3005" s="46" t="str">
        <f t="shared" si="1063"/>
        <v>11 de mayo de 2020</v>
      </c>
      <c r="N3005" s="318">
        <f t="shared" si="1064"/>
        <v>11</v>
      </c>
      <c r="O3005" s="24">
        <f t="shared" si="1065"/>
        <v>43952</v>
      </c>
      <c r="P3005" s="5" t="str">
        <f t="shared" si="1066"/>
        <v>250.000,00</v>
      </c>
      <c r="Q3005" s="4" t="e">
        <f t="shared" ca="1" si="1077"/>
        <v>#NAME?</v>
      </c>
    </row>
    <row r="3006" spans="1:17">
      <c r="A3006" s="1">
        <f t="shared" si="1081"/>
        <v>3005</v>
      </c>
      <c r="C3006" s="8" t="s">
        <v>17</v>
      </c>
      <c r="D3006" s="2">
        <v>43962</v>
      </c>
      <c r="E3006" s="3">
        <v>50000</v>
      </c>
      <c r="F3006" t="s">
        <v>239</v>
      </c>
      <c r="G3006" s="609" t="s">
        <v>240</v>
      </c>
      <c r="H3006" t="s">
        <v>241</v>
      </c>
      <c r="I3006" s="6" t="s">
        <v>1217</v>
      </c>
      <c r="J3006" s="59" t="s">
        <v>1218</v>
      </c>
      <c r="L3006" s="5" t="str">
        <f t="shared" ref="L3006:L3012" si="1082">IF(ISBLANK(A3006),"",TEXT(A3006,"00000"))</f>
        <v>03005</v>
      </c>
      <c r="M3006" s="46" t="str">
        <f t="shared" ref="M3006:M3012" si="1083">IF(ISBLANK(D3006),"",TEXT(D3006,"dd")&amp;" de "&amp;TEXT(D3006,"mmmm")&amp;" de "&amp;TEXT(YEAR(D3006),"0"))</f>
        <v>11 de mayo de 2020</v>
      </c>
      <c r="N3006" s="318">
        <f t="shared" ref="N3006:N3012" si="1084">DAY(D3006)</f>
        <v>11</v>
      </c>
      <c r="O3006" s="24">
        <f t="shared" ref="O3006:O3012" si="1085">DATE(YEAR(D3006),MONTH(D3006),1)</f>
        <v>43952</v>
      </c>
      <c r="P3006" s="5" t="str">
        <f t="shared" ref="P3006:P3012" si="1086">TEXT(E3006,"#.##0,00")</f>
        <v>50.000,00</v>
      </c>
      <c r="Q3006" s="4" t="e">
        <f t="shared" ref="Q3006:Q3012" ca="1" si="1087">CONVERTIRNUM(E3006)</f>
        <v>#NAME?</v>
      </c>
    </row>
    <row r="3007" spans="1:17">
      <c r="A3007" s="600">
        <f t="shared" si="1081"/>
        <v>3006</v>
      </c>
      <c r="C3007" s="8" t="s">
        <v>17</v>
      </c>
      <c r="D3007" s="2">
        <v>43962</v>
      </c>
      <c r="E3007" s="3">
        <v>50000</v>
      </c>
      <c r="F3007" t="s">
        <v>1174</v>
      </c>
      <c r="G3007" t="s">
        <v>1175</v>
      </c>
      <c r="H3007" t="s">
        <v>187</v>
      </c>
      <c r="I3007" s="6" t="s">
        <v>1217</v>
      </c>
      <c r="J3007" s="59" t="s">
        <v>1218</v>
      </c>
      <c r="L3007" s="5" t="str">
        <f t="shared" si="1082"/>
        <v>03006</v>
      </c>
      <c r="M3007" s="46" t="str">
        <f t="shared" si="1083"/>
        <v>11 de mayo de 2020</v>
      </c>
      <c r="N3007" s="318">
        <f t="shared" si="1084"/>
        <v>11</v>
      </c>
      <c r="O3007" s="24">
        <f t="shared" si="1085"/>
        <v>43952</v>
      </c>
      <c r="P3007" s="5" t="str">
        <f t="shared" si="1086"/>
        <v>50.000,00</v>
      </c>
      <c r="Q3007" s="4" t="e">
        <f t="shared" ca="1" si="1087"/>
        <v>#NAME?</v>
      </c>
    </row>
    <row r="3008" spans="1:17">
      <c r="A3008" s="1">
        <f t="shared" ref="A3008:A3010" si="1088">A3007+1</f>
        <v>3007</v>
      </c>
      <c r="C3008" s="8" t="s">
        <v>17</v>
      </c>
      <c r="D3008" s="2">
        <v>43963</v>
      </c>
      <c r="E3008" s="3">
        <v>250000</v>
      </c>
      <c r="F3008" t="s">
        <v>284</v>
      </c>
      <c r="G3008" t="s">
        <v>687</v>
      </c>
      <c r="H3008" t="s">
        <v>285</v>
      </c>
      <c r="I3008" s="6" t="s">
        <v>1211</v>
      </c>
      <c r="J3008" s="59" t="s">
        <v>22</v>
      </c>
      <c r="L3008" s="5" t="str">
        <f t="shared" si="1082"/>
        <v>03007</v>
      </c>
      <c r="M3008" s="46" t="str">
        <f t="shared" si="1083"/>
        <v>12 de mayo de 2020</v>
      </c>
      <c r="N3008" s="318">
        <f t="shared" si="1084"/>
        <v>12</v>
      </c>
      <c r="O3008" s="24">
        <f t="shared" si="1085"/>
        <v>43952</v>
      </c>
      <c r="P3008" s="5" t="str">
        <f t="shared" si="1086"/>
        <v>250.000,00</v>
      </c>
      <c r="Q3008" s="4" t="e">
        <f t="shared" ca="1" si="1087"/>
        <v>#NAME?</v>
      </c>
    </row>
    <row r="3009" spans="1:17">
      <c r="A3009" s="1">
        <f t="shared" si="1088"/>
        <v>3008</v>
      </c>
      <c r="C3009" s="8" t="s">
        <v>17</v>
      </c>
      <c r="D3009" s="2">
        <v>43963</v>
      </c>
      <c r="E3009" s="3">
        <v>50000</v>
      </c>
      <c r="F3009" t="s">
        <v>284</v>
      </c>
      <c r="G3009" t="s">
        <v>687</v>
      </c>
      <c r="H3009" t="s">
        <v>285</v>
      </c>
      <c r="I3009" s="6" t="s">
        <v>1217</v>
      </c>
      <c r="J3009" s="59" t="s">
        <v>1218</v>
      </c>
      <c r="L3009" s="5" t="str">
        <f t="shared" si="1082"/>
        <v>03008</v>
      </c>
      <c r="M3009" s="46" t="str">
        <f t="shared" si="1083"/>
        <v>12 de mayo de 2020</v>
      </c>
      <c r="N3009" s="318">
        <f t="shared" si="1084"/>
        <v>12</v>
      </c>
      <c r="O3009" s="24">
        <f t="shared" si="1085"/>
        <v>43952</v>
      </c>
      <c r="P3009" s="5" t="str">
        <f t="shared" si="1086"/>
        <v>50.000,00</v>
      </c>
      <c r="Q3009" s="4" t="e">
        <f t="shared" ca="1" si="1087"/>
        <v>#NAME?</v>
      </c>
    </row>
    <row r="3010" spans="1:17">
      <c r="A3010" s="1">
        <f t="shared" si="1088"/>
        <v>3009</v>
      </c>
      <c r="C3010" s="8" t="s">
        <v>17</v>
      </c>
      <c r="D3010" s="2">
        <v>43963</v>
      </c>
      <c r="E3010" s="3">
        <v>350000</v>
      </c>
      <c r="F3010" t="s">
        <v>417</v>
      </c>
      <c r="G3010" t="s">
        <v>418</v>
      </c>
      <c r="H3010" t="s">
        <v>419</v>
      </c>
      <c r="I3010" s="6" t="s">
        <v>1223</v>
      </c>
      <c r="J3010" s="59" t="s">
        <v>22</v>
      </c>
      <c r="L3010" s="5" t="str">
        <f t="shared" si="1082"/>
        <v>03009</v>
      </c>
      <c r="M3010" s="46" t="str">
        <f t="shared" si="1083"/>
        <v>12 de mayo de 2020</v>
      </c>
      <c r="N3010" s="318">
        <f t="shared" si="1084"/>
        <v>12</v>
      </c>
      <c r="O3010" s="24">
        <f t="shared" si="1085"/>
        <v>43952</v>
      </c>
      <c r="P3010" s="5" t="str">
        <f t="shared" si="1086"/>
        <v>350.000,00</v>
      </c>
      <c r="Q3010" s="4" t="e">
        <f t="shared" ca="1" si="1087"/>
        <v>#NAME?</v>
      </c>
    </row>
    <row r="3011" spans="1:17">
      <c r="A3011" s="1">
        <f>A3010+1</f>
        <v>3010</v>
      </c>
      <c r="C3011" s="8" t="s">
        <v>17</v>
      </c>
      <c r="D3011" s="2">
        <v>43963</v>
      </c>
      <c r="E3011" s="3">
        <v>50000</v>
      </c>
      <c r="F3011" t="s">
        <v>417</v>
      </c>
      <c r="G3011" t="s">
        <v>418</v>
      </c>
      <c r="H3011" t="s">
        <v>419</v>
      </c>
      <c r="I3011" s="6" t="s">
        <v>1217</v>
      </c>
      <c r="J3011" s="59" t="s">
        <v>1218</v>
      </c>
      <c r="L3011" s="5" t="str">
        <f t="shared" si="1082"/>
        <v>03010</v>
      </c>
      <c r="M3011" s="46" t="str">
        <f t="shared" si="1083"/>
        <v>12 de mayo de 2020</v>
      </c>
      <c r="N3011" s="318">
        <f t="shared" si="1084"/>
        <v>12</v>
      </c>
      <c r="O3011" s="24">
        <f t="shared" si="1085"/>
        <v>43952</v>
      </c>
      <c r="P3011" s="5" t="str">
        <f t="shared" si="1086"/>
        <v>50.000,00</v>
      </c>
      <c r="Q3011" s="4" t="e">
        <f t="shared" ca="1" si="1087"/>
        <v>#NAME?</v>
      </c>
    </row>
    <row r="3012" spans="1:17">
      <c r="A3012" s="1">
        <f>A3011+1</f>
        <v>3011</v>
      </c>
      <c r="C3012" s="8" t="s">
        <v>17</v>
      </c>
      <c r="D3012" s="2">
        <v>43963</v>
      </c>
      <c r="E3012" s="160">
        <v>50000</v>
      </c>
      <c r="F3012" t="s">
        <v>130</v>
      </c>
      <c r="G3012" t="s">
        <v>1055</v>
      </c>
      <c r="H3012" t="s">
        <v>132</v>
      </c>
      <c r="I3012" s="6" t="s">
        <v>1217</v>
      </c>
      <c r="J3012" s="59" t="s">
        <v>1218</v>
      </c>
      <c r="L3012" s="5" t="str">
        <f t="shared" si="1082"/>
        <v>03011</v>
      </c>
      <c r="M3012" s="46" t="str">
        <f t="shared" si="1083"/>
        <v>12 de mayo de 2020</v>
      </c>
      <c r="N3012" s="318">
        <f t="shared" si="1084"/>
        <v>12</v>
      </c>
      <c r="O3012" s="24">
        <f t="shared" si="1085"/>
        <v>43952</v>
      </c>
      <c r="P3012" s="5" t="str">
        <f t="shared" si="1086"/>
        <v>50.000,00</v>
      </c>
      <c r="Q3012" s="4" t="e">
        <f t="shared" ca="1" si="1087"/>
        <v>#NAME?</v>
      </c>
    </row>
    <row r="3013" spans="1:17">
      <c r="A3013" s="1">
        <f t="shared" ref="A3013" si="1089">A3012+1</f>
        <v>3012</v>
      </c>
      <c r="C3013" s="8" t="s">
        <v>17</v>
      </c>
      <c r="D3013" s="2">
        <v>43962</v>
      </c>
      <c r="E3013" s="3">
        <v>20000</v>
      </c>
      <c r="F3013" t="s">
        <v>28</v>
      </c>
      <c r="G3013" t="s">
        <v>716</v>
      </c>
      <c r="H3013" t="s">
        <v>30</v>
      </c>
      <c r="I3013" s="6" t="s">
        <v>1217</v>
      </c>
      <c r="J3013" s="59" t="s">
        <v>1218</v>
      </c>
      <c r="L3013" s="5" t="str">
        <f t="shared" ref="L3013:L3022" si="1090">IF(ISBLANK(A3013),"",TEXT(A3013,"00000"))</f>
        <v>03012</v>
      </c>
      <c r="M3013" s="46" t="str">
        <f t="shared" ref="M3013:M3022" si="1091">IF(ISBLANK(D3013),"",TEXT(D3013,"dd")&amp;" de "&amp;TEXT(D3013,"mmmm")&amp;" de "&amp;TEXT(YEAR(D3013),"0"))</f>
        <v>11 de mayo de 2020</v>
      </c>
      <c r="N3013" s="318">
        <f t="shared" ref="N3013:N3022" si="1092">DAY(D3013)</f>
        <v>11</v>
      </c>
      <c r="O3013" s="24">
        <f t="shared" ref="O3013:O3022" si="1093">DATE(YEAR(D3013),MONTH(D3013),1)</f>
        <v>43952</v>
      </c>
      <c r="P3013" s="5" t="str">
        <f t="shared" ref="P3013:P3022" si="1094">TEXT(E3013,"#.##0,00")</f>
        <v>20.000,00</v>
      </c>
      <c r="Q3013" s="4" t="e">
        <f t="shared" ref="Q3013:Q3022" ca="1" si="1095">CONVERTIRNUM(E3013)</f>
        <v>#NAME?</v>
      </c>
    </row>
    <row r="3014" spans="1:17">
      <c r="A3014" s="600">
        <f>A3013+1</f>
        <v>3013</v>
      </c>
      <c r="C3014" s="8" t="s">
        <v>17</v>
      </c>
      <c r="D3014" s="2">
        <v>43964</v>
      </c>
      <c r="E3014" s="3">
        <v>250000</v>
      </c>
      <c r="F3014" t="s">
        <v>454</v>
      </c>
      <c r="G3014" t="s">
        <v>761</v>
      </c>
      <c r="H3014" t="s">
        <v>455</v>
      </c>
      <c r="I3014" s="6" t="s">
        <v>1211</v>
      </c>
      <c r="J3014" s="59" t="s">
        <v>22</v>
      </c>
      <c r="L3014" s="5" t="str">
        <f t="shared" si="1090"/>
        <v>03013</v>
      </c>
      <c r="M3014" s="46" t="str">
        <f t="shared" si="1091"/>
        <v>13 de mayo de 2020</v>
      </c>
      <c r="N3014" s="318">
        <f t="shared" si="1092"/>
        <v>13</v>
      </c>
      <c r="O3014" s="24">
        <f t="shared" si="1093"/>
        <v>43952</v>
      </c>
      <c r="P3014" s="5" t="str">
        <f t="shared" si="1094"/>
        <v>250.000,00</v>
      </c>
      <c r="Q3014" s="4" t="e">
        <f t="shared" ca="1" si="1095"/>
        <v>#NAME?</v>
      </c>
    </row>
    <row r="3015" spans="1:17">
      <c r="A3015" s="600">
        <f>A3014+1</f>
        <v>3014</v>
      </c>
      <c r="C3015" s="8" t="s">
        <v>17</v>
      </c>
      <c r="D3015" s="2">
        <v>43964</v>
      </c>
      <c r="E3015" s="3">
        <v>50000</v>
      </c>
      <c r="F3015" t="s">
        <v>454</v>
      </c>
      <c r="G3015" t="s">
        <v>761</v>
      </c>
      <c r="H3015" t="s">
        <v>455</v>
      </c>
      <c r="I3015" s="6" t="s">
        <v>1217</v>
      </c>
      <c r="J3015" s="59" t="s">
        <v>1218</v>
      </c>
      <c r="L3015" s="5" t="str">
        <f t="shared" si="1090"/>
        <v>03014</v>
      </c>
      <c r="M3015" s="46" t="str">
        <f t="shared" si="1091"/>
        <v>13 de mayo de 2020</v>
      </c>
      <c r="N3015" s="318">
        <f t="shared" si="1092"/>
        <v>13</v>
      </c>
      <c r="O3015" s="24">
        <f t="shared" si="1093"/>
        <v>43952</v>
      </c>
      <c r="P3015" s="5" t="str">
        <f t="shared" si="1094"/>
        <v>50.000,00</v>
      </c>
      <c r="Q3015" s="4" t="e">
        <f t="shared" ca="1" si="1095"/>
        <v>#NAME?</v>
      </c>
    </row>
    <row r="3016" spans="1:17">
      <c r="A3016" s="1">
        <f>A3015+1</f>
        <v>3015</v>
      </c>
      <c r="C3016" s="8" t="s">
        <v>17</v>
      </c>
      <c r="D3016" s="2">
        <v>43958</v>
      </c>
      <c r="E3016" s="3">
        <v>250000</v>
      </c>
      <c r="F3016" t="s">
        <v>844</v>
      </c>
      <c r="G3016" t="s">
        <v>845</v>
      </c>
      <c r="H3016" t="s">
        <v>169</v>
      </c>
      <c r="I3016" s="6" t="s">
        <v>1211</v>
      </c>
      <c r="J3016" s="59" t="s">
        <v>22</v>
      </c>
      <c r="L3016" s="5" t="str">
        <f t="shared" si="1090"/>
        <v>03015</v>
      </c>
      <c r="M3016" s="46" t="str">
        <f t="shared" si="1091"/>
        <v>07 de mayo de 2020</v>
      </c>
      <c r="N3016" s="318">
        <f t="shared" si="1092"/>
        <v>7</v>
      </c>
      <c r="O3016" s="24">
        <f t="shared" si="1093"/>
        <v>43952</v>
      </c>
      <c r="P3016" s="5" t="str">
        <f t="shared" si="1094"/>
        <v>250.000,00</v>
      </c>
      <c r="Q3016" s="4" t="e">
        <f t="shared" ca="1" si="1095"/>
        <v>#NAME?</v>
      </c>
    </row>
    <row r="3017" spans="1:17">
      <c r="A3017" s="1">
        <f>A3016+1</f>
        <v>3016</v>
      </c>
      <c r="C3017" s="8" t="s">
        <v>17</v>
      </c>
      <c r="D3017" s="2">
        <v>43964</v>
      </c>
      <c r="E3017" s="3">
        <v>300000</v>
      </c>
      <c r="F3017" t="s">
        <v>53</v>
      </c>
      <c r="G3017" t="s">
        <v>677</v>
      </c>
      <c r="H3017" t="s">
        <v>55</v>
      </c>
      <c r="I3017" s="6" t="s">
        <v>1211</v>
      </c>
      <c r="J3017" s="59" t="s">
        <v>22</v>
      </c>
      <c r="L3017" s="5" t="str">
        <f t="shared" si="1090"/>
        <v>03016</v>
      </c>
      <c r="M3017" s="46" t="str">
        <f t="shared" si="1091"/>
        <v>13 de mayo de 2020</v>
      </c>
      <c r="N3017" s="318">
        <f t="shared" si="1092"/>
        <v>13</v>
      </c>
      <c r="O3017" s="24">
        <f t="shared" si="1093"/>
        <v>43952</v>
      </c>
      <c r="P3017" s="5" t="str">
        <f t="shared" si="1094"/>
        <v>300.000,00</v>
      </c>
      <c r="Q3017" s="4" t="e">
        <f t="shared" ca="1" si="1095"/>
        <v>#NAME?</v>
      </c>
    </row>
    <row r="3018" spans="1:17">
      <c r="A3018" s="1">
        <f t="shared" ref="A3018:A3020" si="1096">A3017+1</f>
        <v>3017</v>
      </c>
      <c r="C3018" s="8" t="s">
        <v>17</v>
      </c>
      <c r="D3018" s="2">
        <v>43964</v>
      </c>
      <c r="E3018" s="3">
        <v>50000</v>
      </c>
      <c r="F3018" t="s">
        <v>53</v>
      </c>
      <c r="G3018" t="s">
        <v>677</v>
      </c>
      <c r="H3018" t="s">
        <v>55</v>
      </c>
      <c r="I3018" s="6" t="s">
        <v>1217</v>
      </c>
      <c r="J3018" s="59" t="s">
        <v>1218</v>
      </c>
      <c r="L3018" s="5" t="str">
        <f t="shared" si="1090"/>
        <v>03017</v>
      </c>
      <c r="M3018" s="46" t="str">
        <f t="shared" si="1091"/>
        <v>13 de mayo de 2020</v>
      </c>
      <c r="N3018" s="318">
        <f t="shared" si="1092"/>
        <v>13</v>
      </c>
      <c r="O3018" s="24">
        <f t="shared" si="1093"/>
        <v>43952</v>
      </c>
      <c r="P3018" s="5" t="str">
        <f t="shared" si="1094"/>
        <v>50.000,00</v>
      </c>
      <c r="Q3018" s="4" t="e">
        <f t="shared" ca="1" si="1095"/>
        <v>#NAME?</v>
      </c>
    </row>
    <row r="3019" spans="1:17">
      <c r="A3019" s="1">
        <f t="shared" si="1096"/>
        <v>3018</v>
      </c>
      <c r="C3019" s="8" t="s">
        <v>17</v>
      </c>
      <c r="D3019" s="2">
        <v>43966</v>
      </c>
      <c r="E3019" s="3">
        <v>250000</v>
      </c>
      <c r="F3019" t="s">
        <v>264</v>
      </c>
      <c r="G3019" t="s">
        <v>265</v>
      </c>
      <c r="H3019" t="s">
        <v>266</v>
      </c>
      <c r="I3019" s="6" t="s">
        <v>1211</v>
      </c>
      <c r="J3019" s="59" t="s">
        <v>22</v>
      </c>
      <c r="L3019" s="5" t="str">
        <f t="shared" si="1090"/>
        <v>03018</v>
      </c>
      <c r="M3019" s="46" t="str">
        <f t="shared" si="1091"/>
        <v>15 de mayo de 2020</v>
      </c>
      <c r="N3019" s="318">
        <f t="shared" si="1092"/>
        <v>15</v>
      </c>
      <c r="O3019" s="24">
        <f t="shared" si="1093"/>
        <v>43952</v>
      </c>
      <c r="P3019" s="5" t="str">
        <f t="shared" si="1094"/>
        <v>250.000,00</v>
      </c>
      <c r="Q3019" s="4" t="e">
        <f t="shared" ca="1" si="1095"/>
        <v>#NAME?</v>
      </c>
    </row>
    <row r="3020" spans="1:17">
      <c r="A3020" s="1">
        <f t="shared" si="1096"/>
        <v>3019</v>
      </c>
      <c r="C3020" s="8" t="s">
        <v>17</v>
      </c>
      <c r="D3020" s="2">
        <v>43966</v>
      </c>
      <c r="E3020" s="3">
        <v>50000</v>
      </c>
      <c r="F3020" t="s">
        <v>264</v>
      </c>
      <c r="G3020" t="s">
        <v>265</v>
      </c>
      <c r="H3020" t="s">
        <v>266</v>
      </c>
      <c r="I3020" s="6" t="s">
        <v>1217</v>
      </c>
      <c r="J3020" s="59" t="s">
        <v>1218</v>
      </c>
      <c r="L3020" s="5" t="str">
        <f t="shared" si="1090"/>
        <v>03019</v>
      </c>
      <c r="M3020" s="46" t="str">
        <f t="shared" si="1091"/>
        <v>15 de mayo de 2020</v>
      </c>
      <c r="N3020" s="318">
        <f t="shared" si="1092"/>
        <v>15</v>
      </c>
      <c r="O3020" s="24">
        <f t="shared" si="1093"/>
        <v>43952</v>
      </c>
      <c r="P3020" s="5" t="str">
        <f t="shared" si="1094"/>
        <v>50.000,00</v>
      </c>
      <c r="Q3020" s="4" t="e">
        <f t="shared" ca="1" si="1095"/>
        <v>#NAME?</v>
      </c>
    </row>
    <row r="3021" spans="1:17">
      <c r="A3021" s="1">
        <f t="shared" ref="A3021:A3044" si="1097">A3020+1</f>
        <v>3020</v>
      </c>
      <c r="C3021" s="8" t="s">
        <v>17</v>
      </c>
      <c r="D3021" s="2">
        <v>43966</v>
      </c>
      <c r="E3021" s="3">
        <v>250000</v>
      </c>
      <c r="F3021" t="s">
        <v>337</v>
      </c>
      <c r="G3021" t="s">
        <v>338</v>
      </c>
      <c r="H3021" t="s">
        <v>339</v>
      </c>
      <c r="I3021" s="6" t="s">
        <v>1211</v>
      </c>
      <c r="J3021" s="59" t="s">
        <v>22</v>
      </c>
      <c r="L3021" s="5" t="str">
        <f t="shared" si="1090"/>
        <v>03020</v>
      </c>
      <c r="M3021" s="46" t="str">
        <f t="shared" si="1091"/>
        <v>15 de mayo de 2020</v>
      </c>
      <c r="N3021" s="318">
        <f t="shared" si="1092"/>
        <v>15</v>
      </c>
      <c r="O3021" s="24">
        <f t="shared" si="1093"/>
        <v>43952</v>
      </c>
      <c r="P3021" s="5" t="str">
        <f t="shared" si="1094"/>
        <v>250.000,00</v>
      </c>
      <c r="Q3021" s="4" t="e">
        <f t="shared" ca="1" si="1095"/>
        <v>#NAME?</v>
      </c>
    </row>
    <row r="3022" spans="1:17">
      <c r="A3022" s="1">
        <f t="shared" si="1097"/>
        <v>3021</v>
      </c>
      <c r="C3022" s="8" t="s">
        <v>17</v>
      </c>
      <c r="D3022" s="2">
        <v>43966</v>
      </c>
      <c r="E3022" s="3">
        <v>50000</v>
      </c>
      <c r="F3022" t="s">
        <v>337</v>
      </c>
      <c r="G3022" t="s">
        <v>338</v>
      </c>
      <c r="H3022" t="s">
        <v>339</v>
      </c>
      <c r="I3022" s="6" t="s">
        <v>1217</v>
      </c>
      <c r="J3022" s="59" t="s">
        <v>1218</v>
      </c>
      <c r="L3022" s="5" t="str">
        <f t="shared" si="1090"/>
        <v>03021</v>
      </c>
      <c r="M3022" s="46" t="str">
        <f t="shared" si="1091"/>
        <v>15 de mayo de 2020</v>
      </c>
      <c r="N3022" s="318">
        <f t="shared" si="1092"/>
        <v>15</v>
      </c>
      <c r="O3022" s="24">
        <f t="shared" si="1093"/>
        <v>43952</v>
      </c>
      <c r="P3022" s="5" t="str">
        <f t="shared" si="1094"/>
        <v>50.000,00</v>
      </c>
      <c r="Q3022" s="4" t="e">
        <f t="shared" ca="1" si="1095"/>
        <v>#NAME?</v>
      </c>
    </row>
    <row r="3023" spans="1:17">
      <c r="A3023" s="1">
        <f t="shared" si="1097"/>
        <v>3022</v>
      </c>
      <c r="C3023" s="8" t="s">
        <v>225</v>
      </c>
      <c r="D3023" s="2">
        <v>43966</v>
      </c>
      <c r="E3023" s="3">
        <v>300000</v>
      </c>
      <c r="F3023" t="s">
        <v>337</v>
      </c>
      <c r="G3023" t="s">
        <v>338</v>
      </c>
      <c r="H3023" t="s">
        <v>339</v>
      </c>
      <c r="I3023" s="6" t="s">
        <v>1224</v>
      </c>
      <c r="J3023" s="59" t="s">
        <v>426</v>
      </c>
      <c r="L3023" s="5" t="str">
        <f t="shared" ref="L3023:L3024" si="1098">IF(ISBLANK(A3023),"",TEXT(A3023,"00000"))</f>
        <v>03022</v>
      </c>
      <c r="M3023" s="46" t="str">
        <f t="shared" ref="M3023:M3024" si="1099">IF(ISBLANK(D3023),"",TEXT(D3023,"dd")&amp;" de "&amp;TEXT(D3023,"mmmm")&amp;" de "&amp;TEXT(YEAR(D3023),"0"))</f>
        <v>15 de mayo de 2020</v>
      </c>
      <c r="N3023" s="318">
        <f t="shared" ref="N3023:N3024" si="1100">DAY(D3023)</f>
        <v>15</v>
      </c>
      <c r="O3023" s="24">
        <f t="shared" ref="O3023:O3024" si="1101">DATE(YEAR(D3023),MONTH(D3023),1)</f>
        <v>43952</v>
      </c>
      <c r="P3023" s="5" t="str">
        <f t="shared" ref="P3023:P3024" si="1102">TEXT(E3023,"#.##0,00")</f>
        <v>300.000,00</v>
      </c>
      <c r="Q3023" s="4" t="e">
        <f t="shared" ref="Q3023:Q3024" ca="1" si="1103">CONVERTIRNUM(E3023)</f>
        <v>#NAME?</v>
      </c>
    </row>
    <row r="3024" spans="1:17">
      <c r="A3024" s="1">
        <f>A3023+1</f>
        <v>3023</v>
      </c>
      <c r="C3024" s="8" t="s">
        <v>17</v>
      </c>
      <c r="D3024" s="2">
        <v>43966</v>
      </c>
      <c r="E3024" s="3">
        <v>250000</v>
      </c>
      <c r="F3024" t="s">
        <v>32</v>
      </c>
      <c r="G3024" t="s">
        <v>33</v>
      </c>
      <c r="H3024" t="s">
        <v>34</v>
      </c>
      <c r="I3024" s="6" t="s">
        <v>1176</v>
      </c>
      <c r="J3024" s="59" t="s">
        <v>22</v>
      </c>
      <c r="L3024" s="5" t="str">
        <f t="shared" si="1098"/>
        <v>03023</v>
      </c>
      <c r="M3024" s="46" t="str">
        <f t="shared" si="1099"/>
        <v>15 de mayo de 2020</v>
      </c>
      <c r="N3024" s="318">
        <f t="shared" si="1100"/>
        <v>15</v>
      </c>
      <c r="O3024" s="24">
        <f t="shared" si="1101"/>
        <v>43952</v>
      </c>
      <c r="P3024" s="5" t="str">
        <f t="shared" si="1102"/>
        <v>250.000,00</v>
      </c>
      <c r="Q3024" s="4" t="e">
        <f t="shared" ca="1" si="1103"/>
        <v>#NAME?</v>
      </c>
    </row>
    <row r="3025" spans="1:17">
      <c r="A3025" s="1">
        <f t="shared" si="1097"/>
        <v>3024</v>
      </c>
      <c r="C3025" s="8" t="s">
        <v>17</v>
      </c>
      <c r="D3025" s="2">
        <v>43966</v>
      </c>
      <c r="E3025" s="3">
        <v>50000</v>
      </c>
      <c r="F3025" t="s">
        <v>32</v>
      </c>
      <c r="G3025" t="s">
        <v>33</v>
      </c>
      <c r="H3025" t="s">
        <v>34</v>
      </c>
      <c r="I3025" s="6" t="s">
        <v>1217</v>
      </c>
      <c r="J3025" s="59" t="s">
        <v>1218</v>
      </c>
      <c r="L3025" s="5" t="str">
        <f t="shared" ref="L3025:L3043" si="1104">IF(ISBLANK(A3025),"",TEXT(A3025,"00000"))</f>
        <v>03024</v>
      </c>
      <c r="M3025" s="46" t="str">
        <f t="shared" ref="M3025:M3043" si="1105">IF(ISBLANK(D3025),"",TEXT(D3025,"dd")&amp;" de "&amp;TEXT(D3025,"mmmm")&amp;" de "&amp;TEXT(YEAR(D3025),"0"))</f>
        <v>15 de mayo de 2020</v>
      </c>
      <c r="N3025" s="318">
        <f t="shared" ref="N3025:N3043" si="1106">DAY(D3025)</f>
        <v>15</v>
      </c>
      <c r="O3025" s="24">
        <f t="shared" ref="O3025:O3043" si="1107">DATE(YEAR(D3025),MONTH(D3025),1)</f>
        <v>43952</v>
      </c>
      <c r="P3025" s="5" t="str">
        <f t="shared" ref="P3025:P3043" si="1108">TEXT(E3025,"#.##0,00")</f>
        <v>50.000,00</v>
      </c>
      <c r="Q3025" s="4" t="e">
        <f t="shared" ref="Q3025:Q3043" ca="1" si="1109">CONVERTIRNUM(E3025)</f>
        <v>#NAME?</v>
      </c>
    </row>
    <row r="3026" spans="1:17">
      <c r="A3026" s="1">
        <f>A3025+1</f>
        <v>3025</v>
      </c>
      <c r="C3026" s="8" t="s">
        <v>17</v>
      </c>
      <c r="D3026" s="2">
        <v>43966</v>
      </c>
      <c r="E3026" s="3">
        <v>250000</v>
      </c>
      <c r="F3026" s="146" t="s">
        <v>264</v>
      </c>
      <c r="G3026" s="146" t="s">
        <v>265</v>
      </c>
      <c r="H3026" s="146" t="s">
        <v>266</v>
      </c>
      <c r="I3026" s="6" t="s">
        <v>1212</v>
      </c>
      <c r="J3026" s="59" t="s">
        <v>22</v>
      </c>
      <c r="L3026" s="5" t="str">
        <f t="shared" si="1104"/>
        <v>03025</v>
      </c>
      <c r="M3026" s="46" t="str">
        <f t="shared" si="1105"/>
        <v>15 de mayo de 2020</v>
      </c>
      <c r="N3026" s="318">
        <f t="shared" si="1106"/>
        <v>15</v>
      </c>
      <c r="O3026" s="24">
        <f t="shared" si="1107"/>
        <v>43952</v>
      </c>
      <c r="P3026" s="5" t="str">
        <f t="shared" si="1108"/>
        <v>250.000,00</v>
      </c>
      <c r="Q3026" s="4" t="e">
        <f t="shared" ca="1" si="1109"/>
        <v>#NAME?</v>
      </c>
    </row>
    <row r="3027" spans="1:17">
      <c r="A3027" s="1">
        <f t="shared" si="1097"/>
        <v>3026</v>
      </c>
      <c r="C3027" s="83" t="s">
        <v>17</v>
      </c>
      <c r="D3027" s="2">
        <v>43967</v>
      </c>
      <c r="E3027" s="3">
        <v>50000</v>
      </c>
      <c r="F3027" t="s">
        <v>831</v>
      </c>
      <c r="G3027" t="s">
        <v>832</v>
      </c>
      <c r="H3027" t="s">
        <v>833</v>
      </c>
      <c r="I3027" s="6" t="s">
        <v>1217</v>
      </c>
      <c r="J3027" s="59" t="s">
        <v>1218</v>
      </c>
      <c r="L3027" s="5" t="str">
        <f t="shared" si="1104"/>
        <v>03026</v>
      </c>
      <c r="M3027" s="46" t="str">
        <f t="shared" si="1105"/>
        <v>16 de mayo de 2020</v>
      </c>
      <c r="N3027" s="318">
        <f t="shared" si="1106"/>
        <v>16</v>
      </c>
      <c r="O3027" s="24">
        <f t="shared" si="1107"/>
        <v>43952</v>
      </c>
      <c r="P3027" s="5" t="str">
        <f t="shared" si="1108"/>
        <v>50.000,00</v>
      </c>
      <c r="Q3027" s="4" t="e">
        <f t="shared" ca="1" si="1109"/>
        <v>#NAME?</v>
      </c>
    </row>
    <row r="3028" spans="1:17">
      <c r="A3028" s="1">
        <f t="shared" si="1097"/>
        <v>3027</v>
      </c>
      <c r="B3028" s="8"/>
      <c r="C3028" s="8" t="s">
        <v>17</v>
      </c>
      <c r="D3028" s="2">
        <v>43968</v>
      </c>
      <c r="E3028" s="3">
        <v>250000</v>
      </c>
      <c r="F3028" t="s">
        <v>362</v>
      </c>
      <c r="G3028" t="s">
        <v>363</v>
      </c>
      <c r="H3028" t="s">
        <v>364</v>
      </c>
      <c r="I3028" s="6" t="s">
        <v>1211</v>
      </c>
      <c r="J3028" s="59" t="s">
        <v>22</v>
      </c>
      <c r="L3028" s="5" t="str">
        <f t="shared" si="1104"/>
        <v>03027</v>
      </c>
      <c r="M3028" s="46" t="str">
        <f t="shared" si="1105"/>
        <v>17 de mayo de 2020</v>
      </c>
      <c r="N3028" s="318">
        <f t="shared" si="1106"/>
        <v>17</v>
      </c>
      <c r="O3028" s="24">
        <f t="shared" si="1107"/>
        <v>43952</v>
      </c>
      <c r="P3028" s="5" t="str">
        <f t="shared" si="1108"/>
        <v>250.000,00</v>
      </c>
      <c r="Q3028" s="4" t="e">
        <f t="shared" ca="1" si="1109"/>
        <v>#NAME?</v>
      </c>
    </row>
    <row r="3029" spans="1:17">
      <c r="A3029" s="1">
        <f t="shared" si="1097"/>
        <v>3028</v>
      </c>
      <c r="B3029" s="8"/>
      <c r="C3029" s="8" t="s">
        <v>17</v>
      </c>
      <c r="D3029" s="2">
        <v>43968</v>
      </c>
      <c r="E3029" s="3">
        <v>50000</v>
      </c>
      <c r="F3029" t="s">
        <v>362</v>
      </c>
      <c r="G3029" t="s">
        <v>363</v>
      </c>
      <c r="H3029" t="s">
        <v>364</v>
      </c>
      <c r="I3029" s="6" t="s">
        <v>1217</v>
      </c>
      <c r="J3029" s="59" t="s">
        <v>1218</v>
      </c>
      <c r="L3029" s="5" t="str">
        <f t="shared" si="1104"/>
        <v>03028</v>
      </c>
      <c r="M3029" s="46" t="str">
        <f t="shared" si="1105"/>
        <v>17 de mayo de 2020</v>
      </c>
      <c r="N3029" s="318">
        <f t="shared" si="1106"/>
        <v>17</v>
      </c>
      <c r="O3029" s="24">
        <f t="shared" si="1107"/>
        <v>43952</v>
      </c>
      <c r="P3029" s="5" t="str">
        <f t="shared" si="1108"/>
        <v>50.000,00</v>
      </c>
      <c r="Q3029" s="4" t="e">
        <f t="shared" ca="1" si="1109"/>
        <v>#NAME?</v>
      </c>
    </row>
    <row r="3030" spans="1:17">
      <c r="A3030" s="1">
        <f>A3029+1</f>
        <v>3029</v>
      </c>
      <c r="B3030" s="8"/>
      <c r="C3030" s="83" t="s">
        <v>17</v>
      </c>
      <c r="D3030" s="2">
        <v>43935</v>
      </c>
      <c r="E3030" s="3">
        <v>362500</v>
      </c>
      <c r="F3030" s="22" t="s">
        <v>422</v>
      </c>
      <c r="G3030" s="18" t="s">
        <v>58</v>
      </c>
      <c r="H3030" t="s">
        <v>423</v>
      </c>
      <c r="I3030" s="6" t="s">
        <v>1211</v>
      </c>
      <c r="J3030" s="59" t="s">
        <v>22</v>
      </c>
      <c r="L3030" s="5" t="str">
        <f t="shared" si="1104"/>
        <v>03029</v>
      </c>
      <c r="M3030" s="46" t="str">
        <f t="shared" si="1105"/>
        <v>14 de abril de 2020</v>
      </c>
      <c r="N3030" s="318">
        <f t="shared" si="1106"/>
        <v>14</v>
      </c>
      <c r="O3030" s="24">
        <f t="shared" si="1107"/>
        <v>43922</v>
      </c>
      <c r="P3030" s="5" t="str">
        <f t="shared" si="1108"/>
        <v>362.500,00</v>
      </c>
      <c r="Q3030" s="4" t="e">
        <f t="shared" ca="1" si="1109"/>
        <v>#NAME?</v>
      </c>
    </row>
    <row r="3031" spans="1:17">
      <c r="A3031" s="1">
        <f t="shared" si="1097"/>
        <v>3030</v>
      </c>
      <c r="B3031" s="8"/>
      <c r="C3031" s="83" t="s">
        <v>17</v>
      </c>
      <c r="D3031" s="2">
        <v>43968</v>
      </c>
      <c r="E3031" s="3">
        <v>50000</v>
      </c>
      <c r="F3031" s="22" t="s">
        <v>422</v>
      </c>
      <c r="G3031" s="18" t="s">
        <v>58</v>
      </c>
      <c r="H3031" t="s">
        <v>423</v>
      </c>
      <c r="I3031" s="6" t="s">
        <v>1217</v>
      </c>
      <c r="J3031" s="59" t="s">
        <v>1218</v>
      </c>
      <c r="L3031" s="5" t="str">
        <f t="shared" si="1104"/>
        <v>03030</v>
      </c>
      <c r="M3031" s="46" t="str">
        <f t="shared" si="1105"/>
        <v>17 de mayo de 2020</v>
      </c>
      <c r="N3031" s="318">
        <f t="shared" si="1106"/>
        <v>17</v>
      </c>
      <c r="O3031" s="24">
        <f t="shared" si="1107"/>
        <v>43952</v>
      </c>
      <c r="P3031" s="5" t="str">
        <f t="shared" si="1108"/>
        <v>50.000,00</v>
      </c>
      <c r="Q3031" s="4" t="e">
        <f t="shared" ca="1" si="1109"/>
        <v>#NAME?</v>
      </c>
    </row>
    <row r="3032" spans="1:17">
      <c r="A3032" s="1">
        <f>A3031+1</f>
        <v>3031</v>
      </c>
      <c r="B3032" s="8"/>
      <c r="C3032" s="8" t="s">
        <v>17</v>
      </c>
      <c r="D3032" s="2">
        <v>43968</v>
      </c>
      <c r="E3032" s="3">
        <v>50000</v>
      </c>
      <c r="F3032" t="s">
        <v>114</v>
      </c>
      <c r="G3032" t="s">
        <v>115</v>
      </c>
      <c r="H3032" t="s">
        <v>105</v>
      </c>
      <c r="I3032" s="6" t="s">
        <v>1217</v>
      </c>
      <c r="J3032" s="59" t="s">
        <v>1218</v>
      </c>
      <c r="L3032" s="5" t="str">
        <f t="shared" si="1104"/>
        <v>03031</v>
      </c>
      <c r="M3032" s="46" t="str">
        <f t="shared" si="1105"/>
        <v>17 de mayo de 2020</v>
      </c>
      <c r="N3032" s="318">
        <f t="shared" si="1106"/>
        <v>17</v>
      </c>
      <c r="O3032" s="24">
        <f t="shared" si="1107"/>
        <v>43952</v>
      </c>
      <c r="P3032" s="5" t="str">
        <f t="shared" si="1108"/>
        <v>50.000,00</v>
      </c>
      <c r="Q3032" s="4" t="e">
        <f t="shared" ca="1" si="1109"/>
        <v>#NAME?</v>
      </c>
    </row>
    <row r="3033" spans="1:17">
      <c r="A3033" s="1">
        <f t="shared" si="1097"/>
        <v>3032</v>
      </c>
      <c r="B3033" s="8"/>
      <c r="C3033" s="8" t="s">
        <v>17</v>
      </c>
      <c r="D3033" s="2">
        <v>43968</v>
      </c>
      <c r="E3033" s="3">
        <v>50000</v>
      </c>
      <c r="F3033" t="s">
        <v>324</v>
      </c>
      <c r="G3033" t="s">
        <v>325</v>
      </c>
      <c r="H3033" t="s">
        <v>326</v>
      </c>
      <c r="I3033" s="6" t="s">
        <v>1217</v>
      </c>
      <c r="J3033" s="59" t="s">
        <v>1218</v>
      </c>
      <c r="L3033" s="5" t="str">
        <f t="shared" si="1104"/>
        <v>03032</v>
      </c>
      <c r="M3033" s="46" t="str">
        <f t="shared" si="1105"/>
        <v>17 de mayo de 2020</v>
      </c>
      <c r="N3033" s="318">
        <f t="shared" si="1106"/>
        <v>17</v>
      </c>
      <c r="O3033" s="24">
        <f t="shared" si="1107"/>
        <v>43952</v>
      </c>
      <c r="P3033" s="5" t="str">
        <f t="shared" si="1108"/>
        <v>50.000,00</v>
      </c>
      <c r="Q3033" s="4" t="e">
        <f t="shared" ca="1" si="1109"/>
        <v>#NAME?</v>
      </c>
    </row>
    <row r="3034" spans="1:17" ht="16.5" customHeight="1">
      <c r="A3034" s="1">
        <f>A3033+1</f>
        <v>3033</v>
      </c>
      <c r="B3034" s="8"/>
      <c r="C3034" s="8" t="s">
        <v>17</v>
      </c>
      <c r="D3034" s="2">
        <v>43969</v>
      </c>
      <c r="E3034" s="3">
        <v>250000</v>
      </c>
      <c r="F3034" t="s">
        <v>219</v>
      </c>
      <c r="G3034" t="s">
        <v>220</v>
      </c>
      <c r="H3034" t="s">
        <v>221</v>
      </c>
      <c r="I3034" s="6" t="s">
        <v>1211</v>
      </c>
      <c r="J3034" s="59" t="s">
        <v>22</v>
      </c>
      <c r="L3034" s="5" t="str">
        <f t="shared" si="1104"/>
        <v>03033</v>
      </c>
      <c r="M3034" s="46" t="str">
        <f t="shared" si="1105"/>
        <v>18 de mayo de 2020</v>
      </c>
      <c r="N3034" s="318">
        <f t="shared" si="1106"/>
        <v>18</v>
      </c>
      <c r="O3034" s="24">
        <f t="shared" si="1107"/>
        <v>43952</v>
      </c>
      <c r="P3034" s="5" t="str">
        <f t="shared" si="1108"/>
        <v>250.000,00</v>
      </c>
      <c r="Q3034" s="4" t="e">
        <f t="shared" ca="1" si="1109"/>
        <v>#NAME?</v>
      </c>
    </row>
    <row r="3035" spans="1:17" ht="16.5" customHeight="1">
      <c r="A3035" s="1">
        <f>A3034+1</f>
        <v>3034</v>
      </c>
      <c r="B3035" s="8"/>
      <c r="C3035" s="8" t="s">
        <v>17</v>
      </c>
      <c r="D3035" s="2">
        <v>43969</v>
      </c>
      <c r="E3035" s="3">
        <v>50000</v>
      </c>
      <c r="F3035" t="s">
        <v>219</v>
      </c>
      <c r="G3035" t="s">
        <v>220</v>
      </c>
      <c r="H3035" t="s">
        <v>221</v>
      </c>
      <c r="I3035" s="6" t="s">
        <v>1217</v>
      </c>
      <c r="J3035" s="59" t="s">
        <v>1218</v>
      </c>
      <c r="L3035" s="5" t="str">
        <f t="shared" si="1104"/>
        <v>03034</v>
      </c>
      <c r="M3035" s="46" t="str">
        <f t="shared" si="1105"/>
        <v>18 de mayo de 2020</v>
      </c>
      <c r="N3035" s="318">
        <f t="shared" si="1106"/>
        <v>18</v>
      </c>
      <c r="O3035" s="24">
        <f t="shared" si="1107"/>
        <v>43952</v>
      </c>
      <c r="P3035" s="5" t="str">
        <f t="shared" si="1108"/>
        <v>50.000,00</v>
      </c>
      <c r="Q3035" s="4" t="e">
        <f t="shared" ca="1" si="1109"/>
        <v>#NAME?</v>
      </c>
    </row>
    <row r="3036" spans="1:17">
      <c r="A3036" s="1">
        <f>A3035+1</f>
        <v>3035</v>
      </c>
      <c r="B3036" s="8"/>
      <c r="C3036" s="83" t="s">
        <v>17</v>
      </c>
      <c r="D3036" s="2">
        <v>43969</v>
      </c>
      <c r="E3036" s="3">
        <v>250000</v>
      </c>
      <c r="F3036" t="s">
        <v>319</v>
      </c>
      <c r="G3036" s="18" t="s">
        <v>58</v>
      </c>
      <c r="H3036" t="s">
        <v>320</v>
      </c>
      <c r="I3036" s="6" t="s">
        <v>1211</v>
      </c>
      <c r="J3036" s="59" t="s">
        <v>22</v>
      </c>
      <c r="L3036" s="5" t="str">
        <f t="shared" si="1104"/>
        <v>03035</v>
      </c>
      <c r="M3036" s="46" t="str">
        <f t="shared" si="1105"/>
        <v>18 de mayo de 2020</v>
      </c>
      <c r="N3036" s="318">
        <f t="shared" si="1106"/>
        <v>18</v>
      </c>
      <c r="O3036" s="24">
        <f t="shared" si="1107"/>
        <v>43952</v>
      </c>
      <c r="P3036" s="5" t="str">
        <f t="shared" si="1108"/>
        <v>250.000,00</v>
      </c>
      <c r="Q3036" s="4" t="e">
        <f t="shared" ca="1" si="1109"/>
        <v>#NAME?</v>
      </c>
    </row>
    <row r="3037" spans="1:17">
      <c r="A3037" s="1">
        <f t="shared" si="1097"/>
        <v>3036</v>
      </c>
      <c r="B3037" s="8"/>
      <c r="C3037" s="83" t="s">
        <v>17</v>
      </c>
      <c r="D3037" s="2">
        <v>43969</v>
      </c>
      <c r="E3037" s="3">
        <v>50000</v>
      </c>
      <c r="F3037" t="s">
        <v>319</v>
      </c>
      <c r="G3037" s="18" t="s">
        <v>58</v>
      </c>
      <c r="H3037" t="s">
        <v>320</v>
      </c>
      <c r="I3037" s="6" t="s">
        <v>1217</v>
      </c>
      <c r="J3037" s="59" t="s">
        <v>1218</v>
      </c>
      <c r="L3037" s="5" t="str">
        <f t="shared" si="1104"/>
        <v>03036</v>
      </c>
      <c r="M3037" s="46" t="str">
        <f t="shared" si="1105"/>
        <v>18 de mayo de 2020</v>
      </c>
      <c r="N3037" s="318">
        <f t="shared" si="1106"/>
        <v>18</v>
      </c>
      <c r="O3037" s="24">
        <f t="shared" si="1107"/>
        <v>43952</v>
      </c>
      <c r="P3037" s="5" t="str">
        <f t="shared" si="1108"/>
        <v>50.000,00</v>
      </c>
      <c r="Q3037" s="4" t="e">
        <f t="shared" ca="1" si="1109"/>
        <v>#NAME?</v>
      </c>
    </row>
    <row r="3038" spans="1:17">
      <c r="A3038" s="1">
        <f t="shared" si="1097"/>
        <v>3037</v>
      </c>
      <c r="B3038" s="8"/>
      <c r="C3038" s="8" t="s">
        <v>17</v>
      </c>
      <c r="D3038" s="2">
        <v>43963</v>
      </c>
      <c r="E3038" s="3">
        <v>250000</v>
      </c>
      <c r="F3038" t="s">
        <v>197</v>
      </c>
      <c r="G3038" t="s">
        <v>198</v>
      </c>
      <c r="H3038" t="s">
        <v>199</v>
      </c>
      <c r="I3038" s="6" t="s">
        <v>1211</v>
      </c>
      <c r="J3038" s="59" t="s">
        <v>22</v>
      </c>
      <c r="L3038" s="5" t="str">
        <f t="shared" si="1104"/>
        <v>03037</v>
      </c>
      <c r="M3038" s="46" t="str">
        <f t="shared" si="1105"/>
        <v>12 de mayo de 2020</v>
      </c>
      <c r="N3038" s="318">
        <f t="shared" si="1106"/>
        <v>12</v>
      </c>
      <c r="O3038" s="24">
        <f t="shared" si="1107"/>
        <v>43952</v>
      </c>
      <c r="P3038" s="5" t="str">
        <f t="shared" si="1108"/>
        <v>250.000,00</v>
      </c>
      <c r="Q3038" s="4" t="e">
        <f t="shared" ca="1" si="1109"/>
        <v>#NAME?</v>
      </c>
    </row>
    <row r="3039" spans="1:17">
      <c r="A3039" s="1">
        <f t="shared" si="1097"/>
        <v>3038</v>
      </c>
      <c r="B3039" s="8"/>
      <c r="C3039" s="8" t="s">
        <v>17</v>
      </c>
      <c r="D3039" s="2">
        <v>43963</v>
      </c>
      <c r="E3039" s="3">
        <v>50000</v>
      </c>
      <c r="F3039" t="s">
        <v>197</v>
      </c>
      <c r="G3039" t="s">
        <v>198</v>
      </c>
      <c r="H3039" t="s">
        <v>199</v>
      </c>
      <c r="I3039" s="6" t="s">
        <v>1217</v>
      </c>
      <c r="J3039" s="59" t="s">
        <v>1218</v>
      </c>
      <c r="L3039" s="5" t="str">
        <f t="shared" si="1104"/>
        <v>03038</v>
      </c>
      <c r="M3039" s="46" t="str">
        <f t="shared" si="1105"/>
        <v>12 de mayo de 2020</v>
      </c>
      <c r="N3039" s="318">
        <f t="shared" si="1106"/>
        <v>12</v>
      </c>
      <c r="O3039" s="24">
        <f t="shared" si="1107"/>
        <v>43952</v>
      </c>
      <c r="P3039" s="5" t="str">
        <f t="shared" si="1108"/>
        <v>50.000,00</v>
      </c>
      <c r="Q3039" s="4" t="e">
        <f t="shared" ca="1" si="1109"/>
        <v>#NAME?</v>
      </c>
    </row>
    <row r="3040" spans="1:17">
      <c r="A3040" s="1">
        <f t="shared" si="1097"/>
        <v>3039</v>
      </c>
      <c r="B3040" s="8"/>
      <c r="C3040" s="8" t="s">
        <v>17</v>
      </c>
      <c r="D3040" s="2">
        <v>43969</v>
      </c>
      <c r="E3040" s="3">
        <v>250000</v>
      </c>
      <c r="F3040" t="s">
        <v>134</v>
      </c>
      <c r="G3040" t="s">
        <v>135</v>
      </c>
      <c r="H3040" t="s">
        <v>136</v>
      </c>
      <c r="I3040" s="6" t="s">
        <v>1211</v>
      </c>
      <c r="J3040" s="59" t="s">
        <v>22</v>
      </c>
      <c r="L3040" s="5" t="str">
        <f t="shared" si="1104"/>
        <v>03039</v>
      </c>
      <c r="M3040" s="46" t="str">
        <f t="shared" si="1105"/>
        <v>18 de mayo de 2020</v>
      </c>
      <c r="N3040" s="318">
        <f t="shared" si="1106"/>
        <v>18</v>
      </c>
      <c r="O3040" s="24">
        <f t="shared" si="1107"/>
        <v>43952</v>
      </c>
      <c r="P3040" s="5" t="str">
        <f t="shared" si="1108"/>
        <v>250.000,00</v>
      </c>
      <c r="Q3040" s="4" t="e">
        <f t="shared" ca="1" si="1109"/>
        <v>#NAME?</v>
      </c>
    </row>
    <row r="3041" spans="1:17" ht="15.75" thickBot="1">
      <c r="A3041" s="1">
        <f t="shared" si="1097"/>
        <v>3040</v>
      </c>
      <c r="B3041" s="8"/>
      <c r="C3041" s="8" t="s">
        <v>17</v>
      </c>
      <c r="D3041" s="2">
        <v>43969</v>
      </c>
      <c r="E3041" s="3">
        <v>50000</v>
      </c>
      <c r="F3041" t="s">
        <v>134</v>
      </c>
      <c r="G3041" t="s">
        <v>135</v>
      </c>
      <c r="H3041" t="s">
        <v>136</v>
      </c>
      <c r="I3041" s="6" t="s">
        <v>1217</v>
      </c>
      <c r="J3041" s="59" t="s">
        <v>1218</v>
      </c>
      <c r="L3041" s="5" t="str">
        <f t="shared" si="1104"/>
        <v>03040</v>
      </c>
      <c r="M3041" s="46" t="str">
        <f t="shared" si="1105"/>
        <v>18 de mayo de 2020</v>
      </c>
      <c r="N3041" s="318">
        <f t="shared" si="1106"/>
        <v>18</v>
      </c>
      <c r="O3041" s="24">
        <f t="shared" si="1107"/>
        <v>43952</v>
      </c>
      <c r="P3041" s="5" t="str">
        <f t="shared" si="1108"/>
        <v>50.000,00</v>
      </c>
      <c r="Q3041" s="4" t="e">
        <f t="shared" ca="1" si="1109"/>
        <v>#NAME?</v>
      </c>
    </row>
    <row r="3042" spans="1:17" ht="15.75" thickBot="1">
      <c r="A3042" s="1">
        <f t="shared" si="1097"/>
        <v>3041</v>
      </c>
      <c r="B3042" s="8"/>
      <c r="C3042" s="8" t="s">
        <v>17</v>
      </c>
      <c r="D3042" s="2">
        <v>43970</v>
      </c>
      <c r="E3042" s="3">
        <v>250000</v>
      </c>
      <c r="F3042" t="s">
        <v>1018</v>
      </c>
      <c r="G3042" s="447" t="s">
        <v>1161</v>
      </c>
      <c r="H3042" t="s">
        <v>140</v>
      </c>
      <c r="I3042" s="6" t="s">
        <v>1211</v>
      </c>
      <c r="J3042" s="59" t="s">
        <v>22</v>
      </c>
      <c r="L3042" s="5" t="str">
        <f t="shared" si="1104"/>
        <v>03041</v>
      </c>
      <c r="M3042" s="46" t="str">
        <f t="shared" si="1105"/>
        <v>19 de mayo de 2020</v>
      </c>
      <c r="N3042" s="318">
        <f t="shared" si="1106"/>
        <v>19</v>
      </c>
      <c r="O3042" s="24">
        <f t="shared" si="1107"/>
        <v>43952</v>
      </c>
      <c r="P3042" s="5" t="str">
        <f t="shared" si="1108"/>
        <v>250.000,00</v>
      </c>
      <c r="Q3042" s="4" t="e">
        <f t="shared" ca="1" si="1109"/>
        <v>#NAME?</v>
      </c>
    </row>
    <row r="3043" spans="1:17" ht="15.75" thickBot="1">
      <c r="A3043" s="1">
        <f>A3042+1</f>
        <v>3042</v>
      </c>
      <c r="B3043" s="8"/>
      <c r="C3043" s="8" t="s">
        <v>17</v>
      </c>
      <c r="D3043" s="2">
        <v>43970</v>
      </c>
      <c r="E3043" s="3">
        <v>50000</v>
      </c>
      <c r="F3043" t="s">
        <v>1018</v>
      </c>
      <c r="G3043" s="447" t="s">
        <v>1161</v>
      </c>
      <c r="H3043" t="s">
        <v>140</v>
      </c>
      <c r="I3043" s="6" t="s">
        <v>1217</v>
      </c>
      <c r="J3043" s="59" t="s">
        <v>1218</v>
      </c>
      <c r="L3043" s="5" t="str">
        <f t="shared" si="1104"/>
        <v>03042</v>
      </c>
      <c r="M3043" s="46" t="str">
        <f t="shared" si="1105"/>
        <v>19 de mayo de 2020</v>
      </c>
      <c r="N3043" s="318">
        <f t="shared" si="1106"/>
        <v>19</v>
      </c>
      <c r="O3043" s="24">
        <f t="shared" si="1107"/>
        <v>43952</v>
      </c>
      <c r="P3043" s="5" t="str">
        <f t="shared" si="1108"/>
        <v>50.000,00</v>
      </c>
      <c r="Q3043" s="4" t="e">
        <f t="shared" ca="1" si="1109"/>
        <v>#NAME?</v>
      </c>
    </row>
    <row r="3044" spans="1:17">
      <c r="A3044" s="1">
        <f t="shared" si="1097"/>
        <v>3043</v>
      </c>
      <c r="B3044" s="8"/>
      <c r="C3044" s="8" t="s">
        <v>17</v>
      </c>
      <c r="D3044" s="2">
        <v>43970</v>
      </c>
      <c r="E3044" s="3">
        <v>340000</v>
      </c>
      <c r="F3044" t="s">
        <v>197</v>
      </c>
      <c r="G3044" t="s">
        <v>198</v>
      </c>
      <c r="H3044" t="s">
        <v>199</v>
      </c>
      <c r="I3044" s="6" t="s">
        <v>1190</v>
      </c>
      <c r="J3044" s="59" t="s">
        <v>22</v>
      </c>
      <c r="L3044" s="5" t="str">
        <f t="shared" ref="L3044:L3065" si="1110">IF(ISBLANK(A3044),"",TEXT(A3044,"00000"))</f>
        <v>03043</v>
      </c>
      <c r="M3044" s="46" t="str">
        <f t="shared" ref="M3044:M3065" si="1111">IF(ISBLANK(D3044),"",TEXT(D3044,"dd")&amp;" de "&amp;TEXT(D3044,"mmmm")&amp;" de "&amp;TEXT(YEAR(D3044),"0"))</f>
        <v>19 de mayo de 2020</v>
      </c>
      <c r="N3044" s="318">
        <f t="shared" ref="N3044:N3065" si="1112">DAY(D3044)</f>
        <v>19</v>
      </c>
      <c r="O3044" s="24">
        <f t="shared" ref="O3044:O3065" si="1113">DATE(YEAR(D3044),MONTH(D3044),1)</f>
        <v>43952</v>
      </c>
      <c r="P3044" s="5" t="str">
        <f t="shared" ref="P3044:P3065" si="1114">TEXT(E3044,"#.##0,00")</f>
        <v>340.000,00</v>
      </c>
      <c r="Q3044" s="4" t="e">
        <f t="shared" ref="Q3044:Q3065" ca="1" si="1115">CONVERTIRNUM(E3044)</f>
        <v>#NAME?</v>
      </c>
    </row>
    <row r="3045" spans="1:17">
      <c r="A3045" s="1">
        <f>A3044+1</f>
        <v>3044</v>
      </c>
      <c r="B3045" s="8"/>
      <c r="C3045" s="8" t="s">
        <v>17</v>
      </c>
      <c r="D3045" s="2">
        <v>43970</v>
      </c>
      <c r="E3045" s="3">
        <v>50000</v>
      </c>
      <c r="F3045" t="s">
        <v>107</v>
      </c>
      <c r="G3045" t="s">
        <v>108</v>
      </c>
      <c r="H3045" t="s">
        <v>109</v>
      </c>
      <c r="I3045" s="6" t="s">
        <v>1217</v>
      </c>
      <c r="J3045" s="59" t="s">
        <v>1218</v>
      </c>
      <c r="L3045" s="5" t="str">
        <f t="shared" si="1110"/>
        <v>03044</v>
      </c>
      <c r="M3045" s="46" t="str">
        <f t="shared" si="1111"/>
        <v>19 de mayo de 2020</v>
      </c>
      <c r="N3045" s="318">
        <f t="shared" si="1112"/>
        <v>19</v>
      </c>
      <c r="O3045" s="24">
        <f t="shared" si="1113"/>
        <v>43952</v>
      </c>
      <c r="P3045" s="5" t="str">
        <f t="shared" si="1114"/>
        <v>50.000,00</v>
      </c>
      <c r="Q3045" s="4" t="e">
        <f t="shared" ca="1" si="1115"/>
        <v>#NAME?</v>
      </c>
    </row>
    <row r="3046" spans="1:17">
      <c r="A3046" s="1">
        <f>A3045+1</f>
        <v>3045</v>
      </c>
      <c r="B3046" s="8"/>
      <c r="C3046" s="8" t="s">
        <v>17</v>
      </c>
      <c r="D3046" s="2">
        <v>43970</v>
      </c>
      <c r="E3046" s="3">
        <v>250000</v>
      </c>
      <c r="F3046" t="s">
        <v>130</v>
      </c>
      <c r="G3046" t="s">
        <v>1055</v>
      </c>
      <c r="H3046" t="s">
        <v>132</v>
      </c>
      <c r="I3046" s="6" t="s">
        <v>1211</v>
      </c>
      <c r="J3046" s="59" t="s">
        <v>22</v>
      </c>
      <c r="L3046" s="5" t="str">
        <f t="shared" si="1110"/>
        <v>03045</v>
      </c>
      <c r="M3046" s="46" t="str">
        <f t="shared" si="1111"/>
        <v>19 de mayo de 2020</v>
      </c>
      <c r="N3046" s="318">
        <f t="shared" si="1112"/>
        <v>19</v>
      </c>
      <c r="O3046" s="24">
        <f t="shared" si="1113"/>
        <v>43952</v>
      </c>
      <c r="P3046" s="5" t="str">
        <f t="shared" si="1114"/>
        <v>250.000,00</v>
      </c>
      <c r="Q3046" s="4" t="e">
        <f t="shared" ca="1" si="1115"/>
        <v>#NAME?</v>
      </c>
    </row>
    <row r="3047" spans="1:17">
      <c r="A3047" s="1">
        <f>A3046+1</f>
        <v>3046</v>
      </c>
      <c r="B3047" s="8"/>
      <c r="C3047" s="8" t="s">
        <v>17</v>
      </c>
      <c r="D3047" s="2">
        <v>43970</v>
      </c>
      <c r="E3047" s="3">
        <v>250000</v>
      </c>
      <c r="F3047" t="s">
        <v>438</v>
      </c>
      <c r="G3047" t="s">
        <v>439</v>
      </c>
      <c r="H3047" t="s">
        <v>440</v>
      </c>
      <c r="I3047" s="6" t="s">
        <v>1225</v>
      </c>
      <c r="J3047" s="59" t="s">
        <v>22</v>
      </c>
      <c r="L3047" s="5" t="str">
        <f t="shared" si="1110"/>
        <v>03046</v>
      </c>
      <c r="M3047" s="46" t="str">
        <f t="shared" si="1111"/>
        <v>19 de mayo de 2020</v>
      </c>
      <c r="N3047" s="318">
        <f t="shared" si="1112"/>
        <v>19</v>
      </c>
      <c r="O3047" s="24">
        <f t="shared" si="1113"/>
        <v>43952</v>
      </c>
      <c r="P3047" s="5" t="str">
        <f t="shared" si="1114"/>
        <v>250.000,00</v>
      </c>
      <c r="Q3047" s="4" t="e">
        <f t="shared" ca="1" si="1115"/>
        <v>#NAME?</v>
      </c>
    </row>
    <row r="3048" spans="1:17">
      <c r="A3048" s="1">
        <f t="shared" ref="A3048:A3060" si="1116">A3047+1</f>
        <v>3047</v>
      </c>
      <c r="B3048" s="8"/>
      <c r="C3048" s="8" t="s">
        <v>17</v>
      </c>
      <c r="D3048" s="2">
        <v>43970</v>
      </c>
      <c r="E3048" s="3">
        <v>50000</v>
      </c>
      <c r="F3048" t="s">
        <v>438</v>
      </c>
      <c r="G3048" t="s">
        <v>439</v>
      </c>
      <c r="H3048" t="s">
        <v>440</v>
      </c>
      <c r="I3048" s="6" t="s">
        <v>1226</v>
      </c>
      <c r="J3048" s="59" t="s">
        <v>1218</v>
      </c>
      <c r="L3048" s="5" t="str">
        <f t="shared" si="1110"/>
        <v>03047</v>
      </c>
      <c r="M3048" s="46" t="str">
        <f t="shared" si="1111"/>
        <v>19 de mayo de 2020</v>
      </c>
      <c r="N3048" s="318">
        <f t="shared" si="1112"/>
        <v>19</v>
      </c>
      <c r="O3048" s="24">
        <f t="shared" si="1113"/>
        <v>43952</v>
      </c>
      <c r="P3048" s="5" t="str">
        <f t="shared" si="1114"/>
        <v>50.000,00</v>
      </c>
      <c r="Q3048" s="4" t="e">
        <f t="shared" ca="1" si="1115"/>
        <v>#NAME?</v>
      </c>
    </row>
    <row r="3049" spans="1:17">
      <c r="A3049" s="1">
        <f>A3048+1</f>
        <v>3048</v>
      </c>
      <c r="B3049" s="8"/>
      <c r="C3049" s="8" t="s">
        <v>17</v>
      </c>
      <c r="D3049" s="2">
        <v>43971</v>
      </c>
      <c r="E3049" s="3">
        <v>250000</v>
      </c>
      <c r="F3049" t="s">
        <v>1016</v>
      </c>
      <c r="G3049" t="s">
        <v>1017</v>
      </c>
      <c r="H3049" t="s">
        <v>59</v>
      </c>
      <c r="I3049" s="6" t="s">
        <v>1211</v>
      </c>
      <c r="J3049" s="59" t="s">
        <v>22</v>
      </c>
      <c r="L3049" s="5" t="str">
        <f t="shared" si="1110"/>
        <v>03048</v>
      </c>
      <c r="M3049" s="46" t="str">
        <f t="shared" si="1111"/>
        <v>20 de mayo de 2020</v>
      </c>
      <c r="N3049" s="318">
        <f t="shared" si="1112"/>
        <v>20</v>
      </c>
      <c r="O3049" s="24">
        <f t="shared" si="1113"/>
        <v>43952</v>
      </c>
      <c r="P3049" s="5" t="str">
        <f t="shared" si="1114"/>
        <v>250.000,00</v>
      </c>
      <c r="Q3049" s="4" t="e">
        <f t="shared" ca="1" si="1115"/>
        <v>#NAME?</v>
      </c>
    </row>
    <row r="3050" spans="1:17">
      <c r="A3050" s="1">
        <f t="shared" si="1116"/>
        <v>3049</v>
      </c>
      <c r="B3050" s="8"/>
      <c r="C3050" s="8" t="s">
        <v>17</v>
      </c>
      <c r="D3050" s="2">
        <v>43971</v>
      </c>
      <c r="E3050" s="3">
        <v>50000</v>
      </c>
      <c r="F3050" t="s">
        <v>1016</v>
      </c>
      <c r="G3050" t="s">
        <v>1017</v>
      </c>
      <c r="H3050" t="s">
        <v>59</v>
      </c>
      <c r="I3050" s="6" t="s">
        <v>1217</v>
      </c>
      <c r="J3050" s="59" t="s">
        <v>1218</v>
      </c>
      <c r="L3050" s="5" t="str">
        <f t="shared" si="1110"/>
        <v>03049</v>
      </c>
      <c r="M3050" s="46" t="str">
        <f t="shared" si="1111"/>
        <v>20 de mayo de 2020</v>
      </c>
      <c r="N3050" s="318">
        <f t="shared" si="1112"/>
        <v>20</v>
      </c>
      <c r="O3050" s="24">
        <f t="shared" si="1113"/>
        <v>43952</v>
      </c>
      <c r="P3050" s="5" t="str">
        <f t="shared" si="1114"/>
        <v>50.000,00</v>
      </c>
      <c r="Q3050" s="4" t="e">
        <f t="shared" ca="1" si="1115"/>
        <v>#NAME?</v>
      </c>
    </row>
    <row r="3051" spans="1:17">
      <c r="A3051" s="1">
        <f>A3050+1</f>
        <v>3050</v>
      </c>
      <c r="B3051" s="8"/>
      <c r="C3051" s="8" t="s">
        <v>17</v>
      </c>
      <c r="D3051" s="2">
        <v>43972</v>
      </c>
      <c r="E3051" s="3">
        <v>250000</v>
      </c>
      <c r="F3051" t="s">
        <v>90</v>
      </c>
      <c r="G3051" s="447" t="s">
        <v>979</v>
      </c>
      <c r="H3051" t="s">
        <v>92</v>
      </c>
      <c r="I3051" s="6" t="s">
        <v>1211</v>
      </c>
      <c r="J3051" s="59" t="s">
        <v>22</v>
      </c>
      <c r="L3051" s="5" t="str">
        <f t="shared" si="1110"/>
        <v>03050</v>
      </c>
      <c r="M3051" s="46" t="str">
        <f t="shared" si="1111"/>
        <v>21 de mayo de 2020</v>
      </c>
      <c r="N3051" s="318">
        <f t="shared" si="1112"/>
        <v>21</v>
      </c>
      <c r="O3051" s="24">
        <f t="shared" si="1113"/>
        <v>43952</v>
      </c>
      <c r="P3051" s="5" t="str">
        <f t="shared" si="1114"/>
        <v>250.000,00</v>
      </c>
      <c r="Q3051" s="4" t="e">
        <f t="shared" ca="1" si="1115"/>
        <v>#NAME?</v>
      </c>
    </row>
    <row r="3052" spans="1:17">
      <c r="A3052" s="1">
        <f t="shared" si="1116"/>
        <v>3051</v>
      </c>
      <c r="B3052" s="8"/>
      <c r="C3052" s="8" t="s">
        <v>17</v>
      </c>
      <c r="D3052" s="2">
        <v>43972</v>
      </c>
      <c r="E3052" s="3">
        <v>50000</v>
      </c>
      <c r="F3052" t="s">
        <v>90</v>
      </c>
      <c r="G3052" s="447" t="s">
        <v>979</v>
      </c>
      <c r="H3052" t="s">
        <v>92</v>
      </c>
      <c r="I3052" s="6" t="s">
        <v>1217</v>
      </c>
      <c r="J3052" s="59" t="s">
        <v>1218</v>
      </c>
      <c r="L3052" s="5" t="str">
        <f t="shared" si="1110"/>
        <v>03051</v>
      </c>
      <c r="M3052" s="46" t="str">
        <f t="shared" si="1111"/>
        <v>21 de mayo de 2020</v>
      </c>
      <c r="N3052" s="318">
        <f t="shared" si="1112"/>
        <v>21</v>
      </c>
      <c r="O3052" s="24">
        <f t="shared" si="1113"/>
        <v>43952</v>
      </c>
      <c r="P3052" s="5" t="str">
        <f t="shared" si="1114"/>
        <v>50.000,00</v>
      </c>
      <c r="Q3052" s="4" t="e">
        <f t="shared" ca="1" si="1115"/>
        <v>#NAME?</v>
      </c>
    </row>
    <row r="3053" spans="1:17">
      <c r="A3053" s="1">
        <f>A3052+1</f>
        <v>3052</v>
      </c>
      <c r="B3053" s="8"/>
      <c r="C3053" s="83" t="s">
        <v>17</v>
      </c>
      <c r="D3053" s="2">
        <v>43972</v>
      </c>
      <c r="E3053" s="3">
        <v>250000</v>
      </c>
      <c r="F3053" t="s">
        <v>259</v>
      </c>
      <c r="G3053" s="618" t="s">
        <v>1227</v>
      </c>
      <c r="H3053" t="s">
        <v>261</v>
      </c>
      <c r="I3053" s="6" t="s">
        <v>1211</v>
      </c>
      <c r="J3053" s="59" t="s">
        <v>22</v>
      </c>
      <c r="L3053" s="5" t="str">
        <f t="shared" si="1110"/>
        <v>03052</v>
      </c>
      <c r="M3053" s="46" t="str">
        <f t="shared" si="1111"/>
        <v>21 de mayo de 2020</v>
      </c>
      <c r="N3053" s="318">
        <f t="shared" si="1112"/>
        <v>21</v>
      </c>
      <c r="O3053" s="24">
        <f t="shared" si="1113"/>
        <v>43952</v>
      </c>
      <c r="P3053" s="5" t="str">
        <f t="shared" si="1114"/>
        <v>250.000,00</v>
      </c>
      <c r="Q3053" s="4" t="e">
        <f t="shared" ca="1" si="1115"/>
        <v>#NAME?</v>
      </c>
    </row>
    <row r="3054" spans="1:17">
      <c r="A3054" s="1">
        <f t="shared" si="1116"/>
        <v>3053</v>
      </c>
      <c r="B3054" s="8"/>
      <c r="C3054" s="83" t="s">
        <v>17</v>
      </c>
      <c r="D3054" s="2">
        <v>43972</v>
      </c>
      <c r="E3054" s="3">
        <v>50000</v>
      </c>
      <c r="F3054" t="s">
        <v>259</v>
      </c>
      <c r="G3054" s="618" t="s">
        <v>1227</v>
      </c>
      <c r="H3054" t="s">
        <v>261</v>
      </c>
      <c r="I3054" s="6" t="s">
        <v>1217</v>
      </c>
      <c r="J3054" s="59" t="s">
        <v>1218</v>
      </c>
      <c r="L3054" s="5" t="str">
        <f t="shared" si="1110"/>
        <v>03053</v>
      </c>
      <c r="M3054" s="46" t="str">
        <f t="shared" si="1111"/>
        <v>21 de mayo de 2020</v>
      </c>
      <c r="N3054" s="318">
        <f t="shared" si="1112"/>
        <v>21</v>
      </c>
      <c r="O3054" s="24">
        <f t="shared" si="1113"/>
        <v>43952</v>
      </c>
      <c r="P3054" s="5" t="str">
        <f t="shared" si="1114"/>
        <v>50.000,00</v>
      </c>
      <c r="Q3054" s="4" t="e">
        <f t="shared" ca="1" si="1115"/>
        <v>#NAME?</v>
      </c>
    </row>
    <row r="3055" spans="1:17">
      <c r="A3055" s="1">
        <f>A3054+1</f>
        <v>3054</v>
      </c>
      <c r="B3055" s="8"/>
      <c r="C3055" s="8" t="s">
        <v>17</v>
      </c>
      <c r="D3055" s="2">
        <v>43973</v>
      </c>
      <c r="E3055" s="3">
        <v>250000</v>
      </c>
      <c r="F3055" t="s">
        <v>122</v>
      </c>
      <c r="G3055" t="s">
        <v>123</v>
      </c>
      <c r="H3055" t="s">
        <v>124</v>
      </c>
      <c r="I3055" s="6" t="s">
        <v>1211</v>
      </c>
      <c r="J3055" s="59" t="s">
        <v>22</v>
      </c>
      <c r="L3055" s="5" t="str">
        <f t="shared" si="1110"/>
        <v>03054</v>
      </c>
      <c r="M3055" s="46" t="str">
        <f t="shared" si="1111"/>
        <v>22 de mayo de 2020</v>
      </c>
      <c r="N3055" s="318">
        <f t="shared" si="1112"/>
        <v>22</v>
      </c>
      <c r="O3055" s="24">
        <f t="shared" si="1113"/>
        <v>43952</v>
      </c>
      <c r="P3055" s="5" t="str">
        <f t="shared" si="1114"/>
        <v>250.000,00</v>
      </c>
      <c r="Q3055" s="4" t="e">
        <f t="shared" ca="1" si="1115"/>
        <v>#NAME?</v>
      </c>
    </row>
    <row r="3056" spans="1:17">
      <c r="A3056" s="1">
        <f t="shared" si="1116"/>
        <v>3055</v>
      </c>
      <c r="B3056" s="8"/>
      <c r="C3056" s="8" t="s">
        <v>17</v>
      </c>
      <c r="D3056" s="2">
        <v>43973</v>
      </c>
      <c r="E3056" s="3">
        <v>50000</v>
      </c>
      <c r="F3056" t="s">
        <v>122</v>
      </c>
      <c r="G3056" t="s">
        <v>123</v>
      </c>
      <c r="H3056" t="s">
        <v>124</v>
      </c>
      <c r="I3056" s="6" t="s">
        <v>1217</v>
      </c>
      <c r="J3056" s="59" t="s">
        <v>1218</v>
      </c>
      <c r="L3056" s="5" t="str">
        <f t="shared" si="1110"/>
        <v>03055</v>
      </c>
      <c r="M3056" s="46" t="str">
        <f t="shared" si="1111"/>
        <v>22 de mayo de 2020</v>
      </c>
      <c r="N3056" s="318">
        <f t="shared" si="1112"/>
        <v>22</v>
      </c>
      <c r="O3056" s="24">
        <f t="shared" si="1113"/>
        <v>43952</v>
      </c>
      <c r="P3056" s="5" t="str">
        <f t="shared" si="1114"/>
        <v>50.000,00</v>
      </c>
      <c r="Q3056" s="4" t="e">
        <f t="shared" ca="1" si="1115"/>
        <v>#NAME?</v>
      </c>
    </row>
    <row r="3057" spans="1:17">
      <c r="A3057" s="1">
        <f>A3056+1</f>
        <v>3056</v>
      </c>
      <c r="B3057" s="8"/>
      <c r="C3057" s="8" t="s">
        <v>17</v>
      </c>
      <c r="D3057" s="2">
        <v>43973</v>
      </c>
      <c r="E3057" s="3">
        <v>250000</v>
      </c>
      <c r="F3057" t="s">
        <v>118</v>
      </c>
      <c r="G3057" t="s">
        <v>119</v>
      </c>
      <c r="H3057" t="s">
        <v>120</v>
      </c>
      <c r="I3057" s="6" t="s">
        <v>1211</v>
      </c>
      <c r="J3057" s="59" t="s">
        <v>22</v>
      </c>
      <c r="L3057" s="5" t="str">
        <f t="shared" si="1110"/>
        <v>03056</v>
      </c>
      <c r="M3057" s="46" t="str">
        <f t="shared" si="1111"/>
        <v>22 de mayo de 2020</v>
      </c>
      <c r="N3057" s="318">
        <f t="shared" si="1112"/>
        <v>22</v>
      </c>
      <c r="O3057" s="24">
        <f t="shared" si="1113"/>
        <v>43952</v>
      </c>
      <c r="P3057" s="5" t="str">
        <f t="shared" si="1114"/>
        <v>250.000,00</v>
      </c>
      <c r="Q3057" s="4" t="e">
        <f t="shared" ca="1" si="1115"/>
        <v>#NAME?</v>
      </c>
    </row>
    <row r="3058" spans="1:17">
      <c r="A3058" s="1">
        <f t="shared" si="1116"/>
        <v>3057</v>
      </c>
      <c r="B3058" s="8"/>
      <c r="C3058" s="8" t="s">
        <v>17</v>
      </c>
      <c r="D3058" s="2">
        <v>43973</v>
      </c>
      <c r="E3058" s="3">
        <v>50000</v>
      </c>
      <c r="F3058" t="s">
        <v>118</v>
      </c>
      <c r="G3058" t="s">
        <v>119</v>
      </c>
      <c r="H3058" t="s">
        <v>120</v>
      </c>
      <c r="I3058" s="6" t="s">
        <v>1217</v>
      </c>
      <c r="J3058" s="59" t="s">
        <v>1218</v>
      </c>
      <c r="L3058" s="5" t="str">
        <f t="shared" si="1110"/>
        <v>03057</v>
      </c>
      <c r="M3058" s="46" t="str">
        <f t="shared" si="1111"/>
        <v>22 de mayo de 2020</v>
      </c>
      <c r="N3058" s="318">
        <f t="shared" si="1112"/>
        <v>22</v>
      </c>
      <c r="O3058" s="24">
        <f t="shared" si="1113"/>
        <v>43952</v>
      </c>
      <c r="P3058" s="5" t="str">
        <f t="shared" si="1114"/>
        <v>50.000,00</v>
      </c>
      <c r="Q3058" s="4" t="e">
        <f t="shared" ca="1" si="1115"/>
        <v>#NAME?</v>
      </c>
    </row>
    <row r="3059" spans="1:17">
      <c r="A3059" s="1">
        <f>A3058+1</f>
        <v>3058</v>
      </c>
      <c r="B3059" s="8"/>
      <c r="C3059" s="8" t="s">
        <v>17</v>
      </c>
      <c r="D3059" s="2">
        <v>43975</v>
      </c>
      <c r="E3059" s="3">
        <v>235250</v>
      </c>
      <c r="F3059" t="s">
        <v>252</v>
      </c>
      <c r="G3059" s="447" t="s">
        <v>959</v>
      </c>
      <c r="H3059" t="s">
        <v>254</v>
      </c>
      <c r="I3059" s="6" t="s">
        <v>1214</v>
      </c>
      <c r="J3059" s="59" t="s">
        <v>22</v>
      </c>
      <c r="L3059" s="5" t="str">
        <f t="shared" si="1110"/>
        <v>03058</v>
      </c>
      <c r="M3059" s="46" t="str">
        <f t="shared" si="1111"/>
        <v>24 de mayo de 2020</v>
      </c>
      <c r="N3059" s="318">
        <f t="shared" si="1112"/>
        <v>24</v>
      </c>
      <c r="O3059" s="24">
        <f t="shared" si="1113"/>
        <v>43952</v>
      </c>
      <c r="P3059" s="5" t="str">
        <f t="shared" si="1114"/>
        <v>235.250,00</v>
      </c>
      <c r="Q3059" s="4" t="e">
        <f t="shared" ca="1" si="1115"/>
        <v>#NAME?</v>
      </c>
    </row>
    <row r="3060" spans="1:17">
      <c r="A3060" s="1">
        <f t="shared" si="1116"/>
        <v>3059</v>
      </c>
      <c r="B3060" s="8"/>
      <c r="C3060" s="8" t="s">
        <v>17</v>
      </c>
      <c r="D3060" s="2">
        <v>43975</v>
      </c>
      <c r="E3060" s="3">
        <v>50000</v>
      </c>
      <c r="F3060" t="s">
        <v>252</v>
      </c>
      <c r="G3060" s="447" t="s">
        <v>959</v>
      </c>
      <c r="H3060" t="s">
        <v>254</v>
      </c>
      <c r="I3060" s="6" t="s">
        <v>1217</v>
      </c>
      <c r="J3060" s="59" t="s">
        <v>1218</v>
      </c>
      <c r="L3060" s="5" t="str">
        <f t="shared" si="1110"/>
        <v>03059</v>
      </c>
      <c r="M3060" s="46" t="str">
        <f t="shared" si="1111"/>
        <v>24 de mayo de 2020</v>
      </c>
      <c r="N3060" s="318">
        <f t="shared" si="1112"/>
        <v>24</v>
      </c>
      <c r="O3060" s="24">
        <f t="shared" si="1113"/>
        <v>43952</v>
      </c>
      <c r="P3060" s="5" t="str">
        <f t="shared" si="1114"/>
        <v>50.000,00</v>
      </c>
      <c r="Q3060" s="4" t="e">
        <f t="shared" ca="1" si="1115"/>
        <v>#NAME?</v>
      </c>
    </row>
    <row r="3061" spans="1:17">
      <c r="A3061" s="1">
        <f>A3060+1</f>
        <v>3060</v>
      </c>
      <c r="B3061" s="8"/>
      <c r="C3061" s="8" t="s">
        <v>17</v>
      </c>
      <c r="D3061" s="2">
        <v>43977</v>
      </c>
      <c r="E3061" s="3">
        <v>70000</v>
      </c>
      <c r="F3061" t="s">
        <v>433</v>
      </c>
      <c r="G3061" t="s">
        <v>434</v>
      </c>
      <c r="H3061" t="s">
        <v>435</v>
      </c>
      <c r="I3061" s="6" t="s">
        <v>1205</v>
      </c>
      <c r="J3061" s="59" t="s">
        <v>22</v>
      </c>
      <c r="L3061" s="5" t="str">
        <f t="shared" si="1110"/>
        <v>03060</v>
      </c>
      <c r="M3061" s="46" t="str">
        <f t="shared" si="1111"/>
        <v>26 de mayo de 2020</v>
      </c>
      <c r="N3061" s="318">
        <f t="shared" si="1112"/>
        <v>26</v>
      </c>
      <c r="O3061" s="24">
        <f t="shared" si="1113"/>
        <v>43952</v>
      </c>
      <c r="P3061" s="5" t="str">
        <f t="shared" si="1114"/>
        <v>70.000,00</v>
      </c>
      <c r="Q3061" s="4" t="e">
        <f t="shared" ca="1" si="1115"/>
        <v>#NAME?</v>
      </c>
    </row>
    <row r="3062" spans="1:17">
      <c r="A3062" s="1">
        <f>A3061+1</f>
        <v>3061</v>
      </c>
      <c r="B3062" s="8"/>
      <c r="C3062" s="8" t="s">
        <v>17</v>
      </c>
      <c r="D3062" s="2">
        <v>43977</v>
      </c>
      <c r="E3062" s="3">
        <v>250000</v>
      </c>
      <c r="F3062" t="s">
        <v>230</v>
      </c>
      <c r="G3062" t="s">
        <v>231</v>
      </c>
      <c r="H3062" t="s">
        <v>232</v>
      </c>
      <c r="I3062" s="6" t="s">
        <v>1211</v>
      </c>
      <c r="J3062" s="59" t="s">
        <v>22</v>
      </c>
      <c r="L3062" s="5" t="str">
        <f t="shared" si="1110"/>
        <v>03061</v>
      </c>
      <c r="M3062" s="46" t="str">
        <f t="shared" si="1111"/>
        <v>26 de mayo de 2020</v>
      </c>
      <c r="N3062" s="318">
        <f t="shared" si="1112"/>
        <v>26</v>
      </c>
      <c r="O3062" s="24">
        <f t="shared" si="1113"/>
        <v>43952</v>
      </c>
      <c r="P3062" s="5" t="str">
        <f t="shared" si="1114"/>
        <v>250.000,00</v>
      </c>
      <c r="Q3062" s="4" t="e">
        <f t="shared" ca="1" si="1115"/>
        <v>#NAME?</v>
      </c>
    </row>
    <row r="3063" spans="1:17">
      <c r="A3063" s="1">
        <f>A3062+1</f>
        <v>3062</v>
      </c>
      <c r="B3063" s="8"/>
      <c r="C3063" s="8" t="s">
        <v>17</v>
      </c>
      <c r="D3063" s="2">
        <v>43977</v>
      </c>
      <c r="E3063" s="3">
        <v>50000</v>
      </c>
      <c r="F3063" t="s">
        <v>230</v>
      </c>
      <c r="G3063" t="s">
        <v>231</v>
      </c>
      <c r="H3063" t="s">
        <v>232</v>
      </c>
      <c r="I3063" s="6" t="s">
        <v>1217</v>
      </c>
      <c r="J3063" s="59" t="s">
        <v>1218</v>
      </c>
      <c r="L3063" s="5" t="str">
        <f t="shared" si="1110"/>
        <v>03062</v>
      </c>
      <c r="M3063" s="46" t="str">
        <f t="shared" si="1111"/>
        <v>26 de mayo de 2020</v>
      </c>
      <c r="N3063" s="318">
        <f t="shared" si="1112"/>
        <v>26</v>
      </c>
      <c r="O3063" s="24">
        <f t="shared" si="1113"/>
        <v>43952</v>
      </c>
      <c r="P3063" s="5" t="str">
        <f t="shared" si="1114"/>
        <v>50.000,00</v>
      </c>
      <c r="Q3063" s="4" t="e">
        <f t="shared" ca="1" si="1115"/>
        <v>#NAME?</v>
      </c>
    </row>
    <row r="3064" spans="1:17">
      <c r="A3064" s="600">
        <f t="shared" ref="A3064" si="1117">A3063+1</f>
        <v>3063</v>
      </c>
      <c r="B3064" s="8"/>
      <c r="C3064" s="8" t="s">
        <v>17</v>
      </c>
      <c r="D3064" s="2">
        <v>43976</v>
      </c>
      <c r="E3064" s="3">
        <v>250000</v>
      </c>
      <c r="F3064" t="s">
        <v>633</v>
      </c>
      <c r="G3064" t="s">
        <v>634</v>
      </c>
      <c r="H3064" t="s">
        <v>635</v>
      </c>
      <c r="I3064" s="6" t="s">
        <v>1211</v>
      </c>
      <c r="J3064" s="59" t="s">
        <v>22</v>
      </c>
      <c r="L3064" s="5" t="str">
        <f t="shared" si="1110"/>
        <v>03063</v>
      </c>
      <c r="M3064" s="46" t="str">
        <f t="shared" si="1111"/>
        <v>25 de mayo de 2020</v>
      </c>
      <c r="N3064" s="318">
        <f t="shared" si="1112"/>
        <v>25</v>
      </c>
      <c r="O3064" s="24">
        <f t="shared" si="1113"/>
        <v>43952</v>
      </c>
      <c r="P3064" s="5" t="str">
        <f t="shared" si="1114"/>
        <v>250.000,00</v>
      </c>
      <c r="Q3064" s="4" t="e">
        <f t="shared" ca="1" si="1115"/>
        <v>#NAME?</v>
      </c>
    </row>
    <row r="3065" spans="1:17">
      <c r="A3065" s="600">
        <f t="shared" ref="A3065:A3070" si="1118">A3064+1</f>
        <v>3064</v>
      </c>
      <c r="B3065" s="8"/>
      <c r="C3065" s="8" t="s">
        <v>17</v>
      </c>
      <c r="D3065" s="2">
        <v>43976</v>
      </c>
      <c r="E3065" s="3">
        <v>50000</v>
      </c>
      <c r="F3065" t="s">
        <v>633</v>
      </c>
      <c r="G3065" t="s">
        <v>634</v>
      </c>
      <c r="H3065" t="s">
        <v>635</v>
      </c>
      <c r="I3065" s="6" t="s">
        <v>1217</v>
      </c>
      <c r="J3065" s="59" t="s">
        <v>1218</v>
      </c>
      <c r="L3065" s="5" t="str">
        <f t="shared" si="1110"/>
        <v>03064</v>
      </c>
      <c r="M3065" s="46" t="str">
        <f t="shared" si="1111"/>
        <v>25 de mayo de 2020</v>
      </c>
      <c r="N3065" s="318">
        <f t="shared" si="1112"/>
        <v>25</v>
      </c>
      <c r="O3065" s="24">
        <f t="shared" si="1113"/>
        <v>43952</v>
      </c>
      <c r="P3065" s="5" t="str">
        <f t="shared" si="1114"/>
        <v>50.000,00</v>
      </c>
      <c r="Q3065" s="4" t="e">
        <f t="shared" ca="1" si="1115"/>
        <v>#NAME?</v>
      </c>
    </row>
    <row r="3066" spans="1:17">
      <c r="A3066" s="1">
        <f t="shared" si="1118"/>
        <v>3065</v>
      </c>
      <c r="B3066" s="8"/>
      <c r="C3066" s="8" t="s">
        <v>17</v>
      </c>
      <c r="D3066" s="2">
        <v>43980</v>
      </c>
      <c r="E3066" s="3">
        <v>50000</v>
      </c>
      <c r="F3066" t="s">
        <v>433</v>
      </c>
      <c r="G3066" t="s">
        <v>434</v>
      </c>
      <c r="H3066" t="s">
        <v>435</v>
      </c>
      <c r="I3066" s="6" t="s">
        <v>1217</v>
      </c>
      <c r="J3066" s="59" t="s">
        <v>1218</v>
      </c>
      <c r="L3066" s="5" t="str">
        <f t="shared" ref="L3066:L3074" si="1119">IF(ISBLANK(A3066),"",TEXT(A3066,"00000"))</f>
        <v>03065</v>
      </c>
      <c r="M3066" s="46" t="str">
        <f t="shared" ref="M3066:M3074" si="1120">IF(ISBLANK(D3066),"",TEXT(D3066,"dd")&amp;" de "&amp;TEXT(D3066,"mmmm")&amp;" de "&amp;TEXT(YEAR(D3066),"0"))</f>
        <v>29 de mayo de 2020</v>
      </c>
      <c r="N3066" s="318">
        <f t="shared" ref="N3066:N3074" si="1121">DAY(D3066)</f>
        <v>29</v>
      </c>
      <c r="O3066" s="24">
        <f t="shared" ref="O3066:O3074" si="1122">DATE(YEAR(D3066),MONTH(D3066),1)</f>
        <v>43952</v>
      </c>
      <c r="P3066" s="5" t="str">
        <f t="shared" ref="P3066:P3074" si="1123">TEXT(E3066,"#.##0,00")</f>
        <v>50.000,00</v>
      </c>
      <c r="Q3066" s="4" t="e">
        <f t="shared" ref="Q3066:Q3074" ca="1" si="1124">CONVERTIRNUM(E3066)</f>
        <v>#NAME?</v>
      </c>
    </row>
    <row r="3067" spans="1:17">
      <c r="A3067" s="1">
        <f t="shared" si="1118"/>
        <v>3066</v>
      </c>
      <c r="B3067" s="8"/>
      <c r="C3067" s="8" t="s">
        <v>17</v>
      </c>
      <c r="D3067" s="2">
        <v>43980</v>
      </c>
      <c r="E3067" s="3">
        <v>250000</v>
      </c>
      <c r="F3067" t="s">
        <v>594</v>
      </c>
      <c r="G3067" t="s">
        <v>1052</v>
      </c>
      <c r="H3067" t="s">
        <v>596</v>
      </c>
      <c r="I3067" s="6" t="s">
        <v>1211</v>
      </c>
      <c r="J3067" s="59" t="s">
        <v>22</v>
      </c>
      <c r="L3067" s="5" t="str">
        <f t="shared" si="1119"/>
        <v>03066</v>
      </c>
      <c r="M3067" s="46" t="str">
        <f t="shared" si="1120"/>
        <v>29 de mayo de 2020</v>
      </c>
      <c r="N3067" s="318">
        <f t="shared" si="1121"/>
        <v>29</v>
      </c>
      <c r="O3067" s="24">
        <f t="shared" si="1122"/>
        <v>43952</v>
      </c>
      <c r="P3067" s="5" t="str">
        <f t="shared" si="1123"/>
        <v>250.000,00</v>
      </c>
      <c r="Q3067" s="4" t="e">
        <f t="shared" ca="1" si="1124"/>
        <v>#NAME?</v>
      </c>
    </row>
    <row r="3068" spans="1:17">
      <c r="A3068" s="1">
        <f t="shared" si="1118"/>
        <v>3067</v>
      </c>
      <c r="B3068" s="8"/>
      <c r="C3068" s="8" t="s">
        <v>17</v>
      </c>
      <c r="D3068" s="2">
        <v>43983</v>
      </c>
      <c r="E3068" s="3">
        <v>250000</v>
      </c>
      <c r="F3068" s="552" t="s">
        <v>948</v>
      </c>
      <c r="G3068" t="s">
        <v>949</v>
      </c>
      <c r="H3068" t="s">
        <v>950</v>
      </c>
      <c r="I3068" s="6" t="s">
        <v>1228</v>
      </c>
      <c r="J3068" s="59" t="s">
        <v>22</v>
      </c>
      <c r="L3068" s="5" t="str">
        <f t="shared" si="1119"/>
        <v>03067</v>
      </c>
      <c r="M3068" s="46" t="str">
        <f t="shared" si="1120"/>
        <v>01 de junio de 2020</v>
      </c>
      <c r="N3068" s="318">
        <f t="shared" si="1121"/>
        <v>1</v>
      </c>
      <c r="O3068" s="24">
        <f t="shared" si="1122"/>
        <v>43983</v>
      </c>
      <c r="P3068" s="5" t="str">
        <f t="shared" si="1123"/>
        <v>250.000,00</v>
      </c>
      <c r="Q3068" s="4" t="e">
        <f t="shared" ca="1" si="1124"/>
        <v>#NAME?</v>
      </c>
    </row>
    <row r="3069" spans="1:17">
      <c r="A3069" s="1">
        <f t="shared" si="1118"/>
        <v>3068</v>
      </c>
      <c r="B3069" s="8"/>
      <c r="C3069" s="8" t="s">
        <v>17</v>
      </c>
      <c r="D3069" s="2">
        <v>43983</v>
      </c>
      <c r="E3069" s="3">
        <v>250000</v>
      </c>
      <c r="F3069" t="s">
        <v>24</v>
      </c>
      <c r="G3069" t="s">
        <v>25</v>
      </c>
      <c r="H3069" t="s">
        <v>26</v>
      </c>
      <c r="I3069" s="6" t="s">
        <v>1228</v>
      </c>
      <c r="J3069" s="59" t="s">
        <v>22</v>
      </c>
      <c r="L3069" s="5" t="str">
        <f t="shared" si="1119"/>
        <v>03068</v>
      </c>
      <c r="M3069" s="46" t="str">
        <f t="shared" si="1120"/>
        <v>01 de junio de 2020</v>
      </c>
      <c r="N3069" s="318">
        <f t="shared" si="1121"/>
        <v>1</v>
      </c>
      <c r="O3069" s="24">
        <f t="shared" si="1122"/>
        <v>43983</v>
      </c>
      <c r="P3069" s="5" t="str">
        <f t="shared" si="1123"/>
        <v>250.000,00</v>
      </c>
      <c r="Q3069" s="4" t="e">
        <f t="shared" ca="1" si="1124"/>
        <v>#NAME?</v>
      </c>
    </row>
    <row r="3070" spans="1:17">
      <c r="A3070" s="1">
        <f t="shared" si="1118"/>
        <v>3069</v>
      </c>
      <c r="B3070" s="8"/>
      <c r="C3070" s="8" t="s">
        <v>17</v>
      </c>
      <c r="D3070" s="2">
        <v>43951</v>
      </c>
      <c r="E3070" s="3">
        <v>250000</v>
      </c>
      <c r="F3070" t="s">
        <v>786</v>
      </c>
      <c r="G3070" t="s">
        <v>787</v>
      </c>
      <c r="H3070" t="s">
        <v>719</v>
      </c>
      <c r="I3070" s="6" t="s">
        <v>1229</v>
      </c>
      <c r="J3070" s="59" t="s">
        <v>22</v>
      </c>
      <c r="L3070" s="5" t="str">
        <f t="shared" si="1119"/>
        <v>03069</v>
      </c>
      <c r="M3070" s="46" t="str">
        <f t="shared" si="1120"/>
        <v>30 de abril de 2020</v>
      </c>
      <c r="N3070" s="318">
        <f t="shared" si="1121"/>
        <v>30</v>
      </c>
      <c r="O3070" s="24">
        <f t="shared" si="1122"/>
        <v>43922</v>
      </c>
      <c r="P3070" s="5" t="str">
        <f t="shared" si="1123"/>
        <v>250.000,00</v>
      </c>
      <c r="Q3070" s="4" t="e">
        <f t="shared" ca="1" si="1124"/>
        <v>#NAME?</v>
      </c>
    </row>
    <row r="3071" spans="1:17">
      <c r="A3071" s="1">
        <f t="shared" ref="A3071:A3072" si="1125">A3070+1</f>
        <v>3070</v>
      </c>
      <c r="B3071" s="8"/>
      <c r="C3071" s="8" t="s">
        <v>17</v>
      </c>
      <c r="D3071" s="2">
        <v>43983</v>
      </c>
      <c r="E3071" s="3">
        <v>250000</v>
      </c>
      <c r="F3071" t="s">
        <v>18</v>
      </c>
      <c r="G3071" t="s">
        <v>19</v>
      </c>
      <c r="H3071" t="s">
        <v>20</v>
      </c>
      <c r="I3071" t="s">
        <v>1230</v>
      </c>
      <c r="J3071" s="59" t="s">
        <v>22</v>
      </c>
      <c r="L3071" s="5" t="str">
        <f t="shared" si="1119"/>
        <v>03070</v>
      </c>
      <c r="M3071" s="46" t="str">
        <f t="shared" si="1120"/>
        <v>01 de junio de 2020</v>
      </c>
      <c r="N3071" s="318">
        <f t="shared" si="1121"/>
        <v>1</v>
      </c>
      <c r="O3071" s="24">
        <f t="shared" si="1122"/>
        <v>43983</v>
      </c>
      <c r="P3071" s="5" t="str">
        <f t="shared" si="1123"/>
        <v>250.000,00</v>
      </c>
      <c r="Q3071" s="4" t="e">
        <f t="shared" ca="1" si="1124"/>
        <v>#NAME?</v>
      </c>
    </row>
    <row r="3072" spans="1:17">
      <c r="A3072" s="1">
        <f t="shared" si="1125"/>
        <v>3071</v>
      </c>
      <c r="B3072" s="8"/>
      <c r="C3072" s="8" t="s">
        <v>17</v>
      </c>
      <c r="D3072" s="2">
        <v>43985</v>
      </c>
      <c r="E3072" s="3">
        <f>320500-50000</f>
        <v>270500</v>
      </c>
      <c r="F3072" t="s">
        <v>612</v>
      </c>
      <c r="G3072" t="s">
        <v>613</v>
      </c>
      <c r="H3072" t="s">
        <v>614</v>
      </c>
      <c r="I3072" s="6" t="s">
        <v>1231</v>
      </c>
      <c r="J3072" s="59" t="s">
        <v>22</v>
      </c>
      <c r="L3072" s="5" t="str">
        <f t="shared" si="1119"/>
        <v>03071</v>
      </c>
      <c r="M3072" s="46" t="str">
        <f t="shared" si="1120"/>
        <v>03 de junio de 2020</v>
      </c>
      <c r="N3072" s="318">
        <f t="shared" si="1121"/>
        <v>3</v>
      </c>
      <c r="O3072" s="24">
        <f t="shared" si="1122"/>
        <v>43983</v>
      </c>
      <c r="P3072" s="5" t="str">
        <f t="shared" si="1123"/>
        <v>270.500,00</v>
      </c>
      <c r="Q3072" s="4" t="e">
        <f t="shared" ca="1" si="1124"/>
        <v>#NAME?</v>
      </c>
    </row>
    <row r="3073" spans="1:17">
      <c r="A3073" s="1">
        <f>A3072+1</f>
        <v>3072</v>
      </c>
      <c r="B3073" s="8"/>
      <c r="C3073" s="8" t="s">
        <v>17</v>
      </c>
      <c r="D3073" s="2">
        <v>43985</v>
      </c>
      <c r="E3073" s="3">
        <v>50000</v>
      </c>
      <c r="F3073" t="s">
        <v>612</v>
      </c>
      <c r="G3073" t="s">
        <v>613</v>
      </c>
      <c r="H3073" t="s">
        <v>614</v>
      </c>
      <c r="I3073" s="6" t="s">
        <v>1217</v>
      </c>
      <c r="J3073" s="59" t="s">
        <v>1218</v>
      </c>
      <c r="L3073" s="5" t="str">
        <f t="shared" si="1119"/>
        <v>03072</v>
      </c>
      <c r="M3073" s="46" t="str">
        <f t="shared" si="1120"/>
        <v>03 de junio de 2020</v>
      </c>
      <c r="N3073" s="318">
        <f t="shared" si="1121"/>
        <v>3</v>
      </c>
      <c r="O3073" s="24">
        <f t="shared" si="1122"/>
        <v>43983</v>
      </c>
      <c r="P3073" s="5" t="str">
        <f t="shared" si="1123"/>
        <v>50.000,00</v>
      </c>
      <c r="Q3073" s="4" t="e">
        <f t="shared" ca="1" si="1124"/>
        <v>#NAME?</v>
      </c>
    </row>
    <row r="3074" spans="1:17">
      <c r="A3074" s="1">
        <f>A3073+1</f>
        <v>3073</v>
      </c>
      <c r="B3074" s="8"/>
      <c r="C3074" s="8" t="s">
        <v>17</v>
      </c>
      <c r="D3074" s="2">
        <v>43985</v>
      </c>
      <c r="E3074" s="3">
        <v>150000</v>
      </c>
      <c r="F3074" t="s">
        <v>412</v>
      </c>
      <c r="G3074" t="s">
        <v>413</v>
      </c>
      <c r="H3074" t="s">
        <v>414</v>
      </c>
      <c r="I3074" s="6" t="s">
        <v>1205</v>
      </c>
      <c r="J3074" s="59" t="s">
        <v>22</v>
      </c>
      <c r="L3074" s="5" t="str">
        <f t="shared" si="1119"/>
        <v>03073</v>
      </c>
      <c r="M3074" s="46" t="str">
        <f t="shared" si="1120"/>
        <v>03 de junio de 2020</v>
      </c>
      <c r="N3074" s="318">
        <f t="shared" si="1121"/>
        <v>3</v>
      </c>
      <c r="O3074" s="24">
        <f t="shared" si="1122"/>
        <v>43983</v>
      </c>
      <c r="P3074" s="5" t="str">
        <f t="shared" si="1123"/>
        <v>150.000,00</v>
      </c>
      <c r="Q3074" s="4" t="e">
        <f t="shared" ca="1" si="1124"/>
        <v>#NAME?</v>
      </c>
    </row>
    <row r="3075" spans="1:17">
      <c r="A3075" s="1">
        <f>A3074+1</f>
        <v>3074</v>
      </c>
      <c r="B3075" s="8"/>
      <c r="C3075" s="8" t="s">
        <v>17</v>
      </c>
      <c r="D3075" s="2">
        <v>43985</v>
      </c>
      <c r="E3075" s="3">
        <v>50000</v>
      </c>
      <c r="F3075" t="s">
        <v>412</v>
      </c>
      <c r="G3075" t="s">
        <v>413</v>
      </c>
      <c r="H3075" t="s">
        <v>414</v>
      </c>
      <c r="I3075" s="6" t="s">
        <v>1217</v>
      </c>
      <c r="J3075" s="59" t="s">
        <v>1218</v>
      </c>
      <c r="L3075" s="5" t="str">
        <f t="shared" ref="L3075" si="1126">IF(ISBLANK(A3075),"",TEXT(A3075,"00000"))</f>
        <v>03074</v>
      </c>
      <c r="M3075" s="46" t="str">
        <f t="shared" ref="M3075" si="1127">IF(ISBLANK(D3075),"",TEXT(D3075,"dd")&amp;" de "&amp;TEXT(D3075,"mmmm")&amp;" de "&amp;TEXT(YEAR(D3075),"0"))</f>
        <v>03 de junio de 2020</v>
      </c>
      <c r="N3075" s="318">
        <f t="shared" ref="N3075" si="1128">DAY(D3075)</f>
        <v>3</v>
      </c>
      <c r="O3075" s="24">
        <f t="shared" ref="O3075" si="1129">DATE(YEAR(D3075),MONTH(D3075),1)</f>
        <v>43983</v>
      </c>
      <c r="P3075" s="5" t="str">
        <f t="shared" ref="P3075" si="1130">TEXT(E3075,"#.##0,00")</f>
        <v>50.000,00</v>
      </c>
      <c r="Q3075" s="4" t="e">
        <f t="shared" ref="Q3075" ca="1" si="1131">CONVERTIRNUM(E3075)</f>
        <v>#NAME?</v>
      </c>
    </row>
    <row r="3076" spans="1:17">
      <c r="A3076" s="1">
        <f>A3075+1</f>
        <v>3075</v>
      </c>
      <c r="B3076" s="8"/>
      <c r="C3076" s="8" t="s">
        <v>17</v>
      </c>
      <c r="D3076" s="2">
        <v>43985</v>
      </c>
      <c r="E3076" s="3">
        <v>400000</v>
      </c>
      <c r="F3076" t="s">
        <v>80</v>
      </c>
      <c r="G3076" t="s">
        <v>81</v>
      </c>
      <c r="H3076" t="s">
        <v>82</v>
      </c>
      <c r="I3076" s="6" t="s">
        <v>1228</v>
      </c>
      <c r="J3076" s="59" t="s">
        <v>22</v>
      </c>
      <c r="L3076" s="5" t="str">
        <f t="shared" ref="L3076:L3095" si="1132">IF(ISBLANK(A3076),"",TEXT(A3076,"00000"))</f>
        <v>03075</v>
      </c>
      <c r="M3076" s="46" t="str">
        <f t="shared" ref="M3076:M3095" si="1133">IF(ISBLANK(D3076),"",TEXT(D3076,"dd")&amp;" de "&amp;TEXT(D3076,"mmmm")&amp;" de "&amp;TEXT(YEAR(D3076),"0"))</f>
        <v>03 de junio de 2020</v>
      </c>
      <c r="N3076" s="318">
        <f t="shared" ref="N3076:N3095" si="1134">DAY(D3076)</f>
        <v>3</v>
      </c>
      <c r="O3076" s="24">
        <f t="shared" ref="O3076:O3095" si="1135">DATE(YEAR(D3076),MONTH(D3076),1)</f>
        <v>43983</v>
      </c>
      <c r="P3076" s="5" t="str">
        <f t="shared" ref="P3076:P3095" si="1136">TEXT(E3076,"#.##0,00")</f>
        <v>400.000,00</v>
      </c>
      <c r="Q3076" s="4" t="e">
        <f t="shared" ref="Q3076:Q3095" ca="1" si="1137">CONVERTIRNUM(E3076)</f>
        <v>#NAME?</v>
      </c>
    </row>
    <row r="3077" spans="1:17">
      <c r="A3077" s="1">
        <f t="shared" ref="A3077:A3083" si="1138">A3076+1</f>
        <v>3076</v>
      </c>
      <c r="B3077" s="8"/>
      <c r="C3077" s="8" t="s">
        <v>17</v>
      </c>
      <c r="D3077" s="2">
        <v>43986</v>
      </c>
      <c r="E3077" s="3">
        <v>110000</v>
      </c>
      <c r="F3077" t="s">
        <v>28</v>
      </c>
      <c r="G3077" t="s">
        <v>716</v>
      </c>
      <c r="H3077" t="s">
        <v>30</v>
      </c>
      <c r="I3077" s="6" t="s">
        <v>1232</v>
      </c>
      <c r="J3077" s="59" t="s">
        <v>22</v>
      </c>
      <c r="L3077" s="5" t="str">
        <f t="shared" si="1132"/>
        <v>03076</v>
      </c>
      <c r="M3077" s="46" t="str">
        <f t="shared" si="1133"/>
        <v>04 de junio de 2020</v>
      </c>
      <c r="N3077" s="318">
        <f t="shared" si="1134"/>
        <v>4</v>
      </c>
      <c r="O3077" s="24">
        <f t="shared" si="1135"/>
        <v>43983</v>
      </c>
      <c r="P3077" s="5" t="str">
        <f t="shared" si="1136"/>
        <v>110.000,00</v>
      </c>
      <c r="Q3077" s="4" t="e">
        <f t="shared" ca="1" si="1137"/>
        <v>#NAME?</v>
      </c>
    </row>
    <row r="3078" spans="1:17">
      <c r="A3078" s="1">
        <f>A3077+1</f>
        <v>3077</v>
      </c>
      <c r="B3078" s="8"/>
      <c r="C3078" s="8" t="s">
        <v>17</v>
      </c>
      <c r="D3078" s="2">
        <v>43986</v>
      </c>
      <c r="E3078" s="3">
        <v>250000</v>
      </c>
      <c r="F3078" t="s">
        <v>114</v>
      </c>
      <c r="G3078" t="s">
        <v>115</v>
      </c>
      <c r="H3078" t="s">
        <v>105</v>
      </c>
      <c r="I3078" s="6" t="s">
        <v>1228</v>
      </c>
      <c r="J3078" s="59" t="s">
        <v>22</v>
      </c>
      <c r="L3078" s="5" t="str">
        <f t="shared" si="1132"/>
        <v>03077</v>
      </c>
      <c r="M3078" s="46" t="str">
        <f t="shared" si="1133"/>
        <v>04 de junio de 2020</v>
      </c>
      <c r="N3078" s="318">
        <f t="shared" si="1134"/>
        <v>4</v>
      </c>
      <c r="O3078" s="24">
        <f t="shared" si="1135"/>
        <v>43983</v>
      </c>
      <c r="P3078" s="5" t="str">
        <f t="shared" si="1136"/>
        <v>250.000,00</v>
      </c>
      <c r="Q3078" s="4" t="e">
        <f t="shared" ca="1" si="1137"/>
        <v>#NAME?</v>
      </c>
    </row>
    <row r="3079" spans="1:17">
      <c r="A3079" s="1">
        <f>A3078+1</f>
        <v>3078</v>
      </c>
      <c r="B3079" s="8"/>
      <c r="C3079" s="8" t="s">
        <v>17</v>
      </c>
      <c r="D3079" s="2">
        <v>43986</v>
      </c>
      <c r="E3079" s="3">
        <v>250000</v>
      </c>
      <c r="F3079" t="s">
        <v>324</v>
      </c>
      <c r="G3079" t="s">
        <v>325</v>
      </c>
      <c r="H3079" t="s">
        <v>326</v>
      </c>
      <c r="I3079" s="6" t="s">
        <v>1228</v>
      </c>
      <c r="J3079" s="59" t="s">
        <v>22</v>
      </c>
      <c r="L3079" s="5" t="str">
        <f t="shared" si="1132"/>
        <v>03078</v>
      </c>
      <c r="M3079" s="46" t="str">
        <f t="shared" si="1133"/>
        <v>04 de junio de 2020</v>
      </c>
      <c r="N3079" s="318">
        <f t="shared" si="1134"/>
        <v>4</v>
      </c>
      <c r="O3079" s="24">
        <f t="shared" si="1135"/>
        <v>43983</v>
      </c>
      <c r="P3079" s="5" t="str">
        <f t="shared" si="1136"/>
        <v>250.000,00</v>
      </c>
      <c r="Q3079" s="4" t="e">
        <f t="shared" ca="1" si="1137"/>
        <v>#NAME?</v>
      </c>
    </row>
    <row r="3080" spans="1:17">
      <c r="A3080" s="1">
        <f>A3079+1</f>
        <v>3079</v>
      </c>
      <c r="C3080" s="8" t="s">
        <v>17</v>
      </c>
      <c r="D3080" s="2">
        <v>43987</v>
      </c>
      <c r="E3080" s="3">
        <v>250000</v>
      </c>
      <c r="F3080" t="s">
        <v>1139</v>
      </c>
      <c r="G3080" t="s">
        <v>1140</v>
      </c>
      <c r="H3080" t="s">
        <v>1116</v>
      </c>
      <c r="I3080" s="6" t="s">
        <v>1228</v>
      </c>
      <c r="J3080" s="59" t="s">
        <v>22</v>
      </c>
      <c r="L3080" s="5" t="str">
        <f t="shared" si="1132"/>
        <v>03079</v>
      </c>
      <c r="M3080" s="46" t="str">
        <f t="shared" si="1133"/>
        <v>05 de junio de 2020</v>
      </c>
      <c r="N3080" s="318">
        <f t="shared" si="1134"/>
        <v>5</v>
      </c>
      <c r="O3080" s="24">
        <f t="shared" si="1135"/>
        <v>43983</v>
      </c>
      <c r="P3080" s="5" t="str">
        <f t="shared" si="1136"/>
        <v>250.000,00</v>
      </c>
      <c r="Q3080" s="4" t="e">
        <f t="shared" ca="1" si="1137"/>
        <v>#NAME?</v>
      </c>
    </row>
    <row r="3081" spans="1:17">
      <c r="A3081" s="1">
        <f>A3080+1</f>
        <v>3080</v>
      </c>
      <c r="B3081" s="8"/>
      <c r="C3081" s="83" t="s">
        <v>17</v>
      </c>
      <c r="D3081" s="2">
        <v>43987</v>
      </c>
      <c r="E3081" s="160">
        <v>250000</v>
      </c>
      <c r="F3081" t="s">
        <v>492</v>
      </c>
      <c r="G3081" s="18" t="s">
        <v>58</v>
      </c>
      <c r="H3081" t="s">
        <v>493</v>
      </c>
      <c r="I3081" s="6" t="s">
        <v>1228</v>
      </c>
      <c r="J3081" s="59" t="s">
        <v>22</v>
      </c>
      <c r="L3081" s="5" t="str">
        <f t="shared" si="1132"/>
        <v>03080</v>
      </c>
      <c r="M3081" s="46" t="str">
        <f t="shared" si="1133"/>
        <v>05 de junio de 2020</v>
      </c>
      <c r="N3081" s="318">
        <f t="shared" si="1134"/>
        <v>5</v>
      </c>
      <c r="O3081" s="24">
        <f t="shared" si="1135"/>
        <v>43983</v>
      </c>
      <c r="P3081" s="5" t="str">
        <f t="shared" si="1136"/>
        <v>250.000,00</v>
      </c>
      <c r="Q3081" s="4" t="e">
        <f t="shared" ca="1" si="1137"/>
        <v>#NAME?</v>
      </c>
    </row>
    <row r="3082" spans="1:17">
      <c r="A3082" s="1">
        <f t="shared" si="1138"/>
        <v>3081</v>
      </c>
      <c r="C3082" s="8" t="s">
        <v>17</v>
      </c>
      <c r="D3082" s="2">
        <v>43988</v>
      </c>
      <c r="E3082" s="3">
        <v>250000</v>
      </c>
      <c r="F3082" t="s">
        <v>1187</v>
      </c>
      <c r="G3082" t="s">
        <v>1188</v>
      </c>
      <c r="H3082" t="s">
        <v>50</v>
      </c>
      <c r="I3082" s="6" t="s">
        <v>1228</v>
      </c>
      <c r="J3082" s="59" t="s">
        <v>22</v>
      </c>
      <c r="L3082" s="5" t="str">
        <f t="shared" si="1132"/>
        <v>03081</v>
      </c>
      <c r="M3082" s="46" t="str">
        <f t="shared" si="1133"/>
        <v>06 de junio de 2020</v>
      </c>
      <c r="N3082" s="318">
        <f t="shared" si="1134"/>
        <v>6</v>
      </c>
      <c r="O3082" s="24">
        <f t="shared" si="1135"/>
        <v>43983</v>
      </c>
      <c r="P3082" s="5" t="str">
        <f t="shared" si="1136"/>
        <v>250.000,00</v>
      </c>
      <c r="Q3082" s="4" t="e">
        <f t="shared" ca="1" si="1137"/>
        <v>#NAME?</v>
      </c>
    </row>
    <row r="3083" spans="1:17">
      <c r="A3083" s="1">
        <f t="shared" si="1138"/>
        <v>3082</v>
      </c>
      <c r="C3083" s="8" t="s">
        <v>17</v>
      </c>
      <c r="D3083" s="2">
        <v>43990</v>
      </c>
      <c r="E3083" s="3">
        <v>250000</v>
      </c>
      <c r="F3083" t="s">
        <v>201</v>
      </c>
      <c r="G3083" t="s">
        <v>202</v>
      </c>
      <c r="H3083" t="s">
        <v>203</v>
      </c>
      <c r="I3083" s="6" t="s">
        <v>1228</v>
      </c>
      <c r="J3083" s="59" t="s">
        <v>22</v>
      </c>
      <c r="L3083" s="5" t="str">
        <f t="shared" si="1132"/>
        <v>03082</v>
      </c>
      <c r="M3083" s="46" t="str">
        <f t="shared" si="1133"/>
        <v>08 de junio de 2020</v>
      </c>
      <c r="N3083" s="318">
        <f t="shared" si="1134"/>
        <v>8</v>
      </c>
      <c r="O3083" s="24">
        <f t="shared" si="1135"/>
        <v>43983</v>
      </c>
      <c r="P3083" s="5" t="str">
        <f t="shared" si="1136"/>
        <v>250.000,00</v>
      </c>
      <c r="Q3083" s="4" t="e">
        <f t="shared" ca="1" si="1137"/>
        <v>#NAME?</v>
      </c>
    </row>
    <row r="3084" spans="1:17">
      <c r="A3084" s="1">
        <f>A3083+1</f>
        <v>3083</v>
      </c>
      <c r="C3084" s="8" t="s">
        <v>17</v>
      </c>
      <c r="D3084" s="2">
        <v>43990</v>
      </c>
      <c r="E3084" s="3">
        <v>300000</v>
      </c>
      <c r="F3084" t="s">
        <v>107</v>
      </c>
      <c r="G3084" t="s">
        <v>108</v>
      </c>
      <c r="H3084" t="s">
        <v>109</v>
      </c>
      <c r="I3084" s="6" t="s">
        <v>1228</v>
      </c>
      <c r="J3084" s="59" t="s">
        <v>22</v>
      </c>
      <c r="L3084" s="5" t="str">
        <f t="shared" si="1132"/>
        <v>03083</v>
      </c>
      <c r="M3084" s="46" t="str">
        <f t="shared" si="1133"/>
        <v>08 de junio de 2020</v>
      </c>
      <c r="N3084" s="318">
        <f t="shared" si="1134"/>
        <v>8</v>
      </c>
      <c r="O3084" s="24">
        <f t="shared" si="1135"/>
        <v>43983</v>
      </c>
      <c r="P3084" s="5" t="str">
        <f t="shared" si="1136"/>
        <v>300.000,00</v>
      </c>
      <c r="Q3084" s="4" t="e">
        <f t="shared" ca="1" si="1137"/>
        <v>#NAME?</v>
      </c>
    </row>
    <row r="3085" spans="1:17">
      <c r="A3085" s="600">
        <f t="shared" ref="A3085:A3087" si="1139">A3084+1</f>
        <v>3084</v>
      </c>
      <c r="C3085" s="8" t="s">
        <v>17</v>
      </c>
      <c r="D3085" s="2">
        <v>43990</v>
      </c>
      <c r="E3085" s="3">
        <v>250000</v>
      </c>
      <c r="F3085" t="s">
        <v>243</v>
      </c>
      <c r="G3085" t="s">
        <v>244</v>
      </c>
      <c r="H3085" t="s">
        <v>245</v>
      </c>
      <c r="I3085" s="6" t="s">
        <v>1228</v>
      </c>
      <c r="J3085" s="59" t="s">
        <v>22</v>
      </c>
      <c r="L3085" s="5" t="str">
        <f t="shared" si="1132"/>
        <v>03084</v>
      </c>
      <c r="M3085" s="46" t="str">
        <f t="shared" si="1133"/>
        <v>08 de junio de 2020</v>
      </c>
      <c r="N3085" s="318">
        <f t="shared" si="1134"/>
        <v>8</v>
      </c>
      <c r="O3085" s="24">
        <f t="shared" si="1135"/>
        <v>43983</v>
      </c>
      <c r="P3085" s="5" t="str">
        <f t="shared" si="1136"/>
        <v>250.000,00</v>
      </c>
      <c r="Q3085" s="4" t="e">
        <f t="shared" ca="1" si="1137"/>
        <v>#NAME?</v>
      </c>
    </row>
    <row r="3086" spans="1:17">
      <c r="A3086" s="1">
        <f t="shared" si="1139"/>
        <v>3085</v>
      </c>
      <c r="C3086" s="8" t="s">
        <v>17</v>
      </c>
      <c r="D3086" s="2">
        <v>43991</v>
      </c>
      <c r="E3086" s="3">
        <v>250000</v>
      </c>
      <c r="F3086" t="s">
        <v>36</v>
      </c>
      <c r="G3086" t="s">
        <v>37</v>
      </c>
      <c r="H3086" t="s">
        <v>38</v>
      </c>
      <c r="I3086" s="6" t="s">
        <v>1228</v>
      </c>
      <c r="J3086" s="59" t="s">
        <v>22</v>
      </c>
      <c r="L3086" s="5" t="str">
        <f t="shared" si="1132"/>
        <v>03085</v>
      </c>
      <c r="M3086" s="46" t="str">
        <f t="shared" si="1133"/>
        <v>09 de junio de 2020</v>
      </c>
      <c r="N3086" s="318">
        <f t="shared" si="1134"/>
        <v>9</v>
      </c>
      <c r="O3086" s="24">
        <f t="shared" si="1135"/>
        <v>43983</v>
      </c>
      <c r="P3086" s="5" t="str">
        <f t="shared" si="1136"/>
        <v>250.000,00</v>
      </c>
      <c r="Q3086" s="4" t="e">
        <f t="shared" ca="1" si="1137"/>
        <v>#NAME?</v>
      </c>
    </row>
    <row r="3087" spans="1:17">
      <c r="A3087" s="1">
        <f t="shared" si="1139"/>
        <v>3086</v>
      </c>
      <c r="C3087" s="8" t="s">
        <v>17</v>
      </c>
      <c r="D3087" s="2">
        <v>43991</v>
      </c>
      <c r="E3087" s="3">
        <v>250000</v>
      </c>
      <c r="F3087" t="s">
        <v>312</v>
      </c>
      <c r="G3087" t="s">
        <v>313</v>
      </c>
      <c r="H3087" t="s">
        <v>314</v>
      </c>
      <c r="I3087" s="6" t="s">
        <v>1228</v>
      </c>
      <c r="J3087" s="59" t="s">
        <v>22</v>
      </c>
      <c r="L3087" s="5" t="str">
        <f t="shared" si="1132"/>
        <v>03086</v>
      </c>
      <c r="M3087" s="46" t="str">
        <f t="shared" si="1133"/>
        <v>09 de junio de 2020</v>
      </c>
      <c r="N3087" s="318">
        <f t="shared" si="1134"/>
        <v>9</v>
      </c>
      <c r="O3087" s="24">
        <f t="shared" si="1135"/>
        <v>43983</v>
      </c>
      <c r="P3087" s="5" t="str">
        <f t="shared" si="1136"/>
        <v>250.000,00</v>
      </c>
      <c r="Q3087" s="4" t="e">
        <f t="shared" ca="1" si="1137"/>
        <v>#NAME?</v>
      </c>
    </row>
    <row r="3088" spans="1:17">
      <c r="A3088" s="1">
        <f>A3087+1</f>
        <v>3087</v>
      </c>
      <c r="C3088" s="8" t="s">
        <v>17</v>
      </c>
      <c r="D3088" s="2">
        <v>43990</v>
      </c>
      <c r="E3088" s="3">
        <v>300000</v>
      </c>
      <c r="F3088" t="s">
        <v>53</v>
      </c>
      <c r="G3088" t="s">
        <v>677</v>
      </c>
      <c r="H3088" t="s">
        <v>55</v>
      </c>
      <c r="I3088" s="6" t="s">
        <v>1228</v>
      </c>
      <c r="J3088" s="59" t="s">
        <v>22</v>
      </c>
      <c r="L3088" s="5" t="str">
        <f t="shared" si="1132"/>
        <v>03087</v>
      </c>
      <c r="M3088" s="46" t="str">
        <f t="shared" si="1133"/>
        <v>08 de junio de 2020</v>
      </c>
      <c r="N3088" s="318">
        <f t="shared" si="1134"/>
        <v>8</v>
      </c>
      <c r="O3088" s="24">
        <f t="shared" si="1135"/>
        <v>43983</v>
      </c>
      <c r="P3088" s="5" t="str">
        <f t="shared" si="1136"/>
        <v>300.000,00</v>
      </c>
      <c r="Q3088" s="4" t="e">
        <f t="shared" ca="1" si="1137"/>
        <v>#NAME?</v>
      </c>
    </row>
    <row r="3089" spans="1:17">
      <c r="A3089" s="1">
        <f t="shared" ref="A3089:A3100" si="1140">A3088+1</f>
        <v>3088</v>
      </c>
      <c r="C3089" s="8" t="s">
        <v>17</v>
      </c>
      <c r="D3089" s="2">
        <v>43991</v>
      </c>
      <c r="E3089" s="3">
        <v>250000</v>
      </c>
      <c r="F3089" t="s">
        <v>1005</v>
      </c>
      <c r="G3089" t="s">
        <v>1006</v>
      </c>
      <c r="H3089" t="s">
        <v>539</v>
      </c>
      <c r="I3089" s="6" t="s">
        <v>1228</v>
      </c>
      <c r="J3089" s="59" t="s">
        <v>22</v>
      </c>
      <c r="L3089" s="5" t="str">
        <f t="shared" si="1132"/>
        <v>03088</v>
      </c>
      <c r="M3089" s="46" t="str">
        <f t="shared" si="1133"/>
        <v>09 de junio de 2020</v>
      </c>
      <c r="N3089" s="318">
        <f t="shared" si="1134"/>
        <v>9</v>
      </c>
      <c r="O3089" s="24">
        <f t="shared" si="1135"/>
        <v>43983</v>
      </c>
      <c r="P3089" s="5" t="str">
        <f t="shared" si="1136"/>
        <v>250.000,00</v>
      </c>
      <c r="Q3089" s="4" t="e">
        <f t="shared" ca="1" si="1137"/>
        <v>#NAME?</v>
      </c>
    </row>
    <row r="3090" spans="1:17">
      <c r="A3090" s="600">
        <f t="shared" si="1140"/>
        <v>3089</v>
      </c>
      <c r="C3090" s="8" t="s">
        <v>17</v>
      </c>
      <c r="D3090" s="2">
        <v>43991</v>
      </c>
      <c r="E3090" s="3">
        <v>250000</v>
      </c>
      <c r="F3090" t="s">
        <v>1174</v>
      </c>
      <c r="G3090" t="s">
        <v>1175</v>
      </c>
      <c r="H3090" t="s">
        <v>187</v>
      </c>
      <c r="I3090" s="6" t="s">
        <v>1228</v>
      </c>
      <c r="J3090" s="59" t="s">
        <v>22</v>
      </c>
      <c r="L3090" s="5" t="str">
        <f t="shared" si="1132"/>
        <v>03089</v>
      </c>
      <c r="M3090" s="46" t="str">
        <f t="shared" si="1133"/>
        <v>09 de junio de 2020</v>
      </c>
      <c r="N3090" s="318">
        <f t="shared" si="1134"/>
        <v>9</v>
      </c>
      <c r="O3090" s="24">
        <f t="shared" si="1135"/>
        <v>43983</v>
      </c>
      <c r="P3090" s="5" t="str">
        <f t="shared" si="1136"/>
        <v>250.000,00</v>
      </c>
      <c r="Q3090" s="4" t="e">
        <f t="shared" ca="1" si="1137"/>
        <v>#NAME?</v>
      </c>
    </row>
    <row r="3091" spans="1:17">
      <c r="A3091" s="1">
        <f>A3090+1</f>
        <v>3090</v>
      </c>
      <c r="C3091" s="8" t="s">
        <v>17</v>
      </c>
      <c r="D3091" s="2">
        <v>43991</v>
      </c>
      <c r="E3091" s="160">
        <v>150000</v>
      </c>
      <c r="F3091" t="s">
        <v>334</v>
      </c>
      <c r="G3091" t="s">
        <v>85</v>
      </c>
      <c r="H3091" t="s">
        <v>335</v>
      </c>
      <c r="I3091" s="6" t="s">
        <v>1232</v>
      </c>
      <c r="J3091" s="59" t="s">
        <v>22</v>
      </c>
      <c r="L3091" s="5" t="str">
        <f t="shared" si="1132"/>
        <v>03090</v>
      </c>
      <c r="M3091" s="46" t="str">
        <f t="shared" si="1133"/>
        <v>09 de junio de 2020</v>
      </c>
      <c r="N3091" s="318">
        <f t="shared" si="1134"/>
        <v>9</v>
      </c>
      <c r="O3091" s="24">
        <f t="shared" si="1135"/>
        <v>43983</v>
      </c>
      <c r="P3091" s="5" t="str">
        <f t="shared" si="1136"/>
        <v>150.000,00</v>
      </c>
      <c r="Q3091" s="4" t="e">
        <f t="shared" ca="1" si="1137"/>
        <v>#NAME?</v>
      </c>
    </row>
    <row r="3092" spans="1:17">
      <c r="A3092" s="1">
        <f>A3091+1</f>
        <v>3091</v>
      </c>
      <c r="C3092" s="8" t="s">
        <v>17</v>
      </c>
      <c r="D3092" s="2">
        <v>43991</v>
      </c>
      <c r="E3092" s="160">
        <v>250000</v>
      </c>
      <c r="F3092" t="s">
        <v>84</v>
      </c>
      <c r="G3092" t="s">
        <v>85</v>
      </c>
      <c r="H3092" t="s">
        <v>86</v>
      </c>
      <c r="I3092" s="6" t="s">
        <v>1228</v>
      </c>
      <c r="J3092" s="59" t="s">
        <v>22</v>
      </c>
      <c r="L3092" s="5" t="str">
        <f t="shared" si="1132"/>
        <v>03091</v>
      </c>
      <c r="M3092" s="46" t="str">
        <f t="shared" si="1133"/>
        <v>09 de junio de 2020</v>
      </c>
      <c r="N3092" s="318">
        <f t="shared" si="1134"/>
        <v>9</v>
      </c>
      <c r="O3092" s="24">
        <f t="shared" si="1135"/>
        <v>43983</v>
      </c>
      <c r="P3092" s="5" t="str">
        <f t="shared" si="1136"/>
        <v>250.000,00</v>
      </c>
      <c r="Q3092" s="4" t="e">
        <f t="shared" ca="1" si="1137"/>
        <v>#NAME?</v>
      </c>
    </row>
    <row r="3093" spans="1:17">
      <c r="A3093" s="1">
        <f>A3092+1</f>
        <v>3092</v>
      </c>
      <c r="C3093" s="8" t="s">
        <v>17</v>
      </c>
      <c r="D3093" s="2">
        <v>43991</v>
      </c>
      <c r="E3093" s="3">
        <v>250000</v>
      </c>
      <c r="F3093" t="s">
        <v>70</v>
      </c>
      <c r="G3093" t="s">
        <v>71</v>
      </c>
      <c r="H3093" t="s">
        <v>72</v>
      </c>
      <c r="I3093" s="6" t="s">
        <v>1228</v>
      </c>
      <c r="J3093" s="59" t="s">
        <v>22</v>
      </c>
      <c r="L3093" s="5" t="str">
        <f t="shared" si="1132"/>
        <v>03092</v>
      </c>
      <c r="M3093" s="46" t="str">
        <f t="shared" si="1133"/>
        <v>09 de junio de 2020</v>
      </c>
      <c r="N3093" s="318">
        <f t="shared" si="1134"/>
        <v>9</v>
      </c>
      <c r="O3093" s="24">
        <f t="shared" si="1135"/>
        <v>43983</v>
      </c>
      <c r="P3093" s="5" t="str">
        <f t="shared" si="1136"/>
        <v>250.000,00</v>
      </c>
      <c r="Q3093" s="4" t="e">
        <f t="shared" ca="1" si="1137"/>
        <v>#NAME?</v>
      </c>
    </row>
    <row r="3094" spans="1:17">
      <c r="A3094" s="1">
        <f>A3093+1</f>
        <v>3093</v>
      </c>
      <c r="C3094" s="8" t="s">
        <v>17</v>
      </c>
      <c r="D3094" s="2">
        <v>43991</v>
      </c>
      <c r="E3094" s="3">
        <v>250000</v>
      </c>
      <c r="F3094" t="s">
        <v>211</v>
      </c>
      <c r="G3094" t="s">
        <v>212</v>
      </c>
      <c r="H3094" t="s">
        <v>213</v>
      </c>
      <c r="I3094" s="6" t="s">
        <v>1228</v>
      </c>
      <c r="J3094" s="59" t="s">
        <v>22</v>
      </c>
      <c r="L3094" s="5" t="str">
        <f t="shared" si="1132"/>
        <v>03093</v>
      </c>
      <c r="M3094" s="46" t="str">
        <f t="shared" si="1133"/>
        <v>09 de junio de 2020</v>
      </c>
      <c r="N3094" s="318">
        <f t="shared" si="1134"/>
        <v>9</v>
      </c>
      <c r="O3094" s="24">
        <f t="shared" si="1135"/>
        <v>43983</v>
      </c>
      <c r="P3094" s="5" t="str">
        <f t="shared" si="1136"/>
        <v>250.000,00</v>
      </c>
      <c r="Q3094" s="4" t="e">
        <f t="shared" ca="1" si="1137"/>
        <v>#NAME?</v>
      </c>
    </row>
    <row r="3095" spans="1:17">
      <c r="A3095" s="1">
        <f>A3094+1</f>
        <v>3094</v>
      </c>
      <c r="C3095" s="8" t="s">
        <v>17</v>
      </c>
      <c r="D3095" s="2">
        <v>43992</v>
      </c>
      <c r="E3095" s="3">
        <v>250000</v>
      </c>
      <c r="F3095" t="s">
        <v>342</v>
      </c>
      <c r="G3095" t="s">
        <v>1037</v>
      </c>
      <c r="H3095" t="s">
        <v>344</v>
      </c>
      <c r="I3095" s="6" t="s">
        <v>1228</v>
      </c>
      <c r="J3095" s="59" t="s">
        <v>22</v>
      </c>
      <c r="L3095" s="5" t="str">
        <f t="shared" si="1132"/>
        <v>03094</v>
      </c>
      <c r="M3095" s="46" t="str">
        <f t="shared" si="1133"/>
        <v>10 de junio de 2020</v>
      </c>
      <c r="N3095" s="318">
        <f t="shared" si="1134"/>
        <v>10</v>
      </c>
      <c r="O3095" s="24">
        <f t="shared" si="1135"/>
        <v>43983</v>
      </c>
      <c r="P3095" s="5" t="str">
        <f t="shared" si="1136"/>
        <v>250.000,00</v>
      </c>
      <c r="Q3095" s="4" t="e">
        <f t="shared" ca="1" si="1137"/>
        <v>#NAME?</v>
      </c>
    </row>
    <row r="3096" spans="1:17">
      <c r="A3096" s="1">
        <f t="shared" si="1140"/>
        <v>3095</v>
      </c>
      <c r="C3096" s="8" t="s">
        <v>17</v>
      </c>
      <c r="D3096" s="2">
        <v>43992</v>
      </c>
      <c r="E3096" s="3">
        <v>250000</v>
      </c>
      <c r="F3096" t="s">
        <v>1005</v>
      </c>
      <c r="G3096" t="s">
        <v>1006</v>
      </c>
      <c r="H3096" t="s">
        <v>539</v>
      </c>
      <c r="I3096" s="6" t="s">
        <v>1233</v>
      </c>
      <c r="J3096" s="59" t="s">
        <v>22</v>
      </c>
      <c r="L3096" s="5" t="str">
        <f t="shared" ref="L3096:L3121" si="1141">IF(ISBLANK(A3096),"",TEXT(A3096,"00000"))</f>
        <v>03095</v>
      </c>
      <c r="M3096" s="46" t="str">
        <f t="shared" ref="M3096:M3121" si="1142">IF(ISBLANK(D3096),"",TEXT(D3096,"dd")&amp;" de "&amp;TEXT(D3096,"mmmm")&amp;" de "&amp;TEXT(YEAR(D3096),"0"))</f>
        <v>10 de junio de 2020</v>
      </c>
      <c r="N3096" s="318">
        <f t="shared" ref="N3096:N3121" si="1143">DAY(D3096)</f>
        <v>10</v>
      </c>
      <c r="O3096" s="24">
        <f t="shared" ref="O3096:O3121" si="1144">DATE(YEAR(D3096),MONTH(D3096),1)</f>
        <v>43983</v>
      </c>
      <c r="P3096" s="5" t="str">
        <f t="shared" ref="P3096:P3121" si="1145">TEXT(E3096,"#.##0,00")</f>
        <v>250.000,00</v>
      </c>
      <c r="Q3096" s="4" t="e">
        <f t="shared" ref="Q3096:Q3097" ca="1" si="1146">CONVERTIRNUM(E3096)</f>
        <v>#NAME?</v>
      </c>
    </row>
    <row r="3097" spans="1:17">
      <c r="A3097" s="1">
        <f>A3096+1</f>
        <v>3096</v>
      </c>
      <c r="C3097" s="8" t="s">
        <v>17</v>
      </c>
      <c r="D3097" s="2">
        <v>43993</v>
      </c>
      <c r="E3097" s="3">
        <v>250000</v>
      </c>
      <c r="F3097" t="s">
        <v>197</v>
      </c>
      <c r="G3097" t="s">
        <v>198</v>
      </c>
      <c r="H3097" t="s">
        <v>199</v>
      </c>
      <c r="I3097" s="6" t="s">
        <v>1228</v>
      </c>
      <c r="J3097" s="59" t="s">
        <v>22</v>
      </c>
      <c r="L3097" s="5" t="str">
        <f t="shared" si="1141"/>
        <v>03096</v>
      </c>
      <c r="M3097" s="46" t="str">
        <f t="shared" si="1142"/>
        <v>11 de junio de 2020</v>
      </c>
      <c r="N3097" s="318">
        <f t="shared" si="1143"/>
        <v>11</v>
      </c>
      <c r="O3097" s="24">
        <f t="shared" si="1144"/>
        <v>43983</v>
      </c>
      <c r="P3097" s="5" t="str">
        <f t="shared" si="1145"/>
        <v>250.000,00</v>
      </c>
      <c r="Q3097" s="4" t="e">
        <f t="shared" ca="1" si="1146"/>
        <v>#NAME?</v>
      </c>
    </row>
    <row r="3098" spans="1:17">
      <c r="A3098" s="1">
        <f t="shared" si="1140"/>
        <v>3097</v>
      </c>
      <c r="C3098" s="8" t="s">
        <v>17</v>
      </c>
      <c r="D3098" s="2">
        <v>43993</v>
      </c>
      <c r="E3098" s="3">
        <v>250000</v>
      </c>
      <c r="F3098" t="s">
        <v>407</v>
      </c>
      <c r="G3098" t="s">
        <v>408</v>
      </c>
      <c r="H3098" t="s">
        <v>409</v>
      </c>
      <c r="I3098" s="6" t="s">
        <v>1228</v>
      </c>
      <c r="J3098" s="59" t="s">
        <v>22</v>
      </c>
      <c r="L3098" s="5" t="str">
        <f t="shared" si="1141"/>
        <v>03097</v>
      </c>
      <c r="M3098" s="46" t="str">
        <f t="shared" si="1142"/>
        <v>11 de junio de 2020</v>
      </c>
      <c r="N3098" s="318">
        <f t="shared" si="1143"/>
        <v>11</v>
      </c>
      <c r="O3098" s="24">
        <f t="shared" si="1144"/>
        <v>43983</v>
      </c>
      <c r="P3098" s="5" t="str">
        <f t="shared" si="1145"/>
        <v>250.000,00</v>
      </c>
      <c r="Q3098" s="4" t="e">
        <f ca="1">CONVERTIRNUM(E3098)</f>
        <v>#NAME?</v>
      </c>
    </row>
    <row r="3099" spans="1:17">
      <c r="A3099" s="1">
        <f>A3098+1</f>
        <v>3098</v>
      </c>
      <c r="C3099" s="8" t="s">
        <v>17</v>
      </c>
      <c r="D3099" s="2">
        <v>43993</v>
      </c>
      <c r="E3099" s="3">
        <v>250000</v>
      </c>
      <c r="F3099" t="s">
        <v>239</v>
      </c>
      <c r="G3099" s="609" t="s">
        <v>240</v>
      </c>
      <c r="H3099" t="s">
        <v>241</v>
      </c>
      <c r="I3099" s="6" t="s">
        <v>1228</v>
      </c>
      <c r="J3099" s="59" t="s">
        <v>22</v>
      </c>
      <c r="L3099" s="5" t="str">
        <f t="shared" si="1141"/>
        <v>03098</v>
      </c>
      <c r="M3099" s="46" t="str">
        <f t="shared" si="1142"/>
        <v>11 de junio de 2020</v>
      </c>
      <c r="N3099" s="318">
        <f t="shared" si="1143"/>
        <v>11</v>
      </c>
      <c r="O3099" s="24">
        <f t="shared" si="1144"/>
        <v>43983</v>
      </c>
      <c r="P3099" s="5" t="str">
        <f t="shared" si="1145"/>
        <v>250.000,00</v>
      </c>
      <c r="Q3099" s="4" t="e">
        <f t="shared" ref="Q3099:Q3121" ca="1" si="1147">CONVERTIRNUM(E3099)</f>
        <v>#NAME?</v>
      </c>
    </row>
    <row r="3100" spans="1:17">
      <c r="A3100" s="1">
        <f t="shared" si="1140"/>
        <v>3099</v>
      </c>
      <c r="C3100" s="8" t="s">
        <v>17</v>
      </c>
      <c r="D3100" s="2">
        <v>43993</v>
      </c>
      <c r="E3100" s="3">
        <v>250000</v>
      </c>
      <c r="F3100" t="s">
        <v>181</v>
      </c>
      <c r="G3100" t="s">
        <v>182</v>
      </c>
      <c r="H3100" t="s">
        <v>183</v>
      </c>
      <c r="I3100" s="6" t="s">
        <v>1228</v>
      </c>
      <c r="J3100" s="59" t="s">
        <v>22</v>
      </c>
      <c r="L3100" s="5" t="str">
        <f t="shared" si="1141"/>
        <v>03099</v>
      </c>
      <c r="M3100" s="46" t="str">
        <f t="shared" si="1142"/>
        <v>11 de junio de 2020</v>
      </c>
      <c r="N3100" s="318">
        <f t="shared" si="1143"/>
        <v>11</v>
      </c>
      <c r="O3100" s="24">
        <f t="shared" si="1144"/>
        <v>43983</v>
      </c>
      <c r="P3100" s="5" t="str">
        <f t="shared" si="1145"/>
        <v>250.000,00</v>
      </c>
      <c r="Q3100" s="4" t="e">
        <f t="shared" ca="1" si="1147"/>
        <v>#NAME?</v>
      </c>
    </row>
    <row r="3101" spans="1:17">
      <c r="A3101" s="1">
        <f>A3100+1</f>
        <v>3100</v>
      </c>
      <c r="C3101" s="8" t="s">
        <v>17</v>
      </c>
      <c r="D3101" s="2">
        <v>43994</v>
      </c>
      <c r="E3101" s="3">
        <v>300000</v>
      </c>
      <c r="F3101" s="146" t="s">
        <v>264</v>
      </c>
      <c r="G3101" s="146" t="s">
        <v>265</v>
      </c>
      <c r="H3101" s="146" t="s">
        <v>266</v>
      </c>
      <c r="I3101" s="6" t="s">
        <v>1233</v>
      </c>
      <c r="J3101" s="59" t="s">
        <v>22</v>
      </c>
      <c r="L3101" s="5" t="str">
        <f t="shared" si="1141"/>
        <v>03100</v>
      </c>
      <c r="M3101" s="46" t="str">
        <f t="shared" si="1142"/>
        <v>12 de junio de 2020</v>
      </c>
      <c r="N3101" s="318">
        <f t="shared" si="1143"/>
        <v>12</v>
      </c>
      <c r="O3101" s="24">
        <f t="shared" si="1144"/>
        <v>43983</v>
      </c>
      <c r="P3101" s="5" t="str">
        <f t="shared" si="1145"/>
        <v>300.000,00</v>
      </c>
      <c r="Q3101" s="4" t="e">
        <f t="shared" ca="1" si="1147"/>
        <v>#NAME?</v>
      </c>
    </row>
    <row r="3102" spans="1:17">
      <c r="A3102" s="1">
        <f t="shared" ref="A3102" si="1148">A3101+1</f>
        <v>3101</v>
      </c>
      <c r="C3102" s="8" t="s">
        <v>17</v>
      </c>
      <c r="D3102" s="2">
        <v>43994</v>
      </c>
      <c r="E3102" s="3">
        <v>250000</v>
      </c>
      <c r="F3102" t="s">
        <v>284</v>
      </c>
      <c r="G3102" t="s">
        <v>687</v>
      </c>
      <c r="H3102" t="s">
        <v>285</v>
      </c>
      <c r="I3102" s="6" t="s">
        <v>1228</v>
      </c>
      <c r="J3102" s="59" t="s">
        <v>22</v>
      </c>
      <c r="L3102" s="5" t="str">
        <f t="shared" si="1141"/>
        <v>03101</v>
      </c>
      <c r="M3102" s="46" t="str">
        <f t="shared" si="1142"/>
        <v>12 de junio de 2020</v>
      </c>
      <c r="N3102" s="318">
        <f t="shared" si="1143"/>
        <v>12</v>
      </c>
      <c r="O3102" s="24">
        <f t="shared" si="1144"/>
        <v>43983</v>
      </c>
      <c r="P3102" s="5" t="str">
        <f t="shared" si="1145"/>
        <v>250.000,00</v>
      </c>
      <c r="Q3102" s="4" t="e">
        <f t="shared" ca="1" si="1147"/>
        <v>#NAME?</v>
      </c>
    </row>
    <row r="3103" spans="1:17">
      <c r="A3103" s="1">
        <f t="shared" ref="A3103:A3108" si="1149">A3102+1</f>
        <v>3102</v>
      </c>
      <c r="C3103" s="8" t="s">
        <v>17</v>
      </c>
      <c r="D3103" s="2">
        <v>43994</v>
      </c>
      <c r="E3103" s="3">
        <v>250000</v>
      </c>
      <c r="F3103" t="s">
        <v>287</v>
      </c>
      <c r="G3103" t="s">
        <v>288</v>
      </c>
      <c r="H3103" t="s">
        <v>289</v>
      </c>
      <c r="I3103" s="6" t="s">
        <v>1228</v>
      </c>
      <c r="J3103" s="59" t="s">
        <v>22</v>
      </c>
      <c r="L3103" s="5" t="str">
        <f t="shared" si="1141"/>
        <v>03102</v>
      </c>
      <c r="M3103" s="46" t="str">
        <f t="shared" si="1142"/>
        <v>12 de junio de 2020</v>
      </c>
      <c r="N3103" s="318">
        <f t="shared" si="1143"/>
        <v>12</v>
      </c>
      <c r="O3103" s="24">
        <f t="shared" si="1144"/>
        <v>43983</v>
      </c>
      <c r="P3103" s="5" t="str">
        <f t="shared" si="1145"/>
        <v>250.000,00</v>
      </c>
      <c r="Q3103" s="4" t="e">
        <f t="shared" ca="1" si="1147"/>
        <v>#NAME?</v>
      </c>
    </row>
    <row r="3104" spans="1:17">
      <c r="A3104" s="1">
        <f t="shared" si="1149"/>
        <v>3103</v>
      </c>
      <c r="C3104" s="8" t="s">
        <v>17</v>
      </c>
      <c r="D3104" s="2">
        <v>43994</v>
      </c>
      <c r="E3104" s="3">
        <v>250000</v>
      </c>
      <c r="F3104" t="s">
        <v>122</v>
      </c>
      <c r="G3104" t="s">
        <v>123</v>
      </c>
      <c r="H3104" t="s">
        <v>124</v>
      </c>
      <c r="I3104" s="6" t="s">
        <v>1228</v>
      </c>
      <c r="J3104" s="59" t="s">
        <v>22</v>
      </c>
      <c r="L3104" s="5" t="str">
        <f t="shared" si="1141"/>
        <v>03103</v>
      </c>
      <c r="M3104" s="46" t="str">
        <f t="shared" si="1142"/>
        <v>12 de junio de 2020</v>
      </c>
      <c r="N3104" s="318">
        <f t="shared" si="1143"/>
        <v>12</v>
      </c>
      <c r="O3104" s="24">
        <f t="shared" si="1144"/>
        <v>43983</v>
      </c>
      <c r="P3104" s="5" t="str">
        <f t="shared" si="1145"/>
        <v>250.000,00</v>
      </c>
      <c r="Q3104" s="4" t="e">
        <f t="shared" ca="1" si="1147"/>
        <v>#NAME?</v>
      </c>
    </row>
    <row r="3105" spans="1:17">
      <c r="A3105" s="1">
        <f t="shared" si="1149"/>
        <v>3104</v>
      </c>
      <c r="C3105" s="8" t="s">
        <v>17</v>
      </c>
      <c r="D3105" s="2">
        <v>43994</v>
      </c>
      <c r="E3105" s="3">
        <v>500000</v>
      </c>
      <c r="F3105" t="s">
        <v>248</v>
      </c>
      <c r="G3105" t="s">
        <v>249</v>
      </c>
      <c r="H3105" t="s">
        <v>250</v>
      </c>
      <c r="I3105" s="6" t="s">
        <v>1194</v>
      </c>
      <c r="J3105" s="59" t="s">
        <v>22</v>
      </c>
      <c r="L3105" s="5" t="str">
        <f t="shared" si="1141"/>
        <v>03104</v>
      </c>
      <c r="M3105" s="46" t="str">
        <f t="shared" si="1142"/>
        <v>12 de junio de 2020</v>
      </c>
      <c r="N3105" s="318">
        <f t="shared" si="1143"/>
        <v>12</v>
      </c>
      <c r="O3105" s="24">
        <f t="shared" si="1144"/>
        <v>43983</v>
      </c>
      <c r="P3105" s="5" t="str">
        <f t="shared" si="1145"/>
        <v>500.000,00</v>
      </c>
      <c r="Q3105" s="4" t="e">
        <f t="shared" ca="1" si="1147"/>
        <v>#NAME?</v>
      </c>
    </row>
    <row r="3106" spans="1:17">
      <c r="A3106" s="1">
        <f t="shared" si="1149"/>
        <v>3105</v>
      </c>
      <c r="C3106" s="8" t="s">
        <v>17</v>
      </c>
      <c r="D3106" s="2">
        <v>43994</v>
      </c>
      <c r="E3106" s="3">
        <v>250000</v>
      </c>
      <c r="F3106" t="s">
        <v>454</v>
      </c>
      <c r="G3106" t="s">
        <v>761</v>
      </c>
      <c r="H3106" t="s">
        <v>455</v>
      </c>
      <c r="I3106" s="6" t="s">
        <v>1228</v>
      </c>
      <c r="J3106" s="59" t="s">
        <v>22</v>
      </c>
      <c r="L3106" s="5" t="str">
        <f t="shared" si="1141"/>
        <v>03105</v>
      </c>
      <c r="M3106" s="46" t="str">
        <f t="shared" si="1142"/>
        <v>12 de junio de 2020</v>
      </c>
      <c r="N3106" s="318">
        <f t="shared" si="1143"/>
        <v>12</v>
      </c>
      <c r="O3106" s="24">
        <f t="shared" si="1144"/>
        <v>43983</v>
      </c>
      <c r="P3106" s="5" t="str">
        <f t="shared" si="1145"/>
        <v>250.000,00</v>
      </c>
      <c r="Q3106" s="4" t="e">
        <f t="shared" ca="1" si="1147"/>
        <v>#NAME?</v>
      </c>
    </row>
    <row r="3107" spans="1:17">
      <c r="A3107" s="1">
        <f t="shared" si="1149"/>
        <v>3106</v>
      </c>
      <c r="C3107" s="8" t="s">
        <v>17</v>
      </c>
      <c r="D3107" s="2">
        <v>43994</v>
      </c>
      <c r="E3107" s="3">
        <v>250000</v>
      </c>
      <c r="F3107" t="s">
        <v>296</v>
      </c>
      <c r="G3107" t="s">
        <v>297</v>
      </c>
      <c r="H3107" t="s">
        <v>298</v>
      </c>
      <c r="I3107" s="6" t="s">
        <v>1228</v>
      </c>
      <c r="J3107" s="59" t="s">
        <v>22</v>
      </c>
      <c r="L3107" s="5" t="str">
        <f t="shared" si="1141"/>
        <v>03106</v>
      </c>
      <c r="M3107" s="46" t="str">
        <f t="shared" si="1142"/>
        <v>12 de junio de 2020</v>
      </c>
      <c r="N3107" s="318">
        <f t="shared" si="1143"/>
        <v>12</v>
      </c>
      <c r="O3107" s="24">
        <f t="shared" si="1144"/>
        <v>43983</v>
      </c>
      <c r="P3107" s="5" t="str">
        <f t="shared" si="1145"/>
        <v>250.000,00</v>
      </c>
      <c r="Q3107" s="4" t="e">
        <f t="shared" ca="1" si="1147"/>
        <v>#NAME?</v>
      </c>
    </row>
    <row r="3108" spans="1:17">
      <c r="A3108" s="1">
        <f>A3107+1</f>
        <v>3107</v>
      </c>
      <c r="C3108" s="8" t="s">
        <v>17</v>
      </c>
      <c r="D3108" s="2">
        <v>43992</v>
      </c>
      <c r="E3108" s="3">
        <v>300000</v>
      </c>
      <c r="F3108" t="s">
        <v>44</v>
      </c>
      <c r="G3108" t="s">
        <v>45</v>
      </c>
      <c r="H3108" t="s">
        <v>46</v>
      </c>
      <c r="I3108" s="6" t="s">
        <v>1228</v>
      </c>
      <c r="J3108" s="59" t="s">
        <v>22</v>
      </c>
      <c r="L3108" s="5" t="str">
        <f t="shared" si="1141"/>
        <v>03107</v>
      </c>
      <c r="M3108" s="46" t="str">
        <f t="shared" si="1142"/>
        <v>10 de junio de 2020</v>
      </c>
      <c r="N3108" s="318">
        <f t="shared" si="1143"/>
        <v>10</v>
      </c>
      <c r="O3108" s="24">
        <f t="shared" si="1144"/>
        <v>43983</v>
      </c>
      <c r="P3108" s="5" t="str">
        <f t="shared" si="1145"/>
        <v>300.000,00</v>
      </c>
      <c r="Q3108" s="4" t="e">
        <f t="shared" ca="1" si="1147"/>
        <v>#NAME?</v>
      </c>
    </row>
    <row r="3109" spans="1:17">
      <c r="A3109" s="1">
        <f t="shared" ref="A3109:A3113" si="1150">A3108+1</f>
        <v>3108</v>
      </c>
      <c r="C3109" s="8" t="s">
        <v>17</v>
      </c>
      <c r="D3109" s="2">
        <v>43995</v>
      </c>
      <c r="E3109" s="3">
        <v>250000</v>
      </c>
      <c r="F3109" t="s">
        <v>62</v>
      </c>
      <c r="G3109" t="s">
        <v>63</v>
      </c>
      <c r="H3109" t="s">
        <v>64</v>
      </c>
      <c r="I3109" s="6" t="s">
        <v>1228</v>
      </c>
      <c r="J3109" s="59" t="s">
        <v>22</v>
      </c>
      <c r="L3109" s="5" t="str">
        <f t="shared" si="1141"/>
        <v>03108</v>
      </c>
      <c r="M3109" s="46" t="str">
        <f t="shared" si="1142"/>
        <v>13 de junio de 2020</v>
      </c>
      <c r="N3109" s="318">
        <f t="shared" si="1143"/>
        <v>13</v>
      </c>
      <c r="O3109" s="24">
        <f t="shared" si="1144"/>
        <v>43983</v>
      </c>
      <c r="P3109" s="5" t="str">
        <f t="shared" si="1145"/>
        <v>250.000,00</v>
      </c>
      <c r="Q3109" s="4" t="e">
        <f t="shared" ca="1" si="1147"/>
        <v>#NAME?</v>
      </c>
    </row>
    <row r="3110" spans="1:17">
      <c r="A3110" s="1">
        <f>A3109+1</f>
        <v>3109</v>
      </c>
      <c r="C3110" s="8" t="s">
        <v>17</v>
      </c>
      <c r="D3110" s="2">
        <v>43996</v>
      </c>
      <c r="E3110" s="3">
        <f>5*203300</f>
        <v>1016500</v>
      </c>
      <c r="F3110" t="s">
        <v>126</v>
      </c>
      <c r="G3110" t="s">
        <v>127</v>
      </c>
      <c r="H3110" t="s">
        <v>128</v>
      </c>
      <c r="I3110" s="6" t="s">
        <v>1234</v>
      </c>
      <c r="J3110" s="59" t="s">
        <v>227</v>
      </c>
      <c r="L3110" s="5" t="str">
        <f t="shared" si="1141"/>
        <v>03109</v>
      </c>
      <c r="M3110" s="46" t="str">
        <f t="shared" si="1142"/>
        <v>14 de junio de 2020</v>
      </c>
      <c r="N3110" s="318">
        <f t="shared" si="1143"/>
        <v>14</v>
      </c>
      <c r="O3110" s="24">
        <f t="shared" si="1144"/>
        <v>43983</v>
      </c>
      <c r="P3110" s="5" t="str">
        <f t="shared" si="1145"/>
        <v>1.016.500,00</v>
      </c>
      <c r="Q3110" s="4" t="e">
        <f t="shared" ca="1" si="1147"/>
        <v>#NAME?</v>
      </c>
    </row>
    <row r="3111" spans="1:17">
      <c r="A3111" s="1">
        <f>A3110+1</f>
        <v>3110</v>
      </c>
      <c r="C3111" s="8" t="s">
        <v>17</v>
      </c>
      <c r="D3111" s="2">
        <v>43996</v>
      </c>
      <c r="E3111" s="3">
        <v>250000</v>
      </c>
      <c r="F3111" t="s">
        <v>126</v>
      </c>
      <c r="G3111" t="s">
        <v>127</v>
      </c>
      <c r="H3111" t="s">
        <v>128</v>
      </c>
      <c r="I3111" s="6" t="s">
        <v>1235</v>
      </c>
      <c r="J3111" s="59" t="s">
        <v>22</v>
      </c>
      <c r="L3111" s="5" t="str">
        <f t="shared" si="1141"/>
        <v>03110</v>
      </c>
      <c r="M3111" s="46" t="str">
        <f t="shared" si="1142"/>
        <v>14 de junio de 2020</v>
      </c>
      <c r="N3111" s="318">
        <f t="shared" si="1143"/>
        <v>14</v>
      </c>
      <c r="O3111" s="24">
        <f t="shared" si="1144"/>
        <v>43983</v>
      </c>
      <c r="P3111" s="5" t="str">
        <f t="shared" si="1145"/>
        <v>250.000,00</v>
      </c>
      <c r="Q3111" s="4" t="e">
        <f t="shared" ca="1" si="1147"/>
        <v>#NAME?</v>
      </c>
    </row>
    <row r="3112" spans="1:17">
      <c r="A3112" s="1">
        <f>A3111+1</f>
        <v>3111</v>
      </c>
      <c r="C3112" s="8" t="s">
        <v>17</v>
      </c>
      <c r="D3112" s="2">
        <v>43996</v>
      </c>
      <c r="E3112" s="3">
        <v>250000</v>
      </c>
      <c r="F3112" t="s">
        <v>362</v>
      </c>
      <c r="G3112" t="s">
        <v>363</v>
      </c>
      <c r="H3112" t="s">
        <v>364</v>
      </c>
      <c r="I3112" s="6" t="s">
        <v>1228</v>
      </c>
      <c r="J3112" s="59" t="s">
        <v>22</v>
      </c>
      <c r="L3112" s="5" t="str">
        <f t="shared" si="1141"/>
        <v>03111</v>
      </c>
      <c r="M3112" s="46" t="str">
        <f t="shared" si="1142"/>
        <v>14 de junio de 2020</v>
      </c>
      <c r="N3112" s="318">
        <f t="shared" si="1143"/>
        <v>14</v>
      </c>
      <c r="O3112" s="24">
        <f t="shared" si="1144"/>
        <v>43983</v>
      </c>
      <c r="P3112" s="5" t="str">
        <f t="shared" si="1145"/>
        <v>250.000,00</v>
      </c>
      <c r="Q3112" s="4" t="e">
        <f t="shared" ca="1" si="1147"/>
        <v>#NAME?</v>
      </c>
    </row>
    <row r="3113" spans="1:17">
      <c r="A3113" s="1">
        <f>A3112+1</f>
        <v>3112</v>
      </c>
      <c r="C3113" s="8" t="s">
        <v>17</v>
      </c>
      <c r="D3113" s="2">
        <v>43996</v>
      </c>
      <c r="E3113" s="3">
        <v>850000</v>
      </c>
      <c r="F3113" t="s">
        <v>66</v>
      </c>
      <c r="G3113" t="s">
        <v>67</v>
      </c>
      <c r="H3113" t="s">
        <v>68</v>
      </c>
      <c r="I3113" s="6" t="s">
        <v>1236</v>
      </c>
      <c r="J3113" s="59" t="s">
        <v>22</v>
      </c>
      <c r="L3113" s="5" t="str">
        <f t="shared" si="1141"/>
        <v>03112</v>
      </c>
      <c r="M3113" s="46" t="str">
        <f t="shared" si="1142"/>
        <v>14 de junio de 2020</v>
      </c>
      <c r="N3113" s="318">
        <f t="shared" si="1143"/>
        <v>14</v>
      </c>
      <c r="O3113" s="24">
        <f t="shared" si="1144"/>
        <v>43983</v>
      </c>
      <c r="P3113" s="5" t="str">
        <f t="shared" si="1145"/>
        <v>850.000,00</v>
      </c>
      <c r="Q3113" s="4" t="e">
        <f t="shared" ca="1" si="1147"/>
        <v>#NAME?</v>
      </c>
    </row>
    <row r="3114" spans="1:17">
      <c r="A3114" s="1">
        <f>A3113+1</f>
        <v>3113</v>
      </c>
      <c r="B3114" s="8"/>
      <c r="C3114" s="83" t="s">
        <v>17</v>
      </c>
      <c r="D3114" s="2">
        <v>43997</v>
      </c>
      <c r="E3114" s="3">
        <v>362500</v>
      </c>
      <c r="F3114" s="22" t="s">
        <v>422</v>
      </c>
      <c r="G3114" s="18" t="s">
        <v>58</v>
      </c>
      <c r="H3114" t="s">
        <v>423</v>
      </c>
      <c r="I3114" s="6" t="s">
        <v>1228</v>
      </c>
      <c r="J3114" s="59" t="s">
        <v>22</v>
      </c>
      <c r="L3114" s="5" t="str">
        <f t="shared" si="1141"/>
        <v>03113</v>
      </c>
      <c r="M3114" s="46" t="str">
        <f t="shared" si="1142"/>
        <v>15 de junio de 2020</v>
      </c>
      <c r="N3114" s="318">
        <f t="shared" si="1143"/>
        <v>15</v>
      </c>
      <c r="O3114" s="24">
        <f t="shared" si="1144"/>
        <v>43983</v>
      </c>
      <c r="P3114" s="5" t="str">
        <f t="shared" si="1145"/>
        <v>362.500,00</v>
      </c>
      <c r="Q3114" s="4" t="e">
        <f t="shared" ca="1" si="1147"/>
        <v>#NAME?</v>
      </c>
    </row>
    <row r="3115" spans="1:17">
      <c r="A3115" s="1">
        <f>A3114+1</f>
        <v>3114</v>
      </c>
      <c r="C3115" s="8" t="s">
        <v>17</v>
      </c>
      <c r="D3115" s="2">
        <v>43998</v>
      </c>
      <c r="E3115" s="3">
        <v>500000</v>
      </c>
      <c r="F3115" t="s">
        <v>100</v>
      </c>
      <c r="G3115" t="s">
        <v>95</v>
      </c>
      <c r="H3115" t="s">
        <v>101</v>
      </c>
      <c r="I3115" s="6" t="s">
        <v>1237</v>
      </c>
      <c r="J3115" s="59" t="s">
        <v>22</v>
      </c>
      <c r="L3115" s="5" t="str">
        <f t="shared" si="1141"/>
        <v>03114</v>
      </c>
      <c r="M3115" s="46" t="str">
        <f t="shared" si="1142"/>
        <v>16 de junio de 2020</v>
      </c>
      <c r="N3115" s="318">
        <f t="shared" si="1143"/>
        <v>16</v>
      </c>
      <c r="O3115" s="24">
        <f t="shared" si="1144"/>
        <v>43983</v>
      </c>
      <c r="P3115" s="5" t="str">
        <f t="shared" si="1145"/>
        <v>500.000,00</v>
      </c>
      <c r="Q3115" s="4" t="e">
        <f t="shared" ca="1" si="1147"/>
        <v>#NAME?</v>
      </c>
    </row>
    <row r="3116" spans="1:17">
      <c r="A3116" s="1">
        <f t="shared" ref="A3115:A3116" si="1151">A3115+1</f>
        <v>3115</v>
      </c>
      <c r="C3116" s="8" t="s">
        <v>17</v>
      </c>
      <c r="D3116" s="2">
        <v>43998</v>
      </c>
      <c r="E3116" s="3">
        <v>250000</v>
      </c>
      <c r="F3116" t="s">
        <v>134</v>
      </c>
      <c r="G3116" t="s">
        <v>135</v>
      </c>
      <c r="H3116" t="s">
        <v>136</v>
      </c>
      <c r="I3116" s="6" t="s">
        <v>1228</v>
      </c>
      <c r="J3116" s="59" t="s">
        <v>22</v>
      </c>
      <c r="L3116" s="5" t="str">
        <f t="shared" si="1141"/>
        <v>03115</v>
      </c>
      <c r="M3116" s="46" t="str">
        <f t="shared" si="1142"/>
        <v>16 de junio de 2020</v>
      </c>
      <c r="N3116" s="318">
        <f t="shared" si="1143"/>
        <v>16</v>
      </c>
      <c r="O3116" s="24">
        <f t="shared" si="1144"/>
        <v>43983</v>
      </c>
      <c r="P3116" s="5" t="str">
        <f t="shared" si="1145"/>
        <v>250.000,00</v>
      </c>
      <c r="Q3116" s="4" t="e">
        <f t="shared" ca="1" si="1147"/>
        <v>#NAME?</v>
      </c>
    </row>
    <row r="3117" spans="1:17">
      <c r="A3117" s="1">
        <f>A3116+1</f>
        <v>3116</v>
      </c>
      <c r="C3117" s="8" t="s">
        <v>17</v>
      </c>
      <c r="D3117" s="2">
        <v>43998</v>
      </c>
      <c r="E3117" s="3">
        <v>500000</v>
      </c>
      <c r="F3117" t="s">
        <v>177</v>
      </c>
      <c r="G3117" t="s">
        <v>942</v>
      </c>
      <c r="H3117" t="s">
        <v>179</v>
      </c>
      <c r="I3117" s="6" t="s">
        <v>1238</v>
      </c>
      <c r="J3117" s="59" t="s">
        <v>22</v>
      </c>
      <c r="L3117" s="5" t="str">
        <f t="shared" si="1141"/>
        <v>03116</v>
      </c>
      <c r="M3117" s="46" t="str">
        <f t="shared" si="1142"/>
        <v>16 de junio de 2020</v>
      </c>
      <c r="N3117" s="318">
        <f t="shared" si="1143"/>
        <v>16</v>
      </c>
      <c r="O3117" s="24">
        <f t="shared" si="1144"/>
        <v>43983</v>
      </c>
      <c r="P3117" s="5" t="str">
        <f t="shared" si="1145"/>
        <v>500.000,00</v>
      </c>
      <c r="Q3117" s="4" t="e">
        <f t="shared" ca="1" si="1147"/>
        <v>#NAME?</v>
      </c>
    </row>
    <row r="3118" spans="1:17">
      <c r="A3118" s="1">
        <f>A3117+1</f>
        <v>3117</v>
      </c>
      <c r="C3118" s="8" t="s">
        <v>17</v>
      </c>
      <c r="D3118" s="2">
        <v>43996</v>
      </c>
      <c r="E3118" s="3">
        <v>250000</v>
      </c>
      <c r="F3118" t="s">
        <v>337</v>
      </c>
      <c r="G3118" t="s">
        <v>338</v>
      </c>
      <c r="H3118" t="s">
        <v>339</v>
      </c>
      <c r="I3118" s="6" t="s">
        <v>1228</v>
      </c>
      <c r="J3118" s="59" t="s">
        <v>22</v>
      </c>
      <c r="L3118" s="5" t="str">
        <f t="shared" si="1141"/>
        <v>03117</v>
      </c>
      <c r="M3118" s="46" t="str">
        <f t="shared" si="1142"/>
        <v>14 de junio de 2020</v>
      </c>
      <c r="N3118" s="318">
        <f t="shared" si="1143"/>
        <v>14</v>
      </c>
      <c r="O3118" s="24">
        <f t="shared" si="1144"/>
        <v>43983</v>
      </c>
      <c r="P3118" s="5" t="str">
        <f t="shared" si="1145"/>
        <v>250.000,00</v>
      </c>
      <c r="Q3118" s="4" t="e">
        <f t="shared" ca="1" si="1147"/>
        <v>#NAME?</v>
      </c>
    </row>
    <row r="3119" spans="1:17">
      <c r="A3119" s="600">
        <f>A3118+1</f>
        <v>3118</v>
      </c>
      <c r="C3119" s="8" t="s">
        <v>17</v>
      </c>
      <c r="D3119" s="2">
        <v>43999</v>
      </c>
      <c r="E3119" s="3">
        <v>250000</v>
      </c>
      <c r="F3119" t="s">
        <v>633</v>
      </c>
      <c r="G3119" t="s">
        <v>634</v>
      </c>
      <c r="H3119" t="s">
        <v>635</v>
      </c>
      <c r="I3119" s="6" t="s">
        <v>1228</v>
      </c>
      <c r="J3119" s="59" t="s">
        <v>22</v>
      </c>
      <c r="L3119" s="5" t="str">
        <f t="shared" si="1141"/>
        <v>03118</v>
      </c>
      <c r="M3119" s="46" t="str">
        <f t="shared" si="1142"/>
        <v>17 de junio de 2020</v>
      </c>
      <c r="N3119" s="318">
        <f t="shared" si="1143"/>
        <v>17</v>
      </c>
      <c r="O3119" s="24">
        <f t="shared" si="1144"/>
        <v>43983</v>
      </c>
      <c r="P3119" s="5" t="str">
        <f t="shared" si="1145"/>
        <v>250.000,00</v>
      </c>
      <c r="Q3119" s="4" t="e">
        <f t="shared" ca="1" si="1147"/>
        <v>#NAME?</v>
      </c>
    </row>
    <row r="3120" spans="1:17">
      <c r="A3120" s="1">
        <f>A3119+1</f>
        <v>3119</v>
      </c>
      <c r="C3120" s="8" t="s">
        <v>17</v>
      </c>
      <c r="D3120" s="2">
        <v>43998</v>
      </c>
      <c r="E3120" s="3">
        <v>500000</v>
      </c>
      <c r="F3120" t="s">
        <v>844</v>
      </c>
      <c r="G3120" t="s">
        <v>845</v>
      </c>
      <c r="H3120" t="s">
        <v>169</v>
      </c>
      <c r="I3120" s="6" t="s">
        <v>1237</v>
      </c>
      <c r="J3120" s="59" t="s">
        <v>22</v>
      </c>
      <c r="L3120" s="5" t="str">
        <f t="shared" si="1141"/>
        <v>03119</v>
      </c>
      <c r="M3120" s="46" t="str">
        <f t="shared" si="1142"/>
        <v>16 de junio de 2020</v>
      </c>
      <c r="N3120" s="318">
        <f t="shared" si="1143"/>
        <v>16</v>
      </c>
      <c r="O3120" s="24">
        <f t="shared" si="1144"/>
        <v>43983</v>
      </c>
      <c r="P3120" s="5" t="str">
        <f t="shared" si="1145"/>
        <v>500.000,00</v>
      </c>
      <c r="Q3120" s="4" t="e">
        <f t="shared" ca="1" si="1147"/>
        <v>#NAME?</v>
      </c>
    </row>
    <row r="3121" spans="1:17">
      <c r="A3121" s="1">
        <f>A3120+1</f>
        <v>3120</v>
      </c>
      <c r="C3121" s="8" t="s">
        <v>17</v>
      </c>
      <c r="D3121" s="2">
        <v>44000</v>
      </c>
      <c r="E3121" s="3">
        <v>250000</v>
      </c>
      <c r="F3121" t="s">
        <v>713</v>
      </c>
      <c r="G3121" t="s">
        <v>714</v>
      </c>
      <c r="H3121" t="s">
        <v>154</v>
      </c>
      <c r="I3121" s="6" t="s">
        <v>1228</v>
      </c>
      <c r="J3121" s="59" t="s">
        <v>22</v>
      </c>
      <c r="L3121" s="5" t="str">
        <f t="shared" si="1141"/>
        <v>03120</v>
      </c>
      <c r="M3121" s="46" t="str">
        <f t="shared" si="1142"/>
        <v>18 de junio de 2020</v>
      </c>
      <c r="N3121" s="318">
        <f t="shared" si="1143"/>
        <v>18</v>
      </c>
      <c r="O3121" s="24">
        <f t="shared" si="1144"/>
        <v>43983</v>
      </c>
      <c r="P3121" s="5" t="str">
        <f t="shared" si="1145"/>
        <v>250.000,00</v>
      </c>
      <c r="Q3121" s="4" t="e">
        <f t="shared" ca="1" si="1147"/>
        <v>#NAME?</v>
      </c>
    </row>
    <row r="3122" spans="1:17">
      <c r="A3122" s="1">
        <f t="shared" ref="A3121:A3125" si="1152">A3121+1</f>
        <v>3121</v>
      </c>
      <c r="C3122" s="8" t="s">
        <v>17</v>
      </c>
      <c r="D3122" s="2">
        <v>44001</v>
      </c>
      <c r="E3122" s="3">
        <v>250000</v>
      </c>
      <c r="F3122" t="s">
        <v>1239</v>
      </c>
      <c r="G3122" t="s">
        <v>1240</v>
      </c>
      <c r="H3122" t="s">
        <v>105</v>
      </c>
      <c r="I3122" s="6" t="s">
        <v>1228</v>
      </c>
      <c r="J3122" s="59" t="s">
        <v>22</v>
      </c>
      <c r="L3122" s="5" t="str">
        <f t="shared" ref="L3122:L3145" si="1153">IF(ISBLANK(A3122),"",TEXT(A3122,"00000"))</f>
        <v>03121</v>
      </c>
      <c r="M3122" s="46" t="str">
        <f t="shared" ref="M3122:M3145" si="1154">IF(ISBLANK(D3122),"",TEXT(D3122,"dd")&amp;" de "&amp;TEXT(D3122,"mmmm")&amp;" de "&amp;TEXT(YEAR(D3122),"0"))</f>
        <v>19 de junio de 2020</v>
      </c>
      <c r="N3122" s="318">
        <f t="shared" ref="N3122:N3145" si="1155">DAY(D3122)</f>
        <v>19</v>
      </c>
      <c r="O3122" s="24">
        <f t="shared" ref="O3122:O3145" si="1156">DATE(YEAR(D3122),MONTH(D3122),1)</f>
        <v>43983</v>
      </c>
      <c r="P3122" s="5" t="str">
        <f t="shared" ref="P3122:P3145" si="1157">TEXT(E3122,"#.##0,00")</f>
        <v>250.000,00</v>
      </c>
      <c r="Q3122" s="4" t="e">
        <f t="shared" ref="Q3122:Q3145" ca="1" si="1158">CONVERTIRNUM(E3122)</f>
        <v>#NAME?</v>
      </c>
    </row>
    <row r="3123" spans="1:17">
      <c r="A3123" s="1">
        <f>A3122+1</f>
        <v>3122</v>
      </c>
      <c r="C3123" s="8" t="s">
        <v>17</v>
      </c>
      <c r="D3123" s="2">
        <v>44002</v>
      </c>
      <c r="E3123" s="3">
        <v>250000</v>
      </c>
      <c r="F3123" t="s">
        <v>936</v>
      </c>
      <c r="G3123" t="s">
        <v>937</v>
      </c>
      <c r="H3123" t="s">
        <v>150</v>
      </c>
      <c r="I3123" s="6" t="s">
        <v>1228</v>
      </c>
      <c r="J3123" s="59" t="s">
        <v>22</v>
      </c>
      <c r="L3123" s="5" t="str">
        <f t="shared" si="1153"/>
        <v>03122</v>
      </c>
      <c r="M3123" s="46" t="str">
        <f t="shared" si="1154"/>
        <v>20 de junio de 2020</v>
      </c>
      <c r="N3123" s="318">
        <f t="shared" si="1155"/>
        <v>20</v>
      </c>
      <c r="O3123" s="24">
        <f t="shared" si="1156"/>
        <v>43983</v>
      </c>
      <c r="P3123" s="5" t="str">
        <f t="shared" si="1157"/>
        <v>250.000,00</v>
      </c>
      <c r="Q3123" s="4" t="e">
        <f t="shared" ca="1" si="1158"/>
        <v>#NAME?</v>
      </c>
    </row>
    <row r="3124" spans="1:17">
      <c r="A3124" s="1">
        <f t="shared" si="1152"/>
        <v>3123</v>
      </c>
      <c r="C3124" s="8" t="s">
        <v>17</v>
      </c>
      <c r="D3124" s="2">
        <v>44002</v>
      </c>
      <c r="E3124" s="3">
        <v>600000</v>
      </c>
      <c r="F3124" t="s">
        <v>144</v>
      </c>
      <c r="G3124" t="s">
        <v>661</v>
      </c>
      <c r="H3124" t="s">
        <v>146</v>
      </c>
      <c r="I3124" s="6" t="s">
        <v>1241</v>
      </c>
      <c r="J3124" s="59" t="s">
        <v>22</v>
      </c>
      <c r="L3124" s="5" t="str">
        <f t="shared" si="1153"/>
        <v>03123</v>
      </c>
      <c r="M3124" s="46" t="str">
        <f t="shared" si="1154"/>
        <v>20 de junio de 2020</v>
      </c>
      <c r="N3124" s="318">
        <f t="shared" si="1155"/>
        <v>20</v>
      </c>
      <c r="O3124" s="24">
        <f t="shared" si="1156"/>
        <v>43983</v>
      </c>
      <c r="P3124" s="5" t="str">
        <f t="shared" si="1157"/>
        <v>600.000,00</v>
      </c>
      <c r="Q3124" s="4" t="e">
        <f t="shared" ca="1" si="1158"/>
        <v>#NAME?</v>
      </c>
    </row>
    <row r="3125" spans="1:17">
      <c r="A3125" s="1">
        <f>A3124+1</f>
        <v>3124</v>
      </c>
      <c r="C3125" s="8" t="s">
        <v>17</v>
      </c>
      <c r="D3125" s="2">
        <v>44004</v>
      </c>
      <c r="E3125" s="3">
        <v>250000</v>
      </c>
      <c r="F3125" t="s">
        <v>1018</v>
      </c>
      <c r="G3125" s="447" t="s">
        <v>1161</v>
      </c>
      <c r="H3125" t="s">
        <v>140</v>
      </c>
      <c r="I3125" s="6" t="s">
        <v>1228</v>
      </c>
      <c r="J3125" s="59" t="s">
        <v>22</v>
      </c>
      <c r="L3125" s="5" t="str">
        <f t="shared" si="1153"/>
        <v>03124</v>
      </c>
      <c r="M3125" s="46" t="str">
        <f t="shared" si="1154"/>
        <v>22 de junio de 2020</v>
      </c>
      <c r="N3125" s="318">
        <f t="shared" si="1155"/>
        <v>22</v>
      </c>
      <c r="O3125" s="24">
        <f t="shared" si="1156"/>
        <v>43983</v>
      </c>
      <c r="P3125" s="5" t="str">
        <f t="shared" si="1157"/>
        <v>250.000,00</v>
      </c>
      <c r="Q3125" s="4" t="e">
        <f t="shared" ca="1" si="1158"/>
        <v>#NAME?</v>
      </c>
    </row>
    <row r="3126" spans="1:17">
      <c r="A3126" s="1">
        <f>A3125+1</f>
        <v>3125</v>
      </c>
      <c r="C3126" s="8" t="s">
        <v>17</v>
      </c>
      <c r="D3126" s="2">
        <v>44004</v>
      </c>
      <c r="E3126" s="3">
        <v>250000</v>
      </c>
      <c r="F3126" t="s">
        <v>118</v>
      </c>
      <c r="G3126" t="s">
        <v>119</v>
      </c>
      <c r="H3126" t="s">
        <v>120</v>
      </c>
      <c r="I3126" s="6" t="s">
        <v>1228</v>
      </c>
      <c r="J3126" s="59" t="s">
        <v>22</v>
      </c>
      <c r="L3126" s="5" t="str">
        <f t="shared" si="1153"/>
        <v>03125</v>
      </c>
      <c r="M3126" s="46" t="str">
        <f t="shared" si="1154"/>
        <v>22 de junio de 2020</v>
      </c>
      <c r="N3126" s="318">
        <f t="shared" si="1155"/>
        <v>22</v>
      </c>
      <c r="O3126" s="24">
        <f t="shared" si="1156"/>
        <v>43983</v>
      </c>
      <c r="P3126" s="5" t="str">
        <f t="shared" si="1157"/>
        <v>250.000,00</v>
      </c>
      <c r="Q3126" s="4" t="e">
        <f t="shared" ca="1" si="1158"/>
        <v>#NAME?</v>
      </c>
    </row>
    <row r="3127" spans="1:17">
      <c r="A3127" s="1">
        <f t="shared" ref="A3127" si="1159">A3126+1</f>
        <v>3126</v>
      </c>
      <c r="C3127" s="8" t="s">
        <v>17</v>
      </c>
      <c r="D3127" s="2">
        <v>44005</v>
      </c>
      <c r="E3127" s="3">
        <v>250000</v>
      </c>
      <c r="F3127" t="s">
        <v>443</v>
      </c>
      <c r="G3127" t="s">
        <v>444</v>
      </c>
      <c r="H3127" t="s">
        <v>75</v>
      </c>
      <c r="I3127" s="6" t="s">
        <v>1228</v>
      </c>
      <c r="J3127" s="59" t="s">
        <v>22</v>
      </c>
      <c r="L3127" s="5" t="str">
        <f t="shared" si="1153"/>
        <v>03126</v>
      </c>
      <c r="M3127" s="46" t="str">
        <f t="shared" si="1154"/>
        <v>23 de junio de 2020</v>
      </c>
      <c r="N3127" s="318">
        <f t="shared" si="1155"/>
        <v>23</v>
      </c>
      <c r="O3127" s="24">
        <f t="shared" si="1156"/>
        <v>43983</v>
      </c>
      <c r="P3127" s="5" t="str">
        <f t="shared" si="1157"/>
        <v>250.000,00</v>
      </c>
      <c r="Q3127" s="4" t="e">
        <f t="shared" ca="1" si="1158"/>
        <v>#NAME?</v>
      </c>
    </row>
    <row r="3128" spans="1:17" ht="16.5" customHeight="1">
      <c r="A3128" s="1">
        <f>A3127+1</f>
        <v>3127</v>
      </c>
      <c r="C3128" s="8" t="s">
        <v>17</v>
      </c>
      <c r="D3128" s="2">
        <v>44005</v>
      </c>
      <c r="E3128" s="3">
        <v>250000</v>
      </c>
      <c r="F3128" t="s">
        <v>219</v>
      </c>
      <c r="G3128" t="s">
        <v>220</v>
      </c>
      <c r="H3128" t="s">
        <v>221</v>
      </c>
      <c r="I3128" s="6" t="s">
        <v>1228</v>
      </c>
      <c r="J3128" s="59" t="s">
        <v>22</v>
      </c>
      <c r="L3128" s="5" t="str">
        <f t="shared" si="1153"/>
        <v>03127</v>
      </c>
      <c r="M3128" s="46" t="str">
        <f t="shared" si="1154"/>
        <v>23 de junio de 2020</v>
      </c>
      <c r="N3128" s="318">
        <f t="shared" si="1155"/>
        <v>23</v>
      </c>
      <c r="O3128" s="24">
        <f t="shared" si="1156"/>
        <v>43983</v>
      </c>
      <c r="P3128" s="5" t="str">
        <f t="shared" si="1157"/>
        <v>250.000,00</v>
      </c>
      <c r="Q3128" s="4" t="e">
        <f t="shared" ca="1" si="1158"/>
        <v>#NAME?</v>
      </c>
    </row>
    <row r="3129" spans="1:17">
      <c r="A3129" s="1">
        <f>A3128+1</f>
        <v>3128</v>
      </c>
      <c r="C3129" s="8" t="s">
        <v>17</v>
      </c>
      <c r="D3129" s="2">
        <v>44005</v>
      </c>
      <c r="E3129" s="3">
        <v>500000</v>
      </c>
      <c r="F3129" t="s">
        <v>771</v>
      </c>
      <c r="G3129" t="s">
        <v>772</v>
      </c>
      <c r="H3129" t="s">
        <v>773</v>
      </c>
      <c r="I3129" s="6" t="s">
        <v>1242</v>
      </c>
      <c r="J3129" s="59" t="s">
        <v>22</v>
      </c>
      <c r="L3129" s="5" t="str">
        <f t="shared" si="1153"/>
        <v>03128</v>
      </c>
      <c r="M3129" s="46" t="str">
        <f t="shared" si="1154"/>
        <v>23 de junio de 2020</v>
      </c>
      <c r="N3129" s="318">
        <f t="shared" si="1155"/>
        <v>23</v>
      </c>
      <c r="O3129" s="24">
        <f t="shared" si="1156"/>
        <v>43983</v>
      </c>
      <c r="P3129" s="5" t="str">
        <f t="shared" si="1157"/>
        <v>500.000,00</v>
      </c>
      <c r="Q3129" s="4" t="e">
        <f t="shared" ca="1" si="1158"/>
        <v>#NAME?</v>
      </c>
    </row>
    <row r="3130" spans="1:17">
      <c r="A3130" s="1">
        <f>A3129+1</f>
        <v>3129</v>
      </c>
      <c r="C3130" s="8" t="s">
        <v>17</v>
      </c>
      <c r="D3130" s="2">
        <v>44004</v>
      </c>
      <c r="E3130" s="3">
        <v>400000</v>
      </c>
      <c r="F3130" t="s">
        <v>578</v>
      </c>
      <c r="G3130" t="s">
        <v>579</v>
      </c>
      <c r="H3130" t="s">
        <v>580</v>
      </c>
      <c r="I3130" s="6" t="s">
        <v>1243</v>
      </c>
      <c r="J3130" s="59" t="s">
        <v>22</v>
      </c>
      <c r="L3130" s="5" t="str">
        <f t="shared" si="1153"/>
        <v>03129</v>
      </c>
      <c r="M3130" s="46" t="str">
        <f t="shared" si="1154"/>
        <v>22 de junio de 2020</v>
      </c>
      <c r="N3130" s="318">
        <f t="shared" si="1155"/>
        <v>22</v>
      </c>
      <c r="O3130" s="24">
        <f t="shared" si="1156"/>
        <v>43983</v>
      </c>
      <c r="P3130" s="5" t="str">
        <f t="shared" si="1157"/>
        <v>400.000,00</v>
      </c>
      <c r="Q3130" s="4" t="e">
        <f t="shared" ca="1" si="1158"/>
        <v>#NAME?</v>
      </c>
    </row>
    <row r="3131" spans="1:17">
      <c r="A3131" s="1">
        <f>A3130+1</f>
        <v>3130</v>
      </c>
      <c r="C3131" s="8" t="s">
        <v>17</v>
      </c>
      <c r="D3131" s="2">
        <v>44007</v>
      </c>
      <c r="E3131" s="3">
        <v>250000</v>
      </c>
      <c r="F3131" t="s">
        <v>252</v>
      </c>
      <c r="G3131" s="447" t="s">
        <v>959</v>
      </c>
      <c r="H3131" t="s">
        <v>254</v>
      </c>
      <c r="I3131" s="6" t="s">
        <v>1228</v>
      </c>
      <c r="J3131" s="59" t="s">
        <v>22</v>
      </c>
      <c r="L3131" s="5" t="str">
        <f t="shared" si="1153"/>
        <v>03130</v>
      </c>
      <c r="M3131" s="46" t="str">
        <f t="shared" si="1154"/>
        <v>25 de junio de 2020</v>
      </c>
      <c r="N3131" s="318">
        <f t="shared" si="1155"/>
        <v>25</v>
      </c>
      <c r="O3131" s="24">
        <f t="shared" si="1156"/>
        <v>43983</v>
      </c>
      <c r="P3131" s="5" t="str">
        <f t="shared" si="1157"/>
        <v>250.000,00</v>
      </c>
      <c r="Q3131" s="4" t="e">
        <f t="shared" ca="1" si="1158"/>
        <v>#NAME?</v>
      </c>
    </row>
    <row r="3132" spans="1:17">
      <c r="A3132" s="1">
        <f>A3131+1</f>
        <v>3131</v>
      </c>
      <c r="C3132" s="8" t="s">
        <v>17</v>
      </c>
      <c r="D3132" s="2">
        <v>44007</v>
      </c>
      <c r="E3132" s="3">
        <v>70000</v>
      </c>
      <c r="F3132" t="s">
        <v>433</v>
      </c>
      <c r="G3132" t="s">
        <v>434</v>
      </c>
      <c r="H3132" t="s">
        <v>435</v>
      </c>
      <c r="I3132" s="6" t="s">
        <v>1232</v>
      </c>
      <c r="J3132" s="59" t="s">
        <v>22</v>
      </c>
      <c r="L3132" s="5" t="str">
        <f t="shared" si="1153"/>
        <v>03131</v>
      </c>
      <c r="M3132" s="46" t="str">
        <f t="shared" si="1154"/>
        <v>25 de junio de 2020</v>
      </c>
      <c r="N3132" s="318">
        <f t="shared" si="1155"/>
        <v>25</v>
      </c>
      <c r="O3132" s="24">
        <f t="shared" si="1156"/>
        <v>43983</v>
      </c>
      <c r="P3132" s="5" t="str">
        <f t="shared" si="1157"/>
        <v>70.000,00</v>
      </c>
      <c r="Q3132" s="4" t="e">
        <f t="shared" ca="1" si="1158"/>
        <v>#NAME?</v>
      </c>
    </row>
    <row r="3133" spans="1:17">
      <c r="A3133" s="1">
        <f>A3132+1</f>
        <v>3132</v>
      </c>
      <c r="C3133" s="8" t="s">
        <v>17</v>
      </c>
      <c r="D3133" s="2">
        <v>44007</v>
      </c>
      <c r="E3133" s="3">
        <v>400000</v>
      </c>
      <c r="F3133" t="s">
        <v>90</v>
      </c>
      <c r="G3133" s="447" t="s">
        <v>979</v>
      </c>
      <c r="H3133" t="s">
        <v>92</v>
      </c>
      <c r="I3133" s="6" t="s">
        <v>1228</v>
      </c>
      <c r="J3133" s="59" t="s">
        <v>22</v>
      </c>
      <c r="L3133" s="5" t="str">
        <f t="shared" si="1153"/>
        <v>03132</v>
      </c>
      <c r="M3133" s="46" t="str">
        <f t="shared" si="1154"/>
        <v>25 de junio de 2020</v>
      </c>
      <c r="N3133" s="318">
        <f t="shared" si="1155"/>
        <v>25</v>
      </c>
      <c r="O3133" s="24">
        <f t="shared" si="1156"/>
        <v>43983</v>
      </c>
      <c r="P3133" s="5" t="str">
        <f t="shared" si="1157"/>
        <v>400.000,00</v>
      </c>
      <c r="Q3133" s="4" t="e">
        <f t="shared" ca="1" si="1158"/>
        <v>#NAME?</v>
      </c>
    </row>
    <row r="3134" spans="1:17">
      <c r="A3134" s="1">
        <f>A3133+1</f>
        <v>3133</v>
      </c>
      <c r="C3134" s="8" t="s">
        <v>17</v>
      </c>
      <c r="D3134" s="2">
        <v>44007</v>
      </c>
      <c r="E3134" s="3">
        <v>250000</v>
      </c>
      <c r="F3134" t="s">
        <v>94</v>
      </c>
      <c r="G3134" t="s">
        <v>607</v>
      </c>
      <c r="H3134" t="s">
        <v>96</v>
      </c>
      <c r="I3134" s="6" t="s">
        <v>1211</v>
      </c>
      <c r="J3134" s="59" t="s">
        <v>22</v>
      </c>
      <c r="L3134" s="5" t="str">
        <f t="shared" si="1153"/>
        <v>03133</v>
      </c>
      <c r="M3134" s="46" t="str">
        <f t="shared" si="1154"/>
        <v>25 de junio de 2020</v>
      </c>
      <c r="N3134" s="318">
        <f t="shared" si="1155"/>
        <v>25</v>
      </c>
      <c r="O3134" s="24">
        <f t="shared" si="1156"/>
        <v>43983</v>
      </c>
      <c r="P3134" s="5" t="str">
        <f t="shared" si="1157"/>
        <v>250.000,00</v>
      </c>
      <c r="Q3134" s="4" t="e">
        <f t="shared" ca="1" si="1158"/>
        <v>#NAME?</v>
      </c>
    </row>
    <row r="3135" spans="1:17">
      <c r="A3135" s="1">
        <f>A3134+1</f>
        <v>3134</v>
      </c>
      <c r="C3135" s="8" t="s">
        <v>17</v>
      </c>
      <c r="D3135" s="2">
        <v>44007</v>
      </c>
      <c r="E3135" s="3">
        <v>555750</v>
      </c>
      <c r="F3135" t="s">
        <v>94</v>
      </c>
      <c r="G3135" t="s">
        <v>607</v>
      </c>
      <c r="H3135" t="s">
        <v>96</v>
      </c>
      <c r="I3135" s="6" t="s">
        <v>1217</v>
      </c>
      <c r="J3135" s="59" t="s">
        <v>1218</v>
      </c>
      <c r="L3135" s="5" t="str">
        <f t="shared" si="1153"/>
        <v>03134</v>
      </c>
      <c r="M3135" s="46" t="str">
        <f t="shared" si="1154"/>
        <v>25 de junio de 2020</v>
      </c>
      <c r="N3135" s="318">
        <f t="shared" si="1155"/>
        <v>25</v>
      </c>
      <c r="O3135" s="24">
        <f t="shared" si="1156"/>
        <v>43983</v>
      </c>
      <c r="P3135" s="5" t="str">
        <f t="shared" si="1157"/>
        <v>555.750,00</v>
      </c>
      <c r="Q3135" s="4" t="e">
        <f t="shared" ca="1" si="1158"/>
        <v>#NAME?</v>
      </c>
    </row>
    <row r="3136" spans="1:17">
      <c r="A3136" s="1">
        <f>A3135+1</f>
        <v>3135</v>
      </c>
      <c r="C3136" s="8" t="s">
        <v>17</v>
      </c>
      <c r="D3136" s="2">
        <v>44007</v>
      </c>
      <c r="E3136" s="3">
        <v>700000</v>
      </c>
      <c r="F3136" t="s">
        <v>162</v>
      </c>
      <c r="G3136" t="s">
        <v>163</v>
      </c>
      <c r="H3136" t="s">
        <v>164</v>
      </c>
      <c r="I3136" s="6" t="s">
        <v>1244</v>
      </c>
      <c r="J3136" s="59" t="s">
        <v>22</v>
      </c>
      <c r="L3136" s="5" t="str">
        <f t="shared" si="1153"/>
        <v>03135</v>
      </c>
      <c r="M3136" s="46" t="str">
        <f t="shared" si="1154"/>
        <v>25 de junio de 2020</v>
      </c>
      <c r="N3136" s="318">
        <f t="shared" si="1155"/>
        <v>25</v>
      </c>
      <c r="O3136" s="24">
        <f t="shared" si="1156"/>
        <v>43983</v>
      </c>
      <c r="P3136" s="5" t="str">
        <f t="shared" si="1157"/>
        <v>700.000,00</v>
      </c>
      <c r="Q3136" s="4" t="e">
        <f t="shared" ca="1" si="1158"/>
        <v>#NAME?</v>
      </c>
    </row>
    <row r="3137" spans="1:17">
      <c r="A3137" s="1">
        <f>A3136+1</f>
        <v>3136</v>
      </c>
      <c r="C3137" s="8" t="s">
        <v>17</v>
      </c>
      <c r="D3137" s="2">
        <v>44007</v>
      </c>
      <c r="E3137" s="3">
        <v>50000</v>
      </c>
      <c r="F3137" t="s">
        <v>162</v>
      </c>
      <c r="G3137" t="s">
        <v>163</v>
      </c>
      <c r="H3137" t="s">
        <v>164</v>
      </c>
      <c r="I3137" s="6" t="s">
        <v>1217</v>
      </c>
      <c r="J3137" s="59" t="s">
        <v>1218</v>
      </c>
      <c r="L3137" s="5" t="str">
        <f t="shared" si="1153"/>
        <v>03136</v>
      </c>
      <c r="M3137" s="46" t="str">
        <f t="shared" si="1154"/>
        <v>25 de junio de 2020</v>
      </c>
      <c r="N3137" s="318">
        <f t="shared" si="1155"/>
        <v>25</v>
      </c>
      <c r="O3137" s="24">
        <f t="shared" si="1156"/>
        <v>43983</v>
      </c>
      <c r="P3137" s="5" t="str">
        <f t="shared" si="1157"/>
        <v>50.000,00</v>
      </c>
      <c r="Q3137" s="4" t="e">
        <f t="shared" ca="1" si="1158"/>
        <v>#NAME?</v>
      </c>
    </row>
    <row r="3138" spans="1:17">
      <c r="A3138" s="1">
        <f t="shared" ref="A3134:A3139" si="1160">A3137+1</f>
        <v>3137</v>
      </c>
      <c r="C3138" s="8" t="s">
        <v>17</v>
      </c>
      <c r="D3138" s="2">
        <v>44009</v>
      </c>
      <c r="E3138" s="3">
        <v>250000</v>
      </c>
      <c r="F3138" t="s">
        <v>483</v>
      </c>
      <c r="G3138" t="s">
        <v>484</v>
      </c>
      <c r="H3138" t="s">
        <v>485</v>
      </c>
      <c r="I3138" s="6" t="s">
        <v>1228</v>
      </c>
      <c r="J3138" s="59" t="s">
        <v>22</v>
      </c>
      <c r="L3138" s="5" t="str">
        <f t="shared" si="1153"/>
        <v>03137</v>
      </c>
      <c r="M3138" s="46" t="str">
        <f t="shared" si="1154"/>
        <v>27 de junio de 2020</v>
      </c>
      <c r="N3138" s="318">
        <f t="shared" si="1155"/>
        <v>27</v>
      </c>
      <c r="O3138" s="24">
        <f t="shared" si="1156"/>
        <v>43983</v>
      </c>
      <c r="P3138" s="5" t="str">
        <f t="shared" si="1157"/>
        <v>250.000,00</v>
      </c>
      <c r="Q3138" s="4" t="e">
        <f t="shared" ca="1" si="1158"/>
        <v>#NAME?</v>
      </c>
    </row>
    <row r="3139" spans="1:17">
      <c r="A3139" s="1">
        <f t="shared" si="1160"/>
        <v>3138</v>
      </c>
      <c r="C3139" s="8" t="s">
        <v>17</v>
      </c>
      <c r="D3139" s="2">
        <v>44010</v>
      </c>
      <c r="E3139" s="3">
        <v>320000</v>
      </c>
      <c r="F3139" t="s">
        <v>1139</v>
      </c>
      <c r="G3139" t="s">
        <v>1140</v>
      </c>
      <c r="H3139" t="s">
        <v>1116</v>
      </c>
      <c r="I3139" s="6" t="s">
        <v>1245</v>
      </c>
      <c r="J3139" s="59" t="s">
        <v>22</v>
      </c>
      <c r="L3139" s="5" t="str">
        <f t="shared" si="1153"/>
        <v>03138</v>
      </c>
      <c r="M3139" s="46" t="str">
        <f t="shared" si="1154"/>
        <v>28 de junio de 2020</v>
      </c>
      <c r="N3139" s="318">
        <f t="shared" si="1155"/>
        <v>28</v>
      </c>
      <c r="O3139" s="24">
        <f t="shared" si="1156"/>
        <v>43983</v>
      </c>
      <c r="P3139" s="5" t="str">
        <f t="shared" si="1157"/>
        <v>320.000,00</v>
      </c>
      <c r="Q3139" s="4" t="e">
        <f t="shared" ca="1" si="1158"/>
        <v>#NAME?</v>
      </c>
    </row>
    <row r="3140" spans="1:17">
      <c r="A3140" s="1">
        <f>A3139+1</f>
        <v>3139</v>
      </c>
      <c r="C3140" s="8" t="s">
        <v>17</v>
      </c>
      <c r="D3140" s="2">
        <v>44011</v>
      </c>
      <c r="E3140" s="3">
        <v>20000</v>
      </c>
      <c r="F3140" s="146" t="s">
        <v>264</v>
      </c>
      <c r="G3140" s="146" t="s">
        <v>265</v>
      </c>
      <c r="H3140" s="146" t="s">
        <v>266</v>
      </c>
      <c r="I3140" s="6" t="s">
        <v>1246</v>
      </c>
      <c r="J3140" s="59" t="s">
        <v>22</v>
      </c>
      <c r="L3140" s="5" t="str">
        <f t="shared" si="1153"/>
        <v>03139</v>
      </c>
      <c r="M3140" s="46" t="str">
        <f t="shared" si="1154"/>
        <v>29 de junio de 2020</v>
      </c>
      <c r="N3140" s="318">
        <f t="shared" si="1155"/>
        <v>29</v>
      </c>
      <c r="O3140" s="24">
        <f t="shared" si="1156"/>
        <v>43983</v>
      </c>
      <c r="P3140" s="5" t="str">
        <f t="shared" si="1157"/>
        <v>20.000,00</v>
      </c>
      <c r="Q3140" s="4" t="e">
        <f t="shared" ca="1" si="1158"/>
        <v>#NAME?</v>
      </c>
    </row>
    <row r="3141" spans="1:17">
      <c r="A3141" s="1">
        <f>A3140+1</f>
        <v>3140</v>
      </c>
      <c r="B3141" s="8"/>
      <c r="C3141" s="83" t="s">
        <v>17</v>
      </c>
      <c r="D3141" s="2">
        <v>44011</v>
      </c>
      <c r="E3141" s="3">
        <v>250000</v>
      </c>
      <c r="F3141" t="s">
        <v>259</v>
      </c>
      <c r="G3141" s="618" t="s">
        <v>1227</v>
      </c>
      <c r="H3141" t="s">
        <v>261</v>
      </c>
      <c r="I3141" s="6" t="s">
        <v>1228</v>
      </c>
      <c r="J3141" s="59" t="s">
        <v>22</v>
      </c>
      <c r="L3141" s="5" t="str">
        <f t="shared" si="1153"/>
        <v>03140</v>
      </c>
      <c r="M3141" s="46" t="str">
        <f t="shared" si="1154"/>
        <v>29 de junio de 2020</v>
      </c>
      <c r="N3141" s="318">
        <f t="shared" si="1155"/>
        <v>29</v>
      </c>
      <c r="O3141" s="24">
        <f t="shared" si="1156"/>
        <v>43983</v>
      </c>
      <c r="P3141" s="5" t="str">
        <f t="shared" si="1157"/>
        <v>250.000,00</v>
      </c>
      <c r="Q3141" s="4" t="e">
        <f t="shared" ca="1" si="1158"/>
        <v>#NAME?</v>
      </c>
    </row>
    <row r="3142" spans="1:17">
      <c r="A3142" s="1">
        <f>A3141+1</f>
        <v>3141</v>
      </c>
      <c r="C3142" s="8" t="s">
        <v>17</v>
      </c>
      <c r="D3142" s="2">
        <v>44011</v>
      </c>
      <c r="E3142" s="160">
        <v>160000</v>
      </c>
      <c r="F3142" t="s">
        <v>334</v>
      </c>
      <c r="G3142" t="s">
        <v>85</v>
      </c>
      <c r="H3142" t="s">
        <v>335</v>
      </c>
      <c r="I3142" s="6" t="s">
        <v>1247</v>
      </c>
      <c r="J3142" s="59" t="s">
        <v>22</v>
      </c>
      <c r="L3142" s="5" t="str">
        <f t="shared" si="1153"/>
        <v>03141</v>
      </c>
      <c r="M3142" s="46" t="str">
        <f t="shared" si="1154"/>
        <v>29 de junio de 2020</v>
      </c>
      <c r="N3142" s="318">
        <f t="shared" si="1155"/>
        <v>29</v>
      </c>
      <c r="O3142" s="24">
        <f t="shared" si="1156"/>
        <v>43983</v>
      </c>
      <c r="P3142" s="5" t="str">
        <f t="shared" si="1157"/>
        <v>160.000,00</v>
      </c>
      <c r="Q3142" s="4" t="e">
        <f t="shared" ca="1" si="1158"/>
        <v>#NAME?</v>
      </c>
    </row>
    <row r="3143" spans="1:17">
      <c r="A3143" s="1">
        <f>A3142+1</f>
        <v>3142</v>
      </c>
      <c r="C3143" s="8" t="s">
        <v>17</v>
      </c>
      <c r="D3143" s="2">
        <v>44011</v>
      </c>
      <c r="E3143" s="160">
        <v>320000</v>
      </c>
      <c r="F3143" t="s">
        <v>84</v>
      </c>
      <c r="G3143" t="s">
        <v>85</v>
      </c>
      <c r="H3143" t="s">
        <v>86</v>
      </c>
      <c r="I3143" s="6" t="s">
        <v>1245</v>
      </c>
      <c r="J3143" s="59" t="s">
        <v>22</v>
      </c>
      <c r="L3143" s="5" t="str">
        <f t="shared" si="1153"/>
        <v>03142</v>
      </c>
      <c r="M3143" s="46" t="str">
        <f t="shared" si="1154"/>
        <v>29 de junio de 2020</v>
      </c>
      <c r="N3143" s="318">
        <f t="shared" si="1155"/>
        <v>29</v>
      </c>
      <c r="O3143" s="24">
        <f t="shared" si="1156"/>
        <v>43983</v>
      </c>
      <c r="P3143" s="5" t="str">
        <f t="shared" si="1157"/>
        <v>320.000,00</v>
      </c>
      <c r="Q3143" s="4" t="e">
        <f t="shared" ca="1" si="1158"/>
        <v>#NAME?</v>
      </c>
    </row>
    <row r="3144" spans="1:17">
      <c r="A3144" s="1">
        <f>A3143+1</f>
        <v>3143</v>
      </c>
      <c r="C3144" s="8" t="s">
        <v>17</v>
      </c>
      <c r="D3144" s="2">
        <v>44012</v>
      </c>
      <c r="E3144" s="3">
        <v>500000</v>
      </c>
      <c r="F3144" t="s">
        <v>130</v>
      </c>
      <c r="G3144" t="s">
        <v>1055</v>
      </c>
      <c r="H3144" t="s">
        <v>132</v>
      </c>
      <c r="I3144" s="6" t="s">
        <v>1237</v>
      </c>
      <c r="J3144" s="59" t="s">
        <v>22</v>
      </c>
      <c r="L3144" s="5" t="str">
        <f t="shared" si="1153"/>
        <v>03143</v>
      </c>
      <c r="M3144" s="46" t="str">
        <f t="shared" si="1154"/>
        <v>30 de junio de 2020</v>
      </c>
      <c r="N3144" s="318">
        <f t="shared" si="1155"/>
        <v>30</v>
      </c>
      <c r="O3144" s="24">
        <f t="shared" si="1156"/>
        <v>43983</v>
      </c>
      <c r="P3144" s="5" t="str">
        <f t="shared" si="1157"/>
        <v>500.000,00</v>
      </c>
      <c r="Q3144" s="4" t="e">
        <f t="shared" ca="1" si="1158"/>
        <v>#NAME?</v>
      </c>
    </row>
    <row r="3145" spans="1:17">
      <c r="A3145" s="1">
        <f>A3144+1</f>
        <v>3144</v>
      </c>
      <c r="C3145" s="8" t="s">
        <v>17</v>
      </c>
      <c r="D3145" s="2">
        <v>44012</v>
      </c>
      <c r="E3145" s="3">
        <v>570000</v>
      </c>
      <c r="F3145" t="s">
        <v>558</v>
      </c>
      <c r="G3145" t="s">
        <v>559</v>
      </c>
      <c r="H3145" t="s">
        <v>560</v>
      </c>
      <c r="I3145" s="6" t="s">
        <v>1248</v>
      </c>
      <c r="J3145" s="59" t="s">
        <v>22</v>
      </c>
      <c r="L3145" s="5" t="str">
        <f t="shared" si="1153"/>
        <v>03144</v>
      </c>
      <c r="M3145" s="46" t="str">
        <f t="shared" si="1154"/>
        <v>30 de junio de 2020</v>
      </c>
      <c r="N3145" s="318">
        <f t="shared" si="1155"/>
        <v>30</v>
      </c>
      <c r="O3145" s="24">
        <f t="shared" si="1156"/>
        <v>43983</v>
      </c>
      <c r="P3145" s="5" t="str">
        <f t="shared" si="1157"/>
        <v>570.000,00</v>
      </c>
      <c r="Q3145" s="4" t="e">
        <f t="shared" ca="1" si="1158"/>
        <v>#NAME?</v>
      </c>
    </row>
    <row r="3146" spans="1:17">
      <c r="A3146" s="1">
        <f>A3145+1</f>
        <v>3145</v>
      </c>
      <c r="C3146" s="8" t="s">
        <v>17</v>
      </c>
      <c r="D3146" s="2">
        <v>44012</v>
      </c>
      <c r="E3146" s="3">
        <v>250000</v>
      </c>
      <c r="F3146" t="s">
        <v>94</v>
      </c>
      <c r="G3146" t="s">
        <v>607</v>
      </c>
      <c r="H3146" t="s">
        <v>96</v>
      </c>
      <c r="I3146" s="6" t="s">
        <v>1228</v>
      </c>
      <c r="J3146" s="59" t="s">
        <v>22</v>
      </c>
      <c r="L3146" s="5" t="str">
        <f t="shared" ref="L3146:L3154" si="1161">IF(ISBLANK(A3146),"",TEXT(A3146,"00000"))</f>
        <v>03145</v>
      </c>
      <c r="M3146" s="46" t="str">
        <f t="shared" ref="M3146:M3154" si="1162">IF(ISBLANK(D3146),"",TEXT(D3146,"dd")&amp;" de "&amp;TEXT(D3146,"mmmm")&amp;" de "&amp;TEXT(YEAR(D3146),"0"))</f>
        <v>30 de junio de 2020</v>
      </c>
      <c r="N3146" s="318">
        <f t="shared" ref="N3146:N3154" si="1163">DAY(D3146)</f>
        <v>30</v>
      </c>
      <c r="O3146" s="24">
        <f t="shared" ref="O3146:O3154" si="1164">DATE(YEAR(D3146),MONTH(D3146),1)</f>
        <v>43983</v>
      </c>
      <c r="P3146" s="5" t="str">
        <f t="shared" ref="P3146:P3154" si="1165">TEXT(E3146,"#.##0,00")</f>
        <v>250.000,00</v>
      </c>
      <c r="Q3146" s="4" t="e">
        <f t="shared" ref="Q3146:Q3149" ca="1" si="1166">CONVERTIRNUM(E3146)</f>
        <v>#NAME?</v>
      </c>
    </row>
    <row r="3147" spans="1:17">
      <c r="A3147" s="1">
        <f>A3146+1</f>
        <v>3146</v>
      </c>
      <c r="C3147" s="8" t="s">
        <v>17</v>
      </c>
      <c r="D3147" s="2">
        <v>43998</v>
      </c>
      <c r="E3147" s="3">
        <v>250000</v>
      </c>
      <c r="F3147" t="s">
        <v>230</v>
      </c>
      <c r="G3147" t="s">
        <v>231</v>
      </c>
      <c r="H3147" t="s">
        <v>232</v>
      </c>
      <c r="I3147" s="6" t="s">
        <v>1228</v>
      </c>
      <c r="J3147" s="59" t="s">
        <v>22</v>
      </c>
      <c r="L3147" s="5" t="str">
        <f t="shared" si="1161"/>
        <v>03146</v>
      </c>
      <c r="M3147" s="46" t="str">
        <f t="shared" si="1162"/>
        <v>16 de junio de 2020</v>
      </c>
      <c r="N3147" s="318">
        <f t="shared" si="1163"/>
        <v>16</v>
      </c>
      <c r="O3147" s="24">
        <f t="shared" si="1164"/>
        <v>43983</v>
      </c>
      <c r="P3147" s="5" t="str">
        <f t="shared" si="1165"/>
        <v>250.000,00</v>
      </c>
      <c r="Q3147" s="4" t="e">
        <f t="shared" ca="1" si="1166"/>
        <v>#NAME?</v>
      </c>
    </row>
    <row r="3148" spans="1:17">
      <c r="A3148" s="1">
        <f>A3147+1</f>
        <v>3147</v>
      </c>
      <c r="C3148" s="8" t="s">
        <v>17</v>
      </c>
      <c r="D3148" s="2">
        <v>44012</v>
      </c>
      <c r="E3148" s="3">
        <v>400000</v>
      </c>
      <c r="F3148" t="s">
        <v>44</v>
      </c>
      <c r="G3148" t="s">
        <v>45</v>
      </c>
      <c r="H3148" t="s">
        <v>46</v>
      </c>
      <c r="I3148" s="6" t="s">
        <v>1245</v>
      </c>
      <c r="J3148" s="59" t="s">
        <v>22</v>
      </c>
      <c r="L3148" s="5" t="str">
        <f t="shared" si="1161"/>
        <v>03147</v>
      </c>
      <c r="M3148" s="46" t="str">
        <f t="shared" si="1162"/>
        <v>30 de junio de 2020</v>
      </c>
      <c r="N3148" s="318">
        <f t="shared" si="1163"/>
        <v>30</v>
      </c>
      <c r="O3148" s="24">
        <f t="shared" si="1164"/>
        <v>43983</v>
      </c>
      <c r="P3148" s="5" t="str">
        <f t="shared" si="1165"/>
        <v>400.000,00</v>
      </c>
      <c r="Q3148" s="4" t="e">
        <f t="shared" ca="1" si="1166"/>
        <v>#NAME?</v>
      </c>
    </row>
    <row r="3149" spans="1:17">
      <c r="A3149" s="1">
        <f>A3148+1</f>
        <v>3148</v>
      </c>
      <c r="B3149" s="8"/>
      <c r="C3149" s="83" t="s">
        <v>17</v>
      </c>
      <c r="D3149" s="2">
        <v>44004</v>
      </c>
      <c r="E3149" s="3">
        <v>500000</v>
      </c>
      <c r="F3149" t="s">
        <v>319</v>
      </c>
      <c r="G3149" s="18" t="s">
        <v>58</v>
      </c>
      <c r="H3149" t="s">
        <v>320</v>
      </c>
      <c r="I3149" s="6" t="s">
        <v>1237</v>
      </c>
      <c r="J3149" s="59" t="s">
        <v>22</v>
      </c>
      <c r="L3149" s="5" t="str">
        <f t="shared" si="1161"/>
        <v>03148</v>
      </c>
      <c r="M3149" s="46" t="str">
        <f t="shared" si="1162"/>
        <v>22 de junio de 2020</v>
      </c>
      <c r="N3149" s="318">
        <f t="shared" si="1163"/>
        <v>22</v>
      </c>
      <c r="O3149" s="24">
        <f t="shared" si="1164"/>
        <v>43983</v>
      </c>
      <c r="P3149" s="5" t="str">
        <f t="shared" si="1165"/>
        <v>500.000,00</v>
      </c>
      <c r="Q3149" s="4" t="e">
        <f t="shared" ca="1" si="1166"/>
        <v>#NAME?</v>
      </c>
    </row>
    <row r="3150" spans="1:17">
      <c r="A3150" s="1">
        <f t="shared" ref="A3150:A3154" si="1167">A3149+1</f>
        <v>3149</v>
      </c>
      <c r="C3150" s="8" t="s">
        <v>17</v>
      </c>
      <c r="D3150" s="2">
        <v>44013</v>
      </c>
      <c r="E3150" s="3">
        <v>320000</v>
      </c>
      <c r="F3150" t="s">
        <v>407</v>
      </c>
      <c r="G3150" t="s">
        <v>408</v>
      </c>
      <c r="H3150" t="s">
        <v>409</v>
      </c>
      <c r="I3150" s="6" t="s">
        <v>1245</v>
      </c>
      <c r="J3150" s="59" t="s">
        <v>22</v>
      </c>
      <c r="L3150" s="5" t="str">
        <f t="shared" si="1161"/>
        <v>03149</v>
      </c>
      <c r="M3150" s="46" t="str">
        <f t="shared" si="1162"/>
        <v>01 de julio de 2020</v>
      </c>
      <c r="N3150" s="318">
        <f t="shared" si="1163"/>
        <v>1</v>
      </c>
      <c r="O3150" s="24">
        <f t="shared" si="1164"/>
        <v>44013</v>
      </c>
      <c r="P3150" s="5" t="str">
        <f t="shared" si="1165"/>
        <v>320.000,00</v>
      </c>
      <c r="Q3150" s="4" t="e">
        <f ca="1">CONVERTIRNUM(E3150)</f>
        <v>#NAME?</v>
      </c>
    </row>
    <row r="3151" spans="1:17">
      <c r="A3151" s="1">
        <f t="shared" si="1167"/>
        <v>3150</v>
      </c>
      <c r="C3151" s="8" t="s">
        <v>17</v>
      </c>
      <c r="D3151" s="2">
        <v>44013</v>
      </c>
      <c r="E3151" s="3">
        <v>320000</v>
      </c>
      <c r="F3151" t="s">
        <v>296</v>
      </c>
      <c r="G3151" t="s">
        <v>297</v>
      </c>
      <c r="H3151" t="s">
        <v>298</v>
      </c>
      <c r="I3151" s="6" t="s">
        <v>1245</v>
      </c>
      <c r="J3151" s="59" t="s">
        <v>22</v>
      </c>
      <c r="L3151" s="5" t="str">
        <f t="shared" si="1161"/>
        <v>03150</v>
      </c>
      <c r="M3151" s="46" t="str">
        <f t="shared" si="1162"/>
        <v>01 de julio de 2020</v>
      </c>
      <c r="N3151" s="318">
        <f t="shared" si="1163"/>
        <v>1</v>
      </c>
      <c r="O3151" s="24">
        <f t="shared" si="1164"/>
        <v>44013</v>
      </c>
      <c r="P3151" s="5" t="str">
        <f t="shared" si="1165"/>
        <v>320.000,00</v>
      </c>
      <c r="Q3151" s="4" t="e">
        <f t="shared" ref="Q3151:Q3154" ca="1" si="1168">CONVERTIRNUM(E3151)</f>
        <v>#NAME?</v>
      </c>
    </row>
    <row r="3152" spans="1:17">
      <c r="A3152" s="1">
        <f>A3151+1</f>
        <v>3151</v>
      </c>
      <c r="C3152" s="8" t="s">
        <v>17</v>
      </c>
      <c r="D3152" s="2">
        <v>44013</v>
      </c>
      <c r="E3152" s="3">
        <v>320000</v>
      </c>
      <c r="F3152" t="s">
        <v>24</v>
      </c>
      <c r="G3152" t="s">
        <v>25</v>
      </c>
      <c r="H3152" t="s">
        <v>26</v>
      </c>
      <c r="I3152" s="6" t="s">
        <v>1245</v>
      </c>
      <c r="J3152" s="59" t="s">
        <v>22</v>
      </c>
      <c r="L3152" s="5" t="str">
        <f t="shared" si="1161"/>
        <v>03151</v>
      </c>
      <c r="M3152" s="46" t="str">
        <f t="shared" si="1162"/>
        <v>01 de julio de 2020</v>
      </c>
      <c r="N3152" s="318">
        <f t="shared" si="1163"/>
        <v>1</v>
      </c>
      <c r="O3152" s="24">
        <f t="shared" si="1164"/>
        <v>44013</v>
      </c>
      <c r="P3152" s="5" t="str">
        <f t="shared" si="1165"/>
        <v>320.000,00</v>
      </c>
      <c r="Q3152" s="4" t="e">
        <f t="shared" ca="1" si="1168"/>
        <v>#NAME?</v>
      </c>
    </row>
    <row r="3153" spans="1:17">
      <c r="A3153" s="1">
        <f>A3152+1</f>
        <v>3152</v>
      </c>
      <c r="B3153" s="8"/>
      <c r="C3153" s="8" t="s">
        <v>17</v>
      </c>
      <c r="D3153" s="2">
        <v>44013</v>
      </c>
      <c r="E3153" s="3">
        <v>320000</v>
      </c>
      <c r="F3153" t="s">
        <v>786</v>
      </c>
      <c r="G3153" t="s">
        <v>787</v>
      </c>
      <c r="H3153" t="s">
        <v>719</v>
      </c>
      <c r="I3153" s="6" t="s">
        <v>1249</v>
      </c>
      <c r="J3153" s="59" t="s">
        <v>22</v>
      </c>
      <c r="L3153" s="5" t="str">
        <f t="shared" si="1161"/>
        <v>03152</v>
      </c>
      <c r="M3153" s="46" t="str">
        <f t="shared" si="1162"/>
        <v>01 de julio de 2020</v>
      </c>
      <c r="N3153" s="318">
        <f t="shared" si="1163"/>
        <v>1</v>
      </c>
      <c r="O3153" s="24">
        <f t="shared" si="1164"/>
        <v>44013</v>
      </c>
      <c r="P3153" s="5" t="str">
        <f t="shared" si="1165"/>
        <v>320.000,00</v>
      </c>
      <c r="Q3153" s="4" t="e">
        <f t="shared" ca="1" si="1168"/>
        <v>#NAME?</v>
      </c>
    </row>
    <row r="3154" spans="1:17">
      <c r="A3154" s="1">
        <f>A3153+1</f>
        <v>3153</v>
      </c>
      <c r="B3154" s="8"/>
      <c r="C3154" s="8" t="s">
        <v>17</v>
      </c>
      <c r="D3154" s="2">
        <v>44013</v>
      </c>
      <c r="E3154" s="3">
        <v>320000</v>
      </c>
      <c r="F3154" t="s">
        <v>771</v>
      </c>
      <c r="G3154" t="s">
        <v>772</v>
      </c>
      <c r="H3154" t="s">
        <v>773</v>
      </c>
      <c r="I3154" s="6" t="s">
        <v>1250</v>
      </c>
      <c r="J3154" s="59" t="s">
        <v>22</v>
      </c>
      <c r="L3154" s="5" t="str">
        <f t="shared" ref="L3154:L3160" si="1169">IF(ISBLANK(A3154),"",TEXT(A3154,"00000"))</f>
        <v>03153</v>
      </c>
      <c r="M3154" s="46" t="str">
        <f t="shared" ref="M3154:M3160" si="1170">IF(ISBLANK(D3154),"",TEXT(D3154,"dd")&amp;" de "&amp;TEXT(D3154,"mmmm")&amp;" de "&amp;TEXT(YEAR(D3154),"0"))</f>
        <v>01 de julio de 2020</v>
      </c>
      <c r="N3154" s="318">
        <f t="shared" ref="N3154:N3160" si="1171">DAY(D3154)</f>
        <v>1</v>
      </c>
      <c r="O3154" s="24">
        <f t="shared" ref="O3154:O3160" si="1172">DATE(YEAR(D3154),MONTH(D3154),1)</f>
        <v>44013</v>
      </c>
      <c r="P3154" s="5" t="str">
        <f t="shared" ref="P3154:P3160" si="1173">TEXT(E3154,"#.##0,00")</f>
        <v>320.000,00</v>
      </c>
      <c r="Q3154" s="4" t="e">
        <f t="shared" ref="Q3154:Q3160" ca="1" si="1174">CONVERTIRNUM(E3154)</f>
        <v>#NAME?</v>
      </c>
    </row>
    <row r="3155" spans="1:17">
      <c r="A3155" s="1">
        <f>A3154+1</f>
        <v>3154</v>
      </c>
      <c r="B3155" s="8"/>
      <c r="C3155" s="8" t="s">
        <v>17</v>
      </c>
      <c r="D3155" s="2">
        <v>44013</v>
      </c>
      <c r="E3155" s="3">
        <v>320000</v>
      </c>
      <c r="F3155" t="s">
        <v>126</v>
      </c>
      <c r="G3155" t="s">
        <v>127</v>
      </c>
      <c r="H3155" t="s">
        <v>128</v>
      </c>
      <c r="I3155" s="6" t="s">
        <v>1251</v>
      </c>
      <c r="J3155" s="59" t="s">
        <v>22</v>
      </c>
      <c r="L3155" s="5" t="str">
        <f t="shared" si="1169"/>
        <v>03154</v>
      </c>
      <c r="M3155" s="46" t="str">
        <f t="shared" si="1170"/>
        <v>01 de julio de 2020</v>
      </c>
      <c r="N3155" s="318">
        <f t="shared" si="1171"/>
        <v>1</v>
      </c>
      <c r="O3155" s="24">
        <f t="shared" si="1172"/>
        <v>44013</v>
      </c>
      <c r="P3155" s="5" t="str">
        <f t="shared" si="1173"/>
        <v>320.000,00</v>
      </c>
      <c r="Q3155" s="4" t="e">
        <f t="shared" ca="1" si="1174"/>
        <v>#NAME?</v>
      </c>
    </row>
    <row r="3156" spans="1:17">
      <c r="A3156" s="1">
        <f>A3155+1</f>
        <v>3155</v>
      </c>
      <c r="B3156" s="8"/>
      <c r="C3156" s="83" t="s">
        <v>17</v>
      </c>
      <c r="D3156" s="2">
        <v>44013</v>
      </c>
      <c r="E3156" s="3">
        <v>70000</v>
      </c>
      <c r="F3156" t="s">
        <v>319</v>
      </c>
      <c r="G3156" s="18" t="s">
        <v>58</v>
      </c>
      <c r="H3156" t="s">
        <v>320</v>
      </c>
      <c r="I3156" s="6" t="s">
        <v>1246</v>
      </c>
      <c r="J3156" s="59" t="s">
        <v>22</v>
      </c>
      <c r="L3156" s="5" t="str">
        <f t="shared" si="1169"/>
        <v>03155</v>
      </c>
      <c r="M3156" s="46" t="str">
        <f t="shared" si="1170"/>
        <v>01 de julio de 2020</v>
      </c>
      <c r="N3156" s="318">
        <f t="shared" si="1171"/>
        <v>1</v>
      </c>
      <c r="O3156" s="24">
        <f t="shared" si="1172"/>
        <v>44013</v>
      </c>
      <c r="P3156" s="5" t="str">
        <f t="shared" si="1173"/>
        <v>70.000,00</v>
      </c>
      <c r="Q3156" s="4" t="e">
        <f t="shared" ca="1" si="1174"/>
        <v>#NAME?</v>
      </c>
    </row>
    <row r="3157" spans="1:17">
      <c r="A3157" s="1">
        <f>A3156+1</f>
        <v>3156</v>
      </c>
      <c r="B3157" s="8"/>
      <c r="C3157" s="8" t="s">
        <v>17</v>
      </c>
      <c r="D3157" s="2">
        <v>44014</v>
      </c>
      <c r="E3157" s="3">
        <v>320000</v>
      </c>
      <c r="F3157" s="552" t="s">
        <v>948</v>
      </c>
      <c r="G3157" t="s">
        <v>949</v>
      </c>
      <c r="H3157" t="s">
        <v>950</v>
      </c>
      <c r="I3157" s="6" t="s">
        <v>1245</v>
      </c>
      <c r="J3157" s="59" t="s">
        <v>22</v>
      </c>
      <c r="L3157" s="5" t="str">
        <f t="shared" si="1169"/>
        <v>03156</v>
      </c>
      <c r="M3157" s="46" t="str">
        <f t="shared" si="1170"/>
        <v>02 de julio de 2020</v>
      </c>
      <c r="N3157" s="318">
        <f t="shared" si="1171"/>
        <v>2</v>
      </c>
      <c r="O3157" s="24">
        <f t="shared" si="1172"/>
        <v>44013</v>
      </c>
      <c r="P3157" s="5" t="str">
        <f t="shared" si="1173"/>
        <v>320.000,00</v>
      </c>
      <c r="Q3157" s="4" t="e">
        <f t="shared" ca="1" si="1174"/>
        <v>#NAME?</v>
      </c>
    </row>
    <row r="3158" spans="1:17">
      <c r="A3158" s="1">
        <f>A3157+1</f>
        <v>3157</v>
      </c>
      <c r="B3158" s="8"/>
      <c r="C3158" s="8" t="s">
        <v>17</v>
      </c>
      <c r="D3158" s="2">
        <v>44014</v>
      </c>
      <c r="E3158" s="3">
        <v>500000</v>
      </c>
      <c r="F3158" t="s">
        <v>80</v>
      </c>
      <c r="G3158" t="s">
        <v>81</v>
      </c>
      <c r="H3158" t="s">
        <v>82</v>
      </c>
      <c r="I3158" s="6" t="s">
        <v>1252</v>
      </c>
      <c r="J3158" s="59" t="s">
        <v>22</v>
      </c>
      <c r="L3158" s="5" t="str">
        <f t="shared" si="1169"/>
        <v>03157</v>
      </c>
      <c r="M3158" s="46" t="str">
        <f t="shared" si="1170"/>
        <v>02 de julio de 2020</v>
      </c>
      <c r="N3158" s="318">
        <f t="shared" si="1171"/>
        <v>2</v>
      </c>
      <c r="O3158" s="24">
        <f t="shared" si="1172"/>
        <v>44013</v>
      </c>
      <c r="P3158" s="5" t="str">
        <f t="shared" si="1173"/>
        <v>500.000,00</v>
      </c>
      <c r="Q3158" s="4" t="e">
        <f t="shared" ca="1" si="1174"/>
        <v>#NAME?</v>
      </c>
    </row>
    <row r="3159" spans="1:17">
      <c r="A3159" s="1">
        <f t="shared" ref="A3159" si="1175">A3158+1</f>
        <v>3158</v>
      </c>
      <c r="C3159" s="8" t="s">
        <v>17</v>
      </c>
      <c r="D3159" s="2">
        <v>44014</v>
      </c>
      <c r="E3159" s="3">
        <v>350000</v>
      </c>
      <c r="F3159" t="s">
        <v>1187</v>
      </c>
      <c r="G3159" t="s">
        <v>1188</v>
      </c>
      <c r="H3159" t="s">
        <v>50</v>
      </c>
      <c r="I3159" s="6" t="s">
        <v>1253</v>
      </c>
      <c r="J3159" s="59" t="s">
        <v>22</v>
      </c>
      <c r="L3159" s="5" t="str">
        <f t="shared" si="1169"/>
        <v>03158</v>
      </c>
      <c r="M3159" s="46" t="str">
        <f t="shared" si="1170"/>
        <v>02 de julio de 2020</v>
      </c>
      <c r="N3159" s="318">
        <f t="shared" si="1171"/>
        <v>2</v>
      </c>
      <c r="O3159" s="24">
        <f t="shared" si="1172"/>
        <v>44013</v>
      </c>
      <c r="P3159" s="5" t="str">
        <f t="shared" si="1173"/>
        <v>350.000,00</v>
      </c>
      <c r="Q3159" s="4" t="e">
        <f t="shared" ca="1" si="1174"/>
        <v>#NAME?</v>
      </c>
    </row>
    <row r="3160" spans="1:17">
      <c r="A3160" s="1">
        <f>A3159+1</f>
        <v>3159</v>
      </c>
      <c r="B3160" s="8"/>
      <c r="C3160" s="83" t="s">
        <v>17</v>
      </c>
      <c r="D3160" s="2">
        <v>44014</v>
      </c>
      <c r="E3160" s="160">
        <v>320000</v>
      </c>
      <c r="F3160" t="s">
        <v>492</v>
      </c>
      <c r="G3160" s="18" t="s">
        <v>58</v>
      </c>
      <c r="H3160" t="s">
        <v>493</v>
      </c>
      <c r="I3160" s="6" t="s">
        <v>1245</v>
      </c>
      <c r="J3160" s="59" t="s">
        <v>22</v>
      </c>
      <c r="L3160" s="5" t="str">
        <f t="shared" si="1169"/>
        <v>03159</v>
      </c>
      <c r="M3160" s="46" t="str">
        <f t="shared" si="1170"/>
        <v>02 de julio de 2020</v>
      </c>
      <c r="N3160" s="318">
        <f t="shared" si="1171"/>
        <v>2</v>
      </c>
      <c r="O3160" s="24">
        <f t="shared" si="1172"/>
        <v>44013</v>
      </c>
      <c r="P3160" s="5" t="str">
        <f t="shared" si="1173"/>
        <v>320.000,00</v>
      </c>
      <c r="Q3160" s="4" t="e">
        <f t="shared" ca="1" si="1174"/>
        <v>#NAME?</v>
      </c>
    </row>
  </sheetData>
  <autoFilter ref="A1:Q3138" xr:uid="{00000000-0009-0000-0000-000000000000}"/>
  <sortState xmlns:xlrd2="http://schemas.microsoft.com/office/spreadsheetml/2017/richdata2" ref="A2:N204">
    <sortCondition ref="A203"/>
  </sortState>
  <conditionalFormatting sqref="G79">
    <cfRule type="expression" dxfId="955" priority="965" stopIfTrue="1">
      <formula>ISBLANK(G79)</formula>
    </cfRule>
    <cfRule type="expression" dxfId="954" priority="966">
      <formula>IFERROR(FIND("@",G79),-1)&lt;0</formula>
    </cfRule>
  </conditionalFormatting>
  <conditionalFormatting sqref="G179">
    <cfRule type="expression" dxfId="953" priority="963" stopIfTrue="1">
      <formula>ISBLANK(G179)</formula>
    </cfRule>
    <cfRule type="expression" dxfId="952" priority="964">
      <formula>IFERROR(FIND("@",G179),-1)&lt;0</formula>
    </cfRule>
  </conditionalFormatting>
  <conditionalFormatting sqref="G13">
    <cfRule type="expression" dxfId="951" priority="961" stopIfTrue="1">
      <formula>ISBLANK(G13)</formula>
    </cfRule>
    <cfRule type="expression" dxfId="950" priority="962">
      <formula>IFERROR(FIND("@",G13),-1)&lt;0</formula>
    </cfRule>
  </conditionalFormatting>
  <conditionalFormatting sqref="G56">
    <cfRule type="expression" dxfId="949" priority="959" stopIfTrue="1">
      <formula>ISBLANK(G56)</formula>
    </cfRule>
    <cfRule type="expression" dxfId="948" priority="960">
      <formula>IFERROR(FIND("@",G56),-1)&lt;0</formula>
    </cfRule>
  </conditionalFormatting>
  <conditionalFormatting sqref="G139">
    <cfRule type="expression" dxfId="947" priority="957" stopIfTrue="1">
      <formula>ISBLANK(G139)</formula>
    </cfRule>
    <cfRule type="expression" dxfId="946" priority="958">
      <formula>IFERROR(FIND("@",G139),-1)&lt;0</formula>
    </cfRule>
  </conditionalFormatting>
  <conditionalFormatting sqref="G163">
    <cfRule type="expression" dxfId="945" priority="955" stopIfTrue="1">
      <formula>ISBLANK(G163)</formula>
    </cfRule>
    <cfRule type="expression" dxfId="944" priority="956">
      <formula>IFERROR(FIND("@",G163),-1)&lt;0</formula>
    </cfRule>
  </conditionalFormatting>
  <conditionalFormatting sqref="G190">
    <cfRule type="expression" dxfId="943" priority="953" stopIfTrue="1">
      <formula>ISBLANK(G190)</formula>
    </cfRule>
    <cfRule type="expression" dxfId="942" priority="954">
      <formula>IFERROR(FIND("@",G190),-1)&lt;0</formula>
    </cfRule>
  </conditionalFormatting>
  <conditionalFormatting sqref="G191:G192">
    <cfRule type="expression" dxfId="941" priority="951" stopIfTrue="1">
      <formula>ISBLANK(G191)</formula>
    </cfRule>
    <cfRule type="expression" dxfId="940" priority="952">
      <formula>IFERROR(FIND("@",G191),-1)&lt;0</formula>
    </cfRule>
  </conditionalFormatting>
  <conditionalFormatting sqref="G184">
    <cfRule type="expression" dxfId="939" priority="949" stopIfTrue="1">
      <formula>ISBLANK(G184)</formula>
    </cfRule>
    <cfRule type="expression" dxfId="938" priority="950">
      <formula>IFERROR(FIND("@",G184),-1)&lt;0</formula>
    </cfRule>
  </conditionalFormatting>
  <conditionalFormatting sqref="G47">
    <cfRule type="expression" dxfId="937" priority="947" stopIfTrue="1">
      <formula>ISBLANK(G47)</formula>
    </cfRule>
    <cfRule type="expression" dxfId="936" priority="948">
      <formula>IFERROR(FIND("@",G47),-1)&lt;0</formula>
    </cfRule>
  </conditionalFormatting>
  <conditionalFormatting sqref="G93">
    <cfRule type="expression" dxfId="935" priority="945" stopIfTrue="1">
      <formula>ISBLANK(G93)</formula>
    </cfRule>
    <cfRule type="expression" dxfId="934" priority="946">
      <formula>IFERROR(FIND("@",G93),-1)&lt;0</formula>
    </cfRule>
  </conditionalFormatting>
  <conditionalFormatting sqref="G150">
    <cfRule type="expression" dxfId="933" priority="943" stopIfTrue="1">
      <formula>ISBLANK(G150)</formula>
    </cfRule>
    <cfRule type="expression" dxfId="932" priority="944">
      <formula>IFERROR(FIND("@",G150),-1)&lt;0</formula>
    </cfRule>
  </conditionalFormatting>
  <conditionalFormatting sqref="G53">
    <cfRule type="expression" dxfId="931" priority="941" stopIfTrue="1">
      <formula>ISBLANK(G53)</formula>
    </cfRule>
    <cfRule type="expression" dxfId="930" priority="942">
      <formula>IFERROR(FIND("@",G53),-1)&lt;0</formula>
    </cfRule>
  </conditionalFormatting>
  <conditionalFormatting sqref="G86">
    <cfRule type="expression" dxfId="929" priority="939" stopIfTrue="1">
      <formula>ISBLANK(G86)</formula>
    </cfRule>
    <cfRule type="expression" dxfId="928" priority="940">
      <formula>IFERROR(FIND("@",G86),-1)&lt;0</formula>
    </cfRule>
  </conditionalFormatting>
  <conditionalFormatting sqref="G125">
    <cfRule type="expression" dxfId="927" priority="937" stopIfTrue="1">
      <formula>ISBLANK(G125)</formula>
    </cfRule>
    <cfRule type="expression" dxfId="926" priority="938">
      <formula>IFERROR(FIND("@",G125),-1)&lt;0</formula>
    </cfRule>
  </conditionalFormatting>
  <conditionalFormatting sqref="G174">
    <cfRule type="expression" dxfId="925" priority="935" stopIfTrue="1">
      <formula>ISBLANK(G174)</formula>
    </cfRule>
    <cfRule type="expression" dxfId="924" priority="936">
      <formula>IFERROR(FIND("@",G174),-1)&lt;0</formula>
    </cfRule>
  </conditionalFormatting>
  <conditionalFormatting sqref="G117">
    <cfRule type="expression" dxfId="923" priority="933" stopIfTrue="1">
      <formula>ISBLANK(G117)</formula>
    </cfRule>
    <cfRule type="expression" dxfId="922" priority="934">
      <formula>IFERROR(FIND("@",G117),-1)&lt;0</formula>
    </cfRule>
  </conditionalFormatting>
  <conditionalFormatting sqref="G193">
    <cfRule type="expression" dxfId="921" priority="931" stopIfTrue="1">
      <formula>ISBLANK(G193)</formula>
    </cfRule>
    <cfRule type="expression" dxfId="920" priority="932">
      <formula>IFERROR(FIND("@",G193),-1)&lt;0</formula>
    </cfRule>
  </conditionalFormatting>
  <conditionalFormatting sqref="G12">
    <cfRule type="expression" dxfId="919" priority="929" stopIfTrue="1">
      <formula>ISBLANK(G12)</formula>
    </cfRule>
    <cfRule type="expression" dxfId="918" priority="930">
      <formula>IFERROR(FIND("@",G12),-1)&lt;0</formula>
    </cfRule>
  </conditionalFormatting>
  <conditionalFormatting sqref="G66">
    <cfRule type="expression" dxfId="917" priority="927" stopIfTrue="1">
      <formula>ISBLANK(G66)</formula>
    </cfRule>
    <cfRule type="expression" dxfId="916" priority="928">
      <formula>IFERROR(FIND("@",G66),-1)&lt;0</formula>
    </cfRule>
  </conditionalFormatting>
  <conditionalFormatting sqref="G129">
    <cfRule type="expression" dxfId="915" priority="925" stopIfTrue="1">
      <formula>ISBLANK(G129)</formula>
    </cfRule>
    <cfRule type="expression" dxfId="914" priority="926">
      <formula>IFERROR(FIND("@",G129),-1)&lt;0</formula>
    </cfRule>
  </conditionalFormatting>
  <conditionalFormatting sqref="G161">
    <cfRule type="expression" dxfId="913" priority="923" stopIfTrue="1">
      <formula>ISBLANK(G161)</formula>
    </cfRule>
    <cfRule type="expression" dxfId="912" priority="924">
      <formula>IFERROR(FIND("@",G161),-1)&lt;0</formula>
    </cfRule>
  </conditionalFormatting>
  <conditionalFormatting sqref="G67">
    <cfRule type="expression" dxfId="911" priority="921" stopIfTrue="1">
      <formula>ISBLANK(G67)</formula>
    </cfRule>
    <cfRule type="expression" dxfId="910" priority="922">
      <formula>IFERROR(FIND("@",G67),-1)&lt;0</formula>
    </cfRule>
  </conditionalFormatting>
  <conditionalFormatting sqref="G130">
    <cfRule type="expression" dxfId="909" priority="919" stopIfTrue="1">
      <formula>ISBLANK(G130)</formula>
    </cfRule>
    <cfRule type="expression" dxfId="908" priority="920">
      <formula>IFERROR(FIND("@",G130),-1)&lt;0</formula>
    </cfRule>
  </conditionalFormatting>
  <conditionalFormatting sqref="G168">
    <cfRule type="expression" dxfId="907" priority="917" stopIfTrue="1">
      <formula>ISBLANK(G168)</formula>
    </cfRule>
    <cfRule type="expression" dxfId="906" priority="918">
      <formula>IFERROR(FIND("@",G168),-1)&lt;0</formula>
    </cfRule>
  </conditionalFormatting>
  <conditionalFormatting sqref="G199">
    <cfRule type="expression" dxfId="905" priority="915" stopIfTrue="1">
      <formula>ISBLANK(G199)</formula>
    </cfRule>
    <cfRule type="expression" dxfId="904" priority="916">
      <formula>IFERROR(FIND("@",G199),-1)&lt;0</formula>
    </cfRule>
  </conditionalFormatting>
  <conditionalFormatting sqref="G200">
    <cfRule type="expression" dxfId="903" priority="913" stopIfTrue="1">
      <formula>ISBLANK(G200)</formula>
    </cfRule>
    <cfRule type="expression" dxfId="902" priority="914">
      <formula>IFERROR(FIND("@",G200),-1)&lt;0</formula>
    </cfRule>
  </conditionalFormatting>
  <conditionalFormatting sqref="G201">
    <cfRule type="expression" dxfId="901" priority="911" stopIfTrue="1">
      <formula>ISBLANK(G201)</formula>
    </cfRule>
    <cfRule type="expression" dxfId="900" priority="912">
      <formula>IFERROR(FIND("@",G201),-1)&lt;0</formula>
    </cfRule>
  </conditionalFormatting>
  <conditionalFormatting sqref="G89">
    <cfRule type="expression" dxfId="899" priority="909" stopIfTrue="1">
      <formula>ISBLANK(G89)</formula>
    </cfRule>
    <cfRule type="expression" dxfId="898" priority="910">
      <formula>IFERROR(FIND("@",G89),-1)&lt;0</formula>
    </cfRule>
  </conditionalFormatting>
  <conditionalFormatting sqref="G207">
    <cfRule type="expression" dxfId="897" priority="907" stopIfTrue="1">
      <formula>ISBLANK(G207)</formula>
    </cfRule>
    <cfRule type="expression" dxfId="896" priority="908">
      <formula>IFERROR(FIND("@",G207),-1)&lt;0</formula>
    </cfRule>
  </conditionalFormatting>
  <conditionalFormatting sqref="G211">
    <cfRule type="expression" dxfId="895" priority="905" stopIfTrue="1">
      <formula>ISBLANK(G211)</formula>
    </cfRule>
    <cfRule type="expression" dxfId="894" priority="906">
      <formula>IFERROR(FIND("@",G211),-1)&lt;0</formula>
    </cfRule>
  </conditionalFormatting>
  <conditionalFormatting sqref="G212">
    <cfRule type="expression" dxfId="893" priority="903" stopIfTrue="1">
      <formula>ISBLANK(G212)</formula>
    </cfRule>
    <cfRule type="expression" dxfId="892" priority="904">
      <formula>IFERROR(FIND("@",G212),-1)&lt;0</formula>
    </cfRule>
  </conditionalFormatting>
  <conditionalFormatting sqref="G214">
    <cfRule type="expression" dxfId="891" priority="901" stopIfTrue="1">
      <formula>ISBLANK(G214)</formula>
    </cfRule>
    <cfRule type="expression" dxfId="890" priority="902">
      <formula>IFERROR(FIND("@",G214),-1)&lt;0</formula>
    </cfRule>
  </conditionalFormatting>
  <conditionalFormatting sqref="G236">
    <cfRule type="expression" dxfId="889" priority="897" stopIfTrue="1">
      <formula>ISBLANK(G236)</formula>
    </cfRule>
    <cfRule type="expression" dxfId="888" priority="898">
      <formula>IFERROR(FIND("@",G236),-1)&lt;0</formula>
    </cfRule>
  </conditionalFormatting>
  <conditionalFormatting sqref="G243">
    <cfRule type="expression" dxfId="887" priority="895" stopIfTrue="1">
      <formula>ISBLANK(G243)</formula>
    </cfRule>
    <cfRule type="expression" dxfId="886" priority="896">
      <formula>IFERROR(FIND("@",G243),-1)&lt;0</formula>
    </cfRule>
  </conditionalFormatting>
  <conditionalFormatting sqref="G244">
    <cfRule type="expression" dxfId="885" priority="893" stopIfTrue="1">
      <formula>ISBLANK(G244)</formula>
    </cfRule>
    <cfRule type="expression" dxfId="884" priority="894">
      <formula>IFERROR(FIND("@",G244),-1)&lt;0</formula>
    </cfRule>
  </conditionalFormatting>
  <conditionalFormatting sqref="G245">
    <cfRule type="expression" dxfId="883" priority="891" stopIfTrue="1">
      <formula>ISBLANK(G245)</formula>
    </cfRule>
    <cfRule type="expression" dxfId="882" priority="892">
      <formula>IFERROR(FIND("@",G245),-1)&lt;0</formula>
    </cfRule>
  </conditionalFormatting>
  <conditionalFormatting sqref="G284">
    <cfRule type="expression" dxfId="881" priority="889" stopIfTrue="1">
      <formula>ISBLANK(G284)</formula>
    </cfRule>
    <cfRule type="expression" dxfId="880" priority="890">
      <formula>IFERROR(FIND("@",G284),-1)&lt;0</formula>
    </cfRule>
  </conditionalFormatting>
  <conditionalFormatting sqref="G286">
    <cfRule type="expression" dxfId="879" priority="887" stopIfTrue="1">
      <formula>ISBLANK(G286)</formula>
    </cfRule>
    <cfRule type="expression" dxfId="878" priority="888">
      <formula>IFERROR(FIND("@",G286),-1)&lt;0</formula>
    </cfRule>
  </conditionalFormatting>
  <conditionalFormatting sqref="G290">
    <cfRule type="expression" dxfId="877" priority="885" stopIfTrue="1">
      <formula>ISBLANK(G290)</formula>
    </cfRule>
    <cfRule type="expression" dxfId="876" priority="886">
      <formula>IFERROR(FIND("@",G290),-1)&lt;0</formula>
    </cfRule>
  </conditionalFormatting>
  <conditionalFormatting sqref="G297">
    <cfRule type="expression" dxfId="875" priority="883" stopIfTrue="1">
      <formula>ISBLANK(G297)</formula>
    </cfRule>
    <cfRule type="expression" dxfId="874" priority="884">
      <formula>IFERROR(FIND("@",G297),-1)&lt;0</formula>
    </cfRule>
  </conditionalFormatting>
  <conditionalFormatting sqref="G310:G311">
    <cfRule type="expression" dxfId="873" priority="877" stopIfTrue="1">
      <formula>ISBLANK(G310)</formula>
    </cfRule>
    <cfRule type="expression" dxfId="872" priority="878">
      <formula>IFERROR(FIND("@",G310),-1)&lt;0</formula>
    </cfRule>
  </conditionalFormatting>
  <conditionalFormatting sqref="G313">
    <cfRule type="expression" dxfId="871" priority="873" stopIfTrue="1">
      <formula>ISBLANK(G313)</formula>
    </cfRule>
    <cfRule type="expression" dxfId="870" priority="874">
      <formula>IFERROR(FIND("@",G313),-1)&lt;0</formula>
    </cfRule>
  </conditionalFormatting>
  <conditionalFormatting sqref="G332">
    <cfRule type="expression" dxfId="869" priority="869" stopIfTrue="1">
      <formula>ISBLANK(G332)</formula>
    </cfRule>
    <cfRule type="expression" dxfId="868" priority="870">
      <formula>IFERROR(FIND("@",G332),-1)&lt;0</formula>
    </cfRule>
  </conditionalFormatting>
  <conditionalFormatting sqref="G343">
    <cfRule type="expression" dxfId="867" priority="867" stopIfTrue="1">
      <formula>ISBLANK(G343)</formula>
    </cfRule>
    <cfRule type="expression" dxfId="866" priority="868">
      <formula>IFERROR(FIND("@",G343),-1)&lt;0</formula>
    </cfRule>
  </conditionalFormatting>
  <conditionalFormatting sqref="G350">
    <cfRule type="expression" dxfId="865" priority="865" stopIfTrue="1">
      <formula>ISBLANK(G350)</formula>
    </cfRule>
    <cfRule type="expression" dxfId="864" priority="866">
      <formula>IFERROR(FIND("@",G350),-1)&lt;0</formula>
    </cfRule>
  </conditionalFormatting>
  <conditionalFormatting sqref="G351">
    <cfRule type="expression" dxfId="863" priority="863" stopIfTrue="1">
      <formula>ISBLANK(G351)</formula>
    </cfRule>
    <cfRule type="expression" dxfId="862" priority="864">
      <formula>IFERROR(FIND("@",G351),-1)&lt;0</formula>
    </cfRule>
  </conditionalFormatting>
  <conditionalFormatting sqref="G355">
    <cfRule type="expression" dxfId="861" priority="861" stopIfTrue="1">
      <formula>ISBLANK(G355)</formula>
    </cfRule>
    <cfRule type="expression" dxfId="860" priority="862">
      <formula>IFERROR(FIND("@",G355),-1)&lt;0</formula>
    </cfRule>
  </conditionalFormatting>
  <conditionalFormatting sqref="G370">
    <cfRule type="expression" dxfId="859" priority="859" stopIfTrue="1">
      <formula>ISBLANK(G370)</formula>
    </cfRule>
    <cfRule type="expression" dxfId="858" priority="860">
      <formula>IFERROR(FIND("@",G370),-1)&lt;0</formula>
    </cfRule>
  </conditionalFormatting>
  <conditionalFormatting sqref="G408">
    <cfRule type="expression" dxfId="857" priority="857" stopIfTrue="1">
      <formula>ISBLANK(G408)</formula>
    </cfRule>
    <cfRule type="expression" dxfId="856" priority="858">
      <formula>IFERROR(FIND("@",G408),-1)&lt;0</formula>
    </cfRule>
  </conditionalFormatting>
  <conditionalFormatting sqref="G409">
    <cfRule type="expression" dxfId="855" priority="855" stopIfTrue="1">
      <formula>ISBLANK(G409)</formula>
    </cfRule>
    <cfRule type="expression" dxfId="854" priority="856">
      <formula>IFERROR(FIND("@",G409),-1)&lt;0</formula>
    </cfRule>
  </conditionalFormatting>
  <conditionalFormatting sqref="G412">
    <cfRule type="expression" dxfId="853" priority="853" stopIfTrue="1">
      <formula>ISBLANK(G412)</formula>
    </cfRule>
    <cfRule type="expression" dxfId="852" priority="854">
      <formula>IFERROR(FIND("@",G412),-1)&lt;0</formula>
    </cfRule>
  </conditionalFormatting>
  <conditionalFormatting sqref="G419">
    <cfRule type="expression" dxfId="851" priority="851" stopIfTrue="1">
      <formula>ISBLANK(G419)</formula>
    </cfRule>
    <cfRule type="expression" dxfId="850" priority="852">
      <formula>IFERROR(FIND("@",G419),-1)&lt;0</formula>
    </cfRule>
  </conditionalFormatting>
  <conditionalFormatting sqref="G420">
    <cfRule type="expression" dxfId="849" priority="849" stopIfTrue="1">
      <formula>ISBLANK(G420)</formula>
    </cfRule>
    <cfRule type="expression" dxfId="848" priority="850">
      <formula>IFERROR(FIND("@",G420),-1)&lt;0</formula>
    </cfRule>
  </conditionalFormatting>
  <conditionalFormatting sqref="G421">
    <cfRule type="expression" dxfId="847" priority="847" stopIfTrue="1">
      <formula>ISBLANK(G421)</formula>
    </cfRule>
    <cfRule type="expression" dxfId="846" priority="848">
      <formula>IFERROR(FIND("@",G421),-1)&lt;0</formula>
    </cfRule>
  </conditionalFormatting>
  <conditionalFormatting sqref="G449">
    <cfRule type="expression" dxfId="845" priority="843" stopIfTrue="1">
      <formula>ISBLANK(G449)</formula>
    </cfRule>
    <cfRule type="expression" dxfId="844" priority="844">
      <formula>IFERROR(FIND("@",G449),-1)&lt;0</formula>
    </cfRule>
  </conditionalFormatting>
  <conditionalFormatting sqref="G450">
    <cfRule type="expression" dxfId="843" priority="841" stopIfTrue="1">
      <formula>ISBLANK(G450)</formula>
    </cfRule>
    <cfRule type="expression" dxfId="842" priority="842">
      <formula>IFERROR(FIND("@",G450),-1)&lt;0</formula>
    </cfRule>
  </conditionalFormatting>
  <conditionalFormatting sqref="G470">
    <cfRule type="expression" dxfId="841" priority="839" stopIfTrue="1">
      <formula>ISBLANK(G470)</formula>
    </cfRule>
    <cfRule type="expression" dxfId="840" priority="840">
      <formula>IFERROR(FIND("@",G470),-1)&lt;0</formula>
    </cfRule>
  </conditionalFormatting>
  <conditionalFormatting sqref="G477">
    <cfRule type="expression" dxfId="839" priority="837" stopIfTrue="1">
      <formula>ISBLANK(G477)</formula>
    </cfRule>
    <cfRule type="expression" dxfId="838" priority="838">
      <formula>IFERROR(FIND("@",G477),-1)&lt;0</formula>
    </cfRule>
  </conditionalFormatting>
  <conditionalFormatting sqref="G482">
    <cfRule type="expression" dxfId="837" priority="835" stopIfTrue="1">
      <formula>ISBLANK(G482)</formula>
    </cfRule>
    <cfRule type="expression" dxfId="836" priority="836">
      <formula>IFERROR(FIND("@",G482),-1)&lt;0</formula>
    </cfRule>
  </conditionalFormatting>
  <conditionalFormatting sqref="G485">
    <cfRule type="expression" dxfId="835" priority="833" stopIfTrue="1">
      <formula>ISBLANK(G485)</formula>
    </cfRule>
    <cfRule type="expression" dxfId="834" priority="834">
      <formula>IFERROR(FIND("@",G485),-1)&lt;0</formula>
    </cfRule>
  </conditionalFormatting>
  <conditionalFormatting sqref="G487:G488">
    <cfRule type="expression" dxfId="833" priority="831" stopIfTrue="1">
      <formula>ISBLANK(G487)</formula>
    </cfRule>
    <cfRule type="expression" dxfId="832" priority="832">
      <formula>IFERROR(FIND("@",G487),-1)&lt;0</formula>
    </cfRule>
  </conditionalFormatting>
  <conditionalFormatting sqref="G493:G494">
    <cfRule type="expression" dxfId="831" priority="829" stopIfTrue="1">
      <formula>ISBLANK(G493)</formula>
    </cfRule>
    <cfRule type="expression" dxfId="830" priority="830">
      <formula>IFERROR(FIND("@",G493),-1)&lt;0</formula>
    </cfRule>
  </conditionalFormatting>
  <conditionalFormatting sqref="G495">
    <cfRule type="expression" dxfId="829" priority="827" stopIfTrue="1">
      <formula>ISBLANK(G495)</formula>
    </cfRule>
    <cfRule type="expression" dxfId="828" priority="828">
      <formula>IFERROR(FIND("@",G495),-1)&lt;0</formula>
    </cfRule>
  </conditionalFormatting>
  <conditionalFormatting sqref="G496">
    <cfRule type="expression" dxfId="827" priority="823" stopIfTrue="1">
      <formula>ISBLANK(G496)</formula>
    </cfRule>
    <cfRule type="expression" dxfId="826" priority="824">
      <formula>IFERROR(FIND("@",G496),-1)&lt;0</formula>
    </cfRule>
  </conditionalFormatting>
  <conditionalFormatting sqref="G501">
    <cfRule type="expression" dxfId="825" priority="821" stopIfTrue="1">
      <formula>ISBLANK(G501)</formula>
    </cfRule>
    <cfRule type="expression" dxfId="824" priority="822">
      <formula>IFERROR(FIND("@",G501),-1)&lt;0</formula>
    </cfRule>
  </conditionalFormatting>
  <conditionalFormatting sqref="G526">
    <cfRule type="expression" dxfId="823" priority="819" stopIfTrue="1">
      <formula>ISBLANK(G526)</formula>
    </cfRule>
    <cfRule type="expression" dxfId="822" priority="820">
      <formula>IFERROR(FIND("@",G526),-1)&lt;0</formula>
    </cfRule>
  </conditionalFormatting>
  <conditionalFormatting sqref="G534">
    <cfRule type="expression" dxfId="821" priority="817" stopIfTrue="1">
      <formula>ISBLANK(G534)</formula>
    </cfRule>
    <cfRule type="expression" dxfId="820" priority="818">
      <formula>IFERROR(FIND("@",G534),-1)&lt;0</formula>
    </cfRule>
  </conditionalFormatting>
  <conditionalFormatting sqref="G539">
    <cfRule type="expression" dxfId="819" priority="813" stopIfTrue="1">
      <formula>ISBLANK(G539)</formula>
    </cfRule>
    <cfRule type="expression" dxfId="818" priority="814">
      <formula>IFERROR(FIND("@",G539),-1)&lt;0</formula>
    </cfRule>
  </conditionalFormatting>
  <conditionalFormatting sqref="G541">
    <cfRule type="expression" dxfId="817" priority="811" stopIfTrue="1">
      <formula>ISBLANK(G541)</formula>
    </cfRule>
    <cfRule type="expression" dxfId="816" priority="812">
      <formula>IFERROR(FIND("@",G541),-1)&lt;0</formula>
    </cfRule>
  </conditionalFormatting>
  <conditionalFormatting sqref="G542">
    <cfRule type="expression" dxfId="815" priority="809" stopIfTrue="1">
      <formula>ISBLANK(G542)</formula>
    </cfRule>
    <cfRule type="expression" dxfId="814" priority="810">
      <formula>IFERROR(FIND("@",G542),-1)&lt;0</formula>
    </cfRule>
  </conditionalFormatting>
  <conditionalFormatting sqref="G551">
    <cfRule type="expression" dxfId="813" priority="807" stopIfTrue="1">
      <formula>ISBLANK(G551)</formula>
    </cfRule>
    <cfRule type="expression" dxfId="812" priority="808">
      <formula>IFERROR(FIND("@",G551),-1)&lt;0</formula>
    </cfRule>
  </conditionalFormatting>
  <conditionalFormatting sqref="G557">
    <cfRule type="expression" dxfId="811" priority="805" stopIfTrue="1">
      <formula>ISBLANK(G557)</formula>
    </cfRule>
    <cfRule type="expression" dxfId="810" priority="806">
      <formula>IFERROR(FIND("@",G557),-1)&lt;0</formula>
    </cfRule>
  </conditionalFormatting>
  <conditionalFormatting sqref="G562">
    <cfRule type="expression" dxfId="809" priority="803" stopIfTrue="1">
      <formula>ISBLANK(G562)</formula>
    </cfRule>
    <cfRule type="expression" dxfId="808" priority="804">
      <formula>IFERROR(FIND("@",G562),-1)&lt;0</formula>
    </cfRule>
  </conditionalFormatting>
  <conditionalFormatting sqref="G564">
    <cfRule type="expression" dxfId="807" priority="801" stopIfTrue="1">
      <formula>ISBLANK(G564)</formula>
    </cfRule>
    <cfRule type="expression" dxfId="806" priority="802">
      <formula>IFERROR(FIND("@",G564),-1)&lt;0</formula>
    </cfRule>
  </conditionalFormatting>
  <conditionalFormatting sqref="G570">
    <cfRule type="expression" dxfId="805" priority="799" stopIfTrue="1">
      <formula>ISBLANK(G570)</formula>
    </cfRule>
    <cfRule type="expression" dxfId="804" priority="800">
      <formula>IFERROR(FIND("@",G570),-1)&lt;0</formula>
    </cfRule>
  </conditionalFormatting>
  <conditionalFormatting sqref="G586">
    <cfRule type="expression" dxfId="803" priority="797" stopIfTrue="1">
      <formula>ISBLANK(G586)</formula>
    </cfRule>
    <cfRule type="expression" dxfId="802" priority="798">
      <formula>IFERROR(FIND("@",G586),-1)&lt;0</formula>
    </cfRule>
  </conditionalFormatting>
  <conditionalFormatting sqref="G587">
    <cfRule type="expression" dxfId="801" priority="795" stopIfTrue="1">
      <formula>ISBLANK(G587)</formula>
    </cfRule>
    <cfRule type="expression" dxfId="800" priority="796">
      <formula>IFERROR(FIND("@",G587),-1)&lt;0</formula>
    </cfRule>
  </conditionalFormatting>
  <conditionalFormatting sqref="G590">
    <cfRule type="expression" dxfId="799" priority="793" stopIfTrue="1">
      <formula>ISBLANK(G590)</formula>
    </cfRule>
    <cfRule type="expression" dxfId="798" priority="794">
      <formula>IFERROR(FIND("@",G590),-1)&lt;0</formula>
    </cfRule>
  </conditionalFormatting>
  <conditionalFormatting sqref="G591">
    <cfRule type="expression" dxfId="797" priority="791" stopIfTrue="1">
      <formula>ISBLANK(G591)</formula>
    </cfRule>
    <cfRule type="expression" dxfId="796" priority="792">
      <formula>IFERROR(FIND("@",G591),-1)&lt;0</formula>
    </cfRule>
  </conditionalFormatting>
  <conditionalFormatting sqref="G596">
    <cfRule type="expression" dxfId="795" priority="789" stopIfTrue="1">
      <formula>ISBLANK(G596)</formula>
    </cfRule>
    <cfRule type="expression" dxfId="794" priority="790">
      <formula>IFERROR(FIND("@",G596),-1)&lt;0</formula>
    </cfRule>
  </conditionalFormatting>
  <conditionalFormatting sqref="G603">
    <cfRule type="expression" dxfId="793" priority="787" stopIfTrue="1">
      <formula>ISBLANK(G603)</formula>
    </cfRule>
    <cfRule type="expression" dxfId="792" priority="788">
      <formula>IFERROR(FIND("@",G603),-1)&lt;0</formula>
    </cfRule>
  </conditionalFormatting>
  <conditionalFormatting sqref="G613">
    <cfRule type="expression" dxfId="791" priority="785" stopIfTrue="1">
      <formula>ISBLANK(G613)</formula>
    </cfRule>
    <cfRule type="expression" dxfId="790" priority="786">
      <formula>IFERROR(FIND("@",G613),-1)&lt;0</formula>
    </cfRule>
  </conditionalFormatting>
  <conditionalFormatting sqref="G618">
    <cfRule type="expression" dxfId="789" priority="783" stopIfTrue="1">
      <formula>ISBLANK(G618)</formula>
    </cfRule>
    <cfRule type="expression" dxfId="788" priority="784">
      <formula>IFERROR(FIND("@",G618),-1)&lt;0</formula>
    </cfRule>
  </conditionalFormatting>
  <conditionalFormatting sqref="G633">
    <cfRule type="expression" dxfId="787" priority="779" stopIfTrue="1">
      <formula>ISBLANK(G633)</formula>
    </cfRule>
    <cfRule type="expression" dxfId="786" priority="780">
      <formula>IFERROR(FIND("@",G633),-1)&lt;0</formula>
    </cfRule>
  </conditionalFormatting>
  <conditionalFormatting sqref="G637">
    <cfRule type="expression" dxfId="785" priority="777" stopIfTrue="1">
      <formula>ISBLANK(G637)</formula>
    </cfRule>
    <cfRule type="expression" dxfId="784" priority="778">
      <formula>IFERROR(FIND("@",G637),-1)&lt;0</formula>
    </cfRule>
  </conditionalFormatting>
  <conditionalFormatting sqref="G641">
    <cfRule type="expression" dxfId="783" priority="775" stopIfTrue="1">
      <formula>ISBLANK(G641)</formula>
    </cfRule>
    <cfRule type="expression" dxfId="782" priority="776">
      <formula>IFERROR(FIND("@",G641),-1)&lt;0</formula>
    </cfRule>
  </conditionalFormatting>
  <conditionalFormatting sqref="G642">
    <cfRule type="expression" dxfId="781" priority="773" stopIfTrue="1">
      <formula>ISBLANK(G642)</formula>
    </cfRule>
    <cfRule type="expression" dxfId="780" priority="774">
      <formula>IFERROR(FIND("@",G642),-1)&lt;0</formula>
    </cfRule>
  </conditionalFormatting>
  <conditionalFormatting sqref="G649">
    <cfRule type="expression" dxfId="779" priority="771" stopIfTrue="1">
      <formula>ISBLANK(G649)</formula>
    </cfRule>
    <cfRule type="expression" dxfId="778" priority="772">
      <formula>IFERROR(FIND("@",G649),-1)&lt;0</formula>
    </cfRule>
  </conditionalFormatting>
  <conditionalFormatting sqref="G668">
    <cfRule type="expression" dxfId="777" priority="769" stopIfTrue="1">
      <formula>ISBLANK(G668)</formula>
    </cfRule>
    <cfRule type="expression" dxfId="776" priority="770">
      <formula>IFERROR(FIND("@",G668),-1)&lt;0</formula>
    </cfRule>
  </conditionalFormatting>
  <conditionalFormatting sqref="G670">
    <cfRule type="expression" dxfId="775" priority="767" stopIfTrue="1">
      <formula>ISBLANK(G670)</formula>
    </cfRule>
    <cfRule type="expression" dxfId="774" priority="768">
      <formula>IFERROR(FIND("@",G670),-1)&lt;0</formula>
    </cfRule>
  </conditionalFormatting>
  <conditionalFormatting sqref="G672">
    <cfRule type="expression" dxfId="773" priority="765" stopIfTrue="1">
      <formula>ISBLANK(G672)</formula>
    </cfRule>
    <cfRule type="expression" dxfId="772" priority="766">
      <formula>IFERROR(FIND("@",G672),-1)&lt;0</formula>
    </cfRule>
  </conditionalFormatting>
  <conditionalFormatting sqref="G673">
    <cfRule type="expression" dxfId="771" priority="763" stopIfTrue="1">
      <formula>ISBLANK(G673)</formula>
    </cfRule>
    <cfRule type="expression" dxfId="770" priority="764">
      <formula>IFERROR(FIND("@",G673),-1)&lt;0</formula>
    </cfRule>
  </conditionalFormatting>
  <conditionalFormatting sqref="G679">
    <cfRule type="expression" dxfId="769" priority="759" stopIfTrue="1">
      <formula>ISBLANK(G679)</formula>
    </cfRule>
    <cfRule type="expression" dxfId="768" priority="760">
      <formula>IFERROR(FIND("@",G679),-1)&lt;0</formula>
    </cfRule>
  </conditionalFormatting>
  <conditionalFormatting sqref="G684">
    <cfRule type="expression" dxfId="767" priority="757" stopIfTrue="1">
      <formula>ISBLANK(G684)</formula>
    </cfRule>
    <cfRule type="expression" dxfId="766" priority="758">
      <formula>IFERROR(FIND("@",G684),-1)&lt;0</formula>
    </cfRule>
  </conditionalFormatting>
  <conditionalFormatting sqref="G687">
    <cfRule type="expression" dxfId="765" priority="755" stopIfTrue="1">
      <formula>ISBLANK(G687)</formula>
    </cfRule>
    <cfRule type="expression" dxfId="764" priority="756">
      <formula>IFERROR(FIND("@",G687),-1)&lt;0</formula>
    </cfRule>
  </conditionalFormatting>
  <conditionalFormatting sqref="G702">
    <cfRule type="expression" dxfId="763" priority="753" stopIfTrue="1">
      <formula>ISBLANK(G702)</formula>
    </cfRule>
    <cfRule type="expression" dxfId="762" priority="754">
      <formula>IFERROR(FIND("@",G702),-1)&lt;0</formula>
    </cfRule>
  </conditionalFormatting>
  <conditionalFormatting sqref="G705">
    <cfRule type="expression" dxfId="761" priority="751" stopIfTrue="1">
      <formula>ISBLANK(G705)</formula>
    </cfRule>
    <cfRule type="expression" dxfId="760" priority="752">
      <formula>IFERROR(FIND("@",G705),-1)&lt;0</formula>
    </cfRule>
  </conditionalFormatting>
  <conditionalFormatting sqref="G721">
    <cfRule type="expression" dxfId="759" priority="748" stopIfTrue="1">
      <formula>ISBLANK(G721)</formula>
    </cfRule>
    <cfRule type="expression" dxfId="758" priority="749">
      <formula>IFERROR(FIND("@",G721),-1)&lt;0</formula>
    </cfRule>
  </conditionalFormatting>
  <conditionalFormatting sqref="G728">
    <cfRule type="expression" dxfId="757" priority="746" stopIfTrue="1">
      <formula>ISBLANK(G728)</formula>
    </cfRule>
    <cfRule type="expression" dxfId="756" priority="747">
      <formula>IFERROR(FIND("@",G728),-1)&lt;0</formula>
    </cfRule>
  </conditionalFormatting>
  <conditionalFormatting sqref="G739">
    <cfRule type="expression" dxfId="755" priority="744" stopIfTrue="1">
      <formula>ISBLANK(G739)</formula>
    </cfRule>
    <cfRule type="expression" dxfId="754" priority="745">
      <formula>IFERROR(FIND("@",G739),-1)&lt;0</formula>
    </cfRule>
  </conditionalFormatting>
  <conditionalFormatting sqref="G743">
    <cfRule type="expression" dxfId="753" priority="742" stopIfTrue="1">
      <formula>ISBLANK(G743)</formula>
    </cfRule>
    <cfRule type="expression" dxfId="752" priority="743">
      <formula>IFERROR(FIND("@",G743),-1)&lt;0</formula>
    </cfRule>
  </conditionalFormatting>
  <conditionalFormatting sqref="G748">
    <cfRule type="expression" dxfId="751" priority="740" stopIfTrue="1">
      <formula>ISBLANK(G748)</formula>
    </cfRule>
    <cfRule type="expression" dxfId="750" priority="741">
      <formula>IFERROR(FIND("@",G748),-1)&lt;0</formula>
    </cfRule>
  </conditionalFormatting>
  <conditionalFormatting sqref="G750">
    <cfRule type="expression" dxfId="749" priority="738" stopIfTrue="1">
      <formula>ISBLANK(G750)</formula>
    </cfRule>
    <cfRule type="expression" dxfId="748" priority="739">
      <formula>IFERROR(FIND("@",G750),-1)&lt;0</formula>
    </cfRule>
  </conditionalFormatting>
  <conditionalFormatting sqref="G760">
    <cfRule type="expression" dxfId="747" priority="736" stopIfTrue="1">
      <formula>ISBLANK(G760)</formula>
    </cfRule>
    <cfRule type="expression" dxfId="746" priority="737">
      <formula>IFERROR(FIND("@",G760),-1)&lt;0</formula>
    </cfRule>
  </conditionalFormatting>
  <conditionalFormatting sqref="G773">
    <cfRule type="expression" dxfId="745" priority="734" stopIfTrue="1">
      <formula>ISBLANK(G773)</formula>
    </cfRule>
    <cfRule type="expression" dxfId="744" priority="735">
      <formula>IFERROR(FIND("@",G773),-1)&lt;0</formula>
    </cfRule>
  </conditionalFormatting>
  <conditionalFormatting sqref="G779">
    <cfRule type="expression" dxfId="743" priority="732" stopIfTrue="1">
      <formula>ISBLANK(G779)</formula>
    </cfRule>
    <cfRule type="expression" dxfId="742" priority="733">
      <formula>IFERROR(FIND("@",G779),-1)&lt;0</formula>
    </cfRule>
  </conditionalFormatting>
  <conditionalFormatting sqref="G782">
    <cfRule type="expression" dxfId="741" priority="728" stopIfTrue="1">
      <formula>ISBLANK(G782)</formula>
    </cfRule>
    <cfRule type="expression" dxfId="740" priority="729">
      <formula>IFERROR(FIND("@",G782),-1)&lt;0</formula>
    </cfRule>
  </conditionalFormatting>
  <conditionalFormatting sqref="G789">
    <cfRule type="expression" dxfId="739" priority="726" stopIfTrue="1">
      <formula>ISBLANK(G789)</formula>
    </cfRule>
    <cfRule type="expression" dxfId="738" priority="727">
      <formula>IFERROR(FIND("@",G789),-1)&lt;0</formula>
    </cfRule>
  </conditionalFormatting>
  <conditionalFormatting sqref="G790">
    <cfRule type="expression" dxfId="737" priority="724" stopIfTrue="1">
      <formula>ISBLANK(G790)</formula>
    </cfRule>
    <cfRule type="expression" dxfId="736" priority="725">
      <formula>IFERROR(FIND("@",G790),-1)&lt;0</formula>
    </cfRule>
  </conditionalFormatting>
  <conditionalFormatting sqref="G797">
    <cfRule type="expression" dxfId="735" priority="722" stopIfTrue="1">
      <formula>ISBLANK(G797)</formula>
    </cfRule>
    <cfRule type="expression" dxfId="734" priority="723">
      <formula>IFERROR(FIND("@",G797),-1)&lt;0</formula>
    </cfRule>
  </conditionalFormatting>
  <conditionalFormatting sqref="G798:G799">
    <cfRule type="expression" dxfId="733" priority="720" stopIfTrue="1">
      <formula>ISBLANK(G798)</formula>
    </cfRule>
    <cfRule type="expression" dxfId="732" priority="721">
      <formula>IFERROR(FIND("@",G798),-1)&lt;0</formula>
    </cfRule>
  </conditionalFormatting>
  <conditionalFormatting sqref="G810">
    <cfRule type="expression" dxfId="731" priority="718" stopIfTrue="1">
      <formula>ISBLANK(G810)</formula>
    </cfRule>
    <cfRule type="expression" dxfId="730" priority="719">
      <formula>IFERROR(FIND("@",G810),-1)&lt;0</formula>
    </cfRule>
  </conditionalFormatting>
  <conditionalFormatting sqref="G815">
    <cfRule type="expression" dxfId="729" priority="716" stopIfTrue="1">
      <formula>ISBLANK(G815)</formula>
    </cfRule>
    <cfRule type="expression" dxfId="728" priority="717">
      <formula>IFERROR(FIND("@",G815),-1)&lt;0</formula>
    </cfRule>
  </conditionalFormatting>
  <conditionalFormatting sqref="G827">
    <cfRule type="expression" dxfId="727" priority="714" stopIfTrue="1">
      <formula>ISBLANK(G827)</formula>
    </cfRule>
    <cfRule type="expression" dxfId="726" priority="715">
      <formula>IFERROR(FIND("@",G827),-1)&lt;0</formula>
    </cfRule>
  </conditionalFormatting>
  <conditionalFormatting sqref="G834">
    <cfRule type="expression" dxfId="725" priority="712" stopIfTrue="1">
      <formula>ISBLANK(G834)</formula>
    </cfRule>
    <cfRule type="expression" dxfId="724" priority="713">
      <formula>IFERROR(FIND("@",G834),-1)&lt;0</formula>
    </cfRule>
  </conditionalFormatting>
  <conditionalFormatting sqref="G842">
    <cfRule type="expression" dxfId="723" priority="710" stopIfTrue="1">
      <formula>ISBLANK(G842)</formula>
    </cfRule>
    <cfRule type="expression" dxfId="722" priority="711">
      <formula>IFERROR(FIND("@",G842),-1)&lt;0</formula>
    </cfRule>
  </conditionalFormatting>
  <conditionalFormatting sqref="G854">
    <cfRule type="expression" dxfId="721" priority="708" stopIfTrue="1">
      <formula>ISBLANK(G854)</formula>
    </cfRule>
    <cfRule type="expression" dxfId="720" priority="709">
      <formula>IFERROR(FIND("@",G854),-1)&lt;0</formula>
    </cfRule>
  </conditionalFormatting>
  <conditionalFormatting sqref="G855">
    <cfRule type="expression" dxfId="719" priority="706" stopIfTrue="1">
      <formula>ISBLANK(G855)</formula>
    </cfRule>
    <cfRule type="expression" dxfId="718" priority="707">
      <formula>IFERROR(FIND("@",G855),-1)&lt;0</formula>
    </cfRule>
  </conditionalFormatting>
  <conditionalFormatting sqref="G864">
    <cfRule type="expression" dxfId="717" priority="704" stopIfTrue="1">
      <formula>ISBLANK(G864)</formula>
    </cfRule>
    <cfRule type="expression" dxfId="716" priority="705">
      <formula>IFERROR(FIND("@",G864),-1)&lt;0</formula>
    </cfRule>
  </conditionalFormatting>
  <conditionalFormatting sqref="G871">
    <cfRule type="expression" dxfId="715" priority="700" stopIfTrue="1">
      <formula>ISBLANK(G871)</formula>
    </cfRule>
    <cfRule type="expression" dxfId="714" priority="701">
      <formula>IFERROR(FIND("@",G871),-1)&lt;0</formula>
    </cfRule>
  </conditionalFormatting>
  <conditionalFormatting sqref="G886">
    <cfRule type="expression" dxfId="713" priority="698" stopIfTrue="1">
      <formula>ISBLANK(G886)</formula>
    </cfRule>
    <cfRule type="expression" dxfId="712" priority="699">
      <formula>IFERROR(FIND("@",G886),-1)&lt;0</formula>
    </cfRule>
  </conditionalFormatting>
  <conditionalFormatting sqref="G888">
    <cfRule type="expression" dxfId="711" priority="696" stopIfTrue="1">
      <formula>ISBLANK(G888)</formula>
    </cfRule>
    <cfRule type="expression" dxfId="710" priority="697">
      <formula>IFERROR(FIND("@",G888),-1)&lt;0</formula>
    </cfRule>
  </conditionalFormatting>
  <conditionalFormatting sqref="G899">
    <cfRule type="expression" dxfId="709" priority="694" stopIfTrue="1">
      <formula>ISBLANK(G899)</formula>
    </cfRule>
    <cfRule type="expression" dxfId="708" priority="695">
      <formula>IFERROR(FIND("@",G899),-1)&lt;0</formula>
    </cfRule>
  </conditionalFormatting>
  <conditionalFormatting sqref="G900">
    <cfRule type="expression" dxfId="707" priority="692" stopIfTrue="1">
      <formula>ISBLANK(G900)</formula>
    </cfRule>
    <cfRule type="expression" dxfId="706" priority="693">
      <formula>IFERROR(FIND("@",G900),-1)&lt;0</formula>
    </cfRule>
  </conditionalFormatting>
  <conditionalFormatting sqref="G902">
    <cfRule type="expression" dxfId="705" priority="690" stopIfTrue="1">
      <formula>ISBLANK(G902)</formula>
    </cfRule>
    <cfRule type="expression" dxfId="704" priority="691">
      <formula>IFERROR(FIND("@",G902),-1)&lt;0</formula>
    </cfRule>
  </conditionalFormatting>
  <conditionalFormatting sqref="G909">
    <cfRule type="expression" dxfId="703" priority="684" stopIfTrue="1">
      <formula>ISBLANK(G909)</formula>
    </cfRule>
    <cfRule type="expression" dxfId="702" priority="685">
      <formula>IFERROR(FIND("@",G909),-1)&lt;0</formula>
    </cfRule>
  </conditionalFormatting>
  <conditionalFormatting sqref="G916">
    <cfRule type="expression" dxfId="701" priority="682" stopIfTrue="1">
      <formula>ISBLANK(G916)</formula>
    </cfRule>
    <cfRule type="expression" dxfId="700" priority="683">
      <formula>IFERROR(FIND("@",G916),-1)&lt;0</formula>
    </cfRule>
  </conditionalFormatting>
  <conditionalFormatting sqref="G921">
    <cfRule type="expression" dxfId="699" priority="680" stopIfTrue="1">
      <formula>ISBLANK(G921)</formula>
    </cfRule>
    <cfRule type="expression" dxfId="698" priority="681">
      <formula>IFERROR(FIND("@",G921),-1)&lt;0</formula>
    </cfRule>
  </conditionalFormatting>
  <conditionalFormatting sqref="G930">
    <cfRule type="expression" dxfId="697" priority="677" stopIfTrue="1">
      <formula>ISBLANK(G930)</formula>
    </cfRule>
    <cfRule type="expression" dxfId="696" priority="678">
      <formula>IFERROR(FIND("@",G930),-1)&lt;0</formula>
    </cfRule>
  </conditionalFormatting>
  <conditionalFormatting sqref="G944">
    <cfRule type="expression" dxfId="695" priority="673" stopIfTrue="1">
      <formula>ISBLANK(G944)</formula>
    </cfRule>
    <cfRule type="expression" dxfId="694" priority="674">
      <formula>IFERROR(FIND("@",G944),-1)&lt;0</formula>
    </cfRule>
  </conditionalFormatting>
  <conditionalFormatting sqref="G958">
    <cfRule type="expression" dxfId="693" priority="671" stopIfTrue="1">
      <formula>ISBLANK(G958)</formula>
    </cfRule>
    <cfRule type="expression" dxfId="692" priority="672">
      <formula>IFERROR(FIND("@",G958),-1)&lt;0</formula>
    </cfRule>
  </conditionalFormatting>
  <conditionalFormatting sqref="G959">
    <cfRule type="expression" dxfId="691" priority="669" stopIfTrue="1">
      <formula>ISBLANK(G959)</formula>
    </cfRule>
    <cfRule type="expression" dxfId="690" priority="670">
      <formula>IFERROR(FIND("@",G959),-1)&lt;0</formula>
    </cfRule>
  </conditionalFormatting>
  <conditionalFormatting sqref="G961">
    <cfRule type="expression" dxfId="689" priority="667" stopIfTrue="1">
      <formula>ISBLANK(G961)</formula>
    </cfRule>
    <cfRule type="expression" dxfId="688" priority="668">
      <formula>IFERROR(FIND("@",G961),-1)&lt;0</formula>
    </cfRule>
  </conditionalFormatting>
  <conditionalFormatting sqref="G967">
    <cfRule type="expression" dxfId="687" priority="665" stopIfTrue="1">
      <formula>ISBLANK(G967)</formula>
    </cfRule>
    <cfRule type="expression" dxfId="686" priority="666">
      <formula>IFERROR(FIND("@",G967),-1)&lt;0</formula>
    </cfRule>
  </conditionalFormatting>
  <conditionalFormatting sqref="G971:G972">
    <cfRule type="expression" dxfId="685" priority="663" stopIfTrue="1">
      <formula>ISBLANK(G971)</formula>
    </cfRule>
    <cfRule type="expression" dxfId="684" priority="664">
      <formula>IFERROR(FIND("@",G971),-1)&lt;0</formula>
    </cfRule>
  </conditionalFormatting>
  <conditionalFormatting sqref="G983">
    <cfRule type="expression" dxfId="683" priority="661" stopIfTrue="1">
      <formula>ISBLANK(G983)</formula>
    </cfRule>
    <cfRule type="expression" dxfId="682" priority="662">
      <formula>IFERROR(FIND("@",G983),-1)&lt;0</formula>
    </cfRule>
  </conditionalFormatting>
  <conditionalFormatting sqref="G998">
    <cfRule type="expression" dxfId="681" priority="659" stopIfTrue="1">
      <formula>ISBLANK(G998)</formula>
    </cfRule>
    <cfRule type="expression" dxfId="680" priority="660">
      <formula>IFERROR(FIND("@",G998),-1)&lt;0</formula>
    </cfRule>
  </conditionalFormatting>
  <conditionalFormatting sqref="G1010">
    <cfRule type="expression" dxfId="679" priority="657" stopIfTrue="1">
      <formula>ISBLANK(G1010)</formula>
    </cfRule>
    <cfRule type="expression" dxfId="678" priority="658">
      <formula>IFERROR(FIND("@",G1010),-1)&lt;0</formula>
    </cfRule>
  </conditionalFormatting>
  <conditionalFormatting sqref="G1017">
    <cfRule type="expression" dxfId="677" priority="655" stopIfTrue="1">
      <formula>ISBLANK(G1017)</formula>
    </cfRule>
    <cfRule type="expression" dxfId="676" priority="656">
      <formula>IFERROR(FIND("@",G1017),-1)&lt;0</formula>
    </cfRule>
  </conditionalFormatting>
  <conditionalFormatting sqref="G1018">
    <cfRule type="expression" dxfId="675" priority="653" stopIfTrue="1">
      <formula>ISBLANK(G1018)</formula>
    </cfRule>
    <cfRule type="expression" dxfId="674" priority="654">
      <formula>IFERROR(FIND("@",G1018),-1)&lt;0</formula>
    </cfRule>
  </conditionalFormatting>
  <conditionalFormatting sqref="G1023">
    <cfRule type="expression" dxfId="673" priority="651" stopIfTrue="1">
      <formula>ISBLANK(G1023)</formula>
    </cfRule>
    <cfRule type="expression" dxfId="672" priority="652">
      <formula>IFERROR(FIND("@",G1023),-1)&lt;0</formula>
    </cfRule>
  </conditionalFormatting>
  <conditionalFormatting sqref="G1024">
    <cfRule type="expression" dxfId="671" priority="649" stopIfTrue="1">
      <formula>ISBLANK(G1024)</formula>
    </cfRule>
    <cfRule type="expression" dxfId="670" priority="650">
      <formula>IFERROR(FIND("@",G1024),-1)&lt;0</formula>
    </cfRule>
  </conditionalFormatting>
  <conditionalFormatting sqref="G1029">
    <cfRule type="expression" dxfId="669" priority="647" stopIfTrue="1">
      <formula>ISBLANK(G1029)</formula>
    </cfRule>
    <cfRule type="expression" dxfId="668" priority="648">
      <formula>IFERROR(FIND("@",G1029),-1)&lt;0</formula>
    </cfRule>
  </conditionalFormatting>
  <conditionalFormatting sqref="G1030">
    <cfRule type="expression" dxfId="667" priority="645" stopIfTrue="1">
      <formula>ISBLANK(G1030)</formula>
    </cfRule>
    <cfRule type="expression" dxfId="666" priority="646">
      <formula>IFERROR(FIND("@",G1030),-1)&lt;0</formula>
    </cfRule>
  </conditionalFormatting>
  <conditionalFormatting sqref="G1033">
    <cfRule type="expression" dxfId="665" priority="643" stopIfTrue="1">
      <formula>ISBLANK(G1033)</formula>
    </cfRule>
    <cfRule type="expression" dxfId="664" priority="644">
      <formula>IFERROR(FIND("@",G1033),-1)&lt;0</formula>
    </cfRule>
  </conditionalFormatting>
  <conditionalFormatting sqref="G1041">
    <cfRule type="expression" dxfId="663" priority="641" stopIfTrue="1">
      <formula>ISBLANK(G1041)</formula>
    </cfRule>
    <cfRule type="expression" dxfId="662" priority="642">
      <formula>IFERROR(FIND("@",G1041),-1)&lt;0</formula>
    </cfRule>
  </conditionalFormatting>
  <conditionalFormatting sqref="G1047">
    <cfRule type="expression" dxfId="661" priority="639" stopIfTrue="1">
      <formula>ISBLANK(G1047)</formula>
    </cfRule>
    <cfRule type="expression" dxfId="660" priority="640">
      <formula>IFERROR(FIND("@",G1047),-1)&lt;0</formula>
    </cfRule>
  </conditionalFormatting>
  <conditionalFormatting sqref="G1048">
    <cfRule type="expression" dxfId="659" priority="637" stopIfTrue="1">
      <formula>ISBLANK(G1048)</formula>
    </cfRule>
    <cfRule type="expression" dxfId="658" priority="638">
      <formula>IFERROR(FIND("@",G1048),-1)&lt;0</formula>
    </cfRule>
  </conditionalFormatting>
  <conditionalFormatting sqref="G1051">
    <cfRule type="expression" dxfId="657" priority="635" stopIfTrue="1">
      <formula>ISBLANK(G1051)</formula>
    </cfRule>
    <cfRule type="expression" dxfId="656" priority="636">
      <formula>IFERROR(FIND("@",G1051),-1)&lt;0</formula>
    </cfRule>
  </conditionalFormatting>
  <conditionalFormatting sqref="G1061">
    <cfRule type="expression" dxfId="655" priority="633" stopIfTrue="1">
      <formula>ISBLANK(G1061)</formula>
    </cfRule>
    <cfRule type="expression" dxfId="654" priority="634">
      <formula>IFERROR(FIND("@",G1061),-1)&lt;0</formula>
    </cfRule>
  </conditionalFormatting>
  <conditionalFormatting sqref="G1066">
    <cfRule type="expression" dxfId="653" priority="631" stopIfTrue="1">
      <formula>ISBLANK(G1066)</formula>
    </cfRule>
    <cfRule type="expression" dxfId="652" priority="632">
      <formula>IFERROR(FIND("@",G1066),-1)&lt;0</formula>
    </cfRule>
  </conditionalFormatting>
  <conditionalFormatting sqref="G1075">
    <cfRule type="expression" dxfId="651" priority="629" stopIfTrue="1">
      <formula>ISBLANK(G1075)</formula>
    </cfRule>
    <cfRule type="expression" dxfId="650" priority="630">
      <formula>IFERROR(FIND("@",G1075),-1)&lt;0</formula>
    </cfRule>
  </conditionalFormatting>
  <conditionalFormatting sqref="G1091">
    <cfRule type="expression" dxfId="649" priority="627" stopIfTrue="1">
      <formula>ISBLANK(G1091)</formula>
    </cfRule>
    <cfRule type="expression" dxfId="648" priority="628">
      <formula>IFERROR(FIND("@",G1091),-1)&lt;0</formula>
    </cfRule>
  </conditionalFormatting>
  <conditionalFormatting sqref="G1099:G1100">
    <cfRule type="expression" dxfId="647" priority="625" stopIfTrue="1">
      <formula>ISBLANK(G1099)</formula>
    </cfRule>
    <cfRule type="expression" dxfId="646" priority="626">
      <formula>IFERROR(FIND("@",G1099),-1)&lt;0</formula>
    </cfRule>
  </conditionalFormatting>
  <conditionalFormatting sqref="G1105">
    <cfRule type="expression" dxfId="645" priority="619" stopIfTrue="1">
      <formula>ISBLANK(G1105)</formula>
    </cfRule>
    <cfRule type="expression" dxfId="644" priority="620">
      <formula>IFERROR(FIND("@",G1105),-1)&lt;0</formula>
    </cfRule>
  </conditionalFormatting>
  <conditionalFormatting sqref="G1111">
    <cfRule type="expression" dxfId="643" priority="617" stopIfTrue="1">
      <formula>ISBLANK(G1111)</formula>
    </cfRule>
    <cfRule type="expression" dxfId="642" priority="618">
      <formula>IFERROR(FIND("@",G1111),-1)&lt;0</formula>
    </cfRule>
  </conditionalFormatting>
  <conditionalFormatting sqref="G1112">
    <cfRule type="expression" dxfId="641" priority="615" stopIfTrue="1">
      <formula>ISBLANK(G1112)</formula>
    </cfRule>
    <cfRule type="expression" dxfId="640" priority="616">
      <formula>IFERROR(FIND("@",G1112),-1)&lt;0</formula>
    </cfRule>
  </conditionalFormatting>
  <conditionalFormatting sqref="G1115:G1116">
    <cfRule type="expression" dxfId="639" priority="613" stopIfTrue="1">
      <formula>ISBLANK(G1115)</formula>
    </cfRule>
    <cfRule type="expression" dxfId="638" priority="614">
      <formula>IFERROR(FIND("@",G1115),-1)&lt;0</formula>
    </cfRule>
  </conditionalFormatting>
  <conditionalFormatting sqref="G1131">
    <cfRule type="expression" dxfId="637" priority="611" stopIfTrue="1">
      <formula>ISBLANK(G1131)</formula>
    </cfRule>
    <cfRule type="expression" dxfId="636" priority="612">
      <formula>IFERROR(FIND("@",G1131),-1)&lt;0</formula>
    </cfRule>
  </conditionalFormatting>
  <conditionalFormatting sqref="G1137">
    <cfRule type="expression" dxfId="635" priority="609" stopIfTrue="1">
      <formula>ISBLANK(G1137)</formula>
    </cfRule>
    <cfRule type="expression" dxfId="634" priority="610">
      <formula>IFERROR(FIND("@",G1137),-1)&lt;0</formula>
    </cfRule>
  </conditionalFormatting>
  <conditionalFormatting sqref="G1139">
    <cfRule type="expression" dxfId="633" priority="607" stopIfTrue="1">
      <formula>ISBLANK(G1139)</formula>
    </cfRule>
    <cfRule type="expression" dxfId="632" priority="608">
      <formula>IFERROR(FIND("@",G1139),-1)&lt;0</formula>
    </cfRule>
  </conditionalFormatting>
  <conditionalFormatting sqref="G1143">
    <cfRule type="expression" dxfId="631" priority="605" stopIfTrue="1">
      <formula>ISBLANK(G1143)</formula>
    </cfRule>
    <cfRule type="expression" dxfId="630" priority="606">
      <formula>IFERROR(FIND("@",G1143),-1)&lt;0</formula>
    </cfRule>
  </conditionalFormatting>
  <conditionalFormatting sqref="G1160">
    <cfRule type="expression" dxfId="629" priority="603" stopIfTrue="1">
      <formula>ISBLANK(G1160)</formula>
    </cfRule>
    <cfRule type="expression" dxfId="628" priority="604">
      <formula>IFERROR(FIND("@",G1160),-1)&lt;0</formula>
    </cfRule>
  </conditionalFormatting>
  <conditionalFormatting sqref="G1161">
    <cfRule type="expression" dxfId="627" priority="601" stopIfTrue="1">
      <formula>ISBLANK(G1161)</formula>
    </cfRule>
    <cfRule type="expression" dxfId="626" priority="602">
      <formula>IFERROR(FIND("@",G1161),-1)&lt;0</formula>
    </cfRule>
  </conditionalFormatting>
  <conditionalFormatting sqref="G1169">
    <cfRule type="expression" dxfId="625" priority="599" stopIfTrue="1">
      <formula>ISBLANK(G1169)</formula>
    </cfRule>
    <cfRule type="expression" dxfId="624" priority="600">
      <formula>IFERROR(FIND("@",G1169),-1)&lt;0</formula>
    </cfRule>
  </conditionalFormatting>
  <conditionalFormatting sqref="G1186">
    <cfRule type="expression" dxfId="623" priority="597" stopIfTrue="1">
      <formula>ISBLANK(G1186)</formula>
    </cfRule>
    <cfRule type="expression" dxfId="622" priority="598">
      <formula>IFERROR(FIND("@",G1186),-1)&lt;0</formula>
    </cfRule>
  </conditionalFormatting>
  <conditionalFormatting sqref="G1190">
    <cfRule type="expression" dxfId="621" priority="595" stopIfTrue="1">
      <formula>ISBLANK(G1190)</formula>
    </cfRule>
    <cfRule type="expression" dxfId="620" priority="596">
      <formula>IFERROR(FIND("@",G1190),-1)&lt;0</formula>
    </cfRule>
  </conditionalFormatting>
  <conditionalFormatting sqref="G1206">
    <cfRule type="expression" dxfId="619" priority="593" stopIfTrue="1">
      <formula>ISBLANK(G1206)</formula>
    </cfRule>
    <cfRule type="expression" dxfId="618" priority="594">
      <formula>IFERROR(FIND("@",G1206),-1)&lt;0</formula>
    </cfRule>
  </conditionalFormatting>
  <conditionalFormatting sqref="G1213">
    <cfRule type="expression" dxfId="617" priority="591" stopIfTrue="1">
      <formula>ISBLANK(G1213)</formula>
    </cfRule>
    <cfRule type="expression" dxfId="616" priority="592">
      <formula>IFERROR(FIND("@",G1213),-1)&lt;0</formula>
    </cfRule>
  </conditionalFormatting>
  <conditionalFormatting sqref="G1216">
    <cfRule type="expression" dxfId="615" priority="589" stopIfTrue="1">
      <formula>ISBLANK(G1216)</formula>
    </cfRule>
    <cfRule type="expression" dxfId="614" priority="590">
      <formula>IFERROR(FIND("@",G1216),-1)&lt;0</formula>
    </cfRule>
  </conditionalFormatting>
  <conditionalFormatting sqref="G1218">
    <cfRule type="expression" dxfId="613" priority="587" stopIfTrue="1">
      <formula>ISBLANK(G1218)</formula>
    </cfRule>
    <cfRule type="expression" dxfId="612" priority="588">
      <formula>IFERROR(FIND("@",G1218),-1)&lt;0</formula>
    </cfRule>
  </conditionalFormatting>
  <conditionalFormatting sqref="G1228">
    <cfRule type="expression" dxfId="611" priority="585" stopIfTrue="1">
      <formula>ISBLANK(G1228)</formula>
    </cfRule>
    <cfRule type="expression" dxfId="610" priority="586">
      <formula>IFERROR(FIND("@",G1228),-1)&lt;0</formula>
    </cfRule>
  </conditionalFormatting>
  <conditionalFormatting sqref="G1229">
    <cfRule type="expression" dxfId="609" priority="583" stopIfTrue="1">
      <formula>ISBLANK(G1229)</formula>
    </cfRule>
    <cfRule type="expression" dxfId="608" priority="584">
      <formula>IFERROR(FIND("@",G1229),-1)&lt;0</formula>
    </cfRule>
  </conditionalFormatting>
  <conditionalFormatting sqref="G1233">
    <cfRule type="expression" dxfId="607" priority="581" stopIfTrue="1">
      <formula>ISBLANK(G1233)</formula>
    </cfRule>
    <cfRule type="expression" dxfId="606" priority="582">
      <formula>IFERROR(FIND("@",G1233),-1)&lt;0</formula>
    </cfRule>
  </conditionalFormatting>
  <conditionalFormatting sqref="G1239">
    <cfRule type="expression" dxfId="605" priority="579" stopIfTrue="1">
      <formula>ISBLANK(G1239)</formula>
    </cfRule>
    <cfRule type="expression" dxfId="604" priority="580">
      <formula>IFERROR(FIND("@",G1239),-1)&lt;0</formula>
    </cfRule>
  </conditionalFormatting>
  <conditionalFormatting sqref="G1248">
    <cfRule type="expression" dxfId="603" priority="577" stopIfTrue="1">
      <formula>ISBLANK(G1248)</formula>
    </cfRule>
    <cfRule type="expression" dxfId="602" priority="578">
      <formula>IFERROR(FIND("@",G1248),-1)&lt;0</formula>
    </cfRule>
  </conditionalFormatting>
  <conditionalFormatting sqref="G1263">
    <cfRule type="expression" dxfId="601" priority="575" stopIfTrue="1">
      <formula>ISBLANK(G1263)</formula>
    </cfRule>
    <cfRule type="expression" dxfId="600" priority="576">
      <formula>IFERROR(FIND("@",G1263),-1)&lt;0</formula>
    </cfRule>
  </conditionalFormatting>
  <conditionalFormatting sqref="G1264">
    <cfRule type="expression" dxfId="599" priority="573" stopIfTrue="1">
      <formula>ISBLANK(G1264)</formula>
    </cfRule>
    <cfRule type="expression" dxfId="598" priority="574">
      <formula>IFERROR(FIND("@",G1264),-1)&lt;0</formula>
    </cfRule>
  </conditionalFormatting>
  <conditionalFormatting sqref="G1271">
    <cfRule type="expression" dxfId="597" priority="571" stopIfTrue="1">
      <formula>ISBLANK(G1271)</formula>
    </cfRule>
    <cfRule type="expression" dxfId="596" priority="572">
      <formula>IFERROR(FIND("@",G1271),-1)&lt;0</formula>
    </cfRule>
  </conditionalFormatting>
  <conditionalFormatting sqref="G1275:G1276">
    <cfRule type="expression" dxfId="595" priority="569" stopIfTrue="1">
      <formula>ISBLANK(G1275)</formula>
    </cfRule>
    <cfRule type="expression" dxfId="594" priority="570">
      <formula>IFERROR(FIND("@",G1275),-1)&lt;0</formula>
    </cfRule>
  </conditionalFormatting>
  <conditionalFormatting sqref="G1277">
    <cfRule type="expression" dxfId="593" priority="567" stopIfTrue="1">
      <formula>ISBLANK(G1277)</formula>
    </cfRule>
    <cfRule type="expression" dxfId="592" priority="568">
      <formula>IFERROR(FIND("@",G1277),-1)&lt;0</formula>
    </cfRule>
  </conditionalFormatting>
  <conditionalFormatting sqref="G1284">
    <cfRule type="expression" dxfId="591" priority="565" stopIfTrue="1">
      <formula>ISBLANK(G1284)</formula>
    </cfRule>
    <cfRule type="expression" dxfId="590" priority="566">
      <formula>IFERROR(FIND("@",G1284),-1)&lt;0</formula>
    </cfRule>
  </conditionalFormatting>
  <conditionalFormatting sqref="G1290">
    <cfRule type="expression" dxfId="589" priority="563" stopIfTrue="1">
      <formula>ISBLANK(G1290)</formula>
    </cfRule>
    <cfRule type="expression" dxfId="588" priority="564">
      <formula>IFERROR(FIND("@",G1290),-1)&lt;0</formula>
    </cfRule>
  </conditionalFormatting>
  <conditionalFormatting sqref="G1311:G1312">
    <cfRule type="expression" dxfId="587" priority="561" stopIfTrue="1">
      <formula>ISBLANK(G1311)</formula>
    </cfRule>
    <cfRule type="expression" dxfId="586" priority="562">
      <formula>IFERROR(FIND("@",G1311),-1)&lt;0</formula>
    </cfRule>
  </conditionalFormatting>
  <conditionalFormatting sqref="G1315:G1316">
    <cfRule type="expression" dxfId="585" priority="559" stopIfTrue="1">
      <formula>ISBLANK(G1315)</formula>
    </cfRule>
    <cfRule type="expression" dxfId="584" priority="560">
      <formula>IFERROR(FIND("@",G1315),-1)&lt;0</formula>
    </cfRule>
  </conditionalFormatting>
  <conditionalFormatting sqref="G1319:G1320">
    <cfRule type="expression" dxfId="583" priority="557" stopIfTrue="1">
      <formula>ISBLANK(G1319)</formula>
    </cfRule>
    <cfRule type="expression" dxfId="582" priority="558">
      <formula>IFERROR(FIND("@",G1319),-1)&lt;0</formula>
    </cfRule>
  </conditionalFormatting>
  <conditionalFormatting sqref="G1335">
    <cfRule type="expression" dxfId="581" priority="555" stopIfTrue="1">
      <formula>ISBLANK(G1335)</formula>
    </cfRule>
    <cfRule type="expression" dxfId="580" priority="556">
      <formula>IFERROR(FIND("@",G1335),-1)&lt;0</formula>
    </cfRule>
  </conditionalFormatting>
  <conditionalFormatting sqref="G1349">
    <cfRule type="expression" dxfId="579" priority="553" stopIfTrue="1">
      <formula>ISBLANK(G1349)</formula>
    </cfRule>
    <cfRule type="expression" dxfId="578" priority="554">
      <formula>IFERROR(FIND("@",G1349),-1)&lt;0</formula>
    </cfRule>
  </conditionalFormatting>
  <conditionalFormatting sqref="G1350">
    <cfRule type="expression" dxfId="577" priority="551" stopIfTrue="1">
      <formula>ISBLANK(G1350)</formula>
    </cfRule>
    <cfRule type="expression" dxfId="576" priority="552">
      <formula>IFERROR(FIND("@",G1350),-1)&lt;0</formula>
    </cfRule>
  </conditionalFormatting>
  <conditionalFormatting sqref="G1365">
    <cfRule type="expression" dxfId="575" priority="549" stopIfTrue="1">
      <formula>ISBLANK(G1365)</formula>
    </cfRule>
    <cfRule type="expression" dxfId="574" priority="550">
      <formula>IFERROR(FIND("@",G1365),-1)&lt;0</formula>
    </cfRule>
  </conditionalFormatting>
  <conditionalFormatting sqref="G1368">
    <cfRule type="expression" dxfId="573" priority="547" stopIfTrue="1">
      <formula>ISBLANK(G1368)</formula>
    </cfRule>
    <cfRule type="expression" dxfId="572" priority="548">
      <formula>IFERROR(FIND("@",G1368),-1)&lt;0</formula>
    </cfRule>
  </conditionalFormatting>
  <conditionalFormatting sqref="G1373">
    <cfRule type="expression" dxfId="571" priority="545" stopIfTrue="1">
      <formula>ISBLANK(G1373)</formula>
    </cfRule>
    <cfRule type="expression" dxfId="570" priority="546">
      <formula>IFERROR(FIND("@",G1373),-1)&lt;0</formula>
    </cfRule>
  </conditionalFormatting>
  <conditionalFormatting sqref="G1383">
    <cfRule type="expression" dxfId="569" priority="543" stopIfTrue="1">
      <formula>ISBLANK(G1383)</formula>
    </cfRule>
    <cfRule type="expression" dxfId="568" priority="544">
      <formula>IFERROR(FIND("@",G1383),-1)&lt;0</formula>
    </cfRule>
  </conditionalFormatting>
  <conditionalFormatting sqref="G1387">
    <cfRule type="expression" dxfId="567" priority="541" stopIfTrue="1">
      <formula>ISBLANK(G1387)</formula>
    </cfRule>
    <cfRule type="expression" dxfId="566" priority="542">
      <formula>IFERROR(FIND("@",G1387),-1)&lt;0</formula>
    </cfRule>
  </conditionalFormatting>
  <conditionalFormatting sqref="G1388">
    <cfRule type="expression" dxfId="565" priority="539" stopIfTrue="1">
      <formula>ISBLANK(G1388)</formula>
    </cfRule>
    <cfRule type="expression" dxfId="564" priority="540">
      <formula>IFERROR(FIND("@",G1388),-1)&lt;0</formula>
    </cfRule>
  </conditionalFormatting>
  <conditionalFormatting sqref="G1394">
    <cfRule type="expression" dxfId="563" priority="537" stopIfTrue="1">
      <formula>ISBLANK(G1394)</formula>
    </cfRule>
    <cfRule type="expression" dxfId="562" priority="538">
      <formula>IFERROR(FIND("@",G1394),-1)&lt;0</formula>
    </cfRule>
  </conditionalFormatting>
  <conditionalFormatting sqref="G1396">
    <cfRule type="expression" dxfId="561" priority="535" stopIfTrue="1">
      <formula>ISBLANK(G1396)</formula>
    </cfRule>
    <cfRule type="expression" dxfId="560" priority="536">
      <formula>IFERROR(FIND("@",G1396),-1)&lt;0</formula>
    </cfRule>
  </conditionalFormatting>
  <conditionalFormatting sqref="G1400">
    <cfRule type="expression" dxfId="559" priority="533" stopIfTrue="1">
      <formula>ISBLANK(G1400)</formula>
    </cfRule>
    <cfRule type="expression" dxfId="558" priority="534">
      <formula>IFERROR(FIND("@",G1400),-1)&lt;0</formula>
    </cfRule>
  </conditionalFormatting>
  <conditionalFormatting sqref="G1407">
    <cfRule type="expression" dxfId="557" priority="531" stopIfTrue="1">
      <formula>ISBLANK(G1407)</formula>
    </cfRule>
    <cfRule type="expression" dxfId="556" priority="532">
      <formula>IFERROR(FIND("@",G1407),-1)&lt;0</formula>
    </cfRule>
  </conditionalFormatting>
  <conditionalFormatting sqref="G1413">
    <cfRule type="expression" dxfId="555" priority="529" stopIfTrue="1">
      <formula>ISBLANK(G1413)</formula>
    </cfRule>
    <cfRule type="expression" dxfId="554" priority="530">
      <formula>IFERROR(FIND("@",G1413),-1)&lt;0</formula>
    </cfRule>
  </conditionalFormatting>
  <conditionalFormatting sqref="G1420">
    <cfRule type="expression" dxfId="553" priority="527" stopIfTrue="1">
      <formula>ISBLANK(G1420)</formula>
    </cfRule>
    <cfRule type="expression" dxfId="552" priority="528">
      <formula>IFERROR(FIND("@",G1420),-1)&lt;0</formula>
    </cfRule>
  </conditionalFormatting>
  <conditionalFormatting sqref="G1421">
    <cfRule type="expression" dxfId="551" priority="525" stopIfTrue="1">
      <formula>ISBLANK(G1421)</formula>
    </cfRule>
    <cfRule type="expression" dxfId="550" priority="526">
      <formula>IFERROR(FIND("@",G1421),-1)&lt;0</formula>
    </cfRule>
  </conditionalFormatting>
  <conditionalFormatting sqref="G1438">
    <cfRule type="expression" dxfId="549" priority="523" stopIfTrue="1">
      <formula>ISBLANK(G1438)</formula>
    </cfRule>
    <cfRule type="expression" dxfId="548" priority="524">
      <formula>IFERROR(FIND("@",G1438),-1)&lt;0</formula>
    </cfRule>
  </conditionalFormatting>
  <conditionalFormatting sqref="G1450">
    <cfRule type="expression" dxfId="547" priority="521" stopIfTrue="1">
      <formula>ISBLANK(G1450)</formula>
    </cfRule>
    <cfRule type="expression" dxfId="546" priority="522">
      <formula>IFERROR(FIND("@",G1450),-1)&lt;0</formula>
    </cfRule>
  </conditionalFormatting>
  <conditionalFormatting sqref="G1451:G1452">
    <cfRule type="expression" dxfId="545" priority="519" stopIfTrue="1">
      <formula>ISBLANK(G1451)</formula>
    </cfRule>
    <cfRule type="expression" dxfId="544" priority="520">
      <formula>IFERROR(FIND("@",G1451),-1)&lt;0</formula>
    </cfRule>
  </conditionalFormatting>
  <conditionalFormatting sqref="G1458">
    <cfRule type="expression" dxfId="543" priority="517" stopIfTrue="1">
      <formula>ISBLANK(G1458)</formula>
    </cfRule>
    <cfRule type="expression" dxfId="542" priority="518">
      <formula>IFERROR(FIND("@",G1458),-1)&lt;0</formula>
    </cfRule>
  </conditionalFormatting>
  <conditionalFormatting sqref="G1459">
    <cfRule type="expression" dxfId="541" priority="515" stopIfTrue="1">
      <formula>ISBLANK(G1459)</formula>
    </cfRule>
    <cfRule type="expression" dxfId="540" priority="516">
      <formula>IFERROR(FIND("@",G1459),-1)&lt;0</formula>
    </cfRule>
  </conditionalFormatting>
  <conditionalFormatting sqref="G1460">
    <cfRule type="expression" dxfId="539" priority="513" stopIfTrue="1">
      <formula>ISBLANK(G1460)</formula>
    </cfRule>
    <cfRule type="expression" dxfId="538" priority="514">
      <formula>IFERROR(FIND("@",G1460),-1)&lt;0</formula>
    </cfRule>
  </conditionalFormatting>
  <conditionalFormatting sqref="G1462">
    <cfRule type="expression" dxfId="537" priority="511" stopIfTrue="1">
      <formula>ISBLANK(G1462)</formula>
    </cfRule>
    <cfRule type="expression" dxfId="536" priority="512">
      <formula>IFERROR(FIND("@",G1462),-1)&lt;0</formula>
    </cfRule>
  </conditionalFormatting>
  <conditionalFormatting sqref="G1468">
    <cfRule type="expression" dxfId="535" priority="509" stopIfTrue="1">
      <formula>ISBLANK(G1468)</formula>
    </cfRule>
    <cfRule type="expression" dxfId="534" priority="510">
      <formula>IFERROR(FIND("@",G1468),-1)&lt;0</formula>
    </cfRule>
  </conditionalFormatting>
  <conditionalFormatting sqref="G1474">
    <cfRule type="expression" dxfId="533" priority="507" stopIfTrue="1">
      <formula>ISBLANK(G1474)</formula>
    </cfRule>
    <cfRule type="expression" dxfId="532" priority="508">
      <formula>IFERROR(FIND("@",G1474),-1)&lt;0</formula>
    </cfRule>
  </conditionalFormatting>
  <conditionalFormatting sqref="G1475">
    <cfRule type="expression" dxfId="531" priority="505" stopIfTrue="1">
      <formula>ISBLANK(G1475)</formula>
    </cfRule>
    <cfRule type="expression" dxfId="530" priority="506">
      <formula>IFERROR(FIND("@",G1475),-1)&lt;0</formula>
    </cfRule>
  </conditionalFormatting>
  <conditionalFormatting sqref="G1494">
    <cfRule type="expression" dxfId="529" priority="503" stopIfTrue="1">
      <formula>ISBLANK(G1494)</formula>
    </cfRule>
    <cfRule type="expression" dxfId="528" priority="504">
      <formula>IFERROR(FIND("@",G1494),-1)&lt;0</formula>
    </cfRule>
  </conditionalFormatting>
  <conditionalFormatting sqref="G1510:G1511">
    <cfRule type="expression" dxfId="527" priority="501" stopIfTrue="1">
      <formula>ISBLANK(G1510)</formula>
    </cfRule>
    <cfRule type="expression" dxfId="526" priority="502">
      <formula>IFERROR(FIND("@",G1510),-1)&lt;0</formula>
    </cfRule>
  </conditionalFormatting>
  <conditionalFormatting sqref="G1528:G1529">
    <cfRule type="expression" dxfId="525" priority="499" stopIfTrue="1">
      <formula>ISBLANK(G1528)</formula>
    </cfRule>
    <cfRule type="expression" dxfId="524" priority="500">
      <formula>IFERROR(FIND("@",G1528),-1)&lt;0</formula>
    </cfRule>
  </conditionalFormatting>
  <conditionalFormatting sqref="G1538:G1539">
    <cfRule type="expression" dxfId="523" priority="497" stopIfTrue="1">
      <formula>ISBLANK(G1538)</formula>
    </cfRule>
    <cfRule type="expression" dxfId="522" priority="498">
      <formula>IFERROR(FIND("@",G1538),-1)&lt;0</formula>
    </cfRule>
  </conditionalFormatting>
  <conditionalFormatting sqref="G1543:G1544">
    <cfRule type="expression" dxfId="521" priority="495" stopIfTrue="1">
      <formula>ISBLANK(G1543)</formula>
    </cfRule>
    <cfRule type="expression" dxfId="520" priority="496">
      <formula>IFERROR(FIND("@",G1543),-1)&lt;0</formula>
    </cfRule>
  </conditionalFormatting>
  <conditionalFormatting sqref="G1547">
    <cfRule type="expression" dxfId="519" priority="493" stopIfTrue="1">
      <formula>ISBLANK(G1547)</formula>
    </cfRule>
    <cfRule type="expression" dxfId="518" priority="494">
      <formula>IFERROR(FIND("@",G1547),-1)&lt;0</formula>
    </cfRule>
  </conditionalFormatting>
  <conditionalFormatting sqref="G1551">
    <cfRule type="expression" dxfId="517" priority="491" stopIfTrue="1">
      <formula>ISBLANK(G1551)</formula>
    </cfRule>
    <cfRule type="expression" dxfId="516" priority="492">
      <formula>IFERROR(FIND("@",G1551),-1)&lt;0</formula>
    </cfRule>
  </conditionalFormatting>
  <conditionalFormatting sqref="G1553">
    <cfRule type="expression" dxfId="515" priority="489" stopIfTrue="1">
      <formula>ISBLANK(G1553)</formula>
    </cfRule>
    <cfRule type="expression" dxfId="514" priority="490">
      <formula>IFERROR(FIND("@",G1553),-1)&lt;0</formula>
    </cfRule>
  </conditionalFormatting>
  <conditionalFormatting sqref="G1563">
    <cfRule type="expression" dxfId="513" priority="487" stopIfTrue="1">
      <formula>ISBLANK(G1563)</formula>
    </cfRule>
    <cfRule type="expression" dxfId="512" priority="488">
      <formula>IFERROR(FIND("@",G1563),-1)&lt;0</formula>
    </cfRule>
  </conditionalFormatting>
  <conditionalFormatting sqref="G1564">
    <cfRule type="expression" dxfId="511" priority="485" stopIfTrue="1">
      <formula>ISBLANK(G1564)</formula>
    </cfRule>
    <cfRule type="expression" dxfId="510" priority="486">
      <formula>IFERROR(FIND("@",G1564),-1)&lt;0</formula>
    </cfRule>
  </conditionalFormatting>
  <conditionalFormatting sqref="G1565">
    <cfRule type="expression" dxfId="509" priority="483" stopIfTrue="1">
      <formula>ISBLANK(G1565)</formula>
    </cfRule>
    <cfRule type="expression" dxfId="508" priority="484">
      <formula>IFERROR(FIND("@",G1565),-1)&lt;0</formula>
    </cfRule>
  </conditionalFormatting>
  <conditionalFormatting sqref="G1572">
    <cfRule type="expression" dxfId="507" priority="481" stopIfTrue="1">
      <formula>ISBLANK(G1572)</formula>
    </cfRule>
    <cfRule type="expression" dxfId="506" priority="482">
      <formula>IFERROR(FIND("@",G1572),-1)&lt;0</formula>
    </cfRule>
  </conditionalFormatting>
  <conditionalFormatting sqref="G1578">
    <cfRule type="expression" dxfId="505" priority="479" stopIfTrue="1">
      <formula>ISBLANK(G1578)</formula>
    </cfRule>
    <cfRule type="expression" dxfId="504" priority="480">
      <formula>IFERROR(FIND("@",G1578),-1)&lt;0</formula>
    </cfRule>
  </conditionalFormatting>
  <conditionalFormatting sqref="G1581">
    <cfRule type="expression" dxfId="503" priority="477" stopIfTrue="1">
      <formula>ISBLANK(G1581)</formula>
    </cfRule>
    <cfRule type="expression" dxfId="502" priority="478">
      <formula>IFERROR(FIND("@",G1581),-1)&lt;0</formula>
    </cfRule>
  </conditionalFormatting>
  <conditionalFormatting sqref="G1596">
    <cfRule type="expression" dxfId="501" priority="475" stopIfTrue="1">
      <formula>ISBLANK(G1596)</formula>
    </cfRule>
    <cfRule type="expression" dxfId="500" priority="476">
      <formula>IFERROR(FIND("@",G1596),-1)&lt;0</formula>
    </cfRule>
  </conditionalFormatting>
  <conditionalFormatting sqref="G1597">
    <cfRule type="expression" dxfId="499" priority="473" stopIfTrue="1">
      <formula>ISBLANK(G1597)</formula>
    </cfRule>
    <cfRule type="expression" dxfId="498" priority="474">
      <formula>IFERROR(FIND("@",G1597),-1)&lt;0</formula>
    </cfRule>
  </conditionalFormatting>
  <conditionalFormatting sqref="G1604">
    <cfRule type="expression" dxfId="497" priority="471" stopIfTrue="1">
      <formula>ISBLANK(G1604)</formula>
    </cfRule>
    <cfRule type="expression" dxfId="496" priority="472">
      <formula>IFERROR(FIND("@",G1604),-1)&lt;0</formula>
    </cfRule>
  </conditionalFormatting>
  <conditionalFormatting sqref="G1613">
    <cfRule type="expression" dxfId="495" priority="467" stopIfTrue="1">
      <formula>ISBLANK(G1613)</formula>
    </cfRule>
    <cfRule type="expression" dxfId="494" priority="468">
      <formula>IFERROR(FIND("@",G1613),-1)&lt;0</formula>
    </cfRule>
  </conditionalFormatting>
  <conditionalFormatting sqref="G1614">
    <cfRule type="expression" dxfId="493" priority="465" stopIfTrue="1">
      <formula>ISBLANK(G1614)</formula>
    </cfRule>
    <cfRule type="expression" dxfId="492" priority="466">
      <formula>IFERROR(FIND("@",G1614),-1)&lt;0</formula>
    </cfRule>
  </conditionalFormatting>
  <conditionalFormatting sqref="G1617">
    <cfRule type="expression" dxfId="491" priority="463" stopIfTrue="1">
      <formula>ISBLANK(G1617)</formula>
    </cfRule>
    <cfRule type="expression" dxfId="490" priority="464">
      <formula>IFERROR(FIND("@",G1617),-1)&lt;0</formula>
    </cfRule>
  </conditionalFormatting>
  <conditionalFormatting sqref="G1618">
    <cfRule type="expression" dxfId="489" priority="461" stopIfTrue="1">
      <formula>ISBLANK(G1618)</formula>
    </cfRule>
    <cfRule type="expression" dxfId="488" priority="462">
      <formula>IFERROR(FIND("@",G1618),-1)&lt;0</formula>
    </cfRule>
  </conditionalFormatting>
  <conditionalFormatting sqref="G1619">
    <cfRule type="expression" dxfId="487" priority="459" stopIfTrue="1">
      <formula>ISBLANK(G1619)</formula>
    </cfRule>
    <cfRule type="expression" dxfId="486" priority="460">
      <formula>IFERROR(FIND("@",G1619),-1)&lt;0</formula>
    </cfRule>
  </conditionalFormatting>
  <conditionalFormatting sqref="G1623">
    <cfRule type="expression" dxfId="485" priority="457" stopIfTrue="1">
      <formula>ISBLANK(G1623)</formula>
    </cfRule>
    <cfRule type="expression" dxfId="484" priority="458">
      <formula>IFERROR(FIND("@",G1623),-1)&lt;0</formula>
    </cfRule>
  </conditionalFormatting>
  <conditionalFormatting sqref="G1644">
    <cfRule type="expression" dxfId="483" priority="455" stopIfTrue="1">
      <formula>ISBLANK(G1644)</formula>
    </cfRule>
    <cfRule type="expression" dxfId="482" priority="456">
      <formula>IFERROR(FIND("@",G1644),-1)&lt;0</formula>
    </cfRule>
  </conditionalFormatting>
  <conditionalFormatting sqref="G1651">
    <cfRule type="expression" dxfId="481" priority="453" stopIfTrue="1">
      <formula>ISBLANK(G1651)</formula>
    </cfRule>
    <cfRule type="expression" dxfId="480" priority="454">
      <formula>IFERROR(FIND("@",G1651),-1)&lt;0</formula>
    </cfRule>
  </conditionalFormatting>
  <conditionalFormatting sqref="G1659">
    <cfRule type="expression" dxfId="479" priority="451" stopIfTrue="1">
      <formula>ISBLANK(G1659)</formula>
    </cfRule>
    <cfRule type="expression" dxfId="478" priority="452">
      <formula>IFERROR(FIND("@",G1659),-1)&lt;0</formula>
    </cfRule>
  </conditionalFormatting>
  <conditionalFormatting sqref="G1660">
    <cfRule type="expression" dxfId="477" priority="449" stopIfTrue="1">
      <formula>ISBLANK(G1660)</formula>
    </cfRule>
    <cfRule type="expression" dxfId="476" priority="450">
      <formula>IFERROR(FIND("@",G1660),-1)&lt;0</formula>
    </cfRule>
  </conditionalFormatting>
  <conditionalFormatting sqref="G1669">
    <cfRule type="expression" dxfId="475" priority="447" stopIfTrue="1">
      <formula>ISBLANK(G1669)</formula>
    </cfRule>
    <cfRule type="expression" dxfId="474" priority="448">
      <formula>IFERROR(FIND("@",G1669),-1)&lt;0</formula>
    </cfRule>
  </conditionalFormatting>
  <conditionalFormatting sqref="G1676">
    <cfRule type="expression" dxfId="473" priority="445" stopIfTrue="1">
      <formula>ISBLANK(G1676)</formula>
    </cfRule>
    <cfRule type="expression" dxfId="472" priority="446">
      <formula>IFERROR(FIND("@",G1676),-1)&lt;0</formula>
    </cfRule>
  </conditionalFormatting>
  <conditionalFormatting sqref="G1685">
    <cfRule type="expression" dxfId="471" priority="443" stopIfTrue="1">
      <formula>ISBLANK(G1685)</formula>
    </cfRule>
    <cfRule type="expression" dxfId="470" priority="444">
      <formula>IFERROR(FIND("@",G1685),-1)&lt;0</formula>
    </cfRule>
  </conditionalFormatting>
  <conditionalFormatting sqref="G1691">
    <cfRule type="expression" dxfId="469" priority="441" stopIfTrue="1">
      <formula>ISBLANK(G1691)</formula>
    </cfRule>
    <cfRule type="expression" dxfId="468" priority="442">
      <formula>IFERROR(FIND("@",G1691),-1)&lt;0</formula>
    </cfRule>
  </conditionalFormatting>
  <conditionalFormatting sqref="G1698:G1699">
    <cfRule type="expression" dxfId="467" priority="439" stopIfTrue="1">
      <formula>ISBLANK(G1698)</formula>
    </cfRule>
    <cfRule type="expression" dxfId="466" priority="440">
      <formula>IFERROR(FIND("@",G1698),-1)&lt;0</formula>
    </cfRule>
  </conditionalFormatting>
  <conditionalFormatting sqref="G1704">
    <cfRule type="expression" dxfId="465" priority="437" stopIfTrue="1">
      <formula>ISBLANK(G1704)</formula>
    </cfRule>
    <cfRule type="expression" dxfId="464" priority="438">
      <formula>IFERROR(FIND("@",G1704),-1)&lt;0</formula>
    </cfRule>
  </conditionalFormatting>
  <conditionalFormatting sqref="G1709">
    <cfRule type="expression" dxfId="463" priority="435" stopIfTrue="1">
      <formula>ISBLANK(G1709)</formula>
    </cfRule>
    <cfRule type="expression" dxfId="462" priority="436">
      <formula>IFERROR(FIND("@",G1709),-1)&lt;0</formula>
    </cfRule>
  </conditionalFormatting>
  <conditionalFormatting sqref="G1718">
    <cfRule type="expression" dxfId="461" priority="433" stopIfTrue="1">
      <formula>ISBLANK(G1718)</formula>
    </cfRule>
    <cfRule type="expression" dxfId="460" priority="434">
      <formula>IFERROR(FIND("@",G1718),-1)&lt;0</formula>
    </cfRule>
  </conditionalFormatting>
  <conditionalFormatting sqref="G1723">
    <cfRule type="expression" dxfId="459" priority="431" stopIfTrue="1">
      <formula>ISBLANK(G1723)</formula>
    </cfRule>
    <cfRule type="expression" dxfId="458" priority="432">
      <formula>IFERROR(FIND("@",G1723),-1)&lt;0</formula>
    </cfRule>
  </conditionalFormatting>
  <conditionalFormatting sqref="G1727">
    <cfRule type="expression" dxfId="457" priority="429" stopIfTrue="1">
      <formula>ISBLANK(G1727)</formula>
    </cfRule>
    <cfRule type="expression" dxfId="456" priority="430">
      <formula>IFERROR(FIND("@",G1727),-1)&lt;0</formula>
    </cfRule>
  </conditionalFormatting>
  <conditionalFormatting sqref="G1729">
    <cfRule type="expression" dxfId="455" priority="427" stopIfTrue="1">
      <formula>ISBLANK(G1729)</formula>
    </cfRule>
    <cfRule type="expression" dxfId="454" priority="428">
      <formula>IFERROR(FIND("@",G1729),-1)&lt;0</formula>
    </cfRule>
  </conditionalFormatting>
  <conditionalFormatting sqref="G1736">
    <cfRule type="expression" dxfId="453" priority="425" stopIfTrue="1">
      <formula>ISBLANK(G1736)</formula>
    </cfRule>
    <cfRule type="expression" dxfId="452" priority="426">
      <formula>IFERROR(FIND("@",G1736),-1)&lt;0</formula>
    </cfRule>
  </conditionalFormatting>
  <conditionalFormatting sqref="G1757">
    <cfRule type="expression" dxfId="451" priority="423" stopIfTrue="1">
      <formula>ISBLANK(G1757)</formula>
    </cfRule>
    <cfRule type="expression" dxfId="450" priority="424">
      <formula>IFERROR(FIND("@",G1757),-1)&lt;0</formula>
    </cfRule>
  </conditionalFormatting>
  <conditionalFormatting sqref="G1758">
    <cfRule type="expression" dxfId="449" priority="421" stopIfTrue="1">
      <formula>ISBLANK(G1758)</formula>
    </cfRule>
    <cfRule type="expression" dxfId="448" priority="422">
      <formula>IFERROR(FIND("@",G1758),-1)&lt;0</formula>
    </cfRule>
  </conditionalFormatting>
  <conditionalFormatting sqref="G1759">
    <cfRule type="expression" dxfId="447" priority="419" stopIfTrue="1">
      <formula>ISBLANK(G1759)</formula>
    </cfRule>
    <cfRule type="expression" dxfId="446" priority="420">
      <formula>IFERROR(FIND("@",G1759),-1)&lt;0</formula>
    </cfRule>
  </conditionalFormatting>
  <conditionalFormatting sqref="G1770">
    <cfRule type="expression" dxfId="445" priority="417" stopIfTrue="1">
      <formula>ISBLANK(G1770)</formula>
    </cfRule>
    <cfRule type="expression" dxfId="444" priority="418">
      <formula>IFERROR(FIND("@",G1770),-1)&lt;0</formula>
    </cfRule>
  </conditionalFormatting>
  <conditionalFormatting sqref="G1774">
    <cfRule type="expression" dxfId="443" priority="415" stopIfTrue="1">
      <formula>ISBLANK(G1774)</formula>
    </cfRule>
    <cfRule type="expression" dxfId="442" priority="416">
      <formula>IFERROR(FIND("@",G1774),-1)&lt;0</formula>
    </cfRule>
  </conditionalFormatting>
  <conditionalFormatting sqref="G1781">
    <cfRule type="expression" dxfId="441" priority="413" stopIfTrue="1">
      <formula>ISBLANK(G1781)</formula>
    </cfRule>
    <cfRule type="expression" dxfId="440" priority="414">
      <formula>IFERROR(FIND("@",G1781),-1)&lt;0</formula>
    </cfRule>
  </conditionalFormatting>
  <conditionalFormatting sqref="G1783">
    <cfRule type="expression" dxfId="439" priority="411" stopIfTrue="1">
      <formula>ISBLANK(G1783)</formula>
    </cfRule>
    <cfRule type="expression" dxfId="438" priority="412">
      <formula>IFERROR(FIND("@",G1783),-1)&lt;0</formula>
    </cfRule>
  </conditionalFormatting>
  <conditionalFormatting sqref="G1800">
    <cfRule type="expression" dxfId="437" priority="409" stopIfTrue="1">
      <formula>ISBLANK(G1800)</formula>
    </cfRule>
    <cfRule type="expression" dxfId="436" priority="410">
      <formula>IFERROR(FIND("@",G1800),-1)&lt;0</formula>
    </cfRule>
  </conditionalFormatting>
  <conditionalFormatting sqref="G1801">
    <cfRule type="expression" dxfId="435" priority="407" stopIfTrue="1">
      <formula>ISBLANK(G1801)</formula>
    </cfRule>
    <cfRule type="expression" dxfId="434" priority="408">
      <formula>IFERROR(FIND("@",G1801),-1)&lt;0</formula>
    </cfRule>
  </conditionalFormatting>
  <conditionalFormatting sqref="G1806">
    <cfRule type="expression" dxfId="433" priority="405" stopIfTrue="1">
      <formula>ISBLANK(G1806)</formula>
    </cfRule>
    <cfRule type="expression" dxfId="432" priority="406">
      <formula>IFERROR(FIND("@",G1806),-1)&lt;0</formula>
    </cfRule>
  </conditionalFormatting>
  <conditionalFormatting sqref="G1813">
    <cfRule type="expression" dxfId="431" priority="403" stopIfTrue="1">
      <formula>ISBLANK(G1813)</formula>
    </cfRule>
    <cfRule type="expression" dxfId="430" priority="404">
      <formula>IFERROR(FIND("@",G1813),-1)&lt;0</formula>
    </cfRule>
  </conditionalFormatting>
  <conditionalFormatting sqref="G1820">
    <cfRule type="expression" dxfId="429" priority="401" stopIfTrue="1">
      <formula>ISBLANK(G1820)</formula>
    </cfRule>
    <cfRule type="expression" dxfId="428" priority="402">
      <formula>IFERROR(FIND("@",G1820),-1)&lt;0</formula>
    </cfRule>
  </conditionalFormatting>
  <conditionalFormatting sqref="G1824">
    <cfRule type="expression" dxfId="427" priority="399" stopIfTrue="1">
      <formula>ISBLANK(G1824)</formula>
    </cfRule>
    <cfRule type="expression" dxfId="426" priority="400">
      <formula>IFERROR(FIND("@",G1824),-1)&lt;0</formula>
    </cfRule>
  </conditionalFormatting>
  <conditionalFormatting sqref="G1829">
    <cfRule type="expression" dxfId="425" priority="397" stopIfTrue="1">
      <formula>ISBLANK(G1829)</formula>
    </cfRule>
    <cfRule type="expression" dxfId="424" priority="398">
      <formula>IFERROR(FIND("@",G1829),-1)&lt;0</formula>
    </cfRule>
  </conditionalFormatting>
  <conditionalFormatting sqref="G1832">
    <cfRule type="expression" dxfId="423" priority="395" stopIfTrue="1">
      <formula>ISBLANK(G1832)</formula>
    </cfRule>
    <cfRule type="expression" dxfId="422" priority="396">
      <formula>IFERROR(FIND("@",G1832),-1)&lt;0</formula>
    </cfRule>
  </conditionalFormatting>
  <conditionalFormatting sqref="G1835">
    <cfRule type="expression" dxfId="421" priority="393" stopIfTrue="1">
      <formula>ISBLANK(G1835)</formula>
    </cfRule>
    <cfRule type="expression" dxfId="420" priority="394">
      <formula>IFERROR(FIND("@",G1835),-1)&lt;0</formula>
    </cfRule>
  </conditionalFormatting>
  <conditionalFormatting sqref="G1842">
    <cfRule type="expression" dxfId="419" priority="391" stopIfTrue="1">
      <formula>ISBLANK(G1842)</formula>
    </cfRule>
    <cfRule type="expression" dxfId="418" priority="392">
      <formula>IFERROR(FIND("@",G1842),-1)&lt;0</formula>
    </cfRule>
  </conditionalFormatting>
  <conditionalFormatting sqref="G1851">
    <cfRule type="expression" dxfId="417" priority="389" stopIfTrue="1">
      <formula>ISBLANK(G1851)</formula>
    </cfRule>
    <cfRule type="expression" dxfId="416" priority="390">
      <formula>IFERROR(FIND("@",G1851),-1)&lt;0</formula>
    </cfRule>
  </conditionalFormatting>
  <conditionalFormatting sqref="G1854">
    <cfRule type="expression" dxfId="415" priority="387" stopIfTrue="1">
      <formula>ISBLANK(G1854)</formula>
    </cfRule>
    <cfRule type="expression" dxfId="414" priority="388">
      <formula>IFERROR(FIND("@",G1854),-1)&lt;0</formula>
    </cfRule>
  </conditionalFormatting>
  <conditionalFormatting sqref="G1865">
    <cfRule type="expression" dxfId="413" priority="385" stopIfTrue="1">
      <formula>ISBLANK(G1865)</formula>
    </cfRule>
    <cfRule type="expression" dxfId="412" priority="386">
      <formula>IFERROR(FIND("@",G1865),-1)&lt;0</formula>
    </cfRule>
  </conditionalFormatting>
  <conditionalFormatting sqref="G1868">
    <cfRule type="expression" dxfId="411" priority="383" stopIfTrue="1">
      <formula>ISBLANK(G1868)</formula>
    </cfRule>
    <cfRule type="expression" dxfId="410" priority="384">
      <formula>IFERROR(FIND("@",G1868),-1)&lt;0</formula>
    </cfRule>
  </conditionalFormatting>
  <conditionalFormatting sqref="G1875">
    <cfRule type="expression" dxfId="409" priority="381" stopIfTrue="1">
      <formula>ISBLANK(G1875)</formula>
    </cfRule>
    <cfRule type="expression" dxfId="408" priority="382">
      <formula>IFERROR(FIND("@",G1875),-1)&lt;0</formula>
    </cfRule>
  </conditionalFormatting>
  <conditionalFormatting sqref="G1877">
    <cfRule type="expression" dxfId="407" priority="379" stopIfTrue="1">
      <formula>ISBLANK(G1877)</formula>
    </cfRule>
    <cfRule type="expression" dxfId="406" priority="380">
      <formula>IFERROR(FIND("@",G1877),-1)&lt;0</formula>
    </cfRule>
  </conditionalFormatting>
  <conditionalFormatting sqref="G1888">
    <cfRule type="expression" dxfId="405" priority="377" stopIfTrue="1">
      <formula>ISBLANK(G1888)</formula>
    </cfRule>
    <cfRule type="expression" dxfId="404" priority="378">
      <formula>IFERROR(FIND("@",G1888),-1)&lt;0</formula>
    </cfRule>
  </conditionalFormatting>
  <conditionalFormatting sqref="G1895">
    <cfRule type="expression" dxfId="403" priority="375" stopIfTrue="1">
      <formula>ISBLANK(G1895)</formula>
    </cfRule>
    <cfRule type="expression" dxfId="402" priority="376">
      <formula>IFERROR(FIND("@",G1895),-1)&lt;0</formula>
    </cfRule>
  </conditionalFormatting>
  <conditionalFormatting sqref="G1896">
    <cfRule type="expression" dxfId="401" priority="373" stopIfTrue="1">
      <formula>ISBLANK(G1896)</formula>
    </cfRule>
    <cfRule type="expression" dxfId="400" priority="374">
      <formula>IFERROR(FIND("@",G1896),-1)&lt;0</formula>
    </cfRule>
  </conditionalFormatting>
  <conditionalFormatting sqref="G1912">
    <cfRule type="expression" dxfId="399" priority="371" stopIfTrue="1">
      <formula>ISBLANK(G1912)</formula>
    </cfRule>
    <cfRule type="expression" dxfId="398" priority="372">
      <formula>IFERROR(FIND("@",G1912),-1)&lt;0</formula>
    </cfRule>
  </conditionalFormatting>
  <conditionalFormatting sqref="G1914">
    <cfRule type="expression" dxfId="397" priority="369" stopIfTrue="1">
      <formula>ISBLANK(G1914)</formula>
    </cfRule>
    <cfRule type="expression" dxfId="396" priority="370">
      <formula>IFERROR(FIND("@",G1914),-1)&lt;0</formula>
    </cfRule>
  </conditionalFormatting>
  <conditionalFormatting sqref="G1923">
    <cfRule type="expression" dxfId="395" priority="367" stopIfTrue="1">
      <formula>ISBLANK(G1923)</formula>
    </cfRule>
    <cfRule type="expression" dxfId="394" priority="368">
      <formula>IFERROR(FIND("@",G1923),-1)&lt;0</formula>
    </cfRule>
  </conditionalFormatting>
  <conditionalFormatting sqref="G1939">
    <cfRule type="expression" dxfId="393" priority="365" stopIfTrue="1">
      <formula>ISBLANK(G1939)</formula>
    </cfRule>
    <cfRule type="expression" dxfId="392" priority="366">
      <formula>IFERROR(FIND("@",G1939),-1)&lt;0</formula>
    </cfRule>
  </conditionalFormatting>
  <conditionalFormatting sqref="G1942">
    <cfRule type="expression" dxfId="391" priority="363" stopIfTrue="1">
      <formula>ISBLANK(G1942)</formula>
    </cfRule>
    <cfRule type="expression" dxfId="390" priority="364">
      <formula>IFERROR(FIND("@",G1942),-1)&lt;0</formula>
    </cfRule>
  </conditionalFormatting>
  <conditionalFormatting sqref="G1944">
    <cfRule type="expression" dxfId="389" priority="361" stopIfTrue="1">
      <formula>ISBLANK(G1944)</formula>
    </cfRule>
    <cfRule type="expression" dxfId="388" priority="362">
      <formula>IFERROR(FIND("@",G1944),-1)&lt;0</formula>
    </cfRule>
  </conditionalFormatting>
  <conditionalFormatting sqref="G1945">
    <cfRule type="expression" dxfId="387" priority="359" stopIfTrue="1">
      <formula>ISBLANK(G1945)</formula>
    </cfRule>
    <cfRule type="expression" dxfId="386" priority="360">
      <formula>IFERROR(FIND("@",G1945),-1)&lt;0</formula>
    </cfRule>
  </conditionalFormatting>
  <conditionalFormatting sqref="G1960">
    <cfRule type="expression" dxfId="385" priority="357" stopIfTrue="1">
      <formula>ISBLANK(G1960)</formula>
    </cfRule>
    <cfRule type="expression" dxfId="384" priority="358">
      <formula>IFERROR(FIND("@",G1960),-1)&lt;0</formula>
    </cfRule>
  </conditionalFormatting>
  <conditionalFormatting sqref="G1964">
    <cfRule type="expression" dxfId="383" priority="355" stopIfTrue="1">
      <formula>ISBLANK(G1964)</formula>
    </cfRule>
    <cfRule type="expression" dxfId="382" priority="356">
      <formula>IFERROR(FIND("@",G1964),-1)&lt;0</formula>
    </cfRule>
  </conditionalFormatting>
  <conditionalFormatting sqref="G1992">
    <cfRule type="expression" dxfId="381" priority="353" stopIfTrue="1">
      <formula>ISBLANK(G1992)</formula>
    </cfRule>
    <cfRule type="expression" dxfId="380" priority="354">
      <formula>IFERROR(FIND("@",G1992),-1)&lt;0</formula>
    </cfRule>
  </conditionalFormatting>
  <conditionalFormatting sqref="G1996">
    <cfRule type="expression" dxfId="379" priority="351" stopIfTrue="1">
      <formula>ISBLANK(G1996)</formula>
    </cfRule>
    <cfRule type="expression" dxfId="378" priority="352">
      <formula>IFERROR(FIND("@",G1996),-1)&lt;0</formula>
    </cfRule>
  </conditionalFormatting>
  <conditionalFormatting sqref="G1999">
    <cfRule type="expression" dxfId="377" priority="349" stopIfTrue="1">
      <formula>ISBLANK(G1999)</formula>
    </cfRule>
    <cfRule type="expression" dxfId="376" priority="350">
      <formula>IFERROR(FIND("@",G1999),-1)&lt;0</formula>
    </cfRule>
  </conditionalFormatting>
  <conditionalFormatting sqref="G2001">
    <cfRule type="expression" dxfId="375" priority="347" stopIfTrue="1">
      <formula>ISBLANK(G2001)</formula>
    </cfRule>
    <cfRule type="expression" dxfId="374" priority="348">
      <formula>IFERROR(FIND("@",G2001),-1)&lt;0</formula>
    </cfRule>
  </conditionalFormatting>
  <conditionalFormatting sqref="G2003">
    <cfRule type="expression" dxfId="373" priority="345" stopIfTrue="1">
      <formula>ISBLANK(G2003)</formula>
    </cfRule>
    <cfRule type="expression" dxfId="372" priority="346">
      <formula>IFERROR(FIND("@",G2003),-1)&lt;0</formula>
    </cfRule>
  </conditionalFormatting>
  <conditionalFormatting sqref="G2007">
    <cfRule type="expression" dxfId="371" priority="343" stopIfTrue="1">
      <formula>ISBLANK(G2007)</formula>
    </cfRule>
    <cfRule type="expression" dxfId="370" priority="344">
      <formula>IFERROR(FIND("@",G2007),-1)&lt;0</formula>
    </cfRule>
  </conditionalFormatting>
  <conditionalFormatting sqref="G2033">
    <cfRule type="expression" dxfId="369" priority="341" stopIfTrue="1">
      <formula>ISBLANK(G2033)</formula>
    </cfRule>
    <cfRule type="expression" dxfId="368" priority="342">
      <formula>IFERROR(FIND("@",G2033),-1)&lt;0</formula>
    </cfRule>
  </conditionalFormatting>
  <conditionalFormatting sqref="G2038">
    <cfRule type="expression" dxfId="367" priority="339" stopIfTrue="1">
      <formula>ISBLANK(G2038)</formula>
    </cfRule>
    <cfRule type="expression" dxfId="366" priority="340">
      <formula>IFERROR(FIND("@",G2038),-1)&lt;0</formula>
    </cfRule>
  </conditionalFormatting>
  <conditionalFormatting sqref="G2039">
    <cfRule type="expression" dxfId="365" priority="337" stopIfTrue="1">
      <formula>ISBLANK(G2039)</formula>
    </cfRule>
    <cfRule type="expression" dxfId="364" priority="338">
      <formula>IFERROR(FIND("@",G2039),-1)&lt;0</formula>
    </cfRule>
  </conditionalFormatting>
  <conditionalFormatting sqref="G2042">
    <cfRule type="expression" dxfId="363" priority="335" stopIfTrue="1">
      <formula>ISBLANK(G2042)</formula>
    </cfRule>
    <cfRule type="expression" dxfId="362" priority="336">
      <formula>IFERROR(FIND("@",G2042),-1)&lt;0</formula>
    </cfRule>
  </conditionalFormatting>
  <conditionalFormatting sqref="G2043">
    <cfRule type="expression" dxfId="361" priority="333" stopIfTrue="1">
      <formula>ISBLANK(G2043)</formula>
    </cfRule>
    <cfRule type="expression" dxfId="360" priority="334">
      <formula>IFERROR(FIND("@",G2043),-1)&lt;0</formula>
    </cfRule>
  </conditionalFormatting>
  <conditionalFormatting sqref="G2045">
    <cfRule type="expression" dxfId="359" priority="331" stopIfTrue="1">
      <formula>ISBLANK(G2045)</formula>
    </cfRule>
    <cfRule type="expression" dxfId="358" priority="332">
      <formula>IFERROR(FIND("@",G2045),-1)&lt;0</formula>
    </cfRule>
  </conditionalFormatting>
  <conditionalFormatting sqref="G2051">
    <cfRule type="expression" dxfId="357" priority="329" stopIfTrue="1">
      <formula>ISBLANK(G2051)</formula>
    </cfRule>
    <cfRule type="expression" dxfId="356" priority="330">
      <formula>IFERROR(FIND("@",G2051),-1)&lt;0</formula>
    </cfRule>
  </conditionalFormatting>
  <conditionalFormatting sqref="G2052">
    <cfRule type="expression" dxfId="355" priority="327" stopIfTrue="1">
      <formula>ISBLANK(G2052)</formula>
    </cfRule>
    <cfRule type="expression" dxfId="354" priority="328">
      <formula>IFERROR(FIND("@",G2052),-1)&lt;0</formula>
    </cfRule>
  </conditionalFormatting>
  <conditionalFormatting sqref="G2055">
    <cfRule type="expression" dxfId="353" priority="325" stopIfTrue="1">
      <formula>ISBLANK(G2055)</formula>
    </cfRule>
    <cfRule type="expression" dxfId="352" priority="326">
      <formula>IFERROR(FIND("@",G2055),-1)&lt;0</formula>
    </cfRule>
  </conditionalFormatting>
  <conditionalFormatting sqref="G2066">
    <cfRule type="expression" dxfId="351" priority="323" stopIfTrue="1">
      <formula>ISBLANK(G2066)</formula>
    </cfRule>
    <cfRule type="expression" dxfId="350" priority="324">
      <formula>IFERROR(FIND("@",G2066),-1)&lt;0</formula>
    </cfRule>
  </conditionalFormatting>
  <conditionalFormatting sqref="G2072">
    <cfRule type="expression" dxfId="349" priority="321" stopIfTrue="1">
      <formula>ISBLANK(G2072)</formula>
    </cfRule>
    <cfRule type="expression" dxfId="348" priority="322">
      <formula>IFERROR(FIND("@",G2072),-1)&lt;0</formula>
    </cfRule>
  </conditionalFormatting>
  <conditionalFormatting sqref="G2080">
    <cfRule type="expression" dxfId="347" priority="319" stopIfTrue="1">
      <formula>ISBLANK(G2080)</formula>
    </cfRule>
    <cfRule type="expression" dxfId="346" priority="320">
      <formula>IFERROR(FIND("@",G2080),-1)&lt;0</formula>
    </cfRule>
  </conditionalFormatting>
  <conditionalFormatting sqref="G2085">
    <cfRule type="expression" dxfId="345" priority="315" stopIfTrue="1">
      <formula>ISBLANK(G2085)</formula>
    </cfRule>
    <cfRule type="expression" dxfId="344" priority="316">
      <formula>IFERROR(FIND("@",G2085),-1)&lt;0</formula>
    </cfRule>
  </conditionalFormatting>
  <conditionalFormatting sqref="G2092">
    <cfRule type="expression" dxfId="343" priority="313" stopIfTrue="1">
      <formula>ISBLANK(G2092)</formula>
    </cfRule>
    <cfRule type="expression" dxfId="342" priority="314">
      <formula>IFERROR(FIND("@",G2092),-1)&lt;0</formula>
    </cfRule>
  </conditionalFormatting>
  <conditionalFormatting sqref="G2113">
    <cfRule type="expression" dxfId="341" priority="311" stopIfTrue="1">
      <formula>ISBLANK(G2113)</formula>
    </cfRule>
    <cfRule type="expression" dxfId="340" priority="312">
      <formula>IFERROR(FIND("@",G2113),-1)&lt;0</formula>
    </cfRule>
  </conditionalFormatting>
  <conditionalFormatting sqref="G2114">
    <cfRule type="expression" dxfId="339" priority="309" stopIfTrue="1">
      <formula>ISBLANK(G2114)</formula>
    </cfRule>
    <cfRule type="expression" dxfId="338" priority="310">
      <formula>IFERROR(FIND("@",G2114),-1)&lt;0</formula>
    </cfRule>
  </conditionalFormatting>
  <conditionalFormatting sqref="G2127">
    <cfRule type="expression" dxfId="337" priority="307" stopIfTrue="1">
      <formula>ISBLANK(G2127)</formula>
    </cfRule>
    <cfRule type="expression" dxfId="336" priority="308">
      <formula>IFERROR(FIND("@",G2127),-1)&lt;0</formula>
    </cfRule>
  </conditionalFormatting>
  <conditionalFormatting sqref="G2130">
    <cfRule type="expression" dxfId="335" priority="305" stopIfTrue="1">
      <formula>ISBLANK(G2130)</formula>
    </cfRule>
    <cfRule type="expression" dxfId="334" priority="306">
      <formula>IFERROR(FIND("@",G2130),-1)&lt;0</formula>
    </cfRule>
  </conditionalFormatting>
  <conditionalFormatting sqref="G2137">
    <cfRule type="expression" dxfId="333" priority="303" stopIfTrue="1">
      <formula>ISBLANK(G2137)</formula>
    </cfRule>
    <cfRule type="expression" dxfId="332" priority="304">
      <formula>IFERROR(FIND("@",G2137),-1)&lt;0</formula>
    </cfRule>
  </conditionalFormatting>
  <conditionalFormatting sqref="G2139">
    <cfRule type="expression" dxfId="331" priority="301" stopIfTrue="1">
      <formula>ISBLANK(G2139)</formula>
    </cfRule>
    <cfRule type="expression" dxfId="330" priority="302">
      <formula>IFERROR(FIND("@",G2139),-1)&lt;0</formula>
    </cfRule>
  </conditionalFormatting>
  <conditionalFormatting sqref="G2146">
    <cfRule type="expression" dxfId="329" priority="299" stopIfTrue="1">
      <formula>ISBLANK(G2146)</formula>
    </cfRule>
    <cfRule type="expression" dxfId="328" priority="300">
      <formula>IFERROR(FIND("@",G2146),-1)&lt;0</formula>
    </cfRule>
  </conditionalFormatting>
  <conditionalFormatting sqref="G2149">
    <cfRule type="expression" dxfId="327" priority="297" stopIfTrue="1">
      <formula>ISBLANK(G2149)</formula>
    </cfRule>
    <cfRule type="expression" dxfId="326" priority="298">
      <formula>IFERROR(FIND("@",G2149),-1)&lt;0</formula>
    </cfRule>
  </conditionalFormatting>
  <conditionalFormatting sqref="G2151">
    <cfRule type="expression" dxfId="325" priority="295" stopIfTrue="1">
      <formula>ISBLANK(G2151)</formula>
    </cfRule>
    <cfRule type="expression" dxfId="324" priority="296">
      <formula>IFERROR(FIND("@",G2151),-1)&lt;0</formula>
    </cfRule>
  </conditionalFormatting>
  <conditionalFormatting sqref="G2158">
    <cfRule type="expression" dxfId="323" priority="293" stopIfTrue="1">
      <formula>ISBLANK(G2158)</formula>
    </cfRule>
    <cfRule type="expression" dxfId="322" priority="294">
      <formula>IFERROR(FIND("@",G2158),-1)&lt;0</formula>
    </cfRule>
  </conditionalFormatting>
  <conditionalFormatting sqref="G2164">
    <cfRule type="expression" dxfId="321" priority="291" stopIfTrue="1">
      <formula>ISBLANK(G2164)</formula>
    </cfRule>
    <cfRule type="expression" dxfId="320" priority="292">
      <formula>IFERROR(FIND("@",G2164),-1)&lt;0</formula>
    </cfRule>
  </conditionalFormatting>
  <conditionalFormatting sqref="G2166">
    <cfRule type="expression" dxfId="319" priority="289" stopIfTrue="1">
      <formula>ISBLANK(G2166)</formula>
    </cfRule>
    <cfRule type="expression" dxfId="318" priority="290">
      <formula>IFERROR(FIND("@",G2166),-1)&lt;0</formula>
    </cfRule>
  </conditionalFormatting>
  <conditionalFormatting sqref="G2167">
    <cfRule type="expression" dxfId="317" priority="287" stopIfTrue="1">
      <formula>ISBLANK(G2167)</formula>
    </cfRule>
    <cfRule type="expression" dxfId="316" priority="288">
      <formula>IFERROR(FIND("@",G2167),-1)&lt;0</formula>
    </cfRule>
  </conditionalFormatting>
  <conditionalFormatting sqref="G2199">
    <cfRule type="expression" dxfId="315" priority="285" stopIfTrue="1">
      <formula>ISBLANK(G2199)</formula>
    </cfRule>
    <cfRule type="expression" dxfId="314" priority="286">
      <formula>IFERROR(FIND("@",G2199),-1)&lt;0</formula>
    </cfRule>
  </conditionalFormatting>
  <conditionalFormatting sqref="G2218">
    <cfRule type="expression" dxfId="313" priority="283" stopIfTrue="1">
      <formula>ISBLANK(G2218)</formula>
    </cfRule>
    <cfRule type="expression" dxfId="312" priority="284">
      <formula>IFERROR(FIND("@",G2218),-1)&lt;0</formula>
    </cfRule>
  </conditionalFormatting>
  <conditionalFormatting sqref="G2223">
    <cfRule type="expression" dxfId="311" priority="281" stopIfTrue="1">
      <formula>ISBLANK(G2223)</formula>
    </cfRule>
    <cfRule type="expression" dxfId="310" priority="282">
      <formula>IFERROR(FIND("@",G2223),-1)&lt;0</formula>
    </cfRule>
  </conditionalFormatting>
  <conditionalFormatting sqref="G2227">
    <cfRule type="expression" dxfId="309" priority="279" stopIfTrue="1">
      <formula>ISBLANK(G2227)</formula>
    </cfRule>
    <cfRule type="expression" dxfId="308" priority="280">
      <formula>IFERROR(FIND("@",G2227),-1)&lt;0</formula>
    </cfRule>
  </conditionalFormatting>
  <conditionalFormatting sqref="G2231">
    <cfRule type="expression" dxfId="307" priority="277" stopIfTrue="1">
      <formula>ISBLANK(G2231)</formula>
    </cfRule>
    <cfRule type="expression" dxfId="306" priority="278">
      <formula>IFERROR(FIND("@",G2231),-1)&lt;0</formula>
    </cfRule>
  </conditionalFormatting>
  <conditionalFormatting sqref="G2232">
    <cfRule type="expression" dxfId="305" priority="275" stopIfTrue="1">
      <formula>ISBLANK(G2232)</formula>
    </cfRule>
    <cfRule type="expression" dxfId="304" priority="276">
      <formula>IFERROR(FIND("@",G2232),-1)&lt;0</formula>
    </cfRule>
  </conditionalFormatting>
  <conditionalFormatting sqref="G2234">
    <cfRule type="expression" dxfId="303" priority="273" stopIfTrue="1">
      <formula>ISBLANK(G2234)</formula>
    </cfRule>
    <cfRule type="expression" dxfId="302" priority="274">
      <formula>IFERROR(FIND("@",G2234),-1)&lt;0</formula>
    </cfRule>
  </conditionalFormatting>
  <conditionalFormatting sqref="G2235">
    <cfRule type="expression" dxfId="301" priority="271" stopIfTrue="1">
      <formula>ISBLANK(G2235)</formula>
    </cfRule>
    <cfRule type="expression" dxfId="300" priority="272">
      <formula>IFERROR(FIND("@",G2235),-1)&lt;0</formula>
    </cfRule>
  </conditionalFormatting>
  <conditionalFormatting sqref="G2263">
    <cfRule type="expression" dxfId="299" priority="269" stopIfTrue="1">
      <formula>ISBLANK(G2263)</formula>
    </cfRule>
    <cfRule type="expression" dxfId="298" priority="270">
      <formula>IFERROR(FIND("@",G2263),-1)&lt;0</formula>
    </cfRule>
  </conditionalFormatting>
  <conditionalFormatting sqref="G2265">
    <cfRule type="expression" dxfId="297" priority="267" stopIfTrue="1">
      <formula>ISBLANK(G2265)</formula>
    </cfRule>
    <cfRule type="expression" dxfId="296" priority="268">
      <formula>IFERROR(FIND("@",G2265),-1)&lt;0</formula>
    </cfRule>
  </conditionalFormatting>
  <conditionalFormatting sqref="G2275">
    <cfRule type="expression" dxfId="295" priority="265" stopIfTrue="1">
      <formula>ISBLANK(G2275)</formula>
    </cfRule>
    <cfRule type="expression" dxfId="294" priority="266">
      <formula>IFERROR(FIND("@",G2275),-1)&lt;0</formula>
    </cfRule>
  </conditionalFormatting>
  <conditionalFormatting sqref="G2276">
    <cfRule type="expression" dxfId="293" priority="263" stopIfTrue="1">
      <formula>ISBLANK(G2276)</formula>
    </cfRule>
    <cfRule type="expression" dxfId="292" priority="264">
      <formula>IFERROR(FIND("@",G2276),-1)&lt;0</formula>
    </cfRule>
  </conditionalFormatting>
  <conditionalFormatting sqref="G2285">
    <cfRule type="expression" dxfId="291" priority="261" stopIfTrue="1">
      <formula>ISBLANK(G2285)</formula>
    </cfRule>
    <cfRule type="expression" dxfId="290" priority="262">
      <formula>IFERROR(FIND("@",G2285),-1)&lt;0</formula>
    </cfRule>
  </conditionalFormatting>
  <conditionalFormatting sqref="G2294">
    <cfRule type="expression" dxfId="289" priority="259" stopIfTrue="1">
      <formula>ISBLANK(G2294)</formula>
    </cfRule>
    <cfRule type="expression" dxfId="288" priority="260">
      <formula>IFERROR(FIND("@",G2294),-1)&lt;0</formula>
    </cfRule>
  </conditionalFormatting>
  <conditionalFormatting sqref="G2279">
    <cfRule type="expression" dxfId="287" priority="257" stopIfTrue="1">
      <formula>ISBLANK(G2279)</formula>
    </cfRule>
    <cfRule type="expression" dxfId="286" priority="258">
      <formula>IFERROR(FIND("@",G2279),-1)&lt;0</formula>
    </cfRule>
  </conditionalFormatting>
  <conditionalFormatting sqref="G2303">
    <cfRule type="expression" dxfId="285" priority="255" stopIfTrue="1">
      <formula>ISBLANK(G2303)</formula>
    </cfRule>
    <cfRule type="expression" dxfId="284" priority="256">
      <formula>IFERROR(FIND("@",G2303),-1)&lt;0</formula>
    </cfRule>
  </conditionalFormatting>
  <conditionalFormatting sqref="G2315">
    <cfRule type="expression" dxfId="283" priority="253" stopIfTrue="1">
      <formula>ISBLANK(G2315)</formula>
    </cfRule>
    <cfRule type="expression" dxfId="282" priority="254">
      <formula>IFERROR(FIND("@",G2315),-1)&lt;0</formula>
    </cfRule>
  </conditionalFormatting>
  <conditionalFormatting sqref="G2327">
    <cfRule type="expression" dxfId="281" priority="251" stopIfTrue="1">
      <formula>ISBLANK(G2327)</formula>
    </cfRule>
    <cfRule type="expression" dxfId="280" priority="252">
      <formula>IFERROR(FIND("@",G2327),-1)&lt;0</formula>
    </cfRule>
  </conditionalFormatting>
  <conditionalFormatting sqref="G2339">
    <cfRule type="expression" dxfId="279" priority="249" stopIfTrue="1">
      <formula>ISBLANK(G2339)</formula>
    </cfRule>
    <cfRule type="expression" dxfId="278" priority="250">
      <formula>IFERROR(FIND("@",G2339),-1)&lt;0</formula>
    </cfRule>
  </conditionalFormatting>
  <conditionalFormatting sqref="G2344:G2345">
    <cfRule type="expression" dxfId="277" priority="247" stopIfTrue="1">
      <formula>ISBLANK(G2344)</formula>
    </cfRule>
    <cfRule type="expression" dxfId="276" priority="248">
      <formula>IFERROR(FIND("@",G2344),-1)&lt;0</formula>
    </cfRule>
  </conditionalFormatting>
  <conditionalFormatting sqref="G2353">
    <cfRule type="expression" dxfId="275" priority="245" stopIfTrue="1">
      <formula>ISBLANK(G2353)</formula>
    </cfRule>
    <cfRule type="expression" dxfId="274" priority="246">
      <formula>IFERROR(FIND("@",G2353),-1)&lt;0</formula>
    </cfRule>
  </conditionalFormatting>
  <conditionalFormatting sqref="G2354">
    <cfRule type="expression" dxfId="273" priority="243" stopIfTrue="1">
      <formula>ISBLANK(G2354)</formula>
    </cfRule>
    <cfRule type="expression" dxfId="272" priority="244">
      <formula>IFERROR(FIND("@",G2354),-1)&lt;0</formula>
    </cfRule>
  </conditionalFormatting>
  <conditionalFormatting sqref="G2359">
    <cfRule type="expression" dxfId="271" priority="241" stopIfTrue="1">
      <formula>ISBLANK(G2359)</formula>
    </cfRule>
    <cfRule type="expression" dxfId="270" priority="242">
      <formula>IFERROR(FIND("@",G2359),-1)&lt;0</formula>
    </cfRule>
  </conditionalFormatting>
  <conditionalFormatting sqref="G2364">
    <cfRule type="expression" dxfId="269" priority="239" stopIfTrue="1">
      <formula>ISBLANK(G2364)</formula>
    </cfRule>
    <cfRule type="expression" dxfId="268" priority="240">
      <formula>IFERROR(FIND("@",G2364),-1)&lt;0</formula>
    </cfRule>
  </conditionalFormatting>
  <conditionalFormatting sqref="G2368">
    <cfRule type="expression" dxfId="267" priority="237" stopIfTrue="1">
      <formula>ISBLANK(G2368)</formula>
    </cfRule>
    <cfRule type="expression" dxfId="266" priority="238">
      <formula>IFERROR(FIND("@",G2368),-1)&lt;0</formula>
    </cfRule>
  </conditionalFormatting>
  <conditionalFormatting sqref="G2369">
    <cfRule type="expression" dxfId="265" priority="235" stopIfTrue="1">
      <formula>ISBLANK(G2369)</formula>
    </cfRule>
    <cfRule type="expression" dxfId="264" priority="236">
      <formula>IFERROR(FIND("@",G2369),-1)&lt;0</formula>
    </cfRule>
  </conditionalFormatting>
  <conditionalFormatting sqref="G2377">
    <cfRule type="expression" dxfId="263" priority="233" stopIfTrue="1">
      <formula>ISBLANK(G2377)</formula>
    </cfRule>
    <cfRule type="expression" dxfId="262" priority="234">
      <formula>IFERROR(FIND("@",G2377),-1)&lt;0</formula>
    </cfRule>
  </conditionalFormatting>
  <conditionalFormatting sqref="G2378">
    <cfRule type="expression" dxfId="261" priority="231" stopIfTrue="1">
      <formula>ISBLANK(G2378)</formula>
    </cfRule>
    <cfRule type="expression" dxfId="260" priority="232">
      <formula>IFERROR(FIND("@",G2378),-1)&lt;0</formula>
    </cfRule>
  </conditionalFormatting>
  <conditionalFormatting sqref="G2379">
    <cfRule type="expression" dxfId="259" priority="229" stopIfTrue="1">
      <formula>ISBLANK(G2379)</formula>
    </cfRule>
    <cfRule type="expression" dxfId="258" priority="230">
      <formula>IFERROR(FIND("@",G2379),-1)&lt;0</formula>
    </cfRule>
  </conditionalFormatting>
  <conditionalFormatting sqref="G2382">
    <cfRule type="expression" dxfId="257" priority="227" stopIfTrue="1">
      <formula>ISBLANK(G2382)</formula>
    </cfRule>
    <cfRule type="expression" dxfId="256" priority="228">
      <formula>IFERROR(FIND("@",G2382),-1)&lt;0</formula>
    </cfRule>
  </conditionalFormatting>
  <conditionalFormatting sqref="G2389">
    <cfRule type="expression" dxfId="255" priority="225" stopIfTrue="1">
      <formula>ISBLANK(G2389)</formula>
    </cfRule>
    <cfRule type="expression" dxfId="254" priority="226">
      <formula>IFERROR(FIND("@",G2389),-1)&lt;0</formula>
    </cfRule>
  </conditionalFormatting>
  <conditionalFormatting sqref="G2407">
    <cfRule type="expression" dxfId="253" priority="223" stopIfTrue="1">
      <formula>ISBLANK(G2407)</formula>
    </cfRule>
    <cfRule type="expression" dxfId="252" priority="224">
      <formula>IFERROR(FIND("@",G2407),-1)&lt;0</formula>
    </cfRule>
  </conditionalFormatting>
  <conditionalFormatting sqref="G2416">
    <cfRule type="expression" dxfId="251" priority="221" stopIfTrue="1">
      <formula>ISBLANK(G2416)</formula>
    </cfRule>
    <cfRule type="expression" dxfId="250" priority="222">
      <formula>IFERROR(FIND("@",G2416),-1)&lt;0</formula>
    </cfRule>
  </conditionalFormatting>
  <conditionalFormatting sqref="G2417">
    <cfRule type="expression" dxfId="249" priority="219" stopIfTrue="1">
      <formula>ISBLANK(G2417)</formula>
    </cfRule>
    <cfRule type="expression" dxfId="248" priority="220">
      <formula>IFERROR(FIND("@",G2417),-1)&lt;0</formula>
    </cfRule>
  </conditionalFormatting>
  <conditionalFormatting sqref="G2449">
    <cfRule type="expression" dxfId="247" priority="217" stopIfTrue="1">
      <formula>ISBLANK(G2449)</formula>
    </cfRule>
    <cfRule type="expression" dxfId="246" priority="218">
      <formula>IFERROR(FIND("@",G2449),-1)&lt;0</formula>
    </cfRule>
  </conditionalFormatting>
  <conditionalFormatting sqref="G2451">
    <cfRule type="expression" dxfId="245" priority="215" stopIfTrue="1">
      <formula>ISBLANK(G2451)</formula>
    </cfRule>
    <cfRule type="expression" dxfId="244" priority="216">
      <formula>IFERROR(FIND("@",G2451),-1)&lt;0</formula>
    </cfRule>
  </conditionalFormatting>
  <conditionalFormatting sqref="G2455">
    <cfRule type="expression" dxfId="243" priority="213" stopIfTrue="1">
      <formula>ISBLANK(G2455)</formula>
    </cfRule>
    <cfRule type="expression" dxfId="242" priority="214">
      <formula>IFERROR(FIND("@",G2455),-1)&lt;0</formula>
    </cfRule>
  </conditionalFormatting>
  <conditionalFormatting sqref="G2459">
    <cfRule type="expression" dxfId="241" priority="211" stopIfTrue="1">
      <formula>ISBLANK(G2459)</formula>
    </cfRule>
    <cfRule type="expression" dxfId="240" priority="212">
      <formula>IFERROR(FIND("@",G2459),-1)&lt;0</formula>
    </cfRule>
  </conditionalFormatting>
  <conditionalFormatting sqref="G2470">
    <cfRule type="expression" dxfId="239" priority="209" stopIfTrue="1">
      <formula>ISBLANK(G2470)</formula>
    </cfRule>
    <cfRule type="expression" dxfId="238" priority="210">
      <formula>IFERROR(FIND("@",G2470),-1)&lt;0</formula>
    </cfRule>
  </conditionalFormatting>
  <conditionalFormatting sqref="G2475">
    <cfRule type="expression" dxfId="237" priority="207" stopIfTrue="1">
      <formula>ISBLANK(G2475)</formula>
    </cfRule>
    <cfRule type="expression" dxfId="236" priority="208">
      <formula>IFERROR(FIND("@",G2475),-1)&lt;0</formula>
    </cfRule>
  </conditionalFormatting>
  <conditionalFormatting sqref="G2478:G2479">
    <cfRule type="expression" dxfId="235" priority="205" stopIfTrue="1">
      <formula>ISBLANK(G2478)</formula>
    </cfRule>
    <cfRule type="expression" dxfId="234" priority="206">
      <formula>IFERROR(FIND("@",G2478),-1)&lt;0</formula>
    </cfRule>
  </conditionalFormatting>
  <conditionalFormatting sqref="G2485">
    <cfRule type="expression" dxfId="233" priority="203" stopIfTrue="1">
      <formula>ISBLANK(G2485)</formula>
    </cfRule>
    <cfRule type="expression" dxfId="232" priority="204">
      <formula>IFERROR(FIND("@",G2485),-1)&lt;0</formula>
    </cfRule>
  </conditionalFormatting>
  <conditionalFormatting sqref="G2491">
    <cfRule type="expression" dxfId="231" priority="201" stopIfTrue="1">
      <formula>ISBLANK(G2491)</formula>
    </cfRule>
    <cfRule type="expression" dxfId="230" priority="202">
      <formula>IFERROR(FIND("@",G2491),-1)&lt;0</formula>
    </cfRule>
  </conditionalFormatting>
  <conditionalFormatting sqref="G2495">
    <cfRule type="expression" dxfId="229" priority="199" stopIfTrue="1">
      <formula>ISBLANK(G2495)</formula>
    </cfRule>
    <cfRule type="expression" dxfId="228" priority="200">
      <formula>IFERROR(FIND("@",G2495),-1)&lt;0</formula>
    </cfRule>
  </conditionalFormatting>
  <conditionalFormatting sqref="G2499">
    <cfRule type="expression" dxfId="227" priority="197" stopIfTrue="1">
      <formula>ISBLANK(G2499)</formula>
    </cfRule>
    <cfRule type="expression" dxfId="226" priority="198">
      <formula>IFERROR(FIND("@",G2499),-1)&lt;0</formula>
    </cfRule>
  </conditionalFormatting>
  <conditionalFormatting sqref="G2524">
    <cfRule type="expression" dxfId="225" priority="195" stopIfTrue="1">
      <formula>ISBLANK(G2524)</formula>
    </cfRule>
    <cfRule type="expression" dxfId="224" priority="196">
      <formula>IFERROR(FIND("@",G2524),-1)&lt;0</formula>
    </cfRule>
  </conditionalFormatting>
  <conditionalFormatting sqref="G2525">
    <cfRule type="expression" dxfId="223" priority="193" stopIfTrue="1">
      <formula>ISBLANK(G2525)</formula>
    </cfRule>
    <cfRule type="expression" dxfId="222" priority="194">
      <formula>IFERROR(FIND("@",G2525),-1)&lt;0</formula>
    </cfRule>
  </conditionalFormatting>
  <conditionalFormatting sqref="G2530">
    <cfRule type="expression" dxfId="221" priority="191" stopIfTrue="1">
      <formula>ISBLANK(G2530)</formula>
    </cfRule>
    <cfRule type="expression" dxfId="220" priority="192">
      <formula>IFERROR(FIND("@",G2530),-1)&lt;0</formula>
    </cfRule>
  </conditionalFormatting>
  <conditionalFormatting sqref="G2545">
    <cfRule type="expression" dxfId="219" priority="189" stopIfTrue="1">
      <formula>ISBLANK(G2545)</formula>
    </cfRule>
    <cfRule type="expression" dxfId="218" priority="190">
      <formula>IFERROR(FIND("@",G2545),-1)&lt;0</formula>
    </cfRule>
  </conditionalFormatting>
  <conditionalFormatting sqref="G2550">
    <cfRule type="expression" dxfId="217" priority="185" stopIfTrue="1">
      <formula>ISBLANK(G2550)</formula>
    </cfRule>
    <cfRule type="expression" dxfId="216" priority="186">
      <formula>IFERROR(FIND("@",G2550),-1)&lt;0</formula>
    </cfRule>
  </conditionalFormatting>
  <conditionalFormatting sqref="G2554">
    <cfRule type="expression" dxfId="215" priority="183" stopIfTrue="1">
      <formula>ISBLANK(G2554)</formula>
    </cfRule>
    <cfRule type="expression" dxfId="214" priority="184">
      <formula>IFERROR(FIND("@",G2554),-1)&lt;0</formula>
    </cfRule>
  </conditionalFormatting>
  <conditionalFormatting sqref="G2563">
    <cfRule type="expression" dxfId="213" priority="181" stopIfTrue="1">
      <formula>ISBLANK(G2563)</formula>
    </cfRule>
    <cfRule type="expression" dxfId="212" priority="182">
      <formula>IFERROR(FIND("@",G2563),-1)&lt;0</formula>
    </cfRule>
  </conditionalFormatting>
  <conditionalFormatting sqref="G2566">
    <cfRule type="expression" dxfId="211" priority="179" stopIfTrue="1">
      <formula>ISBLANK(G2566)</formula>
    </cfRule>
    <cfRule type="expression" dxfId="210" priority="180">
      <formula>IFERROR(FIND("@",G2566),-1)&lt;0</formula>
    </cfRule>
  </conditionalFormatting>
  <conditionalFormatting sqref="G2585">
    <cfRule type="expression" dxfId="209" priority="177" stopIfTrue="1">
      <formula>ISBLANK(G2585)</formula>
    </cfRule>
    <cfRule type="expression" dxfId="208" priority="178">
      <formula>IFERROR(FIND("@",G2585),-1)&lt;0</formula>
    </cfRule>
  </conditionalFormatting>
  <conditionalFormatting sqref="G2588">
    <cfRule type="expression" dxfId="207" priority="175" stopIfTrue="1">
      <formula>ISBLANK(G2588)</formula>
    </cfRule>
    <cfRule type="expression" dxfId="206" priority="176">
      <formula>IFERROR(FIND("@",G2588),-1)&lt;0</formula>
    </cfRule>
  </conditionalFormatting>
  <conditionalFormatting sqref="G2611">
    <cfRule type="expression" dxfId="205" priority="173" stopIfTrue="1">
      <formula>ISBLANK(G2611)</formula>
    </cfRule>
    <cfRule type="expression" dxfId="204" priority="174">
      <formula>IFERROR(FIND("@",G2611),-1)&lt;0</formula>
    </cfRule>
  </conditionalFormatting>
  <conditionalFormatting sqref="G2620">
    <cfRule type="expression" dxfId="203" priority="171" stopIfTrue="1">
      <formula>ISBLANK(G2620)</formula>
    </cfRule>
    <cfRule type="expression" dxfId="202" priority="172">
      <formula>IFERROR(FIND("@",G2620),-1)&lt;0</formula>
    </cfRule>
  </conditionalFormatting>
  <conditionalFormatting sqref="G2631">
    <cfRule type="expression" dxfId="201" priority="169" stopIfTrue="1">
      <formula>ISBLANK(G2631)</formula>
    </cfRule>
    <cfRule type="expression" dxfId="200" priority="170">
      <formula>IFERROR(FIND("@",G2631),-1)&lt;0</formula>
    </cfRule>
  </conditionalFormatting>
  <conditionalFormatting sqref="G2632">
    <cfRule type="expression" dxfId="199" priority="167" stopIfTrue="1">
      <formula>ISBLANK(G2632)</formula>
    </cfRule>
    <cfRule type="expression" dxfId="198" priority="168">
      <formula>IFERROR(FIND("@",G2632),-1)&lt;0</formula>
    </cfRule>
  </conditionalFormatting>
  <conditionalFormatting sqref="G2634">
    <cfRule type="expression" dxfId="197" priority="165" stopIfTrue="1">
      <formula>ISBLANK(G2634)</formula>
    </cfRule>
    <cfRule type="expression" dxfId="196" priority="166">
      <formula>IFERROR(FIND("@",G2634),-1)&lt;0</formula>
    </cfRule>
  </conditionalFormatting>
  <conditionalFormatting sqref="G2635">
    <cfRule type="expression" dxfId="195" priority="163" stopIfTrue="1">
      <formula>ISBLANK(G2635)</formula>
    </cfRule>
    <cfRule type="expression" dxfId="194" priority="164">
      <formula>IFERROR(FIND("@",G2635),-1)&lt;0</formula>
    </cfRule>
  </conditionalFormatting>
  <conditionalFormatting sqref="G2658">
    <cfRule type="expression" dxfId="193" priority="161" stopIfTrue="1">
      <formula>ISBLANK(G2658)</formula>
    </cfRule>
    <cfRule type="expression" dxfId="192" priority="162">
      <formula>IFERROR(FIND("@",G2658),-1)&lt;0</formula>
    </cfRule>
  </conditionalFormatting>
  <conditionalFormatting sqref="G2660">
    <cfRule type="expression" dxfId="191" priority="159" stopIfTrue="1">
      <formula>ISBLANK(G2660)</formula>
    </cfRule>
    <cfRule type="expression" dxfId="190" priority="160">
      <formula>IFERROR(FIND("@",G2660),-1)&lt;0</formula>
    </cfRule>
  </conditionalFormatting>
  <conditionalFormatting sqref="G2666">
    <cfRule type="expression" dxfId="189" priority="157" stopIfTrue="1">
      <formula>ISBLANK(G2666)</formula>
    </cfRule>
    <cfRule type="expression" dxfId="188" priority="158">
      <formula>IFERROR(FIND("@",G2666),-1)&lt;0</formula>
    </cfRule>
  </conditionalFormatting>
  <conditionalFormatting sqref="G2667">
    <cfRule type="expression" dxfId="187" priority="155" stopIfTrue="1">
      <formula>ISBLANK(G2667)</formula>
    </cfRule>
    <cfRule type="expression" dxfId="186" priority="156">
      <formula>IFERROR(FIND("@",G2667),-1)&lt;0</formula>
    </cfRule>
  </conditionalFormatting>
  <conditionalFormatting sqref="G2675">
    <cfRule type="expression" dxfId="185" priority="153" stopIfTrue="1">
      <formula>ISBLANK(G2675)</formula>
    </cfRule>
    <cfRule type="expression" dxfId="184" priority="154">
      <formula>IFERROR(FIND("@",G2675),-1)&lt;0</formula>
    </cfRule>
  </conditionalFormatting>
  <conditionalFormatting sqref="G2688">
    <cfRule type="expression" dxfId="183" priority="151" stopIfTrue="1">
      <formula>ISBLANK(G2688)</formula>
    </cfRule>
    <cfRule type="expression" dxfId="182" priority="152">
      <formula>IFERROR(FIND("@",G2688),-1)&lt;0</formula>
    </cfRule>
  </conditionalFormatting>
  <conditionalFormatting sqref="G2692">
    <cfRule type="expression" dxfId="181" priority="149" stopIfTrue="1">
      <formula>ISBLANK(G2692)</formula>
    </cfRule>
    <cfRule type="expression" dxfId="180" priority="150">
      <formula>IFERROR(FIND("@",G2692),-1)&lt;0</formula>
    </cfRule>
  </conditionalFormatting>
  <conditionalFormatting sqref="G2695">
    <cfRule type="expression" dxfId="179" priority="147" stopIfTrue="1">
      <formula>ISBLANK(G2695)</formula>
    </cfRule>
    <cfRule type="expression" dxfId="178" priority="148">
      <formula>IFERROR(FIND("@",G2695),-1)&lt;0</formula>
    </cfRule>
  </conditionalFormatting>
  <conditionalFormatting sqref="G2700">
    <cfRule type="expression" dxfId="177" priority="145" stopIfTrue="1">
      <formula>ISBLANK(G2700)</formula>
    </cfRule>
    <cfRule type="expression" dxfId="176" priority="146">
      <formula>IFERROR(FIND("@",G2700),-1)&lt;0</formula>
    </cfRule>
  </conditionalFormatting>
  <conditionalFormatting sqref="G2709">
    <cfRule type="expression" dxfId="175" priority="143" stopIfTrue="1">
      <formula>ISBLANK(G2709)</formula>
    </cfRule>
    <cfRule type="expression" dxfId="174" priority="144">
      <formula>IFERROR(FIND("@",G2709),-1)&lt;0</formula>
    </cfRule>
  </conditionalFormatting>
  <conditionalFormatting sqref="G2713">
    <cfRule type="expression" dxfId="173" priority="141" stopIfTrue="1">
      <formula>ISBLANK(G2713)</formula>
    </cfRule>
    <cfRule type="expression" dxfId="172" priority="142">
      <formula>IFERROR(FIND("@",G2713),-1)&lt;0</formula>
    </cfRule>
  </conditionalFormatting>
  <conditionalFormatting sqref="G2723">
    <cfRule type="expression" dxfId="171" priority="139" stopIfTrue="1">
      <formula>ISBLANK(G2723)</formula>
    </cfRule>
    <cfRule type="expression" dxfId="170" priority="140">
      <formula>IFERROR(FIND("@",G2723),-1)&lt;0</formula>
    </cfRule>
  </conditionalFormatting>
  <conditionalFormatting sqref="G2724">
    <cfRule type="expression" dxfId="169" priority="137" stopIfTrue="1">
      <formula>ISBLANK(G2724)</formula>
    </cfRule>
    <cfRule type="expression" dxfId="168" priority="138">
      <formula>IFERROR(FIND("@",G2724),-1)&lt;0</formula>
    </cfRule>
  </conditionalFormatting>
  <conditionalFormatting sqref="G2732">
    <cfRule type="expression" dxfId="167" priority="135" stopIfTrue="1">
      <formula>ISBLANK(G2732)</formula>
    </cfRule>
    <cfRule type="expression" dxfId="166" priority="136">
      <formula>IFERROR(FIND("@",G2732),-1)&lt;0</formula>
    </cfRule>
  </conditionalFormatting>
  <conditionalFormatting sqref="G2733">
    <cfRule type="expression" dxfId="165" priority="133" stopIfTrue="1">
      <formula>ISBLANK(G2733)</formula>
    </cfRule>
    <cfRule type="expression" dxfId="164" priority="134">
      <formula>IFERROR(FIND("@",G2733),-1)&lt;0</formula>
    </cfRule>
  </conditionalFormatting>
  <conditionalFormatting sqref="G2749">
    <cfRule type="expression" dxfId="163" priority="131" stopIfTrue="1">
      <formula>ISBLANK(G2749)</formula>
    </cfRule>
    <cfRule type="expression" dxfId="162" priority="132">
      <formula>IFERROR(FIND("@",G2749),-1)&lt;0</formula>
    </cfRule>
  </conditionalFormatting>
  <conditionalFormatting sqref="G2752">
    <cfRule type="expression" dxfId="161" priority="129" stopIfTrue="1">
      <formula>ISBLANK(G2752)</formula>
    </cfRule>
    <cfRule type="expression" dxfId="160" priority="130">
      <formula>IFERROR(FIND("@",G2752),-1)&lt;0</formula>
    </cfRule>
  </conditionalFormatting>
  <conditionalFormatting sqref="G2756">
    <cfRule type="expression" dxfId="159" priority="127" stopIfTrue="1">
      <formula>ISBLANK(G2756)</formula>
    </cfRule>
    <cfRule type="expression" dxfId="158" priority="128">
      <formula>IFERROR(FIND("@",G2756),-1)&lt;0</formula>
    </cfRule>
  </conditionalFormatting>
  <conditionalFormatting sqref="G2764">
    <cfRule type="expression" dxfId="157" priority="125" stopIfTrue="1">
      <formula>ISBLANK(G2764)</formula>
    </cfRule>
    <cfRule type="expression" dxfId="156" priority="126">
      <formula>IFERROR(FIND("@",G2764),-1)&lt;0</formula>
    </cfRule>
  </conditionalFormatting>
  <conditionalFormatting sqref="G2765">
    <cfRule type="expression" dxfId="155" priority="123" stopIfTrue="1">
      <formula>ISBLANK(G2765)</formula>
    </cfRule>
    <cfRule type="expression" dxfId="154" priority="124">
      <formula>IFERROR(FIND("@",G2765),-1)&lt;0</formula>
    </cfRule>
  </conditionalFormatting>
  <conditionalFormatting sqref="G2770">
    <cfRule type="expression" dxfId="153" priority="121" stopIfTrue="1">
      <formula>ISBLANK(G2770)</formula>
    </cfRule>
    <cfRule type="expression" dxfId="152" priority="122">
      <formula>IFERROR(FIND("@",G2770),-1)&lt;0</formula>
    </cfRule>
  </conditionalFormatting>
  <conditionalFormatting sqref="G2795">
    <cfRule type="expression" dxfId="151" priority="119" stopIfTrue="1">
      <formula>ISBLANK(G2795)</formula>
    </cfRule>
    <cfRule type="expression" dxfId="150" priority="120">
      <formula>IFERROR(FIND("@",G2795),-1)&lt;0</formula>
    </cfRule>
  </conditionalFormatting>
  <conditionalFormatting sqref="G2797">
    <cfRule type="expression" dxfId="149" priority="117" stopIfTrue="1">
      <formula>ISBLANK(G2797)</formula>
    </cfRule>
    <cfRule type="expression" dxfId="148" priority="118">
      <formula>IFERROR(FIND("@",G2797),-1)&lt;0</formula>
    </cfRule>
  </conditionalFormatting>
  <conditionalFormatting sqref="G2801">
    <cfRule type="expression" dxfId="147" priority="115" stopIfTrue="1">
      <formula>ISBLANK(G2801)</formula>
    </cfRule>
    <cfRule type="expression" dxfId="146" priority="116">
      <formula>IFERROR(FIND("@",G2801),-1)&lt;0</formula>
    </cfRule>
  </conditionalFormatting>
  <conditionalFormatting sqref="G2822">
    <cfRule type="expression" dxfId="145" priority="113" stopIfTrue="1">
      <formula>ISBLANK(G2822)</formula>
    </cfRule>
    <cfRule type="expression" dxfId="144" priority="114">
      <formula>IFERROR(FIND("@",G2822),-1)&lt;0</formula>
    </cfRule>
  </conditionalFormatting>
  <conditionalFormatting sqref="G2827">
    <cfRule type="expression" dxfId="143" priority="111" stopIfTrue="1">
      <formula>ISBLANK(G2827)</formula>
    </cfRule>
    <cfRule type="expression" dxfId="142" priority="112">
      <formula>IFERROR(FIND("@",G2827),-1)&lt;0</formula>
    </cfRule>
  </conditionalFormatting>
  <conditionalFormatting sqref="G2831">
    <cfRule type="expression" dxfId="141" priority="109" stopIfTrue="1">
      <formula>ISBLANK(G2831)</formula>
    </cfRule>
    <cfRule type="expression" dxfId="140" priority="110">
      <formula>IFERROR(FIND("@",G2831),-1)&lt;0</formula>
    </cfRule>
  </conditionalFormatting>
  <conditionalFormatting sqref="G2840">
    <cfRule type="expression" dxfId="139" priority="107" stopIfTrue="1">
      <formula>ISBLANK(G2840)</formula>
    </cfRule>
    <cfRule type="expression" dxfId="138" priority="108">
      <formula>IFERROR(FIND("@",G2840),-1)&lt;0</formula>
    </cfRule>
  </conditionalFormatting>
  <conditionalFormatting sqref="G2843">
    <cfRule type="expression" dxfId="137" priority="105" stopIfTrue="1">
      <formula>ISBLANK(G2843)</formula>
    </cfRule>
    <cfRule type="expression" dxfId="136" priority="106">
      <formula>IFERROR(FIND("@",G2843),-1)&lt;0</formula>
    </cfRule>
  </conditionalFormatting>
  <conditionalFormatting sqref="G2844">
    <cfRule type="expression" dxfId="135" priority="103" stopIfTrue="1">
      <formula>ISBLANK(G2844)</formula>
    </cfRule>
    <cfRule type="expression" dxfId="134" priority="104">
      <formula>IFERROR(FIND("@",G2844),-1)&lt;0</formula>
    </cfRule>
  </conditionalFormatting>
  <conditionalFormatting sqref="G2847">
    <cfRule type="expression" dxfId="133" priority="101" stopIfTrue="1">
      <formula>ISBLANK(G2847)</formula>
    </cfRule>
    <cfRule type="expression" dxfId="132" priority="102">
      <formula>IFERROR(FIND("@",G2847),-1)&lt;0</formula>
    </cfRule>
  </conditionalFormatting>
  <conditionalFormatting sqref="G2852">
    <cfRule type="expression" dxfId="131" priority="99" stopIfTrue="1">
      <formula>ISBLANK(G2852)</formula>
    </cfRule>
    <cfRule type="expression" dxfId="130" priority="100">
      <formula>IFERROR(FIND("@",G2852),-1)&lt;0</formula>
    </cfRule>
  </conditionalFormatting>
  <conditionalFormatting sqref="G2866">
    <cfRule type="expression" dxfId="129" priority="97" stopIfTrue="1">
      <formula>ISBLANK(G2866)</formula>
    </cfRule>
    <cfRule type="expression" dxfId="128" priority="98">
      <formula>IFERROR(FIND("@",G2866),-1)&lt;0</formula>
    </cfRule>
  </conditionalFormatting>
  <conditionalFormatting sqref="G2879">
    <cfRule type="expression" dxfId="127" priority="95" stopIfTrue="1">
      <formula>ISBLANK(G2879)</formula>
    </cfRule>
    <cfRule type="expression" dxfId="126" priority="96">
      <formula>IFERROR(FIND("@",G2879),-1)&lt;0</formula>
    </cfRule>
  </conditionalFormatting>
  <conditionalFormatting sqref="G2880">
    <cfRule type="expression" dxfId="125" priority="93" stopIfTrue="1">
      <formula>ISBLANK(G2880)</formula>
    </cfRule>
    <cfRule type="expression" dxfId="124" priority="94">
      <formula>IFERROR(FIND("@",G2880),-1)&lt;0</formula>
    </cfRule>
  </conditionalFormatting>
  <conditionalFormatting sqref="G2881">
    <cfRule type="expression" dxfId="123" priority="91" stopIfTrue="1">
      <formula>ISBLANK(G2881)</formula>
    </cfRule>
    <cfRule type="expression" dxfId="122" priority="92">
      <formula>IFERROR(FIND("@",G2881),-1)&lt;0</formula>
    </cfRule>
  </conditionalFormatting>
  <conditionalFormatting sqref="G2884">
    <cfRule type="expression" dxfId="121" priority="89" stopIfTrue="1">
      <formula>ISBLANK(G2884)</formula>
    </cfRule>
    <cfRule type="expression" dxfId="120" priority="90">
      <formula>IFERROR(FIND("@",G2884),-1)&lt;0</formula>
    </cfRule>
  </conditionalFormatting>
  <conditionalFormatting sqref="G2892">
    <cfRule type="expression" dxfId="119" priority="87" stopIfTrue="1">
      <formula>ISBLANK(G2892)</formula>
    </cfRule>
    <cfRule type="expression" dxfId="118" priority="88">
      <formula>IFERROR(FIND("@",G2892),-1)&lt;0</formula>
    </cfRule>
  </conditionalFormatting>
  <conditionalFormatting sqref="G2893">
    <cfRule type="expression" dxfId="117" priority="85" stopIfTrue="1">
      <formula>ISBLANK(G2893)</formula>
    </cfRule>
    <cfRule type="expression" dxfId="116" priority="86">
      <formula>IFERROR(FIND("@",G2893),-1)&lt;0</formula>
    </cfRule>
  </conditionalFormatting>
  <conditionalFormatting sqref="G2899">
    <cfRule type="expression" dxfId="115" priority="83" stopIfTrue="1">
      <formula>ISBLANK(G2899)</formula>
    </cfRule>
    <cfRule type="expression" dxfId="114" priority="84">
      <formula>IFERROR(FIND("@",G2899),-1)&lt;0</formula>
    </cfRule>
  </conditionalFormatting>
  <conditionalFormatting sqref="G2905">
    <cfRule type="expression" dxfId="113" priority="81" stopIfTrue="1">
      <formula>ISBLANK(G2905)</formula>
    </cfRule>
    <cfRule type="expression" dxfId="112" priority="82">
      <formula>IFERROR(FIND("@",G2905),-1)&lt;0</formula>
    </cfRule>
  </conditionalFormatting>
  <conditionalFormatting sqref="G2907">
    <cfRule type="expression" dxfId="111" priority="79" stopIfTrue="1">
      <formula>ISBLANK(G2907)</formula>
    </cfRule>
    <cfRule type="expression" dxfId="110" priority="80">
      <formula>IFERROR(FIND("@",G2907),-1)&lt;0</formula>
    </cfRule>
  </conditionalFormatting>
  <conditionalFormatting sqref="G2916">
    <cfRule type="expression" dxfId="109" priority="77" stopIfTrue="1">
      <formula>ISBLANK(G2916)</formula>
    </cfRule>
    <cfRule type="expression" dxfId="108" priority="78">
      <formula>IFERROR(FIND("@",G2916),-1)&lt;0</formula>
    </cfRule>
  </conditionalFormatting>
  <conditionalFormatting sqref="G2920">
    <cfRule type="expression" dxfId="107" priority="75" stopIfTrue="1">
      <formula>ISBLANK(G2920)</formula>
    </cfRule>
    <cfRule type="expression" dxfId="106" priority="76">
      <formula>IFERROR(FIND("@",G2920),-1)&lt;0</formula>
    </cfRule>
  </conditionalFormatting>
  <conditionalFormatting sqref="G2921">
    <cfRule type="expression" dxfId="105" priority="69" stopIfTrue="1">
      <formula>ISBLANK(G2921)</formula>
    </cfRule>
    <cfRule type="expression" dxfId="104" priority="70">
      <formula>IFERROR(FIND("@",G2921),-1)&lt;0</formula>
    </cfRule>
  </conditionalFormatting>
  <conditionalFormatting sqref="G2924">
    <cfRule type="expression" dxfId="103" priority="67" stopIfTrue="1">
      <formula>ISBLANK(G2924)</formula>
    </cfRule>
    <cfRule type="expression" dxfId="102" priority="68">
      <formula>IFERROR(FIND("@",G2924),-1)&lt;0</formula>
    </cfRule>
  </conditionalFormatting>
  <conditionalFormatting sqref="G2937">
    <cfRule type="expression" dxfId="101" priority="65" stopIfTrue="1">
      <formula>ISBLANK(G2937)</formula>
    </cfRule>
    <cfRule type="expression" dxfId="100" priority="66">
      <formula>IFERROR(FIND("@",G2937),-1)&lt;0</formula>
    </cfRule>
  </conditionalFormatting>
  <conditionalFormatting sqref="G2964">
    <cfRule type="expression" dxfId="99" priority="63" stopIfTrue="1">
      <formula>ISBLANK(G2964)</formula>
    </cfRule>
    <cfRule type="expression" dxfId="98" priority="64">
      <formula>IFERROR(FIND("@",G2964),-1)&lt;0</formula>
    </cfRule>
  </conditionalFormatting>
  <conditionalFormatting sqref="G2965">
    <cfRule type="expression" dxfId="97" priority="61" stopIfTrue="1">
      <formula>ISBLANK(G2965)</formula>
    </cfRule>
    <cfRule type="expression" dxfId="96" priority="62">
      <formula>IFERROR(FIND("@",G2965),-1)&lt;0</formula>
    </cfRule>
  </conditionalFormatting>
  <conditionalFormatting sqref="G2972:G2973">
    <cfRule type="expression" dxfId="95" priority="59" stopIfTrue="1">
      <formula>ISBLANK(G2972)</formula>
    </cfRule>
    <cfRule type="expression" dxfId="94" priority="60">
      <formula>IFERROR(FIND("@",G2972),-1)&lt;0</formula>
    </cfRule>
  </conditionalFormatting>
  <conditionalFormatting sqref="G2977">
    <cfRule type="expression" dxfId="93" priority="57" stopIfTrue="1">
      <formula>ISBLANK(G2977)</formula>
    </cfRule>
    <cfRule type="expression" dxfId="92" priority="58">
      <formula>IFERROR(FIND("@",G2977),-1)&lt;0</formula>
    </cfRule>
  </conditionalFormatting>
  <conditionalFormatting sqref="G2983:G2984">
    <cfRule type="expression" dxfId="91" priority="55" stopIfTrue="1">
      <formula>ISBLANK(G2983)</formula>
    </cfRule>
    <cfRule type="expression" dxfId="90" priority="56">
      <formula>IFERROR(FIND("@",G2983),-1)&lt;0</formula>
    </cfRule>
  </conditionalFormatting>
  <conditionalFormatting sqref="G2985">
    <cfRule type="expression" dxfId="89" priority="53" stopIfTrue="1">
      <formula>ISBLANK(G2985)</formula>
    </cfRule>
    <cfRule type="expression" dxfId="88" priority="54">
      <formula>IFERROR(FIND("@",G2985),-1)&lt;0</formula>
    </cfRule>
  </conditionalFormatting>
  <conditionalFormatting sqref="G2991">
    <cfRule type="expression" dxfId="87" priority="51" stopIfTrue="1">
      <formula>ISBLANK(G2991)</formula>
    </cfRule>
    <cfRule type="expression" dxfId="86" priority="52">
      <formula>IFERROR(FIND("@",G2991),-1)&lt;0</formula>
    </cfRule>
  </conditionalFormatting>
  <conditionalFormatting sqref="G2995">
    <cfRule type="expression" dxfId="85" priority="49" stopIfTrue="1">
      <formula>ISBLANK(G2995)</formula>
    </cfRule>
    <cfRule type="expression" dxfId="84" priority="50">
      <formula>IFERROR(FIND("@",G2995),-1)&lt;0</formula>
    </cfRule>
  </conditionalFormatting>
  <conditionalFormatting sqref="G3010:G3011">
    <cfRule type="expression" dxfId="83" priority="47" stopIfTrue="1">
      <formula>ISBLANK(G3010)</formula>
    </cfRule>
    <cfRule type="expression" dxfId="82" priority="48">
      <formula>IFERROR(FIND("@",G3010),-1)&lt;0</formula>
    </cfRule>
  </conditionalFormatting>
  <conditionalFormatting sqref="G3019">
    <cfRule type="expression" dxfId="81" priority="45" stopIfTrue="1">
      <formula>ISBLANK(G3019)</formula>
    </cfRule>
    <cfRule type="expression" dxfId="80" priority="46">
      <formula>IFERROR(FIND("@",G3019),-1)&lt;0</formula>
    </cfRule>
  </conditionalFormatting>
  <conditionalFormatting sqref="G3020">
    <cfRule type="expression" dxfId="79" priority="43" stopIfTrue="1">
      <formula>ISBLANK(G3020)</formula>
    </cfRule>
    <cfRule type="expression" dxfId="78" priority="44">
      <formula>IFERROR(FIND("@",G3020),-1)&lt;0</formula>
    </cfRule>
  </conditionalFormatting>
  <conditionalFormatting sqref="G3021">
    <cfRule type="expression" dxfId="77" priority="41" stopIfTrue="1">
      <formula>ISBLANK(G3021)</formula>
    </cfRule>
    <cfRule type="expression" dxfId="76" priority="42">
      <formula>IFERROR(FIND("@",G3021),-1)&lt;0</formula>
    </cfRule>
  </conditionalFormatting>
  <conditionalFormatting sqref="G3022">
    <cfRule type="expression" dxfId="75" priority="39" stopIfTrue="1">
      <formula>ISBLANK(G3022)</formula>
    </cfRule>
    <cfRule type="expression" dxfId="74" priority="40">
      <formula>IFERROR(FIND("@",G3022),-1)&lt;0</formula>
    </cfRule>
  </conditionalFormatting>
  <conditionalFormatting sqref="G3023">
    <cfRule type="expression" dxfId="73" priority="37" stopIfTrue="1">
      <formula>ISBLANK(G3023)</formula>
    </cfRule>
    <cfRule type="expression" dxfId="72" priority="38">
      <formula>IFERROR(FIND("@",G3023),-1)&lt;0</formula>
    </cfRule>
  </conditionalFormatting>
  <conditionalFormatting sqref="G3026">
    <cfRule type="expression" dxfId="71" priority="33" stopIfTrue="1">
      <formula>ISBLANK(G3026)</formula>
    </cfRule>
    <cfRule type="expression" dxfId="70" priority="34">
      <formula>IFERROR(FIND("@",G3026),-1)&lt;0</formula>
    </cfRule>
  </conditionalFormatting>
  <conditionalFormatting sqref="G3049:G3050">
    <cfRule type="expression" dxfId="69" priority="31" stopIfTrue="1">
      <formula>ISBLANK(G3049)</formula>
    </cfRule>
    <cfRule type="expression" dxfId="68" priority="32">
      <formula>IFERROR(FIND("@",G3049),-1)&lt;0</formula>
    </cfRule>
  </conditionalFormatting>
  <conditionalFormatting sqref="G3070">
    <cfRule type="expression" dxfId="67" priority="29" stopIfTrue="1">
      <formula>ISBLANK(G3070)</formula>
    </cfRule>
    <cfRule type="expression" dxfId="66" priority="30">
      <formula>IFERROR(FIND("@",G3070),-1)&lt;0</formula>
    </cfRule>
  </conditionalFormatting>
  <conditionalFormatting sqref="G3074">
    <cfRule type="expression" dxfId="65" priority="27" stopIfTrue="1">
      <formula>ISBLANK(G3074)</formula>
    </cfRule>
    <cfRule type="expression" dxfId="64" priority="28">
      <formula>IFERROR(FIND("@",G3074),-1)&lt;0</formula>
    </cfRule>
  </conditionalFormatting>
  <conditionalFormatting sqref="G3075">
    <cfRule type="expression" dxfId="63" priority="25" stopIfTrue="1">
      <formula>ISBLANK(G3075)</formula>
    </cfRule>
    <cfRule type="expression" dxfId="62" priority="26">
      <formula>IFERROR(FIND("@",G3075),-1)&lt;0</formula>
    </cfRule>
  </conditionalFormatting>
  <conditionalFormatting sqref="G3094">
    <cfRule type="expression" dxfId="61" priority="23" stopIfTrue="1">
      <formula>ISBLANK(G3094)</formula>
    </cfRule>
    <cfRule type="expression" dxfId="60" priority="24">
      <formula>IFERROR(FIND("@",G3094),-1)&lt;0</formula>
    </cfRule>
  </conditionalFormatting>
  <conditionalFormatting sqref="G3098">
    <cfRule type="expression" dxfId="59" priority="21" stopIfTrue="1">
      <formula>ISBLANK(G3098)</formula>
    </cfRule>
    <cfRule type="expression" dxfId="58" priority="22">
      <formula>IFERROR(FIND("@",G3098),-1)&lt;0</formula>
    </cfRule>
  </conditionalFormatting>
  <conditionalFormatting sqref="G3100">
    <cfRule type="expression" dxfId="57" priority="19" stopIfTrue="1">
      <formula>ISBLANK(G3100)</formula>
    </cfRule>
    <cfRule type="expression" dxfId="56" priority="20">
      <formula>IFERROR(FIND("@",G3100),-1)&lt;0</formula>
    </cfRule>
  </conditionalFormatting>
  <conditionalFormatting sqref="G3101">
    <cfRule type="expression" dxfId="55" priority="17" stopIfTrue="1">
      <formula>ISBLANK(G3101)</formula>
    </cfRule>
    <cfRule type="expression" dxfId="54" priority="18">
      <formula>IFERROR(FIND("@",G3101),-1)&lt;0</formula>
    </cfRule>
  </conditionalFormatting>
  <conditionalFormatting sqref="G3109">
    <cfRule type="expression" dxfId="53" priority="15" stopIfTrue="1">
      <formula>ISBLANK(G3109)</formula>
    </cfRule>
    <cfRule type="expression" dxfId="52" priority="16">
      <formula>IFERROR(FIND("@",G3109),-1)&lt;0</formula>
    </cfRule>
  </conditionalFormatting>
  <conditionalFormatting sqref="G3113">
    <cfRule type="expression" dxfId="51" priority="13" stopIfTrue="1">
      <formula>ISBLANK(G3113)</formula>
    </cfRule>
    <cfRule type="expression" dxfId="50" priority="14">
      <formula>IFERROR(FIND("@",G3113),-1)&lt;0</formula>
    </cfRule>
  </conditionalFormatting>
  <conditionalFormatting sqref="G3118">
    <cfRule type="expression" dxfId="49" priority="11" stopIfTrue="1">
      <formula>ISBLANK(G3118)</formula>
    </cfRule>
    <cfRule type="expression" dxfId="48" priority="12">
      <formula>IFERROR(FIND("@",G3118),-1)&lt;0</formula>
    </cfRule>
  </conditionalFormatting>
  <conditionalFormatting sqref="G3130">
    <cfRule type="expression" dxfId="47" priority="9" stopIfTrue="1">
      <formula>ISBLANK(G3130)</formula>
    </cfRule>
    <cfRule type="expression" dxfId="46" priority="10">
      <formula>IFERROR(FIND("@",G3130),-1)&lt;0</formula>
    </cfRule>
  </conditionalFormatting>
  <conditionalFormatting sqref="G3140">
    <cfRule type="expression" dxfId="45" priority="7" stopIfTrue="1">
      <formula>ISBLANK(G3140)</formula>
    </cfRule>
    <cfRule type="expression" dxfId="44" priority="8">
      <formula>IFERROR(FIND("@",G3140),-1)&lt;0</formula>
    </cfRule>
  </conditionalFormatting>
  <conditionalFormatting sqref="G3150">
    <cfRule type="expression" dxfId="43" priority="5" stopIfTrue="1">
      <formula>ISBLANK(G3150)</formula>
    </cfRule>
    <cfRule type="expression" dxfId="42" priority="6">
      <formula>IFERROR(FIND("@",G3150),-1)&lt;0</formula>
    </cfRule>
  </conditionalFormatting>
  <conditionalFormatting sqref="G3153">
    <cfRule type="expression" dxfId="41" priority="3" stopIfTrue="1">
      <formula>ISBLANK(G3153)</formula>
    </cfRule>
    <cfRule type="expression" dxfId="40" priority="4">
      <formula>IFERROR(FIND("@",G3153),-1)&lt;0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C96FB356-AFF5-4D12-82ED-D39DF7F06AD8}"/>
    <hyperlink ref="G3128" r:id="rId52" xr:uid="{249ABF7F-9005-43F6-88AB-300C68F97292}"/>
    <hyperlink ref="G3145" r:id="rId53" xr:uid="{B21F8979-10BB-488B-97F3-B27BC9B467A3}"/>
    <hyperlink ref="G3152" r:id="rId54" xr:uid="{AD75B90C-79E8-45FA-B7A8-CE10AE0D1243}"/>
    <hyperlink ref="G3159" r:id="rId55" xr:uid="{510B5DED-9D49-4B98-B5D7-7C347903BEB1}"/>
  </hyperlinks>
  <pageMargins left="0.7" right="0.7" top="0.75" bottom="0.75" header="0.3" footer="0.3"/>
  <pageSetup orientation="portrait" r:id="rId56"/>
  <legacyDrawing r:id="rId57"/>
  <extLst>
    <ext xmlns:x14="http://schemas.microsoft.com/office/spreadsheetml/2009/9/main" uri="{78C0D931-6437-407d-A8EE-F0AAD7539E65}">
      <x14:conditionalFormattings>
        <x14:conditionalFormatting xmlns:xm="http://schemas.microsoft.com/office/excel/2006/main">
          <x14:cfRule type="expression" priority="679"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2"/>
  <sheetViews>
    <sheetView showGridLines="0" zoomScale="86" zoomScaleNormal="86" workbookViewId="0">
      <pane xSplit="3" ySplit="1" topLeftCell="AT68" activePane="bottomRight" state="frozen"/>
      <selection pane="bottomRight" activeCell="AU70" sqref="AU70"/>
      <selection pane="bottomLeft" activeCell="D2603" sqref="D2603"/>
      <selection pane="topRight" activeCell="D2603" sqref="D2603"/>
    </sheetView>
  </sheetViews>
  <sheetFormatPr defaultColWidth="11.42578125" defaultRowHeight="14.25"/>
  <cols>
    <col min="1" max="1" width="27.5703125" style="44" bestFit="1" customWidth="1"/>
    <col min="2" max="2" width="22" style="44" customWidth="1"/>
    <col min="3" max="3" width="3.85546875" style="45" bestFit="1" customWidth="1"/>
    <col min="4" max="52" width="11.7109375" style="26" customWidth="1"/>
    <col min="53" max="53" width="11.42578125" style="412"/>
    <col min="54" max="54" width="6.140625" style="44" customWidth="1"/>
    <col min="55" max="16384" width="11.42578125" style="44"/>
  </cols>
  <sheetData>
    <row r="1" spans="1:53" s="28" customFormat="1" ht="20.100000000000001" customHeight="1">
      <c r="A1" s="572" t="s">
        <v>5</v>
      </c>
      <c r="B1" s="572" t="s">
        <v>7</v>
      </c>
      <c r="C1" s="573" t="str">
        <f>IF(SUMIF(Vigilancia!$J:$J,"Vigilancia",Vigilancia!$E:$E)=BA145,"ü","û")</f>
        <v>ü</v>
      </c>
      <c r="D1" s="590">
        <v>2016</v>
      </c>
      <c r="E1" s="574">
        <v>42736</v>
      </c>
      <c r="F1" s="574">
        <f>EDATE(E1,1)</f>
        <v>42767</v>
      </c>
      <c r="G1" s="574">
        <f t="shared" ref="G1:AB1" si="0">EDATE(F1,1)</f>
        <v>42795</v>
      </c>
      <c r="H1" s="574">
        <f t="shared" si="0"/>
        <v>42826</v>
      </c>
      <c r="I1" s="574">
        <f t="shared" si="0"/>
        <v>42856</v>
      </c>
      <c r="J1" s="574">
        <f t="shared" si="0"/>
        <v>42887</v>
      </c>
      <c r="K1" s="574">
        <f t="shared" si="0"/>
        <v>42917</v>
      </c>
      <c r="L1" s="574">
        <f t="shared" si="0"/>
        <v>42948</v>
      </c>
      <c r="M1" s="574">
        <f t="shared" si="0"/>
        <v>42979</v>
      </c>
      <c r="N1" s="574">
        <f t="shared" si="0"/>
        <v>43009</v>
      </c>
      <c r="O1" s="574">
        <f t="shared" si="0"/>
        <v>43040</v>
      </c>
      <c r="P1" s="574">
        <f t="shared" si="0"/>
        <v>43070</v>
      </c>
      <c r="Q1" s="574">
        <f t="shared" si="0"/>
        <v>43101</v>
      </c>
      <c r="R1" s="574">
        <f t="shared" si="0"/>
        <v>43132</v>
      </c>
      <c r="S1" s="574">
        <f t="shared" si="0"/>
        <v>43160</v>
      </c>
      <c r="T1" s="574">
        <f t="shared" si="0"/>
        <v>43191</v>
      </c>
      <c r="U1" s="574">
        <f t="shared" si="0"/>
        <v>43221</v>
      </c>
      <c r="V1" s="574">
        <f t="shared" si="0"/>
        <v>43252</v>
      </c>
      <c r="W1" s="574">
        <f t="shared" si="0"/>
        <v>43282</v>
      </c>
      <c r="X1" s="574">
        <f t="shared" si="0"/>
        <v>43313</v>
      </c>
      <c r="Y1" s="574">
        <f t="shared" si="0"/>
        <v>43344</v>
      </c>
      <c r="Z1" s="574">
        <f t="shared" si="0"/>
        <v>43374</v>
      </c>
      <c r="AA1" s="574">
        <f t="shared" si="0"/>
        <v>43405</v>
      </c>
      <c r="AB1" s="574">
        <f t="shared" si="0"/>
        <v>43435</v>
      </c>
      <c r="AC1" s="607">
        <f t="shared" ref="AC1" si="1">EDATE(AB1,1)</f>
        <v>43466</v>
      </c>
      <c r="AD1" s="607">
        <f t="shared" ref="AD1" si="2">EDATE(AC1,1)</f>
        <v>43497</v>
      </c>
      <c r="AE1" s="607">
        <f t="shared" ref="AE1" si="3">EDATE(AD1,1)</f>
        <v>43525</v>
      </c>
      <c r="AF1" s="607">
        <f t="shared" ref="AF1" si="4">EDATE(AE1,1)</f>
        <v>43556</v>
      </c>
      <c r="AG1" s="607">
        <f t="shared" ref="AG1" si="5">EDATE(AF1,1)</f>
        <v>43586</v>
      </c>
      <c r="AH1" s="607">
        <f t="shared" ref="AH1" si="6">EDATE(AG1,1)</f>
        <v>43617</v>
      </c>
      <c r="AI1" s="607">
        <f t="shared" ref="AI1" si="7">EDATE(AH1,1)</f>
        <v>43647</v>
      </c>
      <c r="AJ1" s="607">
        <f t="shared" ref="AJ1" si="8">EDATE(AI1,1)</f>
        <v>43678</v>
      </c>
      <c r="AK1" s="607">
        <f t="shared" ref="AK1" si="9">EDATE(AJ1,1)</f>
        <v>43709</v>
      </c>
      <c r="AL1" s="607">
        <f t="shared" ref="AL1" si="10">EDATE(AK1,1)</f>
        <v>43739</v>
      </c>
      <c r="AM1" s="607">
        <f t="shared" ref="AM1" si="11">EDATE(AL1,1)</f>
        <v>43770</v>
      </c>
      <c r="AN1" s="607">
        <f t="shared" ref="AN1" si="12">EDATE(AM1,1)</f>
        <v>43800</v>
      </c>
      <c r="AO1" s="607">
        <f t="shared" ref="AO1" si="13">EDATE(AN1,1)</f>
        <v>43831</v>
      </c>
      <c r="AP1" s="607">
        <f t="shared" ref="AP1" si="14">EDATE(AO1,1)</f>
        <v>43862</v>
      </c>
      <c r="AQ1" s="607">
        <f t="shared" ref="AQ1" si="15">EDATE(AP1,1)</f>
        <v>43891</v>
      </c>
      <c r="AR1" s="607">
        <f t="shared" ref="AR1" si="16">EDATE(AQ1,1)</f>
        <v>43922</v>
      </c>
      <c r="AS1" s="607">
        <f t="shared" ref="AS1" si="17">EDATE(AR1,1)</f>
        <v>43952</v>
      </c>
      <c r="AT1" s="607">
        <f t="shared" ref="AT1" si="18">EDATE(AS1,1)</f>
        <v>43983</v>
      </c>
      <c r="AU1" s="607">
        <f t="shared" ref="AU1" si="19">EDATE(AT1,1)</f>
        <v>44013</v>
      </c>
      <c r="AV1" s="607">
        <f t="shared" ref="AV1" si="20">EDATE(AU1,1)</f>
        <v>44044</v>
      </c>
      <c r="AW1" s="607">
        <f t="shared" ref="AW1" si="21">EDATE(AV1,1)</f>
        <v>44075</v>
      </c>
      <c r="AX1" s="607">
        <f t="shared" ref="AX1" si="22">EDATE(AW1,1)</f>
        <v>44105</v>
      </c>
      <c r="AY1" s="607">
        <f t="shared" ref="AY1" si="23">EDATE(AX1,1)</f>
        <v>44136</v>
      </c>
      <c r="AZ1" s="607">
        <f t="shared" ref="AZ1" si="24">EDATE(AY1,1)</f>
        <v>44166</v>
      </c>
      <c r="BA1" s="574" t="s">
        <v>1254</v>
      </c>
    </row>
    <row r="2" spans="1:53" s="28" customFormat="1" ht="20.100000000000001" customHeight="1">
      <c r="A2" s="29" t="str">
        <f>Vecinos!A2</f>
        <v>Familia Scabuzzo Gómez</v>
      </c>
      <c r="B2" s="30" t="str">
        <f>Vecinos!C2</f>
        <v>Av. "I" Nro. 146-20</v>
      </c>
      <c r="C2" s="31" t="str">
        <f>IF(SUMIFS(Vigilancia!$E:$E,Vigilancia!$F:$F,A2,Vigilancia!$J:$J,"Vigilancia")=BA2,"ü","û")</f>
        <v>ü</v>
      </c>
      <c r="D2" s="177"/>
      <c r="E2" s="178">
        <f>17000/100000</f>
        <v>0.17</v>
      </c>
      <c r="F2" s="179">
        <f>17000/100000</f>
        <v>0.17</v>
      </c>
      <c r="G2" s="179">
        <f>17000/100000</f>
        <v>0.17</v>
      </c>
      <c r="H2" s="179">
        <f>17000/100000</f>
        <v>0.17</v>
      </c>
      <c r="I2" s="180">
        <f>17000/100000</f>
        <v>0.17</v>
      </c>
      <c r="J2" s="179">
        <f>26000/100000</f>
        <v>0.26</v>
      </c>
      <c r="K2" s="179">
        <f>35000/100000</f>
        <v>0.35</v>
      </c>
      <c r="L2" s="179">
        <f>35000/100000</f>
        <v>0.35</v>
      </c>
      <c r="M2" s="179">
        <f>35000/100000</f>
        <v>0.35</v>
      </c>
      <c r="N2" s="179">
        <f>35000/100000</f>
        <v>0.35</v>
      </c>
      <c r="O2" s="179">
        <f>50000/100000</f>
        <v>0.5</v>
      </c>
      <c r="P2" s="177">
        <f>50000/100000</f>
        <v>0.5</v>
      </c>
      <c r="Q2" s="181">
        <f>80000/100000</f>
        <v>0.8</v>
      </c>
      <c r="R2" s="182">
        <f>80000/100000</f>
        <v>0.8</v>
      </c>
      <c r="S2" s="183">
        <f>140000/100000</f>
        <v>1.4</v>
      </c>
      <c r="T2" s="183">
        <f>140000/100000</f>
        <v>1.4</v>
      </c>
      <c r="U2" s="183">
        <f>400000/100000</f>
        <v>4</v>
      </c>
      <c r="V2" s="183">
        <f>400000/100000+225000/100000</f>
        <v>6.25</v>
      </c>
      <c r="W2" s="183">
        <f>1000000/100000</f>
        <v>10</v>
      </c>
      <c r="X2" s="183">
        <f>1200000/100000</f>
        <v>12</v>
      </c>
      <c r="Y2" s="183">
        <v>320</v>
      </c>
      <c r="Z2" s="339">
        <v>320</v>
      </c>
      <c r="AA2" s="339">
        <f>30+290+30</f>
        <v>350</v>
      </c>
      <c r="AB2" s="354">
        <f>30+770</f>
        <v>800</v>
      </c>
      <c r="AC2" s="367">
        <f>800+2200</f>
        <v>3000</v>
      </c>
      <c r="AD2" s="368">
        <v>3000</v>
      </c>
      <c r="AE2" s="369">
        <v>3000</v>
      </c>
      <c r="AF2" s="375">
        <f>3000+2000</f>
        <v>5000</v>
      </c>
      <c r="AG2" s="375">
        <v>8000</v>
      </c>
      <c r="AH2" s="369">
        <v>8000</v>
      </c>
      <c r="AI2" s="369">
        <v>10000</v>
      </c>
      <c r="AJ2" s="369">
        <v>10000</v>
      </c>
      <c r="AK2" s="369">
        <v>21100</v>
      </c>
      <c r="AL2" s="369">
        <f>(21100+30150)/1</f>
        <v>51250</v>
      </c>
      <c r="AM2" s="369">
        <v>73500</v>
      </c>
      <c r="AN2" s="370">
        <v>185250</v>
      </c>
      <c r="AO2" s="367">
        <v>185250</v>
      </c>
      <c r="AP2" s="368">
        <v>185250</v>
      </c>
      <c r="AQ2" s="369">
        <v>185250</v>
      </c>
      <c r="AR2" s="375">
        <v>250000</v>
      </c>
      <c r="AS2" s="375">
        <v>250000</v>
      </c>
      <c r="AT2" s="369"/>
      <c r="AU2" s="369"/>
      <c r="AV2" s="369"/>
      <c r="AW2" s="369"/>
      <c r="AX2" s="369"/>
      <c r="AY2" s="369"/>
      <c r="AZ2" s="370"/>
      <c r="BA2" s="399">
        <f>SUM(D2:AZ2)</f>
        <v>1438680.1600000001</v>
      </c>
    </row>
    <row r="3" spans="1:53" s="28" customFormat="1" ht="20.100000000000001" customHeight="1">
      <c r="A3" s="32" t="str">
        <f>Vecinos!A3</f>
        <v>Familia Hoyte Rafmari</v>
      </c>
      <c r="B3" s="33" t="str">
        <f>Vecinos!C3</f>
        <v>Av. "I" Nro. 146-30</v>
      </c>
      <c r="C3" s="34" t="str">
        <f>IF(SUMIFS(Vigilancia!$E:$E,Vigilancia!$F:$F,A3,Vigilancia!$J:$J,"Vigilancia")=BA3,"ü","û")</f>
        <v>ü</v>
      </c>
      <c r="D3" s="184"/>
      <c r="E3" s="185">
        <f>10500/100000</f>
        <v>0.105</v>
      </c>
      <c r="F3" s="186">
        <f>10500/100000</f>
        <v>0.105</v>
      </c>
      <c r="G3" s="186">
        <f>10500/100000</f>
        <v>0.105</v>
      </c>
      <c r="H3" s="186"/>
      <c r="I3" s="186"/>
      <c r="J3" s="186"/>
      <c r="K3" s="186"/>
      <c r="L3" s="186"/>
      <c r="M3" s="186"/>
      <c r="N3" s="186"/>
      <c r="O3" s="186"/>
      <c r="P3" s="184"/>
      <c r="Q3" s="187"/>
      <c r="R3" s="188"/>
      <c r="S3" s="188"/>
      <c r="T3" s="188"/>
      <c r="U3" s="188"/>
      <c r="V3" s="188"/>
      <c r="W3" s="188"/>
      <c r="X3" s="188"/>
      <c r="Y3" s="188"/>
      <c r="Z3" s="188"/>
      <c r="AA3" s="188"/>
      <c r="AB3" s="184"/>
      <c r="AC3" s="371"/>
      <c r="AD3" s="372"/>
      <c r="AE3" s="372"/>
      <c r="AF3" s="372"/>
      <c r="AG3" s="372"/>
      <c r="AH3" s="372"/>
      <c r="AI3" s="372"/>
      <c r="AJ3" s="372"/>
      <c r="AK3" s="372"/>
      <c r="AL3" s="372"/>
      <c r="AM3" s="372"/>
      <c r="AN3" s="373"/>
      <c r="AO3" s="371"/>
      <c r="AP3" s="372"/>
      <c r="AQ3" s="372"/>
      <c r="AR3" s="372"/>
      <c r="AS3" s="372"/>
      <c r="AT3" s="372"/>
      <c r="AU3" s="372"/>
      <c r="AV3" s="372"/>
      <c r="AW3" s="372"/>
      <c r="AX3" s="372"/>
      <c r="AY3" s="372"/>
      <c r="AZ3" s="373"/>
      <c r="BA3" s="400">
        <f t="shared" ref="BA3:BA69" si="25">SUM(D3:AZ3)</f>
        <v>0.315</v>
      </c>
    </row>
    <row r="4" spans="1:53" s="28" customFormat="1" ht="20.100000000000001" customHeight="1">
      <c r="A4" s="29" t="str">
        <f>Vecinos!A4</f>
        <v>Familia Il Grande Franceschi</v>
      </c>
      <c r="B4" s="30" t="str">
        <f>Vecinos!C4</f>
        <v>Av. "I" Nro. 146-40</v>
      </c>
      <c r="C4" s="35" t="str">
        <f>IF(SUMIFS(Vigilancia!$E:$E,Vigilancia!$F:$F,A4,Vigilancia!$J:$J,"Vigilancia")=BA4,"ü","û")</f>
        <v>ü</v>
      </c>
      <c r="D4" s="177"/>
      <c r="E4" s="178">
        <f t="shared" ref="E4:H6" si="26">17000/100000</f>
        <v>0.17</v>
      </c>
      <c r="F4" s="179">
        <f t="shared" si="26"/>
        <v>0.17</v>
      </c>
      <c r="G4" s="179">
        <f t="shared" si="26"/>
        <v>0.17</v>
      </c>
      <c r="H4" s="179">
        <f t="shared" si="26"/>
        <v>0.17</v>
      </c>
      <c r="I4" s="179">
        <f t="shared" ref="I4:J7" si="27">26000/100000</f>
        <v>0.26</v>
      </c>
      <c r="J4" s="179">
        <f t="shared" si="27"/>
        <v>0.26</v>
      </c>
      <c r="K4" s="179">
        <f>35000/100000</f>
        <v>0.35</v>
      </c>
      <c r="L4" s="179">
        <f>1000/100000+34000/100000</f>
        <v>0.35000000000000003</v>
      </c>
      <c r="M4" s="179">
        <f>1000/100000+34000/100000</f>
        <v>0.35000000000000003</v>
      </c>
      <c r="N4" s="179">
        <f>35000/100000</f>
        <v>0.35</v>
      </c>
      <c r="O4" s="179">
        <f>50000/100000</f>
        <v>0.5</v>
      </c>
      <c r="P4" s="177">
        <f>1000/100000+20000/100000+29000/100000</f>
        <v>0.5</v>
      </c>
      <c r="Q4" s="181">
        <f t="shared" ref="Q4:R8" si="28">80000/100000</f>
        <v>0.8</v>
      </c>
      <c r="R4" s="182">
        <f t="shared" si="28"/>
        <v>0.8</v>
      </c>
      <c r="S4" s="182">
        <f>21000/100000+119000/100000</f>
        <v>1.4</v>
      </c>
      <c r="T4" s="182">
        <f>140000/100000</f>
        <v>1.4</v>
      </c>
      <c r="U4" s="182">
        <f>400000/100000</f>
        <v>4</v>
      </c>
      <c r="V4" s="189">
        <f>400000/100000+225000/100000</f>
        <v>6.25</v>
      </c>
      <c r="W4" s="182">
        <f>1000000/100000</f>
        <v>10</v>
      </c>
      <c r="X4" s="182">
        <f>1200000/100000</f>
        <v>12</v>
      </c>
      <c r="Y4" s="189">
        <f>1000/100000+320</f>
        <v>320.01</v>
      </c>
      <c r="Z4" s="182">
        <v>320</v>
      </c>
      <c r="AA4" s="182">
        <v>320</v>
      </c>
      <c r="AB4" s="177">
        <v>800</v>
      </c>
      <c r="AC4" s="374">
        <v>3000</v>
      </c>
      <c r="AD4" s="375">
        <v>3000</v>
      </c>
      <c r="AE4" s="375">
        <v>3000</v>
      </c>
      <c r="AF4" s="375">
        <f>3000+2000</f>
        <v>5000</v>
      </c>
      <c r="AG4" s="375">
        <f>1000+4000+3000</f>
        <v>8000</v>
      </c>
      <c r="AH4" s="375">
        <v>8000</v>
      </c>
      <c r="AI4" s="375">
        <v>10000</v>
      </c>
      <c r="AJ4" s="375">
        <v>10000</v>
      </c>
      <c r="AK4" s="375">
        <v>20482.22</v>
      </c>
      <c r="AL4" s="375">
        <v>51250</v>
      </c>
      <c r="AM4" s="375">
        <v>105250</v>
      </c>
      <c r="AN4" s="376">
        <v>136250</v>
      </c>
      <c r="AO4" s="374">
        <v>136250</v>
      </c>
      <c r="AP4" s="375">
        <v>136250</v>
      </c>
      <c r="AQ4" s="375">
        <f>31000+340000-185250</f>
        <v>185750</v>
      </c>
      <c r="AR4" s="375">
        <v>185250</v>
      </c>
      <c r="AS4" s="375">
        <v>250000</v>
      </c>
      <c r="AT4" s="375">
        <v>250000</v>
      </c>
      <c r="AU4" s="375"/>
      <c r="AV4" s="375"/>
      <c r="AW4" s="375"/>
      <c r="AX4" s="375"/>
      <c r="AY4" s="375"/>
      <c r="AZ4" s="376"/>
      <c r="BA4" s="401">
        <f t="shared" si="25"/>
        <v>1508532.48</v>
      </c>
    </row>
    <row r="5" spans="1:53" s="28" customFormat="1" ht="20.100000000000001" customHeight="1">
      <c r="A5" s="29" t="str">
        <f>Vecinos!A5</f>
        <v>Jocsan Orta Correa</v>
      </c>
      <c r="B5" s="30" t="str">
        <f>Vecinos!C5</f>
        <v>Av. "L" anexo de Los Tronquitos</v>
      </c>
      <c r="C5" s="35" t="str">
        <f>IF(SUMIFS(Vigilancia!$E:$E,Vigilancia!$F:$F,A5,Vigilancia!$J:$J,"Vigilancia")=BA5,"ü","û")</f>
        <v>ü</v>
      </c>
      <c r="D5" s="212"/>
      <c r="E5" s="213"/>
      <c r="F5" s="214"/>
      <c r="G5" s="214"/>
      <c r="H5" s="214"/>
      <c r="I5" s="214"/>
      <c r="J5" s="214"/>
      <c r="K5" s="214"/>
      <c r="L5" s="214"/>
      <c r="M5" s="214"/>
      <c r="N5" s="214"/>
      <c r="O5" s="214"/>
      <c r="P5" s="212"/>
      <c r="Q5" s="208"/>
      <c r="R5" s="209"/>
      <c r="S5" s="209"/>
      <c r="T5" s="209"/>
      <c r="U5" s="209"/>
      <c r="V5" s="209"/>
      <c r="W5" s="209"/>
      <c r="X5" s="209"/>
      <c r="Y5" s="209"/>
      <c r="Z5" s="209"/>
      <c r="AA5" s="209"/>
      <c r="AB5" s="205"/>
      <c r="AC5" s="484"/>
      <c r="AD5" s="485"/>
      <c r="AE5" s="485"/>
      <c r="AF5" s="485"/>
      <c r="AG5" s="375">
        <v>8000</v>
      </c>
      <c r="AH5" s="375">
        <v>8000</v>
      </c>
      <c r="AI5" s="375">
        <v>10000</v>
      </c>
      <c r="AJ5" s="375">
        <v>10000</v>
      </c>
      <c r="AK5" s="375">
        <v>19800</v>
      </c>
      <c r="AL5" s="481">
        <f>19800+31500</f>
        <v>51300</v>
      </c>
      <c r="AM5" s="375">
        <v>73500</v>
      </c>
      <c r="AN5" s="376">
        <v>97500</v>
      </c>
      <c r="AO5" s="374">
        <f>97500+38750</f>
        <v>136250</v>
      </c>
      <c r="AP5" s="375">
        <v>136250</v>
      </c>
      <c r="AQ5" s="375">
        <v>185250</v>
      </c>
      <c r="AR5" s="375">
        <v>185250</v>
      </c>
      <c r="AS5" s="375"/>
      <c r="AT5" s="375"/>
      <c r="AU5" s="375"/>
      <c r="AV5" s="375"/>
      <c r="AW5" s="375"/>
      <c r="AX5" s="375"/>
      <c r="AY5" s="375"/>
      <c r="AZ5" s="376"/>
      <c r="BA5" s="401">
        <f t="shared" si="25"/>
        <v>921100</v>
      </c>
    </row>
    <row r="6" spans="1:53" s="28" customFormat="1" ht="20.100000000000001" customHeight="1">
      <c r="A6" s="29" t="str">
        <f>Vecinos!A6</f>
        <v>Sra. Reina Meléndez</v>
      </c>
      <c r="B6" s="30" t="str">
        <f>Vecinos!C6</f>
        <v>Av. "M" Nro. 145-10</v>
      </c>
      <c r="C6" s="35" t="str">
        <f>IF(SUMIFS(Vigilancia!$E:$E,Vigilancia!$F:$F,A6,Vigilancia!$J:$J,"Vigilancia")=BA6,"ü","û")</f>
        <v>ü</v>
      </c>
      <c r="D6" s="177"/>
      <c r="E6" s="178">
        <f t="shared" si="26"/>
        <v>0.17</v>
      </c>
      <c r="F6" s="179">
        <f t="shared" si="26"/>
        <v>0.17</v>
      </c>
      <c r="G6" s="179">
        <f t="shared" si="26"/>
        <v>0.17</v>
      </c>
      <c r="H6" s="179">
        <f t="shared" si="26"/>
        <v>0.17</v>
      </c>
      <c r="I6" s="179">
        <f t="shared" si="27"/>
        <v>0.26</v>
      </c>
      <c r="J6" s="179">
        <f t="shared" si="27"/>
        <v>0.26</v>
      </c>
      <c r="K6" s="179">
        <f>13000/100000+22000/100000</f>
        <v>0.35</v>
      </c>
      <c r="L6" s="179">
        <f t="shared" ref="L6:N7" si="29">35000/100000</f>
        <v>0.35</v>
      </c>
      <c r="M6" s="179">
        <f t="shared" si="29"/>
        <v>0.35</v>
      </c>
      <c r="N6" s="179">
        <f t="shared" si="29"/>
        <v>0.35</v>
      </c>
      <c r="O6" s="179">
        <f>50000/100000</f>
        <v>0.5</v>
      </c>
      <c r="P6" s="177">
        <f>50000/100000</f>
        <v>0.5</v>
      </c>
      <c r="Q6" s="181">
        <f t="shared" si="28"/>
        <v>0.8</v>
      </c>
      <c r="R6" s="182">
        <f t="shared" si="28"/>
        <v>0.8</v>
      </c>
      <c r="S6" s="182">
        <f t="shared" ref="S6:T8" si="30">140000/100000</f>
        <v>1.4</v>
      </c>
      <c r="T6" s="182">
        <f t="shared" si="30"/>
        <v>1.4</v>
      </c>
      <c r="U6" s="182">
        <f>140000/100000+260000/100000</f>
        <v>4</v>
      </c>
      <c r="V6" s="182">
        <f>400000/100000+225000/100000</f>
        <v>6.25</v>
      </c>
      <c r="W6" s="182">
        <f>1000000/100000</f>
        <v>10</v>
      </c>
      <c r="X6" s="182">
        <f>1200000/100000</f>
        <v>12</v>
      </c>
      <c r="Y6" s="182">
        <v>320</v>
      </c>
      <c r="Z6" s="182">
        <v>320</v>
      </c>
      <c r="AA6" s="182">
        <v>320</v>
      </c>
      <c r="AB6" s="177">
        <v>800</v>
      </c>
      <c r="AC6" s="374">
        <v>3000</v>
      </c>
      <c r="AD6" s="375">
        <v>3000</v>
      </c>
      <c r="AE6" s="375">
        <v>3000</v>
      </c>
      <c r="AF6" s="375">
        <v>5000</v>
      </c>
      <c r="AG6" s="375">
        <f>5000+3000</f>
        <v>8000</v>
      </c>
      <c r="AH6" s="375">
        <v>8000</v>
      </c>
      <c r="AI6" s="375">
        <v>10000</v>
      </c>
      <c r="AJ6" s="375">
        <v>10000</v>
      </c>
      <c r="AK6" s="375">
        <v>22000</v>
      </c>
      <c r="AL6" s="375">
        <f>20000+27000</f>
        <v>47000</v>
      </c>
      <c r="AM6" s="380">
        <v>56250</v>
      </c>
      <c r="AN6" s="376">
        <v>97500</v>
      </c>
      <c r="AO6" s="374">
        <v>136250</v>
      </c>
      <c r="AP6" s="375">
        <v>136250</v>
      </c>
      <c r="AQ6" s="375">
        <v>185250</v>
      </c>
      <c r="AR6" s="375">
        <v>186250</v>
      </c>
      <c r="AS6" s="375">
        <v>250000</v>
      </c>
      <c r="AT6" s="375">
        <v>250000</v>
      </c>
      <c r="AU6" s="375"/>
      <c r="AV6" s="375"/>
      <c r="AW6" s="375"/>
      <c r="AX6" s="375"/>
      <c r="AY6" s="375"/>
      <c r="AZ6" s="376"/>
      <c r="BA6" s="401">
        <f t="shared" si="25"/>
        <v>1418550.25</v>
      </c>
    </row>
    <row r="7" spans="1:53" s="28" customFormat="1" ht="20.100000000000001" customHeight="1">
      <c r="A7" s="29" t="str">
        <f>Vecinos!A7</f>
        <v>Familia Barreto Pérez</v>
      </c>
      <c r="B7" s="30" t="str">
        <f>Vecinos!C7</f>
        <v>Av. "M" Nro. 146-15</v>
      </c>
      <c r="C7" s="35" t="str">
        <f>IF(SUMIFS(Vigilancia!$E:$E,Vigilancia!$F:$F,A7,Vigilancia!$J:$J,"Vigilancia")=BA7,"ü","û")</f>
        <v>ü</v>
      </c>
      <c r="D7" s="177"/>
      <c r="E7" s="178">
        <f>10500/100000+6500/100000</f>
        <v>0.16999999999999998</v>
      </c>
      <c r="F7" s="179">
        <f>17000/100000</f>
        <v>0.17</v>
      </c>
      <c r="G7" s="179">
        <f>17000/100000</f>
        <v>0.17</v>
      </c>
      <c r="H7" s="179">
        <f>17000/100000</f>
        <v>0.17</v>
      </c>
      <c r="I7" s="179">
        <f t="shared" si="27"/>
        <v>0.26</v>
      </c>
      <c r="J7" s="179">
        <f t="shared" si="27"/>
        <v>0.26</v>
      </c>
      <c r="K7" s="179">
        <f>35000/100000</f>
        <v>0.35</v>
      </c>
      <c r="L7" s="179">
        <f t="shared" si="29"/>
        <v>0.35</v>
      </c>
      <c r="M7" s="179">
        <f t="shared" si="29"/>
        <v>0.35</v>
      </c>
      <c r="N7" s="179">
        <f t="shared" si="29"/>
        <v>0.35</v>
      </c>
      <c r="O7" s="179">
        <f>50000/100000</f>
        <v>0.5</v>
      </c>
      <c r="P7" s="177">
        <f>50000/100000</f>
        <v>0.5</v>
      </c>
      <c r="Q7" s="181">
        <f t="shared" si="28"/>
        <v>0.8</v>
      </c>
      <c r="R7" s="182">
        <f t="shared" si="28"/>
        <v>0.8</v>
      </c>
      <c r="S7" s="182">
        <f t="shared" si="30"/>
        <v>1.4</v>
      </c>
      <c r="T7" s="182">
        <f t="shared" si="30"/>
        <v>1.4</v>
      </c>
      <c r="U7" s="182">
        <f>400000/100000</f>
        <v>4</v>
      </c>
      <c r="V7" s="182">
        <f>400000/100000+225000/100000</f>
        <v>6.25</v>
      </c>
      <c r="W7" s="182">
        <f>1000000/100000</f>
        <v>10</v>
      </c>
      <c r="X7" s="182">
        <f>1200000/100000</f>
        <v>12</v>
      </c>
      <c r="Y7" s="182">
        <v>320</v>
      </c>
      <c r="Z7" s="182">
        <v>320</v>
      </c>
      <c r="AA7" s="182">
        <v>320</v>
      </c>
      <c r="AB7" s="177">
        <v>800</v>
      </c>
      <c r="AC7" s="374">
        <v>3000</v>
      </c>
      <c r="AD7" s="375">
        <v>3000</v>
      </c>
      <c r="AE7" s="375">
        <v>3000</v>
      </c>
      <c r="AF7" s="375">
        <v>5000</v>
      </c>
      <c r="AG7" s="375">
        <v>8000</v>
      </c>
      <c r="AH7" s="375">
        <v>8000</v>
      </c>
      <c r="AI7" s="375">
        <v>10000</v>
      </c>
      <c r="AJ7" s="375">
        <v>10000</v>
      </c>
      <c r="AK7" s="375">
        <v>22000</v>
      </c>
      <c r="AL7" s="375">
        <f>19800+27200</f>
        <v>47000</v>
      </c>
      <c r="AM7" s="375">
        <v>51250</v>
      </c>
      <c r="AN7" s="376">
        <v>81750</v>
      </c>
      <c r="AO7" s="374">
        <v>136250</v>
      </c>
      <c r="AP7" s="375">
        <v>136250</v>
      </c>
      <c r="AQ7" s="375">
        <v>185250</v>
      </c>
      <c r="AR7" s="375">
        <v>186250</v>
      </c>
      <c r="AS7" s="375">
        <v>250000</v>
      </c>
      <c r="AT7" s="375">
        <v>250000</v>
      </c>
      <c r="AU7" s="375"/>
      <c r="AV7" s="375"/>
      <c r="AW7" s="375"/>
      <c r="AX7" s="375"/>
      <c r="AY7" s="375"/>
      <c r="AZ7" s="376"/>
      <c r="BA7" s="401">
        <f t="shared" si="25"/>
        <v>1397800.25</v>
      </c>
    </row>
    <row r="8" spans="1:53" s="28" customFormat="1" ht="20.100000000000001" customHeight="1">
      <c r="A8" s="32" t="str">
        <f>Vecinos!A8</f>
        <v>Familia Flores Montagne</v>
      </c>
      <c r="B8" s="33" t="str">
        <f>Vecinos!C8</f>
        <v>Av. "M" Nro. 146-20</v>
      </c>
      <c r="C8" s="34" t="str">
        <f>IF(SUMIFS(Vigilancia!$E:$E,Vigilancia!$F:$F,A8,Vigilancia!$J:$J,"Vigilancia")=BA8,"ü","û")</f>
        <v>ü</v>
      </c>
      <c r="D8" s="184"/>
      <c r="E8" s="185">
        <f>2000/100000</f>
        <v>0.02</v>
      </c>
      <c r="F8" s="186">
        <f>2000/100000</f>
        <v>0.02</v>
      </c>
      <c r="G8" s="186">
        <f>3000/100000</f>
        <v>0.03</v>
      </c>
      <c r="H8" s="186">
        <f>3000/100000</f>
        <v>0.03</v>
      </c>
      <c r="I8" s="186">
        <f>4000/100000</f>
        <v>0.04</v>
      </c>
      <c r="J8" s="186">
        <f>4000/100000</f>
        <v>0.04</v>
      </c>
      <c r="K8" s="186">
        <f>4000/100000</f>
        <v>0.04</v>
      </c>
      <c r="L8" s="186">
        <f>4000/100000</f>
        <v>0.04</v>
      </c>
      <c r="M8" s="186">
        <f>3000/100000</f>
        <v>0.03</v>
      </c>
      <c r="N8" s="186">
        <f>5000/100000</f>
        <v>0.05</v>
      </c>
      <c r="O8" s="191" t="s">
        <v>490</v>
      </c>
      <c r="P8" s="192" t="s">
        <v>490</v>
      </c>
      <c r="Q8" s="181">
        <f t="shared" si="28"/>
        <v>0.8</v>
      </c>
      <c r="R8" s="182">
        <f t="shared" si="28"/>
        <v>0.8</v>
      </c>
      <c r="S8" s="182">
        <f t="shared" si="30"/>
        <v>1.4</v>
      </c>
      <c r="T8" s="182">
        <f t="shared" si="30"/>
        <v>1.4</v>
      </c>
      <c r="U8" s="182">
        <f>400000/100000</f>
        <v>4</v>
      </c>
      <c r="V8" s="182">
        <f>625000/100000</f>
        <v>6.25</v>
      </c>
      <c r="W8" s="182">
        <f>1000000/100000</f>
        <v>10</v>
      </c>
      <c r="X8" s="182">
        <f>1200000/100000</f>
        <v>12</v>
      </c>
      <c r="Y8" s="182">
        <v>320</v>
      </c>
      <c r="Z8" s="182">
        <v>320</v>
      </c>
      <c r="AA8" s="182">
        <v>320</v>
      </c>
      <c r="AB8" s="177">
        <v>800</v>
      </c>
      <c r="AC8" s="374">
        <f>2200+800</f>
        <v>3000</v>
      </c>
      <c r="AD8" s="375">
        <v>3000</v>
      </c>
      <c r="AE8" s="375">
        <v>3000</v>
      </c>
      <c r="AF8" s="375">
        <v>5000</v>
      </c>
      <c r="AG8" s="375">
        <v>8000</v>
      </c>
      <c r="AH8" s="375">
        <v>8000</v>
      </c>
      <c r="AI8" s="375">
        <v>10000</v>
      </c>
      <c r="AJ8" s="375">
        <v>10000</v>
      </c>
      <c r="AK8" s="375">
        <v>19800</v>
      </c>
      <c r="AL8" s="375">
        <v>51250</v>
      </c>
      <c r="AM8" s="375">
        <v>81750</v>
      </c>
      <c r="AN8" s="376">
        <v>105250</v>
      </c>
      <c r="AO8" s="374">
        <v>136250</v>
      </c>
      <c r="AP8" s="375">
        <v>185250</v>
      </c>
      <c r="AQ8" s="375">
        <v>185250</v>
      </c>
      <c r="AR8" s="375">
        <v>185250</v>
      </c>
      <c r="AS8" s="375">
        <v>250000</v>
      </c>
      <c r="AT8" s="375">
        <v>250000</v>
      </c>
      <c r="AU8" s="375"/>
      <c r="AV8" s="375"/>
      <c r="AW8" s="375"/>
      <c r="AX8" s="375"/>
      <c r="AY8" s="375"/>
      <c r="AZ8" s="376"/>
      <c r="BA8" s="401">
        <f t="shared" si="25"/>
        <v>1501846.99</v>
      </c>
    </row>
    <row r="9" spans="1:53" s="28" customFormat="1" ht="20.100000000000001" customHeight="1">
      <c r="A9" s="29" t="str">
        <f>Vecinos!A9</f>
        <v>Judith Lazo</v>
      </c>
      <c r="B9" s="30" t="str">
        <f>Vecinos!C9</f>
        <v>Av. "M" Nro. 146-25</v>
      </c>
      <c r="C9" s="35" t="str">
        <f>IF(SUMIFS(Vigilancia!$E:$E,Vigilancia!$F:$F,A9,Vigilancia!$J:$J,"Vigilancia")=BA9,"ü","û")</f>
        <v>ü</v>
      </c>
      <c r="D9" s="177"/>
      <c r="E9" s="178"/>
      <c r="F9" s="179"/>
      <c r="G9" s="179"/>
      <c r="H9" s="179"/>
      <c r="I9" s="179"/>
      <c r="J9" s="179"/>
      <c r="K9" s="179"/>
      <c r="L9" s="179"/>
      <c r="M9" s="179"/>
      <c r="N9" s="179"/>
      <c r="O9" s="179"/>
      <c r="P9" s="177"/>
      <c r="Q9" s="181"/>
      <c r="R9" s="182"/>
      <c r="S9" s="182"/>
      <c r="T9" s="182"/>
      <c r="U9" s="182"/>
      <c r="V9" s="182"/>
      <c r="W9" s="182"/>
      <c r="X9" s="182"/>
      <c r="Y9" s="182"/>
      <c r="Z9" s="182"/>
      <c r="AA9" s="182"/>
      <c r="AB9" s="177"/>
      <c r="AC9" s="374"/>
      <c r="AD9" s="375"/>
      <c r="AE9" s="375"/>
      <c r="AF9" s="375"/>
      <c r="AG9" s="375"/>
      <c r="AH9" s="375"/>
      <c r="AI9" s="375"/>
      <c r="AJ9" s="375"/>
      <c r="AK9" s="375"/>
      <c r="AL9" s="375"/>
      <c r="AM9" s="375"/>
      <c r="AN9" s="376"/>
      <c r="AO9" s="374"/>
      <c r="AP9" s="375"/>
      <c r="AQ9" s="375"/>
      <c r="AR9" s="375"/>
      <c r="AS9" s="375"/>
      <c r="AT9" s="375"/>
      <c r="AU9" s="375"/>
      <c r="AV9" s="375"/>
      <c r="AW9" s="375"/>
      <c r="AX9" s="375"/>
      <c r="AY9" s="375"/>
      <c r="AZ9" s="376"/>
      <c r="BA9" s="401">
        <f t="shared" si="25"/>
        <v>0</v>
      </c>
    </row>
    <row r="10" spans="1:53" s="28" customFormat="1" ht="20.100000000000001" customHeight="1">
      <c r="A10" s="57" t="str">
        <f>Vecinos!A10</f>
        <v>La Casita Encantada</v>
      </c>
      <c r="B10" s="58" t="str">
        <f>Vecinos!C10</f>
        <v>Av. "M" Nro. 146-30</v>
      </c>
      <c r="C10" s="35" t="str">
        <f>IF(SUMIFS(Vigilancia!$E:$E,Vigilancia!$F:$F,A10,Vigilancia!$J:$J,"Vigilancia")=BA10,"ü","û")</f>
        <v>ü</v>
      </c>
      <c r="D10" s="177"/>
      <c r="E10" s="193">
        <f>12000/100000</f>
        <v>0.12</v>
      </c>
      <c r="F10" s="179">
        <f>20000/100000</f>
        <v>0.2</v>
      </c>
      <c r="G10" s="179">
        <f>20000/100000</f>
        <v>0.2</v>
      </c>
      <c r="H10" s="179">
        <f>20000/100000</f>
        <v>0.2</v>
      </c>
      <c r="I10" s="179">
        <f>30000/100000</f>
        <v>0.3</v>
      </c>
      <c r="J10" s="179">
        <f>30000/100000</f>
        <v>0.3</v>
      </c>
      <c r="K10" s="179">
        <f>30000/100000+10000/100000</f>
        <v>0.4</v>
      </c>
      <c r="L10" s="179">
        <f>40000/100000</f>
        <v>0.4</v>
      </c>
      <c r="M10" s="179">
        <f>40000/100000</f>
        <v>0.4</v>
      </c>
      <c r="N10" s="179">
        <f>40000/100000</f>
        <v>0.4</v>
      </c>
      <c r="O10" s="179">
        <f>54000/100000</f>
        <v>0.54</v>
      </c>
      <c r="P10" s="177">
        <f>54000/100000</f>
        <v>0.54</v>
      </c>
      <c r="Q10" s="181">
        <f>86400/100000</f>
        <v>0.86399999999999999</v>
      </c>
      <c r="R10" s="182">
        <f>86400/100000</f>
        <v>0.86399999999999999</v>
      </c>
      <c r="S10" s="182">
        <f>155000/100000</f>
        <v>1.55</v>
      </c>
      <c r="T10" s="182">
        <f>155000/100000</f>
        <v>1.55</v>
      </c>
      <c r="U10" s="194">
        <f>400000/100000</f>
        <v>4</v>
      </c>
      <c r="V10" s="182">
        <f>690000/100000</f>
        <v>6.9</v>
      </c>
      <c r="W10" s="182">
        <f>1100000/100000</f>
        <v>11</v>
      </c>
      <c r="X10" s="189">
        <f>1100000/100000+2.2</f>
        <v>13.2</v>
      </c>
      <c r="Y10" s="182">
        <v>320</v>
      </c>
      <c r="Z10" s="182">
        <f>320+35</f>
        <v>355</v>
      </c>
      <c r="AA10" s="189">
        <f>35+320</f>
        <v>355</v>
      </c>
      <c r="AB10" s="177">
        <f>35+765</f>
        <v>800</v>
      </c>
      <c r="AC10" s="377" t="s">
        <v>1255</v>
      </c>
      <c r="AD10" s="378"/>
      <c r="AE10" s="378"/>
      <c r="AF10" s="378"/>
      <c r="AG10" s="378"/>
      <c r="AH10" s="378"/>
      <c r="AI10" s="378"/>
      <c r="AJ10" s="378"/>
      <c r="AK10" s="378"/>
      <c r="AL10" s="378"/>
      <c r="AM10" s="378"/>
      <c r="AN10" s="389"/>
      <c r="AO10" s="377"/>
      <c r="AP10" s="378"/>
      <c r="AQ10" s="378"/>
      <c r="AR10" s="378"/>
      <c r="AS10" s="378"/>
      <c r="AT10" s="378"/>
      <c r="AU10" s="378"/>
      <c r="AV10" s="378"/>
      <c r="AW10" s="378"/>
      <c r="AX10" s="378"/>
      <c r="AY10" s="378"/>
      <c r="AZ10" s="389"/>
      <c r="BA10" s="539">
        <f t="shared" si="25"/>
        <v>1873.9279999999999</v>
      </c>
    </row>
    <row r="11" spans="1:53" s="28" customFormat="1" ht="20.100000000000001" customHeight="1">
      <c r="A11" s="29" t="str">
        <f>Vecinos!A11</f>
        <v>Familia Calzadilla Trujillo</v>
      </c>
      <c r="B11" s="30" t="str">
        <f>Vecinos!C11</f>
        <v>Av. "M" Nro. 146-30</v>
      </c>
      <c r="C11" s="35" t="str">
        <f>IF(SUMIFS(Vigilancia!$E:$E,Vigilancia!$F:$F,A11,Vigilancia!$J:$J,"Vigilancia")=BA11,"ü","û")</f>
        <v>ü</v>
      </c>
      <c r="D11" s="212"/>
      <c r="E11" s="213"/>
      <c r="F11" s="214"/>
      <c r="G11" s="214"/>
      <c r="H11" s="214"/>
      <c r="I11" s="214"/>
      <c r="J11" s="214"/>
      <c r="K11" s="214"/>
      <c r="L11" s="214"/>
      <c r="M11" s="214"/>
      <c r="N11" s="214"/>
      <c r="O11" s="214"/>
      <c r="P11" s="212"/>
      <c r="Q11" s="215"/>
      <c r="R11" s="216"/>
      <c r="S11" s="216"/>
      <c r="T11" s="216"/>
      <c r="U11" s="216"/>
      <c r="V11" s="216"/>
      <c r="W11" s="216"/>
      <c r="X11" s="216"/>
      <c r="Y11" s="216"/>
      <c r="Z11" s="216"/>
      <c r="AA11" s="216"/>
      <c r="AB11" s="212"/>
      <c r="AC11" s="379">
        <v>3000</v>
      </c>
      <c r="AD11" s="375">
        <v>3000</v>
      </c>
      <c r="AE11" s="375">
        <v>3000</v>
      </c>
      <c r="AF11" s="375">
        <v>5000</v>
      </c>
      <c r="AG11" s="375">
        <f>1000+7000</f>
        <v>8000</v>
      </c>
      <c r="AH11" s="375">
        <v>8000</v>
      </c>
      <c r="AI11" s="508" t="s">
        <v>1256</v>
      </c>
      <c r="AJ11" s="378"/>
      <c r="AK11" s="378"/>
      <c r="AL11" s="378"/>
      <c r="AM11" s="378"/>
      <c r="AN11" s="389"/>
      <c r="AO11" s="377"/>
      <c r="AP11" s="378"/>
      <c r="AQ11" s="378"/>
      <c r="AR11" s="378"/>
      <c r="AS11" s="378"/>
      <c r="AT11" s="378"/>
      <c r="AU11" s="508"/>
      <c r="AV11" s="378"/>
      <c r="AW11" s="378"/>
      <c r="AX11" s="378"/>
      <c r="AY11" s="378"/>
      <c r="AZ11" s="389"/>
      <c r="BA11" s="404">
        <f t="shared" si="25"/>
        <v>30000</v>
      </c>
    </row>
    <row r="12" spans="1:53" s="28" customFormat="1" ht="20.100000000000001" customHeight="1">
      <c r="A12" s="29" t="str">
        <f>Vecinos!A12</f>
        <v>Santiago Varela</v>
      </c>
      <c r="B12" s="30" t="str">
        <f>Vecinos!C12</f>
        <v>Av. "M" Nro. 146-30</v>
      </c>
      <c r="C12" s="35" t="str">
        <f>IF(SUMIFS(Vigilancia!$E:$E,Vigilancia!$F:$F,A12,Vigilancia!$J:$J,"Vigilancia")=BA12,"ü","û")</f>
        <v>ü</v>
      </c>
      <c r="D12" s="212"/>
      <c r="E12" s="213"/>
      <c r="F12" s="214"/>
      <c r="G12" s="214"/>
      <c r="H12" s="214"/>
      <c r="I12" s="214"/>
      <c r="J12" s="214"/>
      <c r="K12" s="214"/>
      <c r="L12" s="214"/>
      <c r="M12" s="214"/>
      <c r="N12" s="214"/>
      <c r="O12" s="214"/>
      <c r="P12" s="212"/>
      <c r="Q12" s="215"/>
      <c r="R12" s="216"/>
      <c r="S12" s="216"/>
      <c r="T12" s="216"/>
      <c r="U12" s="216"/>
      <c r="V12" s="216"/>
      <c r="W12" s="216"/>
      <c r="X12" s="216"/>
      <c r="Y12" s="216"/>
      <c r="Z12" s="216"/>
      <c r="AA12" s="216"/>
      <c r="AB12" s="212"/>
      <c r="AC12" s="484"/>
      <c r="AD12" s="485"/>
      <c r="AE12" s="485"/>
      <c r="AF12" s="485"/>
      <c r="AG12" s="485"/>
      <c r="AH12" s="485"/>
      <c r="AI12" s="375">
        <v>10000</v>
      </c>
      <c r="AJ12" s="375">
        <v>10000</v>
      </c>
      <c r="AK12" s="375">
        <v>19800</v>
      </c>
      <c r="AL12" s="375">
        <v>51250</v>
      </c>
      <c r="AM12" s="375">
        <v>81750</v>
      </c>
      <c r="AN12" s="376">
        <v>81750</v>
      </c>
      <c r="AO12" s="379">
        <v>136250</v>
      </c>
      <c r="AP12" s="375">
        <v>136250</v>
      </c>
      <c r="AQ12" s="375">
        <v>185000</v>
      </c>
      <c r="AR12" s="375">
        <v>185250</v>
      </c>
      <c r="AS12" s="375">
        <v>250000</v>
      </c>
      <c r="AT12" s="375"/>
      <c r="AU12" s="375"/>
      <c r="AV12" s="375"/>
      <c r="AW12" s="375"/>
      <c r="AX12" s="375"/>
      <c r="AY12" s="375"/>
      <c r="AZ12" s="376"/>
      <c r="BA12" s="401">
        <f t="shared" si="25"/>
        <v>1147300</v>
      </c>
    </row>
    <row r="13" spans="1:53" s="28" customFormat="1" ht="20.100000000000001" customHeight="1">
      <c r="A13" s="29" t="str">
        <f>Vecinos!A13</f>
        <v>Ely Saúl Rivero Gómez</v>
      </c>
      <c r="B13" s="30" t="str">
        <f>Vecinos!C13</f>
        <v>Av. "Ñ" Nro. 145-25</v>
      </c>
      <c r="C13" s="35" t="str">
        <f>IF(SUMIFS(Vigilancia!$E:$E,Vigilancia!$F:$F,A13,Vigilancia!$J:$J,"Vigilancia")=BA13,"ü","û")</f>
        <v>ü</v>
      </c>
      <c r="D13" s="177"/>
      <c r="E13" s="178">
        <f>17000/100000</f>
        <v>0.17</v>
      </c>
      <c r="F13" s="179">
        <f>17000/100000</f>
        <v>0.17</v>
      </c>
      <c r="G13" s="179">
        <f>17000/100000</f>
        <v>0.17</v>
      </c>
      <c r="H13" s="179">
        <f>17000/100000</f>
        <v>0.17</v>
      </c>
      <c r="I13" s="179">
        <f>26000/100000</f>
        <v>0.26</v>
      </c>
      <c r="J13" s="179">
        <f>26000/100000</f>
        <v>0.26</v>
      </c>
      <c r="K13" s="179">
        <f>26000/100000+9000/100000</f>
        <v>0.35</v>
      </c>
      <c r="L13" s="179">
        <f>35000/100000</f>
        <v>0.35</v>
      </c>
      <c r="M13" s="179">
        <f>35000/100000</f>
        <v>0.35</v>
      </c>
      <c r="N13" s="179">
        <f>35000/100000</f>
        <v>0.35</v>
      </c>
      <c r="O13" s="179">
        <f>50000/100000</f>
        <v>0.5</v>
      </c>
      <c r="P13" s="177">
        <f>50000/100000</f>
        <v>0.5</v>
      </c>
      <c r="Q13" s="181">
        <f>80000/100000</f>
        <v>0.8</v>
      </c>
      <c r="R13" s="182">
        <f>80000/100000</f>
        <v>0.8</v>
      </c>
      <c r="S13" s="182">
        <f>140000/100000</f>
        <v>1.4</v>
      </c>
      <c r="T13" s="182">
        <f>140000/100000</f>
        <v>1.4</v>
      </c>
      <c r="U13" s="182">
        <f>400000/100000</f>
        <v>4</v>
      </c>
      <c r="V13" s="182">
        <f>400000/100000+225000/100000</f>
        <v>6.25</v>
      </c>
      <c r="W13" s="182">
        <f>1000000/100000</f>
        <v>10</v>
      </c>
      <c r="X13" s="189">
        <f>990000/100000+210000/100000</f>
        <v>12</v>
      </c>
      <c r="Y13" s="182">
        <v>320</v>
      </c>
      <c r="Z13" s="182">
        <v>320</v>
      </c>
      <c r="AA13" s="182">
        <v>320</v>
      </c>
      <c r="AB13" s="177">
        <v>800</v>
      </c>
      <c r="AC13" s="379">
        <f>800+2200</f>
        <v>3000</v>
      </c>
      <c r="AD13" s="375">
        <v>3000</v>
      </c>
      <c r="AE13" s="375">
        <v>3000</v>
      </c>
      <c r="AF13" s="375">
        <v>5000</v>
      </c>
      <c r="AG13" s="375">
        <v>8000</v>
      </c>
      <c r="AH13" s="375">
        <v>8000</v>
      </c>
      <c r="AI13" s="375">
        <v>10000</v>
      </c>
      <c r="AJ13" s="375">
        <v>10000</v>
      </c>
      <c r="AK13" s="375">
        <v>23400</v>
      </c>
      <c r="AL13" s="375">
        <f>21100+25900</f>
        <v>47000</v>
      </c>
      <c r="AM13" s="375">
        <v>73500</v>
      </c>
      <c r="AN13" s="376">
        <v>105250</v>
      </c>
      <c r="AO13" s="379">
        <v>136250</v>
      </c>
      <c r="AP13" s="375">
        <v>136250</v>
      </c>
      <c r="AQ13" s="375">
        <v>185250</v>
      </c>
      <c r="AR13" s="375">
        <v>185250</v>
      </c>
      <c r="AS13" s="375">
        <v>250000</v>
      </c>
      <c r="AT13" s="375"/>
      <c r="AU13" s="375"/>
      <c r="AV13" s="375"/>
      <c r="AW13" s="375"/>
      <c r="AX13" s="375"/>
      <c r="AY13" s="375"/>
      <c r="AZ13" s="376"/>
      <c r="BA13" s="401">
        <f t="shared" si="25"/>
        <v>1193950.25</v>
      </c>
    </row>
    <row r="14" spans="1:53" s="28" customFormat="1" ht="20.100000000000001" customHeight="1">
      <c r="A14" s="29" t="str">
        <f>Vecinos!A14</f>
        <v>Familia González López</v>
      </c>
      <c r="B14" s="30" t="str">
        <f>Vecinos!C14</f>
        <v>Av. "Ñ" Nro. 145-27</v>
      </c>
      <c r="C14" s="35" t="str">
        <f>IF(SUMIFS(Vigilancia!$E:$E,Vigilancia!$F:$F,A14,Vigilancia!$J:$J,"Vigilancia")=BA14,"ü","û")</f>
        <v>ü</v>
      </c>
      <c r="D14" s="177"/>
      <c r="E14" s="178"/>
      <c r="F14" s="179"/>
      <c r="G14" s="179"/>
      <c r="H14" s="179"/>
      <c r="I14" s="179"/>
      <c r="J14" s="179"/>
      <c r="K14" s="179"/>
      <c r="L14" s="179"/>
      <c r="M14" s="179"/>
      <c r="N14" s="179"/>
      <c r="O14" s="179"/>
      <c r="P14" s="177"/>
      <c r="Q14" s="181"/>
      <c r="R14" s="182"/>
      <c r="S14" s="182"/>
      <c r="T14" s="182"/>
      <c r="U14" s="182"/>
      <c r="V14" s="182"/>
      <c r="W14" s="182"/>
      <c r="X14" s="182"/>
      <c r="Y14" s="182"/>
      <c r="Z14" s="182"/>
      <c r="AA14" s="182"/>
      <c r="AB14" s="177"/>
      <c r="AC14" s="374"/>
      <c r="AD14" s="375"/>
      <c r="AE14" s="375"/>
      <c r="AF14" s="375"/>
      <c r="AG14" s="375"/>
      <c r="AH14" s="375"/>
      <c r="AI14" s="375"/>
      <c r="AJ14" s="375"/>
      <c r="AK14" s="375"/>
      <c r="AL14" s="375"/>
      <c r="AM14" s="375"/>
      <c r="AN14" s="376"/>
      <c r="AO14" s="374"/>
      <c r="AP14" s="375"/>
      <c r="AQ14" s="375"/>
      <c r="AR14" s="375"/>
      <c r="AS14" s="375"/>
      <c r="AT14" s="375"/>
      <c r="AU14" s="375"/>
      <c r="AV14" s="375"/>
      <c r="AW14" s="375"/>
      <c r="AX14" s="375"/>
      <c r="AY14" s="375"/>
      <c r="AZ14" s="376"/>
      <c r="BA14" s="401">
        <f t="shared" si="25"/>
        <v>0</v>
      </c>
    </row>
    <row r="15" spans="1:53" s="28" customFormat="1" ht="20.100000000000001" customHeight="1">
      <c r="A15" s="29" t="str">
        <f>Vecinos!A15</f>
        <v>Familia Coronel</v>
      </c>
      <c r="B15" s="30" t="str">
        <f>Vecinos!C15</f>
        <v>Av. "O" Nro. 146-10</v>
      </c>
      <c r="C15" s="35" t="str">
        <f>IF(SUMIFS(Vigilancia!$E:$E,Vigilancia!$F:$F,A15,Vigilancia!$J:$J,"Vigilancia")=BA15,"ü","û")</f>
        <v>ü</v>
      </c>
      <c r="D15" s="177"/>
      <c r="E15" s="178"/>
      <c r="F15" s="179"/>
      <c r="G15" s="179"/>
      <c r="H15" s="179"/>
      <c r="I15" s="179"/>
      <c r="J15" s="179"/>
      <c r="K15" s="179"/>
      <c r="L15" s="179"/>
      <c r="M15" s="179"/>
      <c r="N15" s="179"/>
      <c r="O15" s="179"/>
      <c r="P15" s="177"/>
      <c r="Q15" s="181"/>
      <c r="R15" s="182"/>
      <c r="S15" s="182"/>
      <c r="T15" s="182"/>
      <c r="U15" s="182"/>
      <c r="V15" s="182"/>
      <c r="W15" s="182"/>
      <c r="X15" s="182"/>
      <c r="Y15" s="182"/>
      <c r="Z15" s="182"/>
      <c r="AA15" s="182"/>
      <c r="AB15" s="177"/>
      <c r="AC15" s="374"/>
      <c r="AD15" s="375"/>
      <c r="AE15" s="375"/>
      <c r="AF15" s="375"/>
      <c r="AG15" s="375"/>
      <c r="AH15" s="375"/>
      <c r="AI15" s="375"/>
      <c r="AJ15" s="375"/>
      <c r="AK15" s="375"/>
      <c r="AL15" s="375"/>
      <c r="AM15" s="375"/>
      <c r="AN15" s="376"/>
      <c r="AO15" s="374"/>
      <c r="AP15" s="375"/>
      <c r="AQ15" s="375"/>
      <c r="AR15" s="375"/>
      <c r="AS15" s="375"/>
      <c r="AT15" s="375"/>
      <c r="AU15" s="375"/>
      <c r="AV15" s="375"/>
      <c r="AW15" s="375"/>
      <c r="AX15" s="375"/>
      <c r="AY15" s="375"/>
      <c r="AZ15" s="376"/>
      <c r="BA15" s="401">
        <f t="shared" si="25"/>
        <v>0</v>
      </c>
    </row>
    <row r="16" spans="1:53" s="28" customFormat="1" ht="20.100000000000001" customHeight="1">
      <c r="A16" s="32" t="str">
        <f>Vecinos!A16</f>
        <v>Familia Hurtado</v>
      </c>
      <c r="B16" s="33" t="str">
        <f>Vecinos!C16</f>
        <v>Av. "O" Nro. 146-11</v>
      </c>
      <c r="C16" s="34" t="str">
        <f>IF(SUMIFS(Vigilancia!$E:$E,Vigilancia!$F:$F,A16,Vigilancia!$J:$J,"Vigilancia")=BA16,"ü","û")</f>
        <v>ü</v>
      </c>
      <c r="D16" s="184"/>
      <c r="E16" s="185">
        <f>10500/100000</f>
        <v>0.105</v>
      </c>
      <c r="F16" s="186">
        <f>10500/100000+6500/100000</f>
        <v>0.16999999999999998</v>
      </c>
      <c r="G16" s="186">
        <f>10500/100000</f>
        <v>0.105</v>
      </c>
      <c r="H16" s="179">
        <f>17000/100000</f>
        <v>0.17</v>
      </c>
      <c r="I16" s="179">
        <f>20000/100000+6000/100000</f>
        <v>0.26</v>
      </c>
      <c r="J16" s="179">
        <f>26000/100000</f>
        <v>0.26</v>
      </c>
      <c r="K16" s="179">
        <f>20000/100000+15000/100000</f>
        <v>0.35</v>
      </c>
      <c r="L16" s="179">
        <f t="shared" ref="L16:N17" si="31">35000/100000</f>
        <v>0.35</v>
      </c>
      <c r="M16" s="179">
        <f t="shared" si="31"/>
        <v>0.35</v>
      </c>
      <c r="N16" s="179">
        <f t="shared" si="31"/>
        <v>0.35</v>
      </c>
      <c r="O16" s="179">
        <f>30000/100000+20000/100000</f>
        <v>0.5</v>
      </c>
      <c r="P16" s="177">
        <f>50000/100000</f>
        <v>0.5</v>
      </c>
      <c r="Q16" s="181">
        <f>30000/100000+50000/100000</f>
        <v>0.8</v>
      </c>
      <c r="R16" s="182">
        <f>50000/100000+30000/100000</f>
        <v>0.8</v>
      </c>
      <c r="S16" s="182">
        <f>140000/100000</f>
        <v>1.4</v>
      </c>
      <c r="T16" s="182">
        <f>140000/100000</f>
        <v>1.4</v>
      </c>
      <c r="U16" s="182">
        <f>400000/100000</f>
        <v>4</v>
      </c>
      <c r="V16" s="182">
        <f>400000/100000+225000/100000</f>
        <v>6.25</v>
      </c>
      <c r="W16" s="182">
        <f>1000000/100000</f>
        <v>10</v>
      </c>
      <c r="X16" s="189">
        <f>1000000/100000+2</f>
        <v>12</v>
      </c>
      <c r="Y16" s="182">
        <v>320</v>
      </c>
      <c r="Z16" s="182">
        <v>320</v>
      </c>
      <c r="AA16" s="182">
        <v>320</v>
      </c>
      <c r="AB16" s="177">
        <v>800</v>
      </c>
      <c r="AC16" s="374">
        <v>3000</v>
      </c>
      <c r="AD16" s="375">
        <v>3000</v>
      </c>
      <c r="AE16" s="375">
        <v>3000</v>
      </c>
      <c r="AF16" s="375">
        <f>3000+2000</f>
        <v>5000</v>
      </c>
      <c r="AG16" s="375">
        <v>8000</v>
      </c>
      <c r="AH16" s="375">
        <v>8000</v>
      </c>
      <c r="AI16" s="375">
        <v>10000</v>
      </c>
      <c r="AJ16" s="375">
        <v>10000</v>
      </c>
      <c r="AK16" s="375">
        <v>20300</v>
      </c>
      <c r="AL16" s="375">
        <v>64500</v>
      </c>
      <c r="AM16" s="375">
        <v>105250</v>
      </c>
      <c r="AN16" s="376">
        <v>105250</v>
      </c>
      <c r="AO16" s="379">
        <v>136250</v>
      </c>
      <c r="AP16" s="375">
        <v>185250</v>
      </c>
      <c r="AQ16" s="375">
        <v>185250</v>
      </c>
      <c r="AR16" s="375">
        <v>250000</v>
      </c>
      <c r="AS16" s="375">
        <v>250000</v>
      </c>
      <c r="AT16" s="375"/>
      <c r="AU16" s="375"/>
      <c r="AV16" s="375"/>
      <c r="AW16" s="375"/>
      <c r="AX16" s="375"/>
      <c r="AY16" s="375"/>
      <c r="AZ16" s="376"/>
      <c r="BA16" s="401">
        <f t="shared" si="25"/>
        <v>1353850.12</v>
      </c>
    </row>
    <row r="17" spans="1:53" s="28" customFormat="1" ht="20.100000000000001" customHeight="1">
      <c r="A17" s="29" t="str">
        <f>Vecinos!A17</f>
        <v>Ana de González</v>
      </c>
      <c r="B17" s="30" t="str">
        <f>Vecinos!C17</f>
        <v>Av. "O" Nro. 146-17</v>
      </c>
      <c r="C17" s="35" t="str">
        <f>IF(SUMIFS(Vigilancia!$E:$E,Vigilancia!$F:$F,A17,Vigilancia!$J:$J,"Vigilancia")=BA17,"ü","û")</f>
        <v>ü</v>
      </c>
      <c r="D17" s="177"/>
      <c r="E17" s="178">
        <f>17000/100000</f>
        <v>0.17</v>
      </c>
      <c r="F17" s="179">
        <f>17000/100000</f>
        <v>0.17</v>
      </c>
      <c r="G17" s="179">
        <f>17000/100000</f>
        <v>0.17</v>
      </c>
      <c r="H17" s="179">
        <f>17000/100000</f>
        <v>0.17</v>
      </c>
      <c r="I17" s="179">
        <f>17000/100000+9000/100000</f>
        <v>0.26</v>
      </c>
      <c r="J17" s="179">
        <f>17000/100000+9000/100000</f>
        <v>0.26</v>
      </c>
      <c r="K17" s="179">
        <f>26000/100000+9000/100000</f>
        <v>0.35</v>
      </c>
      <c r="L17" s="179">
        <f t="shared" si="31"/>
        <v>0.35</v>
      </c>
      <c r="M17" s="179">
        <f t="shared" si="31"/>
        <v>0.35</v>
      </c>
      <c r="N17" s="179">
        <f t="shared" si="31"/>
        <v>0.35</v>
      </c>
      <c r="O17" s="179">
        <f>50000/100000</f>
        <v>0.5</v>
      </c>
      <c r="P17" s="177">
        <f>50000/100000</f>
        <v>0.5</v>
      </c>
      <c r="Q17" s="181">
        <f>80000/100000</f>
        <v>0.8</v>
      </c>
      <c r="R17" s="182">
        <f>80000/100000</f>
        <v>0.8</v>
      </c>
      <c r="S17" s="182">
        <f>140000/100000</f>
        <v>1.4</v>
      </c>
      <c r="T17" s="182">
        <f>140000/100000</f>
        <v>1.4</v>
      </c>
      <c r="U17" s="182">
        <f>400000/100000</f>
        <v>4</v>
      </c>
      <c r="V17" s="182">
        <f>625000/100000</f>
        <v>6.25</v>
      </c>
      <c r="W17" s="182">
        <f>1000000/100000</f>
        <v>10</v>
      </c>
      <c r="X17" s="182">
        <v>12</v>
      </c>
      <c r="Y17" s="182">
        <v>320</v>
      </c>
      <c r="Z17" s="182">
        <v>320</v>
      </c>
      <c r="AA17" s="182">
        <v>320</v>
      </c>
      <c r="AB17" s="177">
        <v>800</v>
      </c>
      <c r="AC17" s="374">
        <v>3000</v>
      </c>
      <c r="AD17" s="375">
        <v>3000</v>
      </c>
      <c r="AE17" s="375">
        <v>3000</v>
      </c>
      <c r="AF17" s="375">
        <f>3000+2000</f>
        <v>5000</v>
      </c>
      <c r="AG17" s="375">
        <v>8000</v>
      </c>
      <c r="AH17" s="386">
        <v>2000</v>
      </c>
      <c r="AI17" s="375">
        <v>10000</v>
      </c>
      <c r="AJ17" s="375">
        <v>10000</v>
      </c>
      <c r="AK17" s="481">
        <v>21600</v>
      </c>
      <c r="AL17" s="375">
        <v>51250</v>
      </c>
      <c r="AM17" s="375">
        <v>73500</v>
      </c>
      <c r="AN17" s="376">
        <v>136250</v>
      </c>
      <c r="AO17" s="379">
        <v>136250</v>
      </c>
      <c r="AP17" s="375">
        <v>136250</v>
      </c>
      <c r="AQ17" s="375">
        <v>185250</v>
      </c>
      <c r="AR17" s="375">
        <v>186000</v>
      </c>
      <c r="AS17" s="375">
        <v>250000</v>
      </c>
      <c r="AT17" s="375">
        <v>250000</v>
      </c>
      <c r="AU17" s="375">
        <f>300000+20000</f>
        <v>320000</v>
      </c>
      <c r="AV17" s="375"/>
      <c r="AW17" s="375"/>
      <c r="AX17" s="375"/>
      <c r="AY17" s="375"/>
      <c r="AZ17" s="376"/>
      <c r="BA17" s="401">
        <f t="shared" si="25"/>
        <v>1792150.25</v>
      </c>
    </row>
    <row r="18" spans="1:53" s="28" customFormat="1" ht="20.100000000000001" customHeight="1">
      <c r="A18" s="29" t="str">
        <f>Vecinos!A18</f>
        <v>María Luisa Gornés</v>
      </c>
      <c r="B18" s="30" t="str">
        <f>Vecinos!C18</f>
        <v>Calle Guacara Nro. 87-05</v>
      </c>
      <c r="C18" s="35" t="str">
        <f>IF(SUMIFS(Vigilancia!$E:$E,Vigilancia!$F:$F,A18,Vigilancia!$J:$J,"Vigilancia")=BA18,"ü","û")</f>
        <v>ü</v>
      </c>
      <c r="D18" s="177"/>
      <c r="E18" s="178"/>
      <c r="F18" s="179"/>
      <c r="G18" s="179"/>
      <c r="H18" s="179"/>
      <c r="I18" s="179"/>
      <c r="J18" s="179"/>
      <c r="K18" s="179"/>
      <c r="L18" s="179"/>
      <c r="M18" s="179"/>
      <c r="N18" s="179"/>
      <c r="O18" s="179"/>
      <c r="P18" s="177"/>
      <c r="Q18" s="181"/>
      <c r="R18" s="182"/>
      <c r="S18" s="182"/>
      <c r="T18" s="182"/>
      <c r="U18" s="182"/>
      <c r="V18" s="182"/>
      <c r="W18" s="182"/>
      <c r="X18" s="182"/>
      <c r="Y18" s="182"/>
      <c r="Z18" s="182"/>
      <c r="AA18" s="182"/>
      <c r="AB18" s="177"/>
      <c r="AC18" s="374"/>
      <c r="AD18" s="375"/>
      <c r="AE18" s="375"/>
      <c r="AF18" s="375"/>
      <c r="AG18" s="375"/>
      <c r="AH18" s="375"/>
      <c r="AI18" s="375"/>
      <c r="AJ18" s="375"/>
      <c r="AK18" s="375"/>
      <c r="AL18" s="375"/>
      <c r="AM18" s="375"/>
      <c r="AN18" s="376"/>
      <c r="AO18" s="374"/>
      <c r="AP18" s="375"/>
      <c r="AQ18" s="375"/>
      <c r="AR18" s="375"/>
      <c r="AS18" s="375"/>
      <c r="AT18" s="375"/>
      <c r="AU18" s="375"/>
      <c r="AV18" s="375"/>
      <c r="AW18" s="375"/>
      <c r="AX18" s="375"/>
      <c r="AY18" s="375"/>
      <c r="AZ18" s="376"/>
      <c r="BA18" s="401">
        <f t="shared" si="25"/>
        <v>0</v>
      </c>
    </row>
    <row r="19" spans="1:53" s="28" customFormat="1" ht="20.100000000000001" customHeight="1">
      <c r="A19" s="29" t="str">
        <f>Vecinos!A19</f>
        <v>Familia Aponte . Anexo</v>
      </c>
      <c r="B19" s="30" t="str">
        <f>Vecinos!C19</f>
        <v>Calle Guacara Nro. 87-05</v>
      </c>
      <c r="C19" s="35" t="str">
        <f>IF(SUMIFS(Vigilancia!$E:$E,Vigilancia!$F:$F,A19,Vigilancia!$J:$J,"Vigilancia")=BA19,"ü","û")</f>
        <v>ü</v>
      </c>
      <c r="D19" s="177"/>
      <c r="E19" s="178"/>
      <c r="F19" s="179"/>
      <c r="G19" s="179"/>
      <c r="H19" s="179"/>
      <c r="I19" s="179"/>
      <c r="J19" s="179"/>
      <c r="K19" s="179"/>
      <c r="L19" s="179"/>
      <c r="M19" s="179"/>
      <c r="N19" s="179"/>
      <c r="O19" s="179"/>
      <c r="P19" s="177"/>
      <c r="Q19" s="181"/>
      <c r="R19" s="182"/>
      <c r="S19" s="182"/>
      <c r="T19" s="182"/>
      <c r="U19" s="182"/>
      <c r="V19" s="182"/>
      <c r="W19" s="182"/>
      <c r="X19" s="182"/>
      <c r="Y19" s="182"/>
      <c r="Z19" s="182"/>
      <c r="AA19" s="182"/>
      <c r="AB19" s="177"/>
      <c r="AC19" s="374"/>
      <c r="AD19" s="375"/>
      <c r="AE19" s="375"/>
      <c r="AF19" s="375"/>
      <c r="AG19" s="375"/>
      <c r="AH19" s="375"/>
      <c r="AI19" s="375"/>
      <c r="AJ19" s="375"/>
      <c r="AK19" s="375"/>
      <c r="AL19" s="375"/>
      <c r="AM19" s="375"/>
      <c r="AN19" s="376"/>
      <c r="AO19" s="374"/>
      <c r="AP19" s="375"/>
      <c r="AQ19" s="375"/>
      <c r="AR19" s="375"/>
      <c r="AS19" s="375"/>
      <c r="AT19" s="375"/>
      <c r="AU19" s="375"/>
      <c r="AV19" s="375"/>
      <c r="AW19" s="375"/>
      <c r="AX19" s="375"/>
      <c r="AY19" s="375"/>
      <c r="AZ19" s="376"/>
      <c r="BA19" s="401">
        <f t="shared" si="25"/>
        <v>0</v>
      </c>
    </row>
    <row r="20" spans="1:53" s="28" customFormat="1" ht="20.100000000000001" customHeight="1">
      <c r="A20" s="32" t="str">
        <f>Vecinos!A20</f>
        <v>Familia Franco Gómez</v>
      </c>
      <c r="B20" s="33" t="str">
        <f>Vecinos!C20</f>
        <v>Calle Guacara Nro. 87-07</v>
      </c>
      <c r="C20" s="34" t="str">
        <f>IF(SUMIFS(Vigilancia!$E:$E,Vigilancia!$F:$F,A20,Vigilancia!$J:$J,"Vigilancia")=BA20,"ü","û")</f>
        <v>ü</v>
      </c>
      <c r="D20" s="184"/>
      <c r="E20" s="185">
        <f t="shared" ref="E20:K20" si="32">17000/100000</f>
        <v>0.17</v>
      </c>
      <c r="F20" s="186">
        <f t="shared" si="32"/>
        <v>0.17</v>
      </c>
      <c r="G20" s="186">
        <f t="shared" si="32"/>
        <v>0.17</v>
      </c>
      <c r="H20" s="186">
        <f t="shared" si="32"/>
        <v>0.17</v>
      </c>
      <c r="I20" s="186">
        <f t="shared" si="32"/>
        <v>0.17</v>
      </c>
      <c r="J20" s="186">
        <f t="shared" si="32"/>
        <v>0.17</v>
      </c>
      <c r="K20" s="186">
        <f t="shared" si="32"/>
        <v>0.17</v>
      </c>
      <c r="L20" s="186">
        <f>20000/100000</f>
        <v>0.2</v>
      </c>
      <c r="M20" s="186">
        <f>25000/100000</f>
        <v>0.25</v>
      </c>
      <c r="N20" s="186">
        <f>25000/100000</f>
        <v>0.25</v>
      </c>
      <c r="O20" s="186">
        <f>25000/100000</f>
        <v>0.25</v>
      </c>
      <c r="P20" s="184">
        <f>25000/100000</f>
        <v>0.25</v>
      </c>
      <c r="Q20" s="181">
        <f>80000/100000</f>
        <v>0.8</v>
      </c>
      <c r="R20" s="182">
        <f>80000/100000</f>
        <v>0.8</v>
      </c>
      <c r="S20" s="182">
        <f>140000/100000</f>
        <v>1.4</v>
      </c>
      <c r="T20" s="182">
        <f>140000/100000</f>
        <v>1.4</v>
      </c>
      <c r="U20" s="190">
        <f>10000/100000+190000/100000</f>
        <v>2</v>
      </c>
      <c r="V20" s="182">
        <f>400000/100000+225000/100000</f>
        <v>6.25</v>
      </c>
      <c r="W20" s="182">
        <f>1000000/100000</f>
        <v>10</v>
      </c>
      <c r="X20" s="182">
        <f>1200000/100000</f>
        <v>12</v>
      </c>
      <c r="Y20" s="182">
        <v>160</v>
      </c>
      <c r="Z20" s="182">
        <v>320</v>
      </c>
      <c r="AA20" s="182">
        <v>320</v>
      </c>
      <c r="AB20" s="177">
        <v>800</v>
      </c>
      <c r="AC20" s="379">
        <f>800+1600+600</f>
        <v>3000</v>
      </c>
      <c r="AD20" s="375">
        <v>3000</v>
      </c>
      <c r="AE20" s="375">
        <v>3000</v>
      </c>
      <c r="AF20" s="375">
        <f>3000+2000</f>
        <v>5000</v>
      </c>
      <c r="AG20" s="375">
        <f>5000+3000</f>
        <v>8000</v>
      </c>
      <c r="AH20" s="375">
        <v>8000</v>
      </c>
      <c r="AI20" s="375">
        <v>10000</v>
      </c>
      <c r="AJ20" s="375">
        <v>10000</v>
      </c>
      <c r="AK20" s="375">
        <f>10000+10500</f>
        <v>20500</v>
      </c>
      <c r="AL20" s="372">
        <f>21100</f>
        <v>21100</v>
      </c>
      <c r="AM20" s="372">
        <v>33750</v>
      </c>
      <c r="AN20" s="373">
        <v>32700</v>
      </c>
      <c r="AO20" s="371">
        <v>54500</v>
      </c>
      <c r="AP20" s="372">
        <v>60500</v>
      </c>
      <c r="AQ20" s="372">
        <f>260225-185250</f>
        <v>74975</v>
      </c>
      <c r="AR20" s="372">
        <f>260225-185250</f>
        <v>74975</v>
      </c>
      <c r="AS20" s="372">
        <f>270000-185250+40250</f>
        <v>125000</v>
      </c>
      <c r="AT20" s="372">
        <v>150000</v>
      </c>
      <c r="AU20" s="372">
        <v>160000</v>
      </c>
      <c r="AV20" s="372"/>
      <c r="AW20" s="372"/>
      <c r="AX20" s="372"/>
      <c r="AY20" s="372"/>
      <c r="AZ20" s="373"/>
      <c r="BA20" s="400">
        <f t="shared" si="25"/>
        <v>859637.04</v>
      </c>
    </row>
    <row r="21" spans="1:53" s="28" customFormat="1" ht="20.100000000000001" customHeight="1">
      <c r="A21" s="36" t="str">
        <f>Vecinos!A21</f>
        <v>Doris Valderrama</v>
      </c>
      <c r="B21" s="37" t="str">
        <f>Vecinos!C21</f>
        <v>Calle Guacara Nro. 87-15</v>
      </c>
      <c r="C21" s="38" t="str">
        <f>IF(SUMIFS(Vigilancia!$E:$E,Vigilancia!$F:$F,A21,Vigilancia!$J:$J,"Vigilancia")=BA21,"ü","û")</f>
        <v>ü</v>
      </c>
      <c r="D21" s="195"/>
      <c r="E21" s="196"/>
      <c r="F21" s="197"/>
      <c r="G21" s="197"/>
      <c r="H21" s="197"/>
      <c r="I21" s="197"/>
      <c r="J21" s="197"/>
      <c r="K21" s="197"/>
      <c r="L21" s="197"/>
      <c r="M21" s="197"/>
      <c r="N21" s="197"/>
      <c r="O21" s="197"/>
      <c r="P21" s="195"/>
      <c r="Q21" s="198"/>
      <c r="R21" s="199"/>
      <c r="S21" s="199"/>
      <c r="T21" s="199"/>
      <c r="U21" s="199"/>
      <c r="V21" s="199"/>
      <c r="W21" s="199"/>
      <c r="X21" s="199"/>
      <c r="Y21" s="199"/>
      <c r="Z21" s="199"/>
      <c r="AA21" s="199"/>
      <c r="AB21" s="195"/>
      <c r="AC21" s="382"/>
      <c r="AD21" s="383"/>
      <c r="AE21" s="383"/>
      <c r="AF21" s="383"/>
      <c r="AG21" s="383"/>
      <c r="AH21" s="383"/>
      <c r="AI21" s="383"/>
      <c r="AJ21" s="383"/>
      <c r="AK21" s="383"/>
      <c r="AL21" s="383"/>
      <c r="AM21" s="383"/>
      <c r="AN21" s="384"/>
      <c r="AO21" s="382"/>
      <c r="AP21" s="383"/>
      <c r="AQ21" s="383"/>
      <c r="AR21" s="383"/>
      <c r="AS21" s="383"/>
      <c r="AT21" s="383"/>
      <c r="AU21" s="383"/>
      <c r="AV21" s="383"/>
      <c r="AW21" s="383"/>
      <c r="AX21" s="383"/>
      <c r="AY21" s="383"/>
      <c r="AZ21" s="384"/>
      <c r="BA21" s="402">
        <f t="shared" si="25"/>
        <v>0</v>
      </c>
    </row>
    <row r="22" spans="1:53" s="28" customFormat="1" ht="20.100000000000001" customHeight="1">
      <c r="A22" s="36" t="str">
        <f>Vecinos!A22</f>
        <v>Familia Delgado</v>
      </c>
      <c r="B22" s="37" t="str">
        <f>Vecinos!C22</f>
        <v>Calle Guacara Nro. 87-19</v>
      </c>
      <c r="C22" s="38" t="str">
        <f>IF(SUMIFS(Vigilancia!$E:$E,Vigilancia!$F:$F,A22,Vigilancia!$J:$J,"Vigilancia")=BA22,"ü","û")</f>
        <v>ü</v>
      </c>
      <c r="D22" s="195"/>
      <c r="E22" s="196"/>
      <c r="F22" s="197"/>
      <c r="G22" s="197"/>
      <c r="H22" s="197"/>
      <c r="I22" s="197"/>
      <c r="J22" s="197"/>
      <c r="K22" s="197"/>
      <c r="L22" s="197"/>
      <c r="M22" s="197"/>
      <c r="N22" s="197"/>
      <c r="O22" s="197"/>
      <c r="P22" s="195"/>
      <c r="Q22" s="198"/>
      <c r="R22" s="199"/>
      <c r="S22" s="199"/>
      <c r="T22" s="199"/>
      <c r="U22" s="199"/>
      <c r="V22" s="199"/>
      <c r="W22" s="199"/>
      <c r="X22" s="199"/>
      <c r="Y22" s="199"/>
      <c r="Z22" s="199"/>
      <c r="AA22" s="199"/>
      <c r="AB22" s="195"/>
      <c r="AC22" s="382"/>
      <c r="AD22" s="383"/>
      <c r="AE22" s="383"/>
      <c r="AF22" s="383"/>
      <c r="AG22" s="383"/>
      <c r="AH22" s="383"/>
      <c r="AI22" s="383"/>
      <c r="AJ22" s="383"/>
      <c r="AK22" s="383"/>
      <c r="AL22" s="383"/>
      <c r="AM22" s="383"/>
      <c r="AN22" s="384"/>
      <c r="AO22" s="382"/>
      <c r="AP22" s="383"/>
      <c r="AQ22" s="383"/>
      <c r="AR22" s="383"/>
      <c r="AS22" s="383"/>
      <c r="AT22" s="383"/>
      <c r="AU22" s="383"/>
      <c r="AV22" s="383"/>
      <c r="AW22" s="383"/>
      <c r="AX22" s="383"/>
      <c r="AY22" s="383"/>
      <c r="AZ22" s="384"/>
      <c r="BA22" s="402">
        <f t="shared" si="25"/>
        <v>0</v>
      </c>
    </row>
    <row r="23" spans="1:53" s="28" customFormat="1" ht="20.100000000000001" customHeight="1">
      <c r="A23" s="36" t="str">
        <f>Vecinos!A23</f>
        <v>Familia Pereira</v>
      </c>
      <c r="B23" s="37" t="str">
        <f>Vecinos!C23</f>
        <v>Calle Guacara Nro. 87-27</v>
      </c>
      <c r="C23" s="38" t="str">
        <f>IF(SUMIFS(Vigilancia!$E:$E,Vigilancia!$F:$F,A23,Vigilancia!$J:$J,"Vigilancia")=BA23,"ü","û")</f>
        <v>ü</v>
      </c>
      <c r="D23" s="195"/>
      <c r="E23" s="196"/>
      <c r="F23" s="197"/>
      <c r="G23" s="197"/>
      <c r="H23" s="197"/>
      <c r="I23" s="197"/>
      <c r="J23" s="197"/>
      <c r="K23" s="197"/>
      <c r="L23" s="197"/>
      <c r="M23" s="197"/>
      <c r="N23" s="197"/>
      <c r="O23" s="197"/>
      <c r="P23" s="195"/>
      <c r="Q23" s="198"/>
      <c r="R23" s="199"/>
      <c r="S23" s="199"/>
      <c r="T23" s="199"/>
      <c r="U23" s="199"/>
      <c r="V23" s="199"/>
      <c r="W23" s="199"/>
      <c r="X23" s="199"/>
      <c r="Y23" s="199"/>
      <c r="Z23" s="199"/>
      <c r="AA23" s="199"/>
      <c r="AB23" s="195"/>
      <c r="AC23" s="382"/>
      <c r="AD23" s="383"/>
      <c r="AE23" s="383"/>
      <c r="AF23" s="383"/>
      <c r="AG23" s="383"/>
      <c r="AH23" s="383"/>
      <c r="AI23" s="383"/>
      <c r="AJ23" s="383"/>
      <c r="AK23" s="383"/>
      <c r="AL23" s="383"/>
      <c r="AM23" s="383"/>
      <c r="AN23" s="384"/>
      <c r="AO23" s="382"/>
      <c r="AP23" s="383"/>
      <c r="AQ23" s="383"/>
      <c r="AR23" s="383"/>
      <c r="AS23" s="383"/>
      <c r="AT23" s="383"/>
      <c r="AU23" s="383"/>
      <c r="AV23" s="383"/>
      <c r="AW23" s="383"/>
      <c r="AX23" s="383"/>
      <c r="AY23" s="383"/>
      <c r="AZ23" s="384"/>
      <c r="BA23" s="402">
        <f t="shared" si="25"/>
        <v>0</v>
      </c>
    </row>
    <row r="24" spans="1:53" s="28" customFormat="1" ht="20.100000000000001" customHeight="1">
      <c r="A24" s="36" t="str">
        <f>Vecinos!A24</f>
        <v>Familia Padrón C. Bollingher</v>
      </c>
      <c r="B24" s="37" t="str">
        <f>Vecinos!C24</f>
        <v>Calle Guacara Nro. 87-30</v>
      </c>
      <c r="C24" s="38" t="str">
        <f>IF(SUMIFS(Vigilancia!$E:$E,Vigilancia!$F:$F,A24,Vigilancia!$J:$J,"Vigilancia")=BA24,"ü","û")</f>
        <v>ü</v>
      </c>
      <c r="D24" s="195"/>
      <c r="E24" s="196"/>
      <c r="F24" s="197"/>
      <c r="G24" s="197"/>
      <c r="H24" s="197"/>
      <c r="I24" s="197"/>
      <c r="J24" s="197"/>
      <c r="K24" s="197"/>
      <c r="L24" s="197"/>
      <c r="M24" s="197"/>
      <c r="N24" s="197"/>
      <c r="O24" s="197"/>
      <c r="P24" s="195"/>
      <c r="Q24" s="198"/>
      <c r="R24" s="199"/>
      <c r="S24" s="199"/>
      <c r="T24" s="199"/>
      <c r="U24" s="199"/>
      <c r="V24" s="199"/>
      <c r="W24" s="199"/>
      <c r="X24" s="199"/>
      <c r="Y24" s="199"/>
      <c r="Z24" s="199"/>
      <c r="AA24" s="199"/>
      <c r="AB24" s="195"/>
      <c r="AC24" s="382"/>
      <c r="AD24" s="383"/>
      <c r="AE24" s="383"/>
      <c r="AF24" s="383"/>
      <c r="AG24" s="383"/>
      <c r="AH24" s="383"/>
      <c r="AI24" s="383"/>
      <c r="AJ24" s="383"/>
      <c r="AK24" s="383"/>
      <c r="AL24" s="383"/>
      <c r="AM24" s="383"/>
      <c r="AN24" s="384"/>
      <c r="AO24" s="382"/>
      <c r="AP24" s="383"/>
      <c r="AQ24" s="383"/>
      <c r="AR24" s="383"/>
      <c r="AS24" s="383"/>
      <c r="AT24" s="383"/>
      <c r="AU24" s="383"/>
      <c r="AV24" s="383"/>
      <c r="AW24" s="383"/>
      <c r="AX24" s="383"/>
      <c r="AY24" s="383"/>
      <c r="AZ24" s="384"/>
      <c r="BA24" s="402">
        <f t="shared" si="25"/>
        <v>0</v>
      </c>
    </row>
    <row r="25" spans="1:53" s="28" customFormat="1" ht="20.100000000000001" customHeight="1">
      <c r="A25" s="36" t="str">
        <f>Vecinos!A25</f>
        <v>Familia Morillo</v>
      </c>
      <c r="B25" s="37" t="str">
        <f>Vecinos!C25</f>
        <v>Calle Guacara Nro. 87-35</v>
      </c>
      <c r="C25" s="38" t="str">
        <f>IF(SUMIFS(Vigilancia!$E:$E,Vigilancia!$F:$F,A25,Vigilancia!$J:$J,"Vigilancia")=BA25,"ü","û")</f>
        <v>ü</v>
      </c>
      <c r="D25" s="195"/>
      <c r="E25" s="196"/>
      <c r="F25" s="197"/>
      <c r="G25" s="197"/>
      <c r="H25" s="197"/>
      <c r="I25" s="197"/>
      <c r="J25" s="197"/>
      <c r="K25" s="197"/>
      <c r="L25" s="197"/>
      <c r="M25" s="197"/>
      <c r="N25" s="197"/>
      <c r="O25" s="197"/>
      <c r="P25" s="195"/>
      <c r="Q25" s="198"/>
      <c r="R25" s="199"/>
      <c r="S25" s="199"/>
      <c r="T25" s="199"/>
      <c r="U25" s="199"/>
      <c r="V25" s="199"/>
      <c r="W25" s="199"/>
      <c r="X25" s="199"/>
      <c r="Y25" s="199"/>
      <c r="Z25" s="199"/>
      <c r="AA25" s="199"/>
      <c r="AB25" s="195"/>
      <c r="AC25" s="382"/>
      <c r="AD25" s="383"/>
      <c r="AE25" s="383"/>
      <c r="AF25" s="383"/>
      <c r="AG25" s="383"/>
      <c r="AH25" s="383"/>
      <c r="AI25" s="383"/>
      <c r="AJ25" s="383"/>
      <c r="AK25" s="383"/>
      <c r="AL25" s="383"/>
      <c r="AM25" s="383"/>
      <c r="AN25" s="384"/>
      <c r="AO25" s="382"/>
      <c r="AP25" s="383"/>
      <c r="AQ25" s="383"/>
      <c r="AR25" s="383"/>
      <c r="AS25" s="383"/>
      <c r="AT25" s="383"/>
      <c r="AU25" s="383"/>
      <c r="AV25" s="383"/>
      <c r="AW25" s="383"/>
      <c r="AX25" s="383"/>
      <c r="AY25" s="383"/>
      <c r="AZ25" s="384"/>
      <c r="BA25" s="402">
        <f t="shared" si="25"/>
        <v>0</v>
      </c>
    </row>
    <row r="26" spans="1:53" s="28" customFormat="1" ht="20.100000000000001" customHeight="1">
      <c r="A26" s="36" t="str">
        <f>Vecinos!A26</f>
        <v>Familia Gorrín Gianfrancesco</v>
      </c>
      <c r="B26" s="37" t="str">
        <f>Vecinos!C26</f>
        <v>Calle Guacara Nro. 87-40</v>
      </c>
      <c r="C26" s="38" t="str">
        <f>IF(SUMIFS(Vigilancia!$E:$E,Vigilancia!$F:$F,A26,Vigilancia!$J:$J,"Vigilancia")=BA26,"ü","û")</f>
        <v>ü</v>
      </c>
      <c r="D26" s="195"/>
      <c r="E26" s="196"/>
      <c r="F26" s="197"/>
      <c r="G26" s="197"/>
      <c r="H26" s="197"/>
      <c r="I26" s="197"/>
      <c r="J26" s="197"/>
      <c r="K26" s="197"/>
      <c r="L26" s="197"/>
      <c r="M26" s="197"/>
      <c r="N26" s="197"/>
      <c r="O26" s="197"/>
      <c r="P26" s="195"/>
      <c r="Q26" s="198"/>
      <c r="R26" s="199"/>
      <c r="S26" s="199"/>
      <c r="T26" s="199"/>
      <c r="U26" s="199"/>
      <c r="V26" s="199"/>
      <c r="W26" s="199"/>
      <c r="X26" s="199"/>
      <c r="Y26" s="199"/>
      <c r="Z26" s="199"/>
      <c r="AA26" s="199"/>
      <c r="AB26" s="195"/>
      <c r="AC26" s="382"/>
      <c r="AD26" s="383"/>
      <c r="AE26" s="383"/>
      <c r="AF26" s="383"/>
      <c r="AG26" s="383"/>
      <c r="AH26" s="383"/>
      <c r="AI26" s="383"/>
      <c r="AJ26" s="383"/>
      <c r="AK26" s="383"/>
      <c r="AL26" s="383"/>
      <c r="AM26" s="383"/>
      <c r="AN26" s="384"/>
      <c r="AO26" s="382"/>
      <c r="AP26" s="383"/>
      <c r="AQ26" s="383"/>
      <c r="AR26" s="383"/>
      <c r="AS26" s="383"/>
      <c r="AT26" s="383"/>
      <c r="AU26" s="383"/>
      <c r="AV26" s="383"/>
      <c r="AW26" s="383"/>
      <c r="AX26" s="383"/>
      <c r="AY26" s="383"/>
      <c r="AZ26" s="384"/>
      <c r="BA26" s="402">
        <f t="shared" si="25"/>
        <v>0</v>
      </c>
    </row>
    <row r="27" spans="1:53" s="28" customFormat="1" ht="20.100000000000001" customHeight="1">
      <c r="A27" s="36" t="str">
        <f>Vecinos!A27</f>
        <v>Familia Moretti</v>
      </c>
      <c r="B27" s="37" t="str">
        <f>Vecinos!C27</f>
        <v>Calle Guacara Nro. 87-51</v>
      </c>
      <c r="C27" s="38" t="str">
        <f>IF(SUMIFS(Vigilancia!$E:$E,Vigilancia!$F:$F,A27,Vigilancia!$J:$J,"Vigilancia")=BA27,"ü","û")</f>
        <v>ü</v>
      </c>
      <c r="D27" s="195"/>
      <c r="E27" s="196"/>
      <c r="F27" s="197"/>
      <c r="G27" s="197"/>
      <c r="H27" s="197"/>
      <c r="I27" s="197"/>
      <c r="J27" s="197"/>
      <c r="K27" s="197"/>
      <c r="L27" s="197"/>
      <c r="M27" s="197"/>
      <c r="N27" s="197"/>
      <c r="O27" s="197"/>
      <c r="P27" s="195"/>
      <c r="Q27" s="198"/>
      <c r="R27" s="199"/>
      <c r="S27" s="199"/>
      <c r="T27" s="199"/>
      <c r="U27" s="199"/>
      <c r="V27" s="199"/>
      <c r="W27" s="199"/>
      <c r="X27" s="199"/>
      <c r="Y27" s="199"/>
      <c r="Z27" s="199"/>
      <c r="AA27" s="199"/>
      <c r="AB27" s="195"/>
      <c r="AC27" s="382"/>
      <c r="AD27" s="383"/>
      <c r="AE27" s="383"/>
      <c r="AF27" s="383"/>
      <c r="AG27" s="383"/>
      <c r="AH27" s="383"/>
      <c r="AI27" s="383"/>
      <c r="AJ27" s="383"/>
      <c r="AK27" s="383"/>
      <c r="AL27" s="383"/>
      <c r="AM27" s="383"/>
      <c r="AN27" s="384"/>
      <c r="AO27" s="382"/>
      <c r="AP27" s="383"/>
      <c r="AQ27" s="383"/>
      <c r="AR27" s="383"/>
      <c r="AS27" s="383"/>
      <c r="AT27" s="383"/>
      <c r="AU27" s="383"/>
      <c r="AV27" s="383"/>
      <c r="AW27" s="383"/>
      <c r="AX27" s="383"/>
      <c r="AY27" s="383"/>
      <c r="AZ27" s="384"/>
      <c r="BA27" s="402">
        <f t="shared" si="25"/>
        <v>0</v>
      </c>
    </row>
    <row r="28" spans="1:53" s="28" customFormat="1" ht="20.100000000000001" customHeight="1">
      <c r="A28" s="36" t="str">
        <f>Vecinos!A28</f>
        <v>Familia Ramírez (Guacara)</v>
      </c>
      <c r="B28" s="37" t="str">
        <f>Vecinos!C28</f>
        <v>Calle Guacara Nro. 87-59</v>
      </c>
      <c r="C28" s="38" t="str">
        <f>IF(SUMIFS(Vigilancia!$E:$E,Vigilancia!$F:$F,A28,Vigilancia!$J:$J,"Vigilancia")=BA28,"ü","û")</f>
        <v>ü</v>
      </c>
      <c r="D28" s="195"/>
      <c r="E28" s="196"/>
      <c r="F28" s="197"/>
      <c r="G28" s="197"/>
      <c r="H28" s="197"/>
      <c r="I28" s="197"/>
      <c r="J28" s="197"/>
      <c r="K28" s="197"/>
      <c r="L28" s="197"/>
      <c r="M28" s="197"/>
      <c r="N28" s="197"/>
      <c r="O28" s="197"/>
      <c r="P28" s="195"/>
      <c r="Q28" s="198"/>
      <c r="R28" s="199"/>
      <c r="S28" s="199"/>
      <c r="T28" s="199"/>
      <c r="U28" s="199"/>
      <c r="V28" s="199"/>
      <c r="W28" s="199"/>
      <c r="X28" s="199"/>
      <c r="Y28" s="199"/>
      <c r="Z28" s="199"/>
      <c r="AA28" s="199"/>
      <c r="AB28" s="195"/>
      <c r="AC28" s="382"/>
      <c r="AD28" s="383"/>
      <c r="AE28" s="383"/>
      <c r="AF28" s="383"/>
      <c r="AG28" s="383"/>
      <c r="AH28" s="383"/>
      <c r="AI28" s="383"/>
      <c r="AJ28" s="383"/>
      <c r="AK28" s="383"/>
      <c r="AL28" s="383"/>
      <c r="AM28" s="383"/>
      <c r="AN28" s="384"/>
      <c r="AO28" s="382"/>
      <c r="AP28" s="383"/>
      <c r="AQ28" s="383"/>
      <c r="AR28" s="383"/>
      <c r="AS28" s="383"/>
      <c r="AT28" s="383"/>
      <c r="AU28" s="383"/>
      <c r="AV28" s="383"/>
      <c r="AW28" s="383"/>
      <c r="AX28" s="383"/>
      <c r="AY28" s="383"/>
      <c r="AZ28" s="384"/>
      <c r="BA28" s="402">
        <f t="shared" si="25"/>
        <v>0</v>
      </c>
    </row>
    <row r="29" spans="1:53" s="28" customFormat="1" ht="20.100000000000001" customHeight="1">
      <c r="A29" s="36" t="str">
        <f>Vecinos!A29</f>
        <v>Familia De Sousa Pereira</v>
      </c>
      <c r="B29" s="37" t="str">
        <f>Vecinos!C29</f>
        <v>Calle Guacara Nro. 87-65</v>
      </c>
      <c r="C29" s="38" t="str">
        <f>IF(SUMIFS(Vigilancia!$E:$E,Vigilancia!$F:$F,A29,Vigilancia!$J:$J,"Vigilancia")=BA29,"ü","û")</f>
        <v>ü</v>
      </c>
      <c r="D29" s="195"/>
      <c r="E29" s="196"/>
      <c r="F29" s="197"/>
      <c r="G29" s="197"/>
      <c r="H29" s="197"/>
      <c r="I29" s="197"/>
      <c r="J29" s="197"/>
      <c r="K29" s="197"/>
      <c r="L29" s="197"/>
      <c r="M29" s="197"/>
      <c r="N29" s="197"/>
      <c r="O29" s="197"/>
      <c r="P29" s="195"/>
      <c r="Q29" s="198"/>
      <c r="R29" s="199"/>
      <c r="S29" s="199"/>
      <c r="T29" s="199"/>
      <c r="U29" s="199"/>
      <c r="V29" s="199"/>
      <c r="W29" s="199"/>
      <c r="X29" s="199"/>
      <c r="Y29" s="199"/>
      <c r="Z29" s="199"/>
      <c r="AA29" s="199"/>
      <c r="AB29" s="195"/>
      <c r="AC29" s="382"/>
      <c r="AD29" s="383"/>
      <c r="AE29" s="383"/>
      <c r="AF29" s="383"/>
      <c r="AG29" s="383"/>
      <c r="AH29" s="383"/>
      <c r="AI29" s="383"/>
      <c r="AJ29" s="383"/>
      <c r="AK29" s="383"/>
      <c r="AL29" s="383"/>
      <c r="AM29" s="383"/>
      <c r="AN29" s="384"/>
      <c r="AO29" s="382"/>
      <c r="AP29" s="383"/>
      <c r="AQ29" s="383"/>
      <c r="AR29" s="383"/>
      <c r="AS29" s="383"/>
      <c r="AT29" s="383"/>
      <c r="AU29" s="383"/>
      <c r="AV29" s="383"/>
      <c r="AW29" s="383"/>
      <c r="AX29" s="383"/>
      <c r="AY29" s="383"/>
      <c r="AZ29" s="384"/>
      <c r="BA29" s="402">
        <f t="shared" si="25"/>
        <v>0</v>
      </c>
    </row>
    <row r="30" spans="1:53" s="28" customFormat="1" ht="20.100000000000001" customHeight="1">
      <c r="A30" s="36" t="str">
        <f>Vecinos!A30</f>
        <v>Familia De Libero Marinelli</v>
      </c>
      <c r="B30" s="37" t="str">
        <f>Vecinos!C30</f>
        <v>Calle Guacara Nro. 87-70</v>
      </c>
      <c r="C30" s="38" t="str">
        <f>IF(SUMIFS(Vigilancia!$E:$E,Vigilancia!$F:$F,A30,Vigilancia!$J:$J,"Vigilancia")=BA30,"ü","û")</f>
        <v>ü</v>
      </c>
      <c r="D30" s="195"/>
      <c r="E30" s="196"/>
      <c r="F30" s="197"/>
      <c r="G30" s="197"/>
      <c r="H30" s="197"/>
      <c r="I30" s="197"/>
      <c r="J30" s="197"/>
      <c r="K30" s="197"/>
      <c r="L30" s="197"/>
      <c r="M30" s="197"/>
      <c r="N30" s="197"/>
      <c r="O30" s="197"/>
      <c r="P30" s="195"/>
      <c r="Q30" s="198"/>
      <c r="R30" s="199"/>
      <c r="S30" s="199"/>
      <c r="T30" s="199"/>
      <c r="U30" s="199"/>
      <c r="V30" s="199"/>
      <c r="W30" s="199"/>
      <c r="X30" s="199"/>
      <c r="Y30" s="199"/>
      <c r="Z30" s="199"/>
      <c r="AA30" s="199"/>
      <c r="AB30" s="195"/>
      <c r="AC30" s="382"/>
      <c r="AD30" s="383"/>
      <c r="AE30" s="383"/>
      <c r="AF30" s="383"/>
      <c r="AG30" s="383"/>
      <c r="AH30" s="383"/>
      <c r="AI30" s="383"/>
      <c r="AJ30" s="383"/>
      <c r="AK30" s="383"/>
      <c r="AL30" s="383"/>
      <c r="AM30" s="383"/>
      <c r="AN30" s="384"/>
      <c r="AO30" s="382"/>
      <c r="AP30" s="383"/>
      <c r="AQ30" s="383"/>
      <c r="AR30" s="383"/>
      <c r="AS30" s="383"/>
      <c r="AT30" s="383"/>
      <c r="AU30" s="383"/>
      <c r="AV30" s="383"/>
      <c r="AW30" s="383"/>
      <c r="AX30" s="383"/>
      <c r="AY30" s="383"/>
      <c r="AZ30" s="384"/>
      <c r="BA30" s="402">
        <f t="shared" si="25"/>
        <v>0</v>
      </c>
    </row>
    <row r="31" spans="1:53" s="28" customFormat="1" ht="20.100000000000001" customHeight="1">
      <c r="A31" s="36" t="str">
        <f>Vecinos!A31</f>
        <v>Familia Martínez</v>
      </c>
      <c r="B31" s="37" t="str">
        <f>Vecinos!C31</f>
        <v>Calle Guacara Nro. 87-80</v>
      </c>
      <c r="C31" s="38" t="str">
        <f>IF(SUMIFS(Vigilancia!$E:$E,Vigilancia!$F:$F,A31,Vigilancia!$J:$J,"Vigilancia")=BA31,"ü","û")</f>
        <v>ü</v>
      </c>
      <c r="D31" s="195"/>
      <c r="E31" s="196"/>
      <c r="F31" s="197"/>
      <c r="G31" s="197"/>
      <c r="H31" s="197"/>
      <c r="I31" s="197"/>
      <c r="J31" s="197"/>
      <c r="K31" s="197"/>
      <c r="L31" s="197"/>
      <c r="M31" s="197"/>
      <c r="N31" s="197"/>
      <c r="O31" s="197"/>
      <c r="P31" s="195"/>
      <c r="Q31" s="198"/>
      <c r="R31" s="199"/>
      <c r="S31" s="199"/>
      <c r="T31" s="199"/>
      <c r="U31" s="199"/>
      <c r="V31" s="199"/>
      <c r="W31" s="199"/>
      <c r="X31" s="199"/>
      <c r="Y31" s="199"/>
      <c r="Z31" s="199"/>
      <c r="AA31" s="199"/>
      <c r="AB31" s="195"/>
      <c r="AC31" s="382"/>
      <c r="AD31" s="383"/>
      <c r="AE31" s="383"/>
      <c r="AF31" s="383"/>
      <c r="AG31" s="383"/>
      <c r="AH31" s="383"/>
      <c r="AI31" s="383"/>
      <c r="AJ31" s="383"/>
      <c r="AK31" s="383"/>
      <c r="AL31" s="383"/>
      <c r="AM31" s="383"/>
      <c r="AN31" s="384"/>
      <c r="AO31" s="382"/>
      <c r="AP31" s="383"/>
      <c r="AQ31" s="383"/>
      <c r="AR31" s="383"/>
      <c r="AS31" s="383"/>
      <c r="AT31" s="383"/>
      <c r="AU31" s="383"/>
      <c r="AV31" s="383"/>
      <c r="AW31" s="383"/>
      <c r="AX31" s="383"/>
      <c r="AY31" s="383"/>
      <c r="AZ31" s="384"/>
      <c r="BA31" s="402">
        <f t="shared" si="25"/>
        <v>0</v>
      </c>
    </row>
    <row r="32" spans="1:53" s="28" customFormat="1" ht="20.100000000000001" customHeight="1">
      <c r="A32" s="36" t="str">
        <f>Vecinos!A32</f>
        <v>Familia Suarez</v>
      </c>
      <c r="B32" s="37" t="str">
        <f>Vecinos!C32</f>
        <v>Calle Guacara Nro. 87-82</v>
      </c>
      <c r="C32" s="38" t="str">
        <f>IF(SUMIFS(Vigilancia!$E:$E,Vigilancia!$F:$F,A32,Vigilancia!$J:$J,"Vigilancia")=BA32,"ü","û")</f>
        <v>ü</v>
      </c>
      <c r="D32" s="195"/>
      <c r="E32" s="196"/>
      <c r="F32" s="197"/>
      <c r="G32" s="197"/>
      <c r="H32" s="197"/>
      <c r="I32" s="197"/>
      <c r="J32" s="197"/>
      <c r="K32" s="197"/>
      <c r="L32" s="197"/>
      <c r="M32" s="197"/>
      <c r="N32" s="197"/>
      <c r="O32" s="197"/>
      <c r="P32" s="195"/>
      <c r="Q32" s="198"/>
      <c r="R32" s="199"/>
      <c r="S32" s="199"/>
      <c r="T32" s="199"/>
      <c r="U32" s="199"/>
      <c r="V32" s="199"/>
      <c r="W32" s="199"/>
      <c r="X32" s="199"/>
      <c r="Y32" s="199"/>
      <c r="Z32" s="199"/>
      <c r="AA32" s="199"/>
      <c r="AB32" s="195"/>
      <c r="AC32" s="382"/>
      <c r="AD32" s="383"/>
      <c r="AE32" s="383"/>
      <c r="AF32" s="383"/>
      <c r="AG32" s="383"/>
      <c r="AH32" s="383"/>
      <c r="AI32" s="383"/>
      <c r="AJ32" s="383"/>
      <c r="AK32" s="383"/>
      <c r="AL32" s="383"/>
      <c r="AM32" s="383"/>
      <c r="AN32" s="384"/>
      <c r="AO32" s="382"/>
      <c r="AP32" s="383"/>
      <c r="AQ32" s="383"/>
      <c r="AR32" s="383"/>
      <c r="AS32" s="383"/>
      <c r="AT32" s="383"/>
      <c r="AU32" s="383"/>
      <c r="AV32" s="383"/>
      <c r="AW32" s="383"/>
      <c r="AX32" s="383"/>
      <c r="AY32" s="383"/>
      <c r="AZ32" s="384"/>
      <c r="BA32" s="402">
        <f t="shared" si="25"/>
        <v>0</v>
      </c>
    </row>
    <row r="33" spans="1:53" s="28" customFormat="1" ht="20.100000000000001" customHeight="1">
      <c r="A33" s="356" t="str">
        <f>Vecinos!A33</f>
        <v>Chin Chun Ya (Goya)</v>
      </c>
      <c r="B33" s="357" t="str">
        <f>Vecinos!C33</f>
        <v>Calle Guacara Nro. 87-86</v>
      </c>
      <c r="C33" s="358" t="str">
        <f>IF(SUMIFS(Vigilancia!$E:$E,Vigilancia!$F:$F,A33,Vigilancia!$J:$J,"Vigilancia")=BA33,"ü","û")</f>
        <v>ü</v>
      </c>
      <c r="D33" s="184"/>
      <c r="E33" s="185">
        <f>5000/100000</f>
        <v>0.05</v>
      </c>
      <c r="F33" s="186">
        <f>5000/100000</f>
        <v>0.05</v>
      </c>
      <c r="G33" s="186">
        <f>7000/100000</f>
        <v>7.0000000000000007E-2</v>
      </c>
      <c r="H33" s="186">
        <f>7000/100000</f>
        <v>7.0000000000000007E-2</v>
      </c>
      <c r="I33" s="186">
        <f>7000/100000</f>
        <v>7.0000000000000007E-2</v>
      </c>
      <c r="J33" s="186">
        <f>10000/100000</f>
        <v>0.1</v>
      </c>
      <c r="K33" s="186">
        <f>10000/100000</f>
        <v>0.1</v>
      </c>
      <c r="L33" s="186">
        <f>15000/100000</f>
        <v>0.15</v>
      </c>
      <c r="M33" s="186">
        <f>15000/100000</f>
        <v>0.15</v>
      </c>
      <c r="N33" s="186">
        <f>15000/100000</f>
        <v>0.15</v>
      </c>
      <c r="O33" s="186">
        <f>35000/100000</f>
        <v>0.35</v>
      </c>
      <c r="P33" s="184">
        <f>35000/100000</f>
        <v>0.35</v>
      </c>
      <c r="Q33" s="187">
        <f>35000/100000</f>
        <v>0.35</v>
      </c>
      <c r="R33" s="188">
        <f>80000/100000</f>
        <v>0.8</v>
      </c>
      <c r="S33" s="188">
        <f>20000/100000+80000/100000</f>
        <v>1</v>
      </c>
      <c r="T33" s="188">
        <f>20000/100000+80000/100000</f>
        <v>1</v>
      </c>
      <c r="U33" s="188">
        <f>200000/100000</f>
        <v>2</v>
      </c>
      <c r="V33" s="189">
        <f>400000/100000+225000/100000</f>
        <v>6.25</v>
      </c>
      <c r="W33" s="189">
        <f>850000/100000+150000/100000</f>
        <v>10</v>
      </c>
      <c r="X33" s="189">
        <f>1200000/100000</f>
        <v>12</v>
      </c>
      <c r="Y33" s="189">
        <v>320</v>
      </c>
      <c r="Z33" s="189">
        <v>320</v>
      </c>
      <c r="AA33" s="189">
        <v>320</v>
      </c>
      <c r="AB33" s="342">
        <v>800</v>
      </c>
      <c r="AC33" s="379">
        <f>800+2200</f>
        <v>3000</v>
      </c>
      <c r="AD33" s="380">
        <v>3000</v>
      </c>
      <c r="AE33" s="375">
        <v>3000</v>
      </c>
      <c r="AF33" s="375">
        <f>3000+2000</f>
        <v>5000</v>
      </c>
      <c r="AG33" s="387">
        <v>5000</v>
      </c>
      <c r="AH33" s="380">
        <v>8000</v>
      </c>
      <c r="AI33" s="380">
        <v>10000</v>
      </c>
      <c r="AJ33" s="380">
        <v>10000</v>
      </c>
      <c r="AK33" s="375">
        <v>23400</v>
      </c>
      <c r="AL33" s="481">
        <f>21100+30000</f>
        <v>51100</v>
      </c>
      <c r="AM33" s="380">
        <v>56250</v>
      </c>
      <c r="AN33" s="385">
        <v>97500</v>
      </c>
      <c r="AO33" s="379">
        <v>136250</v>
      </c>
      <c r="AP33" s="380">
        <f>38750+97500</f>
        <v>136250</v>
      </c>
      <c r="AQ33" s="375">
        <f>38200+147050</f>
        <v>185250</v>
      </c>
      <c r="AR33" s="375"/>
      <c r="AS33" s="375"/>
      <c r="AT33" s="375"/>
      <c r="AU33" s="380"/>
      <c r="AV33" s="380"/>
      <c r="AW33" s="380"/>
      <c r="AX33" s="380"/>
      <c r="AY33" s="380"/>
      <c r="AZ33" s="385"/>
      <c r="BA33" s="403">
        <f t="shared" si="25"/>
        <v>734795.06</v>
      </c>
    </row>
    <row r="34" spans="1:53" s="28" customFormat="1" ht="20.100000000000001" customHeight="1">
      <c r="A34" s="356" t="str">
        <f>Vecinos!A34</f>
        <v>Familia Ríos Sambrano</v>
      </c>
      <c r="B34" s="357" t="str">
        <f>Vecinos!C34</f>
        <v>Calle Guacara Nro. 87-86</v>
      </c>
      <c r="C34" s="35" t="str">
        <f>IF(SUMIFS(Vigilancia!$E:$E,Vigilancia!$F:$F,A34,Vigilancia!$J:$J,"Vigilancia")=BA34,"ü","û")</f>
        <v>ü</v>
      </c>
      <c r="D34" s="184"/>
      <c r="E34" s="185"/>
      <c r="F34" s="186"/>
      <c r="G34" s="186"/>
      <c r="H34" s="186"/>
      <c r="I34" s="186"/>
      <c r="J34" s="186"/>
      <c r="K34" s="186"/>
      <c r="L34" s="186"/>
      <c r="M34" s="186"/>
      <c r="N34" s="186"/>
      <c r="O34" s="186"/>
      <c r="P34" s="184"/>
      <c r="Q34" s="187"/>
      <c r="R34" s="188"/>
      <c r="S34" s="188"/>
      <c r="T34" s="188"/>
      <c r="U34" s="188"/>
      <c r="V34" s="189"/>
      <c r="W34" s="189"/>
      <c r="X34" s="189"/>
      <c r="Y34" s="189"/>
      <c r="Z34" s="189"/>
      <c r="AA34" s="189"/>
      <c r="AB34" s="342"/>
      <c r="AC34" s="379"/>
      <c r="AD34" s="380"/>
      <c r="AE34" s="375"/>
      <c r="AF34" s="375"/>
      <c r="AG34" s="387"/>
      <c r="AH34" s="380"/>
      <c r="AI34" s="380"/>
      <c r="AJ34" s="380"/>
      <c r="AK34" s="375"/>
      <c r="AL34" s="375"/>
      <c r="AM34" s="380"/>
      <c r="AN34" s="385"/>
      <c r="AO34" s="379"/>
      <c r="AP34" s="380"/>
      <c r="AQ34" s="375"/>
      <c r="AR34" s="375">
        <f>38200+147050+750</f>
        <v>186000</v>
      </c>
      <c r="AS34" s="375">
        <f>38200+211800</f>
        <v>250000</v>
      </c>
      <c r="AT34" s="375">
        <v>250000</v>
      </c>
      <c r="AU34" s="380">
        <v>320000</v>
      </c>
      <c r="AV34" s="606">
        <f>30000</f>
        <v>30000</v>
      </c>
      <c r="AW34" s="380"/>
      <c r="AX34" s="380"/>
      <c r="AY34" s="380"/>
      <c r="AZ34" s="385"/>
      <c r="BA34" s="403">
        <f t="shared" ref="BA34" si="33">SUM(D34:AZ34)</f>
        <v>1036000</v>
      </c>
    </row>
    <row r="35" spans="1:53" s="28" customFormat="1" ht="20.100000000000001" customHeight="1">
      <c r="A35" s="29" t="str">
        <f>Vecinos!A35</f>
        <v>Teresita Román</v>
      </c>
      <c r="B35" s="30" t="str">
        <f>Vecinos!C35</f>
        <v>Calle Guacara Nro. 87-90</v>
      </c>
      <c r="C35" s="35" t="str">
        <f>IF(SUMIFS(Vigilancia!$E:$E,Vigilancia!$F:$F,A35,Vigilancia!$J:$J,"Vigilancia")=BA35,"ü","û")</f>
        <v>ü</v>
      </c>
      <c r="D35" s="177"/>
      <c r="E35" s="178"/>
      <c r="F35" s="179"/>
      <c r="G35" s="179"/>
      <c r="H35" s="179"/>
      <c r="I35" s="179"/>
      <c r="J35" s="179"/>
      <c r="K35" s="179"/>
      <c r="L35" s="179"/>
      <c r="M35" s="179"/>
      <c r="N35" s="179"/>
      <c r="O35" s="179"/>
      <c r="P35" s="177"/>
      <c r="Q35" s="181"/>
      <c r="R35" s="182"/>
      <c r="S35" s="182"/>
      <c r="T35" s="182"/>
      <c r="U35" s="182"/>
      <c r="V35" s="182"/>
      <c r="W35" s="182"/>
      <c r="X35" s="182"/>
      <c r="Y35" s="182"/>
      <c r="Z35" s="182"/>
      <c r="AA35" s="182"/>
      <c r="AB35" s="177"/>
      <c r="AC35" s="374"/>
      <c r="AD35" s="375"/>
      <c r="AE35" s="375"/>
      <c r="AF35" s="375"/>
      <c r="AG35" s="375"/>
      <c r="AH35" s="375"/>
      <c r="AI35" s="375"/>
      <c r="AJ35" s="375"/>
      <c r="AK35" s="375"/>
      <c r="AL35" s="375"/>
      <c r="AM35" s="375"/>
      <c r="AN35" s="376"/>
      <c r="AO35" s="374"/>
      <c r="AP35" s="375"/>
      <c r="AQ35" s="375"/>
      <c r="AR35" s="375"/>
      <c r="AS35" s="375"/>
      <c r="AT35" s="375"/>
      <c r="AU35" s="375"/>
      <c r="AV35" s="375"/>
      <c r="AW35" s="375"/>
      <c r="AX35" s="375"/>
      <c r="AY35" s="375"/>
      <c r="AZ35" s="376"/>
      <c r="BA35" s="401">
        <f t="shared" si="25"/>
        <v>0</v>
      </c>
    </row>
    <row r="36" spans="1:53" s="28" customFormat="1">
      <c r="A36" s="29" t="str">
        <f>Vecinos!A36</f>
        <v>Familia Puerta Burguillos</v>
      </c>
      <c r="B36" s="30" t="str">
        <f>Vecinos!C36</f>
        <v>Calle Guacara Nro. 87-100</v>
      </c>
      <c r="C36" s="35" t="str">
        <f>IF(SUMIFS(Vigilancia!$E:$E,Vigilancia!$F:$F,A36,Vigilancia!$J:$J,"Vigilancia")=BA36,"ü","û")</f>
        <v>ü</v>
      </c>
      <c r="D36" s="177"/>
      <c r="E36" s="178">
        <f>17000/100000</f>
        <v>0.17</v>
      </c>
      <c r="F36" s="179">
        <f>17000/100000</f>
        <v>0.17</v>
      </c>
      <c r="G36" s="179">
        <f>14200/100000+2800/100000</f>
        <v>0.16999999999999998</v>
      </c>
      <c r="H36" s="179">
        <f>17000/100000</f>
        <v>0.17</v>
      </c>
      <c r="I36" s="179">
        <f>26000/100000</f>
        <v>0.26</v>
      </c>
      <c r="J36" s="179">
        <f>26000/100000</f>
        <v>0.26</v>
      </c>
      <c r="K36" s="179">
        <f>26000/100000+9000/100000</f>
        <v>0.35</v>
      </c>
      <c r="L36" s="179">
        <f>13000/100000-9000/100000+31000/100000</f>
        <v>0.35</v>
      </c>
      <c r="M36" s="179">
        <f>35000/100000</f>
        <v>0.35</v>
      </c>
      <c r="N36" s="179">
        <f>35000/100000</f>
        <v>0.35</v>
      </c>
      <c r="O36" s="179">
        <f>50000/100000</f>
        <v>0.5</v>
      </c>
      <c r="P36" s="177">
        <f>50000/100000</f>
        <v>0.5</v>
      </c>
      <c r="Q36" s="181">
        <f>80000/100000</f>
        <v>0.8</v>
      </c>
      <c r="R36" s="182">
        <f>80000/100000</f>
        <v>0.8</v>
      </c>
      <c r="S36" s="182">
        <f>80000/100000+60000/100000</f>
        <v>1.4</v>
      </c>
      <c r="T36" s="182">
        <f>140000/100000</f>
        <v>1.4</v>
      </c>
      <c r="U36" s="182">
        <f>250000/100000+150000/100000</f>
        <v>4</v>
      </c>
      <c r="V36" s="182">
        <f>400000/100000+225000/100000</f>
        <v>6.25</v>
      </c>
      <c r="W36" s="189">
        <f>850000/100000+150000/100000</f>
        <v>10</v>
      </c>
      <c r="X36" s="182">
        <v>12</v>
      </c>
      <c r="Y36" s="182">
        <v>320</v>
      </c>
      <c r="Z36" s="182">
        <v>320</v>
      </c>
      <c r="AA36" s="182">
        <v>320</v>
      </c>
      <c r="AB36" s="342">
        <f>300+500</f>
        <v>800</v>
      </c>
      <c r="AC36" s="374">
        <v>3000</v>
      </c>
      <c r="AD36" s="375">
        <v>3000</v>
      </c>
      <c r="AE36" s="375">
        <v>3000</v>
      </c>
      <c r="AF36" s="375">
        <f>3000+2000</f>
        <v>5000</v>
      </c>
      <c r="AG36" s="375">
        <f>5000+3000</f>
        <v>8000</v>
      </c>
      <c r="AH36" s="481">
        <v>10000</v>
      </c>
      <c r="AI36" s="375">
        <v>10000</v>
      </c>
      <c r="AJ36" s="380">
        <v>10000</v>
      </c>
      <c r="AK36" s="375">
        <v>20500</v>
      </c>
      <c r="AL36" s="375">
        <f>40000+7000</f>
        <v>47000</v>
      </c>
      <c r="AM36" s="375">
        <v>60000</v>
      </c>
      <c r="AN36" s="376">
        <v>210500</v>
      </c>
      <c r="AO36" s="374">
        <v>136250</v>
      </c>
      <c r="AP36" s="375">
        <v>136250</v>
      </c>
      <c r="AQ36" s="375">
        <v>186000</v>
      </c>
      <c r="AR36" s="375">
        <v>185250</v>
      </c>
      <c r="AS36" s="375">
        <v>250000</v>
      </c>
      <c r="AT36" s="375">
        <v>250000</v>
      </c>
      <c r="AU36" s="606">
        <v>250000</v>
      </c>
      <c r="AV36" s="380"/>
      <c r="AW36" s="375"/>
      <c r="AX36" s="375"/>
      <c r="AY36" s="375"/>
      <c r="AZ36" s="376"/>
      <c r="BA36" s="401">
        <f t="shared" si="25"/>
        <v>1785550.25</v>
      </c>
    </row>
    <row r="37" spans="1:53" s="28" customFormat="1" ht="20.100000000000001" customHeight="1">
      <c r="A37" s="32" t="str">
        <f>Vecinos!A37</f>
        <v>Familia Méndez Parra</v>
      </c>
      <c r="B37" s="33" t="str">
        <f>Vecinos!C37</f>
        <v>Calle Guacara Nro. 88-19</v>
      </c>
      <c r="C37" s="34" t="str">
        <f>IF(SUMIFS(Vigilancia!$E:$E,Vigilancia!$F:$F,A37,Vigilancia!$J:$J,"Vigilancia")=BA37,"ü","û")</f>
        <v>ü</v>
      </c>
      <c r="D37" s="184"/>
      <c r="E37" s="185">
        <f>4500/100000+10000/100000</f>
        <v>0.14500000000000002</v>
      </c>
      <c r="F37" s="186">
        <f>10500/100000</f>
        <v>0.105</v>
      </c>
      <c r="G37" s="186">
        <f>10500/100000</f>
        <v>0.105</v>
      </c>
      <c r="H37" s="186">
        <f>10500/100000</f>
        <v>0.105</v>
      </c>
      <c r="I37" s="186">
        <f>20000/100000</f>
        <v>0.2</v>
      </c>
      <c r="J37" s="186">
        <f>20000/100000</f>
        <v>0.2</v>
      </c>
      <c r="K37" s="186">
        <f>25000/100000</f>
        <v>0.25</v>
      </c>
      <c r="L37" s="186">
        <f t="shared" ref="L37:N38" si="34">20000/100000</f>
        <v>0.2</v>
      </c>
      <c r="M37" s="186">
        <f t="shared" si="34"/>
        <v>0.2</v>
      </c>
      <c r="N37" s="186">
        <f t="shared" si="34"/>
        <v>0.2</v>
      </c>
      <c r="O37" s="186">
        <f>32000/100000</f>
        <v>0.32</v>
      </c>
      <c r="P37" s="184">
        <f>30000/100000</f>
        <v>0.3</v>
      </c>
      <c r="Q37" s="187">
        <f>50000/100000</f>
        <v>0.5</v>
      </c>
      <c r="R37" s="188">
        <f>50000/100000</f>
        <v>0.5</v>
      </c>
      <c r="S37" s="188">
        <f>50000/100000+50000/100000</f>
        <v>1</v>
      </c>
      <c r="T37" s="188">
        <f>100000/100000</f>
        <v>1</v>
      </c>
      <c r="U37" s="188">
        <f>200000/100000</f>
        <v>2</v>
      </c>
      <c r="V37" s="188">
        <f>600000/100000</f>
        <v>6</v>
      </c>
      <c r="W37" s="188">
        <f>600000/100000</f>
        <v>6</v>
      </c>
      <c r="X37" s="188">
        <v>8</v>
      </c>
      <c r="Y37" s="188">
        <v>270</v>
      </c>
      <c r="Z37" s="188">
        <v>260</v>
      </c>
      <c r="AA37" s="188">
        <v>260</v>
      </c>
      <c r="AB37" s="430"/>
      <c r="AC37" s="371">
        <v>600</v>
      </c>
      <c r="AD37" s="372">
        <v>2300</v>
      </c>
      <c r="AE37" s="372">
        <v>2200</v>
      </c>
      <c r="AF37" s="372">
        <f>2200</f>
        <v>2200</v>
      </c>
      <c r="AG37" s="372">
        <v>5000</v>
      </c>
      <c r="AH37" s="372">
        <v>5000</v>
      </c>
      <c r="AI37" s="372">
        <v>6000</v>
      </c>
      <c r="AJ37" s="372">
        <v>6000</v>
      </c>
      <c r="AK37" s="372">
        <v>18018</v>
      </c>
      <c r="AL37" s="372">
        <v>15000</v>
      </c>
      <c r="AM37" s="372">
        <v>48000</v>
      </c>
      <c r="AN37" s="373">
        <v>35000</v>
      </c>
      <c r="AO37" s="371">
        <v>80000</v>
      </c>
      <c r="AP37" s="372">
        <v>80000</v>
      </c>
      <c r="AQ37" s="372">
        <v>90000</v>
      </c>
      <c r="AR37" s="372">
        <v>90000</v>
      </c>
      <c r="AS37" s="372">
        <v>180000</v>
      </c>
      <c r="AT37" s="372">
        <v>110000</v>
      </c>
      <c r="AU37" s="372"/>
      <c r="AV37" s="372"/>
      <c r="AW37" s="372"/>
      <c r="AX37" s="372"/>
      <c r="AY37" s="372"/>
      <c r="AZ37" s="373"/>
      <c r="BA37" s="400">
        <f t="shared" si="25"/>
        <v>776135.33000000007</v>
      </c>
    </row>
    <row r="38" spans="1:53" s="28" customFormat="1" ht="20.100000000000001" customHeight="1">
      <c r="A38" s="32" t="str">
        <f>Vecinos!A38</f>
        <v>Victoria Francischiello</v>
      </c>
      <c r="B38" s="33" t="str">
        <f>Vecinos!C38</f>
        <v>Calle Guacara Nro. 88-25</v>
      </c>
      <c r="C38" s="34" t="str">
        <f>IF(SUMIFS(Vigilancia!$E:$E,Vigilancia!$F:$F,A38,Vigilancia!$J:$J,"Vigilancia")=BA38,"ü","û")</f>
        <v>ü</v>
      </c>
      <c r="D38" s="184"/>
      <c r="E38" s="185">
        <f>7960/100000+2040/100000</f>
        <v>0.1</v>
      </c>
      <c r="F38" s="186">
        <f>10000/100000</f>
        <v>0.1</v>
      </c>
      <c r="G38" s="186">
        <f>10000/100000</f>
        <v>0.1</v>
      </c>
      <c r="H38" s="186">
        <f>10000/100000</f>
        <v>0.1</v>
      </c>
      <c r="I38" s="186">
        <f>20000/100000</f>
        <v>0.2</v>
      </c>
      <c r="J38" s="186">
        <f>20000/100000</f>
        <v>0.2</v>
      </c>
      <c r="K38" s="186">
        <f>20000/100000</f>
        <v>0.2</v>
      </c>
      <c r="L38" s="186">
        <f t="shared" si="34"/>
        <v>0.2</v>
      </c>
      <c r="M38" s="186">
        <f t="shared" si="34"/>
        <v>0.2</v>
      </c>
      <c r="N38" s="186">
        <f t="shared" si="34"/>
        <v>0.2</v>
      </c>
      <c r="O38" s="186">
        <f>15000/100000</f>
        <v>0.15</v>
      </c>
      <c r="P38" s="184">
        <f>45000/100000</f>
        <v>0.45</v>
      </c>
      <c r="Q38" s="187">
        <f>50000/100000</f>
        <v>0.5</v>
      </c>
      <c r="R38" s="188">
        <f>80000/100000</f>
        <v>0.8</v>
      </c>
      <c r="S38" s="188">
        <f>100000/100000</f>
        <v>1</v>
      </c>
      <c r="T38" s="188">
        <f>100000/100000</f>
        <v>1</v>
      </c>
      <c r="U38" s="188">
        <f>250000/100000</f>
        <v>2.5</v>
      </c>
      <c r="V38" s="188">
        <f>400000/100000</f>
        <v>4</v>
      </c>
      <c r="W38" s="189">
        <f>1000000/100000</f>
        <v>10</v>
      </c>
      <c r="X38" s="189">
        <v>12</v>
      </c>
      <c r="Y38" s="189">
        <v>320</v>
      </c>
      <c r="Z38" s="189">
        <v>320</v>
      </c>
      <c r="AA38" s="189">
        <v>320</v>
      </c>
      <c r="AB38" s="342">
        <v>800</v>
      </c>
      <c r="AC38" s="379">
        <v>3000</v>
      </c>
      <c r="AD38" s="380">
        <v>3000</v>
      </c>
      <c r="AE38" s="380">
        <v>3000</v>
      </c>
      <c r="AF38" s="380">
        <v>5000</v>
      </c>
      <c r="AG38" s="380">
        <v>8000</v>
      </c>
      <c r="AH38" s="380">
        <v>8000</v>
      </c>
      <c r="AI38" s="375">
        <v>10000</v>
      </c>
      <c r="AJ38" s="380">
        <v>10000</v>
      </c>
      <c r="AK38" s="380">
        <v>19800</v>
      </c>
      <c r="AL38" s="380">
        <v>51250</v>
      </c>
      <c r="AM38" s="372">
        <v>40000</v>
      </c>
      <c r="AN38" s="373">
        <v>40000</v>
      </c>
      <c r="AO38" s="371">
        <v>136000</v>
      </c>
      <c r="AP38" s="380">
        <v>185250</v>
      </c>
      <c r="AQ38" s="380">
        <v>185250</v>
      </c>
      <c r="AR38" s="380">
        <v>185250</v>
      </c>
      <c r="AS38" s="380">
        <v>250000</v>
      </c>
      <c r="AT38" s="380">
        <v>250000</v>
      </c>
      <c r="AU38" s="380"/>
      <c r="AV38" s="380"/>
      <c r="AW38" s="380"/>
      <c r="AX38" s="380"/>
      <c r="AY38" s="380"/>
      <c r="AZ38" s="385"/>
      <c r="BA38" s="403">
        <f t="shared" si="25"/>
        <v>1394594</v>
      </c>
    </row>
    <row r="39" spans="1:53" s="28" customFormat="1" ht="20.100000000000001" customHeight="1">
      <c r="A39" s="29" t="str">
        <f>Vecinos!A39</f>
        <v>Familia Cegarra Villamizar</v>
      </c>
      <c r="B39" s="30" t="str">
        <f>Vecinos!C39</f>
        <v>Calle Guacara Nro. 88-35</v>
      </c>
      <c r="C39" s="35" t="str">
        <f>IF(SUMIFS(Vigilancia!$E:$E,Vigilancia!$F:$F,A39,Vigilancia!$J:$J,"Vigilancia")=BA39,"ü","û")</f>
        <v>ü</v>
      </c>
      <c r="D39" s="177"/>
      <c r="E39" s="178">
        <f>17000/100000</f>
        <v>0.17</v>
      </c>
      <c r="F39" s="179">
        <f>17000/100000</f>
        <v>0.17</v>
      </c>
      <c r="G39" s="179">
        <f>17000/100000</f>
        <v>0.17</v>
      </c>
      <c r="H39" s="179">
        <f>17000/100000</f>
        <v>0.17</v>
      </c>
      <c r="I39" s="179">
        <f t="shared" ref="I39:J41" si="35">26000/100000</f>
        <v>0.26</v>
      </c>
      <c r="J39" s="179">
        <f t="shared" si="35"/>
        <v>0.26</v>
      </c>
      <c r="K39" s="186">
        <f>30000/100000</f>
        <v>0.3</v>
      </c>
      <c r="L39" s="186">
        <f>30000/100000</f>
        <v>0.3</v>
      </c>
      <c r="M39" s="179">
        <f t="shared" ref="M39:N41" si="36">35000/100000</f>
        <v>0.35</v>
      </c>
      <c r="N39" s="179">
        <f t="shared" si="36"/>
        <v>0.35</v>
      </c>
      <c r="O39" s="179">
        <f>50000/100000</f>
        <v>0.5</v>
      </c>
      <c r="P39" s="177">
        <f>50000/100000</f>
        <v>0.5</v>
      </c>
      <c r="Q39" s="181">
        <f>80000/100000</f>
        <v>0.8</v>
      </c>
      <c r="R39" s="182">
        <f>80000/100000</f>
        <v>0.8</v>
      </c>
      <c r="S39" s="182">
        <f>80000/100000+60000/100000</f>
        <v>1.4</v>
      </c>
      <c r="T39" s="182">
        <f>80000/100000+60000/100000</f>
        <v>1.4</v>
      </c>
      <c r="U39" s="182">
        <f>400000/100000</f>
        <v>4</v>
      </c>
      <c r="V39" s="182">
        <f>625000/100000</f>
        <v>6.25</v>
      </c>
      <c r="W39" s="189">
        <f>850000/100000+1.5</f>
        <v>10</v>
      </c>
      <c r="X39" s="189">
        <f>850000/100000+3.5</f>
        <v>12</v>
      </c>
      <c r="Y39" s="182">
        <v>320</v>
      </c>
      <c r="Z39" s="182">
        <v>320</v>
      </c>
      <c r="AA39" s="182">
        <v>320</v>
      </c>
      <c r="AB39" s="177">
        <v>800</v>
      </c>
      <c r="AC39" s="374">
        <v>3000</v>
      </c>
      <c r="AD39" s="375">
        <v>3000</v>
      </c>
      <c r="AE39" s="375">
        <v>3000</v>
      </c>
      <c r="AF39" s="386">
        <f>3000+1880</f>
        <v>4880</v>
      </c>
      <c r="AG39" s="375">
        <v>8000</v>
      </c>
      <c r="AH39" s="375">
        <v>8000</v>
      </c>
      <c r="AI39" s="375">
        <f>8000+2000</f>
        <v>10000</v>
      </c>
      <c r="AJ39" s="375">
        <v>10000</v>
      </c>
      <c r="AK39" s="375">
        <v>81750</v>
      </c>
      <c r="AL39" s="375">
        <v>81750</v>
      </c>
      <c r="AM39" s="375">
        <v>81750</v>
      </c>
      <c r="AN39" s="376">
        <v>185250</v>
      </c>
      <c r="AO39" s="374">
        <v>185250</v>
      </c>
      <c r="AP39" s="375">
        <v>185250</v>
      </c>
      <c r="AQ39" s="375">
        <v>185250</v>
      </c>
      <c r="AR39" s="375">
        <v>185250</v>
      </c>
      <c r="AS39" s="375">
        <v>250000</v>
      </c>
      <c r="AT39" s="375"/>
      <c r="AU39" s="375"/>
      <c r="AV39" s="375"/>
      <c r="AW39" s="375"/>
      <c r="AX39" s="375"/>
      <c r="AY39" s="375"/>
      <c r="AZ39" s="376"/>
      <c r="BA39" s="401">
        <f t="shared" si="25"/>
        <v>1473180.15</v>
      </c>
    </row>
    <row r="40" spans="1:53" s="28" customFormat="1" ht="20.100000000000001" customHeight="1">
      <c r="A40" s="29" t="str">
        <f>Vecinos!A40</f>
        <v>Familia Del Negro Palermo</v>
      </c>
      <c r="B40" s="30" t="str">
        <f>Vecinos!C40</f>
        <v>Calle Guacara Nro. 88-45</v>
      </c>
      <c r="C40" s="35" t="str">
        <f>IF(SUMIFS(Vigilancia!$E:$E,Vigilancia!$F:$F,A40,Vigilancia!$J:$J,"Vigilancia")=BA40,"ü","û")</f>
        <v>ü</v>
      </c>
      <c r="D40" s="177"/>
      <c r="E40" s="178">
        <f>10500/100000+6500/100000</f>
        <v>0.16999999999999998</v>
      </c>
      <c r="F40" s="179">
        <f>17000/100000</f>
        <v>0.17</v>
      </c>
      <c r="G40" s="179">
        <f>17000/100000</f>
        <v>0.17</v>
      </c>
      <c r="H40" s="179">
        <f>17000/100000</f>
        <v>0.17</v>
      </c>
      <c r="I40" s="179">
        <f t="shared" si="35"/>
        <v>0.26</v>
      </c>
      <c r="J40" s="179">
        <f t="shared" si="35"/>
        <v>0.26</v>
      </c>
      <c r="K40" s="179">
        <f>26000/100000+9000/100000</f>
        <v>0.35</v>
      </c>
      <c r="L40" s="179">
        <f>35000/100000</f>
        <v>0.35</v>
      </c>
      <c r="M40" s="179">
        <f t="shared" si="36"/>
        <v>0.35</v>
      </c>
      <c r="N40" s="179">
        <f t="shared" si="36"/>
        <v>0.35</v>
      </c>
      <c r="O40" s="179">
        <f>50000/100000</f>
        <v>0.5</v>
      </c>
      <c r="P40" s="177">
        <f>50000/100000</f>
        <v>0.5</v>
      </c>
      <c r="Q40" s="181">
        <f>80000/100000</f>
        <v>0.8</v>
      </c>
      <c r="R40" s="182">
        <f>80000/100000</f>
        <v>0.8</v>
      </c>
      <c r="S40" s="182">
        <f>140000/100000</f>
        <v>1.4</v>
      </c>
      <c r="T40" s="182">
        <f>140000/100000</f>
        <v>1.4</v>
      </c>
      <c r="U40" s="182">
        <f>400000/100000</f>
        <v>4</v>
      </c>
      <c r="V40" s="182">
        <f>400000/100000+225000/100000</f>
        <v>6.25</v>
      </c>
      <c r="W40" s="182">
        <f>1000000/100000</f>
        <v>10</v>
      </c>
      <c r="X40" s="182">
        <f>1200000/100000</f>
        <v>12</v>
      </c>
      <c r="Y40" s="182">
        <v>320</v>
      </c>
      <c r="Z40" s="182">
        <v>320</v>
      </c>
      <c r="AA40" s="182">
        <v>320</v>
      </c>
      <c r="AB40" s="342">
        <f>662.95+137.05</f>
        <v>800</v>
      </c>
      <c r="AC40" s="379">
        <f>800+2200</f>
        <v>3000</v>
      </c>
      <c r="AD40" s="375">
        <v>3000</v>
      </c>
      <c r="AE40" s="375">
        <v>3000</v>
      </c>
      <c r="AF40" s="375">
        <v>5000</v>
      </c>
      <c r="AG40" s="375">
        <v>8000</v>
      </c>
      <c r="AH40" s="375">
        <v>8000</v>
      </c>
      <c r="AI40" s="375">
        <v>10000</v>
      </c>
      <c r="AJ40" s="375">
        <v>10000</v>
      </c>
      <c r="AK40" s="375">
        <v>23400</v>
      </c>
      <c r="AL40" s="375">
        <f>21100+43400</f>
        <v>64500</v>
      </c>
      <c r="AM40" s="375">
        <v>64500</v>
      </c>
      <c r="AN40" s="376">
        <v>81750</v>
      </c>
      <c r="AO40" s="379">
        <v>136250</v>
      </c>
      <c r="AP40" s="375">
        <v>136250</v>
      </c>
      <c r="AQ40" s="375">
        <v>185250</v>
      </c>
      <c r="AR40" s="375">
        <v>185250</v>
      </c>
      <c r="AS40" s="375">
        <v>250000</v>
      </c>
      <c r="AT40" s="375">
        <v>250000</v>
      </c>
      <c r="AU40" s="375"/>
      <c r="AV40" s="375"/>
      <c r="AW40" s="375"/>
      <c r="AX40" s="375"/>
      <c r="AY40" s="375"/>
      <c r="AZ40" s="376"/>
      <c r="BA40" s="401">
        <f t="shared" si="25"/>
        <v>1428950.25</v>
      </c>
    </row>
    <row r="41" spans="1:53" s="28" customFormat="1" ht="20.100000000000001" customHeight="1">
      <c r="A41" s="29" t="str">
        <f>Vecinos!A41</f>
        <v>Familia Hatem Medina</v>
      </c>
      <c r="B41" s="30" t="str">
        <f>Vecinos!C41</f>
        <v>Calle Guacara Nro. 88-51</v>
      </c>
      <c r="C41" s="35" t="str">
        <f>IF(SUMIFS(Vigilancia!$E:$E,Vigilancia!$F:$F,A41,Vigilancia!$J:$J,"Vigilancia")=BA41,"ü","û")</f>
        <v>ü</v>
      </c>
      <c r="D41" s="177"/>
      <c r="E41" s="193">
        <f>10500/100000</f>
        <v>0.105</v>
      </c>
      <c r="F41" s="180">
        <f>16000/100000</f>
        <v>0.16</v>
      </c>
      <c r="G41" s="180">
        <f>16000/100000</f>
        <v>0.16</v>
      </c>
      <c r="H41" s="180">
        <f>2000/100000+10000/100000+5100/100000</f>
        <v>0.17100000000000001</v>
      </c>
      <c r="I41" s="179">
        <f t="shared" si="35"/>
        <v>0.26</v>
      </c>
      <c r="J41" s="179">
        <f t="shared" si="35"/>
        <v>0.26</v>
      </c>
      <c r="K41" s="179">
        <f>30000/100000</f>
        <v>0.3</v>
      </c>
      <c r="L41" s="179">
        <f>30000/100000</f>
        <v>0.3</v>
      </c>
      <c r="M41" s="179">
        <f t="shared" si="36"/>
        <v>0.35</v>
      </c>
      <c r="N41" s="179">
        <f t="shared" si="36"/>
        <v>0.35</v>
      </c>
      <c r="O41" s="179">
        <f>1000/100000+4850/100000+44150/100000</f>
        <v>0.5</v>
      </c>
      <c r="P41" s="177">
        <f>50000/100000</f>
        <v>0.5</v>
      </c>
      <c r="Q41" s="181">
        <f>5850/100000+74150/100000</f>
        <v>0.8</v>
      </c>
      <c r="R41" s="182">
        <f>80000/100000</f>
        <v>0.8</v>
      </c>
      <c r="S41" s="182">
        <f>80000/100000+60000/100000</f>
        <v>1.4</v>
      </c>
      <c r="T41" s="182">
        <f>80000/100000+20000/100000+40000/100000</f>
        <v>1.4</v>
      </c>
      <c r="U41" s="182">
        <f>400000/100000</f>
        <v>4</v>
      </c>
      <c r="V41" s="182">
        <f>400000/100000+225000/100000</f>
        <v>6.25</v>
      </c>
      <c r="W41" s="182">
        <f>400000/100000+450000/100000+150000/100000</f>
        <v>10</v>
      </c>
      <c r="X41" s="182">
        <v>12</v>
      </c>
      <c r="Y41" s="189">
        <f>12+308</f>
        <v>320</v>
      </c>
      <c r="Z41" s="182">
        <v>320</v>
      </c>
      <c r="AA41" s="182">
        <v>320</v>
      </c>
      <c r="AB41" s="342">
        <f>320+480</f>
        <v>800</v>
      </c>
      <c r="AC41" s="379">
        <f>2000+500-480+980</f>
        <v>3000</v>
      </c>
      <c r="AD41" s="375">
        <f>1500-980+2480</f>
        <v>3000</v>
      </c>
      <c r="AE41" s="375">
        <v>3000</v>
      </c>
      <c r="AF41" s="375">
        <f>3000+520+3520-2040</f>
        <v>5000</v>
      </c>
      <c r="AG41" s="375">
        <v>8000</v>
      </c>
      <c r="AH41" s="481">
        <f>2040+10000</f>
        <v>12040</v>
      </c>
      <c r="AI41" s="375">
        <v>10000</v>
      </c>
      <c r="AJ41" s="380">
        <v>10000</v>
      </c>
      <c r="AK41" s="375">
        <v>19800</v>
      </c>
      <c r="AL41" s="375">
        <f>19800+27200</f>
        <v>47000</v>
      </c>
      <c r="AM41" s="375">
        <v>56250</v>
      </c>
      <c r="AN41" s="376">
        <v>81750</v>
      </c>
      <c r="AO41" s="379">
        <v>136250</v>
      </c>
      <c r="AP41" s="375">
        <v>136250</v>
      </c>
      <c r="AQ41" s="375">
        <v>185250</v>
      </c>
      <c r="AR41" s="375">
        <v>185250</v>
      </c>
      <c r="AS41" s="375">
        <v>250000</v>
      </c>
      <c r="AT41" s="375">
        <v>250000</v>
      </c>
      <c r="AU41" s="375"/>
      <c r="AV41" s="380"/>
      <c r="AW41" s="375"/>
      <c r="AX41" s="375"/>
      <c r="AY41" s="375"/>
      <c r="AZ41" s="376"/>
      <c r="BA41" s="401">
        <f t="shared" si="25"/>
        <v>1403640.0660000001</v>
      </c>
    </row>
    <row r="42" spans="1:53" s="28" customFormat="1" ht="20.100000000000001" customHeight="1">
      <c r="A42" s="29" t="str">
        <f>Vecinos!A42</f>
        <v>Familia Leung</v>
      </c>
      <c r="B42" s="30" t="str">
        <f>Vecinos!C42</f>
        <v>Calle Guacara Nro. 88-55</v>
      </c>
      <c r="C42" s="35" t="str">
        <f>IF(SUMIFS(Vigilancia!$E:$E,Vigilancia!$F:$F,A42,Vigilancia!$J:$J,"Vigilancia")=BA42,"ü","û")</f>
        <v>ü</v>
      </c>
      <c r="D42" s="177"/>
      <c r="E42" s="178">
        <f>17000/100000</f>
        <v>0.17</v>
      </c>
      <c r="F42" s="179">
        <f>17000/100000</f>
        <v>0.17</v>
      </c>
      <c r="G42" s="179">
        <f>17000/100000</f>
        <v>0.17</v>
      </c>
      <c r="H42" s="179">
        <f>17000/100000</f>
        <v>0.17</v>
      </c>
      <c r="I42" s="179">
        <f>26000/100000</f>
        <v>0.26</v>
      </c>
      <c r="J42" s="200" t="s">
        <v>490</v>
      </c>
      <c r="K42" s="200" t="s">
        <v>490</v>
      </c>
      <c r="L42" s="200" t="s">
        <v>490</v>
      </c>
      <c r="M42" s="200" t="s">
        <v>490</v>
      </c>
      <c r="N42" s="200" t="s">
        <v>490</v>
      </c>
      <c r="O42" s="200" t="s">
        <v>490</v>
      </c>
      <c r="P42" s="201" t="s">
        <v>490</v>
      </c>
      <c r="Q42" s="181">
        <f>80000/100000</f>
        <v>0.8</v>
      </c>
      <c r="R42" s="182">
        <f>80000/100000</f>
        <v>0.8</v>
      </c>
      <c r="S42" s="182">
        <f>140000/100000</f>
        <v>1.4</v>
      </c>
      <c r="T42" s="182">
        <f>140000/100000</f>
        <v>1.4</v>
      </c>
      <c r="U42" s="182">
        <f>400000/100000</f>
        <v>4</v>
      </c>
      <c r="V42" s="190">
        <f>400000/100000</f>
        <v>4</v>
      </c>
      <c r="W42" s="182">
        <v>10</v>
      </c>
      <c r="X42" s="182">
        <v>12</v>
      </c>
      <c r="Y42" s="182">
        <v>320</v>
      </c>
      <c r="Z42" s="182">
        <f>320+10</f>
        <v>330</v>
      </c>
      <c r="AA42" s="182">
        <v>320</v>
      </c>
      <c r="AB42" s="342">
        <f>10+790</f>
        <v>800</v>
      </c>
      <c r="AC42" s="374">
        <v>3000</v>
      </c>
      <c r="AD42" s="375">
        <v>3000</v>
      </c>
      <c r="AE42" s="375">
        <v>3000</v>
      </c>
      <c r="AF42" s="375">
        <v>5000</v>
      </c>
      <c r="AG42" s="378"/>
      <c r="AH42" s="378"/>
      <c r="AI42" s="378"/>
      <c r="AJ42" s="378"/>
      <c r="AK42" s="378"/>
      <c r="AL42" s="378"/>
      <c r="AM42" s="378"/>
      <c r="AN42" s="389"/>
      <c r="AO42" s="388"/>
      <c r="AP42" s="378"/>
      <c r="AQ42" s="378"/>
      <c r="AR42" s="378"/>
      <c r="AS42" s="378"/>
      <c r="AT42" s="378"/>
      <c r="AU42" s="378"/>
      <c r="AV42" s="378"/>
      <c r="AW42" s="378"/>
      <c r="AX42" s="378"/>
      <c r="AY42" s="378"/>
      <c r="AZ42" s="389"/>
      <c r="BA42" s="404">
        <f t="shared" si="25"/>
        <v>15805.34</v>
      </c>
    </row>
    <row r="43" spans="1:53" s="28" customFormat="1" ht="20.100000000000001" customHeight="1">
      <c r="A43" s="29" t="str">
        <f>Vecinos!A43</f>
        <v>Familia Zhen</v>
      </c>
      <c r="B43" s="30" t="str">
        <f>Vecinos!C43</f>
        <v>Calle Guacara Nro. 88-55</v>
      </c>
      <c r="C43" s="35" t="str">
        <f>IF(SUMIFS(Vigilancia!$E:$E,Vigilancia!$F:$F,A43,Vigilancia!$J:$J,"Vigilancia")=BA43,"ü","û")</f>
        <v>ü</v>
      </c>
      <c r="D43" s="205"/>
      <c r="E43" s="206"/>
      <c r="F43" s="207"/>
      <c r="G43" s="207"/>
      <c r="H43" s="207"/>
      <c r="I43" s="207"/>
      <c r="J43" s="207"/>
      <c r="K43" s="207"/>
      <c r="L43" s="207"/>
      <c r="M43" s="207"/>
      <c r="N43" s="207"/>
      <c r="O43" s="207"/>
      <c r="P43" s="205"/>
      <c r="Q43" s="208"/>
      <c r="R43" s="209"/>
      <c r="S43" s="209"/>
      <c r="T43" s="209"/>
      <c r="U43" s="209"/>
      <c r="V43" s="209"/>
      <c r="W43" s="209"/>
      <c r="X43" s="209"/>
      <c r="Y43" s="209"/>
      <c r="Z43" s="209"/>
      <c r="AA43" s="209"/>
      <c r="AB43" s="449"/>
      <c r="AC43" s="450"/>
      <c r="AD43" s="209"/>
      <c r="AE43" s="209"/>
      <c r="AF43" s="209"/>
      <c r="AG43" s="375">
        <v>8000</v>
      </c>
      <c r="AH43" s="375">
        <v>8000</v>
      </c>
      <c r="AI43" s="375">
        <v>10000</v>
      </c>
      <c r="AJ43" s="375">
        <v>10000</v>
      </c>
      <c r="AK43" s="375">
        <v>20300</v>
      </c>
      <c r="AL43" s="375">
        <f>20300+13400+151550</f>
        <v>185250</v>
      </c>
      <c r="AM43" s="375">
        <v>185250</v>
      </c>
      <c r="AN43" s="376">
        <v>185250</v>
      </c>
      <c r="AO43" s="374">
        <v>185250</v>
      </c>
      <c r="AP43" s="375">
        <v>185250</v>
      </c>
      <c r="AQ43" s="375">
        <v>185250</v>
      </c>
      <c r="AR43" s="375">
        <v>185250</v>
      </c>
      <c r="AS43" s="375"/>
      <c r="AT43" s="375"/>
      <c r="AU43" s="375"/>
      <c r="AV43" s="375"/>
      <c r="AW43" s="375"/>
      <c r="AX43" s="375"/>
      <c r="AY43" s="375"/>
      <c r="AZ43" s="376"/>
      <c r="BA43" s="401">
        <f t="shared" si="25"/>
        <v>1353050</v>
      </c>
    </row>
    <row r="44" spans="1:53" s="28" customFormat="1" ht="20.100000000000001" customHeight="1">
      <c r="A44" s="29" t="str">
        <f>Vecinos!A44</f>
        <v>Amparo Acosta</v>
      </c>
      <c r="B44" s="30" t="str">
        <f>Vecinos!C44</f>
        <v>Calle Guacara Nro. 88-65</v>
      </c>
      <c r="C44" s="35" t="str">
        <f>IF(SUMIFS(Vigilancia!$E:$E,Vigilancia!$F:$F,A44,Vigilancia!$J:$J,"Vigilancia")=BA44,"ü","û")</f>
        <v>ü</v>
      </c>
      <c r="D44" s="177"/>
      <c r="E44" s="178"/>
      <c r="F44" s="179"/>
      <c r="G44" s="179"/>
      <c r="H44" s="179"/>
      <c r="I44" s="179"/>
      <c r="J44" s="179"/>
      <c r="K44" s="179"/>
      <c r="L44" s="179"/>
      <c r="M44" s="179"/>
      <c r="N44" s="179"/>
      <c r="O44" s="179"/>
      <c r="P44" s="177"/>
      <c r="Q44" s="181"/>
      <c r="R44" s="182"/>
      <c r="S44" s="182"/>
      <c r="T44" s="182"/>
      <c r="U44" s="182"/>
      <c r="V44" s="182"/>
      <c r="W44" s="182">
        <f>1000000/100000</f>
        <v>10</v>
      </c>
      <c r="X44" s="182">
        <v>12</v>
      </c>
      <c r="Y44" s="182">
        <v>320</v>
      </c>
      <c r="Z44" s="182">
        <v>320</v>
      </c>
      <c r="AA44" s="182">
        <f>320+10</f>
        <v>330</v>
      </c>
      <c r="AB44" s="342">
        <f>10+790</f>
        <v>800</v>
      </c>
      <c r="AC44" s="379">
        <f>800+2200</f>
        <v>3000</v>
      </c>
      <c r="AD44" s="375">
        <v>3000</v>
      </c>
      <c r="AE44" s="375">
        <v>3000</v>
      </c>
      <c r="AF44" s="375">
        <f>3000+2000</f>
        <v>5000</v>
      </c>
      <c r="AG44" s="375">
        <f>5000+3000</f>
        <v>8000</v>
      </c>
      <c r="AH44" s="375">
        <v>8000</v>
      </c>
      <c r="AI44" s="375">
        <v>10000</v>
      </c>
      <c r="AJ44" s="375">
        <v>10000</v>
      </c>
      <c r="AK44" s="375">
        <v>20500</v>
      </c>
      <c r="AL44" s="375">
        <v>47000</v>
      </c>
      <c r="AM44" s="375">
        <v>56250</v>
      </c>
      <c r="AN44" s="376">
        <v>81750</v>
      </c>
      <c r="AO44" s="379">
        <v>136250</v>
      </c>
      <c r="AP44" s="375">
        <v>136250</v>
      </c>
      <c r="AQ44" s="375">
        <v>185250</v>
      </c>
      <c r="AR44" s="375">
        <v>185250</v>
      </c>
      <c r="AS44" s="375">
        <v>250000</v>
      </c>
      <c r="AT44" s="375">
        <v>250000</v>
      </c>
      <c r="AU44" s="375"/>
      <c r="AV44" s="375"/>
      <c r="AW44" s="375"/>
      <c r="AX44" s="375"/>
      <c r="AY44" s="375"/>
      <c r="AZ44" s="376"/>
      <c r="BA44" s="401">
        <f t="shared" si="25"/>
        <v>1400292</v>
      </c>
    </row>
    <row r="45" spans="1:53" s="28" customFormat="1" ht="20.100000000000001" customHeight="1">
      <c r="A45" s="57" t="str">
        <f>Vecinos!A45</f>
        <v>Familia Fernández Parés</v>
      </c>
      <c r="B45" s="58" t="str">
        <f>Vecinos!C45</f>
        <v>Calle Guacara Nro. 88-75</v>
      </c>
      <c r="C45" s="35" t="str">
        <f>IF(SUMIFS(Vigilancia!$E:$E,Vigilancia!$F:$F,A45,Vigilancia!$J:$J,"Vigilancia")=BA45,"ü","û")</f>
        <v>ü</v>
      </c>
      <c r="D45" s="177"/>
      <c r="E45" s="178">
        <f>17000/100000</f>
        <v>0.17</v>
      </c>
      <c r="F45" s="179">
        <f>17000/100000</f>
        <v>0.17</v>
      </c>
      <c r="G45" s="179">
        <f>17000/100000</f>
        <v>0.17</v>
      </c>
      <c r="H45" s="179">
        <f>17000/100000</f>
        <v>0.17</v>
      </c>
      <c r="I45" s="179">
        <f>26000/100000</f>
        <v>0.26</v>
      </c>
      <c r="J45" s="179">
        <f>26000/100000</f>
        <v>0.26</v>
      </c>
      <c r="K45" s="179">
        <f>35000/100000</f>
        <v>0.35</v>
      </c>
      <c r="L45" s="179">
        <f>1000/100000+34000/100000</f>
        <v>0.35000000000000003</v>
      </c>
      <c r="M45" s="179">
        <f>1000/100000+34000/100000</f>
        <v>0.35000000000000003</v>
      </c>
      <c r="N45" s="179">
        <f>1000/100000+34000/100000</f>
        <v>0.35000000000000003</v>
      </c>
      <c r="O45" s="179">
        <f>50000/100000</f>
        <v>0.5</v>
      </c>
      <c r="P45" s="177">
        <f>50000/100000</f>
        <v>0.5</v>
      </c>
      <c r="Q45" s="181">
        <f>80000/100000</f>
        <v>0.8</v>
      </c>
      <c r="R45" s="182">
        <f>80000/100000</f>
        <v>0.8</v>
      </c>
      <c r="S45" s="190">
        <f>35000/100000</f>
        <v>0.35</v>
      </c>
      <c r="T45" s="190"/>
      <c r="U45" s="202" t="s">
        <v>1257</v>
      </c>
      <c r="V45" s="203"/>
      <c r="W45" s="203"/>
      <c r="X45" s="203"/>
      <c r="Y45" s="203"/>
      <c r="Z45" s="203"/>
      <c r="AA45" s="203"/>
      <c r="AB45" s="204"/>
      <c r="AC45" s="388"/>
      <c r="AD45" s="378"/>
      <c r="AE45" s="378"/>
      <c r="AF45" s="378"/>
      <c r="AG45" s="378"/>
      <c r="AH45" s="378"/>
      <c r="AI45" s="378"/>
      <c r="AJ45" s="378"/>
      <c r="AK45" s="378"/>
      <c r="AL45" s="378"/>
      <c r="AM45" s="378"/>
      <c r="AN45" s="389"/>
      <c r="AO45" s="388"/>
      <c r="AP45" s="378"/>
      <c r="AQ45" s="378"/>
      <c r="AR45" s="378"/>
      <c r="AS45" s="378"/>
      <c r="AT45" s="378"/>
      <c r="AU45" s="378"/>
      <c r="AV45" s="378"/>
      <c r="AW45" s="378"/>
      <c r="AX45" s="378"/>
      <c r="AY45" s="378"/>
      <c r="AZ45" s="389"/>
      <c r="BA45" s="404">
        <f t="shared" si="25"/>
        <v>5.55</v>
      </c>
    </row>
    <row r="46" spans="1:53" s="28" customFormat="1" ht="20.100000000000001" customHeight="1">
      <c r="A46" s="57" t="str">
        <f>Vecinos!A46</f>
        <v>Isbeth Palacios</v>
      </c>
      <c r="B46" s="58" t="str">
        <f>Vecinos!C46</f>
        <v>Calle Guacara Nro. 88-75</v>
      </c>
      <c r="C46" s="35" t="str">
        <f>IF(SUMIFS(Vigilancia!$E:$E,Vigilancia!$F:$F,A46,Vigilancia!$J:$J,"Vigilancia")=BA46,"ü","û")</f>
        <v>ü</v>
      </c>
      <c r="D46" s="177"/>
      <c r="E46" s="178"/>
      <c r="F46" s="179"/>
      <c r="G46" s="179"/>
      <c r="H46" s="179"/>
      <c r="I46" s="179"/>
      <c r="J46" s="179"/>
      <c r="K46" s="179"/>
      <c r="L46" s="179"/>
      <c r="M46" s="179"/>
      <c r="N46" s="179"/>
      <c r="O46" s="179"/>
      <c r="P46" s="177"/>
      <c r="Q46" s="181"/>
      <c r="R46" s="182"/>
      <c r="S46" s="190"/>
      <c r="T46" s="190"/>
      <c r="U46" s="189">
        <f>400000/100000</f>
        <v>4</v>
      </c>
      <c r="V46" s="189">
        <f>400000/100000+225000/100000</f>
        <v>6.25</v>
      </c>
      <c r="W46" s="189">
        <f>850000/100000+150000/100000</f>
        <v>10</v>
      </c>
      <c r="X46" s="189">
        <f>1200000/100000</f>
        <v>12</v>
      </c>
      <c r="Y46" s="189"/>
      <c r="Z46" s="189"/>
      <c r="AA46" s="203"/>
      <c r="AB46" s="204"/>
      <c r="AC46" s="388"/>
      <c r="AD46" s="378"/>
      <c r="AE46" s="378"/>
      <c r="AF46" s="378"/>
      <c r="AG46" s="378"/>
      <c r="AH46" s="378"/>
      <c r="AI46" s="378"/>
      <c r="AJ46" s="378"/>
      <c r="AK46" s="378"/>
      <c r="AL46" s="378"/>
      <c r="AM46" s="378"/>
      <c r="AN46" s="389"/>
      <c r="AO46" s="388"/>
      <c r="AP46" s="378"/>
      <c r="AQ46" s="378"/>
      <c r="AR46" s="378"/>
      <c r="AS46" s="378"/>
      <c r="AT46" s="378"/>
      <c r="AU46" s="378"/>
      <c r="AV46" s="378"/>
      <c r="AW46" s="378"/>
      <c r="AX46" s="378"/>
      <c r="AY46" s="378"/>
      <c r="AZ46" s="389"/>
      <c r="BA46" s="404">
        <f t="shared" si="25"/>
        <v>32.25</v>
      </c>
    </row>
    <row r="47" spans="1:53" s="28" customFormat="1" ht="20.100000000000001" customHeight="1">
      <c r="A47" s="29" t="str">
        <f>Vecinos!A47</f>
        <v>Andrea Valor</v>
      </c>
      <c r="B47" s="30" t="str">
        <f>Vecinos!C47</f>
        <v>Calle Guacara Nro. 88-75</v>
      </c>
      <c r="C47" s="35" t="str">
        <f>IF(SUMIFS(Vigilancia!$E:$E,Vigilancia!$F:$F,A47,Vigilancia!$J:$J,"Vigilancia")=BA47,"ü","û")</f>
        <v>ü</v>
      </c>
      <c r="D47" s="205"/>
      <c r="E47" s="206"/>
      <c r="F47" s="207"/>
      <c r="G47" s="207"/>
      <c r="H47" s="207"/>
      <c r="I47" s="207"/>
      <c r="J47" s="207"/>
      <c r="K47" s="207"/>
      <c r="L47" s="207"/>
      <c r="M47" s="207"/>
      <c r="N47" s="207"/>
      <c r="O47" s="207"/>
      <c r="P47" s="205"/>
      <c r="Q47" s="208"/>
      <c r="R47" s="209"/>
      <c r="S47" s="209"/>
      <c r="T47" s="209"/>
      <c r="U47" s="209"/>
      <c r="V47" s="209"/>
      <c r="W47" s="209"/>
      <c r="X47" s="209"/>
      <c r="Y47" s="209"/>
      <c r="Z47" s="209"/>
      <c r="AA47" s="209"/>
      <c r="AB47" s="449"/>
      <c r="AC47" s="450"/>
      <c r="AD47" s="209"/>
      <c r="AE47" s="375">
        <v>3000</v>
      </c>
      <c r="AF47" s="375">
        <f>3000+2000</f>
        <v>5000</v>
      </c>
      <c r="AG47" s="375">
        <v>8000</v>
      </c>
      <c r="AH47" s="375">
        <v>8000</v>
      </c>
      <c r="AI47" s="375">
        <v>10000</v>
      </c>
      <c r="AJ47" s="375">
        <v>10000</v>
      </c>
      <c r="AK47" s="375">
        <v>20500</v>
      </c>
      <c r="AL47" s="375">
        <f>19800+31450</f>
        <v>51250</v>
      </c>
      <c r="AM47" s="380">
        <v>64500</v>
      </c>
      <c r="AN47" s="376">
        <v>81750</v>
      </c>
      <c r="AO47" s="374">
        <v>136250</v>
      </c>
      <c r="AP47" s="375">
        <v>136250</v>
      </c>
      <c r="AQ47" s="375">
        <v>185250</v>
      </c>
      <c r="AR47" s="375">
        <v>185250</v>
      </c>
      <c r="AS47" s="375">
        <v>250000</v>
      </c>
      <c r="AT47" s="375">
        <v>250000</v>
      </c>
      <c r="AU47" s="375"/>
      <c r="AV47" s="375"/>
      <c r="AW47" s="375"/>
      <c r="AX47" s="375"/>
      <c r="AY47" s="375"/>
      <c r="AZ47" s="376"/>
      <c r="BA47" s="401">
        <f t="shared" si="25"/>
        <v>1405000</v>
      </c>
    </row>
    <row r="48" spans="1:53" s="28" customFormat="1" ht="20.100000000000001" customHeight="1">
      <c r="A48" s="32" t="str">
        <f>Vecinos!A48</f>
        <v>Familia Machado Stoppa</v>
      </c>
      <c r="B48" s="33" t="str">
        <f>Vecinos!C48</f>
        <v>Calle Guacara Nro. 88-85</v>
      </c>
      <c r="C48" s="34" t="str">
        <f>IF(SUMIFS(Vigilancia!$E:$E,Vigilancia!$F:$F,A48,Vigilancia!$J:$J,"Vigilancia")=BA48,"ü","û")</f>
        <v>ü</v>
      </c>
      <c r="D48" s="184"/>
      <c r="E48" s="185">
        <f>15000/100000</f>
        <v>0.15</v>
      </c>
      <c r="F48" s="186">
        <f>15000/100000</f>
        <v>0.15</v>
      </c>
      <c r="G48" s="186">
        <f>15000/100000</f>
        <v>0.15</v>
      </c>
      <c r="H48" s="186">
        <f>22000/100000</f>
        <v>0.22</v>
      </c>
      <c r="I48" s="186">
        <f>22000/100000</f>
        <v>0.22</v>
      </c>
      <c r="J48" s="186">
        <f>22000/100000</f>
        <v>0.22</v>
      </c>
      <c r="K48" s="186">
        <f>25000/100000</f>
        <v>0.25</v>
      </c>
      <c r="L48" s="186">
        <f>30000/100000</f>
        <v>0.3</v>
      </c>
      <c r="M48" s="186">
        <f>30000/100000</f>
        <v>0.3</v>
      </c>
      <c r="N48" s="186">
        <f>30000/100000</f>
        <v>0.3</v>
      </c>
      <c r="O48" s="186">
        <f>40000/100000</f>
        <v>0.4</v>
      </c>
      <c r="P48" s="184">
        <f>40000/100000</f>
        <v>0.4</v>
      </c>
      <c r="Q48" s="187">
        <f>70000/100000</f>
        <v>0.7</v>
      </c>
      <c r="R48" s="188">
        <f>70000/100000</f>
        <v>0.7</v>
      </c>
      <c r="S48" s="188">
        <f>70000/100000</f>
        <v>0.7</v>
      </c>
      <c r="T48" s="188">
        <f>70000/100000</f>
        <v>0.7</v>
      </c>
      <c r="U48" s="182">
        <f>400000/100000</f>
        <v>4</v>
      </c>
      <c r="V48" s="182">
        <f>400000/100000+225000/100000</f>
        <v>6.25</v>
      </c>
      <c r="W48" s="182">
        <f>400000/100000+600000/100000</f>
        <v>10</v>
      </c>
      <c r="X48" s="189">
        <f>400000/100000+800000/100000</f>
        <v>12</v>
      </c>
      <c r="Y48" s="182">
        <v>320</v>
      </c>
      <c r="Z48" s="182">
        <v>350</v>
      </c>
      <c r="AA48" s="182">
        <v>320</v>
      </c>
      <c r="AB48" s="177">
        <v>800</v>
      </c>
      <c r="AC48" s="379">
        <f>800+2200</f>
        <v>3000</v>
      </c>
      <c r="AD48" s="375">
        <v>3000</v>
      </c>
      <c r="AE48" s="375">
        <v>3000</v>
      </c>
      <c r="AF48" s="375">
        <f>3000+2000</f>
        <v>5000</v>
      </c>
      <c r="AG48" s="375">
        <v>8000</v>
      </c>
      <c r="AH48" s="375">
        <v>8000</v>
      </c>
      <c r="AI48" s="375">
        <v>10000</v>
      </c>
      <c r="AJ48" s="375">
        <v>10000</v>
      </c>
      <c r="AK48" s="375">
        <v>20500</v>
      </c>
      <c r="AL48" s="375">
        <f>19800+27200</f>
        <v>47000</v>
      </c>
      <c r="AM48" s="375">
        <v>56250</v>
      </c>
      <c r="AN48" s="376">
        <v>105250</v>
      </c>
      <c r="AO48" s="379">
        <v>136250</v>
      </c>
      <c r="AP48" s="375">
        <v>136250</v>
      </c>
      <c r="AQ48" s="375">
        <v>185250</v>
      </c>
      <c r="AR48" s="375">
        <v>186250</v>
      </c>
      <c r="AS48" s="375">
        <v>250000</v>
      </c>
      <c r="AT48" s="375">
        <v>250000</v>
      </c>
      <c r="AU48" s="375"/>
      <c r="AV48" s="375"/>
      <c r="AW48" s="375"/>
      <c r="AX48" s="375"/>
      <c r="AY48" s="375"/>
      <c r="AZ48" s="376"/>
      <c r="BA48" s="401">
        <f t="shared" si="25"/>
        <v>1424828.1099999999</v>
      </c>
    </row>
    <row r="49" spans="1:53" s="28" customFormat="1" ht="20.100000000000001" customHeight="1">
      <c r="A49" s="32" t="str">
        <f>Vecinos!A49</f>
        <v>Familia Zavarce Barón</v>
      </c>
      <c r="B49" s="33" t="str">
        <f>Vecinos!C49</f>
        <v>Calle Guacara Nro. 88-91</v>
      </c>
      <c r="C49" s="34" t="str">
        <f>IF(SUMIFS(Vigilancia!$E:$E,Vigilancia!$F:$F,A49,Vigilancia!$J:$J,"Vigilancia")=BA49,"ü","û")</f>
        <v>ü</v>
      </c>
      <c r="D49" s="184"/>
      <c r="E49" s="185">
        <f>10000/100000</f>
        <v>0.1</v>
      </c>
      <c r="F49" s="186">
        <f>10000/100000</f>
        <v>0.1</v>
      </c>
      <c r="G49" s="186">
        <f>14000/100000</f>
        <v>0.14000000000000001</v>
      </c>
      <c r="H49" s="186">
        <f>17000/100000</f>
        <v>0.17</v>
      </c>
      <c r="I49" s="186">
        <f>10000/100000</f>
        <v>0.1</v>
      </c>
      <c r="J49" s="186">
        <f>10000/100000</f>
        <v>0.1</v>
      </c>
      <c r="K49" s="186">
        <f>10000/100000</f>
        <v>0.1</v>
      </c>
      <c r="L49" s="186">
        <f>10000/100000</f>
        <v>0.1</v>
      </c>
      <c r="M49" s="186"/>
      <c r="N49" s="186"/>
      <c r="O49" s="186"/>
      <c r="P49" s="184"/>
      <c r="Q49" s="181">
        <f>80000/100000</f>
        <v>0.8</v>
      </c>
      <c r="R49" s="182">
        <f>80000/100000</f>
        <v>0.8</v>
      </c>
      <c r="S49" s="182">
        <f>140000/100000</f>
        <v>1.4</v>
      </c>
      <c r="T49" s="182">
        <f>140000/100000</f>
        <v>1.4</v>
      </c>
      <c r="U49" s="182">
        <f>60000/100000+340000/100000</f>
        <v>4</v>
      </c>
      <c r="V49" s="182">
        <f>625000/100000</f>
        <v>6.25</v>
      </c>
      <c r="W49" s="189">
        <f>850000/100000+150000/100000</f>
        <v>10</v>
      </c>
      <c r="X49" s="182">
        <v>12</v>
      </c>
      <c r="Y49" s="182">
        <v>320</v>
      </c>
      <c r="Z49" s="182">
        <v>320</v>
      </c>
      <c r="AA49" s="182">
        <v>320</v>
      </c>
      <c r="AB49" s="177">
        <v>800</v>
      </c>
      <c r="AC49" s="374">
        <v>3000</v>
      </c>
      <c r="AD49" s="375">
        <v>3000</v>
      </c>
      <c r="AE49" s="375">
        <v>3000</v>
      </c>
      <c r="AF49" s="375">
        <v>5000</v>
      </c>
      <c r="AG49" s="375">
        <v>8000</v>
      </c>
      <c r="AH49" s="375">
        <v>8000</v>
      </c>
      <c r="AI49" s="375">
        <v>10000</v>
      </c>
      <c r="AJ49" s="375">
        <v>10000</v>
      </c>
      <c r="AK49" s="375">
        <v>19800</v>
      </c>
      <c r="AL49" s="375">
        <v>51250</v>
      </c>
      <c r="AM49" s="375">
        <v>97500</v>
      </c>
      <c r="AN49" s="376">
        <v>105250</v>
      </c>
      <c r="AO49" s="374">
        <f>122550+13700</f>
        <v>136250</v>
      </c>
      <c r="AP49" s="375">
        <f>136250-50</f>
        <v>136200</v>
      </c>
      <c r="AQ49" s="375">
        <f>185200</f>
        <v>185200</v>
      </c>
      <c r="AR49" s="375">
        <f>185200+50</f>
        <v>185250</v>
      </c>
      <c r="AS49" s="375">
        <v>250000</v>
      </c>
      <c r="AT49" s="375">
        <v>250000</v>
      </c>
      <c r="AU49" s="375"/>
      <c r="AV49" s="375"/>
      <c r="AW49" s="375"/>
      <c r="AX49" s="375"/>
      <c r="AY49" s="375"/>
      <c r="AZ49" s="376"/>
      <c r="BA49" s="401">
        <f t="shared" si="25"/>
        <v>1468497.56</v>
      </c>
    </row>
    <row r="50" spans="1:53" s="28" customFormat="1" ht="20.100000000000001" customHeight="1">
      <c r="A50" s="29" t="str">
        <f>Vecinos!A50</f>
        <v>Familia Chávez Moncada</v>
      </c>
      <c r="B50" s="30" t="str">
        <f>Vecinos!C50</f>
        <v>Calle Guacara Nro. 88-95</v>
      </c>
      <c r="C50" s="35" t="str">
        <f>IF(SUMIFS(Vigilancia!$E:$E,Vigilancia!$F:$F,A50,Vigilancia!$J:$J,"Vigilancia")=BA50,"ü","û")</f>
        <v>ü</v>
      </c>
      <c r="D50" s="177"/>
      <c r="E50" s="178"/>
      <c r="F50" s="179"/>
      <c r="G50" s="179"/>
      <c r="H50" s="179"/>
      <c r="I50" s="179"/>
      <c r="J50" s="179"/>
      <c r="K50" s="179"/>
      <c r="L50" s="179"/>
      <c r="M50" s="179"/>
      <c r="N50" s="179"/>
      <c r="O50" s="179"/>
      <c r="P50" s="177"/>
      <c r="Q50" s="181"/>
      <c r="R50" s="182"/>
      <c r="S50" s="182"/>
      <c r="T50" s="182"/>
      <c r="U50" s="182"/>
      <c r="V50" s="182"/>
      <c r="W50" s="182"/>
      <c r="X50" s="182"/>
      <c r="Y50" s="182"/>
      <c r="Z50" s="182"/>
      <c r="AA50" s="182"/>
      <c r="AB50" s="177"/>
      <c r="AC50" s="374"/>
      <c r="AD50" s="375"/>
      <c r="AE50" s="375"/>
      <c r="AF50" s="375"/>
      <c r="AG50" s="375"/>
      <c r="AH50" s="375"/>
      <c r="AI50" s="375"/>
      <c r="AJ50" s="375"/>
      <c r="AK50" s="375"/>
      <c r="AL50" s="375"/>
      <c r="AM50" s="375">
        <v>2281750</v>
      </c>
      <c r="AN50" s="376">
        <v>105250</v>
      </c>
      <c r="AO50" s="509" t="s">
        <v>1256</v>
      </c>
      <c r="AP50" s="378"/>
      <c r="AQ50" s="378"/>
      <c r="AR50" s="378"/>
      <c r="AS50" s="378"/>
      <c r="AT50" s="378"/>
      <c r="AU50" s="378"/>
      <c r="AV50" s="378"/>
      <c r="AW50" s="378"/>
      <c r="AX50" s="378"/>
      <c r="AY50" s="378"/>
      <c r="AZ50" s="389"/>
      <c r="BA50" s="404">
        <f t="shared" si="25"/>
        <v>2387000</v>
      </c>
    </row>
    <row r="51" spans="1:53" s="28" customFormat="1" ht="20.100000000000001" customHeight="1">
      <c r="A51" s="29" t="str">
        <f>Vecinos!A51</f>
        <v>Familia Brito Viana</v>
      </c>
      <c r="B51" s="30" t="str">
        <f>Vecinos!C51</f>
        <v>Calle Guacara Nro. 88-95</v>
      </c>
      <c r="C51" s="35" t="str">
        <f>IF(SUMIFS(Vigilancia!$E:$E,Vigilancia!$F:$F,A51,Vigilancia!$J:$J,"Vigilancia")=BA51,"ü","û")</f>
        <v>ü</v>
      </c>
      <c r="D51" s="212"/>
      <c r="E51" s="213"/>
      <c r="F51" s="214"/>
      <c r="G51" s="214"/>
      <c r="H51" s="214"/>
      <c r="I51" s="214"/>
      <c r="J51" s="214"/>
      <c r="K51" s="214"/>
      <c r="L51" s="214"/>
      <c r="M51" s="214"/>
      <c r="N51" s="214"/>
      <c r="O51" s="214"/>
      <c r="P51" s="212"/>
      <c r="Q51" s="215"/>
      <c r="R51" s="216"/>
      <c r="S51" s="216"/>
      <c r="T51" s="216"/>
      <c r="U51" s="216"/>
      <c r="V51" s="216"/>
      <c r="W51" s="216"/>
      <c r="X51" s="216"/>
      <c r="Y51" s="216"/>
      <c r="Z51" s="216"/>
      <c r="AA51" s="216"/>
      <c r="AB51" s="212"/>
      <c r="AC51" s="478"/>
      <c r="AD51" s="479"/>
      <c r="AE51" s="479"/>
      <c r="AF51" s="479"/>
      <c r="AG51" s="479"/>
      <c r="AH51" s="479"/>
      <c r="AI51" s="479"/>
      <c r="AJ51" s="479"/>
      <c r="AK51" s="479"/>
      <c r="AL51" s="479"/>
      <c r="AM51" s="479"/>
      <c r="AN51" s="602"/>
      <c r="AO51" s="379">
        <v>136250</v>
      </c>
      <c r="AP51" s="380">
        <v>136250</v>
      </c>
      <c r="AQ51" s="380">
        <v>186000</v>
      </c>
      <c r="AR51" s="380">
        <v>186000</v>
      </c>
      <c r="AS51" s="375">
        <v>250000</v>
      </c>
      <c r="AT51" s="375">
        <v>250000</v>
      </c>
      <c r="AU51" s="375">
        <v>320000</v>
      </c>
      <c r="AV51" s="375"/>
      <c r="AW51" s="375"/>
      <c r="AX51" s="375"/>
      <c r="AY51" s="375"/>
      <c r="AZ51" s="376"/>
      <c r="BA51" s="401">
        <f t="shared" ref="BA51" si="37">SUM(D51:AZ51)</f>
        <v>1464500</v>
      </c>
    </row>
    <row r="52" spans="1:53" s="28" customFormat="1" ht="20.100000000000001" customHeight="1">
      <c r="A52" s="57" t="str">
        <f>Vecinos!A52</f>
        <v>Familia Zampini Scaccia</v>
      </c>
      <c r="B52" s="58" t="str">
        <f>Vecinos!C52</f>
        <v>Calle Guacara Nro. 88-A-10</v>
      </c>
      <c r="C52" s="35" t="str">
        <f>IF(SUMIFS(Vigilancia!$E:$E,Vigilancia!$F:$F,A52,Vigilancia!$J:$J,"Vigilancia")=BA52,"ü","û")</f>
        <v>ü</v>
      </c>
      <c r="D52" s="177"/>
      <c r="E52" s="178"/>
      <c r="F52" s="179"/>
      <c r="G52" s="179"/>
      <c r="H52" s="179"/>
      <c r="I52" s="179"/>
      <c r="J52" s="179"/>
      <c r="K52" s="179"/>
      <c r="L52" s="179"/>
      <c r="M52" s="179"/>
      <c r="N52" s="179"/>
      <c r="O52" s="179"/>
      <c r="P52" s="177"/>
      <c r="Q52" s="181"/>
      <c r="R52" s="182"/>
      <c r="S52" s="182"/>
      <c r="T52" s="182"/>
      <c r="U52" s="182"/>
      <c r="V52" s="182"/>
      <c r="W52" s="210" t="s">
        <v>1256</v>
      </c>
      <c r="X52" s="211"/>
      <c r="Y52" s="203"/>
      <c r="Z52" s="203"/>
      <c r="AA52" s="203"/>
      <c r="AB52" s="204"/>
      <c r="AC52" s="388"/>
      <c r="AD52" s="378"/>
      <c r="AE52" s="378"/>
      <c r="AF52" s="378"/>
      <c r="AG52" s="378"/>
      <c r="AH52" s="378"/>
      <c r="AI52" s="378"/>
      <c r="AJ52" s="378"/>
      <c r="AK52" s="378"/>
      <c r="AL52" s="378"/>
      <c r="AM52" s="378"/>
      <c r="AN52" s="389"/>
      <c r="AO52" s="388"/>
      <c r="AP52" s="378"/>
      <c r="AQ52" s="378"/>
      <c r="AR52" s="378"/>
      <c r="AS52" s="378"/>
      <c r="AT52" s="378"/>
      <c r="AU52" s="378"/>
      <c r="AV52" s="378"/>
      <c r="AW52" s="378"/>
      <c r="AX52" s="378"/>
      <c r="AY52" s="378"/>
      <c r="AZ52" s="389"/>
      <c r="BA52" s="404">
        <f t="shared" si="25"/>
        <v>0</v>
      </c>
    </row>
    <row r="53" spans="1:53" s="28" customFormat="1" ht="20.100000000000001" customHeight="1">
      <c r="A53" s="29" t="str">
        <f>Vecinos!A53</f>
        <v>Familia Wu Acevedo</v>
      </c>
      <c r="B53" s="30" t="str">
        <f>Vecinos!C53</f>
        <v>Calle Guacara Nro. 88-A-10</v>
      </c>
      <c r="C53" s="35" t="str">
        <f>IF(SUMIFS(Vigilancia!$E:$E,Vigilancia!$F:$F,A53,Vigilancia!$J:$J,"Vigilancia")=BA53,"ü","û")</f>
        <v>ü</v>
      </c>
      <c r="D53" s="212"/>
      <c r="E53" s="213"/>
      <c r="F53" s="214"/>
      <c r="G53" s="214"/>
      <c r="H53" s="214"/>
      <c r="I53" s="214"/>
      <c r="J53" s="214"/>
      <c r="K53" s="214"/>
      <c r="L53" s="214"/>
      <c r="M53" s="214"/>
      <c r="N53" s="214"/>
      <c r="O53" s="214"/>
      <c r="P53" s="212"/>
      <c r="Q53" s="215"/>
      <c r="R53" s="216"/>
      <c r="S53" s="216"/>
      <c r="T53" s="216"/>
      <c r="U53" s="216"/>
      <c r="V53" s="216"/>
      <c r="W53" s="179">
        <f>1000000/100000</f>
        <v>10</v>
      </c>
      <c r="X53" s="179">
        <f>1200000/100000</f>
        <v>12</v>
      </c>
      <c r="Y53" s="182">
        <v>320</v>
      </c>
      <c r="Z53" s="182">
        <v>320</v>
      </c>
      <c r="AA53" s="182">
        <v>320</v>
      </c>
      <c r="AB53" s="177">
        <v>1000</v>
      </c>
      <c r="AC53" s="379">
        <f>800+2200</f>
        <v>3000</v>
      </c>
      <c r="AD53" s="375">
        <v>3000</v>
      </c>
      <c r="AE53" s="375">
        <v>3000</v>
      </c>
      <c r="AF53" s="375">
        <v>5000</v>
      </c>
      <c r="AG53" s="481">
        <v>10000</v>
      </c>
      <c r="AH53" s="481">
        <v>10000</v>
      </c>
      <c r="AI53" s="375">
        <v>10000</v>
      </c>
      <c r="AJ53" s="375">
        <v>10000</v>
      </c>
      <c r="AK53" s="375">
        <v>21600</v>
      </c>
      <c r="AL53" s="375">
        <f>21100+25900</f>
        <v>47000</v>
      </c>
      <c r="AM53" s="375">
        <v>51250</v>
      </c>
      <c r="AN53" s="376">
        <v>81750</v>
      </c>
      <c r="AO53" s="379">
        <v>136250</v>
      </c>
      <c r="AP53" s="375">
        <f>64405.8+120844.2</f>
        <v>185250</v>
      </c>
      <c r="AQ53" s="375">
        <v>185250</v>
      </c>
      <c r="AR53" s="375">
        <f>905.8+185250</f>
        <v>186155.8</v>
      </c>
      <c r="AS53" s="375">
        <v>250000</v>
      </c>
      <c r="AT53" s="375">
        <v>250000</v>
      </c>
      <c r="AU53" s="375">
        <v>320000</v>
      </c>
      <c r="AV53" s="375"/>
      <c r="AW53" s="375"/>
      <c r="AX53" s="375"/>
      <c r="AY53" s="375"/>
      <c r="AZ53" s="376"/>
      <c r="BA53" s="401">
        <f t="shared" si="25"/>
        <v>1770487.8</v>
      </c>
    </row>
    <row r="54" spans="1:53" s="28" customFormat="1" ht="20.100000000000001" customHeight="1">
      <c r="A54" s="29" t="str">
        <f>Vecinos!A54</f>
        <v>Familia Arcia Polanco</v>
      </c>
      <c r="B54" s="30" t="str">
        <f>Vecinos!C54</f>
        <v>Calle Guacara Nro. 89-20</v>
      </c>
      <c r="C54" s="35" t="str">
        <f>IF(SUMIFS(Vigilancia!$E:$E,Vigilancia!$F:$F,A54,Vigilancia!$J:$J,"Vigilancia")=BA54,"ü","û")</f>
        <v>ü</v>
      </c>
      <c r="D54" s="177"/>
      <c r="E54" s="178">
        <f>10500/100000+6500/100000</f>
        <v>0.16999999999999998</v>
      </c>
      <c r="F54" s="179">
        <f t="shared" ref="F54:H56" si="38">17000/100000</f>
        <v>0.17</v>
      </c>
      <c r="G54" s="179">
        <f t="shared" si="38"/>
        <v>0.17</v>
      </c>
      <c r="H54" s="179">
        <f t="shared" si="38"/>
        <v>0.17</v>
      </c>
      <c r="I54" s="179">
        <f t="shared" ref="I54:J56" si="39">26000/100000</f>
        <v>0.26</v>
      </c>
      <c r="J54" s="179">
        <f t="shared" si="39"/>
        <v>0.26</v>
      </c>
      <c r="K54" s="179">
        <f>26000/100000+9000/100000</f>
        <v>0.35</v>
      </c>
      <c r="L54" s="179">
        <f t="shared" ref="L54:N56" si="40">35000/100000</f>
        <v>0.35</v>
      </c>
      <c r="M54" s="179">
        <f t="shared" si="40"/>
        <v>0.35</v>
      </c>
      <c r="N54" s="179">
        <f t="shared" si="40"/>
        <v>0.35</v>
      </c>
      <c r="O54" s="179">
        <f>50000/100000</f>
        <v>0.5</v>
      </c>
      <c r="P54" s="177">
        <f>50000/100000</f>
        <v>0.5</v>
      </c>
      <c r="Q54" s="181">
        <f>50000/100000+30000/100000</f>
        <v>0.8</v>
      </c>
      <c r="R54" s="182">
        <f>80000/100000</f>
        <v>0.8</v>
      </c>
      <c r="S54" s="182">
        <f>140000/100000</f>
        <v>1.4</v>
      </c>
      <c r="T54" s="182">
        <f>140000/100000</f>
        <v>1.4</v>
      </c>
      <c r="U54" s="182">
        <f>400000/100000</f>
        <v>4</v>
      </c>
      <c r="V54" s="182">
        <f>400000/100000+225000/100000</f>
        <v>6.25</v>
      </c>
      <c r="W54" s="217">
        <f>1000000/100000</f>
        <v>10</v>
      </c>
      <c r="X54" s="179">
        <f>1200000/100000</f>
        <v>12</v>
      </c>
      <c r="Y54" s="182">
        <v>320</v>
      </c>
      <c r="Z54" s="182">
        <v>320</v>
      </c>
      <c r="AA54" s="182">
        <v>320</v>
      </c>
      <c r="AB54" s="177">
        <v>800</v>
      </c>
      <c r="AC54" s="379">
        <f>800+2200</f>
        <v>3000</v>
      </c>
      <c r="AD54" s="375">
        <v>3000</v>
      </c>
      <c r="AE54" s="375">
        <v>3000</v>
      </c>
      <c r="AF54" s="375">
        <f>3000+2000</f>
        <v>5000</v>
      </c>
      <c r="AG54" s="375">
        <f>5000+3000</f>
        <v>8000</v>
      </c>
      <c r="AH54" s="375">
        <f>5000+3000</f>
        <v>8000</v>
      </c>
      <c r="AI54" s="375">
        <v>10000</v>
      </c>
      <c r="AJ54" s="375">
        <v>10000</v>
      </c>
      <c r="AK54" s="375">
        <v>23400</v>
      </c>
      <c r="AL54" s="380">
        <f>800+20300+28200</f>
        <v>49300</v>
      </c>
      <c r="AM54" s="375">
        <v>56250</v>
      </c>
      <c r="AN54" s="376">
        <v>81750</v>
      </c>
      <c r="AO54" s="379">
        <v>136250</v>
      </c>
      <c r="AP54" s="375">
        <v>136250</v>
      </c>
      <c r="AQ54" s="375">
        <v>185250</v>
      </c>
      <c r="AR54" s="375">
        <v>185250</v>
      </c>
      <c r="AS54" s="375">
        <v>250000</v>
      </c>
      <c r="AT54" s="375">
        <v>250000</v>
      </c>
      <c r="AU54" s="375"/>
      <c r="AV54" s="375"/>
      <c r="AW54" s="375"/>
      <c r="AX54" s="375"/>
      <c r="AY54" s="375"/>
      <c r="AZ54" s="376"/>
      <c r="BA54" s="401">
        <f t="shared" si="25"/>
        <v>1405500.25</v>
      </c>
    </row>
    <row r="55" spans="1:53" s="28" customFormat="1" ht="20.100000000000001" customHeight="1">
      <c r="A55" s="29" t="str">
        <f>Vecinos!A55</f>
        <v>Familia Lomeña Agudo</v>
      </c>
      <c r="B55" s="30" t="str">
        <f>Vecinos!C55</f>
        <v>Calle Guacara Nro. 89-30</v>
      </c>
      <c r="C55" s="35" t="str">
        <f>IF(SUMIFS(Vigilancia!$E:$E,Vigilancia!$F:$F,A55,Vigilancia!$J:$J,"Vigilancia")=BA55,"ü","û")</f>
        <v>ü</v>
      </c>
      <c r="D55" s="177"/>
      <c r="E55" s="178">
        <f>17000/100000</f>
        <v>0.17</v>
      </c>
      <c r="F55" s="179">
        <f t="shared" si="38"/>
        <v>0.17</v>
      </c>
      <c r="G55" s="179">
        <f t="shared" si="38"/>
        <v>0.17</v>
      </c>
      <c r="H55" s="179">
        <f t="shared" si="38"/>
        <v>0.17</v>
      </c>
      <c r="I55" s="179">
        <f t="shared" si="39"/>
        <v>0.26</v>
      </c>
      <c r="J55" s="179">
        <f t="shared" si="39"/>
        <v>0.26</v>
      </c>
      <c r="K55" s="179">
        <f>26000/100000+9000/100000</f>
        <v>0.35</v>
      </c>
      <c r="L55" s="179">
        <f t="shared" si="40"/>
        <v>0.35</v>
      </c>
      <c r="M55" s="179">
        <f t="shared" si="40"/>
        <v>0.35</v>
      </c>
      <c r="N55" s="179">
        <f t="shared" si="40"/>
        <v>0.35</v>
      </c>
      <c r="O55" s="179">
        <f>50000/100000</f>
        <v>0.5</v>
      </c>
      <c r="P55" s="177">
        <f>50000/100000</f>
        <v>0.5</v>
      </c>
      <c r="Q55" s="181">
        <f>80000/100000</f>
        <v>0.8</v>
      </c>
      <c r="R55" s="182">
        <f>80000/100000</f>
        <v>0.8</v>
      </c>
      <c r="S55" s="182">
        <f>130000/100000+10000/100000</f>
        <v>1.4000000000000001</v>
      </c>
      <c r="T55" s="182">
        <f>140000/100000</f>
        <v>1.4</v>
      </c>
      <c r="U55" s="182">
        <f>400000/100000</f>
        <v>4</v>
      </c>
      <c r="V55" s="182">
        <f>200000/100000+425000/100000</f>
        <v>6.25</v>
      </c>
      <c r="W55" s="179">
        <f>1000000/100000-425000/100000+650000/100000</f>
        <v>12.25</v>
      </c>
      <c r="X55" s="179">
        <f>1200000/100000</f>
        <v>12</v>
      </c>
      <c r="Y55" s="189">
        <f>0.2+350</f>
        <v>350.2</v>
      </c>
      <c r="Z55" s="182">
        <v>320</v>
      </c>
      <c r="AA55" s="182">
        <v>350</v>
      </c>
      <c r="AB55" s="177">
        <v>800</v>
      </c>
      <c r="AC55" s="379">
        <f>800+2200</f>
        <v>3000</v>
      </c>
      <c r="AD55" s="375">
        <v>3000</v>
      </c>
      <c r="AE55" s="375">
        <v>4500</v>
      </c>
      <c r="AF55" s="375">
        <f>4000-4000+5000</f>
        <v>5000</v>
      </c>
      <c r="AG55" s="375">
        <v>8000</v>
      </c>
      <c r="AH55" s="481">
        <v>10000</v>
      </c>
      <c r="AI55" s="375">
        <v>10000</v>
      </c>
      <c r="AJ55" s="481">
        <v>15000</v>
      </c>
      <c r="AK55" s="375">
        <f>15000+8400</f>
        <v>23400</v>
      </c>
      <c r="AL55" s="380">
        <f>25000+23000</f>
        <v>48000</v>
      </c>
      <c r="AM55" s="481">
        <v>67481</v>
      </c>
      <c r="AN55" s="566">
        <v>148000</v>
      </c>
      <c r="AO55" s="379">
        <v>136250</v>
      </c>
      <c r="AP55" s="375">
        <v>210000</v>
      </c>
      <c r="AQ55" s="375">
        <v>186000</v>
      </c>
      <c r="AR55" s="375">
        <v>187000</v>
      </c>
      <c r="AS55" s="375">
        <v>250000</v>
      </c>
      <c r="AT55" s="375">
        <v>300000</v>
      </c>
      <c r="AU55" s="375"/>
      <c r="AV55" s="375"/>
      <c r="AW55" s="375"/>
      <c r="AX55" s="375"/>
      <c r="AY55" s="375"/>
      <c r="AZ55" s="376"/>
      <c r="BA55" s="401">
        <f t="shared" si="25"/>
        <v>1616493.7</v>
      </c>
    </row>
    <row r="56" spans="1:53" s="28" customFormat="1" ht="20.100000000000001" customHeight="1">
      <c r="A56" s="29" t="str">
        <f>Vecinos!A56</f>
        <v>Familia Manrique Riera</v>
      </c>
      <c r="B56" s="30" t="str">
        <f>Vecinos!C56</f>
        <v>Calle Guacara Nro. 89-40</v>
      </c>
      <c r="C56" s="35" t="str">
        <f>IF(SUMIFS(Vigilancia!$E:$E,Vigilancia!$F:$F,A56,Vigilancia!$J:$J,"Vigilancia")=BA56,"ü","û")</f>
        <v>ü</v>
      </c>
      <c r="D56" s="177"/>
      <c r="E56" s="178">
        <f>14000/100000+3000/100000</f>
        <v>0.17</v>
      </c>
      <c r="F56" s="179">
        <f t="shared" si="38"/>
        <v>0.17</v>
      </c>
      <c r="G56" s="179">
        <f t="shared" si="38"/>
        <v>0.17</v>
      </c>
      <c r="H56" s="179">
        <f t="shared" si="38"/>
        <v>0.17</v>
      </c>
      <c r="I56" s="179">
        <f t="shared" si="39"/>
        <v>0.26</v>
      </c>
      <c r="J56" s="179">
        <f t="shared" si="39"/>
        <v>0.26</v>
      </c>
      <c r="K56" s="179">
        <f>35000/100000</f>
        <v>0.35</v>
      </c>
      <c r="L56" s="179">
        <f t="shared" si="40"/>
        <v>0.35</v>
      </c>
      <c r="M56" s="179">
        <f t="shared" si="40"/>
        <v>0.35</v>
      </c>
      <c r="N56" s="179">
        <f t="shared" si="40"/>
        <v>0.35</v>
      </c>
      <c r="O56" s="179">
        <f>35000/100000+15000/100000</f>
        <v>0.5</v>
      </c>
      <c r="P56" s="177">
        <f>20000/100000</f>
        <v>0.2</v>
      </c>
      <c r="Q56" s="181">
        <f>80000/100000</f>
        <v>0.8</v>
      </c>
      <c r="R56" s="182">
        <f>80000/100000</f>
        <v>0.8</v>
      </c>
      <c r="S56" s="182">
        <f>140000/100000</f>
        <v>1.4</v>
      </c>
      <c r="T56" s="182">
        <f>140000/100000</f>
        <v>1.4</v>
      </c>
      <c r="U56" s="182">
        <f>400000/100000</f>
        <v>4</v>
      </c>
      <c r="V56" s="182">
        <f>650000/100000</f>
        <v>6.5</v>
      </c>
      <c r="W56" s="218">
        <f>1000000/100000</f>
        <v>10</v>
      </c>
      <c r="X56" s="179">
        <v>12</v>
      </c>
      <c r="Y56" s="182">
        <v>320</v>
      </c>
      <c r="Z56" s="182">
        <v>320</v>
      </c>
      <c r="AA56" s="182">
        <v>320</v>
      </c>
      <c r="AB56" s="177">
        <v>800</v>
      </c>
      <c r="AC56" s="379">
        <f>800+2200</f>
        <v>3000</v>
      </c>
      <c r="AD56" s="375">
        <v>3000</v>
      </c>
      <c r="AE56" s="375">
        <v>3000</v>
      </c>
      <c r="AF56" s="375">
        <v>5000</v>
      </c>
      <c r="AG56" s="375">
        <f>5000+3000</f>
        <v>8000</v>
      </c>
      <c r="AH56" s="375">
        <v>8000</v>
      </c>
      <c r="AI56" s="375">
        <f>8000+2000</f>
        <v>10000</v>
      </c>
      <c r="AJ56" s="375">
        <v>10000</v>
      </c>
      <c r="AK56" s="375">
        <v>23400</v>
      </c>
      <c r="AL56" s="375">
        <v>47000</v>
      </c>
      <c r="AM56" s="375">
        <v>64500</v>
      </c>
      <c r="AN56" s="376">
        <v>81750</v>
      </c>
      <c r="AO56" s="379">
        <v>136250</v>
      </c>
      <c r="AP56" s="375">
        <v>136250</v>
      </c>
      <c r="AQ56" s="375">
        <v>185250</v>
      </c>
      <c r="AR56" s="375">
        <v>185250</v>
      </c>
      <c r="AS56" s="375">
        <v>250000</v>
      </c>
      <c r="AT56" s="375">
        <v>250000</v>
      </c>
      <c r="AU56" s="375"/>
      <c r="AV56" s="375"/>
      <c r="AW56" s="375"/>
      <c r="AX56" s="375"/>
      <c r="AY56" s="375"/>
      <c r="AZ56" s="376"/>
      <c r="BA56" s="401">
        <f t="shared" si="25"/>
        <v>1411450.2</v>
      </c>
    </row>
    <row r="57" spans="1:53" s="28" customFormat="1" ht="20.100000000000001" customHeight="1">
      <c r="A57" s="32" t="str">
        <f>Vecinos!A57</f>
        <v>Familia Romero</v>
      </c>
      <c r="B57" s="33" t="str">
        <f>Vecinos!C57</f>
        <v>Calle Guacara Nro. 89-50</v>
      </c>
      <c r="C57" s="34" t="str">
        <f>IF(SUMIFS(Vigilancia!$E:$E,Vigilancia!$F:$F,A57,Vigilancia!$J:$J,"Vigilancia")=BA57,"ü","û")</f>
        <v>ü</v>
      </c>
      <c r="D57" s="184"/>
      <c r="E57" s="185"/>
      <c r="F57" s="186"/>
      <c r="G57" s="186"/>
      <c r="H57" s="186"/>
      <c r="I57" s="186"/>
      <c r="J57" s="186"/>
      <c r="K57" s="186"/>
      <c r="L57" s="186"/>
      <c r="M57" s="186"/>
      <c r="N57" s="186"/>
      <c r="O57" s="186"/>
      <c r="P57" s="184">
        <f>50000/100000</f>
        <v>0.5</v>
      </c>
      <c r="Q57" s="187">
        <f>50000/100000</f>
        <v>0.5</v>
      </c>
      <c r="R57" s="188">
        <f>50000/100000</f>
        <v>0.5</v>
      </c>
      <c r="S57" s="188">
        <f>50000/100000</f>
        <v>0.5</v>
      </c>
      <c r="T57" s="188">
        <f>50000/100000</f>
        <v>0.5</v>
      </c>
      <c r="U57" s="188">
        <f>400000/100000</f>
        <v>4</v>
      </c>
      <c r="V57" s="188">
        <f>400000/100000</f>
        <v>4</v>
      </c>
      <c r="W57" s="188">
        <f>850000/100000+150000/100000</f>
        <v>10</v>
      </c>
      <c r="X57" s="188">
        <f>1000000/100000</f>
        <v>10</v>
      </c>
      <c r="Y57" s="188">
        <v>160</v>
      </c>
      <c r="Z57" s="188">
        <v>160</v>
      </c>
      <c r="AA57" s="353"/>
      <c r="AB57" s="184">
        <v>800</v>
      </c>
      <c r="AC57" s="371">
        <v>3000</v>
      </c>
      <c r="AD57" s="372">
        <v>3000</v>
      </c>
      <c r="AE57" s="372">
        <v>3000</v>
      </c>
      <c r="AF57" s="372">
        <f>3000+2000</f>
        <v>5000</v>
      </c>
      <c r="AG57" s="372">
        <v>8000</v>
      </c>
      <c r="AH57" s="372">
        <v>8000</v>
      </c>
      <c r="AI57" s="372">
        <v>10000</v>
      </c>
      <c r="AJ57" s="372">
        <v>10000</v>
      </c>
      <c r="AK57" s="372">
        <v>20500</v>
      </c>
      <c r="AL57" s="380">
        <f>4500+42500</f>
        <v>47000</v>
      </c>
      <c r="AM57" s="380">
        <v>56250</v>
      </c>
      <c r="AN57" s="385">
        <v>81750</v>
      </c>
      <c r="AO57" s="379">
        <v>136250</v>
      </c>
      <c r="AP57" s="380">
        <v>185250</v>
      </c>
      <c r="AQ57" s="380">
        <v>185250</v>
      </c>
      <c r="AR57" s="380">
        <v>185250</v>
      </c>
      <c r="AS57" s="380">
        <v>250000</v>
      </c>
      <c r="AT57" s="380"/>
      <c r="AU57" s="380"/>
      <c r="AV57" s="380"/>
      <c r="AW57" s="380"/>
      <c r="AX57" s="380"/>
      <c r="AY57" s="380"/>
      <c r="AZ57" s="385"/>
      <c r="BA57" s="403">
        <f t="shared" si="25"/>
        <v>1198650.5</v>
      </c>
    </row>
    <row r="58" spans="1:53" s="28" customFormat="1" ht="20.100000000000001" customHeight="1">
      <c r="A58" s="29" t="str">
        <f>Vecinos!A58</f>
        <v>Familia Durvelle Serrano</v>
      </c>
      <c r="B58" s="30" t="str">
        <f>Vecinos!C58</f>
        <v>Calle Guacara Nro. 89-60</v>
      </c>
      <c r="C58" s="35" t="str">
        <f>IF(SUMIFS(Vigilancia!$E:$E,Vigilancia!$F:$F,A58,Vigilancia!$J:$J,"Vigilancia")=BA58,"ü","û")</f>
        <v>ü</v>
      </c>
      <c r="D58" s="177"/>
      <c r="E58" s="193">
        <f>10000/100000</f>
        <v>0.1</v>
      </c>
      <c r="F58" s="179">
        <f t="shared" ref="F58:H60" si="41">17000/100000</f>
        <v>0.17</v>
      </c>
      <c r="G58" s="179">
        <f t="shared" si="41"/>
        <v>0.17</v>
      </c>
      <c r="H58" s="179">
        <f t="shared" si="41"/>
        <v>0.17</v>
      </c>
      <c r="I58" s="179">
        <f>26000/100000</f>
        <v>0.26</v>
      </c>
      <c r="J58" s="179">
        <f>27000/100000</f>
        <v>0.27</v>
      </c>
      <c r="K58" s="179">
        <f>27000/100000+9000/100000</f>
        <v>0.36</v>
      </c>
      <c r="L58" s="179">
        <f>35000/100000</f>
        <v>0.35</v>
      </c>
      <c r="M58" s="179">
        <f>35000/100000</f>
        <v>0.35</v>
      </c>
      <c r="N58" s="179">
        <f>35000/100000</f>
        <v>0.35</v>
      </c>
      <c r="O58" s="179">
        <f>35000/100000+15000/100000</f>
        <v>0.5</v>
      </c>
      <c r="P58" s="177">
        <f>50000/100000</f>
        <v>0.5</v>
      </c>
      <c r="Q58" s="181">
        <f>50000/100000+50000/100000</f>
        <v>1</v>
      </c>
      <c r="R58" s="182">
        <f>100000/100000</f>
        <v>1</v>
      </c>
      <c r="S58" s="182">
        <f>200000/100000</f>
        <v>2</v>
      </c>
      <c r="T58" s="182">
        <f>250000/100000</f>
        <v>2.5</v>
      </c>
      <c r="U58" s="182">
        <f>300000/100000+100000/100000</f>
        <v>4</v>
      </c>
      <c r="V58" s="182">
        <f>400000/100000+225000/100000</f>
        <v>6.25</v>
      </c>
      <c r="W58" s="182">
        <f>200000/100000+800000/100000</f>
        <v>10</v>
      </c>
      <c r="X58" s="189">
        <f>215000/100000+1500000/100000-515000/100000</f>
        <v>11.999999999999998</v>
      </c>
      <c r="Y58" s="189">
        <f>515000/100000+400</f>
        <v>405.15</v>
      </c>
      <c r="Z58" s="182">
        <v>500</v>
      </c>
      <c r="AA58" s="182">
        <v>500</v>
      </c>
      <c r="AB58" s="177">
        <v>1000</v>
      </c>
      <c r="AC58" s="379">
        <f>1000+3000</f>
        <v>4000</v>
      </c>
      <c r="AD58" s="375">
        <v>4000</v>
      </c>
      <c r="AE58" s="375">
        <v>6000</v>
      </c>
      <c r="AF58" s="375">
        <v>5000</v>
      </c>
      <c r="AG58" s="375">
        <f>5000+3000</f>
        <v>8000</v>
      </c>
      <c r="AH58" s="375">
        <v>8000</v>
      </c>
      <c r="AI58" s="375">
        <v>15000</v>
      </c>
      <c r="AJ58" s="375">
        <v>10000</v>
      </c>
      <c r="AK58" s="375">
        <v>24000</v>
      </c>
      <c r="AL58" s="380">
        <f>25000+22000</f>
        <v>47000</v>
      </c>
      <c r="AM58" s="375">
        <f>47000+10000</f>
        <v>57000</v>
      </c>
      <c r="AN58" s="560">
        <f>100000-1250</f>
        <v>98750</v>
      </c>
      <c r="AO58" s="604">
        <f>135000+1250</f>
        <v>136250</v>
      </c>
      <c r="AP58" s="375">
        <v>140000</v>
      </c>
      <c r="AQ58" s="375">
        <v>400000</v>
      </c>
      <c r="AR58" s="375">
        <v>300000</v>
      </c>
      <c r="AS58" s="375">
        <v>250000</v>
      </c>
      <c r="AT58" s="375">
        <v>300000</v>
      </c>
      <c r="AU58" s="375">
        <v>400000</v>
      </c>
      <c r="AV58" s="375"/>
      <c r="AW58" s="375"/>
      <c r="AX58" s="375"/>
      <c r="AY58" s="375"/>
      <c r="AZ58" s="376"/>
      <c r="BA58" s="401">
        <f t="shared" si="25"/>
        <v>2215447.4500000002</v>
      </c>
    </row>
    <row r="59" spans="1:53" s="28" customFormat="1" ht="20.100000000000001" customHeight="1">
      <c r="A59" s="29" t="str">
        <f>Vecinos!A59</f>
        <v>Yuraima Rodríguez</v>
      </c>
      <c r="B59" s="30" t="str">
        <f>Vecinos!C59</f>
        <v>Calle Guacara Nro. 89-70</v>
      </c>
      <c r="C59" s="35" t="str">
        <f>IF(SUMIFS(Vigilancia!$E:$E,Vigilancia!$F:$F,A59,Vigilancia!$J:$J,"Vigilancia")=BA59,"ü","û")</f>
        <v>ü</v>
      </c>
      <c r="D59" s="177"/>
      <c r="E59" s="178">
        <f>17000/100000</f>
        <v>0.17</v>
      </c>
      <c r="F59" s="179">
        <f t="shared" si="41"/>
        <v>0.17</v>
      </c>
      <c r="G59" s="179">
        <f t="shared" si="41"/>
        <v>0.17</v>
      </c>
      <c r="H59" s="179">
        <f t="shared" si="41"/>
        <v>0.17</v>
      </c>
      <c r="I59" s="179"/>
      <c r="J59" s="179"/>
      <c r="K59" s="179"/>
      <c r="L59" s="179"/>
      <c r="M59" s="179"/>
      <c r="N59" s="179"/>
      <c r="O59" s="179"/>
      <c r="P59" s="177"/>
      <c r="Q59" s="181"/>
      <c r="R59" s="182"/>
      <c r="S59" s="182"/>
      <c r="T59" s="182"/>
      <c r="U59" s="182">
        <f>400000/100000</f>
        <v>4</v>
      </c>
      <c r="V59" s="190">
        <f>400000/100000</f>
        <v>4</v>
      </c>
      <c r="W59" s="182">
        <f>1000000/100000</f>
        <v>10</v>
      </c>
      <c r="X59" s="182">
        <f>1200000/100000</f>
        <v>12</v>
      </c>
      <c r="Y59" s="182">
        <v>320</v>
      </c>
      <c r="Z59" s="182">
        <v>320</v>
      </c>
      <c r="AA59" s="182">
        <v>320</v>
      </c>
      <c r="AB59" s="177">
        <v>800</v>
      </c>
      <c r="AC59" s="374">
        <v>3000</v>
      </c>
      <c r="AD59" s="375">
        <v>3000</v>
      </c>
      <c r="AE59" s="375">
        <v>3000</v>
      </c>
      <c r="AF59" s="375">
        <v>5000</v>
      </c>
      <c r="AG59" s="375">
        <v>8000</v>
      </c>
      <c r="AH59" s="375">
        <v>8000</v>
      </c>
      <c r="AI59" s="375"/>
      <c r="AJ59" s="375"/>
      <c r="AK59" s="375"/>
      <c r="AL59" s="375"/>
      <c r="AM59" s="375"/>
      <c r="AN59" s="376"/>
      <c r="AO59" s="374"/>
      <c r="AP59" s="375"/>
      <c r="AQ59" s="375"/>
      <c r="AR59" s="375"/>
      <c r="AS59" s="375"/>
      <c r="AT59" s="375"/>
      <c r="AU59" s="375"/>
      <c r="AV59" s="375"/>
      <c r="AW59" s="375"/>
      <c r="AX59" s="375"/>
      <c r="AY59" s="375"/>
      <c r="AZ59" s="376"/>
      <c r="BA59" s="401">
        <f t="shared" si="25"/>
        <v>31790.68</v>
      </c>
    </row>
    <row r="60" spans="1:53" s="28" customFormat="1" ht="20.100000000000001" customHeight="1">
      <c r="A60" s="29" t="str">
        <f>Vecinos!A60</f>
        <v>Familia Nava Gordon</v>
      </c>
      <c r="B60" s="30" t="str">
        <f>Vecinos!C60</f>
        <v>Calle Guacara Nro. 89-78</v>
      </c>
      <c r="C60" s="35" t="str">
        <f>IF(SUMIFS(Vigilancia!$E:$E,Vigilancia!$F:$F,A60,Vigilancia!$J:$J,"Vigilancia")=BA60,"ü","û")</f>
        <v>ü</v>
      </c>
      <c r="D60" s="177"/>
      <c r="E60" s="178">
        <f>17000/100000</f>
        <v>0.17</v>
      </c>
      <c r="F60" s="179">
        <f t="shared" si="41"/>
        <v>0.17</v>
      </c>
      <c r="G60" s="179">
        <f t="shared" si="41"/>
        <v>0.17</v>
      </c>
      <c r="H60" s="179">
        <f t="shared" si="41"/>
        <v>0.17</v>
      </c>
      <c r="I60" s="179">
        <f>26000/100000</f>
        <v>0.26</v>
      </c>
      <c r="J60" s="179">
        <f>26000/100000</f>
        <v>0.26</v>
      </c>
      <c r="K60" s="179">
        <f>2000/100000+33000/100000</f>
        <v>0.35000000000000003</v>
      </c>
      <c r="L60" s="179">
        <f t="shared" ref="L60:N61" si="42">35000/100000</f>
        <v>0.35</v>
      </c>
      <c r="M60" s="179">
        <f t="shared" si="42"/>
        <v>0.35</v>
      </c>
      <c r="N60" s="179">
        <f t="shared" si="42"/>
        <v>0.35</v>
      </c>
      <c r="O60" s="179">
        <f>50000/100000</f>
        <v>0.5</v>
      </c>
      <c r="P60" s="177">
        <f>50000/100000</f>
        <v>0.5</v>
      </c>
      <c r="Q60" s="181">
        <f>80000/100000</f>
        <v>0.8</v>
      </c>
      <c r="R60" s="182">
        <f>80000/100000</f>
        <v>0.8</v>
      </c>
      <c r="S60" s="182">
        <f>140000/100000</f>
        <v>1.4</v>
      </c>
      <c r="T60" s="182">
        <f>140000/100000</f>
        <v>1.4</v>
      </c>
      <c r="U60" s="182">
        <f>400000/100000</f>
        <v>4</v>
      </c>
      <c r="V60" s="182">
        <f>400/100000+399600/100000+225000/100000</f>
        <v>6.25</v>
      </c>
      <c r="W60" s="182">
        <f>850000/100000+150000/100000</f>
        <v>10</v>
      </c>
      <c r="X60" s="182">
        <f>1200000/100000</f>
        <v>12</v>
      </c>
      <c r="Y60" s="182">
        <v>320</v>
      </c>
      <c r="Z60" s="182">
        <v>320</v>
      </c>
      <c r="AA60" s="189">
        <f>40+280</f>
        <v>320</v>
      </c>
      <c r="AB60" s="177">
        <f>40+760</f>
        <v>800</v>
      </c>
      <c r="AC60" s="374">
        <v>3000</v>
      </c>
      <c r="AD60" s="380">
        <f>40+3000</f>
        <v>3040</v>
      </c>
      <c r="AE60" s="375">
        <v>3000</v>
      </c>
      <c r="AF60" s="375">
        <v>5000</v>
      </c>
      <c r="AG60" s="375">
        <v>8000</v>
      </c>
      <c r="AH60" s="375">
        <v>8000</v>
      </c>
      <c r="AI60" s="375">
        <v>10000</v>
      </c>
      <c r="AJ60" s="481">
        <v>15000</v>
      </c>
      <c r="AK60" s="375">
        <v>23400</v>
      </c>
      <c r="AL60" s="375">
        <f>20255+845+25900</f>
        <v>47000</v>
      </c>
      <c r="AM60" s="375">
        <v>56250</v>
      </c>
      <c r="AN60" s="385">
        <f>2300+79450</f>
        <v>81750</v>
      </c>
      <c r="AO60" s="374">
        <f>2300+133950</f>
        <v>136250</v>
      </c>
      <c r="AP60" s="380">
        <f>2300+133950</f>
        <v>136250</v>
      </c>
      <c r="AQ60" s="375">
        <f>2300+182950</f>
        <v>185250</v>
      </c>
      <c r="AR60" s="375">
        <f>2300+182950</f>
        <v>185250</v>
      </c>
      <c r="AS60" s="375">
        <f>2300+247700</f>
        <v>250000</v>
      </c>
      <c r="AT60" s="375">
        <f>2300+247700+2300</f>
        <v>252300</v>
      </c>
      <c r="AU60" s="375"/>
      <c r="AV60" s="375"/>
      <c r="AW60" s="375"/>
      <c r="AX60" s="375"/>
      <c r="AY60" s="375"/>
      <c r="AZ60" s="376"/>
      <c r="BA60" s="401">
        <f t="shared" si="25"/>
        <v>1410540.25</v>
      </c>
    </row>
    <row r="61" spans="1:53" s="28" customFormat="1" ht="20.100000000000001" customHeight="1">
      <c r="A61" s="29" t="str">
        <f>Vecinos!A61</f>
        <v>Familia González Arévalo</v>
      </c>
      <c r="B61" s="30" t="str">
        <f>Vecinos!C61</f>
        <v>Calle Guacara Nro. 89-86</v>
      </c>
      <c r="C61" s="35" t="str">
        <f>IF(SUMIFS(Vigilancia!$E:$E,Vigilancia!$F:$F,A61,Vigilancia!$J:$J,"Vigilancia")=BA61,"ü","û")</f>
        <v>ü</v>
      </c>
      <c r="D61" s="177"/>
      <c r="E61" s="193">
        <f>10500/100000</f>
        <v>0.105</v>
      </c>
      <c r="F61" s="179">
        <f>17000/100000</f>
        <v>0.17</v>
      </c>
      <c r="G61" s="179">
        <f>22000/100000</f>
        <v>0.22</v>
      </c>
      <c r="H61" s="179">
        <f>22000/100000</f>
        <v>0.22</v>
      </c>
      <c r="I61" s="179">
        <f>22000/100000</f>
        <v>0.22</v>
      </c>
      <c r="J61" s="179">
        <f>26000/100000</f>
        <v>0.26</v>
      </c>
      <c r="K61" s="179">
        <f>26000/100000+9000/100000</f>
        <v>0.35</v>
      </c>
      <c r="L61" s="179">
        <f t="shared" si="42"/>
        <v>0.35</v>
      </c>
      <c r="M61" s="179">
        <f t="shared" si="42"/>
        <v>0.35</v>
      </c>
      <c r="N61" s="179">
        <f t="shared" si="42"/>
        <v>0.35</v>
      </c>
      <c r="O61" s="179">
        <f>50000/100000</f>
        <v>0.5</v>
      </c>
      <c r="P61" s="177">
        <f>50000/100000</f>
        <v>0.5</v>
      </c>
      <c r="Q61" s="181">
        <f>80000/100000</f>
        <v>0.8</v>
      </c>
      <c r="R61" s="182">
        <f>80000/100000</f>
        <v>0.8</v>
      </c>
      <c r="S61" s="182">
        <f>140000/100000</f>
        <v>1.4</v>
      </c>
      <c r="T61" s="182">
        <f>140000/100000</f>
        <v>1.4</v>
      </c>
      <c r="U61" s="182">
        <f>140000/100000+260000/100000</f>
        <v>4</v>
      </c>
      <c r="V61" s="182">
        <f>400000/100000+225000/100000</f>
        <v>6.25</v>
      </c>
      <c r="W61" s="189">
        <f>850000/100000+150000/100000</f>
        <v>10</v>
      </c>
      <c r="X61" s="182">
        <v>12</v>
      </c>
      <c r="Y61" s="182">
        <v>320</v>
      </c>
      <c r="Z61" s="182">
        <v>320</v>
      </c>
      <c r="AA61" s="189">
        <v>320</v>
      </c>
      <c r="AB61" s="341">
        <f>320+450</f>
        <v>770</v>
      </c>
      <c r="AC61" s="379">
        <f>800+2200</f>
        <v>3000</v>
      </c>
      <c r="AD61" s="375">
        <f>3000</f>
        <v>3000</v>
      </c>
      <c r="AE61" s="375">
        <v>3000</v>
      </c>
      <c r="AF61" s="375">
        <f>3000+2000</f>
        <v>5000</v>
      </c>
      <c r="AG61" s="375">
        <f>5000+3000</f>
        <v>8000</v>
      </c>
      <c r="AH61" s="375">
        <v>8000</v>
      </c>
      <c r="AI61" s="380">
        <v>10000</v>
      </c>
      <c r="AJ61" s="380">
        <f>5000+5000</f>
        <v>10000</v>
      </c>
      <c r="AK61" s="375">
        <f>10000+13400</f>
        <v>23400</v>
      </c>
      <c r="AL61" s="380">
        <f>10000+11100+25900</f>
        <v>47000</v>
      </c>
      <c r="AM61" s="380">
        <v>56250</v>
      </c>
      <c r="AN61" s="385">
        <f>100000+100000</f>
        <v>200000</v>
      </c>
      <c r="AO61" s="379">
        <v>136250</v>
      </c>
      <c r="AP61" s="375">
        <v>150000</v>
      </c>
      <c r="AQ61" s="375">
        <v>150000</v>
      </c>
      <c r="AR61" s="375">
        <v>225000</v>
      </c>
      <c r="AS61" s="375">
        <f>225000+50000</f>
        <v>275000</v>
      </c>
      <c r="AT61" s="375">
        <v>250000</v>
      </c>
      <c r="AU61" s="375">
        <f>300000+20000</f>
        <v>320000</v>
      </c>
      <c r="AV61" s="606">
        <f>300000-20000</f>
        <v>280000</v>
      </c>
      <c r="AW61" s="375"/>
      <c r="AX61" s="375"/>
      <c r="AY61" s="380"/>
      <c r="AZ61" s="385"/>
      <c r="BA61" s="401">
        <f t="shared" si="25"/>
        <v>2164670.2450000001</v>
      </c>
    </row>
    <row r="62" spans="1:53" s="28" customFormat="1" ht="20.100000000000001" customHeight="1">
      <c r="A62" s="32" t="str">
        <f>Vecinos!A62</f>
        <v>Héctor Hernández</v>
      </c>
      <c r="B62" s="33" t="str">
        <f>Vecinos!C62</f>
        <v>Calle Guacara Nro. 89-94</v>
      </c>
      <c r="C62" s="34" t="str">
        <f>IF(SUMIFS(Vigilancia!$E:$E,Vigilancia!$F:$F,A62,Vigilancia!$J:$J,"Vigilancia")=BA62,"ü","û")</f>
        <v>ü</v>
      </c>
      <c r="D62" s="184"/>
      <c r="E62" s="185">
        <f>6000/100000+4000/100000</f>
        <v>0.1</v>
      </c>
      <c r="F62" s="186">
        <f>10000/100000</f>
        <v>0.1</v>
      </c>
      <c r="G62" s="186">
        <f>10000/100000</f>
        <v>0.1</v>
      </c>
      <c r="H62" s="186">
        <f>10000/100000</f>
        <v>0.1</v>
      </c>
      <c r="I62" s="186"/>
      <c r="J62" s="186"/>
      <c r="K62" s="186">
        <f>15000/100000</f>
        <v>0.15</v>
      </c>
      <c r="L62" s="186">
        <f>15000/100000</f>
        <v>0.15</v>
      </c>
      <c r="M62" s="186">
        <f>20000/100000</f>
        <v>0.2</v>
      </c>
      <c r="N62" s="186">
        <f>25000/100000</f>
        <v>0.25</v>
      </c>
      <c r="O62" s="186">
        <f>30000/100000</f>
        <v>0.3</v>
      </c>
      <c r="P62" s="184">
        <f>30000/100000</f>
        <v>0.3</v>
      </c>
      <c r="Q62" s="187">
        <f>30000/100000</f>
        <v>0.3</v>
      </c>
      <c r="R62" s="188">
        <f>30000/100000</f>
        <v>0.3</v>
      </c>
      <c r="S62" s="188">
        <f>70000/100000</f>
        <v>0.7</v>
      </c>
      <c r="T62" s="188">
        <f>80000/100000</f>
        <v>0.8</v>
      </c>
      <c r="U62" s="188">
        <f>200000/100000</f>
        <v>2</v>
      </c>
      <c r="V62" s="188">
        <f>400000/100000+225000/100000</f>
        <v>6.25</v>
      </c>
      <c r="W62" s="189">
        <f>1000000/100000</f>
        <v>10</v>
      </c>
      <c r="X62" s="189">
        <f>1200000/100000</f>
        <v>12</v>
      </c>
      <c r="Y62" s="189">
        <v>320</v>
      </c>
      <c r="Z62" s="189">
        <v>320</v>
      </c>
      <c r="AA62" s="189">
        <v>320</v>
      </c>
      <c r="AB62" s="342">
        <v>800</v>
      </c>
      <c r="AC62" s="379">
        <f>800+2200</f>
        <v>3000</v>
      </c>
      <c r="AD62" s="380">
        <v>3000</v>
      </c>
      <c r="AE62" s="375">
        <v>3000</v>
      </c>
      <c r="AF62" s="375">
        <f>3000+2000</f>
        <v>5000</v>
      </c>
      <c r="AG62" s="375">
        <f>5000+3000</f>
        <v>8000</v>
      </c>
      <c r="AH62" s="380">
        <v>8000</v>
      </c>
      <c r="AI62" s="375">
        <v>10000</v>
      </c>
      <c r="AJ62" s="380">
        <v>10000</v>
      </c>
      <c r="AK62" s="375">
        <f>10000+10500</f>
        <v>20500</v>
      </c>
      <c r="AL62" s="380">
        <f>21100+30150</f>
        <v>51250</v>
      </c>
      <c r="AM62" s="380">
        <v>51250</v>
      </c>
      <c r="AN62" s="385">
        <v>81750</v>
      </c>
      <c r="AO62" s="379">
        <v>136250</v>
      </c>
      <c r="AP62" s="380">
        <v>136250</v>
      </c>
      <c r="AQ62" s="375">
        <v>185250</v>
      </c>
      <c r="AR62" s="375">
        <v>185250</v>
      </c>
      <c r="AS62" s="375">
        <f>185250+64750</f>
        <v>250000</v>
      </c>
      <c r="AT62" s="380">
        <v>250000</v>
      </c>
      <c r="AU62" s="375">
        <v>320000</v>
      </c>
      <c r="AV62" s="375"/>
      <c r="AW62" s="375"/>
      <c r="AX62" s="375"/>
      <c r="AY62" s="380"/>
      <c r="AZ62" s="385"/>
      <c r="BA62" s="403">
        <f t="shared" si="25"/>
        <v>1719544.1</v>
      </c>
    </row>
    <row r="63" spans="1:53" s="28" customFormat="1" ht="20.100000000000001" customHeight="1">
      <c r="A63" s="29" t="str">
        <f>Vecinos!A63</f>
        <v>Familia Soto Urdaneta</v>
      </c>
      <c r="B63" s="30" t="str">
        <f>Vecinos!C63</f>
        <v>Calle Guacara Nro. 89-102</v>
      </c>
      <c r="C63" s="35" t="str">
        <f>IF(SUMIFS(Vigilancia!$E:$E,Vigilancia!$F:$F,A63,Vigilancia!$J:$J,"Vigilancia")=BA63,"ü","û")</f>
        <v>ü</v>
      </c>
      <c r="D63" s="177"/>
      <c r="E63" s="178"/>
      <c r="F63" s="179"/>
      <c r="G63" s="179"/>
      <c r="H63" s="179"/>
      <c r="I63" s="179"/>
      <c r="J63" s="179"/>
      <c r="K63" s="179"/>
      <c r="L63" s="179"/>
      <c r="M63" s="179"/>
      <c r="N63" s="179"/>
      <c r="O63" s="179"/>
      <c r="P63" s="177"/>
      <c r="Q63" s="181"/>
      <c r="R63" s="182"/>
      <c r="S63" s="182"/>
      <c r="T63" s="182"/>
      <c r="U63" s="182"/>
      <c r="V63" s="182"/>
      <c r="W63" s="182"/>
      <c r="X63" s="182"/>
      <c r="Y63" s="182"/>
      <c r="Z63" s="182"/>
      <c r="AA63" s="182"/>
      <c r="AB63" s="177"/>
      <c r="AC63" s="374">
        <v>3000</v>
      </c>
      <c r="AD63" s="375">
        <v>3000</v>
      </c>
      <c r="AE63" s="375">
        <v>4000</v>
      </c>
      <c r="AF63" s="375">
        <v>5000</v>
      </c>
      <c r="AG63" s="375">
        <v>8000</v>
      </c>
      <c r="AH63" s="375">
        <v>8000</v>
      </c>
      <c r="AI63" s="375">
        <v>10000</v>
      </c>
      <c r="AJ63" s="375">
        <v>10000</v>
      </c>
      <c r="AK63" s="375">
        <v>23400</v>
      </c>
      <c r="AL63" s="375">
        <f>21100+25900</f>
        <v>47000</v>
      </c>
      <c r="AM63" s="375">
        <v>56250</v>
      </c>
      <c r="AN63" s="376">
        <v>81750</v>
      </c>
      <c r="AO63" s="374">
        <f>105250+31000</f>
        <v>136250</v>
      </c>
      <c r="AP63" s="375">
        <v>136250</v>
      </c>
      <c r="AQ63" s="375">
        <v>185250</v>
      </c>
      <c r="AR63" s="375">
        <v>186250</v>
      </c>
      <c r="AS63" s="375">
        <v>250000</v>
      </c>
      <c r="AT63" s="375">
        <v>250000</v>
      </c>
      <c r="AU63" s="375">
        <v>320000</v>
      </c>
      <c r="AV63" s="375"/>
      <c r="AW63" s="375"/>
      <c r="AX63" s="375"/>
      <c r="AY63" s="375"/>
      <c r="AZ63" s="376"/>
      <c r="BA63" s="401">
        <f t="shared" si="25"/>
        <v>1723400</v>
      </c>
    </row>
    <row r="64" spans="1:53" s="28" customFormat="1" ht="20.100000000000001" customHeight="1">
      <c r="A64" s="29" t="str">
        <f>Vecinos!A64</f>
        <v>Familia Aparicio. Anexo</v>
      </c>
      <c r="B64" s="30" t="str">
        <f>Vecinos!C64</f>
        <v>Calle Guacara Nro. 89-129</v>
      </c>
      <c r="C64" s="35" t="str">
        <f>IF(SUMIFS(Vigilancia!$E:$E,Vigilancia!$F:$F,A64,Vigilancia!$J:$J,"Vigilancia")=BA64,"ü","û")</f>
        <v>ü</v>
      </c>
      <c r="D64" s="177"/>
      <c r="E64" s="178"/>
      <c r="F64" s="179"/>
      <c r="G64" s="179"/>
      <c r="H64" s="179"/>
      <c r="I64" s="179"/>
      <c r="J64" s="179"/>
      <c r="K64" s="179"/>
      <c r="L64" s="179"/>
      <c r="M64" s="179"/>
      <c r="N64" s="179"/>
      <c r="O64" s="179"/>
      <c r="P64" s="177"/>
      <c r="Q64" s="181"/>
      <c r="R64" s="182"/>
      <c r="S64" s="182"/>
      <c r="T64" s="182"/>
      <c r="U64" s="182"/>
      <c r="V64" s="182"/>
      <c r="W64" s="182"/>
      <c r="X64" s="182"/>
      <c r="Y64" s="182"/>
      <c r="Z64" s="182"/>
      <c r="AA64" s="182"/>
      <c r="AB64" s="177"/>
      <c r="AC64" s="374"/>
      <c r="AD64" s="375"/>
      <c r="AE64" s="375"/>
      <c r="AF64" s="375"/>
      <c r="AG64" s="375"/>
      <c r="AH64" s="375"/>
      <c r="AI64" s="375"/>
      <c r="AJ64" s="375"/>
      <c r="AK64" s="375"/>
      <c r="AL64" s="375"/>
      <c r="AM64" s="375"/>
      <c r="AN64" s="376"/>
      <c r="AO64" s="374"/>
      <c r="AP64" s="375"/>
      <c r="AQ64" s="375"/>
      <c r="AR64" s="375"/>
      <c r="AS64" s="375"/>
      <c r="AT64" s="375"/>
      <c r="AU64" s="375"/>
      <c r="AV64" s="375"/>
      <c r="AW64" s="375"/>
      <c r="AX64" s="375"/>
      <c r="AY64" s="375"/>
      <c r="AZ64" s="376"/>
      <c r="BA64" s="401">
        <f t="shared" si="25"/>
        <v>0</v>
      </c>
    </row>
    <row r="65" spans="1:53" s="28" customFormat="1" ht="20.100000000000001" customHeight="1">
      <c r="A65" s="29" t="str">
        <f>Vecinos!A65</f>
        <v>Beatriz Lara</v>
      </c>
      <c r="B65" s="30" t="str">
        <f>Vecinos!C65</f>
        <v>Calle Guacara Nro. 89-130</v>
      </c>
      <c r="C65" s="35" t="str">
        <f>IF(SUMIFS(Vigilancia!$E:$E,Vigilancia!$F:$F,A65,Vigilancia!$J:$J,"Vigilancia")=BA65,"ü","û")</f>
        <v>ü</v>
      </c>
      <c r="D65" s="177"/>
      <c r="E65" s="178">
        <f>17000/100000</f>
        <v>0.17</v>
      </c>
      <c r="F65" s="179">
        <f>17000/100000</f>
        <v>0.17</v>
      </c>
      <c r="G65" s="179">
        <f>17000/100000</f>
        <v>0.17</v>
      </c>
      <c r="H65" s="179">
        <f>17000/100000</f>
        <v>0.17</v>
      </c>
      <c r="I65" s="179">
        <f>26000/100000</f>
        <v>0.26</v>
      </c>
      <c r="J65" s="179">
        <f>26000/100000</f>
        <v>0.26</v>
      </c>
      <c r="K65" s="179">
        <f t="shared" ref="K65:N68" si="43">35000/100000</f>
        <v>0.35</v>
      </c>
      <c r="L65" s="179">
        <f t="shared" si="43"/>
        <v>0.35</v>
      </c>
      <c r="M65" s="179">
        <f t="shared" si="43"/>
        <v>0.35</v>
      </c>
      <c r="N65" s="179">
        <f t="shared" si="43"/>
        <v>0.35</v>
      </c>
      <c r="O65" s="179">
        <f t="shared" ref="O65:P68" si="44">50000/100000</f>
        <v>0.5</v>
      </c>
      <c r="P65" s="177">
        <f t="shared" si="44"/>
        <v>0.5</v>
      </c>
      <c r="Q65" s="181">
        <f t="shared" ref="Q65:R68" si="45">80000/100000</f>
        <v>0.8</v>
      </c>
      <c r="R65" s="182">
        <f t="shared" si="45"/>
        <v>0.8</v>
      </c>
      <c r="S65" s="182">
        <f>140000/100000</f>
        <v>1.4</v>
      </c>
      <c r="T65" s="182">
        <f>140000/100000</f>
        <v>1.4</v>
      </c>
      <c r="U65" s="182">
        <f>400000/100000</f>
        <v>4</v>
      </c>
      <c r="V65" s="182">
        <f>400000/100000+250000/100000</f>
        <v>6.5</v>
      </c>
      <c r="W65" s="182">
        <f>1000000/100000</f>
        <v>10</v>
      </c>
      <c r="X65" s="182">
        <f>1200000/100000</f>
        <v>12</v>
      </c>
      <c r="Y65" s="182">
        <v>320</v>
      </c>
      <c r="Z65" s="182">
        <v>320</v>
      </c>
      <c r="AA65" s="182">
        <v>320</v>
      </c>
      <c r="AB65" s="177">
        <v>800</v>
      </c>
      <c r="AC65" s="379">
        <f>800+2200</f>
        <v>3000</v>
      </c>
      <c r="AD65" s="375">
        <v>3000</v>
      </c>
      <c r="AE65" s="375">
        <v>3000</v>
      </c>
      <c r="AF65" s="375">
        <v>5000</v>
      </c>
      <c r="AG65" s="375">
        <f>5000+3000</f>
        <v>8000</v>
      </c>
      <c r="AH65" s="375">
        <v>8000</v>
      </c>
      <c r="AI65" s="375">
        <v>10000</v>
      </c>
      <c r="AJ65" s="375">
        <v>10000</v>
      </c>
      <c r="AK65" s="375">
        <v>20500</v>
      </c>
      <c r="AL65" s="375">
        <f>20300+26700</f>
        <v>47000</v>
      </c>
      <c r="AM65" s="375">
        <f>1.4*25800+1.1*25800</f>
        <v>64500</v>
      </c>
      <c r="AN65" s="376">
        <v>97500</v>
      </c>
      <c r="AO65" s="379">
        <v>136250</v>
      </c>
      <c r="AP65" s="375">
        <v>136250</v>
      </c>
      <c r="AQ65" s="375">
        <v>186000</v>
      </c>
      <c r="AR65" s="375">
        <v>186000</v>
      </c>
      <c r="AS65" s="375">
        <v>250000</v>
      </c>
      <c r="AT65" s="509" t="s">
        <v>1256</v>
      </c>
      <c r="AU65" s="378"/>
      <c r="AV65" s="378"/>
      <c r="AW65" s="378"/>
      <c r="AX65" s="378"/>
      <c r="AY65" s="378"/>
      <c r="AZ65" s="376"/>
      <c r="BA65" s="401">
        <f t="shared" si="25"/>
        <v>1175800.5</v>
      </c>
    </row>
    <row r="66" spans="1:53" s="28" customFormat="1" ht="20.100000000000001" customHeight="1">
      <c r="A66" s="29" t="str">
        <f>Vecinos!A66</f>
        <v>Familia Saade Gómez</v>
      </c>
      <c r="B66" s="30" t="str">
        <f>Vecinos!C66</f>
        <v>Calle Guacara Nro. 89-130</v>
      </c>
      <c r="C66" s="35" t="str">
        <f>IF(SUMIFS(Vigilancia!$E:$E,Vigilancia!$F:$F,A66,Vigilancia!$J:$J,"Vigilancia")=BA66,"ü","û")</f>
        <v>ü</v>
      </c>
      <c r="D66" s="177"/>
      <c r="E66" s="178"/>
      <c r="F66" s="179"/>
      <c r="G66" s="179"/>
      <c r="H66" s="179"/>
      <c r="I66" s="179"/>
      <c r="J66" s="179"/>
      <c r="K66" s="179"/>
      <c r="L66" s="179"/>
      <c r="M66" s="179"/>
      <c r="N66" s="179"/>
      <c r="O66" s="179"/>
      <c r="P66" s="177"/>
      <c r="Q66" s="181"/>
      <c r="R66" s="182"/>
      <c r="S66" s="182"/>
      <c r="T66" s="182"/>
      <c r="U66" s="182"/>
      <c r="V66" s="182"/>
      <c r="W66" s="182"/>
      <c r="X66" s="182"/>
      <c r="Y66" s="182"/>
      <c r="Z66" s="182"/>
      <c r="AA66" s="182"/>
      <c r="AB66" s="177"/>
      <c r="AC66" s="379"/>
      <c r="AD66" s="375"/>
      <c r="AE66" s="375"/>
      <c r="AF66" s="375"/>
      <c r="AG66" s="375"/>
      <c r="AH66" s="375"/>
      <c r="AI66" s="375"/>
      <c r="AJ66" s="375"/>
      <c r="AK66" s="375"/>
      <c r="AL66" s="375"/>
      <c r="AM66" s="375"/>
      <c r="AN66" s="376"/>
      <c r="AO66" s="379"/>
      <c r="AP66" s="375"/>
      <c r="AQ66" s="375"/>
      <c r="AR66" s="375"/>
      <c r="AS66" s="375"/>
      <c r="AT66" s="375">
        <v>250000</v>
      </c>
      <c r="AU66" s="375"/>
      <c r="AV66" s="375"/>
      <c r="AW66" s="375"/>
      <c r="AX66" s="375"/>
      <c r="AY66" s="375"/>
      <c r="AZ66" s="376"/>
      <c r="BA66" s="401">
        <f t="shared" ref="BA66" si="46">SUM(D66:AZ66)</f>
        <v>250000</v>
      </c>
    </row>
    <row r="67" spans="1:53" s="28" customFormat="1" ht="20.100000000000001" customHeight="1">
      <c r="A67" s="79" t="str">
        <f>Vecinos!A67</f>
        <v>Familia Zavarce Pérez</v>
      </c>
      <c r="B67" s="30" t="str">
        <f>Vecinos!C67</f>
        <v>Calle Guacara Nro. 90-35</v>
      </c>
      <c r="C67" s="35" t="str">
        <f>IF(SUMIFS(Vigilancia!$E:$E,Vigilancia!$F:$F,A67,Vigilancia!$J:$J,"Vigilancia")=BA67,"ü","û")</f>
        <v>ü</v>
      </c>
      <c r="D67" s="177"/>
      <c r="E67" s="178">
        <f>17000/100000</f>
        <v>0.17</v>
      </c>
      <c r="F67" s="179">
        <f>17000/100000</f>
        <v>0.17</v>
      </c>
      <c r="G67" s="179">
        <f>3000/100000+14000/100000</f>
        <v>0.17</v>
      </c>
      <c r="H67" s="179">
        <f>17000/100000</f>
        <v>0.17</v>
      </c>
      <c r="I67" s="179">
        <f>17000/100000+9000/100000</f>
        <v>0.26</v>
      </c>
      <c r="J67" s="179">
        <f>26000/100000</f>
        <v>0.26</v>
      </c>
      <c r="K67" s="179">
        <f t="shared" si="43"/>
        <v>0.35</v>
      </c>
      <c r="L67" s="179">
        <f t="shared" si="43"/>
        <v>0.35</v>
      </c>
      <c r="M67" s="179">
        <f t="shared" si="43"/>
        <v>0.35</v>
      </c>
      <c r="N67" s="179">
        <f t="shared" si="43"/>
        <v>0.35</v>
      </c>
      <c r="O67" s="179">
        <f t="shared" si="44"/>
        <v>0.5</v>
      </c>
      <c r="P67" s="177">
        <f t="shared" si="44"/>
        <v>0.5</v>
      </c>
      <c r="Q67" s="181">
        <f t="shared" si="45"/>
        <v>0.8</v>
      </c>
      <c r="R67" s="182">
        <f t="shared" si="45"/>
        <v>0.8</v>
      </c>
      <c r="S67" s="182">
        <f>140000/100000</f>
        <v>1.4</v>
      </c>
      <c r="T67" s="182">
        <f>40000/100000+100000/100000</f>
        <v>1.4</v>
      </c>
      <c r="U67" s="182">
        <f>400000/100000</f>
        <v>4</v>
      </c>
      <c r="V67" s="182">
        <f>625000/100000</f>
        <v>6.25</v>
      </c>
      <c r="W67" s="182">
        <f>1000000/100000</f>
        <v>10</v>
      </c>
      <c r="X67" s="182">
        <v>12</v>
      </c>
      <c r="Y67" s="182">
        <v>320</v>
      </c>
      <c r="Z67" s="182">
        <v>320</v>
      </c>
      <c r="AA67" s="182">
        <v>320</v>
      </c>
      <c r="AB67" s="177">
        <v>800</v>
      </c>
      <c r="AC67" s="379">
        <f>800+2200</f>
        <v>3000</v>
      </c>
      <c r="AD67" s="375">
        <v>3000</v>
      </c>
      <c r="AE67" s="375">
        <v>3000</v>
      </c>
      <c r="AF67" s="375">
        <v>5000</v>
      </c>
      <c r="AG67" s="375">
        <v>8000</v>
      </c>
      <c r="AH67" s="375">
        <v>8000</v>
      </c>
      <c r="AI67" s="375">
        <v>10000</v>
      </c>
      <c r="AJ67" s="375">
        <v>10000</v>
      </c>
      <c r="AK67" s="375">
        <v>23400</v>
      </c>
      <c r="AL67" s="375">
        <f>20000+1100</f>
        <v>21100</v>
      </c>
      <c r="AM67" s="375">
        <v>56250</v>
      </c>
      <c r="AN67" s="376">
        <f>104750+500</f>
        <v>105250</v>
      </c>
      <c r="AO67" s="379">
        <v>105250</v>
      </c>
      <c r="AP67" s="375">
        <v>136250</v>
      </c>
      <c r="AQ67" s="375">
        <v>200000</v>
      </c>
      <c r="AR67" s="375">
        <v>185250</v>
      </c>
      <c r="AS67" s="375">
        <v>250000</v>
      </c>
      <c r="AT67" s="375">
        <v>250000</v>
      </c>
      <c r="AU67" s="375">
        <f>250000+70000</f>
        <v>320000</v>
      </c>
      <c r="AV67" s="375"/>
      <c r="AW67" s="375"/>
      <c r="AX67" s="375"/>
      <c r="AY67" s="375"/>
      <c r="AZ67" s="376"/>
      <c r="BA67" s="401">
        <f t="shared" si="25"/>
        <v>1704550.25</v>
      </c>
    </row>
    <row r="68" spans="1:53" s="28" customFormat="1" ht="20.100000000000001" customHeight="1">
      <c r="A68" s="79" t="str">
        <f>Vecinos!A68</f>
        <v>Familia Castro Jiménez</v>
      </c>
      <c r="B68" s="30" t="str">
        <f>Vecinos!C68</f>
        <v>Calle Guacara Nro. 90-51</v>
      </c>
      <c r="C68" s="35" t="str">
        <f>IF(SUMIFS(Vigilancia!$E:$E,Vigilancia!$F:$F,A68,Vigilancia!$J:$J,"Vigilancia")=BA68,"ü","û")</f>
        <v>ü</v>
      </c>
      <c r="D68" s="177"/>
      <c r="E68" s="178">
        <f>10500/100000+6500/100000</f>
        <v>0.16999999999999998</v>
      </c>
      <c r="F68" s="179">
        <f>17000/100000</f>
        <v>0.17</v>
      </c>
      <c r="G68" s="179">
        <f>17000/100000</f>
        <v>0.17</v>
      </c>
      <c r="H68" s="179">
        <f>17000/100000</f>
        <v>0.17</v>
      </c>
      <c r="I68" s="179">
        <f>26000/100000</f>
        <v>0.26</v>
      </c>
      <c r="J68" s="179">
        <f>26000/100000</f>
        <v>0.26</v>
      </c>
      <c r="K68" s="179">
        <f t="shared" si="43"/>
        <v>0.35</v>
      </c>
      <c r="L68" s="179">
        <f t="shared" si="43"/>
        <v>0.35</v>
      </c>
      <c r="M68" s="179">
        <f t="shared" si="43"/>
        <v>0.35</v>
      </c>
      <c r="N68" s="179">
        <f t="shared" si="43"/>
        <v>0.35</v>
      </c>
      <c r="O68" s="179">
        <f t="shared" si="44"/>
        <v>0.5</v>
      </c>
      <c r="P68" s="177">
        <f t="shared" si="44"/>
        <v>0.5</v>
      </c>
      <c r="Q68" s="181">
        <f t="shared" si="45"/>
        <v>0.8</v>
      </c>
      <c r="R68" s="182">
        <f t="shared" si="45"/>
        <v>0.8</v>
      </c>
      <c r="S68" s="182">
        <f>150000/100000</f>
        <v>1.5</v>
      </c>
      <c r="T68" s="182">
        <f>150000/100000</f>
        <v>1.5</v>
      </c>
      <c r="U68" s="182">
        <f>400000/100000</f>
        <v>4</v>
      </c>
      <c r="V68" s="182">
        <f>400000/100000+225000/100000</f>
        <v>6.25</v>
      </c>
      <c r="W68" s="182">
        <f>1000000/100000</f>
        <v>10</v>
      </c>
      <c r="X68" s="182">
        <v>12</v>
      </c>
      <c r="Y68" s="182">
        <v>320</v>
      </c>
      <c r="Z68" s="182">
        <v>320</v>
      </c>
      <c r="AA68" s="182">
        <v>320</v>
      </c>
      <c r="AB68" s="177">
        <v>800</v>
      </c>
      <c r="AC68" s="374">
        <f>1000+2000</f>
        <v>3000</v>
      </c>
      <c r="AD68" s="375">
        <v>3000</v>
      </c>
      <c r="AE68" s="375">
        <v>3000</v>
      </c>
      <c r="AF68" s="375">
        <v>5000</v>
      </c>
      <c r="AG68" s="375">
        <v>8000</v>
      </c>
      <c r="AH68" s="375">
        <v>8000</v>
      </c>
      <c r="AI68" s="375">
        <v>10000</v>
      </c>
      <c r="AJ68" s="375">
        <v>10000</v>
      </c>
      <c r="AK68" s="542">
        <f>10000+11000</f>
        <v>21000</v>
      </c>
      <c r="AL68" s="481">
        <f>20300+28065</f>
        <v>48365</v>
      </c>
      <c r="AM68" s="481">
        <v>75000</v>
      </c>
      <c r="AN68" s="376">
        <v>105250</v>
      </c>
      <c r="AO68" s="374">
        <v>150000</v>
      </c>
      <c r="AP68" s="375">
        <v>150000</v>
      </c>
      <c r="AQ68" s="375">
        <v>185250</v>
      </c>
      <c r="AR68" s="375">
        <v>250000</v>
      </c>
      <c r="AS68" s="375">
        <v>300000</v>
      </c>
      <c r="AT68" s="375">
        <v>300000</v>
      </c>
      <c r="AU68" s="375"/>
      <c r="AV68" s="375"/>
      <c r="AW68" s="375"/>
      <c r="AX68" s="375"/>
      <c r="AY68" s="375"/>
      <c r="AZ68" s="376"/>
      <c r="BA68" s="401">
        <f t="shared" si="25"/>
        <v>1636665.45</v>
      </c>
    </row>
    <row r="69" spans="1:53" s="28" customFormat="1" ht="20.100000000000001" customHeight="1">
      <c r="A69" s="32" t="str">
        <f>Vecinos!A69</f>
        <v>Familia Triana González</v>
      </c>
      <c r="B69" s="33" t="str">
        <f>Vecinos!C69</f>
        <v>Calle Guacara Nro. 90-61</v>
      </c>
      <c r="C69" s="34" t="str">
        <f>IF(SUMIFS(Vigilancia!$E:$E,Vigilancia!$F:$F,A69,Vigilancia!$J:$J,"Vigilancia")=BA69,"ü","û")</f>
        <v>ü</v>
      </c>
      <c r="D69" s="184"/>
      <c r="E69" s="185">
        <f>2000/100000</f>
        <v>0.02</v>
      </c>
      <c r="F69" s="186">
        <f>2000/100000</f>
        <v>0.02</v>
      </c>
      <c r="G69" s="186">
        <f>2000/100000</f>
        <v>0.02</v>
      </c>
      <c r="H69" s="186">
        <f>2000/100000</f>
        <v>0.02</v>
      </c>
      <c r="I69" s="186">
        <f>2000/100000</f>
        <v>0.02</v>
      </c>
      <c r="J69" s="186"/>
      <c r="K69" s="186"/>
      <c r="L69" s="186"/>
      <c r="M69" s="186"/>
      <c r="N69" s="186"/>
      <c r="O69" s="186"/>
      <c r="P69" s="184"/>
      <c r="Q69" s="187"/>
      <c r="R69" s="188"/>
      <c r="S69" s="188"/>
      <c r="T69" s="188">
        <f>140000/100000</f>
        <v>1.4</v>
      </c>
      <c r="U69" s="188">
        <f>100000/100000</f>
        <v>1</v>
      </c>
      <c r="V69" s="188">
        <f>100000/100000</f>
        <v>1</v>
      </c>
      <c r="W69" s="188">
        <f>200000/100000</f>
        <v>2</v>
      </c>
      <c r="X69" s="188">
        <v>12</v>
      </c>
      <c r="Y69" s="188">
        <v>100</v>
      </c>
      <c r="Z69" s="188">
        <v>100</v>
      </c>
      <c r="AA69" s="188">
        <v>320</v>
      </c>
      <c r="AB69" s="184">
        <v>800</v>
      </c>
      <c r="AC69" s="371">
        <v>3000</v>
      </c>
      <c r="AD69" s="372">
        <v>3000</v>
      </c>
      <c r="AE69" s="372">
        <v>3000</v>
      </c>
      <c r="AF69" s="372">
        <v>5000</v>
      </c>
      <c r="AG69" s="372">
        <v>4880</v>
      </c>
      <c r="AH69" s="372">
        <v>8000</v>
      </c>
      <c r="AI69" s="372">
        <v>10000</v>
      </c>
      <c r="AJ69" s="372">
        <v>10000</v>
      </c>
      <c r="AK69" s="372">
        <v>23500</v>
      </c>
      <c r="AL69" s="372">
        <f>21100+27000</f>
        <v>48100</v>
      </c>
      <c r="AM69" s="372">
        <v>56300</v>
      </c>
      <c r="AN69" s="373">
        <v>81750</v>
      </c>
      <c r="AO69" s="371">
        <v>136250</v>
      </c>
      <c r="AP69" s="372">
        <v>136250</v>
      </c>
      <c r="AQ69" s="372">
        <v>185250</v>
      </c>
      <c r="AR69" s="372">
        <v>186000</v>
      </c>
      <c r="AS69" s="372">
        <v>250000</v>
      </c>
      <c r="AT69" s="372">
        <v>250000</v>
      </c>
      <c r="AU69" s="372">
        <v>320000</v>
      </c>
      <c r="AV69" s="372"/>
      <c r="AW69" s="372"/>
      <c r="AX69" s="372"/>
      <c r="AY69" s="372"/>
      <c r="AZ69" s="373"/>
      <c r="BA69" s="400">
        <f t="shared" si="25"/>
        <v>1721617.5</v>
      </c>
    </row>
    <row r="70" spans="1:53" s="28" customFormat="1" ht="20.100000000000001" customHeight="1">
      <c r="A70" s="29" t="str">
        <f>Vecinos!A70</f>
        <v>Neira Chacón</v>
      </c>
      <c r="B70" s="30" t="str">
        <f>Vecinos!C70</f>
        <v>Calle Guacara Nro. 90-71</v>
      </c>
      <c r="C70" s="35" t="str">
        <f>IF(SUMIFS(Vigilancia!$E:$E,Vigilancia!$F:$F,A70,Vigilancia!$J:$J,"Vigilancia")=BA70,"ü","û")</f>
        <v>ü</v>
      </c>
      <c r="D70" s="177"/>
      <c r="E70" s="178"/>
      <c r="F70" s="179"/>
      <c r="G70" s="179"/>
      <c r="H70" s="179"/>
      <c r="I70" s="179"/>
      <c r="J70" s="179"/>
      <c r="K70" s="179"/>
      <c r="L70" s="179"/>
      <c r="M70" s="179"/>
      <c r="N70" s="179"/>
      <c r="O70" s="179"/>
      <c r="P70" s="177"/>
      <c r="Q70" s="181"/>
      <c r="R70" s="182"/>
      <c r="S70" s="182"/>
      <c r="T70" s="182"/>
      <c r="U70" s="182"/>
      <c r="V70" s="182"/>
      <c r="W70" s="182"/>
      <c r="X70" s="182"/>
      <c r="Y70" s="182"/>
      <c r="Z70" s="182"/>
      <c r="AA70" s="182"/>
      <c r="AB70" s="177"/>
      <c r="AC70" s="374"/>
      <c r="AD70" s="375"/>
      <c r="AE70" s="375"/>
      <c r="AF70" s="375"/>
      <c r="AG70" s="375"/>
      <c r="AH70" s="375"/>
      <c r="AI70" s="375"/>
      <c r="AJ70" s="375"/>
      <c r="AK70" s="375"/>
      <c r="AL70" s="375"/>
      <c r="AM70" s="375"/>
      <c r="AN70" s="376"/>
      <c r="AO70" s="374"/>
      <c r="AP70" s="375"/>
      <c r="AQ70" s="375"/>
      <c r="AR70" s="375"/>
      <c r="AS70" s="375"/>
      <c r="AT70" s="375"/>
      <c r="AU70" s="375"/>
      <c r="AV70" s="375"/>
      <c r="AW70" s="375"/>
      <c r="AX70" s="375"/>
      <c r="AY70" s="375"/>
      <c r="AZ70" s="376"/>
      <c r="BA70" s="401">
        <f t="shared" ref="BA70:BA135" si="47">SUM(D70:AZ70)</f>
        <v>0</v>
      </c>
    </row>
    <row r="71" spans="1:53" s="28" customFormat="1" ht="20.100000000000001" customHeight="1">
      <c r="A71" s="29" t="str">
        <f>Vecinos!A71</f>
        <v>Wu Hung Fung</v>
      </c>
      <c r="B71" s="30" t="str">
        <f>Vecinos!C71</f>
        <v>Calle Guacara Nro. 90-81</v>
      </c>
      <c r="C71" s="35" t="str">
        <f>IF(SUMIFS(Vigilancia!$E:$E,Vigilancia!$F:$F,A71,Vigilancia!$J:$J,"Vigilancia")=BA71,"ü","û")</f>
        <v>ü</v>
      </c>
      <c r="D71" s="177"/>
      <c r="E71" s="178">
        <f>17000/100000</f>
        <v>0.17</v>
      </c>
      <c r="F71" s="179">
        <f>17000/100000</f>
        <v>0.17</v>
      </c>
      <c r="G71" s="179">
        <f>19000/100000</f>
        <v>0.19</v>
      </c>
      <c r="H71" s="179">
        <f>17000/100000</f>
        <v>0.17</v>
      </c>
      <c r="I71" s="179">
        <f>17000/100000+9000/100000</f>
        <v>0.26</v>
      </c>
      <c r="J71" s="179">
        <f>26000/100000</f>
        <v>0.26</v>
      </c>
      <c r="K71" s="179">
        <f>26000/100000+9000/100000</f>
        <v>0.35</v>
      </c>
      <c r="L71" s="179">
        <f>35000/100000</f>
        <v>0.35</v>
      </c>
      <c r="M71" s="179">
        <f>35000/100000</f>
        <v>0.35</v>
      </c>
      <c r="N71" s="179">
        <f>35000/100000</f>
        <v>0.35</v>
      </c>
      <c r="O71" s="179">
        <f>50000/100000</f>
        <v>0.5</v>
      </c>
      <c r="P71" s="177">
        <f>50000/100000</f>
        <v>0.5</v>
      </c>
      <c r="Q71" s="181">
        <f>80000/100000</f>
        <v>0.8</v>
      </c>
      <c r="R71" s="182">
        <f>100000/100000</f>
        <v>1</v>
      </c>
      <c r="S71" s="182">
        <f>140000/100000</f>
        <v>1.4</v>
      </c>
      <c r="T71" s="182">
        <f>140000/100000</f>
        <v>1.4</v>
      </c>
      <c r="U71" s="182">
        <f>400000/100000</f>
        <v>4</v>
      </c>
      <c r="V71" s="182">
        <f>400000/100000+225000/100000</f>
        <v>6.25</v>
      </c>
      <c r="W71" s="182">
        <f>200000/100000+650000/100000+150000/100000</f>
        <v>10</v>
      </c>
      <c r="X71" s="189">
        <f>200000/100000-150000/100000+11.5</f>
        <v>12</v>
      </c>
      <c r="Y71" s="182">
        <v>320</v>
      </c>
      <c r="Z71" s="189">
        <f>500-320-11.5+152</f>
        <v>320.5</v>
      </c>
      <c r="AA71" s="189">
        <v>320</v>
      </c>
      <c r="AB71" s="177">
        <v>800</v>
      </c>
      <c r="AC71" s="379">
        <f>528+1500+972</f>
        <v>3000</v>
      </c>
      <c r="AD71" s="375">
        <v>5000</v>
      </c>
      <c r="AE71" s="375">
        <v>5000</v>
      </c>
      <c r="AF71" s="375">
        <v>5000</v>
      </c>
      <c r="AG71" s="375">
        <v>8000</v>
      </c>
      <c r="AH71" s="375">
        <f>7000+1000</f>
        <v>8000</v>
      </c>
      <c r="AI71" s="481">
        <v>15000</v>
      </c>
      <c r="AJ71" s="481">
        <v>15000</v>
      </c>
      <c r="AK71" s="375">
        <f>15000+4800</f>
        <v>19800</v>
      </c>
      <c r="AL71" s="375">
        <v>60000</v>
      </c>
      <c r="AM71" s="375">
        <v>100000</v>
      </c>
      <c r="AN71" s="376">
        <v>150000</v>
      </c>
      <c r="AO71" s="379">
        <v>150000</v>
      </c>
      <c r="AP71" s="375">
        <v>150000</v>
      </c>
      <c r="AQ71" s="375">
        <v>200000</v>
      </c>
      <c r="AR71" s="375">
        <v>200000</v>
      </c>
      <c r="AS71" s="375">
        <v>250000</v>
      </c>
      <c r="AT71" s="375">
        <v>400000</v>
      </c>
      <c r="AU71" s="375"/>
      <c r="AV71" s="375"/>
      <c r="AW71" s="375"/>
      <c r="AX71" s="375"/>
      <c r="AY71" s="375"/>
      <c r="AZ71" s="376"/>
      <c r="BA71" s="401">
        <f t="shared" si="47"/>
        <v>1745600.97</v>
      </c>
    </row>
    <row r="72" spans="1:53" s="28" customFormat="1" ht="20.100000000000001" customHeight="1">
      <c r="A72" s="32" t="str">
        <f>Vecinos!A72</f>
        <v>Familia Santos Carrillo</v>
      </c>
      <c r="B72" s="33" t="str">
        <f>Vecinos!C72</f>
        <v>Calle Guacara Nro. 90-93</v>
      </c>
      <c r="C72" s="34" t="str">
        <f>IF(SUMIFS(Vigilancia!$E:$E,Vigilancia!$F:$F,A72,Vigilancia!$J:$J,"Vigilancia")=BA72,"ü","û")</f>
        <v>ü</v>
      </c>
      <c r="D72" s="184">
        <f>4000/100000</f>
        <v>0.04</v>
      </c>
      <c r="E72" s="185">
        <f t="shared" ref="E72:J72" si="48">3000/100000</f>
        <v>0.03</v>
      </c>
      <c r="F72" s="186">
        <f t="shared" si="48"/>
        <v>0.03</v>
      </c>
      <c r="G72" s="186">
        <f t="shared" si="48"/>
        <v>0.03</v>
      </c>
      <c r="H72" s="186">
        <f t="shared" si="48"/>
        <v>0.03</v>
      </c>
      <c r="I72" s="186">
        <f t="shared" si="48"/>
        <v>0.03</v>
      </c>
      <c r="J72" s="186">
        <f t="shared" si="48"/>
        <v>0.03</v>
      </c>
      <c r="K72" s="186">
        <f>6000/100000</f>
        <v>0.06</v>
      </c>
      <c r="L72" s="186">
        <f>6500/100000</f>
        <v>6.5000000000000002E-2</v>
      </c>
      <c r="M72" s="186">
        <f>14900/100000</f>
        <v>0.14899999999999999</v>
      </c>
      <c r="N72" s="186">
        <f>20000/100000</f>
        <v>0.2</v>
      </c>
      <c r="O72" s="186">
        <f>18000/100000</f>
        <v>0.18</v>
      </c>
      <c r="P72" s="184">
        <f>20000/100000</f>
        <v>0.2</v>
      </c>
      <c r="Q72" s="187">
        <f>20000/100000</f>
        <v>0.2</v>
      </c>
      <c r="R72" s="188">
        <f>20000/100000</f>
        <v>0.2</v>
      </c>
      <c r="S72" s="188">
        <f>140000/100000</f>
        <v>1.4</v>
      </c>
      <c r="T72" s="188">
        <f>140000/100000</f>
        <v>1.4</v>
      </c>
      <c r="U72" s="188"/>
      <c r="V72" s="188"/>
      <c r="W72" s="188"/>
      <c r="X72" s="188"/>
      <c r="Y72" s="188"/>
      <c r="Z72" s="188"/>
      <c r="AA72" s="188"/>
      <c r="AB72" s="184"/>
      <c r="AC72" s="371"/>
      <c r="AD72" s="372"/>
      <c r="AE72" s="372"/>
      <c r="AF72" s="372"/>
      <c r="AG72" s="372"/>
      <c r="AH72" s="372"/>
      <c r="AI72" s="372"/>
      <c r="AJ72" s="372"/>
      <c r="AK72" s="372"/>
      <c r="AL72" s="372"/>
      <c r="AM72" s="372"/>
      <c r="AN72" s="373"/>
      <c r="AO72" s="371"/>
      <c r="AP72" s="372"/>
      <c r="AQ72" s="372"/>
      <c r="AR72" s="372"/>
      <c r="AS72" s="372"/>
      <c r="AT72" s="372"/>
      <c r="AU72" s="372"/>
      <c r="AV72" s="372"/>
      <c r="AW72" s="372"/>
      <c r="AX72" s="372"/>
      <c r="AY72" s="372"/>
      <c r="AZ72" s="373"/>
      <c r="BA72" s="400">
        <f t="shared" si="47"/>
        <v>4.2739999999999991</v>
      </c>
    </row>
    <row r="73" spans="1:53" s="28" customFormat="1" ht="20.100000000000001" customHeight="1">
      <c r="A73" s="32" t="str">
        <f>Vecinos!A73</f>
        <v>Familia García Hurtado</v>
      </c>
      <c r="B73" s="33" t="str">
        <f>Vecinos!C73</f>
        <v>Calle Guacara Nro. 90-110</v>
      </c>
      <c r="C73" s="34" t="str">
        <f>IF(SUMIFS(Vigilancia!$E:$E,Vigilancia!$F:$F,A73,Vigilancia!$J:$J,"Vigilancia")=BA73,"ü","û")</f>
        <v>ü</v>
      </c>
      <c r="D73" s="184"/>
      <c r="E73" s="185">
        <f>10000/100000</f>
        <v>0.1</v>
      </c>
      <c r="F73" s="186">
        <f>10000/100000</f>
        <v>0.1</v>
      </c>
      <c r="G73" s="186"/>
      <c r="H73" s="186"/>
      <c r="I73" s="186"/>
      <c r="J73" s="186"/>
      <c r="K73" s="186"/>
      <c r="L73" s="186"/>
      <c r="M73" s="186"/>
      <c r="N73" s="186"/>
      <c r="O73" s="186"/>
      <c r="P73" s="184"/>
      <c r="Q73" s="187"/>
      <c r="R73" s="188"/>
      <c r="S73" s="188"/>
      <c r="T73" s="188"/>
      <c r="U73" s="188"/>
      <c r="V73" s="188"/>
      <c r="W73" s="188"/>
      <c r="X73" s="188"/>
      <c r="Y73" s="188"/>
      <c r="Z73" s="188"/>
      <c r="AA73" s="188"/>
      <c r="AB73" s="184"/>
      <c r="AC73" s="371"/>
      <c r="AD73" s="372"/>
      <c r="AE73" s="372"/>
      <c r="AF73" s="372"/>
      <c r="AG73" s="372"/>
      <c r="AH73" s="372"/>
      <c r="AI73" s="372"/>
      <c r="AJ73" s="372"/>
      <c r="AK73" s="372"/>
      <c r="AL73" s="372"/>
      <c r="AM73" s="372"/>
      <c r="AN73" s="373"/>
      <c r="AO73" s="371"/>
      <c r="AP73" s="372"/>
      <c r="AQ73" s="372"/>
      <c r="AR73" s="372"/>
      <c r="AS73" s="372"/>
      <c r="AT73" s="372"/>
      <c r="AU73" s="372"/>
      <c r="AV73" s="372"/>
      <c r="AW73" s="372"/>
      <c r="AX73" s="372"/>
      <c r="AY73" s="372"/>
      <c r="AZ73" s="373"/>
      <c r="BA73" s="400">
        <f t="shared" si="47"/>
        <v>0.2</v>
      </c>
    </row>
    <row r="74" spans="1:53" s="28" customFormat="1" ht="20.100000000000001" customHeight="1">
      <c r="A74" s="29" t="str">
        <f>Vecinos!A74</f>
        <v>Familia Rodríguez Chiappeta</v>
      </c>
      <c r="B74" s="30" t="str">
        <f>Vecinos!C74</f>
        <v>Calle Guacara Nro. 90-120</v>
      </c>
      <c r="C74" s="35" t="str">
        <f>IF(SUMIFS(Vigilancia!$E:$E,Vigilancia!$F:$F,A74,Vigilancia!$J:$J,"Vigilancia")=BA74,"ü","û")</f>
        <v>ü</v>
      </c>
      <c r="D74" s="177"/>
      <c r="E74" s="178"/>
      <c r="F74" s="179"/>
      <c r="G74" s="179"/>
      <c r="H74" s="179"/>
      <c r="I74" s="179"/>
      <c r="J74" s="179"/>
      <c r="K74" s="179"/>
      <c r="L74" s="179"/>
      <c r="M74" s="179"/>
      <c r="N74" s="179"/>
      <c r="O74" s="179"/>
      <c r="P74" s="177"/>
      <c r="Q74" s="181"/>
      <c r="R74" s="182"/>
      <c r="S74" s="182"/>
      <c r="T74" s="182"/>
      <c r="U74" s="182"/>
      <c r="V74" s="182"/>
      <c r="W74" s="182"/>
      <c r="X74" s="182"/>
      <c r="Y74" s="182"/>
      <c r="Z74" s="182"/>
      <c r="AA74" s="182"/>
      <c r="AB74" s="177"/>
      <c r="AC74" s="374"/>
      <c r="AD74" s="375"/>
      <c r="AE74" s="375"/>
      <c r="AF74" s="375"/>
      <c r="AG74" s="375"/>
      <c r="AH74" s="375"/>
      <c r="AI74" s="375"/>
      <c r="AJ74" s="375"/>
      <c r="AK74" s="375"/>
      <c r="AL74" s="375"/>
      <c r="AM74" s="375"/>
      <c r="AN74" s="376"/>
      <c r="AO74" s="374"/>
      <c r="AP74" s="375"/>
      <c r="AQ74" s="375"/>
      <c r="AR74" s="375"/>
      <c r="AS74" s="375"/>
      <c r="AT74" s="375"/>
      <c r="AU74" s="375"/>
      <c r="AV74" s="375"/>
      <c r="AW74" s="375"/>
      <c r="AX74" s="375"/>
      <c r="AY74" s="375"/>
      <c r="AZ74" s="376"/>
      <c r="BA74" s="401">
        <f t="shared" si="47"/>
        <v>0</v>
      </c>
    </row>
    <row r="75" spans="1:53" s="28" customFormat="1" ht="20.100000000000001" customHeight="1">
      <c r="A75" s="29" t="str">
        <f>Vecinos!A75</f>
        <v>Familia Ledezma Hernández</v>
      </c>
      <c r="B75" s="30" t="str">
        <f>Vecinos!C75</f>
        <v>Calle Guacara Nro. 145-30</v>
      </c>
      <c r="C75" s="35" t="str">
        <f>IF(SUMIFS(Vigilancia!$E:$E,Vigilancia!$F:$F,A75,Vigilancia!$J:$J,"Vigilancia")=BA75,"ü","û")</f>
        <v>ü</v>
      </c>
      <c r="D75" s="177"/>
      <c r="E75" s="178"/>
      <c r="F75" s="179"/>
      <c r="G75" s="179"/>
      <c r="H75" s="179"/>
      <c r="I75" s="179"/>
      <c r="J75" s="179"/>
      <c r="K75" s="179"/>
      <c r="L75" s="179"/>
      <c r="M75" s="179"/>
      <c r="N75" s="179"/>
      <c r="O75" s="179"/>
      <c r="P75" s="177"/>
      <c r="Q75" s="181"/>
      <c r="R75" s="182"/>
      <c r="S75" s="182"/>
      <c r="T75" s="182"/>
      <c r="U75" s="182"/>
      <c r="V75" s="182"/>
      <c r="W75" s="182"/>
      <c r="X75" s="182"/>
      <c r="Y75" s="182"/>
      <c r="Z75" s="182"/>
      <c r="AA75" s="182"/>
      <c r="AB75" s="177"/>
      <c r="AC75" s="374"/>
      <c r="AD75" s="375"/>
      <c r="AE75" s="375"/>
      <c r="AF75" s="375"/>
      <c r="AG75" s="375"/>
      <c r="AH75" s="375"/>
      <c r="AI75" s="375"/>
      <c r="AJ75" s="375"/>
      <c r="AK75" s="375"/>
      <c r="AL75" s="375"/>
      <c r="AM75" s="375"/>
      <c r="AN75" s="376"/>
      <c r="AO75" s="374"/>
      <c r="AP75" s="375"/>
      <c r="AQ75" s="375"/>
      <c r="AR75" s="375"/>
      <c r="AS75" s="375"/>
      <c r="AT75" s="375"/>
      <c r="AU75" s="375"/>
      <c r="AV75" s="375"/>
      <c r="AW75" s="375"/>
      <c r="AX75" s="375"/>
      <c r="AY75" s="375"/>
      <c r="AZ75" s="376"/>
      <c r="BA75" s="401">
        <f t="shared" si="47"/>
        <v>0</v>
      </c>
    </row>
    <row r="76" spans="1:53" s="28" customFormat="1" ht="20.100000000000001" customHeight="1">
      <c r="A76" s="28" t="str">
        <f>Vecinos!A76</f>
        <v>Familia Narváez Caldera</v>
      </c>
      <c r="B76" s="30" t="str">
        <f>Vecinos!C76</f>
        <v>Calle Güigüe Nro. 87-A-11</v>
      </c>
      <c r="C76" s="35" t="str">
        <f>IF(SUMIFS(Vigilancia!$E:$E,Vigilancia!$F:$F,A76,Vigilancia!$J:$J,"Vigilancia")=BA76,"ü","û")</f>
        <v>ü</v>
      </c>
      <c r="D76" s="177"/>
      <c r="E76" s="178">
        <f>10000/100000+7000/100000</f>
        <v>0.17</v>
      </c>
      <c r="F76" s="179">
        <f>17000/100000</f>
        <v>0.17</v>
      </c>
      <c r="G76" s="179">
        <f>17000/100000</f>
        <v>0.17</v>
      </c>
      <c r="H76" s="179">
        <f>17000/100000</f>
        <v>0.17</v>
      </c>
      <c r="I76" s="179">
        <f>26000/100000</f>
        <v>0.26</v>
      </c>
      <c r="J76" s="179">
        <f>26000/100000</f>
        <v>0.26</v>
      </c>
      <c r="K76" s="179">
        <f>26000/100000+9000/100000</f>
        <v>0.35</v>
      </c>
      <c r="L76" s="179">
        <f>35000/100000</f>
        <v>0.35</v>
      </c>
      <c r="M76" s="179">
        <f>35000/100000</f>
        <v>0.35</v>
      </c>
      <c r="N76" s="179">
        <f>35000/100000</f>
        <v>0.35</v>
      </c>
      <c r="O76" s="179">
        <f>35000/100000+15000/100000</f>
        <v>0.5</v>
      </c>
      <c r="P76" s="177">
        <f>50000/100000</f>
        <v>0.5</v>
      </c>
      <c r="Q76" s="181">
        <f>80000/100000</f>
        <v>0.8</v>
      </c>
      <c r="R76" s="182">
        <f>80000/100000</f>
        <v>0.8</v>
      </c>
      <c r="S76" s="182">
        <f>140000/100000</f>
        <v>1.4</v>
      </c>
      <c r="T76" s="182">
        <f>140000/100000</f>
        <v>1.4</v>
      </c>
      <c r="U76" s="182">
        <f>400000/100000</f>
        <v>4</v>
      </c>
      <c r="V76" s="182">
        <f>225000/100000+400000/100000</f>
        <v>6.25</v>
      </c>
      <c r="W76" s="182">
        <f>850000/100000+150000/100000</f>
        <v>10</v>
      </c>
      <c r="X76" s="182">
        <f>1200000/100000</f>
        <v>12</v>
      </c>
      <c r="Y76" s="182">
        <v>320</v>
      </c>
      <c r="Z76" s="182">
        <v>320</v>
      </c>
      <c r="AA76" s="182">
        <v>320</v>
      </c>
      <c r="AB76" s="177">
        <v>800</v>
      </c>
      <c r="AC76" s="374">
        <v>3000</v>
      </c>
      <c r="AD76" s="375">
        <v>3000</v>
      </c>
      <c r="AE76" s="375">
        <v>3000</v>
      </c>
      <c r="AF76" s="375">
        <v>5000</v>
      </c>
      <c r="AG76" s="375">
        <v>8000</v>
      </c>
      <c r="AH76" s="375">
        <v>8000</v>
      </c>
      <c r="AI76" s="375">
        <v>10000</v>
      </c>
      <c r="AJ76" s="375">
        <v>10000</v>
      </c>
      <c r="AK76" s="375">
        <f>10000+13400</f>
        <v>23400</v>
      </c>
      <c r="AL76" s="375">
        <v>51250</v>
      </c>
      <c r="AM76" s="375">
        <v>56250</v>
      </c>
      <c r="AN76" s="376">
        <v>136250</v>
      </c>
      <c r="AO76" s="374">
        <v>136250</v>
      </c>
      <c r="AP76" s="375">
        <v>136250</v>
      </c>
      <c r="AQ76" s="375">
        <v>185250</v>
      </c>
      <c r="AR76" s="375">
        <v>300000</v>
      </c>
      <c r="AS76" s="375">
        <v>250000</v>
      </c>
      <c r="AT76" s="375">
        <v>250000</v>
      </c>
      <c r="AU76" s="375"/>
      <c r="AV76" s="375"/>
      <c r="AW76" s="375"/>
      <c r="AX76" s="375"/>
      <c r="AY76" s="375"/>
      <c r="AZ76" s="376"/>
      <c r="BA76" s="401">
        <f t="shared" si="47"/>
        <v>1576700.25</v>
      </c>
    </row>
    <row r="77" spans="1:53" s="28" customFormat="1" ht="20.100000000000001" customHeight="1">
      <c r="A77" s="66" t="str">
        <f>Vecinos!A77</f>
        <v>Claudia González</v>
      </c>
      <c r="B77" s="67" t="str">
        <f>Vecinos!C77</f>
        <v>Calle Güigüe Nro. 88-06</v>
      </c>
      <c r="C77" s="34" t="str">
        <f>IF(SUMIFS(Vigilancia!$E:$E,Vigilancia!$F:$F,A77,Vigilancia!$J:$J,"Vigilancia")=BA77,"ü","û")</f>
        <v>ü</v>
      </c>
      <c r="D77" s="184"/>
      <c r="E77" s="185"/>
      <c r="F77" s="186"/>
      <c r="G77" s="186"/>
      <c r="H77" s="186"/>
      <c r="I77" s="186"/>
      <c r="J77" s="186"/>
      <c r="K77" s="186"/>
      <c r="L77" s="186"/>
      <c r="M77" s="186"/>
      <c r="N77" s="186"/>
      <c r="O77" s="219" t="s">
        <v>1256</v>
      </c>
      <c r="P77" s="220"/>
      <c r="Q77" s="221"/>
      <c r="R77" s="222"/>
      <c r="S77" s="222"/>
      <c r="T77" s="222"/>
      <c r="U77" s="222"/>
      <c r="V77" s="222"/>
      <c r="W77" s="222"/>
      <c r="X77" s="222"/>
      <c r="Y77" s="222"/>
      <c r="Z77" s="222"/>
      <c r="AA77" s="222"/>
      <c r="AB77" s="220"/>
      <c r="AC77" s="390"/>
      <c r="AD77" s="391"/>
      <c r="AE77" s="391"/>
      <c r="AF77" s="391"/>
      <c r="AG77" s="391"/>
      <c r="AH77" s="391"/>
      <c r="AI77" s="391"/>
      <c r="AJ77" s="391"/>
      <c r="AK77" s="391"/>
      <c r="AL77" s="391"/>
      <c r="AM77" s="391"/>
      <c r="AN77" s="392"/>
      <c r="AO77" s="390"/>
      <c r="AP77" s="391"/>
      <c r="AQ77" s="391"/>
      <c r="AR77" s="391"/>
      <c r="AS77" s="391"/>
      <c r="AT77" s="391"/>
      <c r="AU77" s="391"/>
      <c r="AV77" s="391"/>
      <c r="AW77" s="391"/>
      <c r="AX77" s="391"/>
      <c r="AY77" s="391"/>
      <c r="AZ77" s="392"/>
      <c r="BA77" s="405">
        <f t="shared" si="47"/>
        <v>0</v>
      </c>
    </row>
    <row r="78" spans="1:53" s="28" customFormat="1" ht="20.100000000000001" customHeight="1">
      <c r="A78" s="29" t="str">
        <f>Vecinos!A78</f>
        <v>Familia Ozar Rivero</v>
      </c>
      <c r="B78" s="30" t="str">
        <f>Vecinos!C78</f>
        <v>Calle Güigüe Nro. 88-06</v>
      </c>
      <c r="C78" s="35" t="str">
        <f>IF(SUMIFS(Vigilancia!$E:$E,Vigilancia!$F:$F,A78,Vigilancia!$J:$J,"Vigilancia")=BA78,"ü","û")</f>
        <v>ü</v>
      </c>
      <c r="D78" s="205"/>
      <c r="E78" s="206"/>
      <c r="F78" s="207"/>
      <c r="G78" s="207"/>
      <c r="H78" s="207"/>
      <c r="I78" s="207"/>
      <c r="J78" s="207"/>
      <c r="K78" s="207"/>
      <c r="L78" s="207"/>
      <c r="M78" s="207"/>
      <c r="N78" s="207">
        <f>35000/100000</f>
        <v>0.35</v>
      </c>
      <c r="O78" s="179">
        <f>50000/100000</f>
        <v>0.5</v>
      </c>
      <c r="P78" s="177">
        <f>50000/100000</f>
        <v>0.5</v>
      </c>
      <c r="Q78" s="181">
        <f>80000/100000</f>
        <v>0.8</v>
      </c>
      <c r="R78" s="190">
        <f>65000/100000</f>
        <v>0.65</v>
      </c>
      <c r="S78" s="182">
        <f t="shared" ref="S78:T80" si="49">140000/100000</f>
        <v>1.4</v>
      </c>
      <c r="T78" s="182">
        <f t="shared" si="49"/>
        <v>1.4</v>
      </c>
      <c r="U78" s="182">
        <f>400000/100000</f>
        <v>4</v>
      </c>
      <c r="V78" s="182">
        <f>400000/100000+225000/100000</f>
        <v>6.25</v>
      </c>
      <c r="W78" s="182">
        <f>200000/100000+650000/100000+150000/100000</f>
        <v>10</v>
      </c>
      <c r="X78" s="182">
        <f>1200000/100000</f>
        <v>12</v>
      </c>
      <c r="Y78" s="182">
        <v>320</v>
      </c>
      <c r="Z78" s="182">
        <v>320</v>
      </c>
      <c r="AA78" s="182">
        <v>320</v>
      </c>
      <c r="AB78" s="177">
        <v>800</v>
      </c>
      <c r="AC78" s="374">
        <f>800+760+1440</f>
        <v>3000</v>
      </c>
      <c r="AD78" s="375">
        <v>3000</v>
      </c>
      <c r="AE78" s="375">
        <f>1560+1440</f>
        <v>3000</v>
      </c>
      <c r="AF78" s="375">
        <v>5000</v>
      </c>
      <c r="AG78" s="375">
        <v>8000</v>
      </c>
      <c r="AH78" s="375">
        <v>8000</v>
      </c>
      <c r="AI78" s="380">
        <f>8000+2000</f>
        <v>10000</v>
      </c>
      <c r="AJ78" s="375">
        <v>10000</v>
      </c>
      <c r="AK78" s="375">
        <v>22000</v>
      </c>
      <c r="AL78" s="375">
        <f>22000+29250</f>
        <v>51250</v>
      </c>
      <c r="AM78" s="375">
        <v>73500</v>
      </c>
      <c r="AN78" s="376">
        <v>136250</v>
      </c>
      <c r="AO78" s="374">
        <v>136250</v>
      </c>
      <c r="AP78" s="375">
        <v>136250</v>
      </c>
      <c r="AQ78" s="375">
        <v>185250</v>
      </c>
      <c r="AR78" s="375">
        <f>114750+70500</f>
        <v>185250</v>
      </c>
      <c r="AS78" s="375">
        <f>229500+20500</f>
        <v>250000</v>
      </c>
      <c r="AT78" s="375">
        <v>250000</v>
      </c>
      <c r="AU78" s="380"/>
      <c r="AV78" s="375"/>
      <c r="AW78" s="375"/>
      <c r="AX78" s="375"/>
      <c r="AY78" s="375"/>
      <c r="AZ78" s="376"/>
      <c r="BA78" s="401">
        <f t="shared" si="47"/>
        <v>1477797.85</v>
      </c>
    </row>
    <row r="79" spans="1:53" s="28" customFormat="1" ht="20.100000000000001" customHeight="1">
      <c r="A79" s="29" t="str">
        <f>Vecinos!A79</f>
        <v>Familia Delgado Hidalgo</v>
      </c>
      <c r="B79" s="30" t="str">
        <f>Vecinos!C79</f>
        <v>Calle Güigüe Nro. 88-10</v>
      </c>
      <c r="C79" s="35" t="str">
        <f>IF(SUMIFS(Vigilancia!$E:$E,Vigilancia!$F:$F,A79,Vigilancia!$J:$J,"Vigilancia")=BA79,"ü","û")</f>
        <v>ü</v>
      </c>
      <c r="D79" s="177"/>
      <c r="E79" s="178">
        <f>17000/100000</f>
        <v>0.17</v>
      </c>
      <c r="F79" s="179">
        <f>17000/100000</f>
        <v>0.17</v>
      </c>
      <c r="G79" s="179">
        <f>17000/100000</f>
        <v>0.17</v>
      </c>
      <c r="H79" s="179">
        <f>17000/100000</f>
        <v>0.17</v>
      </c>
      <c r="I79" s="179">
        <f>26000/100000</f>
        <v>0.26</v>
      </c>
      <c r="J79" s="179">
        <f>26000/100000</f>
        <v>0.26</v>
      </c>
      <c r="K79" s="179">
        <f>35000/100000</f>
        <v>0.35</v>
      </c>
      <c r="L79" s="179">
        <f>35000/100000</f>
        <v>0.35</v>
      </c>
      <c r="M79" s="179">
        <f>35000/100000</f>
        <v>0.35</v>
      </c>
      <c r="N79" s="179">
        <f>35000/100000</f>
        <v>0.35</v>
      </c>
      <c r="O79" s="179">
        <f>50000/100000</f>
        <v>0.5</v>
      </c>
      <c r="P79" s="177">
        <f>50000/100000</f>
        <v>0.5</v>
      </c>
      <c r="Q79" s="181">
        <f>80000/100000</f>
        <v>0.8</v>
      </c>
      <c r="R79" s="182">
        <f>80000/100000</f>
        <v>0.8</v>
      </c>
      <c r="S79" s="182">
        <f t="shared" si="49"/>
        <v>1.4</v>
      </c>
      <c r="T79" s="182">
        <f t="shared" si="49"/>
        <v>1.4</v>
      </c>
      <c r="U79" s="182">
        <f>400000/100000</f>
        <v>4</v>
      </c>
      <c r="V79" s="182">
        <f>400000/100000+225000/100000</f>
        <v>6.25</v>
      </c>
      <c r="W79" s="182">
        <f>850000/100000+150000/100000</f>
        <v>10</v>
      </c>
      <c r="X79" s="182">
        <f>1200000/100000</f>
        <v>12</v>
      </c>
      <c r="Y79" s="182">
        <v>320</v>
      </c>
      <c r="Z79" s="182">
        <v>320</v>
      </c>
      <c r="AA79" s="182">
        <v>320</v>
      </c>
      <c r="AB79" s="177">
        <v>800</v>
      </c>
      <c r="AC79" s="374">
        <f>800+2200</f>
        <v>3000</v>
      </c>
      <c r="AD79" s="375">
        <v>3000</v>
      </c>
      <c r="AE79" s="375">
        <v>3000</v>
      </c>
      <c r="AF79" s="375">
        <v>5000</v>
      </c>
      <c r="AG79" s="375">
        <f>5000+3000</f>
        <v>8000</v>
      </c>
      <c r="AH79" s="375">
        <v>8000</v>
      </c>
      <c r="AI79" s="380">
        <f>8000+2000</f>
        <v>10000</v>
      </c>
      <c r="AJ79" s="375">
        <v>10000</v>
      </c>
      <c r="AK79" s="375">
        <v>20500</v>
      </c>
      <c r="AL79" s="375">
        <f>19800+36460</f>
        <v>56260</v>
      </c>
      <c r="AM79" s="375">
        <v>56250</v>
      </c>
      <c r="AN79" s="376">
        <v>81750</v>
      </c>
      <c r="AO79" s="374">
        <v>136250</v>
      </c>
      <c r="AP79" s="375">
        <f>131000+5250</f>
        <v>136250</v>
      </c>
      <c r="AQ79" s="375">
        <v>185250</v>
      </c>
      <c r="AR79" s="375">
        <v>185250</v>
      </c>
      <c r="AS79" s="375">
        <v>250000</v>
      </c>
      <c r="AT79" s="375">
        <v>250000</v>
      </c>
      <c r="AU79" s="380"/>
      <c r="AV79" s="375"/>
      <c r="AW79" s="375"/>
      <c r="AX79" s="375"/>
      <c r="AY79" s="375"/>
      <c r="AZ79" s="376"/>
      <c r="BA79" s="401">
        <f t="shared" si="47"/>
        <v>1409560.25</v>
      </c>
    </row>
    <row r="80" spans="1:53" s="28" customFormat="1" ht="20.100000000000001" customHeight="1">
      <c r="A80" s="29" t="str">
        <f>Vecinos!A80</f>
        <v>Familia Costermani Terrer</v>
      </c>
      <c r="B80" s="30" t="str">
        <f>Vecinos!C80</f>
        <v>Calle Güigüe Nro. 88-11</v>
      </c>
      <c r="C80" s="35" t="str">
        <f>IF(SUMIFS(Vigilancia!$E:$E,Vigilancia!$F:$F,A80,Vigilancia!$J:$J,"Vigilancia")=BA80,"ü","û")</f>
        <v>ü</v>
      </c>
      <c r="D80" s="177"/>
      <c r="E80" s="178"/>
      <c r="F80" s="179"/>
      <c r="G80" s="179"/>
      <c r="H80" s="179"/>
      <c r="I80" s="179"/>
      <c r="J80" s="179"/>
      <c r="K80" s="179"/>
      <c r="L80" s="179"/>
      <c r="M80" s="179"/>
      <c r="N80" s="179"/>
      <c r="O80" s="179"/>
      <c r="P80" s="177"/>
      <c r="Q80" s="181"/>
      <c r="R80" s="182">
        <f>80000/100000</f>
        <v>0.8</v>
      </c>
      <c r="S80" s="182">
        <f t="shared" si="49"/>
        <v>1.4</v>
      </c>
      <c r="T80" s="182">
        <f t="shared" si="49"/>
        <v>1.4</v>
      </c>
      <c r="U80" s="182">
        <f>400000/100000</f>
        <v>4</v>
      </c>
      <c r="V80" s="182">
        <f>400000/100000+250000/100000</f>
        <v>6.5</v>
      </c>
      <c r="W80" s="182">
        <f>1000000/100000</f>
        <v>10</v>
      </c>
      <c r="X80" s="182">
        <f>1200000/100000</f>
        <v>12</v>
      </c>
      <c r="Y80" s="182">
        <v>320</v>
      </c>
      <c r="Z80" s="182">
        <v>320</v>
      </c>
      <c r="AA80" s="182">
        <v>320</v>
      </c>
      <c r="AB80" s="177">
        <v>800</v>
      </c>
      <c r="AC80" s="374">
        <v>3000</v>
      </c>
      <c r="AD80" s="375">
        <v>3000</v>
      </c>
      <c r="AE80" s="375">
        <v>3000</v>
      </c>
      <c r="AF80" s="375">
        <v>5000</v>
      </c>
      <c r="AG80" s="375">
        <v>8000</v>
      </c>
      <c r="AH80" s="375">
        <v>8000</v>
      </c>
      <c r="AI80" s="375">
        <v>10000</v>
      </c>
      <c r="AJ80" s="375">
        <v>10000</v>
      </c>
      <c r="AK80" s="375">
        <v>20500</v>
      </c>
      <c r="AL80" s="375">
        <v>51250</v>
      </c>
      <c r="AM80" s="380">
        <v>64500</v>
      </c>
      <c r="AN80" s="376">
        <v>105250</v>
      </c>
      <c r="AO80" s="374">
        <v>136250</v>
      </c>
      <c r="AP80" s="375">
        <v>136250</v>
      </c>
      <c r="AQ80" s="375">
        <v>185250</v>
      </c>
      <c r="AR80" s="375">
        <v>185250</v>
      </c>
      <c r="AS80" s="375">
        <v>250000</v>
      </c>
      <c r="AT80" s="375">
        <v>250000</v>
      </c>
      <c r="AU80" s="375"/>
      <c r="AV80" s="375"/>
      <c r="AW80" s="375"/>
      <c r="AX80" s="375"/>
      <c r="AY80" s="375"/>
      <c r="AZ80" s="376"/>
      <c r="BA80" s="401">
        <f t="shared" si="47"/>
        <v>1436296.1</v>
      </c>
    </row>
    <row r="81" spans="1:53" s="28" customFormat="1" ht="20.100000000000001" customHeight="1">
      <c r="A81" s="32" t="str">
        <f>Vecinos!A81</f>
        <v>Familia Chávez Hernández</v>
      </c>
      <c r="B81" s="33" t="str">
        <f>Vecinos!C81</f>
        <v>Calle Güigüe Nro. 88-20</v>
      </c>
      <c r="C81" s="34" t="str">
        <f>IF(SUMIFS(Vigilancia!$E:$E,Vigilancia!$F:$F,A81,Vigilancia!$J:$J,"Vigilancia")=BA81,"ü","û")</f>
        <v>ü</v>
      </c>
      <c r="D81" s="184">
        <f>6000/100000</f>
        <v>0.06</v>
      </c>
      <c r="E81" s="185">
        <f t="shared" ref="E81:N81" si="50">3000/100000</f>
        <v>0.03</v>
      </c>
      <c r="F81" s="186">
        <f t="shared" si="50"/>
        <v>0.03</v>
      </c>
      <c r="G81" s="186">
        <f t="shared" si="50"/>
        <v>0.03</v>
      </c>
      <c r="H81" s="186">
        <f t="shared" si="50"/>
        <v>0.03</v>
      </c>
      <c r="I81" s="186">
        <f t="shared" si="50"/>
        <v>0.03</v>
      </c>
      <c r="J81" s="186">
        <f t="shared" si="50"/>
        <v>0.03</v>
      </c>
      <c r="K81" s="186">
        <f t="shared" si="50"/>
        <v>0.03</v>
      </c>
      <c r="L81" s="186">
        <f t="shared" si="50"/>
        <v>0.03</v>
      </c>
      <c r="M81" s="186">
        <f t="shared" si="50"/>
        <v>0.03</v>
      </c>
      <c r="N81" s="186">
        <f t="shared" si="50"/>
        <v>0.03</v>
      </c>
      <c r="O81" s="186">
        <f>10000/100000</f>
        <v>0.1</v>
      </c>
      <c r="P81" s="184">
        <f>10000/100000</f>
        <v>0.1</v>
      </c>
      <c r="Q81" s="187">
        <f>10000/100000</f>
        <v>0.1</v>
      </c>
      <c r="R81" s="188">
        <f>10000/100000</f>
        <v>0.1</v>
      </c>
      <c r="S81" s="188">
        <f>30000/100000</f>
        <v>0.3</v>
      </c>
      <c r="T81" s="188">
        <f>30000/100000</f>
        <v>0.3</v>
      </c>
      <c r="U81" s="188">
        <f>50000/100000</f>
        <v>0.5</v>
      </c>
      <c r="V81" s="188">
        <f>50000/100000</f>
        <v>0.5</v>
      </c>
      <c r="W81" s="188">
        <f>100000/100000</f>
        <v>1</v>
      </c>
      <c r="X81" s="188">
        <v>12</v>
      </c>
      <c r="Y81" s="188">
        <v>100</v>
      </c>
      <c r="Z81" s="188">
        <v>100</v>
      </c>
      <c r="AA81" s="188">
        <v>100</v>
      </c>
      <c r="AB81" s="184">
        <v>100</v>
      </c>
      <c r="AC81" s="371">
        <v>300</v>
      </c>
      <c r="AD81" s="372">
        <v>300</v>
      </c>
      <c r="AE81" s="372">
        <v>300</v>
      </c>
      <c r="AF81" s="372">
        <v>300</v>
      </c>
      <c r="AG81" s="372">
        <v>1000</v>
      </c>
      <c r="AH81" s="372">
        <v>3000</v>
      </c>
      <c r="AI81" s="372">
        <v>6000</v>
      </c>
      <c r="AJ81" s="372">
        <v>5000</v>
      </c>
      <c r="AK81" s="372">
        <v>10000</v>
      </c>
      <c r="AL81" s="372">
        <v>10000</v>
      </c>
      <c r="AM81" s="372">
        <v>20000</v>
      </c>
      <c r="AN81" s="373">
        <v>20000</v>
      </c>
      <c r="AO81" s="371">
        <v>30000</v>
      </c>
      <c r="AP81" s="372">
        <v>40000</v>
      </c>
      <c r="AQ81" s="372">
        <v>70000</v>
      </c>
      <c r="AR81" s="372">
        <v>70000</v>
      </c>
      <c r="AS81" s="372">
        <v>70000</v>
      </c>
      <c r="AT81" s="372">
        <v>70000</v>
      </c>
      <c r="AU81" s="372"/>
      <c r="AV81" s="372"/>
      <c r="AW81" s="372"/>
      <c r="AX81" s="372"/>
      <c r="AY81" s="372"/>
      <c r="AZ81" s="373"/>
      <c r="BA81" s="400">
        <f t="shared" si="47"/>
        <v>426615.36</v>
      </c>
    </row>
    <row r="82" spans="1:53" s="28" customFormat="1" ht="20.100000000000001" customHeight="1">
      <c r="A82" s="32" t="str">
        <f>Vecinos!A82</f>
        <v>Ma. de Jesus Alonso</v>
      </c>
      <c r="B82" s="33" t="str">
        <f>Vecinos!C82</f>
        <v>Calle Güigüe Nro. 88-30</v>
      </c>
      <c r="C82" s="34" t="str">
        <f>IF(SUMIFS(Vigilancia!$E:$E,Vigilancia!$F:$F,A82,Vigilancia!$J:$J,"Vigilancia")=BA82,"ü","û")</f>
        <v>ü</v>
      </c>
      <c r="D82" s="184"/>
      <c r="E82" s="185">
        <f>3000/100000</f>
        <v>0.03</v>
      </c>
      <c r="F82" s="186">
        <f>3000/100000</f>
        <v>0.03</v>
      </c>
      <c r="G82" s="186">
        <f>4000/100000</f>
        <v>0.04</v>
      </c>
      <c r="H82" s="186">
        <f>3000/100000</f>
        <v>0.03</v>
      </c>
      <c r="I82" s="186">
        <f>3000/100000</f>
        <v>0.03</v>
      </c>
      <c r="J82" s="186">
        <f>3000/100000</f>
        <v>0.03</v>
      </c>
      <c r="K82" s="186">
        <f>5000/100000</f>
        <v>0.05</v>
      </c>
      <c r="L82" s="186">
        <f>5000/100000</f>
        <v>0.05</v>
      </c>
      <c r="M82" s="186">
        <f>10000/100000</f>
        <v>0.1</v>
      </c>
      <c r="N82" s="186">
        <f>10000/100000</f>
        <v>0.1</v>
      </c>
      <c r="O82" s="186">
        <f>10000/100000</f>
        <v>0.1</v>
      </c>
      <c r="P82" s="184">
        <f>10000/100000</f>
        <v>0.1</v>
      </c>
      <c r="Q82" s="187">
        <f>10000/100000</f>
        <v>0.1</v>
      </c>
      <c r="R82" s="188">
        <f>10000/100000+20000/100000</f>
        <v>0.30000000000000004</v>
      </c>
      <c r="S82" s="188">
        <f>100000/100000+40000/100000</f>
        <v>1.4</v>
      </c>
      <c r="T82" s="188">
        <f>100000/100000+40000/100000</f>
        <v>1.4</v>
      </c>
      <c r="U82" s="188">
        <f>100000/100000+300000/100000</f>
        <v>4</v>
      </c>
      <c r="V82" s="188">
        <f>400000/100000+225000/100000</f>
        <v>6.25</v>
      </c>
      <c r="W82" s="189">
        <f>1000000/100000</f>
        <v>10</v>
      </c>
      <c r="X82" s="189">
        <v>12</v>
      </c>
      <c r="Y82" s="189">
        <v>320</v>
      </c>
      <c r="Z82" s="189">
        <v>320</v>
      </c>
      <c r="AA82" s="189">
        <v>400</v>
      </c>
      <c r="AB82" s="342">
        <v>800</v>
      </c>
      <c r="AC82" s="379">
        <v>3000</v>
      </c>
      <c r="AD82" s="380">
        <v>3000</v>
      </c>
      <c r="AE82" s="380">
        <v>3000</v>
      </c>
      <c r="AF82" s="380">
        <v>5000</v>
      </c>
      <c r="AG82" s="380">
        <f>5000+3000</f>
        <v>8000</v>
      </c>
      <c r="AH82" s="380">
        <v>8000</v>
      </c>
      <c r="AI82" s="380">
        <v>10000</v>
      </c>
      <c r="AJ82" s="380">
        <v>10000</v>
      </c>
      <c r="AK82" s="380">
        <v>20720</v>
      </c>
      <c r="AL82" s="380">
        <v>50250</v>
      </c>
      <c r="AM82" s="380">
        <f>29030</f>
        <v>29030</v>
      </c>
      <c r="AN82" s="385"/>
      <c r="AO82" s="379"/>
      <c r="AP82" s="380"/>
      <c r="AQ82" s="380"/>
      <c r="AR82" s="380"/>
      <c r="AS82" s="380">
        <v>250000</v>
      </c>
      <c r="AT82" s="380">
        <v>250000</v>
      </c>
      <c r="AU82" s="380"/>
      <c r="AV82" s="380"/>
      <c r="AW82" s="380"/>
      <c r="AX82" s="380"/>
      <c r="AY82" s="380"/>
      <c r="AZ82" s="385"/>
      <c r="BA82" s="403">
        <f t="shared" si="47"/>
        <v>651876.14</v>
      </c>
    </row>
    <row r="83" spans="1:53" s="28" customFormat="1" ht="20.100000000000001" customHeight="1">
      <c r="A83" s="32" t="str">
        <f>Vecinos!A83</f>
        <v>Familia Moyetones</v>
      </c>
      <c r="B83" s="33" t="str">
        <f>Vecinos!C83</f>
        <v>Calle Güigüe Nro. 88-36</v>
      </c>
      <c r="C83" s="34" t="str">
        <f>IF(SUMIFS(Vigilancia!$E:$E,Vigilancia!$F:$F,A83,Vigilancia!$J:$J,"Vigilancia")=BA83,"ü","û")</f>
        <v>ü</v>
      </c>
      <c r="D83" s="184"/>
      <c r="E83" s="185"/>
      <c r="F83" s="186"/>
      <c r="G83" s="186"/>
      <c r="H83" s="186"/>
      <c r="I83" s="186"/>
      <c r="J83" s="186"/>
      <c r="K83" s="186"/>
      <c r="L83" s="186"/>
      <c r="M83" s="186"/>
      <c r="N83" s="186"/>
      <c r="O83" s="186"/>
      <c r="P83" s="184"/>
      <c r="Q83" s="187"/>
      <c r="R83" s="188"/>
      <c r="S83" s="188"/>
      <c r="T83" s="188"/>
      <c r="U83" s="188"/>
      <c r="V83" s="188"/>
      <c r="W83" s="188"/>
      <c r="X83" s="188"/>
      <c r="Y83" s="188"/>
      <c r="Z83" s="188"/>
      <c r="AA83" s="188"/>
      <c r="AB83" s="184"/>
      <c r="AC83" s="371"/>
      <c r="AD83" s="372"/>
      <c r="AE83" s="372"/>
      <c r="AF83" s="372"/>
      <c r="AG83" s="372"/>
      <c r="AH83" s="372"/>
      <c r="AI83" s="372"/>
      <c r="AJ83" s="372"/>
      <c r="AK83" s="372"/>
      <c r="AL83" s="372"/>
      <c r="AM83" s="372"/>
      <c r="AN83" s="373"/>
      <c r="AO83" s="371"/>
      <c r="AP83" s="372"/>
      <c r="AQ83" s="372"/>
      <c r="AR83" s="372"/>
      <c r="AS83" s="372"/>
      <c r="AT83" s="372"/>
      <c r="AU83" s="372"/>
      <c r="AV83" s="372"/>
      <c r="AW83" s="372"/>
      <c r="AX83" s="372"/>
      <c r="AY83" s="372"/>
      <c r="AZ83" s="373"/>
      <c r="BA83" s="400">
        <f t="shared" si="47"/>
        <v>0</v>
      </c>
    </row>
    <row r="84" spans="1:53" s="28" customFormat="1" ht="20.100000000000001" customHeight="1">
      <c r="A84" s="32" t="str">
        <f>Vecinos!A84</f>
        <v>Familia Rivero</v>
      </c>
      <c r="B84" s="33" t="str">
        <f>Vecinos!C84</f>
        <v>Calle Güigüe Nro. 88-40</v>
      </c>
      <c r="C84" s="34" t="str">
        <f>IF(SUMIFS(Vigilancia!$E:$E,Vigilancia!$F:$F,A84,Vigilancia!$J:$J,"Vigilancia")=BA84,"ü","û")</f>
        <v>ü</v>
      </c>
      <c r="D84" s="184"/>
      <c r="E84" s="185">
        <f>3000/100000</f>
        <v>0.03</v>
      </c>
      <c r="F84" s="186">
        <f>3000/100000</f>
        <v>0.03</v>
      </c>
      <c r="G84" s="186">
        <f>3000/100000</f>
        <v>0.03</v>
      </c>
      <c r="H84" s="186">
        <f>3000/100000</f>
        <v>0.03</v>
      </c>
      <c r="I84" s="186">
        <f>5000/100000</f>
        <v>0.05</v>
      </c>
      <c r="J84" s="186">
        <f>5000/100000</f>
        <v>0.05</v>
      </c>
      <c r="K84" s="186">
        <f>5000/100000</f>
        <v>0.05</v>
      </c>
      <c r="L84" s="186">
        <f>10000/100000</f>
        <v>0.1</v>
      </c>
      <c r="M84" s="186">
        <f>20000/100000</f>
        <v>0.2</v>
      </c>
      <c r="N84" s="186">
        <f>20000/100000</f>
        <v>0.2</v>
      </c>
      <c r="O84" s="186">
        <f>25000/100000</f>
        <v>0.25</v>
      </c>
      <c r="P84" s="184">
        <f t="shared" ref="P84:U84" si="51">30000/100000</f>
        <v>0.3</v>
      </c>
      <c r="Q84" s="187">
        <f t="shared" si="51"/>
        <v>0.3</v>
      </c>
      <c r="R84" s="188">
        <f t="shared" si="51"/>
        <v>0.3</v>
      </c>
      <c r="S84" s="188">
        <f t="shared" si="51"/>
        <v>0.3</v>
      </c>
      <c r="T84" s="188">
        <f t="shared" si="51"/>
        <v>0.3</v>
      </c>
      <c r="U84" s="188">
        <f t="shared" si="51"/>
        <v>0.3</v>
      </c>
      <c r="V84" s="188">
        <f>40000/100000</f>
        <v>0.4</v>
      </c>
      <c r="W84" s="188">
        <v>10</v>
      </c>
      <c r="X84" s="188">
        <v>12</v>
      </c>
      <c r="Y84" s="188">
        <f>100-22</f>
        <v>78</v>
      </c>
      <c r="Z84" s="188"/>
      <c r="AA84" s="188"/>
      <c r="AB84" s="184"/>
      <c r="AC84" s="371"/>
      <c r="AD84" s="372"/>
      <c r="AE84" s="372"/>
      <c r="AF84" s="372"/>
      <c r="AG84" s="372"/>
      <c r="AH84" s="372"/>
      <c r="AI84" s="372"/>
      <c r="AJ84" s="372"/>
      <c r="AK84" s="372"/>
      <c r="AL84" s="372"/>
      <c r="AM84" s="372">
        <v>20000</v>
      </c>
      <c r="AN84" s="373"/>
      <c r="AO84" s="371"/>
      <c r="AP84" s="372"/>
      <c r="AQ84" s="372"/>
      <c r="AR84" s="372"/>
      <c r="AS84" s="372"/>
      <c r="AT84" s="372"/>
      <c r="AU84" s="372"/>
      <c r="AV84" s="372"/>
      <c r="AW84" s="372"/>
      <c r="AX84" s="372"/>
      <c r="AY84" s="372"/>
      <c r="AZ84" s="373"/>
      <c r="BA84" s="400">
        <f t="shared" si="47"/>
        <v>20103.22</v>
      </c>
    </row>
    <row r="85" spans="1:53" s="28" customFormat="1" ht="20.100000000000001" customHeight="1">
      <c r="A85" s="32" t="str">
        <f>Vecinos!A85</f>
        <v>Thanya Albornoz</v>
      </c>
      <c r="B85" s="33" t="str">
        <f>Vecinos!C85</f>
        <v>Calle Güigüe Nro. 88-42</v>
      </c>
      <c r="C85" s="34" t="str">
        <f>IF(SUMIFS(Vigilancia!$E:$E,Vigilancia!$F:$F,A85,Vigilancia!$J:$J,"Vigilancia")=BA85,"ü","û")</f>
        <v>ü</v>
      </c>
      <c r="D85" s="184"/>
      <c r="E85" s="185"/>
      <c r="F85" s="186"/>
      <c r="G85" s="186"/>
      <c r="H85" s="186"/>
      <c r="I85" s="186"/>
      <c r="J85" s="186"/>
      <c r="K85" s="186"/>
      <c r="L85" s="186"/>
      <c r="M85" s="186"/>
      <c r="N85" s="186"/>
      <c r="O85" s="186"/>
      <c r="P85" s="184"/>
      <c r="Q85" s="187"/>
      <c r="R85" s="188"/>
      <c r="S85" s="188"/>
      <c r="T85" s="188"/>
      <c r="U85" s="188"/>
      <c r="V85" s="188"/>
      <c r="W85" s="188"/>
      <c r="X85" s="188"/>
      <c r="Y85" s="188"/>
      <c r="Z85" s="188"/>
      <c r="AA85" s="188"/>
      <c r="AB85" s="184"/>
      <c r="AC85" s="371"/>
      <c r="AD85" s="372"/>
      <c r="AE85" s="372"/>
      <c r="AF85" s="372"/>
      <c r="AG85" s="372"/>
      <c r="AH85" s="372"/>
      <c r="AI85" s="372"/>
      <c r="AJ85" s="372"/>
      <c r="AK85" s="372"/>
      <c r="AL85" s="372"/>
      <c r="AM85" s="372"/>
      <c r="AN85" s="373"/>
      <c r="AO85" s="371"/>
      <c r="AP85" s="372"/>
      <c r="AQ85" s="372"/>
      <c r="AR85" s="372"/>
      <c r="AS85" s="372"/>
      <c r="AT85" s="372"/>
      <c r="AU85" s="372"/>
      <c r="AV85" s="372"/>
      <c r="AW85" s="372"/>
      <c r="AX85" s="372"/>
      <c r="AY85" s="372"/>
      <c r="AZ85" s="373"/>
      <c r="BA85" s="400">
        <f t="shared" si="47"/>
        <v>0</v>
      </c>
    </row>
    <row r="86" spans="1:53" s="28" customFormat="1" ht="20.100000000000001" customHeight="1">
      <c r="A86" s="29" t="str">
        <f>Vecinos!A86</f>
        <v>Familia Colosso Delgado</v>
      </c>
      <c r="B86" s="30" t="str">
        <f>Vecinos!C86</f>
        <v>Calle Güigüe Nro. 88-44</v>
      </c>
      <c r="C86" s="35" t="str">
        <f>IF(SUMIFS(Vigilancia!$E:$E,Vigilancia!$F:$F,A86,Vigilancia!$J:$J,"Vigilancia")=BA86,"ü","û")</f>
        <v>ü</v>
      </c>
      <c r="D86" s="177"/>
      <c r="E86" s="178">
        <f>10500/100000+6500/100000</f>
        <v>0.16999999999999998</v>
      </c>
      <c r="F86" s="179">
        <f t="shared" ref="F86:H87" si="52">17000/100000</f>
        <v>0.17</v>
      </c>
      <c r="G86" s="179">
        <f t="shared" si="52"/>
        <v>0.17</v>
      </c>
      <c r="H86" s="179">
        <f t="shared" si="52"/>
        <v>0.17</v>
      </c>
      <c r="I86" s="179">
        <f>26000/100000</f>
        <v>0.26</v>
      </c>
      <c r="J86" s="179">
        <f>26000/100000</f>
        <v>0.26</v>
      </c>
      <c r="K86" s="179">
        <f>26000/100000+9000/100000</f>
        <v>0.35</v>
      </c>
      <c r="L86" s="179">
        <f t="shared" ref="L86:N89" si="53">35000/100000</f>
        <v>0.35</v>
      </c>
      <c r="M86" s="179">
        <f t="shared" si="53"/>
        <v>0.35</v>
      </c>
      <c r="N86" s="179">
        <f t="shared" si="53"/>
        <v>0.35</v>
      </c>
      <c r="O86" s="179">
        <f t="shared" ref="O86:P89" si="54">50000/100000</f>
        <v>0.5</v>
      </c>
      <c r="P86" s="177">
        <f t="shared" si="54"/>
        <v>0.5</v>
      </c>
      <c r="Q86" s="181">
        <f t="shared" ref="Q86:R89" si="55">80000/100000</f>
        <v>0.8</v>
      </c>
      <c r="R86" s="182">
        <f t="shared" si="55"/>
        <v>0.8</v>
      </c>
      <c r="S86" s="182">
        <f>140000/100000</f>
        <v>1.4</v>
      </c>
      <c r="T86" s="182">
        <f>140000/100000</f>
        <v>1.4</v>
      </c>
      <c r="U86" s="182">
        <f>400000/100000</f>
        <v>4</v>
      </c>
      <c r="V86" s="182">
        <f>400000/100000+225000/100000</f>
        <v>6.25</v>
      </c>
      <c r="W86" s="182">
        <f>850000/100000+150000/100000</f>
        <v>10</v>
      </c>
      <c r="X86" s="182">
        <f>1200000/100000</f>
        <v>12</v>
      </c>
      <c r="Y86" s="182">
        <v>320</v>
      </c>
      <c r="Z86" s="182">
        <v>320</v>
      </c>
      <c r="AA86" s="182">
        <v>320</v>
      </c>
      <c r="AB86" s="342">
        <f>320+480</f>
        <v>800</v>
      </c>
      <c r="AC86" s="379">
        <f>800+2200</f>
        <v>3000</v>
      </c>
      <c r="AD86" s="375">
        <v>3000</v>
      </c>
      <c r="AE86" s="375">
        <v>3000</v>
      </c>
      <c r="AF86" s="375">
        <f>3000+2000</f>
        <v>5000</v>
      </c>
      <c r="AG86" s="375">
        <v>8000</v>
      </c>
      <c r="AH86" s="375">
        <v>8000</v>
      </c>
      <c r="AI86" s="375">
        <v>10000</v>
      </c>
      <c r="AJ86" s="375">
        <v>10000</v>
      </c>
      <c r="AK86" s="375">
        <v>23400</v>
      </c>
      <c r="AL86" s="375">
        <f>21100+25900</f>
        <v>47000</v>
      </c>
      <c r="AM86" s="375">
        <v>51250</v>
      </c>
      <c r="AN86" s="376">
        <v>81750</v>
      </c>
      <c r="AO86" s="374">
        <v>136250</v>
      </c>
      <c r="AP86" s="375">
        <v>136250</v>
      </c>
      <c r="AQ86" s="375">
        <v>185250</v>
      </c>
      <c r="AR86" s="375">
        <v>185250</v>
      </c>
      <c r="AS86" s="375">
        <v>250000</v>
      </c>
      <c r="AT86" s="375">
        <v>250000</v>
      </c>
      <c r="AU86" s="375">
        <v>320000</v>
      </c>
      <c r="AV86" s="375"/>
      <c r="AW86" s="375"/>
      <c r="AX86" s="375"/>
      <c r="AY86" s="375"/>
      <c r="AZ86" s="376"/>
      <c r="BA86" s="401">
        <f t="shared" si="47"/>
        <v>1718200.25</v>
      </c>
    </row>
    <row r="87" spans="1:53" s="28" customFormat="1" ht="20.100000000000001" customHeight="1">
      <c r="A87" s="29" t="str">
        <f>Vecinos!A87</f>
        <v>Familia Jiménez Navarro</v>
      </c>
      <c r="B87" s="30" t="str">
        <f>Vecinos!C87</f>
        <v>Calle Güigüe Nro. 88-50</v>
      </c>
      <c r="C87" s="35" t="str">
        <f>IF(SUMIFS(Vigilancia!$E:$E,Vigilancia!$F:$F,A87,Vigilancia!$J:$J,"Vigilancia")=BA87,"ü","û")</f>
        <v>ü</v>
      </c>
      <c r="D87" s="177"/>
      <c r="E87" s="178">
        <f>17000/100000</f>
        <v>0.17</v>
      </c>
      <c r="F87" s="179">
        <f t="shared" si="52"/>
        <v>0.17</v>
      </c>
      <c r="G87" s="179">
        <f t="shared" si="52"/>
        <v>0.17</v>
      </c>
      <c r="H87" s="179">
        <f t="shared" si="52"/>
        <v>0.17</v>
      </c>
      <c r="I87" s="179">
        <f>26000/100000</f>
        <v>0.26</v>
      </c>
      <c r="J87" s="223"/>
      <c r="K87" s="179">
        <f>35000/100000</f>
        <v>0.35</v>
      </c>
      <c r="L87" s="179">
        <f t="shared" si="53"/>
        <v>0.35</v>
      </c>
      <c r="M87" s="179">
        <f t="shared" si="53"/>
        <v>0.35</v>
      </c>
      <c r="N87" s="179">
        <f t="shared" si="53"/>
        <v>0.35</v>
      </c>
      <c r="O87" s="179">
        <f t="shared" si="54"/>
        <v>0.5</v>
      </c>
      <c r="P87" s="177">
        <f t="shared" si="54"/>
        <v>0.5</v>
      </c>
      <c r="Q87" s="181">
        <f t="shared" si="55"/>
        <v>0.8</v>
      </c>
      <c r="R87" s="182">
        <f t="shared" si="55"/>
        <v>0.8</v>
      </c>
      <c r="S87" s="182">
        <f>140000/100000</f>
        <v>1.4</v>
      </c>
      <c r="T87" s="182">
        <f>300000/100000</f>
        <v>3</v>
      </c>
      <c r="U87" s="182">
        <f>400000/100000</f>
        <v>4</v>
      </c>
      <c r="V87" s="182">
        <f>1000000/100000</f>
        <v>10</v>
      </c>
      <c r="W87" s="182">
        <f>1000000/100000</f>
        <v>10</v>
      </c>
      <c r="X87" s="182">
        <v>12</v>
      </c>
      <c r="Y87" s="182">
        <v>320</v>
      </c>
      <c r="Z87" s="182">
        <v>320</v>
      </c>
      <c r="AA87" s="182">
        <v>320</v>
      </c>
      <c r="AB87" s="177">
        <v>800</v>
      </c>
      <c r="AC87" s="374">
        <v>3000</v>
      </c>
      <c r="AD87" s="375">
        <v>3000</v>
      </c>
      <c r="AE87" s="375">
        <v>3000</v>
      </c>
      <c r="AF87" s="375">
        <v>5000</v>
      </c>
      <c r="AG87" s="375">
        <f>5000+3000</f>
        <v>8000</v>
      </c>
      <c r="AH87" s="375">
        <v>8000</v>
      </c>
      <c r="AI87" s="375">
        <v>10000</v>
      </c>
      <c r="AJ87" s="375">
        <v>10000</v>
      </c>
      <c r="AK87" s="375">
        <v>24000</v>
      </c>
      <c r="AL87" s="375">
        <f>20000+27000</f>
        <v>47000</v>
      </c>
      <c r="AM87" s="375">
        <v>81750</v>
      </c>
      <c r="AN87" s="376">
        <v>136500</v>
      </c>
      <c r="AO87" s="374">
        <v>136500</v>
      </c>
      <c r="AP87" s="375">
        <v>190000</v>
      </c>
      <c r="AQ87" s="375">
        <v>185250</v>
      </c>
      <c r="AR87" s="375">
        <f>185250/2.5*0.5+148200</f>
        <v>185250</v>
      </c>
      <c r="AS87" s="375">
        <v>250000</v>
      </c>
      <c r="AT87" s="375">
        <v>250000</v>
      </c>
      <c r="AU87" s="375"/>
      <c r="AV87" s="375"/>
      <c r="AW87" s="375"/>
      <c r="AX87" s="375"/>
      <c r="AY87" s="375"/>
      <c r="AZ87" s="376"/>
      <c r="BA87" s="401">
        <f t="shared" si="47"/>
        <v>1538055.3399999999</v>
      </c>
    </row>
    <row r="88" spans="1:53" s="28" customFormat="1" ht="20.100000000000001" customHeight="1">
      <c r="A88" s="32" t="str">
        <f>Vecinos!A88</f>
        <v>Dra. Lilia Magallanes</v>
      </c>
      <c r="B88" s="33" t="str">
        <f>Vecinos!C88</f>
        <v>Calle Güigüe Nro. 88-51</v>
      </c>
      <c r="C88" s="34" t="str">
        <f>IF(SUMIFS(Vigilancia!$E:$E,Vigilancia!$F:$F,A88,Vigilancia!$J:$J,"Vigilancia")=BA88,"ü","û")</f>
        <v>ü</v>
      </c>
      <c r="D88" s="184"/>
      <c r="E88" s="185">
        <f>5000/100000</f>
        <v>0.05</v>
      </c>
      <c r="F88" s="186">
        <f>5000/100000</f>
        <v>0.05</v>
      </c>
      <c r="G88" s="186">
        <f>7000/100000</f>
        <v>7.0000000000000007E-2</v>
      </c>
      <c r="H88" s="186">
        <f>10000/100000</f>
        <v>0.1</v>
      </c>
      <c r="I88" s="186">
        <f>20000/100000</f>
        <v>0.2</v>
      </c>
      <c r="J88" s="186">
        <f>20000/100000</f>
        <v>0.2</v>
      </c>
      <c r="K88" s="186">
        <f>30000/100000</f>
        <v>0.3</v>
      </c>
      <c r="L88" s="179">
        <f t="shared" si="53"/>
        <v>0.35</v>
      </c>
      <c r="M88" s="179">
        <f t="shared" si="53"/>
        <v>0.35</v>
      </c>
      <c r="N88" s="179">
        <f t="shared" si="53"/>
        <v>0.35</v>
      </c>
      <c r="O88" s="179">
        <f t="shared" si="54"/>
        <v>0.5</v>
      </c>
      <c r="P88" s="177">
        <f t="shared" si="54"/>
        <v>0.5</v>
      </c>
      <c r="Q88" s="181">
        <f t="shared" si="55"/>
        <v>0.8</v>
      </c>
      <c r="R88" s="182">
        <f t="shared" si="55"/>
        <v>0.8</v>
      </c>
      <c r="S88" s="182">
        <f>40000/100000+100000/100000</f>
        <v>1.4</v>
      </c>
      <c r="T88" s="182">
        <f>140000/100000</f>
        <v>1.4</v>
      </c>
      <c r="U88" s="182">
        <f>400000/100000</f>
        <v>4</v>
      </c>
      <c r="V88" s="182">
        <f>625000/100000</f>
        <v>6.25</v>
      </c>
      <c r="W88" s="189">
        <f>1000000/100000</f>
        <v>10</v>
      </c>
      <c r="X88" s="189">
        <v>12</v>
      </c>
      <c r="Y88" s="189">
        <f>0.05+320</f>
        <v>320.05</v>
      </c>
      <c r="Z88" s="182">
        <v>320</v>
      </c>
      <c r="AA88" s="182">
        <v>320</v>
      </c>
      <c r="AB88" s="177">
        <v>800</v>
      </c>
      <c r="AC88" s="374">
        <v>3000</v>
      </c>
      <c r="AD88" s="375">
        <v>3000</v>
      </c>
      <c r="AE88" s="375">
        <v>3000</v>
      </c>
      <c r="AF88" s="375">
        <v>5000</v>
      </c>
      <c r="AG88" s="375">
        <v>8000</v>
      </c>
      <c r="AH88" s="375">
        <v>8000</v>
      </c>
      <c r="AI88" s="375">
        <v>10000</v>
      </c>
      <c r="AJ88" s="375">
        <v>10000</v>
      </c>
      <c r="AK88" s="375">
        <v>23400</v>
      </c>
      <c r="AL88" s="481">
        <f>20300+3000+27965</f>
        <v>51265</v>
      </c>
      <c r="AM88" s="375">
        <v>56250</v>
      </c>
      <c r="AN88" s="376">
        <v>97500</v>
      </c>
      <c r="AO88" s="374">
        <v>136250</v>
      </c>
      <c r="AP88" s="375">
        <v>136250</v>
      </c>
      <c r="AQ88" s="375">
        <v>185250</v>
      </c>
      <c r="AR88" s="375">
        <v>186250</v>
      </c>
      <c r="AS88" s="375">
        <v>250000</v>
      </c>
      <c r="AT88" s="375">
        <v>250000</v>
      </c>
      <c r="AU88" s="375"/>
      <c r="AV88" s="375"/>
      <c r="AW88" s="375"/>
      <c r="AX88" s="375"/>
      <c r="AY88" s="375"/>
      <c r="AZ88" s="376"/>
      <c r="BA88" s="401">
        <f t="shared" si="47"/>
        <v>1424214.72</v>
      </c>
    </row>
    <row r="89" spans="1:53" s="28" customFormat="1" ht="20.100000000000001" customHeight="1">
      <c r="A89" s="29" t="str">
        <f>Vecinos!A89</f>
        <v>Familia Navarro Assing</v>
      </c>
      <c r="B89" s="30" t="str">
        <f>Vecinos!C89</f>
        <v>Calle Güigüe Nro. 88-54</v>
      </c>
      <c r="C89" s="35" t="str">
        <f>IF(SUMIFS(Vigilancia!$E:$E,Vigilancia!$F:$F,A89,Vigilancia!$J:$J,"Vigilancia")=BA89,"ü","û")</f>
        <v>ü</v>
      </c>
      <c r="D89" s="177"/>
      <c r="E89" s="178">
        <f>17000/100000</f>
        <v>0.17</v>
      </c>
      <c r="F89" s="179">
        <f>17000/100000</f>
        <v>0.17</v>
      </c>
      <c r="G89" s="179">
        <f>17000/100000</f>
        <v>0.17</v>
      </c>
      <c r="H89" s="179">
        <f>17000/100000</f>
        <v>0.17</v>
      </c>
      <c r="I89" s="179">
        <f>22000/100000+4000/100000</f>
        <v>0.26</v>
      </c>
      <c r="J89" s="179">
        <f>26000/100000</f>
        <v>0.26</v>
      </c>
      <c r="K89" s="179">
        <f>35000/100000</f>
        <v>0.35</v>
      </c>
      <c r="L89" s="179">
        <f t="shared" si="53"/>
        <v>0.35</v>
      </c>
      <c r="M89" s="179">
        <f t="shared" si="53"/>
        <v>0.35</v>
      </c>
      <c r="N89" s="179">
        <f t="shared" si="53"/>
        <v>0.35</v>
      </c>
      <c r="O89" s="179">
        <f t="shared" si="54"/>
        <v>0.5</v>
      </c>
      <c r="P89" s="177">
        <f t="shared" si="54"/>
        <v>0.5</v>
      </c>
      <c r="Q89" s="181">
        <f t="shared" si="55"/>
        <v>0.8</v>
      </c>
      <c r="R89" s="182">
        <f t="shared" si="55"/>
        <v>0.8</v>
      </c>
      <c r="S89" s="182">
        <f>140000/100000</f>
        <v>1.4</v>
      </c>
      <c r="T89" s="182">
        <f>140000/100000</f>
        <v>1.4</v>
      </c>
      <c r="U89" s="182">
        <f>400000/100000</f>
        <v>4</v>
      </c>
      <c r="V89" s="182">
        <f>400000/100000+250000/100000</f>
        <v>6.5</v>
      </c>
      <c r="W89" s="182">
        <f>1000000/100000</f>
        <v>10</v>
      </c>
      <c r="X89" s="182">
        <v>12</v>
      </c>
      <c r="Y89" s="182">
        <v>320</v>
      </c>
      <c r="Z89" s="182">
        <v>320</v>
      </c>
      <c r="AA89" s="182">
        <v>320</v>
      </c>
      <c r="AB89" s="177">
        <v>800</v>
      </c>
      <c r="AC89" s="379">
        <f>800+2200</f>
        <v>3000</v>
      </c>
      <c r="AD89" s="375">
        <v>3000</v>
      </c>
      <c r="AE89" s="375">
        <v>3000</v>
      </c>
      <c r="AF89" s="375">
        <f>500+4500</f>
        <v>5000</v>
      </c>
      <c r="AG89" s="380">
        <v>8000</v>
      </c>
      <c r="AH89" s="380">
        <f>500+3000+4500</f>
        <v>8000</v>
      </c>
      <c r="AI89" s="375">
        <v>10000</v>
      </c>
      <c r="AJ89" s="375">
        <v>10000</v>
      </c>
      <c r="AK89" s="375">
        <v>21600</v>
      </c>
      <c r="AL89" s="375">
        <f>19800+31450</f>
        <v>51250</v>
      </c>
      <c r="AM89" s="481">
        <f>8550+56000</f>
        <v>64550</v>
      </c>
      <c r="AN89" s="376">
        <v>105500</v>
      </c>
      <c r="AO89" s="379">
        <v>136250</v>
      </c>
      <c r="AP89" s="380">
        <f>7950+73500+50000+5000</f>
        <v>136450</v>
      </c>
      <c r="AQ89" s="375">
        <v>185250</v>
      </c>
      <c r="AR89" s="375">
        <v>185250</v>
      </c>
      <c r="AS89" s="380">
        <v>250000</v>
      </c>
      <c r="AT89" s="380">
        <v>250000</v>
      </c>
      <c r="AU89" s="375">
        <v>320000</v>
      </c>
      <c r="AV89" s="375"/>
      <c r="AW89" s="375"/>
      <c r="AX89" s="375"/>
      <c r="AY89" s="375"/>
      <c r="AZ89" s="376"/>
      <c r="BA89" s="401">
        <f t="shared" si="47"/>
        <v>1757900.5</v>
      </c>
    </row>
    <row r="90" spans="1:53" s="28" customFormat="1" ht="20.100000000000001" customHeight="1">
      <c r="A90" s="32" t="str">
        <f>Vecinos!A90</f>
        <v>Familia Rodríguez Aular</v>
      </c>
      <c r="B90" s="33" t="str">
        <f>Vecinos!C90</f>
        <v>Calle Güigüe Nro. 88-58</v>
      </c>
      <c r="C90" s="34" t="str">
        <f>IF(SUMIFS(Vigilancia!$E:$E,Vigilancia!$F:$F,A90,Vigilancia!$J:$J,"Vigilancia")=BA90,"ü","û")</f>
        <v>ü</v>
      </c>
      <c r="D90" s="184"/>
      <c r="E90" s="185">
        <f>10500/100000</f>
        <v>0.105</v>
      </c>
      <c r="F90" s="186">
        <f>12000/100000</f>
        <v>0.12</v>
      </c>
      <c r="G90" s="186">
        <f>12000/100000</f>
        <v>0.12</v>
      </c>
      <c r="H90" s="186">
        <f>12000/100000</f>
        <v>0.12</v>
      </c>
      <c r="I90" s="186">
        <f>12000/100000</f>
        <v>0.12</v>
      </c>
      <c r="J90" s="186">
        <f>15000/100000</f>
        <v>0.15</v>
      </c>
      <c r="K90" s="186">
        <f>15000/100000</f>
        <v>0.15</v>
      </c>
      <c r="L90" s="186">
        <f>18000/100000</f>
        <v>0.18</v>
      </c>
      <c r="M90" s="186">
        <f>20000/100000</f>
        <v>0.2</v>
      </c>
      <c r="N90" s="186">
        <f>20000/100000</f>
        <v>0.2</v>
      </c>
      <c r="O90" s="186">
        <f>30000/100000</f>
        <v>0.3</v>
      </c>
      <c r="P90" s="184">
        <f>40000/100000</f>
        <v>0.4</v>
      </c>
      <c r="Q90" s="187">
        <f>40000/100000</f>
        <v>0.4</v>
      </c>
      <c r="R90" s="188">
        <f>80000/100000</f>
        <v>0.8</v>
      </c>
      <c r="S90" s="188">
        <f>120000/100000</f>
        <v>1.2</v>
      </c>
      <c r="T90" s="188">
        <f>140000/100000</f>
        <v>1.4</v>
      </c>
      <c r="U90" s="188">
        <f>200000/100000</f>
        <v>2</v>
      </c>
      <c r="V90" s="188">
        <f>400000/100000</f>
        <v>4</v>
      </c>
      <c r="W90" s="188">
        <f>1000000/100000</f>
        <v>10</v>
      </c>
      <c r="X90" s="188">
        <v>12</v>
      </c>
      <c r="Y90" s="353"/>
      <c r="Z90" s="189">
        <v>320</v>
      </c>
      <c r="AA90" s="189">
        <v>320</v>
      </c>
      <c r="AB90" s="342">
        <v>800</v>
      </c>
      <c r="AC90" s="379">
        <f>800+2200</f>
        <v>3000</v>
      </c>
      <c r="AD90" s="380">
        <v>3000</v>
      </c>
      <c r="AE90" s="380">
        <v>3000</v>
      </c>
      <c r="AF90" s="380">
        <v>5000</v>
      </c>
      <c r="AG90" s="380">
        <v>8000</v>
      </c>
      <c r="AH90" s="380">
        <v>8000</v>
      </c>
      <c r="AI90" s="380">
        <v>10000</v>
      </c>
      <c r="AJ90" s="375">
        <v>10000</v>
      </c>
      <c r="AK90" s="375">
        <v>19800</v>
      </c>
      <c r="AL90" s="380">
        <v>51250</v>
      </c>
      <c r="AM90" s="380">
        <v>64500</v>
      </c>
      <c r="AN90" s="385">
        <v>136250</v>
      </c>
      <c r="AO90" s="379">
        <v>136250</v>
      </c>
      <c r="AP90" s="606">
        <f>136250</f>
        <v>136250</v>
      </c>
      <c r="AQ90" s="380">
        <v>185250</v>
      </c>
      <c r="AR90" s="380">
        <f>185250</f>
        <v>185250</v>
      </c>
      <c r="AS90" s="380">
        <v>250000</v>
      </c>
      <c r="AT90" s="380">
        <v>250000</v>
      </c>
      <c r="AU90" s="606">
        <v>250000</v>
      </c>
      <c r="AV90" s="375"/>
      <c r="AW90" s="380"/>
      <c r="AX90" s="380"/>
      <c r="AY90" s="380"/>
      <c r="AZ90" s="385"/>
      <c r="BA90" s="403">
        <f t="shared" si="47"/>
        <v>1716273.9649999999</v>
      </c>
    </row>
    <row r="91" spans="1:53" s="28" customFormat="1" ht="20.100000000000001" customHeight="1">
      <c r="A91" s="29" t="str">
        <f>Vecinos!A91</f>
        <v>Familia Ramírez</v>
      </c>
      <c r="B91" s="30" t="str">
        <f>Vecinos!C91</f>
        <v>Calle Güigüe Nro. 88-61</v>
      </c>
      <c r="C91" s="35" t="str">
        <f>IF(SUMIFS(Vigilancia!$E:$E,Vigilancia!$F:$F,A91,Vigilancia!$J:$J,"Vigilancia")=BA91,"ü","û")</f>
        <v>ü</v>
      </c>
      <c r="D91" s="177"/>
      <c r="E91" s="178"/>
      <c r="F91" s="179"/>
      <c r="G91" s="179"/>
      <c r="H91" s="179"/>
      <c r="I91" s="179"/>
      <c r="J91" s="179"/>
      <c r="K91" s="179"/>
      <c r="L91" s="179"/>
      <c r="M91" s="179"/>
      <c r="N91" s="179"/>
      <c r="O91" s="179"/>
      <c r="P91" s="177"/>
      <c r="Q91" s="181"/>
      <c r="R91" s="182"/>
      <c r="S91" s="182"/>
      <c r="T91" s="182"/>
      <c r="U91" s="182"/>
      <c r="V91" s="182"/>
      <c r="W91" s="182"/>
      <c r="X91" s="182"/>
      <c r="Y91" s="182"/>
      <c r="Z91" s="182"/>
      <c r="AA91" s="182"/>
      <c r="AB91" s="177"/>
      <c r="AC91" s="374"/>
      <c r="AD91" s="375"/>
      <c r="AE91" s="375"/>
      <c r="AF91" s="375"/>
      <c r="AG91" s="375"/>
      <c r="AH91" s="375"/>
      <c r="AI91" s="375"/>
      <c r="AJ91" s="375"/>
      <c r="AK91" s="375"/>
      <c r="AL91" s="375"/>
      <c r="AM91" s="375"/>
      <c r="AN91" s="376"/>
      <c r="AO91" s="374"/>
      <c r="AP91" s="375"/>
      <c r="AQ91" s="375"/>
      <c r="AR91" s="375"/>
      <c r="AS91" s="375"/>
      <c r="AT91" s="375"/>
      <c r="AU91" s="375"/>
      <c r="AV91" s="375"/>
      <c r="AW91" s="375"/>
      <c r="AX91" s="375"/>
      <c r="AY91" s="375"/>
      <c r="AZ91" s="376"/>
      <c r="BA91" s="401">
        <f t="shared" si="47"/>
        <v>0</v>
      </c>
    </row>
    <row r="92" spans="1:53" s="28" customFormat="1" ht="20.100000000000001" customHeight="1">
      <c r="A92" s="32" t="str">
        <f>Vecinos!A92</f>
        <v>Familia Martínez Boada</v>
      </c>
      <c r="B92" s="33" t="str">
        <f>Vecinos!C92</f>
        <v>Calle Güigüe Nro. 88-62</v>
      </c>
      <c r="C92" s="34" t="str">
        <f>IF(SUMIFS(Vigilancia!$E:$E,Vigilancia!$F:$F,A92,Vigilancia!$J:$J,"Vigilancia")=BA92,"ü","û")</f>
        <v>ü</v>
      </c>
      <c r="D92" s="184"/>
      <c r="E92" s="185">
        <f>10500/100000+6500/100000</f>
        <v>0.16999999999999998</v>
      </c>
      <c r="F92" s="186">
        <f>13613/100000+3387/100000</f>
        <v>0.16999999999999998</v>
      </c>
      <c r="G92" s="186">
        <f>17000/100000</f>
        <v>0.17</v>
      </c>
      <c r="H92" s="186">
        <f>17000/100000</f>
        <v>0.17</v>
      </c>
      <c r="I92" s="186">
        <f>26000/100000</f>
        <v>0.26</v>
      </c>
      <c r="J92" s="186">
        <f>26000/100000</f>
        <v>0.26</v>
      </c>
      <c r="K92" s="186">
        <f>35000/100000</f>
        <v>0.35</v>
      </c>
      <c r="L92" s="186">
        <f>35000/100000</f>
        <v>0.35</v>
      </c>
      <c r="M92" s="191" t="s">
        <v>490</v>
      </c>
      <c r="N92" s="191" t="s">
        <v>490</v>
      </c>
      <c r="O92" s="191" t="s">
        <v>490</v>
      </c>
      <c r="P92" s="448" t="s">
        <v>490</v>
      </c>
      <c r="Q92" s="187">
        <f>75000/100000</f>
        <v>0.75</v>
      </c>
      <c r="R92" s="188">
        <f>75000/100000</f>
        <v>0.75</v>
      </c>
      <c r="S92" s="188">
        <f>100000/100000</f>
        <v>1</v>
      </c>
      <c r="T92" s="188">
        <f>100000/100000</f>
        <v>1</v>
      </c>
      <c r="U92" s="188">
        <f>100000/100000</f>
        <v>1</v>
      </c>
      <c r="V92" s="188">
        <f>600000/100000</f>
        <v>6</v>
      </c>
      <c r="W92" s="188">
        <f>600000/100000</f>
        <v>6</v>
      </c>
      <c r="X92" s="188">
        <v>12</v>
      </c>
      <c r="Y92" s="188">
        <v>320</v>
      </c>
      <c r="Z92" s="188">
        <f>350-320-12+250</f>
        <v>268</v>
      </c>
      <c r="AA92" s="188">
        <v>320</v>
      </c>
      <c r="AB92" s="184">
        <v>680</v>
      </c>
      <c r="AC92" s="371">
        <v>2000</v>
      </c>
      <c r="AD92" s="372">
        <v>2000</v>
      </c>
      <c r="AE92" s="372">
        <v>3000</v>
      </c>
      <c r="AF92" s="372">
        <v>3000</v>
      </c>
      <c r="AG92" s="372">
        <v>8000</v>
      </c>
      <c r="AH92" s="372">
        <v>8000</v>
      </c>
      <c r="AI92" s="372">
        <v>10000</v>
      </c>
      <c r="AJ92" s="372">
        <v>10000</v>
      </c>
      <c r="AK92" s="372">
        <v>21100</v>
      </c>
      <c r="AL92" s="372">
        <v>32500</v>
      </c>
      <c r="AM92" s="372">
        <v>32500</v>
      </c>
      <c r="AN92" s="373">
        <v>32500</v>
      </c>
      <c r="AO92" s="371">
        <v>136250</v>
      </c>
      <c r="AP92" s="372">
        <f>8750+100000</f>
        <v>108750</v>
      </c>
      <c r="AQ92" s="372">
        <v>100000</v>
      </c>
      <c r="AR92" s="372">
        <v>250000</v>
      </c>
      <c r="AS92" s="372"/>
      <c r="AT92" s="372"/>
      <c r="AU92" s="372"/>
      <c r="AV92" s="372"/>
      <c r="AW92" s="372"/>
      <c r="AX92" s="372"/>
      <c r="AY92" s="372"/>
      <c r="AZ92" s="373"/>
      <c r="BA92" s="400">
        <f t="shared" si="47"/>
        <v>761218.4</v>
      </c>
    </row>
    <row r="93" spans="1:53" s="28" customFormat="1" ht="20.100000000000001" customHeight="1">
      <c r="A93" s="29" t="str">
        <f>Vecinos!A93</f>
        <v>Familia Gascón Domínguez</v>
      </c>
      <c r="B93" s="30" t="str">
        <f>Vecinos!C93</f>
        <v>Calle Güigüe Nro. 88-70</v>
      </c>
      <c r="C93" s="35" t="str">
        <f>IF(SUMIFS(Vigilancia!$E:$E,Vigilancia!$F:$F,A93,Vigilancia!$J:$J,"Vigilancia")=BA93,"ü","û")</f>
        <v>ü</v>
      </c>
      <c r="D93" s="184"/>
      <c r="E93" s="185">
        <f>10000/100000</f>
        <v>0.1</v>
      </c>
      <c r="F93" s="186">
        <f>10000/100000</f>
        <v>0.1</v>
      </c>
      <c r="G93" s="186">
        <f>10000/100000</f>
        <v>0.1</v>
      </c>
      <c r="H93" s="179">
        <f>17000/100000</f>
        <v>0.17</v>
      </c>
      <c r="I93" s="179">
        <f>26000/100000</f>
        <v>0.26</v>
      </c>
      <c r="J93" s="179">
        <f>26000/100000</f>
        <v>0.26</v>
      </c>
      <c r="K93" s="179">
        <f>35000/100000</f>
        <v>0.35</v>
      </c>
      <c r="L93" s="179">
        <f>35000/100000</f>
        <v>0.35</v>
      </c>
      <c r="M93" s="179">
        <f>35000/100000</f>
        <v>0.35</v>
      </c>
      <c r="N93" s="179">
        <f>35000/100000</f>
        <v>0.35</v>
      </c>
      <c r="O93" s="179">
        <f>50000/100000</f>
        <v>0.5</v>
      </c>
      <c r="P93" s="177">
        <f>50000/100000</f>
        <v>0.5</v>
      </c>
      <c r="Q93" s="181">
        <f>80000/100000</f>
        <v>0.8</v>
      </c>
      <c r="R93" s="182">
        <f>80000/100000</f>
        <v>0.8</v>
      </c>
      <c r="S93" s="182">
        <f>140000/100000</f>
        <v>1.4</v>
      </c>
      <c r="T93" s="182">
        <f>140000/100000</f>
        <v>1.4</v>
      </c>
      <c r="U93" s="182">
        <f>400000/100000</f>
        <v>4</v>
      </c>
      <c r="V93" s="182">
        <f>625000/100000</f>
        <v>6.25</v>
      </c>
      <c r="W93" s="182">
        <f>1000000/100000</f>
        <v>10</v>
      </c>
      <c r="X93" s="182">
        <v>12</v>
      </c>
      <c r="Y93" s="182">
        <v>320</v>
      </c>
      <c r="Z93" s="182">
        <v>320</v>
      </c>
      <c r="AA93" s="182">
        <v>320</v>
      </c>
      <c r="AB93" s="177">
        <v>800</v>
      </c>
      <c r="AC93" s="374">
        <v>3000</v>
      </c>
      <c r="AD93" s="375">
        <v>3000</v>
      </c>
      <c r="AE93" s="380">
        <v>3000</v>
      </c>
      <c r="AF93" s="375">
        <v>5000</v>
      </c>
      <c r="AG93" s="375">
        <v>8000</v>
      </c>
      <c r="AH93" s="375">
        <v>8000</v>
      </c>
      <c r="AI93" s="375">
        <f>8000+2000</f>
        <v>10000</v>
      </c>
      <c r="AJ93" s="375">
        <v>10000</v>
      </c>
      <c r="AK93" s="375">
        <v>21600</v>
      </c>
      <c r="AL93" s="375">
        <f>19800+31450</f>
        <v>51250</v>
      </c>
      <c r="AM93" s="380">
        <v>64500</v>
      </c>
      <c r="AN93" s="376">
        <v>105250</v>
      </c>
      <c r="AO93" s="374">
        <v>136250</v>
      </c>
      <c r="AP93" s="375">
        <v>136250</v>
      </c>
      <c r="AQ93" s="380">
        <v>185250</v>
      </c>
      <c r="AR93" s="380">
        <v>185250</v>
      </c>
      <c r="AS93" s="375">
        <v>250000</v>
      </c>
      <c r="AT93" s="375">
        <v>250000</v>
      </c>
      <c r="AU93" s="375">
        <v>320000</v>
      </c>
      <c r="AV93" s="375"/>
      <c r="AW93" s="375"/>
      <c r="AX93" s="375"/>
      <c r="AY93" s="375"/>
      <c r="AZ93" s="376"/>
      <c r="BA93" s="401">
        <f t="shared" si="47"/>
        <v>1757400.04</v>
      </c>
    </row>
    <row r="94" spans="1:53" s="28" customFormat="1" ht="20.100000000000001" customHeight="1">
      <c r="A94" s="29" t="str">
        <f>Vecinos!A94</f>
        <v>Colegio El Trigal</v>
      </c>
      <c r="B94" s="30" t="str">
        <f>Vecinos!C94</f>
        <v>Calle Güigüe Nros. 88-71 y 88-81</v>
      </c>
      <c r="C94" s="35" t="str">
        <f>IF(SUMIFS(Vigilancia!$E:$E,Vigilancia!$F:$F,A94,Vigilancia!$J:$J,"Vigilancia")=BA94,"ü","û")</f>
        <v>ü</v>
      </c>
      <c r="D94" s="177"/>
      <c r="E94" s="178">
        <f>10000/100000+20000/100000</f>
        <v>0.30000000000000004</v>
      </c>
      <c r="F94" s="179">
        <f>30000/100000</f>
        <v>0.3</v>
      </c>
      <c r="G94" s="179">
        <f>30000/100000</f>
        <v>0.3</v>
      </c>
      <c r="H94" s="179">
        <f>30000/100000</f>
        <v>0.3</v>
      </c>
      <c r="I94" s="179">
        <f>40000/100000</f>
        <v>0.4</v>
      </c>
      <c r="J94" s="179">
        <f>40000/100000</f>
        <v>0.4</v>
      </c>
      <c r="K94" s="179">
        <f>54000/100000</f>
        <v>0.54</v>
      </c>
      <c r="L94" s="179">
        <f>54000/100000</f>
        <v>0.54</v>
      </c>
      <c r="M94" s="179">
        <f>54000/100000</f>
        <v>0.54</v>
      </c>
      <c r="N94" s="179">
        <f>54000/100000</f>
        <v>0.54</v>
      </c>
      <c r="O94" s="179">
        <f>71000/100000</f>
        <v>0.71</v>
      </c>
      <c r="P94" s="177">
        <f>71000/100000</f>
        <v>0.71</v>
      </c>
      <c r="Q94" s="181">
        <f>113600/100000</f>
        <v>1.1359999999999999</v>
      </c>
      <c r="R94" s="182">
        <f>113600/100000</f>
        <v>1.1359999999999999</v>
      </c>
      <c r="S94" s="182">
        <f>200000/100000</f>
        <v>2</v>
      </c>
      <c r="T94" s="182">
        <f>200000/100000</f>
        <v>2</v>
      </c>
      <c r="U94" s="182">
        <f>580000/100000</f>
        <v>5.8</v>
      </c>
      <c r="V94" s="182">
        <f>905000/100000</f>
        <v>9.0500000000000007</v>
      </c>
      <c r="W94" s="182">
        <f>1450000/100000</f>
        <v>14.5</v>
      </c>
      <c r="X94" s="182">
        <f>1740000/100000</f>
        <v>17.399999999999999</v>
      </c>
      <c r="Y94" s="182">
        <v>465</v>
      </c>
      <c r="Z94" s="182">
        <v>465</v>
      </c>
      <c r="AA94" s="182">
        <v>465</v>
      </c>
      <c r="AB94" s="177">
        <v>1160</v>
      </c>
      <c r="AC94" s="374">
        <f>1160+3190</f>
        <v>4350</v>
      </c>
      <c r="AD94" s="375">
        <v>4350</v>
      </c>
      <c r="AE94" s="375">
        <v>4350</v>
      </c>
      <c r="AF94" s="375">
        <f>4350+2900</f>
        <v>7250</v>
      </c>
      <c r="AG94" s="375">
        <v>11600</v>
      </c>
      <c r="AH94" s="375">
        <v>11600</v>
      </c>
      <c r="AI94" s="375">
        <v>14500</v>
      </c>
      <c r="AJ94" s="380">
        <v>14500</v>
      </c>
      <c r="AK94" s="375">
        <v>29725</v>
      </c>
      <c r="AL94" s="375">
        <f>29435+38715</f>
        <v>68150</v>
      </c>
      <c r="AM94" s="375">
        <v>118540</v>
      </c>
      <c r="AN94" s="376">
        <v>141375</v>
      </c>
      <c r="AO94" s="374">
        <v>197575</v>
      </c>
      <c r="AP94" s="375">
        <v>197575</v>
      </c>
      <c r="AQ94" s="375">
        <f>265615+3000</f>
        <v>268615</v>
      </c>
      <c r="AR94" s="375">
        <v>268615</v>
      </c>
      <c r="AS94" s="375">
        <v>362500</v>
      </c>
      <c r="AT94" s="375">
        <v>362500</v>
      </c>
      <c r="AU94" s="375"/>
      <c r="AV94" s="380"/>
      <c r="AW94" s="375"/>
      <c r="AX94" s="375"/>
      <c r="AY94" s="375"/>
      <c r="AZ94" s="376"/>
      <c r="BA94" s="401">
        <f t="shared" si="47"/>
        <v>2090283.602</v>
      </c>
    </row>
    <row r="95" spans="1:53" s="28" customFormat="1" ht="20.100000000000001" customHeight="1">
      <c r="A95" s="32" t="str">
        <f>Vecinos!A95</f>
        <v>Zoraida Khair</v>
      </c>
      <c r="B95" s="33" t="str">
        <f>Vecinos!C95</f>
        <v>Calle Güigüe Nro. 88-80</v>
      </c>
      <c r="C95" s="34" t="str">
        <f>IF(SUMIFS(Vigilancia!$E:$E,Vigilancia!$F:$F,A95,Vigilancia!$J:$J,"Vigilancia")=BA95,"ü","û")</f>
        <v>ü</v>
      </c>
      <c r="D95" s="184"/>
      <c r="E95" s="185"/>
      <c r="F95" s="186">
        <f>6000/100000</f>
        <v>0.06</v>
      </c>
      <c r="G95" s="186"/>
      <c r="H95" s="186"/>
      <c r="I95" s="186">
        <f>10000/100000</f>
        <v>0.1</v>
      </c>
      <c r="J95" s="186">
        <f>25000/100000</f>
        <v>0.25</v>
      </c>
      <c r="K95" s="186">
        <f>25000/100000</f>
        <v>0.25</v>
      </c>
      <c r="L95" s="186">
        <f>25000/100000</f>
        <v>0.25</v>
      </c>
      <c r="M95" s="186">
        <f>25000/100000</f>
        <v>0.25</v>
      </c>
      <c r="N95" s="186">
        <f>40000/100000</f>
        <v>0.4</v>
      </c>
      <c r="O95" s="186">
        <f>40000/100000</f>
        <v>0.4</v>
      </c>
      <c r="P95" s="184">
        <f>40000/100000</f>
        <v>0.4</v>
      </c>
      <c r="Q95" s="187">
        <f>100000/100000</f>
        <v>1</v>
      </c>
      <c r="R95" s="188">
        <f>100000/100000</f>
        <v>1</v>
      </c>
      <c r="S95" s="188">
        <f>100000/100000</f>
        <v>1</v>
      </c>
      <c r="T95" s="188">
        <f>100000/100000</f>
        <v>1</v>
      </c>
      <c r="U95" s="188">
        <f>400000/100000</f>
        <v>4</v>
      </c>
      <c r="V95" s="188">
        <f>625000/100000</f>
        <v>6.25</v>
      </c>
      <c r="W95" s="188">
        <f>1000000/100000</f>
        <v>10</v>
      </c>
      <c r="X95" s="188">
        <f>400000/100000+800000/100000</f>
        <v>12</v>
      </c>
      <c r="Y95" s="188">
        <f>400000/100000+316</f>
        <v>320</v>
      </c>
      <c r="Z95" s="188">
        <v>320</v>
      </c>
      <c r="AA95" s="188">
        <v>320</v>
      </c>
      <c r="AB95" s="184">
        <v>800</v>
      </c>
      <c r="AC95" s="371">
        <v>3000</v>
      </c>
      <c r="AD95" s="372">
        <v>3000</v>
      </c>
      <c r="AE95" s="372">
        <f>345.55+2020</f>
        <v>2365.5500000000002</v>
      </c>
      <c r="AF95" s="372">
        <v>5000</v>
      </c>
      <c r="AG95" s="372">
        <f>4000+4000</f>
        <v>8000</v>
      </c>
      <c r="AH95" s="372">
        <v>8000</v>
      </c>
      <c r="AI95" s="372">
        <v>8000</v>
      </c>
      <c r="AJ95" s="372">
        <v>10000</v>
      </c>
      <c r="AK95" s="372">
        <f>10000+13000</f>
        <v>23000</v>
      </c>
      <c r="AL95" s="372">
        <f>10000+11000+23000+7250</f>
        <v>51250</v>
      </c>
      <c r="AM95" s="372">
        <f>13000+18000+21000</f>
        <v>52000</v>
      </c>
      <c r="AN95" s="373">
        <f>20000+20000</f>
        <v>40000</v>
      </c>
      <c r="AO95" s="371">
        <f>30000+107000</f>
        <v>137000</v>
      </c>
      <c r="AP95" s="372">
        <f>100000+80000+5250</f>
        <v>185250</v>
      </c>
      <c r="AQ95" s="372">
        <v>185250</v>
      </c>
      <c r="AR95" s="372">
        <v>185250</v>
      </c>
      <c r="AS95" s="372">
        <f>14750+235250</f>
        <v>250000</v>
      </c>
      <c r="AT95" s="372">
        <v>250000</v>
      </c>
      <c r="AU95" s="372"/>
      <c r="AV95" s="372"/>
      <c r="AW95" s="372"/>
      <c r="AX95" s="372"/>
      <c r="AY95" s="372"/>
      <c r="AZ95" s="373"/>
      <c r="BA95" s="400">
        <f t="shared" si="47"/>
        <v>1408164.1600000001</v>
      </c>
    </row>
    <row r="96" spans="1:53" s="28" customFormat="1" ht="20.100000000000001" customHeight="1">
      <c r="A96" s="29" t="str">
        <f>Vecinos!A96</f>
        <v>Familia Matta Palomino</v>
      </c>
      <c r="B96" s="30" t="str">
        <f>Vecinos!C96</f>
        <v>Calle Güigüe Nro. 88-90</v>
      </c>
      <c r="C96" s="35" t="str">
        <f>IF(SUMIFS(Vigilancia!$E:$E,Vigilancia!$F:$F,A96,Vigilancia!$J:$J,"Vigilancia")=BA96,"ü","û")</f>
        <v>ü</v>
      </c>
      <c r="D96" s="177"/>
      <c r="E96" s="178">
        <f>17000/100000</f>
        <v>0.17</v>
      </c>
      <c r="F96" s="179">
        <f>17000/100000</f>
        <v>0.17</v>
      </c>
      <c r="G96" s="180">
        <f>16000/100000</f>
        <v>0.16</v>
      </c>
      <c r="H96" s="180">
        <f>16000/100000</f>
        <v>0.16</v>
      </c>
      <c r="I96" s="179">
        <f>26000/100000</f>
        <v>0.26</v>
      </c>
      <c r="J96" s="179">
        <f>26000/100000</f>
        <v>0.26</v>
      </c>
      <c r="K96" s="179">
        <f>35000/100000</f>
        <v>0.35</v>
      </c>
      <c r="L96" s="179">
        <f>35000/100000</f>
        <v>0.35</v>
      </c>
      <c r="M96" s="179">
        <f>2000/100000+33000/100000</f>
        <v>0.35000000000000003</v>
      </c>
      <c r="N96" s="179">
        <f>35000/100000</f>
        <v>0.35</v>
      </c>
      <c r="O96" s="179">
        <f>50000/100000</f>
        <v>0.5</v>
      </c>
      <c r="P96" s="177">
        <f>50000/100000</f>
        <v>0.5</v>
      </c>
      <c r="Q96" s="181">
        <f>80000/100000</f>
        <v>0.8</v>
      </c>
      <c r="R96" s="182">
        <f>80000/100000</f>
        <v>0.8</v>
      </c>
      <c r="S96" s="182">
        <f>140000/100000</f>
        <v>1.4</v>
      </c>
      <c r="T96" s="182">
        <f>140000/100000</f>
        <v>1.4</v>
      </c>
      <c r="U96" s="182">
        <f>400000/100000</f>
        <v>4</v>
      </c>
      <c r="V96" s="182">
        <f>625000/100000</f>
        <v>6.25</v>
      </c>
      <c r="W96" s="182">
        <f>850000/100000+150000/100000</f>
        <v>10</v>
      </c>
      <c r="X96" s="182">
        <f>1200000/100000</f>
        <v>12</v>
      </c>
      <c r="Y96" s="182">
        <v>320</v>
      </c>
      <c r="Z96" s="182">
        <v>320</v>
      </c>
      <c r="AA96" s="182">
        <v>320</v>
      </c>
      <c r="AB96" s="177">
        <v>800</v>
      </c>
      <c r="AC96" s="374">
        <v>3000</v>
      </c>
      <c r="AD96" s="375">
        <v>3000</v>
      </c>
      <c r="AE96" s="375">
        <v>3000</v>
      </c>
      <c r="AF96" s="375">
        <v>5000</v>
      </c>
      <c r="AG96" s="375">
        <v>8000</v>
      </c>
      <c r="AH96" s="375">
        <v>8000</v>
      </c>
      <c r="AI96" s="375">
        <v>10000</v>
      </c>
      <c r="AJ96" s="375">
        <v>10000</v>
      </c>
      <c r="AK96" s="375">
        <v>21100</v>
      </c>
      <c r="AL96" s="375">
        <f>19800+36450+3550</f>
        <v>59800</v>
      </c>
      <c r="AM96" s="375">
        <v>97500</v>
      </c>
      <c r="AN96" s="376">
        <v>136250</v>
      </c>
      <c r="AO96" s="374">
        <v>136250</v>
      </c>
      <c r="AP96" s="375">
        <v>185250</v>
      </c>
      <c r="AQ96" s="375">
        <v>185250</v>
      </c>
      <c r="AR96" s="375">
        <v>185250</v>
      </c>
      <c r="AS96" s="375">
        <v>250000</v>
      </c>
      <c r="AT96" s="375">
        <v>250000</v>
      </c>
      <c r="AU96" s="375"/>
      <c r="AV96" s="375"/>
      <c r="AW96" s="375"/>
      <c r="AX96" s="375"/>
      <c r="AY96" s="375"/>
      <c r="AZ96" s="376"/>
      <c r="BA96" s="401">
        <f t="shared" si="47"/>
        <v>1558450.23</v>
      </c>
    </row>
    <row r="97" spans="1:53" s="28" customFormat="1" ht="20.100000000000001" customHeight="1">
      <c r="A97" s="29" t="str">
        <f>Vecinos!A97</f>
        <v>Familia Castillo Rodríguez</v>
      </c>
      <c r="B97" s="30" t="str">
        <f>Vecinos!C97</f>
        <v>Calle Güigüe Nro. 88-91</v>
      </c>
      <c r="C97" s="35" t="str">
        <f>IF(SUMIFS(Vigilancia!$E:$E,Vigilancia!$F:$F,A97,Vigilancia!$J:$J,"Vigilancia")=BA97,"ü","û")</f>
        <v>ü</v>
      </c>
      <c r="D97" s="177"/>
      <c r="E97" s="178">
        <f>17000/100000</f>
        <v>0.17</v>
      </c>
      <c r="F97" s="179">
        <f>17000/100000</f>
        <v>0.17</v>
      </c>
      <c r="G97" s="223"/>
      <c r="H97" s="223"/>
      <c r="I97" s="179">
        <f>26000/100000</f>
        <v>0.26</v>
      </c>
      <c r="J97" s="179">
        <f>26000/100000</f>
        <v>0.26</v>
      </c>
      <c r="K97" s="224">
        <f>26000/100000</f>
        <v>0.26</v>
      </c>
      <c r="L97" s="179"/>
      <c r="M97" s="179"/>
      <c r="N97" s="179"/>
      <c r="O97" s="179"/>
      <c r="P97" s="177"/>
      <c r="Q97" s="181"/>
      <c r="R97" s="182"/>
      <c r="S97" s="182"/>
      <c r="T97" s="182"/>
      <c r="U97" s="182"/>
      <c r="V97" s="182"/>
      <c r="W97" s="182"/>
      <c r="X97" s="182"/>
      <c r="Y97" s="182"/>
      <c r="Z97" s="182"/>
      <c r="AA97" s="182"/>
      <c r="AB97" s="177"/>
      <c r="AC97" s="374"/>
      <c r="AD97" s="375"/>
      <c r="AE97" s="375"/>
      <c r="AF97" s="375"/>
      <c r="AG97" s="375"/>
      <c r="AH97" s="375"/>
      <c r="AI97" s="375"/>
      <c r="AJ97" s="375"/>
      <c r="AK97" s="375"/>
      <c r="AL97" s="375">
        <v>159299</v>
      </c>
      <c r="AM97" s="375">
        <v>81750</v>
      </c>
      <c r="AN97" s="376"/>
      <c r="AO97" s="374"/>
      <c r="AP97" s="375"/>
      <c r="AQ97" s="375"/>
      <c r="AR97" s="375"/>
      <c r="AS97" s="375"/>
      <c r="AT97" s="375"/>
      <c r="AU97" s="375"/>
      <c r="AV97" s="375"/>
      <c r="AW97" s="375"/>
      <c r="AX97" s="375"/>
      <c r="AY97" s="375"/>
      <c r="AZ97" s="376"/>
      <c r="BA97" s="401">
        <f t="shared" si="47"/>
        <v>241050.12</v>
      </c>
    </row>
    <row r="98" spans="1:53" s="28" customFormat="1" ht="20.100000000000001" customHeight="1">
      <c r="A98" s="29" t="str">
        <f>Vecinos!A98</f>
        <v>Familia Hernández Castillo</v>
      </c>
      <c r="B98" s="30" t="str">
        <f>Vecinos!C98</f>
        <v>Calle Güigüe Nro. 88-94</v>
      </c>
      <c r="C98" s="35" t="str">
        <f>IF(SUMIFS(Vigilancia!$E:$E,Vigilancia!$F:$F,A98,Vigilancia!$J:$J,"Vigilancia")=BA98,"ü","û")</f>
        <v>ü</v>
      </c>
      <c r="D98" s="177"/>
      <c r="E98" s="178"/>
      <c r="F98" s="179"/>
      <c r="G98" s="179"/>
      <c r="H98" s="179"/>
      <c r="I98" s="179"/>
      <c r="J98" s="179"/>
      <c r="K98" s="179"/>
      <c r="L98" s="179"/>
      <c r="M98" s="179"/>
      <c r="N98" s="179"/>
      <c r="O98" s="179"/>
      <c r="P98" s="177"/>
      <c r="Q98" s="181"/>
      <c r="R98" s="182"/>
      <c r="S98" s="182"/>
      <c r="T98" s="182"/>
      <c r="U98" s="182"/>
      <c r="V98" s="182"/>
      <c r="W98" s="182"/>
      <c r="X98" s="182"/>
      <c r="Y98" s="182"/>
      <c r="Z98" s="182"/>
      <c r="AA98" s="182"/>
      <c r="AB98" s="177"/>
      <c r="AC98" s="374"/>
      <c r="AD98" s="375"/>
      <c r="AE98" s="375"/>
      <c r="AF98" s="375"/>
      <c r="AG98" s="375"/>
      <c r="AH98" s="375"/>
      <c r="AI98" s="375"/>
      <c r="AJ98" s="375"/>
      <c r="AK98" s="375"/>
      <c r="AL98" s="375"/>
      <c r="AM98" s="375"/>
      <c r="AN98" s="376"/>
      <c r="AO98" s="374"/>
      <c r="AP98" s="375"/>
      <c r="AQ98" s="375"/>
      <c r="AR98" s="375"/>
      <c r="AS98" s="375"/>
      <c r="AT98" s="375"/>
      <c r="AU98" s="375"/>
      <c r="AV98" s="375"/>
      <c r="AW98" s="375"/>
      <c r="AX98" s="375"/>
      <c r="AY98" s="375"/>
      <c r="AZ98" s="376"/>
      <c r="BA98" s="401">
        <f t="shared" si="47"/>
        <v>0</v>
      </c>
    </row>
    <row r="99" spans="1:53" s="28" customFormat="1" ht="20.100000000000001" customHeight="1">
      <c r="A99" s="29" t="str">
        <f>Vecinos!A99</f>
        <v>Familia Castillo Mena</v>
      </c>
      <c r="B99" s="30" t="str">
        <f>Vecinos!C99</f>
        <v>Calle Güigüe Nro. 88-101</v>
      </c>
      <c r="C99" s="35" t="str">
        <f>IF(SUMIFS(Vigilancia!$E:$E,Vigilancia!$F:$F,A99,Vigilancia!$J:$J,"Vigilancia")=BA99,"ü","û")</f>
        <v>ü</v>
      </c>
      <c r="D99" s="177"/>
      <c r="E99" s="178">
        <f>17000/100000</f>
        <v>0.17</v>
      </c>
      <c r="F99" s="179">
        <f>17000/100000</f>
        <v>0.17</v>
      </c>
      <c r="G99" s="179">
        <f>17000/100000</f>
        <v>0.17</v>
      </c>
      <c r="H99" s="179">
        <f>17000/100000</f>
        <v>0.17</v>
      </c>
      <c r="I99" s="179">
        <f>26000/100000</f>
        <v>0.26</v>
      </c>
      <c r="J99" s="179">
        <f>26000/100000</f>
        <v>0.26</v>
      </c>
      <c r="K99" s="179">
        <f>35000/100000</f>
        <v>0.35</v>
      </c>
      <c r="L99" s="179">
        <f>35000/100000</f>
        <v>0.35</v>
      </c>
      <c r="M99" s="179">
        <f>35000/100000</f>
        <v>0.35</v>
      </c>
      <c r="N99" s="179">
        <f>35000/100000</f>
        <v>0.35</v>
      </c>
      <c r="O99" s="179">
        <f>50000/100000</f>
        <v>0.5</v>
      </c>
      <c r="P99" s="177">
        <f>50000/100000</f>
        <v>0.5</v>
      </c>
      <c r="Q99" s="181">
        <f>80000/100000</f>
        <v>0.8</v>
      </c>
      <c r="R99" s="182">
        <f>80000/100000</f>
        <v>0.8</v>
      </c>
      <c r="S99" s="182">
        <f>140000/100000</f>
        <v>1.4</v>
      </c>
      <c r="T99" s="182">
        <f>140000/100000</f>
        <v>1.4</v>
      </c>
      <c r="U99" s="182">
        <f>400000/100000</f>
        <v>4</v>
      </c>
      <c r="V99" s="182">
        <f>625000/100000</f>
        <v>6.25</v>
      </c>
      <c r="W99" s="189">
        <f>1075000/100000-625000/100000+550000/100000</f>
        <v>10</v>
      </c>
      <c r="X99" s="182">
        <v>12</v>
      </c>
      <c r="Y99" s="182">
        <v>320</v>
      </c>
      <c r="Z99" s="182">
        <v>320</v>
      </c>
      <c r="AA99" s="182">
        <v>320</v>
      </c>
      <c r="AB99" s="177">
        <v>800</v>
      </c>
      <c r="AC99" s="379">
        <f>800+2200</f>
        <v>3000</v>
      </c>
      <c r="AD99" s="375">
        <v>3000</v>
      </c>
      <c r="AE99" s="375">
        <v>3000</v>
      </c>
      <c r="AF99" s="375">
        <v>5000</v>
      </c>
      <c r="AG99" s="375">
        <v>8000</v>
      </c>
      <c r="AH99" s="375">
        <v>8000</v>
      </c>
      <c r="AI99" s="375">
        <v>10000</v>
      </c>
      <c r="AJ99" s="375">
        <v>10000</v>
      </c>
      <c r="AK99" s="375">
        <v>21100</v>
      </c>
      <c r="AL99" s="375">
        <v>51250</v>
      </c>
      <c r="AM99" s="375">
        <v>81750</v>
      </c>
      <c r="AN99" s="376">
        <v>105250</v>
      </c>
      <c r="AO99" s="379">
        <v>136250</v>
      </c>
      <c r="AP99" s="375">
        <v>136250</v>
      </c>
      <c r="AQ99" s="375">
        <v>185250</v>
      </c>
      <c r="AR99" s="375">
        <v>185250</v>
      </c>
      <c r="AS99" s="375">
        <v>250000</v>
      </c>
      <c r="AT99" s="375">
        <v>250000</v>
      </c>
      <c r="AU99" s="375"/>
      <c r="AV99" s="375"/>
      <c r="AW99" s="375"/>
      <c r="AX99" s="375"/>
      <c r="AY99" s="375"/>
      <c r="AZ99" s="376"/>
      <c r="BA99" s="401">
        <f t="shared" si="47"/>
        <v>1454150.25</v>
      </c>
    </row>
    <row r="100" spans="1:53" s="28" customFormat="1" ht="20.100000000000001" customHeight="1">
      <c r="A100" s="29" t="str">
        <f>Vecinos!A100</f>
        <v>Familia Centeno Rizzo</v>
      </c>
      <c r="B100" s="30" t="str">
        <f>Vecinos!C100</f>
        <v>Calle Güigüe Nro. 88-102</v>
      </c>
      <c r="C100" s="35" t="str">
        <f>IF(SUMIFS(Vigilancia!$E:$E,Vigilancia!$F:$F,A100,Vigilancia!$J:$J,"Vigilancia")=BA100,"ü","û")</f>
        <v>ü</v>
      </c>
      <c r="D100" s="177"/>
      <c r="E100" s="178"/>
      <c r="F100" s="179"/>
      <c r="G100" s="179"/>
      <c r="H100" s="179"/>
      <c r="I100" s="179"/>
      <c r="J100" s="179"/>
      <c r="K100" s="179"/>
      <c r="L100" s="179"/>
      <c r="M100" s="179"/>
      <c r="N100" s="179"/>
      <c r="O100" s="179"/>
      <c r="P100" s="177"/>
      <c r="Q100" s="181"/>
      <c r="R100" s="182"/>
      <c r="S100" s="182"/>
      <c r="T100" s="182"/>
      <c r="U100" s="182"/>
      <c r="V100" s="182"/>
      <c r="W100" s="182"/>
      <c r="X100" s="182"/>
      <c r="Y100" s="182"/>
      <c r="Z100" s="182"/>
      <c r="AA100" s="182"/>
      <c r="AB100" s="177"/>
      <c r="AC100" s="374"/>
      <c r="AD100" s="375"/>
      <c r="AE100" s="375"/>
      <c r="AF100" s="375"/>
      <c r="AG100" s="375"/>
      <c r="AH100" s="375"/>
      <c r="AI100" s="375"/>
      <c r="AJ100" s="375"/>
      <c r="AK100" s="375"/>
      <c r="AL100" s="375"/>
      <c r="AM100" s="375"/>
      <c r="AN100" s="376"/>
      <c r="AO100" s="374"/>
      <c r="AP100" s="375"/>
      <c r="AQ100" s="375"/>
      <c r="AR100" s="375"/>
      <c r="AS100" s="375"/>
      <c r="AT100" s="375"/>
      <c r="AU100" s="375"/>
      <c r="AV100" s="375"/>
      <c r="AW100" s="375"/>
      <c r="AX100" s="375"/>
      <c r="AY100" s="375"/>
      <c r="AZ100" s="376"/>
      <c r="BA100" s="401">
        <f t="shared" si="47"/>
        <v>0</v>
      </c>
    </row>
    <row r="101" spans="1:53" s="28" customFormat="1" ht="20.100000000000001" customHeight="1">
      <c r="A101" s="32" t="str">
        <f>Vecinos!A101</f>
        <v>Familia Pérez Malpica</v>
      </c>
      <c r="B101" s="33" t="str">
        <f>Vecinos!C101</f>
        <v>Calle Güigüe Nro. 88-110</v>
      </c>
      <c r="C101" s="34" t="str">
        <f>IF(SUMIFS(Vigilancia!$E:$E,Vigilancia!$F:$F,A101,Vigilancia!$J:$J,"Vigilancia")=BA101,"ü","û")</f>
        <v>ü</v>
      </c>
      <c r="D101" s="184"/>
      <c r="E101" s="185">
        <f>2000/100000</f>
        <v>0.02</v>
      </c>
      <c r="F101" s="186"/>
      <c r="G101" s="186"/>
      <c r="H101" s="186"/>
      <c r="I101" s="186"/>
      <c r="J101" s="186"/>
      <c r="K101" s="186"/>
      <c r="L101" s="186"/>
      <c r="M101" s="186"/>
      <c r="N101" s="186"/>
      <c r="O101" s="186"/>
      <c r="P101" s="184"/>
      <c r="Q101" s="187"/>
      <c r="R101" s="188"/>
      <c r="S101" s="188"/>
      <c r="T101" s="188"/>
      <c r="U101" s="188"/>
      <c r="V101" s="188"/>
      <c r="W101" s="188"/>
      <c r="X101" s="188"/>
      <c r="Y101" s="188"/>
      <c r="Z101" s="188"/>
      <c r="AA101" s="188"/>
      <c r="AB101" s="184"/>
      <c r="AC101" s="371"/>
      <c r="AD101" s="372"/>
      <c r="AE101" s="372"/>
      <c r="AF101" s="372"/>
      <c r="AG101" s="372"/>
      <c r="AH101" s="372"/>
      <c r="AI101" s="372"/>
      <c r="AJ101" s="372"/>
      <c r="AK101" s="372"/>
      <c r="AL101" s="372"/>
      <c r="AM101" s="372"/>
      <c r="AN101" s="373"/>
      <c r="AO101" s="371"/>
      <c r="AP101" s="372"/>
      <c r="AQ101" s="372"/>
      <c r="AR101" s="372"/>
      <c r="AS101" s="372"/>
      <c r="AT101" s="372"/>
      <c r="AU101" s="372"/>
      <c r="AV101" s="372"/>
      <c r="AW101" s="372"/>
      <c r="AX101" s="372"/>
      <c r="AY101" s="372"/>
      <c r="AZ101" s="373"/>
      <c r="BA101" s="400">
        <f t="shared" si="47"/>
        <v>0.02</v>
      </c>
    </row>
    <row r="102" spans="1:53" s="28" customFormat="1" ht="20.100000000000001" customHeight="1">
      <c r="A102" s="29" t="str">
        <f>Vecinos!A102</f>
        <v>Familia Astor Zamora</v>
      </c>
      <c r="B102" s="30" t="str">
        <f>Vecinos!C102</f>
        <v>Calle Güigüe Nro. 88-111</v>
      </c>
      <c r="C102" s="35" t="str">
        <f>IF(SUMIFS(Vigilancia!$E:$E,Vigilancia!$F:$F,A102,Vigilancia!$J:$J,"Vigilancia")=BA102,"ü","û")</f>
        <v>ü</v>
      </c>
      <c r="D102" s="177"/>
      <c r="E102" s="178">
        <f t="shared" ref="E102:H106" si="56">17000/100000</f>
        <v>0.17</v>
      </c>
      <c r="F102" s="179">
        <f t="shared" si="56"/>
        <v>0.17</v>
      </c>
      <c r="G102" s="179">
        <f t="shared" si="56"/>
        <v>0.17</v>
      </c>
      <c r="H102" s="179">
        <f t="shared" si="56"/>
        <v>0.17</v>
      </c>
      <c r="I102" s="179">
        <f t="shared" ref="I102:J106" si="57">26000/100000</f>
        <v>0.26</v>
      </c>
      <c r="J102" s="179">
        <f t="shared" si="57"/>
        <v>0.26</v>
      </c>
      <c r="K102" s="179">
        <f>35000/100000</f>
        <v>0.35</v>
      </c>
      <c r="L102" s="179">
        <f>35000/100000</f>
        <v>0.35</v>
      </c>
      <c r="M102" s="179"/>
      <c r="N102" s="179"/>
      <c r="O102" s="179"/>
      <c r="P102" s="177"/>
      <c r="Q102" s="181">
        <f>80000/100000</f>
        <v>0.8</v>
      </c>
      <c r="R102" s="182">
        <f>80000/100000</f>
        <v>0.8</v>
      </c>
      <c r="S102" s="182">
        <f t="shared" ref="S102:T106" si="58">140000/100000</f>
        <v>1.4</v>
      </c>
      <c r="T102" s="182">
        <f t="shared" si="58"/>
        <v>1.4</v>
      </c>
      <c r="U102" s="182">
        <f>400000/100000</f>
        <v>4</v>
      </c>
      <c r="V102" s="190">
        <v>3.25</v>
      </c>
      <c r="W102" s="182">
        <v>10</v>
      </c>
      <c r="X102" s="182">
        <v>12</v>
      </c>
      <c r="Y102" s="182">
        <v>320</v>
      </c>
      <c r="Z102" s="182">
        <v>320</v>
      </c>
      <c r="AA102" s="182">
        <v>320</v>
      </c>
      <c r="AB102" s="177">
        <v>800</v>
      </c>
      <c r="AC102" s="374">
        <v>3000</v>
      </c>
      <c r="AD102" s="375">
        <v>3000</v>
      </c>
      <c r="AE102" s="375">
        <v>3000</v>
      </c>
      <c r="AF102" s="375">
        <v>5000</v>
      </c>
      <c r="AG102" s="375">
        <f>5000+3000</f>
        <v>8000</v>
      </c>
      <c r="AH102" s="375">
        <v>8000</v>
      </c>
      <c r="AI102" s="375">
        <v>10000</v>
      </c>
      <c r="AJ102" s="375">
        <v>10000</v>
      </c>
      <c r="AK102" s="375">
        <v>19800</v>
      </c>
      <c r="AL102" s="375">
        <v>56250</v>
      </c>
      <c r="AM102" s="375"/>
      <c r="AN102" s="376"/>
      <c r="AO102" s="374"/>
      <c r="AP102" s="375"/>
      <c r="AQ102" s="375"/>
      <c r="AR102" s="375"/>
      <c r="AS102" s="375"/>
      <c r="AT102" s="375"/>
      <c r="AU102" s="375"/>
      <c r="AV102" s="375"/>
      <c r="AW102" s="375"/>
      <c r="AX102" s="375"/>
      <c r="AY102" s="375"/>
      <c r="AZ102" s="376"/>
      <c r="BA102" s="401">
        <f t="shared" si="47"/>
        <v>127845.55</v>
      </c>
    </row>
    <row r="103" spans="1:53" s="28" customFormat="1" ht="20.100000000000001" customHeight="1">
      <c r="A103" s="29" t="str">
        <f>Vecinos!A103</f>
        <v>Familia Díaz González</v>
      </c>
      <c r="B103" s="30" t="str">
        <f>Vecinos!C103</f>
        <v>Calle Güigüe Nro. 88-116</v>
      </c>
      <c r="C103" s="35" t="str">
        <f>IF(SUMIFS(Vigilancia!$E:$E,Vigilancia!$F:$F,A103,Vigilancia!$J:$J,"Vigilancia")=BA103,"ü","û")</f>
        <v>ü</v>
      </c>
      <c r="D103" s="177"/>
      <c r="E103" s="178">
        <f t="shared" si="56"/>
        <v>0.17</v>
      </c>
      <c r="F103" s="179">
        <f t="shared" si="56"/>
        <v>0.17</v>
      </c>
      <c r="G103" s="179">
        <f t="shared" si="56"/>
        <v>0.17</v>
      </c>
      <c r="H103" s="179">
        <f t="shared" si="56"/>
        <v>0.17</v>
      </c>
      <c r="I103" s="179">
        <f t="shared" si="57"/>
        <v>0.26</v>
      </c>
      <c r="J103" s="179">
        <f t="shared" si="57"/>
        <v>0.26</v>
      </c>
      <c r="K103" s="179">
        <f>26000/100000+9000/100000</f>
        <v>0.35</v>
      </c>
      <c r="L103" s="179">
        <f t="shared" ref="L103:N106" si="59">35000/100000</f>
        <v>0.35</v>
      </c>
      <c r="M103" s="179">
        <f t="shared" si="59"/>
        <v>0.35</v>
      </c>
      <c r="N103" s="179">
        <f t="shared" si="59"/>
        <v>0.35</v>
      </c>
      <c r="O103" s="179">
        <f>50000/100000</f>
        <v>0.5</v>
      </c>
      <c r="P103" s="177">
        <f>50000/100000</f>
        <v>0.5</v>
      </c>
      <c r="Q103" s="181">
        <f>80000/100000</f>
        <v>0.8</v>
      </c>
      <c r="R103" s="182">
        <f>80000/100000</f>
        <v>0.8</v>
      </c>
      <c r="S103" s="182">
        <f t="shared" si="58"/>
        <v>1.4</v>
      </c>
      <c r="T103" s="182">
        <f t="shared" si="58"/>
        <v>1.4</v>
      </c>
      <c r="U103" s="182">
        <f>400000/100000</f>
        <v>4</v>
      </c>
      <c r="V103" s="182">
        <f>625000/100000</f>
        <v>6.25</v>
      </c>
      <c r="W103" s="182">
        <f>1000000/100000</f>
        <v>10</v>
      </c>
      <c r="X103" s="182">
        <f>1200000/100000</f>
        <v>12</v>
      </c>
      <c r="Y103" s="182">
        <v>320</v>
      </c>
      <c r="Z103" s="182">
        <v>320</v>
      </c>
      <c r="AA103" s="182">
        <v>320</v>
      </c>
      <c r="AB103" s="177">
        <v>800</v>
      </c>
      <c r="AC103" s="374">
        <v>3000</v>
      </c>
      <c r="AD103" s="375">
        <v>3000</v>
      </c>
      <c r="AE103" s="375">
        <v>3000</v>
      </c>
      <c r="AF103" s="375">
        <v>5000</v>
      </c>
      <c r="AG103" s="375">
        <v>8000</v>
      </c>
      <c r="AH103" s="375">
        <v>8000</v>
      </c>
      <c r="AI103" s="375">
        <v>10000</v>
      </c>
      <c r="AJ103" s="375">
        <v>10000</v>
      </c>
      <c r="AK103" s="375">
        <v>19800</v>
      </c>
      <c r="AL103" s="375">
        <v>47000</v>
      </c>
      <c r="AM103" s="375">
        <v>64500</v>
      </c>
      <c r="AN103" s="376">
        <v>64500</v>
      </c>
      <c r="AO103" s="374">
        <v>136250</v>
      </c>
      <c r="AP103" s="375">
        <v>136250</v>
      </c>
      <c r="AQ103" s="375">
        <v>185250</v>
      </c>
      <c r="AR103" s="375">
        <v>185250</v>
      </c>
      <c r="AS103" s="375">
        <v>250000</v>
      </c>
      <c r="AT103" s="375">
        <v>250000</v>
      </c>
      <c r="AU103" s="375"/>
      <c r="AV103" s="375"/>
      <c r="AW103" s="375"/>
      <c r="AX103" s="375"/>
      <c r="AY103" s="375"/>
      <c r="AZ103" s="376"/>
      <c r="BA103" s="401">
        <f t="shared" si="47"/>
        <v>1390600.25</v>
      </c>
    </row>
    <row r="104" spans="1:53" s="28" customFormat="1" ht="20.100000000000001" customHeight="1">
      <c r="A104" s="29" t="str">
        <f>Vecinos!A104</f>
        <v>Familia Loponte Arteaga</v>
      </c>
      <c r="B104" s="30" t="str">
        <f>Vecinos!C104</f>
        <v>Calle Güigüe Nro. 88-120</v>
      </c>
      <c r="C104" s="35" t="str">
        <f>IF(SUMIFS(Vigilancia!$E:$E,Vigilancia!$F:$F,A104,Vigilancia!$J:$J,"Vigilancia")=BA104,"ü","û")</f>
        <v>ü</v>
      </c>
      <c r="D104" s="177"/>
      <c r="E104" s="193">
        <f>10500/100000</f>
        <v>0.105</v>
      </c>
      <c r="F104" s="179">
        <f t="shared" si="56"/>
        <v>0.17</v>
      </c>
      <c r="G104" s="179">
        <f t="shared" si="56"/>
        <v>0.17</v>
      </c>
      <c r="H104" s="179">
        <f t="shared" si="56"/>
        <v>0.17</v>
      </c>
      <c r="I104" s="179">
        <f t="shared" si="57"/>
        <v>0.26</v>
      </c>
      <c r="J104" s="179">
        <f t="shared" si="57"/>
        <v>0.26</v>
      </c>
      <c r="K104" s="224">
        <f>26000/100000</f>
        <v>0.26</v>
      </c>
      <c r="L104" s="179">
        <f t="shared" si="59"/>
        <v>0.35</v>
      </c>
      <c r="M104" s="179">
        <f t="shared" si="59"/>
        <v>0.35</v>
      </c>
      <c r="N104" s="179">
        <f t="shared" si="59"/>
        <v>0.35</v>
      </c>
      <c r="O104" s="179">
        <f>35000/100000+15000/100000</f>
        <v>0.5</v>
      </c>
      <c r="P104" s="177">
        <f>50000/100000</f>
        <v>0.5</v>
      </c>
      <c r="Q104" s="181">
        <f>50000/100000+30000/100000</f>
        <v>0.8</v>
      </c>
      <c r="R104" s="182">
        <f>80000/100000</f>
        <v>0.8</v>
      </c>
      <c r="S104" s="182">
        <f t="shared" si="58"/>
        <v>1.4</v>
      </c>
      <c r="T104" s="182">
        <f t="shared" si="58"/>
        <v>1.4</v>
      </c>
      <c r="U104" s="182">
        <f>400000/100000</f>
        <v>4</v>
      </c>
      <c r="V104" s="182">
        <f>400000/100000+225000/100000</f>
        <v>6.25</v>
      </c>
      <c r="W104" s="182">
        <f>400000/100000+600000/100000</f>
        <v>10</v>
      </c>
      <c r="X104" s="182">
        <f>1000000/100000+200000/100000</f>
        <v>12</v>
      </c>
      <c r="Y104" s="189">
        <f>1200000/100000+27+281</f>
        <v>320</v>
      </c>
      <c r="Z104" s="189">
        <v>320</v>
      </c>
      <c r="AA104" s="182">
        <v>320</v>
      </c>
      <c r="AB104" s="346">
        <f>320+180</f>
        <v>500</v>
      </c>
      <c r="AC104" s="379">
        <f>800+2200</f>
        <v>3000</v>
      </c>
      <c r="AD104" s="375">
        <f>300+2700</f>
        <v>3000</v>
      </c>
      <c r="AE104" s="375">
        <f>800+2200</f>
        <v>3000</v>
      </c>
      <c r="AF104" s="375">
        <f>3000+2000</f>
        <v>5000</v>
      </c>
      <c r="AG104" s="375">
        <f>3000+2000+3000</f>
        <v>8000</v>
      </c>
      <c r="AH104" s="375">
        <f>5000-3000+6000</f>
        <v>8000</v>
      </c>
      <c r="AI104" s="375">
        <v>10000</v>
      </c>
      <c r="AJ104" s="375">
        <v>10000</v>
      </c>
      <c r="AK104" s="542">
        <f>10000+10000</f>
        <v>20000</v>
      </c>
      <c r="AL104" s="375">
        <v>47000</v>
      </c>
      <c r="AM104" s="375">
        <v>56250</v>
      </c>
      <c r="AN104" s="376">
        <v>97500</v>
      </c>
      <c r="AO104" s="379">
        <v>136250</v>
      </c>
      <c r="AP104" s="375">
        <v>136250</v>
      </c>
      <c r="AQ104" s="375">
        <v>185250</v>
      </c>
      <c r="AR104" s="375">
        <v>186250</v>
      </c>
      <c r="AS104" s="375">
        <v>250000</v>
      </c>
      <c r="AT104" s="375">
        <f>250000</f>
        <v>250000</v>
      </c>
      <c r="AU104" s="375"/>
      <c r="AV104" s="375"/>
      <c r="AW104" s="375"/>
      <c r="AX104" s="375"/>
      <c r="AY104" s="375"/>
      <c r="AZ104" s="376"/>
      <c r="BA104" s="401">
        <f t="shared" si="47"/>
        <v>1416250.095</v>
      </c>
    </row>
    <row r="105" spans="1:53" s="28" customFormat="1" ht="20.100000000000001" customHeight="1">
      <c r="A105" s="32" t="str">
        <f>Vecinos!A105</f>
        <v>Zoraida Arteaga</v>
      </c>
      <c r="B105" s="33" t="str">
        <f>Vecinos!C105</f>
        <v>Calle Güigüe Nro. 88-120</v>
      </c>
      <c r="C105" s="34" t="str">
        <f>IF(SUMIFS(Vigilancia!$E:$E,Vigilancia!$F:$F,A105,Vigilancia!$J:$J,"Vigilancia")=BA105,"ü","û")</f>
        <v>ü</v>
      </c>
      <c r="D105" s="184"/>
      <c r="E105" s="185"/>
      <c r="F105" s="186"/>
      <c r="G105" s="186"/>
      <c r="H105" s="186"/>
      <c r="I105" s="186"/>
      <c r="J105" s="186"/>
      <c r="K105" s="186"/>
      <c r="L105" s="186"/>
      <c r="M105" s="186"/>
      <c r="N105" s="186"/>
      <c r="O105" s="186"/>
      <c r="P105" s="184"/>
      <c r="Q105" s="187"/>
      <c r="R105" s="188"/>
      <c r="S105" s="188"/>
      <c r="T105" s="188"/>
      <c r="U105" s="188"/>
      <c r="V105" s="188"/>
      <c r="W105" s="188"/>
      <c r="X105" s="188"/>
      <c r="Y105" s="188"/>
      <c r="Z105" s="188"/>
      <c r="AA105" s="188"/>
      <c r="AB105" s="184"/>
      <c r="AC105" s="371"/>
      <c r="AD105" s="372"/>
      <c r="AE105" s="372"/>
      <c r="AF105" s="372"/>
      <c r="AG105" s="372"/>
      <c r="AH105" s="372"/>
      <c r="AI105" s="372"/>
      <c r="AJ105" s="372"/>
      <c r="AK105" s="372"/>
      <c r="AL105" s="372"/>
      <c r="AM105" s="372"/>
      <c r="AN105" s="373"/>
      <c r="AO105" s="371"/>
      <c r="AP105" s="372"/>
      <c r="AQ105" s="372"/>
      <c r="AR105" s="372"/>
      <c r="AS105" s="372"/>
      <c r="AT105" s="372"/>
      <c r="AU105" s="372"/>
      <c r="AV105" s="372"/>
      <c r="AW105" s="372"/>
      <c r="AX105" s="372"/>
      <c r="AY105" s="372"/>
      <c r="AZ105" s="373"/>
      <c r="BA105" s="400">
        <f t="shared" ref="BA105" si="60">SUM(D105:AZ105)</f>
        <v>0</v>
      </c>
    </row>
    <row r="106" spans="1:53" s="28" customFormat="1" ht="20.100000000000001" customHeight="1">
      <c r="A106" s="57" t="str">
        <f>Vecinos!A106</f>
        <v>Familia Sayago Peñaranda</v>
      </c>
      <c r="B106" s="58" t="str">
        <f>Vecinos!C106</f>
        <v>Calle Güigüe Nro. 89-04</v>
      </c>
      <c r="C106" s="35" t="str">
        <f>IF(SUMIFS(Vigilancia!$E:$E,Vigilancia!$F:$F,A106,Vigilancia!$J:$J,"Vigilancia")=BA106,"ü","û")</f>
        <v>ü</v>
      </c>
      <c r="D106" s="177"/>
      <c r="E106" s="178">
        <f>17000/100000</f>
        <v>0.17</v>
      </c>
      <c r="F106" s="179">
        <f t="shared" si="56"/>
        <v>0.17</v>
      </c>
      <c r="G106" s="179">
        <f t="shared" si="56"/>
        <v>0.17</v>
      </c>
      <c r="H106" s="179">
        <f t="shared" si="56"/>
        <v>0.17</v>
      </c>
      <c r="I106" s="179">
        <f t="shared" si="57"/>
        <v>0.26</v>
      </c>
      <c r="J106" s="179">
        <f t="shared" si="57"/>
        <v>0.26</v>
      </c>
      <c r="K106" s="179">
        <f>35000/100000</f>
        <v>0.35</v>
      </c>
      <c r="L106" s="179">
        <f t="shared" si="59"/>
        <v>0.35</v>
      </c>
      <c r="M106" s="179">
        <f t="shared" si="59"/>
        <v>0.35</v>
      </c>
      <c r="N106" s="179">
        <f t="shared" si="59"/>
        <v>0.35</v>
      </c>
      <c r="O106" s="179">
        <f>35600/100000+14400/100000</f>
        <v>0.5</v>
      </c>
      <c r="P106" s="177">
        <f>34800/100000+15200/100000</f>
        <v>0.5</v>
      </c>
      <c r="Q106" s="181">
        <f>80000/100000</f>
        <v>0.8</v>
      </c>
      <c r="R106" s="182">
        <f>80000/100000</f>
        <v>0.8</v>
      </c>
      <c r="S106" s="182">
        <f t="shared" si="58"/>
        <v>1.4</v>
      </c>
      <c r="T106" s="182">
        <f t="shared" si="58"/>
        <v>1.4</v>
      </c>
      <c r="U106" s="222"/>
      <c r="V106" s="222"/>
      <c r="W106" s="222"/>
      <c r="X106" s="222"/>
      <c r="Y106" s="222"/>
      <c r="Z106" s="222"/>
      <c r="AA106" s="222"/>
      <c r="AB106" s="220"/>
      <c r="AC106" s="390"/>
      <c r="AD106" s="391"/>
      <c r="AE106" s="391"/>
      <c r="AF106" s="391"/>
      <c r="AG106" s="391"/>
      <c r="AH106" s="391"/>
      <c r="AI106" s="391"/>
      <c r="AJ106" s="391"/>
      <c r="AK106" s="391"/>
      <c r="AL106" s="391"/>
      <c r="AM106" s="391"/>
      <c r="AN106" s="392"/>
      <c r="AO106" s="390"/>
      <c r="AP106" s="391"/>
      <c r="AQ106" s="391"/>
      <c r="AR106" s="391"/>
      <c r="AS106" s="391"/>
      <c r="AT106" s="391"/>
      <c r="AU106" s="391"/>
      <c r="AV106" s="391"/>
      <c r="AW106" s="391"/>
      <c r="AX106" s="391"/>
      <c r="AY106" s="391"/>
      <c r="AZ106" s="392"/>
      <c r="BA106" s="405">
        <f t="shared" si="47"/>
        <v>8</v>
      </c>
    </row>
    <row r="107" spans="1:53" s="28" customFormat="1" ht="20.100000000000001" customHeight="1">
      <c r="A107" s="29" t="str">
        <f>Vecinos!A107</f>
        <v>Carmen Moreno</v>
      </c>
      <c r="B107" s="30" t="str">
        <f>Vecinos!C107</f>
        <v>Calle Güigüe Nro. 89-04</v>
      </c>
      <c r="C107" s="35" t="str">
        <f>IF(SUMIFS(Vigilancia!$E:$E,Vigilancia!$F:$F,A107,Vigilancia!$J:$J,"Vigilancia")=BA107,"ü","û")</f>
        <v>ü</v>
      </c>
      <c r="D107" s="205"/>
      <c r="E107" s="206"/>
      <c r="F107" s="207"/>
      <c r="G107" s="207"/>
      <c r="H107" s="207"/>
      <c r="I107" s="207"/>
      <c r="J107" s="207"/>
      <c r="K107" s="207"/>
      <c r="L107" s="207"/>
      <c r="M107" s="207"/>
      <c r="N107" s="207"/>
      <c r="O107" s="207"/>
      <c r="P107" s="205"/>
      <c r="Q107" s="208"/>
      <c r="R107" s="209"/>
      <c r="S107" s="209"/>
      <c r="T107" s="209"/>
      <c r="U107" s="182">
        <f>400000/100000</f>
        <v>4</v>
      </c>
      <c r="V107" s="182">
        <f>400000/100000+225000/100000</f>
        <v>6.25</v>
      </c>
      <c r="W107" s="182">
        <f>850000/100000+150000/100000</f>
        <v>10</v>
      </c>
      <c r="X107" s="182">
        <f>1200000/100000</f>
        <v>12</v>
      </c>
      <c r="Y107" s="182">
        <v>320</v>
      </c>
      <c r="Z107" s="189">
        <v>320</v>
      </c>
      <c r="AA107" s="182">
        <v>320</v>
      </c>
      <c r="AB107" s="177">
        <v>800</v>
      </c>
      <c r="AC107" s="379">
        <f>800+2200</f>
        <v>3000</v>
      </c>
      <c r="AD107" s="375">
        <v>3000</v>
      </c>
      <c r="AE107" s="375">
        <v>3000</v>
      </c>
      <c r="AF107" s="375">
        <f>3000+2000</f>
        <v>5000</v>
      </c>
      <c r="AG107" s="375">
        <v>8000</v>
      </c>
      <c r="AH107" s="375">
        <v>8000</v>
      </c>
      <c r="AI107" s="375">
        <v>10000</v>
      </c>
      <c r="AJ107" s="375">
        <v>10000</v>
      </c>
      <c r="AK107" s="375">
        <v>23400</v>
      </c>
      <c r="AL107" s="375">
        <f>21100+25900</f>
        <v>47000</v>
      </c>
      <c r="AM107" s="375">
        <v>73500</v>
      </c>
      <c r="AN107" s="376">
        <v>97500</v>
      </c>
      <c r="AO107" s="379">
        <v>136250</v>
      </c>
      <c r="AP107" s="375">
        <v>136250</v>
      </c>
      <c r="AQ107" s="375">
        <v>185250</v>
      </c>
      <c r="AR107" s="375">
        <v>185250</v>
      </c>
      <c r="AS107" s="375">
        <v>250000</v>
      </c>
      <c r="AT107" s="375">
        <v>250000</v>
      </c>
      <c r="AU107" s="375"/>
      <c r="AV107" s="375"/>
      <c r="AW107" s="375"/>
      <c r="AX107" s="375"/>
      <c r="AY107" s="375"/>
      <c r="AZ107" s="376"/>
      <c r="BA107" s="401">
        <f t="shared" si="47"/>
        <v>1436192.25</v>
      </c>
    </row>
    <row r="108" spans="1:53" s="28" customFormat="1" ht="20.100000000000001" customHeight="1">
      <c r="A108" s="29" t="str">
        <f>Vecinos!A108</f>
        <v>Familia Acosta Carpio</v>
      </c>
      <c r="B108" s="30" t="str">
        <f>Vecinos!C108</f>
        <v>Calle Güigüe Nro. 89-10</v>
      </c>
      <c r="C108" s="35" t="str">
        <f>IF(SUMIFS(Vigilancia!$E:$E,Vigilancia!$F:$F,A108,Vigilancia!$J:$J,"Vigilancia")=BA108,"ü","û")</f>
        <v>ü</v>
      </c>
      <c r="D108" s="177"/>
      <c r="E108" s="178">
        <f>17000/100000</f>
        <v>0.17</v>
      </c>
      <c r="F108" s="179">
        <f>17000/100000</f>
        <v>0.17</v>
      </c>
      <c r="G108" s="179">
        <f>17000/100000</f>
        <v>0.17</v>
      </c>
      <c r="H108" s="179">
        <f>17000/100000</f>
        <v>0.17</v>
      </c>
      <c r="I108" s="179">
        <f>26000/100000</f>
        <v>0.26</v>
      </c>
      <c r="J108" s="179">
        <f>13000/100000+13000/100000</f>
        <v>0.26</v>
      </c>
      <c r="K108" s="179">
        <f>35000/100000</f>
        <v>0.35</v>
      </c>
      <c r="L108" s="179">
        <f>35000/100000</f>
        <v>0.35</v>
      </c>
      <c r="M108" s="179">
        <f>35000/100000</f>
        <v>0.35</v>
      </c>
      <c r="N108" s="179">
        <f>35000/100000</f>
        <v>0.35</v>
      </c>
      <c r="O108" s="179">
        <f>50000/100000</f>
        <v>0.5</v>
      </c>
      <c r="P108" s="177">
        <f>50000/100000</f>
        <v>0.5</v>
      </c>
      <c r="Q108" s="181">
        <f>80000/100000</f>
        <v>0.8</v>
      </c>
      <c r="R108" s="182">
        <f>80000/100000</f>
        <v>0.8</v>
      </c>
      <c r="S108" s="182">
        <f>140000/100000</f>
        <v>1.4</v>
      </c>
      <c r="T108" s="182">
        <f>140000/100000</f>
        <v>1.4</v>
      </c>
      <c r="U108" s="182">
        <f>400000/100000</f>
        <v>4</v>
      </c>
      <c r="V108" s="182">
        <f>625000/100000</f>
        <v>6.25</v>
      </c>
      <c r="W108" s="189">
        <f>375000/100000+625000/100000</f>
        <v>10</v>
      </c>
      <c r="X108" s="182">
        <f>1200000/100000</f>
        <v>12</v>
      </c>
      <c r="Y108" s="182">
        <v>320</v>
      </c>
      <c r="Z108" s="182">
        <v>320</v>
      </c>
      <c r="AA108" s="352"/>
      <c r="AB108" s="177">
        <v>800</v>
      </c>
      <c r="AC108" s="374">
        <v>3000</v>
      </c>
      <c r="AD108" s="375">
        <v>3000</v>
      </c>
      <c r="AE108" s="375">
        <v>3000</v>
      </c>
      <c r="AF108" s="375">
        <v>5000</v>
      </c>
      <c r="AG108" s="375">
        <v>8000</v>
      </c>
      <c r="AH108" s="375">
        <v>8000</v>
      </c>
      <c r="AI108" s="375">
        <v>10000</v>
      </c>
      <c r="AJ108" s="375">
        <v>10000</v>
      </c>
      <c r="AK108" s="375">
        <v>19800</v>
      </c>
      <c r="AL108" s="375">
        <v>52000</v>
      </c>
      <c r="AM108" s="375">
        <v>64500</v>
      </c>
      <c r="AN108" s="376">
        <v>105250</v>
      </c>
      <c r="AO108" s="374"/>
      <c r="AP108" s="375"/>
      <c r="AQ108" s="375"/>
      <c r="AR108" s="375"/>
      <c r="AS108" s="375"/>
      <c r="AT108" s="375"/>
      <c r="AU108" s="375"/>
      <c r="AV108" s="375"/>
      <c r="AW108" s="375"/>
      <c r="AX108" s="375"/>
      <c r="AY108" s="375"/>
      <c r="AZ108" s="376"/>
      <c r="BA108" s="401">
        <f t="shared" si="47"/>
        <v>293030.25</v>
      </c>
    </row>
    <row r="109" spans="1:53" s="28" customFormat="1" ht="20.100000000000001" customHeight="1">
      <c r="A109" s="29" t="str">
        <f>Vecinos!A109</f>
        <v>Familia Acosta Saravia</v>
      </c>
      <c r="B109" s="30" t="str">
        <f>Vecinos!C109</f>
        <v>Calle Güigüe Nro. 89-10</v>
      </c>
      <c r="C109" s="35" t="str">
        <f>IF(SUMIFS(Vigilancia!$E:$E,Vigilancia!$F:$F,A109,Vigilancia!$J:$J,"Vigilancia")=BA109,"ü","û")</f>
        <v>ü</v>
      </c>
      <c r="D109" s="177"/>
      <c r="E109" s="178"/>
      <c r="F109" s="179"/>
      <c r="G109" s="179"/>
      <c r="H109" s="179"/>
      <c r="I109" s="179"/>
      <c r="J109" s="179"/>
      <c r="K109" s="179"/>
      <c r="L109" s="179"/>
      <c r="M109" s="179"/>
      <c r="N109" s="179"/>
      <c r="O109" s="179"/>
      <c r="P109" s="177"/>
      <c r="Q109" s="181"/>
      <c r="R109" s="182"/>
      <c r="S109" s="182"/>
      <c r="T109" s="182"/>
      <c r="U109" s="182"/>
      <c r="V109" s="182"/>
      <c r="W109" s="189"/>
      <c r="X109" s="182"/>
      <c r="Y109" s="182"/>
      <c r="Z109" s="182"/>
      <c r="AA109" s="352"/>
      <c r="AB109" s="177"/>
      <c r="AC109" s="374"/>
      <c r="AD109" s="375"/>
      <c r="AE109" s="375"/>
      <c r="AF109" s="375"/>
      <c r="AG109" s="375"/>
      <c r="AH109" s="375"/>
      <c r="AI109" s="375"/>
      <c r="AJ109" s="375"/>
      <c r="AK109" s="375"/>
      <c r="AL109" s="375"/>
      <c r="AM109" s="375"/>
      <c r="AN109" s="376"/>
      <c r="AO109" s="374"/>
      <c r="AP109" s="375">
        <v>186000</v>
      </c>
      <c r="AQ109" s="375">
        <v>186000</v>
      </c>
      <c r="AR109" s="375">
        <v>200000</v>
      </c>
      <c r="AS109" s="375">
        <v>250000</v>
      </c>
      <c r="AT109" s="375">
        <v>250000</v>
      </c>
      <c r="AU109" s="375"/>
      <c r="AV109" s="375"/>
      <c r="AW109" s="375"/>
      <c r="AX109" s="375"/>
      <c r="AY109" s="375"/>
      <c r="AZ109" s="376"/>
      <c r="BA109" s="401">
        <f t="shared" ref="BA109" si="61">SUM(D109:AZ109)</f>
        <v>1072000</v>
      </c>
    </row>
    <row r="110" spans="1:53" s="28" customFormat="1" ht="20.100000000000001" customHeight="1">
      <c r="A110" s="32" t="str">
        <f>Vecinos!A110</f>
        <v>Silvia Power</v>
      </c>
      <c r="B110" s="33" t="str">
        <f>Vecinos!C110</f>
        <v>Calle Güigüe Nro. 89-16</v>
      </c>
      <c r="C110" s="34" t="str">
        <f>IF(SUMIFS(Vigilancia!$E:$E,Vigilancia!$F:$F,A110,Vigilancia!$J:$J,"Vigilancia")=BA110,"ü","û")</f>
        <v>ü</v>
      </c>
      <c r="D110" s="184"/>
      <c r="E110" s="185">
        <f>1500/100000</f>
        <v>1.4999999999999999E-2</v>
      </c>
      <c r="F110" s="186">
        <f>1500/100000</f>
        <v>1.4999999999999999E-2</v>
      </c>
      <c r="G110" s="225" t="s">
        <v>17</v>
      </c>
      <c r="H110" s="225" t="s">
        <v>17</v>
      </c>
      <c r="I110" s="225" t="s">
        <v>17</v>
      </c>
      <c r="J110" s="225" t="s">
        <v>17</v>
      </c>
      <c r="K110" s="225" t="s">
        <v>17</v>
      </c>
      <c r="L110" s="225" t="s">
        <v>17</v>
      </c>
      <c r="M110" s="225" t="s">
        <v>17</v>
      </c>
      <c r="N110" s="225" t="s">
        <v>17</v>
      </c>
      <c r="O110" s="225" t="s">
        <v>17</v>
      </c>
      <c r="P110" s="226" t="s">
        <v>17</v>
      </c>
      <c r="Q110" s="227" t="s">
        <v>17</v>
      </c>
      <c r="R110" s="188">
        <f>80000/100000</f>
        <v>0.8</v>
      </c>
      <c r="S110" s="188">
        <f>140000/100000</f>
        <v>1.4</v>
      </c>
      <c r="T110" s="188">
        <f>140000/100000</f>
        <v>1.4</v>
      </c>
      <c r="U110" s="188">
        <f>400000/100000-200000/100000</f>
        <v>2</v>
      </c>
      <c r="V110" s="188">
        <f>625000/100000-200000/100000</f>
        <v>4.25</v>
      </c>
      <c r="W110" s="188">
        <f>1000000/100000</f>
        <v>10</v>
      </c>
      <c r="X110" s="188"/>
      <c r="Y110" s="188"/>
      <c r="Z110" s="188"/>
      <c r="AA110" s="188"/>
      <c r="AB110" s="184"/>
      <c r="AC110" s="371"/>
      <c r="AD110" s="372"/>
      <c r="AE110" s="372"/>
      <c r="AF110" s="372">
        <v>5000</v>
      </c>
      <c r="AG110" s="372">
        <v>5000</v>
      </c>
      <c r="AH110" s="372">
        <v>5000</v>
      </c>
      <c r="AI110" s="372">
        <f>3500+1500</f>
        <v>5000</v>
      </c>
      <c r="AJ110" s="372">
        <v>5000</v>
      </c>
      <c r="AK110" s="372">
        <f>3500</f>
        <v>3500</v>
      </c>
      <c r="AL110" s="372">
        <v>16000</v>
      </c>
      <c r="AM110" s="372">
        <v>17000</v>
      </c>
      <c r="AN110" s="373">
        <v>17000</v>
      </c>
      <c r="AO110" s="371">
        <f>182800/2</f>
        <v>91400</v>
      </c>
      <c r="AP110" s="372">
        <f>182800/2</f>
        <v>91400</v>
      </c>
      <c r="AQ110" s="372"/>
      <c r="AR110" s="372"/>
      <c r="AS110" s="372"/>
      <c r="AT110" s="372"/>
      <c r="AU110" s="372"/>
      <c r="AV110" s="372"/>
      <c r="AW110" s="372"/>
      <c r="AX110" s="372"/>
      <c r="AY110" s="372"/>
      <c r="AZ110" s="373"/>
      <c r="BA110" s="400">
        <f t="shared" si="47"/>
        <v>261319.88</v>
      </c>
    </row>
    <row r="111" spans="1:53" s="28" customFormat="1" ht="20.100000000000001" customHeight="1">
      <c r="A111" s="32" t="str">
        <f>Vecinos!A111</f>
        <v>Mibzar Cárdenas</v>
      </c>
      <c r="B111" s="33" t="str">
        <f>Vecinos!C111</f>
        <v>Calle Güigüe Nro. 89-16</v>
      </c>
      <c r="C111" s="34" t="str">
        <f>IF(SUMIFS(Vigilancia!$E:$E,Vigilancia!$F:$F,A111,Vigilancia!$J:$J,"Vigilancia")=BA111,"ü","û")</f>
        <v>ü</v>
      </c>
      <c r="D111" s="184"/>
      <c r="E111" s="185"/>
      <c r="F111" s="186"/>
      <c r="G111" s="225"/>
      <c r="H111" s="225"/>
      <c r="I111" s="225"/>
      <c r="J111" s="225"/>
      <c r="K111" s="225"/>
      <c r="L111" s="225"/>
      <c r="M111" s="225"/>
      <c r="N111" s="225"/>
      <c r="O111" s="225"/>
      <c r="P111" s="226"/>
      <c r="Q111" s="227"/>
      <c r="R111" s="188"/>
      <c r="S111" s="188"/>
      <c r="T111" s="188"/>
      <c r="U111" s="188"/>
      <c r="V111" s="188"/>
      <c r="W111" s="188"/>
      <c r="X111" s="188"/>
      <c r="Y111" s="188"/>
      <c r="Z111" s="188"/>
      <c r="AA111" s="188"/>
      <c r="AB111" s="184"/>
      <c r="AC111" s="371"/>
      <c r="AD111" s="372"/>
      <c r="AE111" s="372"/>
      <c r="AF111" s="372"/>
      <c r="AG111" s="372"/>
      <c r="AH111" s="372"/>
      <c r="AI111" s="372"/>
      <c r="AJ111" s="372"/>
      <c r="AK111" s="372"/>
      <c r="AL111" s="372"/>
      <c r="AM111" s="372"/>
      <c r="AN111" s="373"/>
      <c r="AO111" s="371"/>
      <c r="AP111" s="372"/>
      <c r="AQ111" s="372"/>
      <c r="AR111" s="372"/>
      <c r="AS111" s="372"/>
      <c r="AT111" s="372"/>
      <c r="AU111" s="372"/>
      <c r="AV111" s="372"/>
      <c r="AW111" s="372"/>
      <c r="AX111" s="372"/>
      <c r="AY111" s="372"/>
      <c r="AZ111" s="373"/>
      <c r="BA111" s="400">
        <f t="shared" si="47"/>
        <v>0</v>
      </c>
    </row>
    <row r="112" spans="1:53" s="28" customFormat="1" ht="20.100000000000001" customHeight="1">
      <c r="A112" s="29" t="str">
        <f>Vecinos!A112</f>
        <v>Familia Piñero Padilla</v>
      </c>
      <c r="B112" s="30" t="str">
        <f>Vecinos!C112</f>
        <v>Calle Güigüe Nro. 89-21</v>
      </c>
      <c r="C112" s="35" t="str">
        <f>IF(SUMIFS(Vigilancia!$E:$E,Vigilancia!$F:$F,A112,Vigilancia!$J:$J,"Vigilancia")=BA112,"ü","û")</f>
        <v>ü</v>
      </c>
      <c r="D112" s="177"/>
      <c r="E112" s="178">
        <f>17000/100000</f>
        <v>0.17</v>
      </c>
      <c r="F112" s="179">
        <f>17000/100000</f>
        <v>0.17</v>
      </c>
      <c r="G112" s="179">
        <f>17000/100000</f>
        <v>0.17</v>
      </c>
      <c r="H112" s="179">
        <f>17000/100000</f>
        <v>0.17</v>
      </c>
      <c r="I112" s="179">
        <f>26000/100000</f>
        <v>0.26</v>
      </c>
      <c r="J112" s="179">
        <f>26000/100000</f>
        <v>0.26</v>
      </c>
      <c r="K112" s="179">
        <f t="shared" ref="K112:N113" si="62">35000/100000</f>
        <v>0.35</v>
      </c>
      <c r="L112" s="179">
        <f t="shared" si="62"/>
        <v>0.35</v>
      </c>
      <c r="M112" s="179">
        <f t="shared" si="62"/>
        <v>0.35</v>
      </c>
      <c r="N112" s="179">
        <f t="shared" si="62"/>
        <v>0.35</v>
      </c>
      <c r="O112" s="179">
        <f>50000/100000</f>
        <v>0.5</v>
      </c>
      <c r="P112" s="177">
        <f>50000/100000</f>
        <v>0.5</v>
      </c>
      <c r="Q112" s="181">
        <f>50000/100000+12450/100000+17550/100000</f>
        <v>0.8</v>
      </c>
      <c r="R112" s="182">
        <f>80000/100000</f>
        <v>0.8</v>
      </c>
      <c r="S112" s="182">
        <f>100000/100000-80000/100000-17550/100000+97550/100000+40000/100000</f>
        <v>1.4</v>
      </c>
      <c r="T112" s="182">
        <f>140000/100000</f>
        <v>1.4</v>
      </c>
      <c r="U112" s="182">
        <f>400000/100000</f>
        <v>4</v>
      </c>
      <c r="V112" s="182">
        <f>625000/100000</f>
        <v>6.25</v>
      </c>
      <c r="W112" s="182">
        <f>1000000/100000</f>
        <v>10</v>
      </c>
      <c r="X112" s="182">
        <v>12</v>
      </c>
      <c r="Y112" s="182">
        <v>320</v>
      </c>
      <c r="Z112" s="182">
        <v>320</v>
      </c>
      <c r="AA112" s="182">
        <v>320</v>
      </c>
      <c r="AB112" s="177">
        <v>800</v>
      </c>
      <c r="AC112" s="379">
        <f>800+2200</f>
        <v>3000</v>
      </c>
      <c r="AD112" s="375">
        <v>3000</v>
      </c>
      <c r="AE112" s="375">
        <v>3000</v>
      </c>
      <c r="AF112" s="375">
        <v>5000</v>
      </c>
      <c r="AG112" s="375">
        <v>8000</v>
      </c>
      <c r="AH112" s="375">
        <v>8000</v>
      </c>
      <c r="AI112" s="375">
        <v>10000</v>
      </c>
      <c r="AJ112" s="375">
        <v>10000</v>
      </c>
      <c r="AK112" s="380">
        <v>20500</v>
      </c>
      <c r="AL112" s="375">
        <v>73500</v>
      </c>
      <c r="AM112" s="375">
        <v>73500</v>
      </c>
      <c r="AN112" s="376">
        <f>105250+31000</f>
        <v>136250</v>
      </c>
      <c r="AO112" s="379">
        <v>185250</v>
      </c>
      <c r="AP112" s="375">
        <v>185250</v>
      </c>
      <c r="AQ112" s="375">
        <v>185250</v>
      </c>
      <c r="AR112" s="375">
        <v>187000</v>
      </c>
      <c r="AS112" s="375">
        <v>250000</v>
      </c>
      <c r="AT112" s="375">
        <v>250000</v>
      </c>
      <c r="AU112" s="375"/>
      <c r="AV112" s="375"/>
      <c r="AW112" s="375"/>
      <c r="AX112" s="375"/>
      <c r="AY112" s="375"/>
      <c r="AZ112" s="376"/>
      <c r="BA112" s="401">
        <f t="shared" si="47"/>
        <v>1598300.25</v>
      </c>
    </row>
    <row r="113" spans="1:53" s="28" customFormat="1" ht="20.100000000000001" customHeight="1">
      <c r="A113" s="57" t="str">
        <f>Vecinos!A113</f>
        <v>Familia Navarrete Medina</v>
      </c>
      <c r="B113" s="58" t="str">
        <f>Vecinos!C113</f>
        <v>Calle Güigüe Nro. 89-22</v>
      </c>
      <c r="C113" s="35" t="str">
        <f>IF(SUMIFS(Vigilancia!$E:$E,Vigilancia!$F:$F,A113,Vigilancia!$J:$J,"Vigilancia")=BA113,"ü","û")</f>
        <v>ü</v>
      </c>
      <c r="D113" s="177"/>
      <c r="E113" s="178"/>
      <c r="F113" s="179"/>
      <c r="G113" s="179"/>
      <c r="H113" s="179"/>
      <c r="I113" s="179"/>
      <c r="J113" s="179"/>
      <c r="K113" s="179">
        <f t="shared" si="62"/>
        <v>0.35</v>
      </c>
      <c r="L113" s="179">
        <f t="shared" si="62"/>
        <v>0.35</v>
      </c>
      <c r="M113" s="179">
        <f t="shared" si="62"/>
        <v>0.35</v>
      </c>
      <c r="N113" s="179">
        <f t="shared" si="62"/>
        <v>0.35</v>
      </c>
      <c r="O113" s="179">
        <f>50000/100000</f>
        <v>0.5</v>
      </c>
      <c r="P113" s="177">
        <f>50000/100000</f>
        <v>0.5</v>
      </c>
      <c r="Q113" s="181">
        <f>80000/100000</f>
        <v>0.8</v>
      </c>
      <c r="R113" s="182">
        <f>80000/100000</f>
        <v>0.8</v>
      </c>
      <c r="S113" s="182">
        <f>140000/100000</f>
        <v>1.4</v>
      </c>
      <c r="T113" s="182">
        <f>140000/100000</f>
        <v>1.4</v>
      </c>
      <c r="U113" s="182">
        <f>400000/100000</f>
        <v>4</v>
      </c>
      <c r="V113" s="182">
        <f>625000/100000</f>
        <v>6.25</v>
      </c>
      <c r="W113" s="182">
        <f>800000/100000-625000/100000+825000/100000</f>
        <v>10</v>
      </c>
      <c r="X113" s="189">
        <f>50000/100000+11.5</f>
        <v>12</v>
      </c>
      <c r="Y113" s="182">
        <v>320</v>
      </c>
      <c r="Z113" s="182">
        <v>320</v>
      </c>
      <c r="AA113" s="182">
        <v>320</v>
      </c>
      <c r="AB113" s="177">
        <v>800</v>
      </c>
      <c r="AC113" s="374">
        <v>3000</v>
      </c>
      <c r="AD113" s="375">
        <v>3000</v>
      </c>
      <c r="AE113" s="375">
        <v>3000</v>
      </c>
      <c r="AF113" s="375">
        <v>5000</v>
      </c>
      <c r="AG113" s="375">
        <v>8000</v>
      </c>
      <c r="AH113" s="509" t="s">
        <v>1256</v>
      </c>
      <c r="AI113" s="378"/>
      <c r="AJ113" s="378"/>
      <c r="AK113" s="378"/>
      <c r="AL113" s="378"/>
      <c r="AM113" s="378"/>
      <c r="AN113" s="389"/>
      <c r="AO113" s="388"/>
      <c r="AP113" s="378"/>
      <c r="AQ113" s="378"/>
      <c r="AR113" s="378"/>
      <c r="AS113" s="378"/>
      <c r="AT113" s="509"/>
      <c r="AU113" s="378"/>
      <c r="AV113" s="378"/>
      <c r="AW113" s="378"/>
      <c r="AX113" s="378"/>
      <c r="AY113" s="378"/>
      <c r="AZ113" s="389"/>
      <c r="BA113" s="404">
        <f t="shared" si="47"/>
        <v>23799.05</v>
      </c>
    </row>
    <row r="114" spans="1:53" s="28" customFormat="1" ht="20.100000000000001" customHeight="1">
      <c r="A114" s="29" t="str">
        <f>Vecinos!A114</f>
        <v>Familia Rodríguez Girón</v>
      </c>
      <c r="B114" s="30" t="str">
        <f>Vecinos!C114</f>
        <v>Calle Güigüe Nro. 89-22</v>
      </c>
      <c r="C114" s="35" t="str">
        <f>IF(SUMIFS(Vigilancia!$E:$E,Vigilancia!$F:$F,A114,Vigilancia!$J:$J,"Vigilancia")=BA114,"ü","û")</f>
        <v>ü</v>
      </c>
      <c r="D114" s="495"/>
      <c r="E114" s="496"/>
      <c r="F114" s="497"/>
      <c r="G114" s="497"/>
      <c r="H114" s="497"/>
      <c r="I114" s="497"/>
      <c r="J114" s="497"/>
      <c r="K114" s="497"/>
      <c r="L114" s="497"/>
      <c r="M114" s="497"/>
      <c r="N114" s="497"/>
      <c r="O114" s="497"/>
      <c r="P114" s="495"/>
      <c r="Q114" s="498"/>
      <c r="R114" s="499"/>
      <c r="S114" s="499"/>
      <c r="T114" s="499"/>
      <c r="U114" s="499"/>
      <c r="V114" s="499"/>
      <c r="W114" s="499"/>
      <c r="X114" s="499"/>
      <c r="Y114" s="499"/>
      <c r="Z114" s="499"/>
      <c r="AA114" s="499"/>
      <c r="AB114" s="495"/>
      <c r="AC114" s="500"/>
      <c r="AD114" s="501"/>
      <c r="AE114" s="501"/>
      <c r="AF114" s="501"/>
      <c r="AG114" s="501"/>
      <c r="AH114" s="375">
        <v>8000</v>
      </c>
      <c r="AI114" s="375">
        <v>10000</v>
      </c>
      <c r="AJ114" s="375">
        <v>10000</v>
      </c>
      <c r="AK114" s="481">
        <v>21100</v>
      </c>
      <c r="AL114" s="375">
        <f>19800+28800</f>
        <v>48600</v>
      </c>
      <c r="AM114" s="481">
        <v>60000</v>
      </c>
      <c r="AN114" s="376">
        <v>81750</v>
      </c>
      <c r="AO114" s="379">
        <v>136250</v>
      </c>
      <c r="AP114" s="375">
        <v>136250</v>
      </c>
      <c r="AQ114" s="375">
        <v>185250</v>
      </c>
      <c r="AR114" s="375">
        <v>186250</v>
      </c>
      <c r="AS114" s="375">
        <v>250000</v>
      </c>
      <c r="AT114" s="375">
        <v>250000</v>
      </c>
      <c r="AU114" s="606">
        <v>250000</v>
      </c>
      <c r="AV114" s="375"/>
      <c r="AW114" s="375"/>
      <c r="AX114" s="375"/>
      <c r="AY114" s="375"/>
      <c r="AZ114" s="376"/>
      <c r="BA114" s="401">
        <f t="shared" si="47"/>
        <v>1633450</v>
      </c>
    </row>
    <row r="115" spans="1:53" s="28" customFormat="1" ht="20.100000000000001" customHeight="1">
      <c r="A115" s="32" t="str">
        <f>Vecinos!A115</f>
        <v>Familia Rodríguez Landaeta</v>
      </c>
      <c r="B115" s="33" t="str">
        <f>Vecinos!C115</f>
        <v>Calle Güigüe Nro. 89-29</v>
      </c>
      <c r="C115" s="34" t="str">
        <f>IF(SUMIFS(Vigilancia!$E:$E,Vigilancia!$F:$F,A115,Vigilancia!$J:$J,"Vigilancia")=BA115,"ü","û")</f>
        <v>ü</v>
      </c>
      <c r="D115" s="184"/>
      <c r="E115" s="185"/>
      <c r="F115" s="186"/>
      <c r="G115" s="186"/>
      <c r="H115" s="186">
        <f>10000/100000</f>
        <v>0.1</v>
      </c>
      <c r="I115" s="186">
        <f>10000/100000</f>
        <v>0.1</v>
      </c>
      <c r="J115" s="186">
        <f>13000/100000</f>
        <v>0.13</v>
      </c>
      <c r="K115" s="186">
        <f>15000/100000</f>
        <v>0.15</v>
      </c>
      <c r="L115" s="186">
        <f>15000/100000</f>
        <v>0.15</v>
      </c>
      <c r="M115" s="186">
        <f>17000/100000</f>
        <v>0.17</v>
      </c>
      <c r="N115" s="186">
        <f>15000/100000</f>
        <v>0.15</v>
      </c>
      <c r="O115" s="186">
        <f>15000/100000</f>
        <v>0.15</v>
      </c>
      <c r="P115" s="184">
        <f>17000/100000</f>
        <v>0.17</v>
      </c>
      <c r="Q115" s="187">
        <f>40000/100000</f>
        <v>0.4</v>
      </c>
      <c r="R115" s="188">
        <f>40000/100000</f>
        <v>0.4</v>
      </c>
      <c r="S115" s="188">
        <f>80000/100000</f>
        <v>0.8</v>
      </c>
      <c r="T115" s="188">
        <f>80000/100000</f>
        <v>0.8</v>
      </c>
      <c r="U115" s="188">
        <f>200000/100000</f>
        <v>2</v>
      </c>
      <c r="V115" s="188">
        <f>200000/100000+100000/100000</f>
        <v>3</v>
      </c>
      <c r="W115" s="188">
        <f>500000/100000</f>
        <v>5</v>
      </c>
      <c r="X115" s="188">
        <v>12</v>
      </c>
      <c r="Y115" s="188">
        <v>320</v>
      </c>
      <c r="Z115" s="188">
        <v>250</v>
      </c>
      <c r="AA115" s="188">
        <v>250</v>
      </c>
      <c r="AB115" s="184">
        <v>400</v>
      </c>
      <c r="AC115" s="371">
        <v>600</v>
      </c>
      <c r="AD115" s="372">
        <v>1500</v>
      </c>
      <c r="AE115" s="372">
        <v>2000</v>
      </c>
      <c r="AF115" s="372">
        <v>2500</v>
      </c>
      <c r="AG115" s="372">
        <f>2500</f>
        <v>2500</v>
      </c>
      <c r="AH115" s="372">
        <v>5000</v>
      </c>
      <c r="AI115" s="372">
        <v>5000</v>
      </c>
      <c r="AJ115" s="372">
        <v>5000</v>
      </c>
      <c r="AK115" s="372">
        <v>10000</v>
      </c>
      <c r="AL115" s="372">
        <v>10000</v>
      </c>
      <c r="AM115" s="372">
        <v>25000</v>
      </c>
      <c r="AN115" s="373">
        <v>55600</v>
      </c>
      <c r="AO115" s="371">
        <v>55600</v>
      </c>
      <c r="AP115" s="372">
        <v>55600</v>
      </c>
      <c r="AQ115" s="372">
        <v>80000</v>
      </c>
      <c r="AR115" s="372">
        <v>80000</v>
      </c>
      <c r="AS115" s="372">
        <v>100000</v>
      </c>
      <c r="AT115" s="372"/>
      <c r="AU115" s="372"/>
      <c r="AV115" s="372"/>
      <c r="AW115" s="372"/>
      <c r="AX115" s="372"/>
      <c r="AY115" s="372"/>
      <c r="AZ115" s="373"/>
      <c r="BA115" s="400">
        <f t="shared" si="47"/>
        <v>497145.67</v>
      </c>
    </row>
    <row r="116" spans="1:53" s="28" customFormat="1" ht="20.100000000000001" customHeight="1">
      <c r="A116" s="29" t="str">
        <f>Vecinos!A116</f>
        <v>Familia Molina Estopiñán</v>
      </c>
      <c r="B116" s="30" t="str">
        <f>Vecinos!C116</f>
        <v>Calle Güigüe Nro. 89-30</v>
      </c>
      <c r="C116" s="35" t="str">
        <f>IF(SUMIFS(Vigilancia!$E:$E,Vigilancia!$F:$F,A116,Vigilancia!$J:$J,"Vigilancia")=BA116,"ü","û")</f>
        <v>ü</v>
      </c>
      <c r="D116" s="177"/>
      <c r="E116" s="178"/>
      <c r="F116" s="179"/>
      <c r="G116" s="179"/>
      <c r="H116" s="179"/>
      <c r="I116" s="179"/>
      <c r="J116" s="179"/>
      <c r="K116" s="179"/>
      <c r="L116" s="179"/>
      <c r="M116" s="179"/>
      <c r="N116" s="179"/>
      <c r="O116" s="179"/>
      <c r="P116" s="177"/>
      <c r="Q116" s="181"/>
      <c r="R116" s="182"/>
      <c r="S116" s="182"/>
      <c r="T116" s="182"/>
      <c r="U116" s="182"/>
      <c r="V116" s="182"/>
      <c r="W116" s="182"/>
      <c r="X116" s="182"/>
      <c r="Y116" s="182"/>
      <c r="Z116" s="182"/>
      <c r="AA116" s="182"/>
      <c r="AB116" s="177"/>
      <c r="AC116" s="374"/>
      <c r="AD116" s="375"/>
      <c r="AE116" s="375"/>
      <c r="AF116" s="375"/>
      <c r="AG116" s="375"/>
      <c r="AH116" s="375"/>
      <c r="AI116" s="375"/>
      <c r="AJ116" s="375"/>
      <c r="AK116" s="375"/>
      <c r="AL116" s="375"/>
      <c r="AM116" s="375"/>
      <c r="AN116" s="376"/>
      <c r="AO116" s="374"/>
      <c r="AP116" s="375"/>
      <c r="AQ116" s="375"/>
      <c r="AR116" s="375"/>
      <c r="AS116" s="375"/>
      <c r="AT116" s="375"/>
      <c r="AU116" s="375"/>
      <c r="AV116" s="375"/>
      <c r="AW116" s="375"/>
      <c r="AX116" s="375"/>
      <c r="AY116" s="375"/>
      <c r="AZ116" s="376"/>
      <c r="BA116" s="401">
        <f t="shared" si="47"/>
        <v>0</v>
      </c>
    </row>
    <row r="117" spans="1:53" s="28" customFormat="1" ht="20.100000000000001" customHeight="1">
      <c r="A117" s="32" t="str">
        <f>Vecinos!A117</f>
        <v>Familia Sirit Palencia</v>
      </c>
      <c r="B117" s="33" t="str">
        <f>Vecinos!C117</f>
        <v>Calle Güigüe Nro. 89-35</v>
      </c>
      <c r="C117" s="34" t="str">
        <f>IF(SUMIFS(Vigilancia!$E:$E,Vigilancia!$F:$F,A117,Vigilancia!$J:$J,"Vigilancia")=BA117,"ü","û")</f>
        <v>ü</v>
      </c>
      <c r="D117" s="184"/>
      <c r="E117" s="185"/>
      <c r="F117" s="186"/>
      <c r="G117" s="186"/>
      <c r="H117" s="186">
        <f>5000/100000</f>
        <v>0.05</v>
      </c>
      <c r="I117" s="186"/>
      <c r="J117" s="186"/>
      <c r="K117" s="186"/>
      <c r="L117" s="186">
        <f>10000/100000</f>
        <v>0.1</v>
      </c>
      <c r="M117" s="186">
        <f>10000/100000</f>
        <v>0.1</v>
      </c>
      <c r="N117" s="186"/>
      <c r="O117" s="186"/>
      <c r="P117" s="184"/>
      <c r="Q117" s="187"/>
      <c r="R117" s="188"/>
      <c r="S117" s="188"/>
      <c r="T117" s="188"/>
      <c r="U117" s="188"/>
      <c r="V117" s="188"/>
      <c r="W117" s="188">
        <f>500000/100000</f>
        <v>5</v>
      </c>
      <c r="X117" s="188"/>
      <c r="Y117" s="188"/>
      <c r="Z117" s="188">
        <v>320</v>
      </c>
      <c r="AA117" s="188">
        <v>320</v>
      </c>
      <c r="AB117" s="184">
        <v>800</v>
      </c>
      <c r="AC117" s="371">
        <f>160+640+160</f>
        <v>960</v>
      </c>
      <c r="AD117" s="372">
        <v>1500</v>
      </c>
      <c r="AE117" s="372">
        <v>3000</v>
      </c>
      <c r="AF117" s="372">
        <f>3000+2000</f>
        <v>5000</v>
      </c>
      <c r="AG117" s="372">
        <v>8000</v>
      </c>
      <c r="AH117" s="372">
        <v>8000</v>
      </c>
      <c r="AI117" s="372">
        <v>10000</v>
      </c>
      <c r="AJ117" s="372">
        <v>10000</v>
      </c>
      <c r="AK117" s="372">
        <v>21600</v>
      </c>
      <c r="AL117" s="372">
        <f>21100</f>
        <v>21100</v>
      </c>
      <c r="AM117" s="372">
        <v>100000</v>
      </c>
      <c r="AN117" s="373">
        <v>100000</v>
      </c>
      <c r="AO117" s="371">
        <v>100000</v>
      </c>
      <c r="AP117" s="372">
        <v>100000</v>
      </c>
      <c r="AQ117" s="372">
        <v>100000</v>
      </c>
      <c r="AR117" s="372">
        <v>175000</v>
      </c>
      <c r="AS117" s="372">
        <v>175000</v>
      </c>
      <c r="AT117" s="372"/>
      <c r="AU117" s="372"/>
      <c r="AV117" s="372"/>
      <c r="AW117" s="372"/>
      <c r="AX117" s="372"/>
      <c r="AY117" s="372"/>
      <c r="AZ117" s="373"/>
      <c r="BA117" s="400">
        <f t="shared" si="47"/>
        <v>940605.25</v>
      </c>
    </row>
    <row r="118" spans="1:53" s="28" customFormat="1" ht="20.100000000000001" customHeight="1">
      <c r="A118" s="29" t="str">
        <f>Vecinos!A118</f>
        <v>Familia Guerra Miret</v>
      </c>
      <c r="B118" s="30" t="str">
        <f>Vecinos!C118</f>
        <v>Calle Güigüe Nro. 89-40</v>
      </c>
      <c r="C118" s="35" t="str">
        <f>IF(SUMIFS(Vigilancia!$E:$E,Vigilancia!$F:$F,A118,Vigilancia!$J:$J,"Vigilancia")=BA118,"ü","û")</f>
        <v>ü</v>
      </c>
      <c r="D118" s="177"/>
      <c r="E118" s="193">
        <f>12000/100000</f>
        <v>0.12</v>
      </c>
      <c r="F118" s="180">
        <f>12000/100000</f>
        <v>0.12</v>
      </c>
      <c r="G118" s="180">
        <f>12000/100000</f>
        <v>0.12</v>
      </c>
      <c r="H118" s="179">
        <f>17000/100000</f>
        <v>0.17</v>
      </c>
      <c r="I118" s="223"/>
      <c r="J118" s="179">
        <f>26000/100000</f>
        <v>0.26</v>
      </c>
      <c r="K118" s="179">
        <f>1000/100000+34000/100000</f>
        <v>0.35000000000000003</v>
      </c>
      <c r="L118" s="179">
        <f>1000/100000+34000/100000</f>
        <v>0.35000000000000003</v>
      </c>
      <c r="M118" s="179">
        <f>1000/100000+34000/100000</f>
        <v>0.35000000000000003</v>
      </c>
      <c r="N118" s="179">
        <f>1000/100000+34000/100000</f>
        <v>0.35000000000000003</v>
      </c>
      <c r="O118" s="179">
        <f>50000/100000</f>
        <v>0.5</v>
      </c>
      <c r="P118" s="177">
        <f>50000/100000</f>
        <v>0.5</v>
      </c>
      <c r="Q118" s="181">
        <f>50000/100000+30000/100000</f>
        <v>0.8</v>
      </c>
      <c r="R118" s="182">
        <f>80000/100000</f>
        <v>0.8</v>
      </c>
      <c r="S118" s="182">
        <f>80000/100000+60000/100000</f>
        <v>1.4</v>
      </c>
      <c r="T118" s="182">
        <f>80000/100000+60000/100000</f>
        <v>1.4</v>
      </c>
      <c r="U118" s="182">
        <f>400000/100000</f>
        <v>4</v>
      </c>
      <c r="V118" s="182">
        <f>400000/100000+225000/100000</f>
        <v>6.25</v>
      </c>
      <c r="W118" s="182">
        <f>1000000/100000</f>
        <v>10</v>
      </c>
      <c r="X118" s="182">
        <f>1200000/100000</f>
        <v>12</v>
      </c>
      <c r="Y118" s="182">
        <v>320</v>
      </c>
      <c r="Z118" s="182">
        <v>320</v>
      </c>
      <c r="AA118" s="182">
        <v>320</v>
      </c>
      <c r="AB118" s="342">
        <v>800</v>
      </c>
      <c r="AC118" s="374">
        <f>800+2200</f>
        <v>3000</v>
      </c>
      <c r="AD118" s="375">
        <v>3000</v>
      </c>
      <c r="AE118" s="375">
        <v>3000</v>
      </c>
      <c r="AF118" s="375">
        <f>3000+2000</f>
        <v>5000</v>
      </c>
      <c r="AG118" s="375">
        <f>5000+3000</f>
        <v>8000</v>
      </c>
      <c r="AH118" s="375">
        <v>8000</v>
      </c>
      <c r="AI118" s="375">
        <v>10000</v>
      </c>
      <c r="AJ118" s="375">
        <v>10000</v>
      </c>
      <c r="AK118" s="375">
        <v>23400</v>
      </c>
      <c r="AL118" s="375">
        <f>21100+25900+4250</f>
        <v>51250</v>
      </c>
      <c r="AM118" s="375">
        <v>51250</v>
      </c>
      <c r="AN118" s="376">
        <v>81750</v>
      </c>
      <c r="AO118" s="374">
        <v>105250</v>
      </c>
      <c r="AP118" s="375">
        <v>136250</v>
      </c>
      <c r="AQ118" s="375">
        <v>185250</v>
      </c>
      <c r="AR118" s="375">
        <v>185250</v>
      </c>
      <c r="AS118" s="375">
        <v>250000</v>
      </c>
      <c r="AT118" s="375">
        <v>250000</v>
      </c>
      <c r="AU118" s="375">
        <v>320000</v>
      </c>
      <c r="AV118" s="375"/>
      <c r="AW118" s="375"/>
      <c r="AX118" s="375"/>
      <c r="AY118" s="375"/>
      <c r="AZ118" s="376"/>
      <c r="BA118" s="401">
        <f t="shared" si="47"/>
        <v>1691449.8399999999</v>
      </c>
    </row>
    <row r="119" spans="1:53" s="28" customFormat="1" ht="20.100000000000001" customHeight="1">
      <c r="A119" s="29" t="str">
        <f>Vecinos!A119</f>
        <v>Familia Jiménez Salvatierra</v>
      </c>
      <c r="B119" s="30" t="str">
        <f>Vecinos!C119</f>
        <v>Calle Güigüe Nro. 89-45</v>
      </c>
      <c r="C119" s="35" t="str">
        <f>IF(SUMIFS(Vigilancia!$E:$E,Vigilancia!$F:$F,A119,Vigilancia!$J:$J,"Vigilancia")=BA119,"ü","û")</f>
        <v>ü</v>
      </c>
      <c r="D119" s="177"/>
      <c r="E119" s="178">
        <f>16000/100000+1000/100000</f>
        <v>0.17</v>
      </c>
      <c r="F119" s="179">
        <f>17000/100000</f>
        <v>0.17</v>
      </c>
      <c r="G119" s="179">
        <f>17000/100000</f>
        <v>0.17</v>
      </c>
      <c r="H119" s="179">
        <f>17000/100000</f>
        <v>0.17</v>
      </c>
      <c r="I119" s="179">
        <f>26000/100000</f>
        <v>0.26</v>
      </c>
      <c r="J119" s="179">
        <f>26000/100000</f>
        <v>0.26</v>
      </c>
      <c r="K119" s="179">
        <f>35000/100000</f>
        <v>0.35</v>
      </c>
      <c r="L119" s="179">
        <f>35000/100000</f>
        <v>0.35</v>
      </c>
      <c r="M119" s="179">
        <f>35000/100000</f>
        <v>0.35</v>
      </c>
      <c r="N119" s="179">
        <f>35000/100000</f>
        <v>0.35</v>
      </c>
      <c r="O119" s="179">
        <f>35000/100000+15000/100000</f>
        <v>0.5</v>
      </c>
      <c r="P119" s="177">
        <f>25000/100000+25000/100000</f>
        <v>0.5</v>
      </c>
      <c r="Q119" s="181">
        <f>80000/100000</f>
        <v>0.8</v>
      </c>
      <c r="R119" s="182">
        <f>20000/100000+60000/100000</f>
        <v>0.8</v>
      </c>
      <c r="S119" s="182">
        <f>80000/100000+60000/100000</f>
        <v>1.4</v>
      </c>
      <c r="T119" s="182">
        <f>20000/100000+120000/100000</f>
        <v>1.4</v>
      </c>
      <c r="U119" s="182">
        <f>400000/100000</f>
        <v>4</v>
      </c>
      <c r="V119" s="182">
        <f>400000/100000+225000/100000</f>
        <v>6.25</v>
      </c>
      <c r="W119" s="182">
        <f>1000000/100000</f>
        <v>10</v>
      </c>
      <c r="X119" s="182">
        <f>1200000/100000</f>
        <v>12</v>
      </c>
      <c r="Y119" s="182"/>
      <c r="Z119" s="182"/>
      <c r="AA119" s="182"/>
      <c r="AB119" s="177"/>
      <c r="AC119" s="374"/>
      <c r="AD119" s="375"/>
      <c r="AE119" s="375"/>
      <c r="AF119" s="375"/>
      <c r="AG119" s="375"/>
      <c r="AH119" s="375"/>
      <c r="AI119" s="375"/>
      <c r="AJ119" s="375"/>
      <c r="AK119" s="375"/>
      <c r="AL119" s="375"/>
      <c r="AM119" s="375"/>
      <c r="AN119" s="376"/>
      <c r="AO119" s="374"/>
      <c r="AP119" s="375"/>
      <c r="AQ119" s="375"/>
      <c r="AR119" s="375"/>
      <c r="AS119" s="375"/>
      <c r="AT119" s="375"/>
      <c r="AU119" s="375"/>
      <c r="AV119" s="375"/>
      <c r="AW119" s="375"/>
      <c r="AX119" s="375"/>
      <c r="AY119" s="375"/>
      <c r="AZ119" s="376"/>
      <c r="BA119" s="401">
        <f t="shared" si="47"/>
        <v>40.25</v>
      </c>
    </row>
    <row r="120" spans="1:53" s="28" customFormat="1" ht="20.100000000000001" customHeight="1">
      <c r="A120" s="29" t="str">
        <f>Vecinos!A120</f>
        <v>Familia Alonso Rojas</v>
      </c>
      <c r="B120" s="30" t="str">
        <f>Vecinos!C120</f>
        <v>Calle Güigüe Nro. 89-54</v>
      </c>
      <c r="C120" s="35" t="str">
        <f>IF(SUMIFS(Vigilancia!$E:$E,Vigilancia!$F:$F,A120,Vigilancia!$J:$J,"Vigilancia")=BA120,"ü","û")</f>
        <v>ü</v>
      </c>
      <c r="D120" s="177"/>
      <c r="E120" s="178"/>
      <c r="F120" s="179"/>
      <c r="G120" s="179"/>
      <c r="H120" s="179"/>
      <c r="I120" s="179"/>
      <c r="J120" s="179"/>
      <c r="K120" s="179"/>
      <c r="L120" s="179"/>
      <c r="M120" s="179"/>
      <c r="N120" s="179"/>
      <c r="O120" s="179">
        <f>50000/100000</f>
        <v>0.5</v>
      </c>
      <c r="P120" s="177">
        <f>50000/100000</f>
        <v>0.5</v>
      </c>
      <c r="Q120" s="181">
        <f>50000/100000+30000/100000</f>
        <v>0.8</v>
      </c>
      <c r="R120" s="182">
        <f>80000/100000</f>
        <v>0.8</v>
      </c>
      <c r="S120" s="182">
        <f>140000/100000</f>
        <v>1.4</v>
      </c>
      <c r="T120" s="182">
        <f>20000/100000+120000/100000</f>
        <v>1.4</v>
      </c>
      <c r="U120" s="182">
        <f>140000/100000+260000/100000</f>
        <v>4</v>
      </c>
      <c r="V120" s="182">
        <f>400000/100000+225000/100000</f>
        <v>6.25</v>
      </c>
      <c r="W120" s="182">
        <f>850000/100000+150000/100000</f>
        <v>10</v>
      </c>
      <c r="X120" s="182">
        <v>15</v>
      </c>
      <c r="Y120" s="182">
        <v>320</v>
      </c>
      <c r="Z120" s="182">
        <v>320</v>
      </c>
      <c r="AA120" s="182">
        <v>320</v>
      </c>
      <c r="AB120" s="346">
        <v>500</v>
      </c>
      <c r="AC120" s="379">
        <f>850+2150</f>
        <v>3000</v>
      </c>
      <c r="AD120" s="375">
        <f>2850+150</f>
        <v>3000</v>
      </c>
      <c r="AE120" s="375">
        <v>3000</v>
      </c>
      <c r="AF120" s="375">
        <v>5000</v>
      </c>
      <c r="AG120" s="375">
        <v>8000</v>
      </c>
      <c r="AH120" s="375">
        <v>8000</v>
      </c>
      <c r="AI120" s="375">
        <v>10000</v>
      </c>
      <c r="AJ120" s="380">
        <f>666+9334</f>
        <v>10000</v>
      </c>
      <c r="AK120" s="481">
        <v>20000</v>
      </c>
      <c r="AL120" s="375">
        <v>56250</v>
      </c>
      <c r="AM120" s="375">
        <v>56250</v>
      </c>
      <c r="AN120" s="376">
        <v>105250</v>
      </c>
      <c r="AO120" s="379">
        <v>136250</v>
      </c>
      <c r="AP120" s="375">
        <v>140000</v>
      </c>
      <c r="AQ120" s="375">
        <v>200000</v>
      </c>
      <c r="AR120" s="375">
        <v>185250</v>
      </c>
      <c r="AS120" s="375">
        <f>214750+50000</f>
        <v>264750</v>
      </c>
      <c r="AT120" s="375">
        <v>250000</v>
      </c>
      <c r="AU120" s="375">
        <v>320000</v>
      </c>
      <c r="AV120" s="380"/>
      <c r="AW120" s="375"/>
      <c r="AX120" s="375"/>
      <c r="AY120" s="375"/>
      <c r="AZ120" s="376"/>
      <c r="BA120" s="401">
        <f t="shared" si="47"/>
        <v>1785500.65</v>
      </c>
    </row>
    <row r="121" spans="1:53" s="28" customFormat="1" ht="20.100000000000001" customHeight="1">
      <c r="A121" s="29" t="str">
        <f>Vecinos!A121</f>
        <v>Familia Fermín Rivas</v>
      </c>
      <c r="B121" s="30" t="str">
        <f>Vecinos!C121</f>
        <v>Calle Güigüe Nro. 89-55</v>
      </c>
      <c r="C121" s="35" t="str">
        <f>IF(SUMIFS(Vigilancia!$E:$E,Vigilancia!$F:$F,A121,Vigilancia!$J:$J,"Vigilancia")=BA121,"ü","û")</f>
        <v>ü</v>
      </c>
      <c r="D121" s="177"/>
      <c r="E121" s="178">
        <f>10500/100000+6500/100000</f>
        <v>0.16999999999999998</v>
      </c>
      <c r="F121" s="179">
        <f>7488/100000+9512/100000</f>
        <v>0.16999999999999998</v>
      </c>
      <c r="G121" s="179">
        <f>17000/100000</f>
        <v>0.17</v>
      </c>
      <c r="H121" s="179">
        <f>17000/100000</f>
        <v>0.17</v>
      </c>
      <c r="I121" s="179">
        <f>26000/100000</f>
        <v>0.26</v>
      </c>
      <c r="J121" s="179">
        <f>26000/100000</f>
        <v>0.26</v>
      </c>
      <c r="K121" s="179">
        <f>25000/100000+10000/100000</f>
        <v>0.35</v>
      </c>
      <c r="L121" s="179">
        <f>30000/100000+5000/100000</f>
        <v>0.35</v>
      </c>
      <c r="M121" s="179">
        <f>35000/100000</f>
        <v>0.35</v>
      </c>
      <c r="N121" s="179">
        <f>35000/100000</f>
        <v>0.35</v>
      </c>
      <c r="O121" s="179">
        <f>50000/100000</f>
        <v>0.5</v>
      </c>
      <c r="P121" s="177">
        <f>50000/100000</f>
        <v>0.5</v>
      </c>
      <c r="Q121" s="181">
        <f>80000/100000</f>
        <v>0.8</v>
      </c>
      <c r="R121" s="182">
        <f>80000/100000</f>
        <v>0.8</v>
      </c>
      <c r="S121" s="182">
        <f>140000/100000</f>
        <v>1.4</v>
      </c>
      <c r="T121" s="182">
        <f>20000/100000+120000/100000</f>
        <v>1.4</v>
      </c>
      <c r="U121" s="182">
        <f>400000/100000</f>
        <v>4</v>
      </c>
      <c r="V121" s="182">
        <f>400000/100000+225000/100000</f>
        <v>6.25</v>
      </c>
      <c r="W121" s="182">
        <f>1000000/100000</f>
        <v>10</v>
      </c>
      <c r="X121" s="182">
        <f>1200000/100000</f>
        <v>12</v>
      </c>
      <c r="Y121" s="182">
        <v>320</v>
      </c>
      <c r="Z121" s="182">
        <v>320</v>
      </c>
      <c r="AA121" s="182">
        <v>320</v>
      </c>
      <c r="AB121" s="342">
        <v>800</v>
      </c>
      <c r="AC121" s="379">
        <f>1800+1200</f>
        <v>3000</v>
      </c>
      <c r="AD121" s="375">
        <f>1425+1575</f>
        <v>3000</v>
      </c>
      <c r="AE121" s="375">
        <v>3000</v>
      </c>
      <c r="AF121" s="375">
        <f>3000+5000</f>
        <v>8000</v>
      </c>
      <c r="AG121" s="375">
        <v>8000</v>
      </c>
      <c r="AH121" s="375">
        <f>3666+4334</f>
        <v>8000</v>
      </c>
      <c r="AI121" s="375">
        <f>8000+2000</f>
        <v>10000</v>
      </c>
      <c r="AJ121" s="380">
        <f>666+9334</f>
        <v>10000</v>
      </c>
      <c r="AK121" s="375">
        <f>4966+18435</f>
        <v>23401</v>
      </c>
      <c r="AL121" s="375">
        <f>21100+25900</f>
        <v>47000</v>
      </c>
      <c r="AM121" s="375">
        <v>51250</v>
      </c>
      <c r="AN121" s="376">
        <v>81750</v>
      </c>
      <c r="AO121" s="374">
        <v>136250</v>
      </c>
      <c r="AP121" s="375">
        <v>136250</v>
      </c>
      <c r="AQ121" s="375">
        <v>185250</v>
      </c>
      <c r="AR121" s="375">
        <v>185250</v>
      </c>
      <c r="AS121" s="375">
        <v>250000</v>
      </c>
      <c r="AT121" s="375">
        <v>250000</v>
      </c>
      <c r="AU121" s="375"/>
      <c r="AV121" s="375"/>
      <c r="AW121" s="375"/>
      <c r="AX121" s="375"/>
      <c r="AY121" s="375"/>
      <c r="AZ121" s="376"/>
      <c r="BA121" s="401">
        <f t="shared" si="47"/>
        <v>1401201.25</v>
      </c>
    </row>
    <row r="122" spans="1:53" s="28" customFormat="1" ht="20.100000000000001" customHeight="1">
      <c r="A122" s="29" t="str">
        <f>Vecinos!A122</f>
        <v>Familia Blonval Hernández</v>
      </c>
      <c r="B122" s="30" t="str">
        <f>Vecinos!C122</f>
        <v>Calle Güigüe Nro. 89-64</v>
      </c>
      <c r="C122" s="35" t="str">
        <f>IF(SUMIFS(Vigilancia!$E:$E,Vigilancia!$F:$F,A122,Vigilancia!$J:$J,"Vigilancia")=BA122,"ü","û")</f>
        <v>ü</v>
      </c>
      <c r="D122" s="177"/>
      <c r="E122" s="178"/>
      <c r="F122" s="179"/>
      <c r="G122" s="179"/>
      <c r="H122" s="179"/>
      <c r="I122" s="179"/>
      <c r="J122" s="179"/>
      <c r="K122" s="179"/>
      <c r="L122" s="179"/>
      <c r="M122" s="179"/>
      <c r="N122" s="179"/>
      <c r="O122" s="179"/>
      <c r="P122" s="177"/>
      <c r="Q122" s="181"/>
      <c r="R122" s="182"/>
      <c r="S122" s="182"/>
      <c r="T122" s="182"/>
      <c r="U122" s="182"/>
      <c r="V122" s="182"/>
      <c r="W122" s="182"/>
      <c r="X122" s="182"/>
      <c r="Y122" s="182"/>
      <c r="Z122" s="182"/>
      <c r="AA122" s="182"/>
      <c r="AB122" s="177"/>
      <c r="AC122" s="374"/>
      <c r="AD122" s="375"/>
      <c r="AE122" s="375"/>
      <c r="AF122" s="375"/>
      <c r="AG122" s="375"/>
      <c r="AH122" s="375"/>
      <c r="AI122" s="375"/>
      <c r="AJ122" s="375"/>
      <c r="AK122" s="375"/>
      <c r="AL122" s="375"/>
      <c r="AM122" s="375"/>
      <c r="AN122" s="376"/>
      <c r="AO122" s="374"/>
      <c r="AP122" s="375"/>
      <c r="AQ122" s="375"/>
      <c r="AR122" s="375"/>
      <c r="AS122" s="375"/>
      <c r="AT122" s="375"/>
      <c r="AU122" s="375"/>
      <c r="AV122" s="375"/>
      <c r="AW122" s="375"/>
      <c r="AX122" s="375"/>
      <c r="AY122" s="375"/>
      <c r="AZ122" s="376"/>
      <c r="BA122" s="401">
        <f t="shared" si="47"/>
        <v>0</v>
      </c>
    </row>
    <row r="123" spans="1:53" s="28" customFormat="1" ht="20.100000000000001" customHeight="1">
      <c r="A123" s="29" t="str">
        <f>Vecinos!A123</f>
        <v>Familia Milanés Carmona</v>
      </c>
      <c r="B123" s="30" t="str">
        <f>Vecinos!C123</f>
        <v>Calle Güigüe Nro. 89-65</v>
      </c>
      <c r="C123" s="35" t="str">
        <f>IF(SUMIFS(Vigilancia!$E:$E,Vigilancia!$F:$F,A123,Vigilancia!$J:$J,"Vigilancia")=BA123,"ü","û")</f>
        <v>ü</v>
      </c>
      <c r="D123" s="177"/>
      <c r="E123" s="193"/>
      <c r="F123" s="180"/>
      <c r="G123" s="180"/>
      <c r="H123" s="180"/>
      <c r="I123" s="180"/>
      <c r="J123" s="179">
        <f>26000/100000</f>
        <v>0.26</v>
      </c>
      <c r="K123" s="179">
        <f>35000/100000</f>
        <v>0.35</v>
      </c>
      <c r="L123" s="179">
        <f>35000/100000</f>
        <v>0.35</v>
      </c>
      <c r="M123" s="179">
        <f>35000/100000</f>
        <v>0.35</v>
      </c>
      <c r="N123" s="179">
        <f>35000/100000</f>
        <v>0.35</v>
      </c>
      <c r="O123" s="179">
        <f>50000/100000</f>
        <v>0.5</v>
      </c>
      <c r="P123" s="177">
        <f>50000/100000</f>
        <v>0.5</v>
      </c>
      <c r="Q123" s="181">
        <f>80000/100000</f>
        <v>0.8</v>
      </c>
      <c r="R123" s="182">
        <f>80000/100000</f>
        <v>0.8</v>
      </c>
      <c r="S123" s="182">
        <f>80000/100000+60000/100000</f>
        <v>1.4</v>
      </c>
      <c r="T123" s="182">
        <f>140000/100000</f>
        <v>1.4</v>
      </c>
      <c r="U123" s="182">
        <f>400000/100000</f>
        <v>4</v>
      </c>
      <c r="V123" s="182">
        <f>400000/100000+225000/100000</f>
        <v>6.25</v>
      </c>
      <c r="W123" s="182">
        <f>850000/100000+150000/100000</f>
        <v>10</v>
      </c>
      <c r="X123" s="182">
        <f>1200000/100000</f>
        <v>12</v>
      </c>
      <c r="Y123" s="189">
        <f>1300000/100000+320</f>
        <v>333</v>
      </c>
      <c r="Z123" s="189">
        <f>13+307</f>
        <v>320</v>
      </c>
      <c r="AA123" s="182">
        <v>320</v>
      </c>
      <c r="AB123" s="342">
        <f>320+480</f>
        <v>800</v>
      </c>
      <c r="AC123" s="379">
        <f>13+787+2200</f>
        <v>3000</v>
      </c>
      <c r="AD123" s="375">
        <v>3000</v>
      </c>
      <c r="AE123" s="375">
        <v>3000</v>
      </c>
      <c r="AF123" s="375">
        <v>5000</v>
      </c>
      <c r="AG123" s="375">
        <v>8000</v>
      </c>
      <c r="AH123" s="375">
        <v>8000</v>
      </c>
      <c r="AI123" s="375">
        <v>10000</v>
      </c>
      <c r="AJ123" s="375">
        <v>10000</v>
      </c>
      <c r="AK123" s="375">
        <v>19800</v>
      </c>
      <c r="AL123" s="542">
        <f>20000+30000</f>
        <v>50000</v>
      </c>
      <c r="AM123" s="542">
        <v>60000</v>
      </c>
      <c r="AN123" s="376">
        <v>105250</v>
      </c>
      <c r="AO123" s="379">
        <v>136250</v>
      </c>
      <c r="AP123" s="375">
        <v>136250</v>
      </c>
      <c r="AQ123" s="375">
        <v>185250</v>
      </c>
      <c r="AR123" s="375">
        <v>200000</v>
      </c>
      <c r="AS123" s="375">
        <v>250000</v>
      </c>
      <c r="AT123" s="375">
        <v>250000</v>
      </c>
      <c r="AU123" s="375"/>
      <c r="AV123" s="375"/>
      <c r="AW123" s="375"/>
      <c r="AX123" s="375"/>
      <c r="AY123" s="375"/>
      <c r="AZ123" s="376"/>
      <c r="BA123" s="401">
        <f t="shared" si="47"/>
        <v>1444612.31</v>
      </c>
    </row>
    <row r="124" spans="1:53" s="28" customFormat="1" ht="20.100000000000001" customHeight="1">
      <c r="A124" s="29" t="str">
        <f>Vecinos!A124</f>
        <v>Familia Medina Colina</v>
      </c>
      <c r="B124" s="30" t="str">
        <f>Vecinos!C124</f>
        <v>Calle Güigüe Nro. 89-70</v>
      </c>
      <c r="C124" s="35" t="str">
        <f>IF(SUMIFS(Vigilancia!$E:$E,Vigilancia!$F:$F,A124,Vigilancia!$J:$J,"Vigilancia")=BA124,"ü","û")</f>
        <v>ü</v>
      </c>
      <c r="D124" s="177"/>
      <c r="E124" s="178">
        <f>17000/100000</f>
        <v>0.17</v>
      </c>
      <c r="F124" s="179">
        <f>17000/100000</f>
        <v>0.17</v>
      </c>
      <c r="G124" s="179"/>
      <c r="H124" s="179"/>
      <c r="I124" s="179"/>
      <c r="J124" s="179"/>
      <c r="K124" s="179"/>
      <c r="L124" s="179"/>
      <c r="M124" s="179"/>
      <c r="N124" s="179"/>
      <c r="O124" s="179"/>
      <c r="P124" s="177"/>
      <c r="Q124" s="228" t="s">
        <v>17</v>
      </c>
      <c r="R124" s="229" t="s">
        <v>17</v>
      </c>
      <c r="S124" s="229" t="s">
        <v>17</v>
      </c>
      <c r="T124" s="229" t="s">
        <v>17</v>
      </c>
      <c r="U124" s="229" t="s">
        <v>17</v>
      </c>
      <c r="V124" s="229" t="s">
        <v>17</v>
      </c>
      <c r="W124" s="229" t="s">
        <v>17</v>
      </c>
      <c r="X124" s="229" t="s">
        <v>17</v>
      </c>
      <c r="Y124" s="229" t="s">
        <v>17</v>
      </c>
      <c r="Z124" s="229" t="s">
        <v>17</v>
      </c>
      <c r="AA124" s="229" t="s">
        <v>17</v>
      </c>
      <c r="AB124" s="230" t="s">
        <v>17</v>
      </c>
      <c r="AC124" s="374"/>
      <c r="AD124" s="375"/>
      <c r="AE124" s="375"/>
      <c r="AF124" s="375"/>
      <c r="AG124" s="375"/>
      <c r="AH124" s="375"/>
      <c r="AI124" s="375"/>
      <c r="AJ124" s="375"/>
      <c r="AK124" s="375"/>
      <c r="AL124" s="375"/>
      <c r="AM124" s="375"/>
      <c r="AN124" s="376"/>
      <c r="AO124" s="374"/>
      <c r="AP124" s="375"/>
      <c r="AQ124" s="375"/>
      <c r="AR124" s="375"/>
      <c r="AS124" s="375"/>
      <c r="AT124" s="375"/>
      <c r="AU124" s="375"/>
      <c r="AV124" s="375"/>
      <c r="AW124" s="375"/>
      <c r="AX124" s="375"/>
      <c r="AY124" s="375"/>
      <c r="AZ124" s="376"/>
      <c r="BA124" s="401">
        <f t="shared" si="47"/>
        <v>0.34</v>
      </c>
    </row>
    <row r="125" spans="1:53" s="28" customFormat="1" ht="20.100000000000001" customHeight="1">
      <c r="A125" s="32" t="str">
        <f>Vecinos!A125</f>
        <v>Gloria Molina</v>
      </c>
      <c r="B125" s="33" t="str">
        <f>Vecinos!C125</f>
        <v>Calle Güigüe Nro. 89-71</v>
      </c>
      <c r="C125" s="34" t="str">
        <f>IF(SUMIFS(Vigilancia!$E:$E,Vigilancia!$F:$F,A125,Vigilancia!$J:$J,"Vigilancia")=BA125,"ü","û")</f>
        <v>ü</v>
      </c>
      <c r="D125" s="184"/>
      <c r="E125" s="185">
        <f>10000/100000</f>
        <v>0.1</v>
      </c>
      <c r="F125" s="186">
        <f>10000/100000</f>
        <v>0.1</v>
      </c>
      <c r="G125" s="186">
        <f>10000/100000</f>
        <v>0.1</v>
      </c>
      <c r="H125" s="186">
        <f t="shared" ref="H125:M125" si="63">15000/100000</f>
        <v>0.15</v>
      </c>
      <c r="I125" s="186">
        <f t="shared" si="63"/>
        <v>0.15</v>
      </c>
      <c r="J125" s="186">
        <f t="shared" si="63"/>
        <v>0.15</v>
      </c>
      <c r="K125" s="186">
        <f t="shared" si="63"/>
        <v>0.15</v>
      </c>
      <c r="L125" s="186">
        <f t="shared" si="63"/>
        <v>0.15</v>
      </c>
      <c r="M125" s="186">
        <f t="shared" si="63"/>
        <v>0.15</v>
      </c>
      <c r="N125" s="186">
        <f>20000/100000</f>
        <v>0.2</v>
      </c>
      <c r="O125" s="186">
        <f>20000/100000</f>
        <v>0.2</v>
      </c>
      <c r="P125" s="184">
        <f>20000/100000</f>
        <v>0.2</v>
      </c>
      <c r="Q125" s="187">
        <f>50000/100000</f>
        <v>0.5</v>
      </c>
      <c r="R125" s="188">
        <f>50000/100000</f>
        <v>0.5</v>
      </c>
      <c r="S125" s="188">
        <f>100000/100000</f>
        <v>1</v>
      </c>
      <c r="T125" s="188">
        <f>100000/100000</f>
        <v>1</v>
      </c>
      <c r="U125" s="188">
        <f>200000/100000</f>
        <v>2</v>
      </c>
      <c r="V125" s="188">
        <f>400000/100000</f>
        <v>4</v>
      </c>
      <c r="W125" s="188">
        <f>500000/100000</f>
        <v>5</v>
      </c>
      <c r="X125" s="188">
        <v>10</v>
      </c>
      <c r="Y125" s="188">
        <v>300</v>
      </c>
      <c r="Z125" s="188">
        <v>200</v>
      </c>
      <c r="AA125" s="188">
        <v>200</v>
      </c>
      <c r="AB125" s="184">
        <v>500</v>
      </c>
      <c r="AC125" s="371">
        <v>1500</v>
      </c>
      <c r="AD125" s="372">
        <v>1500</v>
      </c>
      <c r="AE125" s="372">
        <v>3000</v>
      </c>
      <c r="AF125" s="372">
        <f>3000</f>
        <v>3000</v>
      </c>
      <c r="AG125" s="372">
        <v>8000</v>
      </c>
      <c r="AH125" s="372">
        <v>8000</v>
      </c>
      <c r="AI125" s="372">
        <v>10000</v>
      </c>
      <c r="AJ125" s="372">
        <v>10000</v>
      </c>
      <c r="AK125" s="372">
        <v>19800</v>
      </c>
      <c r="AL125" s="372">
        <v>47000</v>
      </c>
      <c r="AM125" s="372">
        <v>60000</v>
      </c>
      <c r="AN125" s="373">
        <v>60000</v>
      </c>
      <c r="AO125" s="371">
        <v>100000</v>
      </c>
      <c r="AP125" s="372">
        <v>100000</v>
      </c>
      <c r="AQ125" s="372">
        <v>100000</v>
      </c>
      <c r="AR125" s="372">
        <v>100000</v>
      </c>
      <c r="AS125" s="372">
        <v>150000</v>
      </c>
      <c r="AT125" s="372"/>
      <c r="AU125" s="372"/>
      <c r="AV125" s="372"/>
      <c r="AW125" s="372"/>
      <c r="AX125" s="372"/>
      <c r="AY125" s="372"/>
      <c r="AZ125" s="373"/>
      <c r="BA125" s="400">
        <f t="shared" si="47"/>
        <v>783025.8</v>
      </c>
    </row>
    <row r="126" spans="1:53" s="28" customFormat="1" ht="20.100000000000001" customHeight="1">
      <c r="A126" s="29" t="str">
        <f>Vecinos!A126</f>
        <v>Familia Gurmeitte</v>
      </c>
      <c r="B126" s="30" t="str">
        <f>Vecinos!C126</f>
        <v>Calle Güigüe Nro. 89-74</v>
      </c>
      <c r="C126" s="35" t="str">
        <f>IF(SUMIFS(Vigilancia!$E:$E,Vigilancia!$F:$F,A126,Vigilancia!$J:$J,"Vigilancia")=BA126,"ü","û")</f>
        <v>ü</v>
      </c>
      <c r="D126" s="177"/>
      <c r="E126" s="178"/>
      <c r="F126" s="179"/>
      <c r="G126" s="179"/>
      <c r="H126" s="179"/>
      <c r="I126" s="179"/>
      <c r="J126" s="179"/>
      <c r="K126" s="179"/>
      <c r="L126" s="179"/>
      <c r="M126" s="179"/>
      <c r="N126" s="179"/>
      <c r="O126" s="179"/>
      <c r="P126" s="177"/>
      <c r="Q126" s="181"/>
      <c r="R126" s="182"/>
      <c r="S126" s="182"/>
      <c r="T126" s="182"/>
      <c r="U126" s="182"/>
      <c r="V126" s="182"/>
      <c r="W126" s="182"/>
      <c r="X126" s="182"/>
      <c r="Y126" s="182"/>
      <c r="Z126" s="182"/>
      <c r="AA126" s="182"/>
      <c r="AB126" s="177"/>
      <c r="AC126" s="374"/>
      <c r="AD126" s="375"/>
      <c r="AE126" s="375"/>
      <c r="AF126" s="375"/>
      <c r="AG126" s="375"/>
      <c r="AH126" s="375"/>
      <c r="AI126" s="375"/>
      <c r="AJ126" s="375"/>
      <c r="AK126" s="375"/>
      <c r="AL126" s="375"/>
      <c r="AM126" s="375"/>
      <c r="AN126" s="376"/>
      <c r="AO126" s="374"/>
      <c r="AP126" s="375"/>
      <c r="AQ126" s="375"/>
      <c r="AR126" s="375"/>
      <c r="AS126" s="375"/>
      <c r="AT126" s="375"/>
      <c r="AU126" s="375"/>
      <c r="AV126" s="375"/>
      <c r="AW126" s="375"/>
      <c r="AX126" s="375"/>
      <c r="AY126" s="375"/>
      <c r="AZ126" s="376"/>
      <c r="BA126" s="401">
        <f t="shared" si="47"/>
        <v>0</v>
      </c>
    </row>
    <row r="127" spans="1:53" s="28" customFormat="1" ht="20.100000000000001" customHeight="1">
      <c r="A127" s="29" t="str">
        <f>Vecinos!A127</f>
        <v>Familia López Hermoso</v>
      </c>
      <c r="B127" s="30" t="str">
        <f>Vecinos!C127</f>
        <v>Calle Güigüe Nro. 89-79</v>
      </c>
      <c r="C127" s="35" t="str">
        <f>IF(SUMIFS(Vigilancia!$E:$E,Vigilancia!$F:$F,A127,Vigilancia!$J:$J,"Vigilancia")=BA127,"ü","û")</f>
        <v>ü</v>
      </c>
      <c r="D127" s="177"/>
      <c r="E127" s="178">
        <f>17000/100000</f>
        <v>0.17</v>
      </c>
      <c r="F127" s="179">
        <f>17000/100000</f>
        <v>0.17</v>
      </c>
      <c r="G127" s="179">
        <f>17000/100000</f>
        <v>0.17</v>
      </c>
      <c r="H127" s="179">
        <f>17000/100000</f>
        <v>0.17</v>
      </c>
      <c r="I127" s="179">
        <f>26000/100000</f>
        <v>0.26</v>
      </c>
      <c r="J127" s="179">
        <f>17000/100000+9000/100000</f>
        <v>0.26</v>
      </c>
      <c r="K127" s="179">
        <f>35000/100000</f>
        <v>0.35</v>
      </c>
      <c r="L127" s="179">
        <f>35000/100000</f>
        <v>0.35</v>
      </c>
      <c r="M127" s="179">
        <f>35000/100000</f>
        <v>0.35</v>
      </c>
      <c r="N127" s="179">
        <f>35000/100000</f>
        <v>0.35</v>
      </c>
      <c r="O127" s="179">
        <f>50000/100000</f>
        <v>0.5</v>
      </c>
      <c r="P127" s="177">
        <f>50000/100000</f>
        <v>0.5</v>
      </c>
      <c r="Q127" s="181">
        <f>80000/100000</f>
        <v>0.8</v>
      </c>
      <c r="R127" s="182">
        <f>80000/100000</f>
        <v>0.8</v>
      </c>
      <c r="S127" s="182">
        <f t="shared" ref="S127:T129" si="64">140000/100000</f>
        <v>1.4</v>
      </c>
      <c r="T127" s="182">
        <f t="shared" si="64"/>
        <v>1.4</v>
      </c>
      <c r="U127" s="182">
        <f>400000/100000</f>
        <v>4</v>
      </c>
      <c r="V127" s="182">
        <f>625000/100000</f>
        <v>6.25</v>
      </c>
      <c r="W127" s="182">
        <f>1000000/100000</f>
        <v>10</v>
      </c>
      <c r="X127" s="182">
        <f>1200000/100000</f>
        <v>12</v>
      </c>
      <c r="Y127" s="182">
        <v>320</v>
      </c>
      <c r="Z127" s="182">
        <v>320</v>
      </c>
      <c r="AA127" s="182">
        <v>320</v>
      </c>
      <c r="AB127" s="177">
        <f>800+11.15</f>
        <v>811.15</v>
      </c>
      <c r="AC127" s="374">
        <v>3000</v>
      </c>
      <c r="AD127" s="375">
        <v>3000</v>
      </c>
      <c r="AE127" s="375">
        <v>3000</v>
      </c>
      <c r="AF127" s="375">
        <v>5000</v>
      </c>
      <c r="AG127" s="375">
        <v>8000</v>
      </c>
      <c r="AH127" s="375">
        <v>8000</v>
      </c>
      <c r="AI127" s="375">
        <v>10000</v>
      </c>
      <c r="AJ127" s="375">
        <v>10000</v>
      </c>
      <c r="AK127" s="375">
        <v>19800</v>
      </c>
      <c r="AL127" s="375">
        <v>47000</v>
      </c>
      <c r="AM127" s="375">
        <v>73500</v>
      </c>
      <c r="AN127" s="376">
        <v>105250</v>
      </c>
      <c r="AO127" s="374">
        <v>137000</v>
      </c>
      <c r="AP127" s="375">
        <v>137000</v>
      </c>
      <c r="AQ127" s="375">
        <v>200000</v>
      </c>
      <c r="AR127" s="375">
        <v>200000</v>
      </c>
      <c r="AS127" s="375">
        <v>250000</v>
      </c>
      <c r="AT127" s="375">
        <v>250000</v>
      </c>
      <c r="AU127" s="375"/>
      <c r="AV127" s="375"/>
      <c r="AW127" s="375"/>
      <c r="AX127" s="375"/>
      <c r="AY127" s="375"/>
      <c r="AZ127" s="376"/>
      <c r="BA127" s="401">
        <f t="shared" si="47"/>
        <v>1471361.4</v>
      </c>
    </row>
    <row r="128" spans="1:53" s="28" customFormat="1" ht="20.100000000000001" customHeight="1">
      <c r="A128" s="32" t="str">
        <f>Vecinos!A128</f>
        <v>Familia Kablan Sarmiento</v>
      </c>
      <c r="B128" s="33" t="str">
        <f>Vecinos!C128</f>
        <v>Calle Güigüe Nro. 89-80</v>
      </c>
      <c r="C128" s="34" t="str">
        <f>IF(SUMIFS(Vigilancia!$E:$E,Vigilancia!$F:$F,A128,Vigilancia!$J:$J,"Vigilancia")=BA128,"ü","û")</f>
        <v>ü</v>
      </c>
      <c r="D128" s="184"/>
      <c r="E128" s="185">
        <f>10000/100000</f>
        <v>0.1</v>
      </c>
      <c r="F128" s="186">
        <f>10000/100000</f>
        <v>0.1</v>
      </c>
      <c r="G128" s="186">
        <f>10000/100000</f>
        <v>0.1</v>
      </c>
      <c r="H128" s="186">
        <f>10000/100000</f>
        <v>0.1</v>
      </c>
      <c r="I128" s="186">
        <f>15000/100000</f>
        <v>0.15</v>
      </c>
      <c r="J128" s="186">
        <f>15000/100000</f>
        <v>0.15</v>
      </c>
      <c r="K128" s="186">
        <f>20000/100000</f>
        <v>0.2</v>
      </c>
      <c r="L128" s="186">
        <f>20000/100000</f>
        <v>0.2</v>
      </c>
      <c r="M128" s="186">
        <f>20000/100000</f>
        <v>0.2</v>
      </c>
      <c r="N128" s="186">
        <f>20000/100000</f>
        <v>0.2</v>
      </c>
      <c r="O128" s="186">
        <f>40000/100000</f>
        <v>0.4</v>
      </c>
      <c r="P128" s="184">
        <f>40000/100000</f>
        <v>0.4</v>
      </c>
      <c r="Q128" s="181">
        <f>80000/100000</f>
        <v>0.8</v>
      </c>
      <c r="R128" s="182">
        <f>80000/100000</f>
        <v>0.8</v>
      </c>
      <c r="S128" s="182">
        <f t="shared" si="64"/>
        <v>1.4</v>
      </c>
      <c r="T128" s="182">
        <f t="shared" si="64"/>
        <v>1.4</v>
      </c>
      <c r="U128" s="182">
        <f>400000/100000</f>
        <v>4</v>
      </c>
      <c r="V128" s="182">
        <f>400000/100000+225000/100000</f>
        <v>6.25</v>
      </c>
      <c r="W128" s="182">
        <f>1000000/100000</f>
        <v>10</v>
      </c>
      <c r="X128" s="182">
        <f>1200000/100000</f>
        <v>12</v>
      </c>
      <c r="Y128" s="182">
        <v>320</v>
      </c>
      <c r="Z128" s="182">
        <v>320</v>
      </c>
      <c r="AA128" s="182">
        <v>320</v>
      </c>
      <c r="AB128" s="177">
        <v>800</v>
      </c>
      <c r="AC128" s="374">
        <v>3000</v>
      </c>
      <c r="AD128" s="375">
        <v>3000</v>
      </c>
      <c r="AE128" s="375">
        <v>3000</v>
      </c>
      <c r="AF128" s="375">
        <v>5000</v>
      </c>
      <c r="AG128" s="375">
        <v>8000</v>
      </c>
      <c r="AH128" s="375">
        <v>8000</v>
      </c>
      <c r="AI128" s="375">
        <v>10000</v>
      </c>
      <c r="AJ128" s="375">
        <v>10000</v>
      </c>
      <c r="AK128" s="481">
        <v>20000</v>
      </c>
      <c r="AL128" s="542">
        <f>20000+31000</f>
        <v>51000</v>
      </c>
      <c r="AM128" s="375">
        <f>47000+4250</f>
        <v>51250</v>
      </c>
      <c r="AN128" s="376">
        <v>97500</v>
      </c>
      <c r="AO128" s="374">
        <v>136250</v>
      </c>
      <c r="AP128" s="375">
        <v>136250</v>
      </c>
      <c r="AQ128" s="375">
        <v>185250</v>
      </c>
      <c r="AR128" s="375">
        <v>185250</v>
      </c>
      <c r="AS128" s="375">
        <v>250000</v>
      </c>
      <c r="AT128" s="375">
        <v>250000</v>
      </c>
      <c r="AU128" s="375"/>
      <c r="AV128" s="375"/>
      <c r="AW128" s="375"/>
      <c r="AX128" s="375"/>
      <c r="AY128" s="375"/>
      <c r="AZ128" s="376"/>
      <c r="BA128" s="401">
        <f t="shared" si="47"/>
        <v>1414548.95</v>
      </c>
    </row>
    <row r="129" spans="1:53" s="28" customFormat="1" ht="20.100000000000001" customHeight="1">
      <c r="A129" s="29" t="str">
        <f>Vecinos!A129</f>
        <v>Familia Ferrer Bahri</v>
      </c>
      <c r="B129" s="30" t="str">
        <f>Vecinos!C129</f>
        <v>Calle Güigüe Nro. 89-83</v>
      </c>
      <c r="C129" s="35" t="str">
        <f>IF(SUMIFS(Vigilancia!$E:$E,Vigilancia!$F:$F,A129,Vigilancia!$J:$J,"Vigilancia")=BA129,"ü","û")</f>
        <v>ü</v>
      </c>
      <c r="D129" s="177"/>
      <c r="E129" s="178">
        <f>17000/100000</f>
        <v>0.17</v>
      </c>
      <c r="F129" s="179">
        <f>17000/100000</f>
        <v>0.17</v>
      </c>
      <c r="G129" s="179">
        <f>17000/100000</f>
        <v>0.17</v>
      </c>
      <c r="H129" s="179">
        <f>17000/100000</f>
        <v>0.17</v>
      </c>
      <c r="I129" s="179">
        <f>26000/100000</f>
        <v>0.26</v>
      </c>
      <c r="J129" s="179">
        <f>26000/100000</f>
        <v>0.26</v>
      </c>
      <c r="K129" s="179">
        <f>26000/100000+9000/100000</f>
        <v>0.35</v>
      </c>
      <c r="L129" s="179">
        <f>35000/100000</f>
        <v>0.35</v>
      </c>
      <c r="M129" s="179">
        <f>35000/100000</f>
        <v>0.35</v>
      </c>
      <c r="N129" s="179">
        <f>35000/100000</f>
        <v>0.35</v>
      </c>
      <c r="O129" s="179">
        <f>35000/100000+15000/100000</f>
        <v>0.5</v>
      </c>
      <c r="P129" s="177">
        <f>50000/100000</f>
        <v>0.5</v>
      </c>
      <c r="Q129" s="181">
        <f>50000/100000+30000/100000</f>
        <v>0.8</v>
      </c>
      <c r="R129" s="182">
        <f>80000/100000</f>
        <v>0.8</v>
      </c>
      <c r="S129" s="182">
        <f t="shared" si="64"/>
        <v>1.4</v>
      </c>
      <c r="T129" s="182">
        <f t="shared" si="64"/>
        <v>1.4</v>
      </c>
      <c r="U129" s="182">
        <f>400000/100000</f>
        <v>4</v>
      </c>
      <c r="V129" s="182">
        <f>400000/100000+225000/100000</f>
        <v>6.25</v>
      </c>
      <c r="W129" s="182">
        <f>850000/100000+150000/100000</f>
        <v>10</v>
      </c>
      <c r="X129" s="182">
        <f>1200000/100000</f>
        <v>12</v>
      </c>
      <c r="Y129" s="182">
        <v>320</v>
      </c>
      <c r="Z129" s="182">
        <v>320</v>
      </c>
      <c r="AA129" s="189">
        <v>320</v>
      </c>
      <c r="AB129" s="342">
        <f t="shared" ref="AB129" si="65">320+480</f>
        <v>800</v>
      </c>
      <c r="AC129" s="379">
        <f>320+480+2200</f>
        <v>3000</v>
      </c>
      <c r="AD129" s="375">
        <v>3000</v>
      </c>
      <c r="AE129" s="375">
        <v>6000</v>
      </c>
      <c r="AF129" s="375">
        <v>6000</v>
      </c>
      <c r="AG129" s="375">
        <v>12000</v>
      </c>
      <c r="AH129" s="481">
        <v>12000</v>
      </c>
      <c r="AI129" s="481">
        <v>20000</v>
      </c>
      <c r="AJ129" s="481">
        <v>20000</v>
      </c>
      <c r="AK129" s="375">
        <f>20000+3400</f>
        <v>23400</v>
      </c>
      <c r="AL129" s="375">
        <f>30000+17000</f>
        <v>47000</v>
      </c>
      <c r="AM129" s="542">
        <v>60000</v>
      </c>
      <c r="AN129" s="376">
        <v>150000</v>
      </c>
      <c r="AO129" s="374">
        <v>150000</v>
      </c>
      <c r="AP129" s="375">
        <v>150000</v>
      </c>
      <c r="AQ129" s="375">
        <v>200000</v>
      </c>
      <c r="AR129" s="375">
        <v>250000</v>
      </c>
      <c r="AS129" s="375">
        <v>350000</v>
      </c>
      <c r="AT129" s="375">
        <v>400000</v>
      </c>
      <c r="AU129" s="375">
        <v>500000</v>
      </c>
      <c r="AV129" s="375"/>
      <c r="AW129" s="375"/>
      <c r="AX129" s="375"/>
      <c r="AY129" s="375"/>
      <c r="AZ129" s="376"/>
      <c r="BA129" s="401">
        <f t="shared" si="47"/>
        <v>2364200.25</v>
      </c>
    </row>
    <row r="130" spans="1:53" s="28" customFormat="1" ht="20.100000000000001" customHeight="1">
      <c r="A130" s="66" t="str">
        <f>Vecinos!A130</f>
        <v>Familia Amirante</v>
      </c>
      <c r="B130" s="67" t="str">
        <f>Vecinos!C130</f>
        <v>Calle Güigüe Nro. 89-89</v>
      </c>
      <c r="C130" s="35" t="str">
        <f>IF(SUMIFS(Vigilancia!$E:$E,Vigilancia!$F:$F,A130,Vigilancia!$J:$J,"Vigilancia")=BA130,"ü","û")</f>
        <v>ü</v>
      </c>
      <c r="D130" s="177"/>
      <c r="E130" s="178"/>
      <c r="F130" s="179"/>
      <c r="G130" s="179"/>
      <c r="H130" s="179"/>
      <c r="I130" s="179"/>
      <c r="J130" s="179"/>
      <c r="K130" s="179"/>
      <c r="L130" s="179"/>
      <c r="M130" s="179"/>
      <c r="N130" s="179"/>
      <c r="O130" s="179"/>
      <c r="P130" s="177"/>
      <c r="Q130" s="181"/>
      <c r="R130" s="182"/>
      <c r="S130" s="182"/>
      <c r="T130" s="202" t="s">
        <v>1256</v>
      </c>
      <c r="U130" s="203"/>
      <c r="V130" s="203"/>
      <c r="W130" s="203"/>
      <c r="X130" s="203"/>
      <c r="Y130" s="203"/>
      <c r="Z130" s="203"/>
      <c r="AA130" s="203"/>
      <c r="AB130" s="204"/>
      <c r="AC130" s="388"/>
      <c r="AD130" s="378"/>
      <c r="AE130" s="378"/>
      <c r="AF130" s="378"/>
      <c r="AG130" s="378"/>
      <c r="AH130" s="378"/>
      <c r="AI130" s="378"/>
      <c r="AJ130" s="378"/>
      <c r="AK130" s="378"/>
      <c r="AL130" s="378"/>
      <c r="AM130" s="378"/>
      <c r="AN130" s="389"/>
      <c r="AO130" s="388"/>
      <c r="AP130" s="378"/>
      <c r="AQ130" s="378"/>
      <c r="AR130" s="378"/>
      <c r="AS130" s="378"/>
      <c r="AT130" s="378"/>
      <c r="AU130" s="378"/>
      <c r="AV130" s="378"/>
      <c r="AW130" s="378"/>
      <c r="AX130" s="378"/>
      <c r="AY130" s="378"/>
      <c r="AZ130" s="389"/>
      <c r="BA130" s="404">
        <f t="shared" si="47"/>
        <v>0</v>
      </c>
    </row>
    <row r="131" spans="1:53" s="28" customFormat="1" ht="20.100000000000001" customHeight="1">
      <c r="A131" s="66" t="str">
        <f>Vecinos!A131</f>
        <v>Familia Civitico Rueda</v>
      </c>
      <c r="B131" s="67" t="str">
        <f>Vecinos!C131</f>
        <v>Calle Güigüe Nro. 89-89</v>
      </c>
      <c r="C131" s="35" t="str">
        <f>IF(SUMIFS(Vigilancia!$E:$E,Vigilancia!$F:$F,A131,Vigilancia!$J:$J,"Vigilancia")=BA131,"ü","û")</f>
        <v>ü</v>
      </c>
      <c r="D131" s="212"/>
      <c r="E131" s="213"/>
      <c r="F131" s="214"/>
      <c r="G131" s="214"/>
      <c r="H131" s="214"/>
      <c r="I131" s="214"/>
      <c r="J131" s="214"/>
      <c r="K131" s="214"/>
      <c r="L131" s="214"/>
      <c r="M131" s="214"/>
      <c r="N131" s="214"/>
      <c r="O131" s="214"/>
      <c r="P131" s="212"/>
      <c r="Q131" s="215"/>
      <c r="R131" s="216"/>
      <c r="S131" s="216"/>
      <c r="T131" s="182">
        <f>20000/100000+120000/100000</f>
        <v>1.4</v>
      </c>
      <c r="U131" s="182">
        <f>140000/100000+260000/100000</f>
        <v>4</v>
      </c>
      <c r="V131" s="190">
        <f>400000/100000</f>
        <v>4</v>
      </c>
      <c r="W131" s="202" t="s">
        <v>1258</v>
      </c>
      <c r="X131" s="203"/>
      <c r="Y131" s="203"/>
      <c r="Z131" s="203"/>
      <c r="AA131" s="203"/>
      <c r="AB131" s="204"/>
      <c r="AC131" s="388"/>
      <c r="AD131" s="378"/>
      <c r="AE131" s="378"/>
      <c r="AF131" s="378"/>
      <c r="AG131" s="378"/>
      <c r="AH131" s="378"/>
      <c r="AI131" s="378"/>
      <c r="AJ131" s="378"/>
      <c r="AK131" s="378"/>
      <c r="AL131" s="378"/>
      <c r="AM131" s="378"/>
      <c r="AN131" s="389"/>
      <c r="AO131" s="388"/>
      <c r="AP131" s="378"/>
      <c r="AQ131" s="378"/>
      <c r="AR131" s="378"/>
      <c r="AS131" s="378"/>
      <c r="AT131" s="378"/>
      <c r="AU131" s="378"/>
      <c r="AV131" s="378"/>
      <c r="AW131" s="378"/>
      <c r="AX131" s="378"/>
      <c r="AY131" s="378"/>
      <c r="AZ131" s="389"/>
      <c r="BA131" s="404">
        <f t="shared" si="47"/>
        <v>9.4</v>
      </c>
    </row>
    <row r="132" spans="1:53" s="28" customFormat="1" ht="20.100000000000001" customHeight="1">
      <c r="A132" s="29" t="str">
        <f>Vecinos!A132</f>
        <v>Wilson Escamilla</v>
      </c>
      <c r="B132" s="30" t="str">
        <f>Vecinos!C132</f>
        <v>Calle Güigüe Nro. 89-89</v>
      </c>
      <c r="C132" s="35" t="str">
        <f>IF(SUMIFS(Vigilancia!$E:$E,Vigilancia!$F:$F,A132,Vigilancia!$J:$J,"Vigilancia")=BA132,"ü","û")</f>
        <v>ü</v>
      </c>
      <c r="D132" s="212"/>
      <c r="E132" s="213"/>
      <c r="F132" s="214"/>
      <c r="G132" s="214"/>
      <c r="H132" s="214"/>
      <c r="I132" s="214"/>
      <c r="J132" s="214"/>
      <c r="K132" s="214"/>
      <c r="L132" s="214"/>
      <c r="M132" s="214"/>
      <c r="N132" s="214"/>
      <c r="O132" s="214"/>
      <c r="P132" s="212"/>
      <c r="Q132" s="215"/>
      <c r="R132" s="216"/>
      <c r="S132" s="216"/>
      <c r="T132" s="216"/>
      <c r="U132" s="216"/>
      <c r="V132" s="216">
        <f>225000/100000</f>
        <v>2.25</v>
      </c>
      <c r="W132" s="182">
        <f>1000000/100000</f>
        <v>10</v>
      </c>
      <c r="X132" s="182">
        <v>12</v>
      </c>
      <c r="Y132" s="182">
        <v>320</v>
      </c>
      <c r="Z132" s="182">
        <v>320</v>
      </c>
      <c r="AA132" s="189">
        <v>320</v>
      </c>
      <c r="AB132" s="342">
        <v>800</v>
      </c>
      <c r="AC132" s="381">
        <f>44.2+755.8+2000</f>
        <v>2800</v>
      </c>
      <c r="AD132" s="375">
        <v>3000</v>
      </c>
      <c r="AE132" s="380">
        <v>3000</v>
      </c>
      <c r="AF132" s="375">
        <v>5000</v>
      </c>
      <c r="AG132" s="375">
        <f>3000+5000</f>
        <v>8000</v>
      </c>
      <c r="AH132" s="375">
        <v>8000</v>
      </c>
      <c r="AI132" s="375">
        <v>10000</v>
      </c>
      <c r="AJ132" s="375">
        <v>10000</v>
      </c>
      <c r="AK132" s="375">
        <v>20500</v>
      </c>
      <c r="AL132" s="375">
        <v>56250</v>
      </c>
      <c r="AM132" s="375">
        <v>56250</v>
      </c>
      <c r="AN132" s="376">
        <v>183500</v>
      </c>
      <c r="AO132" s="374">
        <v>183500</v>
      </c>
      <c r="AP132" s="375">
        <v>183500</v>
      </c>
      <c r="AQ132" s="375">
        <v>183500</v>
      </c>
      <c r="AR132" s="375">
        <v>185250</v>
      </c>
      <c r="AS132" s="375">
        <v>250000</v>
      </c>
      <c r="AT132" s="375">
        <f>250000</f>
        <v>250000</v>
      </c>
      <c r="AU132" s="375">
        <v>320000</v>
      </c>
      <c r="AV132" s="375"/>
      <c r="AW132" s="375"/>
      <c r="AX132" s="375"/>
      <c r="AY132" s="375"/>
      <c r="AZ132" s="376"/>
      <c r="BA132" s="401">
        <f t="shared" si="47"/>
        <v>1923834.25</v>
      </c>
    </row>
    <row r="133" spans="1:53" s="28" customFormat="1" ht="20.100000000000001" customHeight="1">
      <c r="A133" s="66" t="str">
        <f>Vecinos!A133</f>
        <v>Familia Herrera Guada</v>
      </c>
      <c r="B133" s="67" t="str">
        <f>Vecinos!C133</f>
        <v>Calle Güigüe Nro. 89-90</v>
      </c>
      <c r="C133" s="35" t="str">
        <f>IF(SUMIFS(Vigilancia!$E:$E,Vigilancia!$F:$F,A133,Vigilancia!$J:$J,"Vigilancia")=BA133,"ü","û")</f>
        <v>ü</v>
      </c>
      <c r="D133" s="184"/>
      <c r="E133" s="185">
        <f>4500/100000</f>
        <v>4.4999999999999998E-2</v>
      </c>
      <c r="F133" s="186">
        <f>4500/100000</f>
        <v>4.4999999999999998E-2</v>
      </c>
      <c r="G133" s="186">
        <f>5000/100000</f>
        <v>0.05</v>
      </c>
      <c r="H133" s="186">
        <f>5000/100000</f>
        <v>0.05</v>
      </c>
      <c r="I133" s="186">
        <f>5000/100000</f>
        <v>0.05</v>
      </c>
      <c r="J133" s="219" t="s">
        <v>1256</v>
      </c>
      <c r="K133" s="231"/>
      <c r="L133" s="231"/>
      <c r="M133" s="231"/>
      <c r="N133" s="231"/>
      <c r="O133" s="231"/>
      <c r="P133" s="220"/>
      <c r="Q133" s="221"/>
      <c r="R133" s="222"/>
      <c r="S133" s="222"/>
      <c r="T133" s="222"/>
      <c r="U133" s="222"/>
      <c r="V133" s="222"/>
      <c r="W133" s="222"/>
      <c r="X133" s="222"/>
      <c r="Y133" s="222"/>
      <c r="Z133" s="222"/>
      <c r="AA133" s="222"/>
      <c r="AB133" s="220"/>
      <c r="AC133" s="390"/>
      <c r="AD133" s="391"/>
      <c r="AE133" s="391"/>
      <c r="AF133" s="391"/>
      <c r="AG133" s="391"/>
      <c r="AH133" s="391"/>
      <c r="AI133" s="391"/>
      <c r="AJ133" s="391"/>
      <c r="AK133" s="391"/>
      <c r="AL133" s="391"/>
      <c r="AM133" s="391"/>
      <c r="AN133" s="392"/>
      <c r="AO133" s="390"/>
      <c r="AP133" s="391"/>
      <c r="AQ133" s="391"/>
      <c r="AR133" s="391"/>
      <c r="AS133" s="391"/>
      <c r="AT133" s="391"/>
      <c r="AU133" s="391"/>
      <c r="AV133" s="391"/>
      <c r="AW133" s="391"/>
      <c r="AX133" s="391"/>
      <c r="AY133" s="391"/>
      <c r="AZ133" s="392"/>
      <c r="BA133" s="405">
        <f t="shared" si="47"/>
        <v>0.24</v>
      </c>
    </row>
    <row r="134" spans="1:53" s="28" customFormat="1" ht="20.100000000000001" customHeight="1">
      <c r="A134" s="29" t="str">
        <f>Vecinos!A134</f>
        <v>Familia Montilla García</v>
      </c>
      <c r="B134" s="30" t="str">
        <f>Vecinos!C134</f>
        <v>Calle Güigüe Nro. 89-90</v>
      </c>
      <c r="C134" s="35" t="str">
        <f>IF(SUMIFS(Vigilancia!$E:$E,Vigilancia!$F:$F,A134,Vigilancia!$J:$J,"Vigilancia")=BA134,"ü","û")</f>
        <v>ü</v>
      </c>
      <c r="D134" s="212"/>
      <c r="E134" s="213"/>
      <c r="F134" s="214"/>
      <c r="G134" s="214"/>
      <c r="H134" s="214"/>
      <c r="I134" s="214"/>
      <c r="J134" s="179">
        <f>26000/100000</f>
        <v>0.26</v>
      </c>
      <c r="K134" s="224">
        <f>26000/100000</f>
        <v>0.26</v>
      </c>
      <c r="L134" s="179">
        <f t="shared" ref="L134:N138" si="66">35000/100000</f>
        <v>0.35</v>
      </c>
      <c r="M134" s="179">
        <f t="shared" si="66"/>
        <v>0.35</v>
      </c>
      <c r="N134" s="179">
        <f t="shared" si="66"/>
        <v>0.35</v>
      </c>
      <c r="O134" s="179">
        <f t="shared" ref="O134:P138" si="67">50000/100000</f>
        <v>0.5</v>
      </c>
      <c r="P134" s="177">
        <f t="shared" si="67"/>
        <v>0.5</v>
      </c>
      <c r="Q134" s="181">
        <f t="shared" ref="Q134:R138" si="68">80000/100000</f>
        <v>0.8</v>
      </c>
      <c r="R134" s="182">
        <f t="shared" si="68"/>
        <v>0.8</v>
      </c>
      <c r="S134" s="182">
        <f>140000/100000</f>
        <v>1.4</v>
      </c>
      <c r="T134" s="182">
        <f>140000/100000</f>
        <v>1.4</v>
      </c>
      <c r="U134" s="182">
        <f>400000/100000</f>
        <v>4</v>
      </c>
      <c r="V134" s="182">
        <f>400000/100000+225000/100000</f>
        <v>6.25</v>
      </c>
      <c r="W134" s="182">
        <f>1030000/100000-225000/100000+195000/100000</f>
        <v>10</v>
      </c>
      <c r="X134" s="182">
        <f>1200000/100000</f>
        <v>12</v>
      </c>
      <c r="Y134" s="182">
        <v>320</v>
      </c>
      <c r="Z134" s="182">
        <v>320</v>
      </c>
      <c r="AA134" s="182">
        <v>320</v>
      </c>
      <c r="AB134" s="177">
        <v>800</v>
      </c>
      <c r="AC134" s="374">
        <v>3000</v>
      </c>
      <c r="AD134" s="375">
        <v>3000</v>
      </c>
      <c r="AE134" s="380">
        <v>3000</v>
      </c>
      <c r="AF134" s="380">
        <f>3000+2000</f>
        <v>5000</v>
      </c>
      <c r="AG134" s="375">
        <v>8000</v>
      </c>
      <c r="AH134" s="375">
        <v>8000</v>
      </c>
      <c r="AI134" s="375">
        <v>10000</v>
      </c>
      <c r="AJ134" s="380">
        <v>10000</v>
      </c>
      <c r="AK134" s="375">
        <v>20500</v>
      </c>
      <c r="AL134" s="375">
        <f>19800+36450</f>
        <v>56250</v>
      </c>
      <c r="AM134" s="375">
        <v>56250</v>
      </c>
      <c r="AN134" s="385">
        <f>7300+98700</f>
        <v>106000</v>
      </c>
      <c r="AO134" s="374">
        <f>7300+129700</f>
        <v>137000</v>
      </c>
      <c r="AP134" s="375">
        <f>7300+129000</f>
        <v>136300</v>
      </c>
      <c r="AQ134" s="380">
        <f>185000</f>
        <v>185000</v>
      </c>
      <c r="AR134" s="380">
        <v>187000</v>
      </c>
      <c r="AS134" s="375">
        <v>250000</v>
      </c>
      <c r="AT134" s="375">
        <v>250000</v>
      </c>
      <c r="AU134" s="375"/>
      <c r="AV134" s="380"/>
      <c r="AW134" s="375"/>
      <c r="AX134" s="375"/>
      <c r="AY134" s="375"/>
      <c r="AZ134" s="376"/>
      <c r="BA134" s="401">
        <f t="shared" si="47"/>
        <v>1436099.22</v>
      </c>
    </row>
    <row r="135" spans="1:53" s="28" customFormat="1" ht="20.100000000000001" customHeight="1">
      <c r="A135" s="29" t="str">
        <f>Vecinos!A135</f>
        <v>Familia Kattar González</v>
      </c>
      <c r="B135" s="30" t="str">
        <f>Vecinos!C135</f>
        <v>Calle Güigüe Nro. 89-95</v>
      </c>
      <c r="C135" s="35" t="str">
        <f>IF(SUMIFS(Vigilancia!$E:$E,Vigilancia!$F:$F,A135,Vigilancia!$J:$J,"Vigilancia")=BA135,"ü","û")</f>
        <v>ü</v>
      </c>
      <c r="D135" s="177"/>
      <c r="E135" s="178">
        <f>17000/100000</f>
        <v>0.17</v>
      </c>
      <c r="F135" s="180">
        <f>12000/100000</f>
        <v>0.12</v>
      </c>
      <c r="G135" s="180"/>
      <c r="H135" s="180"/>
      <c r="I135" s="179">
        <f>26000/100000</f>
        <v>0.26</v>
      </c>
      <c r="J135" s="179">
        <f>26000/100000</f>
        <v>0.26</v>
      </c>
      <c r="K135" s="179">
        <f>35000/100000</f>
        <v>0.35</v>
      </c>
      <c r="L135" s="179">
        <f t="shared" si="66"/>
        <v>0.35</v>
      </c>
      <c r="M135" s="179">
        <f t="shared" si="66"/>
        <v>0.35</v>
      </c>
      <c r="N135" s="179">
        <f t="shared" si="66"/>
        <v>0.35</v>
      </c>
      <c r="O135" s="179">
        <f t="shared" si="67"/>
        <v>0.5</v>
      </c>
      <c r="P135" s="177">
        <f t="shared" si="67"/>
        <v>0.5</v>
      </c>
      <c r="Q135" s="181">
        <f t="shared" si="68"/>
        <v>0.8</v>
      </c>
      <c r="R135" s="182">
        <f t="shared" si="68"/>
        <v>0.8</v>
      </c>
      <c r="S135" s="179">
        <f>50000/100000+90000/100000</f>
        <v>1.4</v>
      </c>
      <c r="T135" s="182">
        <f>140000/100000</f>
        <v>1.4</v>
      </c>
      <c r="U135" s="182">
        <f>20000/100000+380000/100000</f>
        <v>4</v>
      </c>
      <c r="V135" s="182">
        <f>400000/100000+225000/100000</f>
        <v>6.25</v>
      </c>
      <c r="W135" s="189">
        <f>400000/100000+450000/100000+150000/100000</f>
        <v>10</v>
      </c>
      <c r="X135" s="189">
        <f>400000/100000+800000/100000</f>
        <v>12</v>
      </c>
      <c r="Y135" s="189">
        <f>400000/100000+316</f>
        <v>320</v>
      </c>
      <c r="Z135" s="189">
        <f>20000/100000+319.8</f>
        <v>320</v>
      </c>
      <c r="AA135" s="182">
        <v>320</v>
      </c>
      <c r="AB135" s="342">
        <v>800</v>
      </c>
      <c r="AC135" s="379">
        <f>44.2+755.8+2200+44.2</f>
        <v>3044.2</v>
      </c>
      <c r="AD135" s="375">
        <v>3000</v>
      </c>
      <c r="AE135" s="380">
        <v>3000</v>
      </c>
      <c r="AF135" s="380">
        <v>5000</v>
      </c>
      <c r="AG135" s="380">
        <v>8000</v>
      </c>
      <c r="AH135" s="380">
        <v>8000</v>
      </c>
      <c r="AI135" s="380">
        <v>10000</v>
      </c>
      <c r="AJ135" s="542">
        <f>3900</f>
        <v>3900</v>
      </c>
      <c r="AK135" s="380">
        <v>20500</v>
      </c>
      <c r="AL135" s="380">
        <v>48000</v>
      </c>
      <c r="AM135" s="380">
        <v>81750</v>
      </c>
      <c r="AN135" s="385">
        <v>137000</v>
      </c>
      <c r="AO135" s="379">
        <v>136250</v>
      </c>
      <c r="AP135" s="375">
        <v>136000</v>
      </c>
      <c r="AQ135" s="380">
        <v>188000</v>
      </c>
      <c r="AR135" s="380">
        <v>186000</v>
      </c>
      <c r="AS135" s="380">
        <v>250000</v>
      </c>
      <c r="AT135" s="380">
        <v>250000</v>
      </c>
      <c r="AU135" s="380">
        <v>320000</v>
      </c>
      <c r="AV135" s="606">
        <f>130000</f>
        <v>130000</v>
      </c>
      <c r="AW135" s="380"/>
      <c r="AX135" s="380"/>
      <c r="AY135" s="380"/>
      <c r="AZ135" s="385"/>
      <c r="BA135" s="401">
        <f t="shared" si="47"/>
        <v>1929244.06</v>
      </c>
    </row>
    <row r="136" spans="1:53" s="28" customFormat="1" ht="20.100000000000001" customHeight="1">
      <c r="A136" s="29" t="str">
        <f>Vecinos!A136</f>
        <v>Amarilis Guerra</v>
      </c>
      <c r="B136" s="30" t="str">
        <f>Vecinos!C136</f>
        <v>Calle Güigüe Nro. 89-96</v>
      </c>
      <c r="C136" s="35" t="str">
        <f>IF(SUMIFS(Vigilancia!$E:$E,Vigilancia!$F:$F,A136,Vigilancia!$J:$J,"Vigilancia")=BA136,"ü","û")</f>
        <v>ü</v>
      </c>
      <c r="D136" s="177"/>
      <c r="E136" s="178">
        <f>17000/100000</f>
        <v>0.17</v>
      </c>
      <c r="F136" s="179">
        <f t="shared" ref="F136:H138" si="69">17000/100000</f>
        <v>0.17</v>
      </c>
      <c r="G136" s="179">
        <f t="shared" si="69"/>
        <v>0.17</v>
      </c>
      <c r="H136" s="179">
        <f t="shared" si="69"/>
        <v>0.17</v>
      </c>
      <c r="I136" s="179">
        <f>26000/100000</f>
        <v>0.26</v>
      </c>
      <c r="J136" s="179">
        <f>1000/100000+25000/100000</f>
        <v>0.26</v>
      </c>
      <c r="K136" s="179">
        <f>35000/100000</f>
        <v>0.35</v>
      </c>
      <c r="L136" s="179">
        <f t="shared" si="66"/>
        <v>0.35</v>
      </c>
      <c r="M136" s="179">
        <f t="shared" si="66"/>
        <v>0.35</v>
      </c>
      <c r="N136" s="179">
        <f t="shared" si="66"/>
        <v>0.35</v>
      </c>
      <c r="O136" s="179">
        <f t="shared" si="67"/>
        <v>0.5</v>
      </c>
      <c r="P136" s="177">
        <f t="shared" si="67"/>
        <v>0.5</v>
      </c>
      <c r="Q136" s="181">
        <f t="shared" si="68"/>
        <v>0.8</v>
      </c>
      <c r="R136" s="182">
        <f t="shared" si="68"/>
        <v>0.8</v>
      </c>
      <c r="S136" s="182">
        <f>140000/100000</f>
        <v>1.4</v>
      </c>
      <c r="T136" s="182">
        <f>140000/100000</f>
        <v>1.4</v>
      </c>
      <c r="U136" s="182">
        <f>400000/100000</f>
        <v>4</v>
      </c>
      <c r="V136" s="182">
        <f>400000/100000+225000/100000</f>
        <v>6.25</v>
      </c>
      <c r="W136" s="182">
        <f>1000000/100000</f>
        <v>10</v>
      </c>
      <c r="X136" s="182">
        <f>1200000/100000</f>
        <v>12</v>
      </c>
      <c r="Y136" s="182">
        <v>320</v>
      </c>
      <c r="Z136" s="182">
        <v>320</v>
      </c>
      <c r="AA136" s="182">
        <v>320</v>
      </c>
      <c r="AB136" s="342">
        <v>800</v>
      </c>
      <c r="AC136" s="379">
        <f>800+2200</f>
        <v>3000</v>
      </c>
      <c r="AD136" s="380">
        <v>3000</v>
      </c>
      <c r="AE136" s="380">
        <v>3000</v>
      </c>
      <c r="AF136" s="380">
        <f>3000+2000</f>
        <v>5000</v>
      </c>
      <c r="AG136" s="380">
        <f>5000+3000</f>
        <v>8000</v>
      </c>
      <c r="AH136" s="380">
        <f>5000+3000</f>
        <v>8000</v>
      </c>
      <c r="AI136" s="375">
        <v>10000</v>
      </c>
      <c r="AJ136" s="380">
        <v>10000</v>
      </c>
      <c r="AK136" s="380">
        <v>23400</v>
      </c>
      <c r="AL136" s="380">
        <f>21100+25900</f>
        <v>47000</v>
      </c>
      <c r="AM136" s="375">
        <v>73500</v>
      </c>
      <c r="AN136" s="385">
        <v>81750</v>
      </c>
      <c r="AO136" s="379">
        <v>136250</v>
      </c>
      <c r="AP136" s="380">
        <v>136250</v>
      </c>
      <c r="AQ136" s="380">
        <f>136250+50000</f>
        <v>186250</v>
      </c>
      <c r="AR136" s="380">
        <v>185250</v>
      </c>
      <c r="AS136" s="380">
        <v>250000</v>
      </c>
      <c r="AT136" s="380">
        <v>250000</v>
      </c>
      <c r="AU136" s="375"/>
      <c r="AV136" s="380"/>
      <c r="AW136" s="380"/>
      <c r="AX136" s="380"/>
      <c r="AY136" s="380"/>
      <c r="AZ136" s="385"/>
      <c r="BA136" s="401">
        <f t="shared" ref="BA136:BA144" si="70">SUM(D136:AZ136)</f>
        <v>1421450.25</v>
      </c>
    </row>
    <row r="137" spans="1:53" s="28" customFormat="1" ht="20.100000000000001" customHeight="1">
      <c r="A137" s="29" t="str">
        <f>Vecinos!A137</f>
        <v>Familia Ochoa Mendoza</v>
      </c>
      <c r="B137" s="30" t="str">
        <f>Vecinos!C137</f>
        <v>Calle Güigüe Nro. 89-105</v>
      </c>
      <c r="C137" s="35" t="str">
        <f>IF(SUMIFS(Vigilancia!$E:$E,Vigilancia!$F:$F,A137,Vigilancia!$J:$J,"Vigilancia")=BA137,"ü","û")</f>
        <v>ü</v>
      </c>
      <c r="D137" s="177"/>
      <c r="E137" s="178">
        <f>17000/100000</f>
        <v>0.17</v>
      </c>
      <c r="F137" s="179">
        <f t="shared" si="69"/>
        <v>0.17</v>
      </c>
      <c r="G137" s="179">
        <f t="shared" si="69"/>
        <v>0.17</v>
      </c>
      <c r="H137" s="179">
        <f t="shared" si="69"/>
        <v>0.17</v>
      </c>
      <c r="I137" s="179">
        <f>26000/100000</f>
        <v>0.26</v>
      </c>
      <c r="J137" s="179">
        <f>26000/100000</f>
        <v>0.26</v>
      </c>
      <c r="K137" s="179">
        <f>26000/100000+9000/100000</f>
        <v>0.35</v>
      </c>
      <c r="L137" s="179">
        <f t="shared" si="66"/>
        <v>0.35</v>
      </c>
      <c r="M137" s="179">
        <f t="shared" si="66"/>
        <v>0.35</v>
      </c>
      <c r="N137" s="179">
        <f t="shared" si="66"/>
        <v>0.35</v>
      </c>
      <c r="O137" s="179">
        <f t="shared" si="67"/>
        <v>0.5</v>
      </c>
      <c r="P137" s="177">
        <f t="shared" si="67"/>
        <v>0.5</v>
      </c>
      <c r="Q137" s="181">
        <f t="shared" si="68"/>
        <v>0.8</v>
      </c>
      <c r="R137" s="182">
        <f t="shared" si="68"/>
        <v>0.8</v>
      </c>
      <c r="S137" s="182">
        <f>140000/100000</f>
        <v>1.4</v>
      </c>
      <c r="T137" s="182">
        <f>150000/100000</f>
        <v>1.5</v>
      </c>
      <c r="U137" s="182">
        <f>400000/100000</f>
        <v>4</v>
      </c>
      <c r="V137" s="182">
        <f>400000/100000+225000/100000</f>
        <v>6.25</v>
      </c>
      <c r="W137" s="182">
        <f>850000/100000+150000/100000</f>
        <v>10</v>
      </c>
      <c r="X137" s="190">
        <f>850000/100000+75000/100000+2</f>
        <v>11.25</v>
      </c>
      <c r="Y137" s="182">
        <v>320</v>
      </c>
      <c r="Z137" s="182">
        <v>320</v>
      </c>
      <c r="AA137" s="182">
        <v>350</v>
      </c>
      <c r="AB137" s="177">
        <v>800</v>
      </c>
      <c r="AC137" s="379">
        <f>800+2200</f>
        <v>3000</v>
      </c>
      <c r="AD137" s="375">
        <v>3000</v>
      </c>
      <c r="AE137" s="380">
        <v>3000</v>
      </c>
      <c r="AF137" s="380">
        <v>5000</v>
      </c>
      <c r="AG137" s="380">
        <f>5000+3000</f>
        <v>8000</v>
      </c>
      <c r="AH137" s="380">
        <f>5000+3000</f>
        <v>8000</v>
      </c>
      <c r="AI137" s="375">
        <v>10000</v>
      </c>
      <c r="AJ137" s="380">
        <v>10000</v>
      </c>
      <c r="AK137" s="380">
        <v>20500</v>
      </c>
      <c r="AL137" s="375">
        <f>19800+27200</f>
        <v>47000</v>
      </c>
      <c r="AM137" s="380">
        <v>56250</v>
      </c>
      <c r="AN137" s="376">
        <v>81750</v>
      </c>
      <c r="AO137" s="379">
        <v>136250</v>
      </c>
      <c r="AP137" s="375">
        <v>136250</v>
      </c>
      <c r="AQ137" s="380">
        <v>185250</v>
      </c>
      <c r="AR137" s="380">
        <v>185250</v>
      </c>
      <c r="AS137" s="380">
        <v>250000</v>
      </c>
      <c r="AT137" s="380">
        <v>250000</v>
      </c>
      <c r="AU137" s="375"/>
      <c r="AV137" s="380"/>
      <c r="AW137" s="380"/>
      <c r="AX137" s="380"/>
      <c r="AY137" s="380"/>
      <c r="AZ137" s="385"/>
      <c r="BA137" s="401">
        <f t="shared" si="70"/>
        <v>1400329.6</v>
      </c>
    </row>
    <row r="138" spans="1:53" s="28" customFormat="1" ht="20.100000000000001" customHeight="1">
      <c r="A138" s="57" t="str">
        <f>Vecinos!A138</f>
        <v>Anahiz Seijas</v>
      </c>
      <c r="B138" s="58" t="str">
        <f>Vecinos!C138</f>
        <v>Calle Güigüe Nro. 89-106</v>
      </c>
      <c r="C138" s="35" t="str">
        <f>IF(SUMIFS(Vigilancia!$E:$E,Vigilancia!$F:$F,A138,Vigilancia!$J:$J,"Vigilancia")=BA138,"ü","û")</f>
        <v>ü</v>
      </c>
      <c r="D138" s="177"/>
      <c r="E138" s="178">
        <f>17000/100000</f>
        <v>0.17</v>
      </c>
      <c r="F138" s="179">
        <f t="shared" si="69"/>
        <v>0.17</v>
      </c>
      <c r="G138" s="179">
        <f t="shared" si="69"/>
        <v>0.17</v>
      </c>
      <c r="H138" s="179">
        <f t="shared" si="69"/>
        <v>0.17</v>
      </c>
      <c r="I138" s="179">
        <f>26000/100000</f>
        <v>0.26</v>
      </c>
      <c r="J138" s="179">
        <f>26000/100000</f>
        <v>0.26</v>
      </c>
      <c r="K138" s="179">
        <f>35000/100000</f>
        <v>0.35</v>
      </c>
      <c r="L138" s="179">
        <f t="shared" si="66"/>
        <v>0.35</v>
      </c>
      <c r="M138" s="179">
        <f t="shared" si="66"/>
        <v>0.35</v>
      </c>
      <c r="N138" s="179">
        <f t="shared" si="66"/>
        <v>0.35</v>
      </c>
      <c r="O138" s="179">
        <f t="shared" si="67"/>
        <v>0.5</v>
      </c>
      <c r="P138" s="177">
        <f t="shared" si="67"/>
        <v>0.5</v>
      </c>
      <c r="Q138" s="181">
        <f t="shared" si="68"/>
        <v>0.8</v>
      </c>
      <c r="R138" s="182">
        <f t="shared" si="68"/>
        <v>0.8</v>
      </c>
      <c r="S138" s="182">
        <f>140000/100000</f>
        <v>1.4</v>
      </c>
      <c r="T138" s="182">
        <f>140000/100000</f>
        <v>1.4</v>
      </c>
      <c r="U138" s="182">
        <f>400000/100000</f>
        <v>4</v>
      </c>
      <c r="V138" s="182">
        <f>400000/100000+225000/100000</f>
        <v>6.25</v>
      </c>
      <c r="W138" s="182">
        <f>1000000/100000</f>
        <v>10</v>
      </c>
      <c r="X138" s="190">
        <f>1000000/100000</f>
        <v>10</v>
      </c>
      <c r="Y138" s="182">
        <v>320</v>
      </c>
      <c r="Z138" s="182">
        <v>320</v>
      </c>
      <c r="AA138" s="189">
        <v>320</v>
      </c>
      <c r="AB138" s="342">
        <f>320+480</f>
        <v>800</v>
      </c>
      <c r="AC138" s="379">
        <v>3000</v>
      </c>
      <c r="AD138" s="380">
        <v>3000</v>
      </c>
      <c r="AE138" s="375">
        <v>3000</v>
      </c>
      <c r="AF138" s="380">
        <f>3000+2000</f>
        <v>5000</v>
      </c>
      <c r="AG138" s="380">
        <f>5000+3000</f>
        <v>8000</v>
      </c>
      <c r="AH138" s="202" t="s">
        <v>1259</v>
      </c>
      <c r="AI138" s="203"/>
      <c r="AJ138" s="378"/>
      <c r="AK138" s="378"/>
      <c r="AL138" s="378"/>
      <c r="AM138" s="378"/>
      <c r="AN138" s="389"/>
      <c r="AO138" s="388"/>
      <c r="AP138" s="378"/>
      <c r="AQ138" s="378"/>
      <c r="AR138" s="378"/>
      <c r="AS138" s="378"/>
      <c r="AT138" s="202"/>
      <c r="AU138" s="203"/>
      <c r="AV138" s="378"/>
      <c r="AW138" s="378"/>
      <c r="AX138" s="378"/>
      <c r="AY138" s="378"/>
      <c r="AZ138" s="389"/>
      <c r="BA138" s="404">
        <f t="shared" si="70"/>
        <v>23798.25</v>
      </c>
    </row>
    <row r="139" spans="1:53" s="28" customFormat="1" ht="20.100000000000001" customHeight="1">
      <c r="A139" s="29" t="str">
        <f>Vecinos!A139</f>
        <v>Familia Chan García</v>
      </c>
      <c r="B139" s="30" t="str">
        <f>Vecinos!C139</f>
        <v>Calle Güigüe Nro. 89-106</v>
      </c>
      <c r="C139" s="35" t="str">
        <f>IF(SUMIFS(Vigilancia!$E:$E,Vigilancia!$F:$F,A139,Vigilancia!$J:$J,"Vigilancia")=BA139,"ü","û")</f>
        <v>ü</v>
      </c>
      <c r="D139" s="495"/>
      <c r="E139" s="496"/>
      <c r="F139" s="497"/>
      <c r="G139" s="497"/>
      <c r="H139" s="497"/>
      <c r="I139" s="497"/>
      <c r="J139" s="497"/>
      <c r="K139" s="497"/>
      <c r="L139" s="497"/>
      <c r="M139" s="497"/>
      <c r="N139" s="497"/>
      <c r="O139" s="497"/>
      <c r="P139" s="495"/>
      <c r="Q139" s="498"/>
      <c r="R139" s="499"/>
      <c r="S139" s="499"/>
      <c r="T139" s="499"/>
      <c r="U139" s="499"/>
      <c r="V139" s="499"/>
      <c r="W139" s="499"/>
      <c r="X139" s="499"/>
      <c r="Y139" s="499"/>
      <c r="Z139" s="499"/>
      <c r="AA139" s="499"/>
      <c r="AB139" s="495"/>
      <c r="AC139" s="500"/>
      <c r="AD139" s="501"/>
      <c r="AE139" s="501"/>
      <c r="AF139" s="501"/>
      <c r="AG139" s="501"/>
      <c r="AH139" s="380">
        <v>8000</v>
      </c>
      <c r="AI139" s="380">
        <v>10000</v>
      </c>
      <c r="AJ139" s="380">
        <v>10000</v>
      </c>
      <c r="AK139" s="380">
        <v>21600</v>
      </c>
      <c r="AL139" s="380">
        <v>47000</v>
      </c>
      <c r="AM139" s="375">
        <v>73500</v>
      </c>
      <c r="AN139" s="385">
        <v>105250</v>
      </c>
      <c r="AO139" s="379">
        <v>136250</v>
      </c>
      <c r="AP139" s="380">
        <v>136250</v>
      </c>
      <c r="AQ139" s="380">
        <v>185250</v>
      </c>
      <c r="AR139" s="375">
        <v>185250</v>
      </c>
      <c r="AS139" s="380">
        <v>250000</v>
      </c>
      <c r="AT139" s="380">
        <v>250000</v>
      </c>
      <c r="AU139" s="380"/>
      <c r="AV139" s="380"/>
      <c r="AW139" s="380"/>
      <c r="AX139" s="380"/>
      <c r="AY139" s="380"/>
      <c r="AZ139" s="385"/>
      <c r="BA139" s="401">
        <f t="shared" si="70"/>
        <v>1418350</v>
      </c>
    </row>
    <row r="140" spans="1:53" s="28" customFormat="1" ht="20.100000000000001" customHeight="1">
      <c r="A140" s="32" t="str">
        <f>Vecinos!A140</f>
        <v>Familia Jiménez de Avila</v>
      </c>
      <c r="B140" s="33" t="str">
        <f>Vecinos!C140</f>
        <v>Calle Güigüe Nro. 89-116</v>
      </c>
      <c r="C140" s="34" t="str">
        <f>IF(SUMIFS(Vigilancia!$E:$E,Vigilancia!$F:$F,A140,Vigilancia!$J:$J,"Vigilancia")=BA140,"ü","û")</f>
        <v>ü</v>
      </c>
      <c r="D140" s="184"/>
      <c r="E140" s="185"/>
      <c r="F140" s="186"/>
      <c r="G140" s="186"/>
      <c r="H140" s="186"/>
      <c r="I140" s="186"/>
      <c r="J140" s="186"/>
      <c r="K140" s="186"/>
      <c r="L140" s="186"/>
      <c r="M140" s="186"/>
      <c r="N140" s="186"/>
      <c r="O140" s="186">
        <f>30000/100000</f>
        <v>0.3</v>
      </c>
      <c r="P140" s="184" t="s">
        <v>17</v>
      </c>
      <c r="Q140" s="516" t="s">
        <v>17</v>
      </c>
      <c r="R140" s="517" t="s">
        <v>17</v>
      </c>
      <c r="S140" s="517" t="s">
        <v>17</v>
      </c>
      <c r="T140" s="517" t="s">
        <v>17</v>
      </c>
      <c r="U140" s="517" t="s">
        <v>17</v>
      </c>
      <c r="V140" s="517" t="s">
        <v>17</v>
      </c>
      <c r="W140" s="517" t="s">
        <v>17</v>
      </c>
      <c r="X140" s="517" t="s">
        <v>17</v>
      </c>
      <c r="Y140" s="517" t="s">
        <v>17</v>
      </c>
      <c r="Z140" s="517" t="s">
        <v>17</v>
      </c>
      <c r="AA140" s="188">
        <v>1350</v>
      </c>
      <c r="AB140" s="518" t="s">
        <v>17</v>
      </c>
      <c r="AC140" s="514" t="s">
        <v>17</v>
      </c>
      <c r="AD140" s="515" t="s">
        <v>17</v>
      </c>
      <c r="AE140" s="515" t="s">
        <v>17</v>
      </c>
      <c r="AF140" s="515" t="s">
        <v>17</v>
      </c>
      <c r="AG140" s="515" t="s">
        <v>17</v>
      </c>
      <c r="AH140" s="515" t="s">
        <v>17</v>
      </c>
      <c r="AI140" s="372">
        <v>5000</v>
      </c>
      <c r="AJ140" s="372">
        <v>5000</v>
      </c>
      <c r="AK140" s="372">
        <v>5000</v>
      </c>
      <c r="AL140" s="372">
        <v>5000</v>
      </c>
      <c r="AM140" s="372">
        <v>5000</v>
      </c>
      <c r="AN140" s="373">
        <v>5000</v>
      </c>
      <c r="AO140" s="371">
        <v>70000</v>
      </c>
      <c r="AP140" s="372">
        <v>70000</v>
      </c>
      <c r="AQ140" s="372">
        <v>70000</v>
      </c>
      <c r="AR140" s="372">
        <v>100000</v>
      </c>
      <c r="AS140" s="372">
        <v>100000</v>
      </c>
      <c r="AT140" s="372">
        <v>100000</v>
      </c>
      <c r="AU140" s="372">
        <v>100000</v>
      </c>
      <c r="AV140" s="372"/>
      <c r="AW140" s="372"/>
      <c r="AX140" s="372"/>
      <c r="AY140" s="372"/>
      <c r="AZ140" s="373"/>
      <c r="BA140" s="400">
        <f t="shared" si="70"/>
        <v>641350.30000000005</v>
      </c>
    </row>
    <row r="141" spans="1:53" s="28" customFormat="1" ht="20.100000000000001" customHeight="1">
      <c r="A141" s="57" t="str">
        <f>Vecinos!A141</f>
        <v>Familia Morales Sesar</v>
      </c>
      <c r="B141" s="58" t="str">
        <f>Vecinos!C141</f>
        <v>Calle Güigüe Nro. 89-120</v>
      </c>
      <c r="C141" s="35" t="str">
        <f>IF(SUMIFS(Vigilancia!$E:$E,Vigilancia!$F:$F,A141,Vigilancia!$J:$J,"Vigilancia")=BA141,"ü","û")</f>
        <v>ü</v>
      </c>
      <c r="D141" s="177"/>
      <c r="E141" s="178">
        <f>17000/100000</f>
        <v>0.17</v>
      </c>
      <c r="F141" s="179">
        <f>17000/100000</f>
        <v>0.17</v>
      </c>
      <c r="G141" s="179">
        <f>17000/100000</f>
        <v>0.17</v>
      </c>
      <c r="H141" s="179">
        <f>17000/100000</f>
        <v>0.17</v>
      </c>
      <c r="I141" s="179">
        <f>17000/100000+9000/100000</f>
        <v>0.26</v>
      </c>
      <c r="J141" s="179">
        <f>26000/100000</f>
        <v>0.26</v>
      </c>
      <c r="K141" s="224">
        <f>18000/100000</f>
        <v>0.18</v>
      </c>
      <c r="L141" s="179">
        <f>15000/100000</f>
        <v>0.15</v>
      </c>
      <c r="M141" s="179">
        <f>15000/100000</f>
        <v>0.15</v>
      </c>
      <c r="N141" s="179">
        <f>25000/100000</f>
        <v>0.25</v>
      </c>
      <c r="O141" s="232" t="s">
        <v>490</v>
      </c>
      <c r="P141" s="201" t="s">
        <v>490</v>
      </c>
      <c r="Q141" s="181">
        <f>40000/100000</f>
        <v>0.4</v>
      </c>
      <c r="R141" s="182">
        <f>40000/100000</f>
        <v>0.4</v>
      </c>
      <c r="S141" s="182">
        <f>50000/100000</f>
        <v>0.5</v>
      </c>
      <c r="T141" s="182">
        <f>50000/100000</f>
        <v>0.5</v>
      </c>
      <c r="U141" s="182">
        <f>100000/100000</f>
        <v>1</v>
      </c>
      <c r="V141" s="182">
        <f>100000/100000</f>
        <v>1</v>
      </c>
      <c r="W141" s="182"/>
      <c r="X141" s="182"/>
      <c r="Y141" s="182"/>
      <c r="Z141" s="202" t="s">
        <v>1256</v>
      </c>
      <c r="AA141" s="203"/>
      <c r="AB141" s="204"/>
      <c r="AC141" s="388"/>
      <c r="AD141" s="378"/>
      <c r="AE141" s="378"/>
      <c r="AF141" s="378"/>
      <c r="AG141" s="378"/>
      <c r="AH141" s="378"/>
      <c r="AI141" s="378"/>
      <c r="AJ141" s="378"/>
      <c r="AK141" s="378"/>
      <c r="AL141" s="378"/>
      <c r="AM141" s="378"/>
      <c r="AN141" s="389"/>
      <c r="AO141" s="388"/>
      <c r="AP141" s="378"/>
      <c r="AQ141" s="378"/>
      <c r="AR141" s="378"/>
      <c r="AS141" s="378"/>
      <c r="AT141" s="378"/>
      <c r="AU141" s="378"/>
      <c r="AV141" s="378"/>
      <c r="AW141" s="378"/>
      <c r="AX141" s="378"/>
      <c r="AY141" s="378"/>
      <c r="AZ141" s="389"/>
      <c r="BA141" s="404">
        <f t="shared" si="70"/>
        <v>5.73</v>
      </c>
    </row>
    <row r="142" spans="1:53" s="28" customFormat="1" ht="20.100000000000001" customHeight="1">
      <c r="A142" s="29" t="str">
        <f>Vecinos!A142</f>
        <v>Familia Abbinante Pinto</v>
      </c>
      <c r="B142" s="30" t="str">
        <f>Vecinos!C142</f>
        <v>Calle Güigüe Nro. 89-120</v>
      </c>
      <c r="C142" s="35" t="str">
        <f>IF(SUMIFS(Vigilancia!$E:$E,Vigilancia!$F:$F,A142,Vigilancia!$J:$J,"Vigilancia")=BA142,"ü","û")</f>
        <v>ü</v>
      </c>
      <c r="D142" s="204"/>
      <c r="E142" s="303"/>
      <c r="F142" s="211"/>
      <c r="G142" s="211"/>
      <c r="H142" s="211"/>
      <c r="I142" s="211"/>
      <c r="J142" s="211"/>
      <c r="K142" s="231"/>
      <c r="L142" s="211"/>
      <c r="M142" s="211"/>
      <c r="N142" s="211"/>
      <c r="O142" s="337"/>
      <c r="P142" s="338"/>
      <c r="Q142" s="336"/>
      <c r="R142" s="203"/>
      <c r="S142" s="203"/>
      <c r="T142" s="203"/>
      <c r="U142" s="203"/>
      <c r="V142" s="203"/>
      <c r="W142" s="203"/>
      <c r="X142" s="203"/>
      <c r="Y142" s="203"/>
      <c r="Z142" s="182">
        <v>320</v>
      </c>
      <c r="AA142" s="182">
        <v>320</v>
      </c>
      <c r="AB142" s="177">
        <v>800</v>
      </c>
      <c r="AC142" s="374">
        <v>3000</v>
      </c>
      <c r="AD142" s="375">
        <v>3000</v>
      </c>
      <c r="AE142" s="375">
        <v>3000</v>
      </c>
      <c r="AF142" s="375">
        <v>5000</v>
      </c>
      <c r="AG142" s="375">
        <v>8000</v>
      </c>
      <c r="AH142" s="375">
        <v>8000</v>
      </c>
      <c r="AI142" s="375">
        <f>8000+2000</f>
        <v>10000</v>
      </c>
      <c r="AJ142" s="375">
        <v>10000</v>
      </c>
      <c r="AK142" s="375">
        <v>21600</v>
      </c>
      <c r="AL142" s="375">
        <v>51250</v>
      </c>
      <c r="AM142" s="375">
        <v>73500</v>
      </c>
      <c r="AN142" s="376">
        <v>105250</v>
      </c>
      <c r="AO142" s="374">
        <v>136250</v>
      </c>
      <c r="AP142" s="375">
        <v>185250</v>
      </c>
      <c r="AQ142" s="375">
        <v>185250</v>
      </c>
      <c r="AR142" s="375">
        <v>186250</v>
      </c>
      <c r="AS142" s="375">
        <v>250000</v>
      </c>
      <c r="AT142" s="375">
        <v>250000</v>
      </c>
      <c r="AU142" s="606">
        <v>250000</v>
      </c>
      <c r="AV142" s="375"/>
      <c r="AW142" s="375"/>
      <c r="AX142" s="375"/>
      <c r="AY142" s="375"/>
      <c r="AZ142" s="376"/>
      <c r="BA142" s="401">
        <f t="shared" si="70"/>
        <v>1746040</v>
      </c>
    </row>
    <row r="143" spans="1:53" s="28" customFormat="1" ht="20.100000000000001" customHeight="1">
      <c r="A143" s="29" t="str">
        <f>Vecinos!A143</f>
        <v>Alexander Pena</v>
      </c>
      <c r="B143" s="30" t="str">
        <f>Vecinos!C143</f>
        <v>Calle Güigüe Nro. 89-126</v>
      </c>
      <c r="C143" s="35" t="str">
        <f>IF(SUMIFS(Vigilancia!$E:$E,Vigilancia!$F:$F,A143,Vigilancia!$J:$J,"Vigilancia")=BA143,"ü","û")</f>
        <v>ü</v>
      </c>
      <c r="D143" s="177"/>
      <c r="E143" s="178"/>
      <c r="F143" s="179"/>
      <c r="G143" s="179"/>
      <c r="H143" s="179"/>
      <c r="I143" s="179"/>
      <c r="J143" s="179"/>
      <c r="K143" s="179"/>
      <c r="L143" s="179"/>
      <c r="M143" s="179"/>
      <c r="N143" s="179"/>
      <c r="O143" s="179"/>
      <c r="P143" s="177"/>
      <c r="Q143" s="181"/>
      <c r="R143" s="182"/>
      <c r="S143" s="182"/>
      <c r="T143" s="182"/>
      <c r="U143" s="182"/>
      <c r="V143" s="182"/>
      <c r="W143" s="182"/>
      <c r="X143" s="182"/>
      <c r="Y143" s="182"/>
      <c r="Z143" s="182"/>
      <c r="AA143" s="182"/>
      <c r="AB143" s="177"/>
      <c r="AC143" s="374"/>
      <c r="AD143" s="375"/>
      <c r="AE143" s="375"/>
      <c r="AF143" s="375"/>
      <c r="AG143" s="375"/>
      <c r="AH143" s="375"/>
      <c r="AI143" s="375"/>
      <c r="AJ143" s="375"/>
      <c r="AK143" s="375"/>
      <c r="AL143" s="375"/>
      <c r="AM143" s="375"/>
      <c r="AN143" s="376"/>
      <c r="AO143" s="374"/>
      <c r="AP143" s="375"/>
      <c r="AQ143" s="375"/>
      <c r="AR143" s="375"/>
      <c r="AS143" s="375"/>
      <c r="AT143" s="375"/>
      <c r="AU143" s="375"/>
      <c r="AV143" s="375"/>
      <c r="AW143" s="375"/>
      <c r="AX143" s="375"/>
      <c r="AY143" s="375"/>
      <c r="AZ143" s="376"/>
      <c r="BA143" s="401">
        <f t="shared" si="70"/>
        <v>0</v>
      </c>
    </row>
    <row r="144" spans="1:53" s="28" customFormat="1" ht="20.100000000000001" customHeight="1">
      <c r="A144" s="39" t="str">
        <f>Vecinos!A144</f>
        <v>Familia Pena Wierman</v>
      </c>
      <c r="B144" s="40" t="str">
        <f>Vecinos!C144</f>
        <v>Calle Güigüe Nro. 89-126</v>
      </c>
      <c r="C144" s="41" t="str">
        <f>IF(SUMIFS(Vigilancia!$E:$E,Vigilancia!$F:$F,A144,Vigilancia!$J:$J,"Vigilancia")=BA144,"ü","û")</f>
        <v>ü</v>
      </c>
      <c r="D144" s="233"/>
      <c r="E144" s="234"/>
      <c r="F144" s="235"/>
      <c r="G144" s="235"/>
      <c r="H144" s="235"/>
      <c r="I144" s="235"/>
      <c r="J144" s="235"/>
      <c r="K144" s="235"/>
      <c r="L144" s="235"/>
      <c r="M144" s="235"/>
      <c r="N144" s="235"/>
      <c r="O144" s="235"/>
      <c r="P144" s="233"/>
      <c r="Q144" s="236"/>
      <c r="R144" s="237"/>
      <c r="S144" s="237"/>
      <c r="T144" s="237"/>
      <c r="U144" s="237"/>
      <c r="V144" s="237"/>
      <c r="W144" s="237"/>
      <c r="X144" s="237"/>
      <c r="Y144" s="237"/>
      <c r="Z144" s="237"/>
      <c r="AA144" s="237"/>
      <c r="AB144" s="233"/>
      <c r="AC144" s="396"/>
      <c r="AD144" s="397"/>
      <c r="AE144" s="397"/>
      <c r="AF144" s="397"/>
      <c r="AG144" s="397"/>
      <c r="AH144" s="397"/>
      <c r="AI144" s="397"/>
      <c r="AJ144" s="397"/>
      <c r="AK144" s="397"/>
      <c r="AL144" s="397"/>
      <c r="AM144" s="397"/>
      <c r="AN144" s="398"/>
      <c r="AO144" s="396"/>
      <c r="AP144" s="397"/>
      <c r="AQ144" s="397"/>
      <c r="AR144" s="397"/>
      <c r="AS144" s="397"/>
      <c r="AT144" s="397"/>
      <c r="AU144" s="397"/>
      <c r="AV144" s="397"/>
      <c r="AW144" s="397"/>
      <c r="AX144" s="397"/>
      <c r="AY144" s="397"/>
      <c r="AZ144" s="398"/>
      <c r="BA144" s="406">
        <f t="shared" si="70"/>
        <v>0</v>
      </c>
    </row>
    <row r="145" spans="1:54" s="28" customFormat="1" ht="20.100000000000001" customHeight="1" thickBot="1">
      <c r="A145" s="524"/>
      <c r="B145" s="532" t="s">
        <v>1254</v>
      </c>
      <c r="C145" s="525" t="str">
        <f>C1</f>
        <v>ü</v>
      </c>
      <c r="D145" s="526">
        <f>SUM(D2:D144)</f>
        <v>0.1</v>
      </c>
      <c r="E145" s="527">
        <f>SUM(E2:E144)</f>
        <v>10.254999999999997</v>
      </c>
      <c r="F145" s="528">
        <f t="shared" ref="F145:AB145" si="71">SUM(F2:F144)</f>
        <v>10.619999999999996</v>
      </c>
      <c r="G145" s="528">
        <f t="shared" si="71"/>
        <v>10.084999999999997</v>
      </c>
      <c r="H145" s="528">
        <f t="shared" si="71"/>
        <v>10.475999999999999</v>
      </c>
      <c r="I145" s="528">
        <f t="shared" si="71"/>
        <v>15.079999999999991</v>
      </c>
      <c r="J145" s="528">
        <f t="shared" si="71"/>
        <v>15.649999999999993</v>
      </c>
      <c r="K145" s="528">
        <f t="shared" si="71"/>
        <v>20.910000000000011</v>
      </c>
      <c r="L145" s="528">
        <f t="shared" si="71"/>
        <v>21.105000000000004</v>
      </c>
      <c r="M145" s="528">
        <f t="shared" si="71"/>
        <v>20.769000000000002</v>
      </c>
      <c r="N145" s="528">
        <f t="shared" si="71"/>
        <v>21.420000000000005</v>
      </c>
      <c r="O145" s="528">
        <f t="shared" si="71"/>
        <v>30.399999999999995</v>
      </c>
      <c r="P145" s="529">
        <f t="shared" si="71"/>
        <v>30.769999999999996</v>
      </c>
      <c r="Q145" s="530">
        <f t="shared" si="71"/>
        <v>53.99999999999995</v>
      </c>
      <c r="R145" s="531">
        <f t="shared" si="71"/>
        <v>56.999999999999943</v>
      </c>
      <c r="S145" s="531">
        <f t="shared" si="71"/>
        <v>98.200000000000088</v>
      </c>
      <c r="T145" s="531">
        <f t="shared" si="71"/>
        <v>103.15000000000009</v>
      </c>
      <c r="U145" s="531">
        <f t="shared" si="71"/>
        <v>280.10000000000002</v>
      </c>
      <c r="V145" s="531">
        <f t="shared" si="71"/>
        <v>451.35</v>
      </c>
      <c r="W145" s="533">
        <f t="shared" si="71"/>
        <v>767.75</v>
      </c>
      <c r="X145" s="533">
        <f t="shared" si="71"/>
        <v>934.85</v>
      </c>
      <c r="Y145" s="533">
        <f t="shared" si="71"/>
        <v>23201.41</v>
      </c>
      <c r="Z145" s="533">
        <f t="shared" si="71"/>
        <v>24138.5</v>
      </c>
      <c r="AA145" s="533">
        <f t="shared" si="71"/>
        <v>25420</v>
      </c>
      <c r="AB145" s="534">
        <f t="shared" si="71"/>
        <v>59421.15</v>
      </c>
      <c r="AC145" s="535">
        <f t="shared" ref="AC145:AN145" si="72">SUM(AC2:AC144)</f>
        <v>224154.2</v>
      </c>
      <c r="AD145" s="536">
        <f t="shared" si="72"/>
        <v>229490</v>
      </c>
      <c r="AE145" s="536">
        <f t="shared" si="72"/>
        <v>243715.55</v>
      </c>
      <c r="AF145" s="536">
        <f t="shared" si="72"/>
        <v>392130</v>
      </c>
      <c r="AG145" s="536">
        <f t="shared" si="72"/>
        <v>632980</v>
      </c>
      <c r="AH145" s="536">
        <f t="shared" si="72"/>
        <v>645640</v>
      </c>
      <c r="AI145" s="536">
        <f t="shared" si="72"/>
        <v>809500</v>
      </c>
      <c r="AJ145" s="536">
        <f t="shared" si="72"/>
        <v>809400</v>
      </c>
      <c r="AK145" s="536">
        <f t="shared" si="72"/>
        <v>1743896.22</v>
      </c>
      <c r="AL145" s="536">
        <f t="shared" si="72"/>
        <v>4139839</v>
      </c>
      <c r="AM145" s="536">
        <f t="shared" si="72"/>
        <v>7522401</v>
      </c>
      <c r="AN145" s="537">
        <f t="shared" si="72"/>
        <v>8064925</v>
      </c>
      <c r="AO145" s="535">
        <f t="shared" ref="AO145:AZ145" si="73">SUM(AO2:AO144)</f>
        <v>10541325</v>
      </c>
      <c r="AP145" s="536">
        <f t="shared" si="73"/>
        <v>11317025</v>
      </c>
      <c r="AQ145" s="536">
        <f t="shared" si="73"/>
        <v>14180040</v>
      </c>
      <c r="AR145" s="536">
        <f t="shared" si="73"/>
        <v>14781995.800000001</v>
      </c>
      <c r="AS145" s="536">
        <f t="shared" si="73"/>
        <v>18702250</v>
      </c>
      <c r="AT145" s="536">
        <f t="shared" si="73"/>
        <v>16994800</v>
      </c>
      <c r="AU145" s="536">
        <f t="shared" si="73"/>
        <v>7280000</v>
      </c>
      <c r="AV145" s="536">
        <f t="shared" si="73"/>
        <v>440000</v>
      </c>
      <c r="AW145" s="536">
        <f t="shared" si="73"/>
        <v>0</v>
      </c>
      <c r="AX145" s="536">
        <f t="shared" si="73"/>
        <v>0</v>
      </c>
      <c r="AY145" s="536">
        <f t="shared" si="73"/>
        <v>0</v>
      </c>
      <c r="AZ145" s="537">
        <f t="shared" si="73"/>
        <v>0</v>
      </c>
      <c r="BA145" s="538">
        <f>SUM(D145:AZ145)</f>
        <v>119830651.87</v>
      </c>
    </row>
    <row r="146" spans="1:54">
      <c r="A146" s="166"/>
      <c r="B146" s="167" t="s">
        <v>1260</v>
      </c>
      <c r="C146" s="321"/>
      <c r="D146" s="322">
        <f>COUNT(D2:D144)</f>
        <v>2</v>
      </c>
      <c r="E146" s="325">
        <f t="shared" ref="E146:AB146" si="74">COUNT(E2:E144)</f>
        <v>75</v>
      </c>
      <c r="F146" s="326">
        <f t="shared" si="74"/>
        <v>75</v>
      </c>
      <c r="G146" s="326">
        <f t="shared" si="74"/>
        <v>69</v>
      </c>
      <c r="H146" s="326">
        <f t="shared" si="74"/>
        <v>70</v>
      </c>
      <c r="I146" s="326">
        <f t="shared" si="74"/>
        <v>69</v>
      </c>
      <c r="J146" s="326">
        <f t="shared" si="74"/>
        <v>68</v>
      </c>
      <c r="K146" s="326">
        <f t="shared" si="74"/>
        <v>71</v>
      </c>
      <c r="L146" s="326">
        <f t="shared" si="74"/>
        <v>71</v>
      </c>
      <c r="M146" s="326">
        <f t="shared" si="74"/>
        <v>68</v>
      </c>
      <c r="N146" s="326">
        <f t="shared" si="74"/>
        <v>68</v>
      </c>
      <c r="O146" s="326">
        <f t="shared" si="74"/>
        <v>68</v>
      </c>
      <c r="P146" s="327">
        <f t="shared" si="74"/>
        <v>68</v>
      </c>
      <c r="Q146" s="314">
        <f t="shared" si="74"/>
        <v>74</v>
      </c>
      <c r="R146" s="169">
        <f t="shared" si="74"/>
        <v>76</v>
      </c>
      <c r="S146" s="169">
        <f t="shared" si="74"/>
        <v>76</v>
      </c>
      <c r="T146" s="169">
        <f t="shared" si="74"/>
        <v>77</v>
      </c>
      <c r="U146" s="169">
        <f>COUNT(U2:U144)</f>
        <v>78</v>
      </c>
      <c r="V146" s="169">
        <f t="shared" si="74"/>
        <v>79</v>
      </c>
      <c r="W146" s="169">
        <f t="shared" si="74"/>
        <v>80</v>
      </c>
      <c r="X146" s="169">
        <f t="shared" si="74"/>
        <v>78</v>
      </c>
      <c r="Y146" s="169">
        <f t="shared" si="74"/>
        <v>75</v>
      </c>
      <c r="Z146" s="169">
        <f t="shared" si="74"/>
        <v>77</v>
      </c>
      <c r="AA146" s="169">
        <f t="shared" si="74"/>
        <v>76</v>
      </c>
      <c r="AB146" s="168">
        <f t="shared" si="74"/>
        <v>76</v>
      </c>
      <c r="AC146" s="325">
        <f t="shared" ref="AC146:AN146" si="75">COUNT(AC2:AC144)</f>
        <v>78</v>
      </c>
      <c r="AD146" s="326">
        <f t="shared" si="75"/>
        <v>78</v>
      </c>
      <c r="AE146" s="326">
        <f t="shared" si="75"/>
        <v>79</v>
      </c>
      <c r="AF146" s="326">
        <f t="shared" si="75"/>
        <v>80</v>
      </c>
      <c r="AG146" s="326">
        <f t="shared" si="75"/>
        <v>81</v>
      </c>
      <c r="AH146" s="326">
        <f t="shared" si="75"/>
        <v>81</v>
      </c>
      <c r="AI146" s="326">
        <f t="shared" si="75"/>
        <v>81</v>
      </c>
      <c r="AJ146" s="326">
        <f t="shared" si="75"/>
        <v>81</v>
      </c>
      <c r="AK146" s="326">
        <f t="shared" si="75"/>
        <v>81</v>
      </c>
      <c r="AL146" s="326">
        <f t="shared" si="75"/>
        <v>82</v>
      </c>
      <c r="AM146" s="326">
        <f t="shared" si="75"/>
        <v>83</v>
      </c>
      <c r="AN146" s="347">
        <f t="shared" si="75"/>
        <v>80</v>
      </c>
      <c r="AO146" s="325">
        <f t="shared" ref="AO146:AZ146" si="76">COUNT(AO2:AO144)</f>
        <v>79</v>
      </c>
      <c r="AP146" s="326">
        <f t="shared" si="76"/>
        <v>80</v>
      </c>
      <c r="AQ146" s="326">
        <f t="shared" si="76"/>
        <v>79</v>
      </c>
      <c r="AR146" s="326">
        <f t="shared" si="76"/>
        <v>79</v>
      </c>
      <c r="AS146" s="326">
        <f t="shared" si="76"/>
        <v>77</v>
      </c>
      <c r="AT146" s="326">
        <f t="shared" si="76"/>
        <v>68</v>
      </c>
      <c r="AU146" s="326">
        <f t="shared" si="76"/>
        <v>24</v>
      </c>
      <c r="AV146" s="326">
        <f t="shared" si="76"/>
        <v>3</v>
      </c>
      <c r="AW146" s="326">
        <f t="shared" si="76"/>
        <v>0</v>
      </c>
      <c r="AX146" s="326">
        <f t="shared" si="76"/>
        <v>0</v>
      </c>
      <c r="AY146" s="326">
        <f t="shared" si="76"/>
        <v>0</v>
      </c>
      <c r="AZ146" s="347">
        <f t="shared" si="76"/>
        <v>0</v>
      </c>
      <c r="BA146" s="407">
        <f t="shared" ref="BA146:BA148" si="77">SUM(D146:AZ146)</f>
        <v>3218</v>
      </c>
    </row>
    <row r="147" spans="1:54" ht="15">
      <c r="A147" s="73"/>
      <c r="B147" s="74" t="s">
        <v>1261</v>
      </c>
      <c r="C147" s="323"/>
      <c r="D147" s="324">
        <f>COUNTIF(D2:D144,"&gt;="&amp;D149)</f>
        <v>0</v>
      </c>
      <c r="E147" s="328">
        <f t="shared" ref="E147:AB147" si="78">COUNTIF(E2:E144,"&gt;="&amp;E149)</f>
        <v>46</v>
      </c>
      <c r="F147" s="329">
        <f t="shared" si="78"/>
        <v>50</v>
      </c>
      <c r="G147" s="329">
        <f t="shared" si="78"/>
        <v>46</v>
      </c>
      <c r="H147" s="329">
        <f t="shared" si="78"/>
        <v>52</v>
      </c>
      <c r="I147" s="329">
        <f t="shared" si="78"/>
        <v>48</v>
      </c>
      <c r="J147" s="329">
        <f t="shared" si="78"/>
        <v>51</v>
      </c>
      <c r="K147" s="329">
        <f t="shared" si="78"/>
        <v>47</v>
      </c>
      <c r="L147" s="329">
        <f t="shared" si="78"/>
        <v>50</v>
      </c>
      <c r="M147" s="329">
        <f t="shared" si="78"/>
        <v>50</v>
      </c>
      <c r="N147" s="329">
        <f t="shared" si="78"/>
        <v>52</v>
      </c>
      <c r="O147" s="329">
        <f t="shared" si="78"/>
        <v>52</v>
      </c>
      <c r="P147" s="330">
        <f t="shared" si="78"/>
        <v>52</v>
      </c>
      <c r="Q147" s="315">
        <f t="shared" si="78"/>
        <v>59</v>
      </c>
      <c r="R147" s="77">
        <f t="shared" si="78"/>
        <v>63</v>
      </c>
      <c r="S147" s="77">
        <f t="shared" si="78"/>
        <v>61</v>
      </c>
      <c r="T147" s="77">
        <f t="shared" si="78"/>
        <v>64</v>
      </c>
      <c r="U147" s="77">
        <f t="shared" si="78"/>
        <v>64</v>
      </c>
      <c r="V147" s="77">
        <f t="shared" si="78"/>
        <v>62</v>
      </c>
      <c r="W147" s="77">
        <f t="shared" si="78"/>
        <v>73</v>
      </c>
      <c r="X147" s="77">
        <f t="shared" si="78"/>
        <v>73</v>
      </c>
      <c r="Y147" s="77">
        <f t="shared" si="78"/>
        <v>68</v>
      </c>
      <c r="Z147" s="77">
        <f t="shared" si="78"/>
        <v>70</v>
      </c>
      <c r="AA147" s="77">
        <f t="shared" si="78"/>
        <v>72</v>
      </c>
      <c r="AB147" s="75">
        <f t="shared" si="78"/>
        <v>69</v>
      </c>
      <c r="AC147" s="328">
        <f t="shared" ref="AC147:AN147" si="79">COUNTIF(AC2:AC144,"&gt;="&amp;AC149)</f>
        <v>71</v>
      </c>
      <c r="AD147" s="329">
        <f t="shared" si="79"/>
        <v>72</v>
      </c>
      <c r="AE147" s="329">
        <f t="shared" si="79"/>
        <v>75</v>
      </c>
      <c r="AF147" s="329">
        <f t="shared" si="79"/>
        <v>74</v>
      </c>
      <c r="AG147" s="329">
        <f t="shared" si="79"/>
        <v>75</v>
      </c>
      <c r="AH147" s="329">
        <f t="shared" si="79"/>
        <v>76</v>
      </c>
      <c r="AI147" s="329">
        <f t="shared" si="79"/>
        <v>75</v>
      </c>
      <c r="AJ147" s="329">
        <f t="shared" si="79"/>
        <v>75</v>
      </c>
      <c r="AK147" s="329">
        <f t="shared" si="79"/>
        <v>41</v>
      </c>
      <c r="AL147" s="329">
        <f t="shared" si="79"/>
        <v>39</v>
      </c>
      <c r="AM147" s="329">
        <f t="shared" si="79"/>
        <v>29</v>
      </c>
      <c r="AN147" s="348">
        <f t="shared" si="79"/>
        <v>38</v>
      </c>
      <c r="AO147" s="328">
        <f t="shared" ref="AO147:AZ147" si="80">COUNTIF(AO2:AO144,"&gt;="&amp;AO149)</f>
        <v>69</v>
      </c>
      <c r="AP147" s="329">
        <f t="shared" si="80"/>
        <v>69</v>
      </c>
      <c r="AQ147" s="329">
        <f t="shared" si="80"/>
        <v>66</v>
      </c>
      <c r="AR147" s="329">
        <f t="shared" si="80"/>
        <v>72</v>
      </c>
      <c r="AS147" s="329">
        <f t="shared" si="80"/>
        <v>70</v>
      </c>
      <c r="AT147" s="329">
        <f t="shared" si="80"/>
        <v>64</v>
      </c>
      <c r="AU147" s="329">
        <f t="shared" si="80"/>
        <v>18</v>
      </c>
      <c r="AV147" s="329">
        <f t="shared" si="80"/>
        <v>3</v>
      </c>
      <c r="AW147" s="329">
        <f t="shared" si="80"/>
        <v>0</v>
      </c>
      <c r="AX147" s="329">
        <f t="shared" si="80"/>
        <v>0</v>
      </c>
      <c r="AY147" s="329">
        <f t="shared" si="80"/>
        <v>0</v>
      </c>
      <c r="AZ147" s="348">
        <f t="shared" si="80"/>
        <v>0</v>
      </c>
      <c r="BA147" s="408">
        <f t="shared" si="77"/>
        <v>2565</v>
      </c>
      <c r="BB147"/>
    </row>
    <row r="148" spans="1:54" ht="15">
      <c r="A148" s="161"/>
      <c r="B148" s="162" t="s">
        <v>1262</v>
      </c>
      <c r="C148" s="319"/>
      <c r="D148" s="320"/>
      <c r="E148" s="170">
        <f t="shared" ref="E148:V148" si="81">IFERROR(E145/E149,"")</f>
        <v>60.323529411764689</v>
      </c>
      <c r="F148" s="171">
        <f t="shared" si="81"/>
        <v>62.470588235294088</v>
      </c>
      <c r="G148" s="171">
        <f t="shared" si="81"/>
        <v>59.323529411764689</v>
      </c>
      <c r="H148" s="171">
        <f t="shared" si="81"/>
        <v>61.623529411764693</v>
      </c>
      <c r="I148" s="171">
        <f t="shared" si="81"/>
        <v>57.999999999999964</v>
      </c>
      <c r="J148" s="171">
        <f t="shared" si="81"/>
        <v>60.192307692307665</v>
      </c>
      <c r="K148" s="171">
        <f t="shared" si="81"/>
        <v>59.742857142857176</v>
      </c>
      <c r="L148" s="171">
        <f t="shared" si="81"/>
        <v>60.300000000000018</v>
      </c>
      <c r="M148" s="171">
        <f t="shared" si="81"/>
        <v>59.340000000000011</v>
      </c>
      <c r="N148" s="171">
        <f t="shared" si="81"/>
        <v>61.200000000000017</v>
      </c>
      <c r="O148" s="171">
        <f t="shared" si="81"/>
        <v>60.79999999999999</v>
      </c>
      <c r="P148" s="173">
        <f t="shared" si="81"/>
        <v>61.539999999999992</v>
      </c>
      <c r="Q148" s="174">
        <f t="shared" si="81"/>
        <v>67.499999999999929</v>
      </c>
      <c r="R148" s="171">
        <f t="shared" si="81"/>
        <v>71.249999999999929</v>
      </c>
      <c r="S148" s="171">
        <f t="shared" si="81"/>
        <v>70.14285714285721</v>
      </c>
      <c r="T148" s="171">
        <f t="shared" si="81"/>
        <v>73.678571428571502</v>
      </c>
      <c r="U148" s="171">
        <f t="shared" si="81"/>
        <v>70.025000000000006</v>
      </c>
      <c r="V148" s="171">
        <f t="shared" si="81"/>
        <v>72.216000000000008</v>
      </c>
      <c r="W148" s="171">
        <f>IFERROR(W145/W149,"")</f>
        <v>76.775000000000006</v>
      </c>
      <c r="X148" s="171">
        <f t="shared" ref="X148:AB148" si="82">IFERROR(X145/X149,"")</f>
        <v>77.904166666666669</v>
      </c>
      <c r="Y148" s="171">
        <f t="shared" si="82"/>
        <v>72.504406250000002</v>
      </c>
      <c r="Z148" s="171">
        <f t="shared" si="82"/>
        <v>75.432812499999997</v>
      </c>
      <c r="AA148" s="171">
        <f t="shared" si="82"/>
        <v>79.4375</v>
      </c>
      <c r="AB148" s="172">
        <f t="shared" si="82"/>
        <v>74.2764375</v>
      </c>
      <c r="AC148" s="349">
        <f t="shared" ref="AC148:AN148" si="83">IFERROR(AC145/AC149,"")</f>
        <v>74.718066666666672</v>
      </c>
      <c r="AD148" s="350">
        <f t="shared" si="83"/>
        <v>76.49666666666667</v>
      </c>
      <c r="AE148" s="350">
        <f t="shared" si="83"/>
        <v>81.238516666666669</v>
      </c>
      <c r="AF148" s="350">
        <f t="shared" si="83"/>
        <v>78.426000000000002</v>
      </c>
      <c r="AG148" s="350">
        <f t="shared" si="83"/>
        <v>79.122500000000002</v>
      </c>
      <c r="AH148" s="350">
        <f t="shared" si="83"/>
        <v>80.704999999999998</v>
      </c>
      <c r="AI148" s="350">
        <f t="shared" si="83"/>
        <v>80.95</v>
      </c>
      <c r="AJ148" s="350">
        <f t="shared" si="83"/>
        <v>80.94</v>
      </c>
      <c r="AK148" s="350">
        <f t="shared" si="83"/>
        <v>84.164875482625476</v>
      </c>
      <c r="AL148" s="350">
        <f t="shared" si="83"/>
        <v>82.384855721393038</v>
      </c>
      <c r="AM148" s="350">
        <f t="shared" si="83"/>
        <v>114.93355233002292</v>
      </c>
      <c r="AN148" s="351">
        <f t="shared" si="83"/>
        <v>80.615660141607663</v>
      </c>
      <c r="AO148" s="349">
        <f t="shared" ref="AO148:AZ148" si="84">IFERROR(AO145/AO149,"")</f>
        <v>81.055940023068047</v>
      </c>
      <c r="AP148" s="350">
        <f t="shared" si="84"/>
        <v>83.060733944954123</v>
      </c>
      <c r="AQ148" s="350">
        <f t="shared" si="84"/>
        <v>76.545425101214576</v>
      </c>
      <c r="AR148" s="350">
        <f t="shared" si="84"/>
        <v>79.794849122807022</v>
      </c>
      <c r="AS148" s="350">
        <f t="shared" si="84"/>
        <v>74.808999999999997</v>
      </c>
      <c r="AT148" s="350">
        <f t="shared" si="84"/>
        <v>67.979200000000006</v>
      </c>
      <c r="AU148" s="350">
        <f t="shared" si="84"/>
        <v>22.75</v>
      </c>
      <c r="AV148" s="350" t="str">
        <f t="shared" si="84"/>
        <v/>
      </c>
      <c r="AW148" s="350" t="str">
        <f t="shared" si="84"/>
        <v/>
      </c>
      <c r="AX148" s="350" t="str">
        <f t="shared" si="84"/>
        <v/>
      </c>
      <c r="AY148" s="350" t="str">
        <f t="shared" si="84"/>
        <v/>
      </c>
      <c r="AZ148" s="351" t="str">
        <f t="shared" si="84"/>
        <v/>
      </c>
      <c r="BA148" s="409">
        <f t="shared" si="77"/>
        <v>3086.6899346615423</v>
      </c>
      <c r="BB148"/>
    </row>
    <row r="149" spans="1:54">
      <c r="A149" s="163" t="s">
        <v>1263</v>
      </c>
      <c r="B149" s="164"/>
      <c r="C149" s="165"/>
      <c r="D149" s="245"/>
      <c r="E149" s="246">
        <v>0.17</v>
      </c>
      <c r="F149" s="247">
        <v>0.17</v>
      </c>
      <c r="G149" s="247">
        <v>0.17</v>
      </c>
      <c r="H149" s="247">
        <v>0.17</v>
      </c>
      <c r="I149" s="247">
        <v>0.26</v>
      </c>
      <c r="J149" s="247">
        <v>0.26</v>
      </c>
      <c r="K149" s="247">
        <v>0.35</v>
      </c>
      <c r="L149" s="247">
        <v>0.35</v>
      </c>
      <c r="M149" s="247">
        <v>0.35</v>
      </c>
      <c r="N149" s="247">
        <v>0.35</v>
      </c>
      <c r="O149" s="247">
        <v>0.5</v>
      </c>
      <c r="P149" s="248">
        <v>0.5</v>
      </c>
      <c r="Q149" s="249">
        <v>0.8</v>
      </c>
      <c r="R149" s="250">
        <v>0.8</v>
      </c>
      <c r="S149" s="250">
        <v>1.4</v>
      </c>
      <c r="T149" s="250">
        <v>1.4</v>
      </c>
      <c r="U149" s="250">
        <v>4</v>
      </c>
      <c r="V149" s="250">
        <v>6.25</v>
      </c>
      <c r="W149" s="250">
        <v>10</v>
      </c>
      <c r="X149" s="250">
        <v>12</v>
      </c>
      <c r="Y149" s="250">
        <v>320</v>
      </c>
      <c r="Z149" s="250">
        <v>320</v>
      </c>
      <c r="AA149" s="250">
        <v>320</v>
      </c>
      <c r="AB149" s="251">
        <v>800</v>
      </c>
      <c r="AC149" s="361">
        <f>IFERROR(AVERAGEIF(CUOTAS!$F:$F,'RESUMEN VIGILANCIA'!AC$1,CUOTAS!$H:$H),0)</f>
        <v>3000</v>
      </c>
      <c r="AD149" s="362">
        <f>IFERROR(AVERAGEIF(CUOTAS!$F:$F,'RESUMEN VIGILANCIA'!AD$1,CUOTAS!$H:$H),0)</f>
        <v>3000</v>
      </c>
      <c r="AE149" s="362">
        <f>IFERROR(AVERAGEIF(CUOTAS!$F:$F,'RESUMEN VIGILANCIA'!AE$1,CUOTAS!$H:$H),0)</f>
        <v>3000</v>
      </c>
      <c r="AF149" s="362">
        <f>IFERROR(AVERAGEIF(CUOTAS!$F:$F,'RESUMEN VIGILANCIA'!AF$1,CUOTAS!$H:$H),0)</f>
        <v>5000</v>
      </c>
      <c r="AG149" s="362">
        <f>IFERROR(AVERAGEIF(CUOTAS!$F:$F,'RESUMEN VIGILANCIA'!AG$1,CUOTAS!$H:$H),0)</f>
        <v>8000</v>
      </c>
      <c r="AH149" s="523">
        <f>IFERROR(AVERAGEIF(CUOTAS!$F:$F,'RESUMEN VIGILANCIA'!AH$1,CUOTAS!$H:$H),0)</f>
        <v>8000</v>
      </c>
      <c r="AI149" s="362">
        <f>IFERROR(AVERAGEIF(CUOTAS!$F:$F,'RESUMEN VIGILANCIA'!AI$1,CUOTAS!$H:$H),0)</f>
        <v>10000</v>
      </c>
      <c r="AJ149" s="362">
        <f>IFERROR(AVERAGEIF(CUOTAS!$F:$F,'RESUMEN VIGILANCIA'!AJ$1,CUOTAS!$H:$H),0)</f>
        <v>10000</v>
      </c>
      <c r="AK149" s="362">
        <f>IFERROR(AVERAGEIF(CUOTAS!$F:$F,'RESUMEN VIGILANCIA'!AK$1,CUOTAS!$H:$H),0)</f>
        <v>20720</v>
      </c>
      <c r="AL149" s="362">
        <f>IFERROR(AVERAGEIF(CUOTAS!$F:$F,'RESUMEN VIGILANCIA'!AL$1,CUOTAS!$H:$H),0)</f>
        <v>50250</v>
      </c>
      <c r="AM149" s="362">
        <f>IFERROR(AVERAGEIF(CUOTAS!$F:$F,'RESUMEN VIGILANCIA'!AM$1,CUOTAS!$H:$H),0)</f>
        <v>65450</v>
      </c>
      <c r="AN149" s="363">
        <f>IFERROR(AVERAGEIF(CUOTAS!$F:$F,'RESUMEN VIGILANCIA'!AN$1,CUOTAS!$H:$H),0)</f>
        <v>100041.66666666667</v>
      </c>
      <c r="AO149" s="361">
        <f>IFERROR(AVERAGEIF(CUOTAS!$F:$F,'RESUMEN VIGILANCIA'!AO$1,CUOTAS!$H:$H),0)</f>
        <v>130050</v>
      </c>
      <c r="AP149" s="362">
        <f>IFERROR(AVERAGEIF(CUOTAS!$F:$F,'RESUMEN VIGILANCIA'!AP$1,CUOTAS!$H:$H),0)</f>
        <v>136250</v>
      </c>
      <c r="AQ149" s="362">
        <f>IFERROR(AVERAGEIF(CUOTAS!$F:$F,'RESUMEN VIGILANCIA'!AQ$1,CUOTAS!$H:$H),0)</f>
        <v>185250</v>
      </c>
      <c r="AR149" s="362">
        <f>IFERROR(AVERAGEIF(CUOTAS!$F:$F,'RESUMEN VIGILANCIA'!AR$1,CUOTAS!$H:$H),0)</f>
        <v>185250</v>
      </c>
      <c r="AS149" s="362">
        <f>IFERROR(AVERAGEIF(CUOTAS!$F:$F,'RESUMEN VIGILANCIA'!AS$1,CUOTAS!$H:$H),0)</f>
        <v>250000</v>
      </c>
      <c r="AT149" s="523">
        <f>IFERROR(AVERAGEIF(CUOTAS!$F:$F,'RESUMEN VIGILANCIA'!AT$1,CUOTAS!$H:$H),0)</f>
        <v>250000</v>
      </c>
      <c r="AU149" s="362">
        <f>IFERROR(AVERAGEIF(CUOTAS!$F:$F,'RESUMEN VIGILANCIA'!AU$1,CUOTAS!$H:$H),0)</f>
        <v>320000</v>
      </c>
      <c r="AV149" s="362">
        <f>IFERROR(AVERAGEIF(CUOTAS!$F:$F,'RESUMEN VIGILANCIA'!AV$1,CUOTAS!$H:$H),0)</f>
        <v>0</v>
      </c>
      <c r="AW149" s="362">
        <f>IFERROR(AVERAGEIF(CUOTAS!$F:$F,'RESUMEN VIGILANCIA'!AW$1,CUOTAS!$H:$H),0)</f>
        <v>0</v>
      </c>
      <c r="AX149" s="362">
        <f>IFERROR(AVERAGEIF(CUOTAS!$F:$F,'RESUMEN VIGILANCIA'!AX$1,CUOTAS!$H:$H),0)</f>
        <v>0</v>
      </c>
      <c r="AY149" s="362">
        <f>IFERROR(AVERAGEIF(CUOTAS!$F:$F,'RESUMEN VIGILANCIA'!AY$1,CUOTAS!$H:$H),0)</f>
        <v>0</v>
      </c>
      <c r="AZ149" s="363">
        <f>IFERROR(AVERAGEIF(CUOTAS!$F:$F,'RESUMEN VIGILANCIA'!AZ$1,CUOTAS!$H:$H),0)</f>
        <v>0</v>
      </c>
      <c r="BA149" s="410"/>
    </row>
    <row r="150" spans="1:54">
      <c r="A150" s="80" t="s">
        <v>1264</v>
      </c>
      <c r="B150" s="81"/>
      <c r="C150" s="82"/>
      <c r="D150" s="252"/>
      <c r="E150" s="253">
        <v>0.12</v>
      </c>
      <c r="F150" s="254">
        <v>0.2</v>
      </c>
      <c r="G150" s="254">
        <v>0.2</v>
      </c>
      <c r="H150" s="254">
        <v>0.2</v>
      </c>
      <c r="I150" s="254">
        <v>0.3</v>
      </c>
      <c r="J150" s="254">
        <v>0.3</v>
      </c>
      <c r="K150" s="254">
        <v>0.4</v>
      </c>
      <c r="L150" s="254">
        <v>0.4</v>
      </c>
      <c r="M150" s="254">
        <v>0.4</v>
      </c>
      <c r="N150" s="254">
        <v>0.4</v>
      </c>
      <c r="O150" s="254">
        <v>0.54</v>
      </c>
      <c r="P150" s="255">
        <v>0.54</v>
      </c>
      <c r="Q150" s="256">
        <v>0.86399999999999999</v>
      </c>
      <c r="R150" s="254">
        <v>0.86399999999999999</v>
      </c>
      <c r="S150" s="254">
        <v>1.55</v>
      </c>
      <c r="T150" s="254">
        <v>1.55</v>
      </c>
      <c r="U150" s="254">
        <f>IF(ISBLANK(U149),"",ROUNDUP(U149*110%*2,2)/2)</f>
        <v>4.4000000000000004</v>
      </c>
      <c r="V150" s="254">
        <f t="shared" ref="V150:X150" si="85">IF(ISBLANK(V149),"",ROUNDUP(V149*110%*2,2)/2)</f>
        <v>6.875</v>
      </c>
      <c r="W150" s="254">
        <f t="shared" si="85"/>
        <v>11</v>
      </c>
      <c r="X150" s="254">
        <f t="shared" si="85"/>
        <v>13.2</v>
      </c>
      <c r="Y150" s="254">
        <f>IF(ISBLANK(Y149),"",ROUNDUP(Y149*110%*2,-1)/2)</f>
        <v>355</v>
      </c>
      <c r="Z150" s="254">
        <f t="shared" ref="Z150:AA150" si="86">IF(ISBLANK(Z149),"",ROUNDUP(Z149*110%*2,-1)/2)</f>
        <v>355</v>
      </c>
      <c r="AA150" s="254">
        <f t="shared" si="86"/>
        <v>355</v>
      </c>
      <c r="AB150" s="252">
        <f>IF(ISBLANK(AB149),"",ROUNDUP(AB149*110%*2,-1)/2)</f>
        <v>880</v>
      </c>
      <c r="AC150" s="364">
        <f t="shared" ref="AC150:AN150" si="87">IF(ISBLANK(AC149),"",ROUNDUP(AC149*110%*2,-1)/2)</f>
        <v>3300</v>
      </c>
      <c r="AD150" s="365">
        <f t="shared" si="87"/>
        <v>3300</v>
      </c>
      <c r="AE150" s="365">
        <f t="shared" si="87"/>
        <v>3300</v>
      </c>
      <c r="AF150" s="365">
        <f t="shared" si="87"/>
        <v>5500</v>
      </c>
      <c r="AG150" s="365">
        <f t="shared" si="87"/>
        <v>8800</v>
      </c>
      <c r="AH150" s="365">
        <f t="shared" si="87"/>
        <v>8800</v>
      </c>
      <c r="AI150" s="365">
        <f t="shared" si="87"/>
        <v>11000</v>
      </c>
      <c r="AJ150" s="365">
        <f t="shared" si="87"/>
        <v>11000</v>
      </c>
      <c r="AK150" s="365">
        <f t="shared" si="87"/>
        <v>22795</v>
      </c>
      <c r="AL150" s="365">
        <f t="shared" si="87"/>
        <v>55275</v>
      </c>
      <c r="AM150" s="365">
        <f t="shared" si="87"/>
        <v>71995</v>
      </c>
      <c r="AN150" s="366">
        <f t="shared" si="87"/>
        <v>110050</v>
      </c>
      <c r="AO150" s="364">
        <f t="shared" ref="AO150:AZ150" si="88">IF(ISBLANK(AO149),"",ROUNDUP(AO149*110%*2,-1)/2)</f>
        <v>143055</v>
      </c>
      <c r="AP150" s="365">
        <f t="shared" si="88"/>
        <v>149875</v>
      </c>
      <c r="AQ150" s="365">
        <f t="shared" si="88"/>
        <v>203775</v>
      </c>
      <c r="AR150" s="365">
        <f t="shared" si="88"/>
        <v>203775</v>
      </c>
      <c r="AS150" s="365">
        <f t="shared" si="88"/>
        <v>275000</v>
      </c>
      <c r="AT150" s="365">
        <f t="shared" si="88"/>
        <v>275000</v>
      </c>
      <c r="AU150" s="365">
        <f t="shared" si="88"/>
        <v>352000</v>
      </c>
      <c r="AV150" s="365">
        <f t="shared" si="88"/>
        <v>0</v>
      </c>
      <c r="AW150" s="365">
        <f t="shared" si="88"/>
        <v>0</v>
      </c>
      <c r="AX150" s="365">
        <f t="shared" si="88"/>
        <v>0</v>
      </c>
      <c r="AY150" s="365">
        <f t="shared" si="88"/>
        <v>0</v>
      </c>
      <c r="AZ150" s="366">
        <f t="shared" si="88"/>
        <v>0</v>
      </c>
      <c r="BA150" s="411"/>
    </row>
    <row r="151" spans="1:54">
      <c r="A151" s="80" t="s">
        <v>1265</v>
      </c>
      <c r="B151" s="81"/>
      <c r="C151" s="82"/>
      <c r="D151" s="252"/>
      <c r="E151" s="253">
        <v>0.3</v>
      </c>
      <c r="F151" s="254">
        <v>0.3</v>
      </c>
      <c r="G151" s="254">
        <v>0.3</v>
      </c>
      <c r="H151" s="254">
        <v>0.3</v>
      </c>
      <c r="I151" s="254">
        <v>0.4</v>
      </c>
      <c r="J151" s="254">
        <v>0.4</v>
      </c>
      <c r="K151" s="254">
        <v>0.54</v>
      </c>
      <c r="L151" s="254">
        <v>0.54</v>
      </c>
      <c r="M151" s="254">
        <v>0.54</v>
      </c>
      <c r="N151" s="254">
        <v>0.54</v>
      </c>
      <c r="O151" s="254">
        <v>0.71</v>
      </c>
      <c r="P151" s="255">
        <v>0.71</v>
      </c>
      <c r="Q151" s="256">
        <v>1.1359999999999999</v>
      </c>
      <c r="R151" s="254">
        <v>1.1359999999999999</v>
      </c>
      <c r="S151" s="254">
        <v>2</v>
      </c>
      <c r="T151" s="254">
        <v>2</v>
      </c>
      <c r="U151" s="254">
        <f>IF(ISBLANK(U149),"",ROUND(U149*145%*2,2)/2)</f>
        <v>5.8</v>
      </c>
      <c r="V151" s="254">
        <f t="shared" ref="V151:X151" si="89">IF(ISBLANK(V149),"",ROUND(V149*145%*2,2)/2)</f>
        <v>9.0649999999999995</v>
      </c>
      <c r="W151" s="254">
        <f t="shared" si="89"/>
        <v>14.5</v>
      </c>
      <c r="X151" s="254">
        <f t="shared" si="89"/>
        <v>17.399999999999999</v>
      </c>
      <c r="Y151" s="254">
        <f>IF(ISBLANK(Y149),"",ROUND(Y149*145%*2,-1)/2)</f>
        <v>465</v>
      </c>
      <c r="Z151" s="254">
        <f t="shared" ref="Z151:AB151" si="90">IF(ISBLANK(Z149),"",ROUND(Z149*145%*2,-1)/2)</f>
        <v>465</v>
      </c>
      <c r="AA151" s="254">
        <f t="shared" si="90"/>
        <v>465</v>
      </c>
      <c r="AB151" s="252">
        <f t="shared" si="90"/>
        <v>1160</v>
      </c>
      <c r="AC151" s="364">
        <f t="shared" ref="AC151:AN151" si="91">IF(ISBLANK(AC149),"",ROUND(AC149*145%*2,-1)/2)</f>
        <v>4350</v>
      </c>
      <c r="AD151" s="365">
        <f t="shared" si="91"/>
        <v>4350</v>
      </c>
      <c r="AE151" s="365">
        <f t="shared" si="91"/>
        <v>4350</v>
      </c>
      <c r="AF151" s="365">
        <f t="shared" si="91"/>
        <v>7250</v>
      </c>
      <c r="AG151" s="365">
        <f t="shared" si="91"/>
        <v>11600</v>
      </c>
      <c r="AH151" s="365">
        <f t="shared" si="91"/>
        <v>11600</v>
      </c>
      <c r="AI151" s="365">
        <f t="shared" si="91"/>
        <v>14500</v>
      </c>
      <c r="AJ151" s="365">
        <f t="shared" si="91"/>
        <v>14500</v>
      </c>
      <c r="AK151" s="365">
        <f t="shared" si="91"/>
        <v>30045</v>
      </c>
      <c r="AL151" s="365">
        <f t="shared" si="91"/>
        <v>72865</v>
      </c>
      <c r="AM151" s="365">
        <f t="shared" si="91"/>
        <v>94905</v>
      </c>
      <c r="AN151" s="366">
        <f t="shared" si="91"/>
        <v>145060</v>
      </c>
      <c r="AO151" s="364">
        <f t="shared" ref="AO151:AZ151" si="92">IF(ISBLANK(AO149),"",ROUND(AO149*145%*2,-1)/2)</f>
        <v>188575</v>
      </c>
      <c r="AP151" s="365">
        <f t="shared" si="92"/>
        <v>197565</v>
      </c>
      <c r="AQ151" s="365">
        <f t="shared" si="92"/>
        <v>268615</v>
      </c>
      <c r="AR151" s="365">
        <f t="shared" si="92"/>
        <v>268615</v>
      </c>
      <c r="AS151" s="365">
        <f t="shared" si="92"/>
        <v>362500</v>
      </c>
      <c r="AT151" s="365">
        <f t="shared" si="92"/>
        <v>362500</v>
      </c>
      <c r="AU151" s="365">
        <f t="shared" si="92"/>
        <v>464000</v>
      </c>
      <c r="AV151" s="365">
        <f t="shared" si="92"/>
        <v>0</v>
      </c>
      <c r="AW151" s="365">
        <f t="shared" si="92"/>
        <v>0</v>
      </c>
      <c r="AX151" s="365">
        <f t="shared" si="92"/>
        <v>0</v>
      </c>
      <c r="AY151" s="365">
        <f t="shared" si="92"/>
        <v>0</v>
      </c>
      <c r="AZ151" s="366">
        <f t="shared" si="92"/>
        <v>0</v>
      </c>
      <c r="BA151" s="411"/>
    </row>
    <row r="152" spans="1:54">
      <c r="A152" s="163" t="s">
        <v>1266</v>
      </c>
      <c r="B152" s="164"/>
      <c r="C152" s="165"/>
      <c r="D152" s="245"/>
      <c r="E152" s="246"/>
      <c r="F152" s="247"/>
      <c r="G152" s="247"/>
      <c r="H152" s="247"/>
      <c r="I152" s="247"/>
      <c r="J152" s="247"/>
      <c r="K152" s="247"/>
      <c r="L152" s="247"/>
      <c r="M152" s="247"/>
      <c r="N152" s="247"/>
      <c r="O152" s="247"/>
      <c r="P152" s="248"/>
      <c r="Q152" s="249"/>
      <c r="R152" s="250"/>
      <c r="S152" s="250"/>
      <c r="T152" s="250">
        <v>57.409950000000002</v>
      </c>
      <c r="U152" s="250">
        <v>177.54</v>
      </c>
      <c r="V152" s="250">
        <v>445.77249999999998</v>
      </c>
      <c r="W152" s="250">
        <v>539.77250000000004</v>
      </c>
      <c r="X152" s="250">
        <v>539.77250000000004</v>
      </c>
      <c r="Y152" s="250">
        <v>14254.74</v>
      </c>
      <c r="Z152" s="250">
        <v>14254.74</v>
      </c>
      <c r="AA152" s="250">
        <v>14254.74</v>
      </c>
      <c r="AB152" s="251">
        <v>35483</v>
      </c>
      <c r="AC152" s="361">
        <f>ROUND(AB152*1.75,-2)*1.7</f>
        <v>105570</v>
      </c>
      <c r="AD152" s="362">
        <v>131820</v>
      </c>
      <c r="AE152" s="361">
        <f>ROUND(AD152*1.25,-2)</f>
        <v>164800</v>
      </c>
      <c r="AF152" s="362">
        <f>ROUND(AE152*1.25,-2)</f>
        <v>206000</v>
      </c>
      <c r="AG152" s="362">
        <f>ROUND(AF152*1.25,-2)</f>
        <v>257500</v>
      </c>
      <c r="AH152" s="362">
        <f>ROUND(AG152*1.25,-2)</f>
        <v>321900</v>
      </c>
      <c r="AI152" s="362">
        <f>IF(ISBLANK(AI149),"",ROUND(AH152*1.25,-2))</f>
        <v>402400</v>
      </c>
      <c r="AJ152" s="362">
        <f t="shared" ref="AJ152:AN152" si="93">IF(ISBLANK(AJ149),"",ROUND(AI152*1.25,-2))</f>
        <v>503000</v>
      </c>
      <c r="AK152" s="362">
        <f>IF(ISBLANK(AK149),"",ROUND(AJ152*2.25,-2))</f>
        <v>1131800</v>
      </c>
      <c r="AL152" s="362">
        <f>IF(ISBLANK(AL149),"",ROUND(3000000*1.1,-2))</f>
        <v>3300000</v>
      </c>
      <c r="AM152" s="362">
        <f t="shared" si="93"/>
        <v>4125000</v>
      </c>
      <c r="AN152" s="363">
        <f t="shared" si="93"/>
        <v>5156300</v>
      </c>
      <c r="AO152" s="361">
        <f t="shared" ref="AO152" si="94">IF(ISBLANK(AO149),"",ROUND(AN152*1.25,-2))</f>
        <v>6445400</v>
      </c>
      <c r="AP152" s="362">
        <f t="shared" ref="AP152" si="95">IF(ISBLANK(AP149),"",ROUND(AO152*1.25,-2))</f>
        <v>8056800</v>
      </c>
      <c r="AQ152" s="362">
        <f t="shared" ref="AQ152" si="96">IF(ISBLANK(AQ149),"",ROUND(AP152*1.25,-2))</f>
        <v>10071000</v>
      </c>
      <c r="AR152" s="362">
        <f t="shared" ref="AR152" si="97">IF(ISBLANK(AR149),"",ROUND(AQ152*1.25,-2))</f>
        <v>12588800</v>
      </c>
      <c r="AS152" s="362">
        <f t="shared" ref="AS152" si="98">IF(ISBLANK(AS149),"",ROUND(AR152*1.25,-2))</f>
        <v>15736000</v>
      </c>
      <c r="AT152" s="362">
        <f>IF(ISBLANK(AT149),"",ROUND(AS152*1.025,-2))</f>
        <v>16129400</v>
      </c>
      <c r="AU152" s="362">
        <f>IF(ISBLANK(AU149),"",ROUND(AT152*1.075,-2))</f>
        <v>17339100</v>
      </c>
      <c r="AV152" s="362">
        <f t="shared" ref="AV152:AZ152" si="99">IF(ISBLANK(AV149),"",ROUND(AU152*1.025,-2))</f>
        <v>17772600</v>
      </c>
      <c r="AW152" s="362">
        <f t="shared" si="99"/>
        <v>18216900</v>
      </c>
      <c r="AX152" s="362">
        <f t="shared" si="99"/>
        <v>18672300</v>
      </c>
      <c r="AY152" s="362">
        <f t="shared" si="99"/>
        <v>19139100</v>
      </c>
      <c r="AZ152" s="363">
        <f t="shared" si="99"/>
        <v>19617600</v>
      </c>
      <c r="BA152" s="410"/>
    </row>
  </sheetData>
  <conditionalFormatting sqref="C1:C33 C110:C145 C106:C108 C67:C104 C35:C65">
    <cfRule type="cellIs" dxfId="38" priority="8" operator="equal">
      <formula>"û"</formula>
    </cfRule>
  </conditionalFormatting>
  <conditionalFormatting sqref="C109">
    <cfRule type="cellIs" dxfId="37" priority="6" operator="equal">
      <formula>"û"</formula>
    </cfRule>
  </conditionalFormatting>
  <conditionalFormatting sqref="C34">
    <cfRule type="cellIs" dxfId="36" priority="4" operator="equal">
      <formula>"û"</formula>
    </cfRule>
  </conditionalFormatting>
  <conditionalFormatting sqref="C105">
    <cfRule type="cellIs" dxfId="35" priority="2" operator="equal">
      <formula>"û"</formula>
    </cfRule>
  </conditionalFormatting>
  <conditionalFormatting sqref="C66">
    <cfRule type="cellIs" dxfId="34"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2"/>
  <sheetViews>
    <sheetView showGridLines="0" workbookViewId="0">
      <pane ySplit="3" topLeftCell="A79" activePane="bottomLeft" state="frozen"/>
      <selection pane="bottomLeft" activeCell="D79" sqref="D79"/>
      <selection activeCell="AL85" sqref="AL85"/>
    </sheetView>
  </sheetViews>
  <sheetFormatPr defaultColWidth="10.7109375" defaultRowHeight="15"/>
  <cols>
    <col min="1" max="1" width="11.42578125" style="2"/>
    <col min="2" max="2" width="12" style="614" bestFit="1" customWidth="1"/>
    <col min="3" max="3" width="10.7109375" style="554"/>
    <col min="4" max="4" width="11.7109375" style="549" customWidth="1"/>
    <col min="5" max="5" width="19.42578125" style="549" customWidth="1"/>
    <col min="6" max="6" width="10.5703125" style="583" bestFit="1" customWidth="1"/>
    <col min="7" max="13" width="11.7109375" style="549" customWidth="1"/>
  </cols>
  <sheetData>
    <row r="1" spans="1:13">
      <c r="A1" s="570" t="s">
        <v>1267</v>
      </c>
      <c r="B1" s="610"/>
      <c r="C1" s="561"/>
      <c r="D1" s="562"/>
      <c r="E1" s="562"/>
      <c r="F1" s="580"/>
      <c r="G1" s="562"/>
      <c r="H1" s="563" t="s">
        <v>1268</v>
      </c>
      <c r="I1" s="564">
        <f>LOOKUP(100000000000000000000,1/(E:E&lt;&gt;""),E:E)</f>
        <v>23995112795.700001</v>
      </c>
      <c r="J1" s="562"/>
      <c r="K1" s="562"/>
      <c r="L1" s="563" t="s">
        <v>1269</v>
      </c>
      <c r="M1" s="565" cm="1">
        <f t="array" ref="M1">LOOKUP(100000000000000000000,1/(G:G&lt;&gt;""),G:G)</f>
        <v>0</v>
      </c>
    </row>
    <row r="3" spans="1:13" ht="41.25">
      <c r="A3" s="579" t="s">
        <v>3</v>
      </c>
      <c r="B3" s="611" t="s">
        <v>1270</v>
      </c>
      <c r="C3" s="578" t="s">
        <v>1271</v>
      </c>
      <c r="D3" s="577" t="s">
        <v>1272</v>
      </c>
      <c r="E3" s="578" t="s">
        <v>1273</v>
      </c>
      <c r="F3" s="578" t="s">
        <v>14</v>
      </c>
      <c r="G3" s="578" t="s">
        <v>1274</v>
      </c>
      <c r="H3" s="578" t="s">
        <v>1275</v>
      </c>
      <c r="I3" s="578" t="s">
        <v>1276</v>
      </c>
      <c r="J3" s="578" t="s">
        <v>1264</v>
      </c>
      <c r="K3" s="578" t="s">
        <v>1277</v>
      </c>
      <c r="L3" s="578" t="s">
        <v>1265</v>
      </c>
      <c r="M3" s="578" t="s">
        <v>1278</v>
      </c>
    </row>
    <row r="4" spans="1:13">
      <c r="A4" s="584">
        <v>42370</v>
      </c>
      <c r="B4" s="612">
        <v>0</v>
      </c>
      <c r="C4" s="585" t="s">
        <v>1279</v>
      </c>
      <c r="D4" s="555" t="s">
        <v>1280</v>
      </c>
      <c r="E4" s="555">
        <v>8826.9</v>
      </c>
      <c r="F4" s="581">
        <f>DATE(YEAR(A4),MONTH(A4),1)</f>
        <v>42370</v>
      </c>
      <c r="G4" s="558"/>
      <c r="H4" s="559">
        <f t="shared" ref="H4:H36" si="0">IF(C4="VEB",B4,G4*B4)</f>
        <v>0</v>
      </c>
      <c r="I4" s="558">
        <f t="shared" ref="I4:I35" si="1">IF(C4="VEB",(1+($I$1-E4)/E4)*B4,$M$1*B4)</f>
        <v>0</v>
      </c>
      <c r="J4" s="558">
        <v>0</v>
      </c>
      <c r="K4" s="558"/>
      <c r="L4" s="558">
        <v>0</v>
      </c>
      <c r="M4" s="559" t="str">
        <f t="shared" ref="M4:M67" si="2">IF(C4="VEB","",B4*145%)</f>
        <v/>
      </c>
    </row>
    <row r="5" spans="1:13">
      <c r="A5" s="584">
        <v>42736</v>
      </c>
      <c r="B5" s="612">
        <f>17000/100000</f>
        <v>0.17</v>
      </c>
      <c r="C5" s="585" t="s">
        <v>1279</v>
      </c>
      <c r="D5" s="555" t="s">
        <v>1280</v>
      </c>
      <c r="E5" s="555">
        <v>10378.1</v>
      </c>
      <c r="F5" s="581">
        <f t="shared" ref="F5:F46" si="3">DATE(YEAR(A5),MONTH(A5),1)</f>
        <v>42736</v>
      </c>
      <c r="G5" s="558"/>
      <c r="H5" s="559">
        <f t="shared" si="0"/>
        <v>0.17</v>
      </c>
      <c r="I5" s="558">
        <f t="shared" si="1"/>
        <v>393055.48947003792</v>
      </c>
      <c r="J5" s="558">
        <f>12000/100000</f>
        <v>0.12</v>
      </c>
      <c r="K5" s="558"/>
      <c r="L5" s="558">
        <f>30000/100000</f>
        <v>0.3</v>
      </c>
      <c r="M5" s="559" t="str">
        <f t="shared" si="2"/>
        <v/>
      </c>
    </row>
    <row r="6" spans="1:13">
      <c r="A6" s="584">
        <f t="shared" ref="A6:A36" si="4">EDATE(A5,1)</f>
        <v>42767</v>
      </c>
      <c r="B6" s="612">
        <f t="shared" ref="B6:B8" si="5">17000/100000</f>
        <v>0.17</v>
      </c>
      <c r="C6" s="585" t="s">
        <v>1279</v>
      </c>
      <c r="D6" s="555" t="s">
        <v>1280</v>
      </c>
      <c r="E6" s="555">
        <v>11697.2</v>
      </c>
      <c r="F6" s="581">
        <f t="shared" si="3"/>
        <v>42767</v>
      </c>
      <c r="G6" s="558"/>
      <c r="H6" s="559">
        <f t="shared" si="0"/>
        <v>0.17</v>
      </c>
      <c r="I6" s="558">
        <f t="shared" si="1"/>
        <v>348730.39490382315</v>
      </c>
      <c r="J6" s="558">
        <f>12000/100000</f>
        <v>0.12</v>
      </c>
      <c r="K6" s="558"/>
      <c r="L6" s="558">
        <f>30000/100000</f>
        <v>0.3</v>
      </c>
      <c r="M6" s="559" t="str">
        <f t="shared" si="2"/>
        <v/>
      </c>
    </row>
    <row r="7" spans="1:13">
      <c r="A7" s="584">
        <f t="shared" si="4"/>
        <v>42795</v>
      </c>
      <c r="B7" s="612">
        <f t="shared" si="5"/>
        <v>0.17</v>
      </c>
      <c r="C7" s="585" t="s">
        <v>1279</v>
      </c>
      <c r="D7" s="555" t="s">
        <v>1280</v>
      </c>
      <c r="E7" s="555">
        <v>12910.1</v>
      </c>
      <c r="F7" s="581">
        <f t="shared" si="3"/>
        <v>42795</v>
      </c>
      <c r="G7" s="558"/>
      <c r="H7" s="559">
        <f t="shared" si="0"/>
        <v>0.17</v>
      </c>
      <c r="I7" s="558">
        <f t="shared" si="1"/>
        <v>315967.2795151858</v>
      </c>
      <c r="J7" s="558">
        <f>20000/100000</f>
        <v>0.2</v>
      </c>
      <c r="K7" s="558"/>
      <c r="L7" s="558">
        <f>30000/100000</f>
        <v>0.3</v>
      </c>
      <c r="M7" s="559" t="str">
        <f t="shared" si="2"/>
        <v/>
      </c>
    </row>
    <row r="8" spans="1:13">
      <c r="A8" s="584">
        <f t="shared" si="4"/>
        <v>42826</v>
      </c>
      <c r="B8" s="612">
        <f t="shared" si="5"/>
        <v>0.17</v>
      </c>
      <c r="C8" s="585" t="s">
        <v>1279</v>
      </c>
      <c r="D8" s="555" t="s">
        <v>1280</v>
      </c>
      <c r="E8" s="555">
        <v>13975.9</v>
      </c>
      <c r="F8" s="581">
        <f t="shared" si="3"/>
        <v>42826</v>
      </c>
      <c r="G8" s="558"/>
      <c r="H8" s="559">
        <f t="shared" si="0"/>
        <v>0.17</v>
      </c>
      <c r="I8" s="558">
        <f t="shared" si="1"/>
        <v>291871.66302484996</v>
      </c>
      <c r="J8" s="558">
        <f>20000/100000</f>
        <v>0.2</v>
      </c>
      <c r="K8" s="558"/>
      <c r="L8" s="558">
        <f>30000/100000</f>
        <v>0.3</v>
      </c>
      <c r="M8" s="559" t="str">
        <f t="shared" si="2"/>
        <v/>
      </c>
    </row>
    <row r="9" spans="1:13">
      <c r="A9" s="584">
        <f t="shared" si="4"/>
        <v>42856</v>
      </c>
      <c r="B9" s="612">
        <f>26000/100000</f>
        <v>0.26</v>
      </c>
      <c r="C9" s="585" t="s">
        <v>1279</v>
      </c>
      <c r="D9" s="555" t="s">
        <v>1280</v>
      </c>
      <c r="E9" s="555">
        <v>15610.4</v>
      </c>
      <c r="F9" s="581">
        <f t="shared" si="3"/>
        <v>42856</v>
      </c>
      <c r="G9" s="558"/>
      <c r="H9" s="559">
        <f t="shared" si="0"/>
        <v>0.26</v>
      </c>
      <c r="I9" s="558">
        <f t="shared" si="1"/>
        <v>399652.11185376416</v>
      </c>
      <c r="J9" s="558">
        <f>20000/100000</f>
        <v>0.2</v>
      </c>
      <c r="K9" s="558"/>
      <c r="L9" s="558">
        <f>30000/100000</f>
        <v>0.3</v>
      </c>
      <c r="M9" s="559" t="str">
        <f t="shared" si="2"/>
        <v/>
      </c>
    </row>
    <row r="10" spans="1:13">
      <c r="A10" s="584">
        <f t="shared" si="4"/>
        <v>42887</v>
      </c>
      <c r="B10" s="612">
        <f>26000/100000</f>
        <v>0.26</v>
      </c>
      <c r="C10" s="585" t="s">
        <v>1279</v>
      </c>
      <c r="D10" s="555" t="s">
        <v>1280</v>
      </c>
      <c r="E10" s="555">
        <v>17537.8</v>
      </c>
      <c r="F10" s="581">
        <f t="shared" si="3"/>
        <v>42887</v>
      </c>
      <c r="G10" s="558"/>
      <c r="H10" s="559">
        <f t="shared" si="0"/>
        <v>0.26</v>
      </c>
      <c r="I10" s="558">
        <f t="shared" si="1"/>
        <v>355730.44092657004</v>
      </c>
      <c r="J10" s="558">
        <f>30000/100000</f>
        <v>0.3</v>
      </c>
      <c r="K10" s="558"/>
      <c r="L10" s="558">
        <f>40000/100000</f>
        <v>0.4</v>
      </c>
      <c r="M10" s="559" t="str">
        <f t="shared" si="2"/>
        <v/>
      </c>
    </row>
    <row r="11" spans="1:13">
      <c r="A11" s="584">
        <f t="shared" si="4"/>
        <v>42917</v>
      </c>
      <c r="B11" s="612">
        <f>35000/100000</f>
        <v>0.35</v>
      </c>
      <c r="C11" s="585" t="s">
        <v>1279</v>
      </c>
      <c r="D11" s="555" t="s">
        <v>1280</v>
      </c>
      <c r="E11" s="555">
        <v>19938.2</v>
      </c>
      <c r="F11" s="581">
        <f t="shared" si="3"/>
        <v>42917</v>
      </c>
      <c r="G11" s="558"/>
      <c r="H11" s="559">
        <f t="shared" si="0"/>
        <v>0.35</v>
      </c>
      <c r="I11" s="558">
        <f t="shared" si="1"/>
        <v>421216.03146196745</v>
      </c>
      <c r="J11" s="558">
        <f>30000/100000</f>
        <v>0.3</v>
      </c>
      <c r="K11" s="558"/>
      <c r="L11" s="558">
        <f>40000/100000</f>
        <v>0.4</v>
      </c>
      <c r="M11" s="559" t="str">
        <f t="shared" si="2"/>
        <v/>
      </c>
    </row>
    <row r="12" spans="1:13">
      <c r="A12" s="584">
        <f t="shared" si="4"/>
        <v>42948</v>
      </c>
      <c r="B12" s="612">
        <f t="shared" ref="B12:B14" si="6">35000/100000</f>
        <v>0.35</v>
      </c>
      <c r="C12" s="585" t="s">
        <v>1279</v>
      </c>
      <c r="D12" s="555" t="s">
        <v>1280</v>
      </c>
      <c r="E12" s="555">
        <v>23736.3</v>
      </c>
      <c r="F12" s="581">
        <f t="shared" si="3"/>
        <v>42948</v>
      </c>
      <c r="G12" s="558"/>
      <c r="H12" s="559">
        <f t="shared" si="0"/>
        <v>0.35</v>
      </c>
      <c r="I12" s="558">
        <f t="shared" si="1"/>
        <v>353816.28469875257</v>
      </c>
      <c r="J12" s="558">
        <f>40000/100000</f>
        <v>0.4</v>
      </c>
      <c r="K12" s="558"/>
      <c r="L12" s="558">
        <f>54000/100000</f>
        <v>0.54</v>
      </c>
      <c r="M12" s="559" t="str">
        <f t="shared" si="2"/>
        <v/>
      </c>
    </row>
    <row r="13" spans="1:13">
      <c r="A13" s="584">
        <f t="shared" si="4"/>
        <v>42979</v>
      </c>
      <c r="B13" s="612">
        <f t="shared" si="6"/>
        <v>0.35</v>
      </c>
      <c r="C13" s="585" t="s">
        <v>1279</v>
      </c>
      <c r="D13" s="555" t="s">
        <v>1280</v>
      </c>
      <c r="E13" s="555">
        <v>29921.9</v>
      </c>
      <c r="F13" s="581">
        <f t="shared" si="3"/>
        <v>42979</v>
      </c>
      <c r="G13" s="558"/>
      <c r="H13" s="559">
        <f t="shared" si="0"/>
        <v>0.35</v>
      </c>
      <c r="I13" s="558">
        <f t="shared" si="1"/>
        <v>280673.66973671451</v>
      </c>
      <c r="J13" s="558">
        <f>40000/100000</f>
        <v>0.4</v>
      </c>
      <c r="K13" s="558"/>
      <c r="L13" s="558">
        <f>54000/100000</f>
        <v>0.54</v>
      </c>
      <c r="M13" s="559" t="str">
        <f t="shared" si="2"/>
        <v/>
      </c>
    </row>
    <row r="14" spans="1:13">
      <c r="A14" s="584">
        <f t="shared" si="4"/>
        <v>43009</v>
      </c>
      <c r="B14" s="612">
        <f t="shared" si="6"/>
        <v>0.35</v>
      </c>
      <c r="C14" s="585" t="s">
        <v>1279</v>
      </c>
      <c r="D14" s="555" t="s">
        <v>1280</v>
      </c>
      <c r="E14" s="555">
        <v>39473.9</v>
      </c>
      <c r="F14" s="581">
        <f t="shared" si="3"/>
        <v>43009</v>
      </c>
      <c r="G14" s="558"/>
      <c r="H14" s="559">
        <f t="shared" si="0"/>
        <v>0.35</v>
      </c>
      <c r="I14" s="558">
        <f t="shared" si="1"/>
        <v>212755.5037251196</v>
      </c>
      <c r="J14" s="558">
        <f>40000/100000</f>
        <v>0.4</v>
      </c>
      <c r="K14" s="558"/>
      <c r="L14" s="558">
        <f>54000/100000</f>
        <v>0.54</v>
      </c>
      <c r="M14" s="559" t="str">
        <f t="shared" si="2"/>
        <v/>
      </c>
    </row>
    <row r="15" spans="1:13">
      <c r="A15" s="584">
        <f t="shared" si="4"/>
        <v>43040</v>
      </c>
      <c r="B15" s="612">
        <f>50000/100000</f>
        <v>0.5</v>
      </c>
      <c r="C15" s="585" t="s">
        <v>1279</v>
      </c>
      <c r="D15" s="555" t="s">
        <v>1280</v>
      </c>
      <c r="E15" s="555">
        <v>54611</v>
      </c>
      <c r="F15" s="581">
        <f t="shared" si="3"/>
        <v>43040</v>
      </c>
      <c r="G15" s="558"/>
      <c r="H15" s="559">
        <f t="shared" si="0"/>
        <v>0.5</v>
      </c>
      <c r="I15" s="558">
        <f t="shared" si="1"/>
        <v>219691.20502920658</v>
      </c>
      <c r="J15" s="558">
        <f>40000/100000</f>
        <v>0.4</v>
      </c>
      <c r="K15" s="558"/>
      <c r="L15" s="558">
        <f>54000/100000</f>
        <v>0.54</v>
      </c>
      <c r="M15" s="559" t="str">
        <f t="shared" si="2"/>
        <v/>
      </c>
    </row>
    <row r="16" spans="1:13">
      <c r="A16" s="584">
        <f t="shared" si="4"/>
        <v>43070</v>
      </c>
      <c r="B16" s="612">
        <f>50000/100000</f>
        <v>0.5</v>
      </c>
      <c r="C16" s="585" t="s">
        <v>1279</v>
      </c>
      <c r="D16" s="555" t="s">
        <v>1280</v>
      </c>
      <c r="E16" s="555">
        <v>84970.3</v>
      </c>
      <c r="F16" s="581">
        <f t="shared" si="3"/>
        <v>43070</v>
      </c>
      <c r="G16" s="558"/>
      <c r="H16" s="559">
        <f t="shared" si="0"/>
        <v>0.5</v>
      </c>
      <c r="I16" s="558">
        <f t="shared" si="1"/>
        <v>141197.05824093832</v>
      </c>
      <c r="J16" s="558">
        <f>54000/100000</f>
        <v>0.54</v>
      </c>
      <c r="K16" s="558"/>
      <c r="L16" s="558">
        <f>71000/100000</f>
        <v>0.71</v>
      </c>
      <c r="M16" s="559" t="str">
        <f t="shared" si="2"/>
        <v/>
      </c>
    </row>
    <row r="17" spans="1:13">
      <c r="A17" s="584">
        <f t="shared" si="4"/>
        <v>43101</v>
      </c>
      <c r="B17" s="612">
        <f>80000/100000</f>
        <v>0.8</v>
      </c>
      <c r="C17" s="585" t="s">
        <v>1279</v>
      </c>
      <c r="D17" s="555" t="s">
        <v>1280</v>
      </c>
      <c r="E17" s="555">
        <v>141060.9</v>
      </c>
      <c r="F17" s="581">
        <f t="shared" si="3"/>
        <v>43101</v>
      </c>
      <c r="G17" s="558"/>
      <c r="H17" s="559">
        <f t="shared" si="0"/>
        <v>0.8</v>
      </c>
      <c r="I17" s="558">
        <f t="shared" si="1"/>
        <v>136083.70736724351</v>
      </c>
      <c r="J17" s="558">
        <f>54000/100000</f>
        <v>0.54</v>
      </c>
      <c r="K17" s="558"/>
      <c r="L17" s="558">
        <f>71000/100000</f>
        <v>0.71</v>
      </c>
      <c r="M17" s="559" t="str">
        <f t="shared" si="2"/>
        <v/>
      </c>
    </row>
    <row r="18" spans="1:13">
      <c r="A18" s="584">
        <f t="shared" si="4"/>
        <v>43132</v>
      </c>
      <c r="B18" s="612">
        <f>80000/100000</f>
        <v>0.8</v>
      </c>
      <c r="C18" s="585" t="s">
        <v>1279</v>
      </c>
      <c r="D18" s="555" t="s">
        <v>1280</v>
      </c>
      <c r="E18" s="555">
        <v>204074.2</v>
      </c>
      <c r="F18" s="581">
        <f t="shared" si="3"/>
        <v>43132</v>
      </c>
      <c r="G18" s="558"/>
      <c r="H18" s="559">
        <f t="shared" si="0"/>
        <v>0.8</v>
      </c>
      <c r="I18" s="558">
        <f t="shared" si="1"/>
        <v>94064.267979783821</v>
      </c>
      <c r="J18" s="558">
        <f>86400/100000</f>
        <v>0.86399999999999999</v>
      </c>
      <c r="K18" s="558"/>
      <c r="L18" s="558">
        <f>113600/100000</f>
        <v>1.1359999999999999</v>
      </c>
      <c r="M18" s="559" t="str">
        <f t="shared" si="2"/>
        <v/>
      </c>
    </row>
    <row r="19" spans="1:13">
      <c r="A19" s="584">
        <f t="shared" si="4"/>
        <v>43160</v>
      </c>
      <c r="B19" s="612">
        <f>140000/100000</f>
        <v>1.4</v>
      </c>
      <c r="C19" s="585" t="s">
        <v>1279</v>
      </c>
      <c r="D19" s="555" t="s">
        <v>1280</v>
      </c>
      <c r="E19" s="555">
        <v>287622.2</v>
      </c>
      <c r="F19" s="581">
        <f t="shared" si="3"/>
        <v>43160</v>
      </c>
      <c r="G19" s="558"/>
      <c r="H19" s="559">
        <f t="shared" si="0"/>
        <v>1.4</v>
      </c>
      <c r="I19" s="558">
        <f t="shared" si="1"/>
        <v>116796.12322685801</v>
      </c>
      <c r="J19" s="558">
        <f>86400/100000</f>
        <v>0.86399999999999999</v>
      </c>
      <c r="K19" s="558"/>
      <c r="L19" s="558">
        <f>113600/100000</f>
        <v>1.1359999999999999</v>
      </c>
      <c r="M19" s="559" t="str">
        <f t="shared" si="2"/>
        <v/>
      </c>
    </row>
    <row r="20" spans="1:13">
      <c r="A20" s="584">
        <f t="shared" si="4"/>
        <v>43191</v>
      </c>
      <c r="B20" s="612">
        <f>140000/100000</f>
        <v>1.4</v>
      </c>
      <c r="C20" s="585" t="s">
        <v>1279</v>
      </c>
      <c r="D20" s="555" t="s">
        <v>1280</v>
      </c>
      <c r="E20" s="555">
        <v>448124</v>
      </c>
      <c r="F20" s="581">
        <f t="shared" si="3"/>
        <v>43191</v>
      </c>
      <c r="G20" s="558"/>
      <c r="H20" s="559">
        <f t="shared" si="0"/>
        <v>1.4</v>
      </c>
      <c r="I20" s="558">
        <f t="shared" si="1"/>
        <v>74963.978528219872</v>
      </c>
      <c r="J20" s="558">
        <f>155000/100000</f>
        <v>1.55</v>
      </c>
      <c r="K20" s="558"/>
      <c r="L20" s="558">
        <f>200000/100000</f>
        <v>2</v>
      </c>
      <c r="M20" s="559" t="str">
        <f t="shared" si="2"/>
        <v/>
      </c>
    </row>
    <row r="21" spans="1:13">
      <c r="A21" s="584">
        <f t="shared" si="4"/>
        <v>43221</v>
      </c>
      <c r="B21" s="612">
        <f>400000/100000</f>
        <v>4</v>
      </c>
      <c r="C21" s="585" t="s">
        <v>1279</v>
      </c>
      <c r="D21" s="555" t="s">
        <v>1280</v>
      </c>
      <c r="E21" s="555">
        <v>942481</v>
      </c>
      <c r="F21" s="581">
        <f t="shared" si="3"/>
        <v>43221</v>
      </c>
      <c r="G21" s="558"/>
      <c r="H21" s="559">
        <f t="shared" si="0"/>
        <v>4</v>
      </c>
      <c r="I21" s="558">
        <f t="shared" si="1"/>
        <v>101838.07544427952</v>
      </c>
      <c r="J21" s="558">
        <f>155000/100000</f>
        <v>1.55</v>
      </c>
      <c r="K21" s="558"/>
      <c r="L21" s="558">
        <f>200000/100000</f>
        <v>2</v>
      </c>
      <c r="M21" s="559" t="str">
        <f t="shared" si="2"/>
        <v/>
      </c>
    </row>
    <row r="22" spans="1:13">
      <c r="A22" s="584">
        <f t="shared" si="4"/>
        <v>43252</v>
      </c>
      <c r="B22" s="612">
        <f>625000/100000</f>
        <v>6.25</v>
      </c>
      <c r="C22" s="585" t="s">
        <v>1279</v>
      </c>
      <c r="D22" s="555" t="s">
        <v>1280</v>
      </c>
      <c r="E22" s="555">
        <v>1853869.6</v>
      </c>
      <c r="F22" s="581">
        <f t="shared" si="3"/>
        <v>43252</v>
      </c>
      <c r="G22" s="558"/>
      <c r="H22" s="559">
        <f t="shared" si="0"/>
        <v>6.25</v>
      </c>
      <c r="I22" s="558">
        <f t="shared" si="1"/>
        <v>80895.363391861538</v>
      </c>
      <c r="J22" s="558">
        <f>IF(ISBLANK(H22),"",ROUNDUP(H22*110%*2,2)/2)</f>
        <v>6.875</v>
      </c>
      <c r="K22" s="558"/>
      <c r="L22" s="558">
        <f>IF(ISBLANK(H22),"",ROUND(H22*145%*2,2)/2)</f>
        <v>9.0649999999999995</v>
      </c>
      <c r="M22" s="559" t="str">
        <f t="shared" si="2"/>
        <v/>
      </c>
    </row>
    <row r="23" spans="1:13">
      <c r="A23" s="584">
        <f t="shared" si="4"/>
        <v>43282</v>
      </c>
      <c r="B23" s="612">
        <f>1000000/100000</f>
        <v>10</v>
      </c>
      <c r="C23" s="585" t="s">
        <v>1279</v>
      </c>
      <c r="D23" s="555" t="s">
        <v>1280</v>
      </c>
      <c r="E23" s="555">
        <v>3362789.7</v>
      </c>
      <c r="F23" s="581">
        <f t="shared" si="3"/>
        <v>43282</v>
      </c>
      <c r="G23" s="558"/>
      <c r="H23" s="559">
        <f t="shared" si="0"/>
        <v>10</v>
      </c>
      <c r="I23" s="558">
        <f t="shared" si="1"/>
        <v>71354.782595236335</v>
      </c>
      <c r="J23" s="558">
        <f>IF(ISBLANK(H23),"",ROUNDUP(H23*110%*2,2)/2)</f>
        <v>11</v>
      </c>
      <c r="K23" s="558"/>
      <c r="L23" s="558">
        <f>IF(ISBLANK(H23),"",ROUND(H23*145%*2,2)/2)</f>
        <v>14.5</v>
      </c>
      <c r="M23" s="559" t="str">
        <f t="shared" si="2"/>
        <v/>
      </c>
    </row>
    <row r="24" spans="1:13">
      <c r="A24" s="584">
        <f t="shared" si="4"/>
        <v>43313</v>
      </c>
      <c r="B24" s="612">
        <f>1200000/100000</f>
        <v>12</v>
      </c>
      <c r="C24" s="585" t="s">
        <v>1279</v>
      </c>
      <c r="D24" s="555" t="s">
        <v>1280</v>
      </c>
      <c r="E24" s="555">
        <v>5919047.9000000004</v>
      </c>
      <c r="F24" s="581">
        <f t="shared" si="3"/>
        <v>43313</v>
      </c>
      <c r="G24" s="558"/>
      <c r="H24" s="559">
        <f t="shared" si="0"/>
        <v>12</v>
      </c>
      <c r="I24" s="558">
        <f t="shared" si="1"/>
        <v>48646.565868879014</v>
      </c>
      <c r="J24" s="558">
        <f>IF(ISBLANK(H24),"",ROUNDUP(H24*110%*2,2)/2)</f>
        <v>13.2</v>
      </c>
      <c r="K24" s="558"/>
      <c r="L24" s="558">
        <f>IF(ISBLANK(H24),"",ROUND(H24*145%*2,2)/2)</f>
        <v>17.399999999999999</v>
      </c>
      <c r="M24" s="559" t="str">
        <f t="shared" si="2"/>
        <v/>
      </c>
    </row>
    <row r="25" spans="1:13">
      <c r="A25" s="584">
        <f t="shared" si="4"/>
        <v>43344</v>
      </c>
      <c r="B25" s="612">
        <v>320</v>
      </c>
      <c r="C25" s="585" t="s">
        <v>1279</v>
      </c>
      <c r="D25" s="555" t="s">
        <v>1280</v>
      </c>
      <c r="E25" s="555">
        <v>13479980.5</v>
      </c>
      <c r="F25" s="581">
        <f t="shared" si="3"/>
        <v>43344</v>
      </c>
      <c r="G25" s="558"/>
      <c r="H25" s="559">
        <f t="shared" si="0"/>
        <v>320</v>
      </c>
      <c r="I25" s="558">
        <f t="shared" si="1"/>
        <v>569617.7449681029</v>
      </c>
      <c r="J25" s="558">
        <f t="shared" ref="J25:J28" si="7">IF(ISBLANK(H25),"",ROUNDUP(H25*110%*2,-1)/2)</f>
        <v>355</v>
      </c>
      <c r="K25" s="558"/>
      <c r="L25" s="558">
        <f t="shared" ref="L25:L36" si="8">IF(ISBLANK(H25),"",ROUND(H25*145%*2,-1)/2)</f>
        <v>465</v>
      </c>
      <c r="M25" s="559" t="str">
        <f t="shared" si="2"/>
        <v/>
      </c>
    </row>
    <row r="26" spans="1:13">
      <c r="A26" s="584">
        <f t="shared" si="4"/>
        <v>43374</v>
      </c>
      <c r="B26" s="612">
        <v>320</v>
      </c>
      <c r="C26" s="585" t="s">
        <v>1279</v>
      </c>
      <c r="D26" s="555" t="s">
        <v>1280</v>
      </c>
      <c r="E26" s="555">
        <v>25355573.699999999</v>
      </c>
      <c r="F26" s="581">
        <f t="shared" si="3"/>
        <v>43374</v>
      </c>
      <c r="G26" s="558"/>
      <c r="H26" s="559">
        <f t="shared" si="0"/>
        <v>320</v>
      </c>
      <c r="I26" s="558">
        <f t="shared" si="1"/>
        <v>302830.30411668424</v>
      </c>
      <c r="J26" s="558">
        <f t="shared" si="7"/>
        <v>355</v>
      </c>
      <c r="K26" s="558"/>
      <c r="L26" s="558">
        <f t="shared" si="8"/>
        <v>465</v>
      </c>
      <c r="M26" s="559" t="str">
        <f t="shared" si="2"/>
        <v/>
      </c>
    </row>
    <row r="27" spans="1:13">
      <c r="A27" s="584">
        <f t="shared" si="4"/>
        <v>43405</v>
      </c>
      <c r="B27" s="612">
        <v>320</v>
      </c>
      <c r="C27" s="585" t="s">
        <v>1279</v>
      </c>
      <c r="D27" s="555" t="s">
        <v>1280</v>
      </c>
      <c r="E27" s="555">
        <v>56589583.5</v>
      </c>
      <c r="F27" s="581">
        <f t="shared" si="3"/>
        <v>43405</v>
      </c>
      <c r="G27" s="558"/>
      <c r="H27" s="559">
        <f t="shared" si="0"/>
        <v>320</v>
      </c>
      <c r="I27" s="558">
        <f t="shared" si="1"/>
        <v>135686.38642876741</v>
      </c>
      <c r="J27" s="558">
        <f t="shared" si="7"/>
        <v>355</v>
      </c>
      <c r="K27" s="558"/>
      <c r="L27" s="558">
        <f t="shared" si="8"/>
        <v>465</v>
      </c>
      <c r="M27" s="559" t="str">
        <f t="shared" si="2"/>
        <v/>
      </c>
    </row>
    <row r="28" spans="1:13">
      <c r="A28" s="584">
        <f t="shared" si="4"/>
        <v>43435</v>
      </c>
      <c r="B28" s="612">
        <v>800</v>
      </c>
      <c r="C28" s="585" t="s">
        <v>1279</v>
      </c>
      <c r="D28" s="555" t="s">
        <v>1280</v>
      </c>
      <c r="E28" s="555">
        <v>110597550.2</v>
      </c>
      <c r="F28" s="581">
        <f t="shared" si="3"/>
        <v>43435</v>
      </c>
      <c r="G28" s="558"/>
      <c r="H28" s="559">
        <f t="shared" si="0"/>
        <v>800</v>
      </c>
      <c r="I28" s="558">
        <f t="shared" si="1"/>
        <v>173567.04738799902</v>
      </c>
      <c r="J28" s="558">
        <f t="shared" si="7"/>
        <v>880</v>
      </c>
      <c r="K28" s="558"/>
      <c r="L28" s="558">
        <f t="shared" si="8"/>
        <v>1160</v>
      </c>
      <c r="M28" s="559" t="str">
        <f t="shared" si="2"/>
        <v/>
      </c>
    </row>
    <row r="29" spans="1:13">
      <c r="A29" s="584">
        <f t="shared" si="4"/>
        <v>43466</v>
      </c>
      <c r="B29" s="612">
        <v>3000</v>
      </c>
      <c r="C29" s="585" t="s">
        <v>1279</v>
      </c>
      <c r="D29" s="555" t="s">
        <v>1280</v>
      </c>
      <c r="E29" s="555">
        <v>328067725.10000002</v>
      </c>
      <c r="F29" s="581">
        <f t="shared" si="3"/>
        <v>43466</v>
      </c>
      <c r="G29" s="558"/>
      <c r="H29" s="559">
        <f t="shared" si="0"/>
        <v>3000</v>
      </c>
      <c r="I29" s="558">
        <f t="shared" si="1"/>
        <v>219422.18901648364</v>
      </c>
      <c r="J29" s="558"/>
      <c r="K29" s="558"/>
      <c r="L29" s="558">
        <f t="shared" si="8"/>
        <v>4350</v>
      </c>
      <c r="M29" s="559" t="str">
        <f t="shared" si="2"/>
        <v/>
      </c>
    </row>
    <row r="30" spans="1:13">
      <c r="A30" s="584">
        <f t="shared" si="4"/>
        <v>43497</v>
      </c>
      <c r="B30" s="612">
        <v>3000</v>
      </c>
      <c r="C30" s="585" t="s">
        <v>1279</v>
      </c>
      <c r="D30" s="555" t="s">
        <v>1280</v>
      </c>
      <c r="E30" s="555">
        <v>703259098.20000005</v>
      </c>
      <c r="F30" s="581">
        <f t="shared" si="3"/>
        <v>43497</v>
      </c>
      <c r="G30" s="558"/>
      <c r="H30" s="559">
        <f t="shared" si="0"/>
        <v>3000</v>
      </c>
      <c r="I30" s="558">
        <f t="shared" si="1"/>
        <v>102359.62616245892</v>
      </c>
      <c r="J30" s="558"/>
      <c r="K30" s="558"/>
      <c r="L30" s="558">
        <f t="shared" si="8"/>
        <v>4350</v>
      </c>
      <c r="M30" s="559" t="str">
        <f t="shared" si="2"/>
        <v/>
      </c>
    </row>
    <row r="31" spans="1:13">
      <c r="A31" s="584">
        <f t="shared" si="4"/>
        <v>43525</v>
      </c>
      <c r="B31" s="612">
        <v>3000</v>
      </c>
      <c r="C31" s="585" t="s">
        <v>1279</v>
      </c>
      <c r="D31" s="555" t="s">
        <v>1280</v>
      </c>
      <c r="E31" s="555">
        <v>948197209.5</v>
      </c>
      <c r="F31" s="581">
        <f t="shared" si="3"/>
        <v>43525</v>
      </c>
      <c r="G31" s="558"/>
      <c r="H31" s="559">
        <f t="shared" si="0"/>
        <v>3000</v>
      </c>
      <c r="I31" s="558">
        <f t="shared" si="1"/>
        <v>75918.108243599519</v>
      </c>
      <c r="J31" s="558"/>
      <c r="K31" s="558"/>
      <c r="L31" s="558">
        <f t="shared" si="8"/>
        <v>4350</v>
      </c>
      <c r="M31" s="559" t="str">
        <f t="shared" si="2"/>
        <v/>
      </c>
    </row>
    <row r="32" spans="1:13">
      <c r="A32" s="584">
        <f t="shared" si="4"/>
        <v>43556</v>
      </c>
      <c r="B32" s="612">
        <v>5000</v>
      </c>
      <c r="C32" s="585" t="s">
        <v>1279</v>
      </c>
      <c r="D32" s="555" t="s">
        <v>1280</v>
      </c>
      <c r="E32" s="555">
        <v>1268517190.9000001</v>
      </c>
      <c r="F32" s="581">
        <f t="shared" si="3"/>
        <v>43556</v>
      </c>
      <c r="G32" s="558"/>
      <c r="H32" s="559">
        <f t="shared" si="0"/>
        <v>5000</v>
      </c>
      <c r="I32" s="558">
        <f t="shared" si="1"/>
        <v>94579.3756987862</v>
      </c>
      <c r="J32" s="558"/>
      <c r="K32" s="558"/>
      <c r="L32" s="558">
        <f t="shared" si="8"/>
        <v>7250</v>
      </c>
      <c r="M32" s="559" t="str">
        <f t="shared" si="2"/>
        <v/>
      </c>
    </row>
    <row r="33" spans="1:13">
      <c r="A33" s="584">
        <f t="shared" si="4"/>
        <v>43586</v>
      </c>
      <c r="B33" s="612">
        <v>8000</v>
      </c>
      <c r="C33" s="585" t="s">
        <v>1279</v>
      </c>
      <c r="D33" s="555" t="s">
        <v>1280</v>
      </c>
      <c r="E33" s="555">
        <v>1769365833.3</v>
      </c>
      <c r="F33" s="581">
        <f t="shared" si="3"/>
        <v>43586</v>
      </c>
      <c r="G33" s="558"/>
      <c r="H33" s="559">
        <f t="shared" si="0"/>
        <v>8000</v>
      </c>
      <c r="I33" s="558">
        <f t="shared" si="1"/>
        <v>108491.35817638037</v>
      </c>
      <c r="J33" s="558"/>
      <c r="K33" s="558"/>
      <c r="L33" s="558">
        <f t="shared" si="8"/>
        <v>11600</v>
      </c>
      <c r="M33" s="559" t="str">
        <f t="shared" si="2"/>
        <v/>
      </c>
    </row>
    <row r="34" spans="1:13">
      <c r="A34" s="584">
        <f t="shared" si="4"/>
        <v>43617</v>
      </c>
      <c r="B34" s="612">
        <v>8000</v>
      </c>
      <c r="C34" s="585" t="s">
        <v>1279</v>
      </c>
      <c r="D34" s="555" t="s">
        <v>1280</v>
      </c>
      <c r="E34" s="555">
        <v>2160431069.8000002</v>
      </c>
      <c r="F34" s="581">
        <f t="shared" si="3"/>
        <v>43617</v>
      </c>
      <c r="G34" s="558"/>
      <c r="H34" s="559">
        <f t="shared" si="0"/>
        <v>8000</v>
      </c>
      <c r="I34" s="558">
        <f t="shared" si="1"/>
        <v>88853.055785469056</v>
      </c>
      <c r="J34" s="558"/>
      <c r="K34" s="558"/>
      <c r="L34" s="558">
        <f t="shared" si="8"/>
        <v>11600</v>
      </c>
      <c r="M34" s="559" t="str">
        <f t="shared" si="2"/>
        <v/>
      </c>
    </row>
    <row r="35" spans="1:13">
      <c r="A35" s="584">
        <f t="shared" si="4"/>
        <v>43647</v>
      </c>
      <c r="B35" s="612">
        <v>10000</v>
      </c>
      <c r="C35" s="585" t="s">
        <v>1279</v>
      </c>
      <c r="D35" s="555" t="s">
        <v>1280</v>
      </c>
      <c r="E35" s="555">
        <v>2579165819.6999998</v>
      </c>
      <c r="F35" s="581">
        <f t="shared" si="3"/>
        <v>43647</v>
      </c>
      <c r="G35" s="558"/>
      <c r="H35" s="559">
        <f t="shared" si="0"/>
        <v>10000</v>
      </c>
      <c r="I35" s="558">
        <f t="shared" si="1"/>
        <v>93034.393571837238</v>
      </c>
      <c r="J35" s="558"/>
      <c r="K35" s="558"/>
      <c r="L35" s="558">
        <f t="shared" si="8"/>
        <v>14500</v>
      </c>
      <c r="M35" s="559" t="str">
        <f t="shared" si="2"/>
        <v/>
      </c>
    </row>
    <row r="36" spans="1:13">
      <c r="A36" s="584">
        <f t="shared" si="4"/>
        <v>43678</v>
      </c>
      <c r="B36" s="612">
        <v>10000</v>
      </c>
      <c r="C36" s="585" t="s">
        <v>1279</v>
      </c>
      <c r="D36" s="555" t="s">
        <v>1280</v>
      </c>
      <c r="E36" s="555">
        <v>3472176193.1999998</v>
      </c>
      <c r="F36" s="581">
        <f t="shared" si="3"/>
        <v>43678</v>
      </c>
      <c r="G36" s="558"/>
      <c r="H36" s="559">
        <f t="shared" si="0"/>
        <v>10000</v>
      </c>
      <c r="I36" s="558">
        <f>IF(C36="VEB",(1+($I$1-E36)/E36)*B36,$M$1*B36)</f>
        <v>69106.840956667613</v>
      </c>
      <c r="J36" s="558"/>
      <c r="K36" s="558"/>
      <c r="L36" s="558">
        <f t="shared" si="8"/>
        <v>14500</v>
      </c>
      <c r="M36" s="559" t="str">
        <f t="shared" si="2"/>
        <v/>
      </c>
    </row>
    <row r="37" spans="1:13">
      <c r="A37" s="584">
        <v>43709</v>
      </c>
      <c r="B37" s="613">
        <v>1</v>
      </c>
      <c r="C37" s="585" t="s">
        <v>1281</v>
      </c>
      <c r="D37" s="556">
        <v>20511.45</v>
      </c>
      <c r="E37" s="555">
        <v>5286006314.6999998</v>
      </c>
      <c r="F37" s="581">
        <f t="shared" si="3"/>
        <v>43709</v>
      </c>
      <c r="G37" s="559">
        <f t="shared" ref="G37:G44" si="9">ROUNDUP(D37,-2)</f>
        <v>20600</v>
      </c>
      <c r="H37" s="559">
        <f>IF(C37="VEB",B37,G37*B37)</f>
        <v>20600</v>
      </c>
      <c r="I37" s="558">
        <f t="shared" ref="I37:I77" si="10">IF(C37="VEB",(1+($I$1-E37)/E37)*B37,$M$1*B37)</f>
        <v>0</v>
      </c>
      <c r="J37" s="558"/>
      <c r="K37" s="558"/>
      <c r="L37" s="558">
        <f t="shared" ref="L37:L44" si="11">IF(ISBLANK(H37),"",ROUND(H37*145%*2,-1)/2)</f>
        <v>29870</v>
      </c>
      <c r="M37" s="559">
        <f t="shared" si="2"/>
        <v>1.45</v>
      </c>
    </row>
    <row r="38" spans="1:13">
      <c r="A38" s="584">
        <v>43717</v>
      </c>
      <c r="B38" s="613">
        <v>1</v>
      </c>
      <c r="C38" s="585" t="s">
        <v>1281</v>
      </c>
      <c r="D38" s="556">
        <v>20430.11</v>
      </c>
      <c r="E38" s="555">
        <v>5286006314.6999998</v>
      </c>
      <c r="F38" s="581">
        <f t="shared" si="3"/>
        <v>43709</v>
      </c>
      <c r="G38" s="559">
        <f t="shared" si="9"/>
        <v>20500</v>
      </c>
      <c r="H38" s="559">
        <f t="shared" ref="H38:H45" si="12">IF(C38="VEB",B38,G38*B38)</f>
        <v>20500</v>
      </c>
      <c r="I38" s="558">
        <f t="shared" si="10"/>
        <v>0</v>
      </c>
      <c r="J38" s="558"/>
      <c r="K38" s="558"/>
      <c r="L38" s="558">
        <f t="shared" si="11"/>
        <v>29725</v>
      </c>
      <c r="M38" s="559">
        <f t="shared" si="2"/>
        <v>1.45</v>
      </c>
    </row>
    <row r="39" spans="1:13">
      <c r="A39" s="584">
        <v>43724</v>
      </c>
      <c r="B39" s="613">
        <v>1</v>
      </c>
      <c r="C39" s="585" t="s">
        <v>1281</v>
      </c>
      <c r="D39" s="556">
        <v>21555.41</v>
      </c>
      <c r="E39" s="555">
        <v>5286006314.6999998</v>
      </c>
      <c r="F39" s="581">
        <f t="shared" si="3"/>
        <v>43709</v>
      </c>
      <c r="G39" s="559">
        <f t="shared" si="9"/>
        <v>21600</v>
      </c>
      <c r="H39" s="559">
        <f t="shared" si="12"/>
        <v>21600</v>
      </c>
      <c r="I39" s="558">
        <f t="shared" si="10"/>
        <v>0</v>
      </c>
      <c r="J39" s="558"/>
      <c r="K39" s="558"/>
      <c r="L39" s="558">
        <f t="shared" si="11"/>
        <v>31320</v>
      </c>
      <c r="M39" s="559">
        <f t="shared" si="2"/>
        <v>1.45</v>
      </c>
    </row>
    <row r="40" spans="1:13">
      <c r="A40" s="584">
        <v>43731</v>
      </c>
      <c r="B40" s="613">
        <v>1</v>
      </c>
      <c r="C40" s="585" t="s">
        <v>1281</v>
      </c>
      <c r="D40" s="556">
        <v>19715.310000000001</v>
      </c>
      <c r="E40" s="555">
        <v>5286006314.6999998</v>
      </c>
      <c r="F40" s="581">
        <f t="shared" si="3"/>
        <v>43709</v>
      </c>
      <c r="G40" s="559">
        <f t="shared" si="9"/>
        <v>19800</v>
      </c>
      <c r="H40" s="559">
        <f t="shared" si="12"/>
        <v>19800</v>
      </c>
      <c r="I40" s="558">
        <f t="shared" si="10"/>
        <v>0</v>
      </c>
      <c r="J40" s="558"/>
      <c r="K40" s="558"/>
      <c r="L40" s="558">
        <f t="shared" si="11"/>
        <v>28710</v>
      </c>
      <c r="M40" s="559">
        <f t="shared" si="2"/>
        <v>1.45</v>
      </c>
    </row>
    <row r="41" spans="1:13">
      <c r="A41" s="584">
        <v>43738</v>
      </c>
      <c r="B41" s="613">
        <v>1</v>
      </c>
      <c r="C41" s="585" t="s">
        <v>1281</v>
      </c>
      <c r="D41" s="556">
        <v>21028.080000000002</v>
      </c>
      <c r="E41" s="555">
        <v>5286006314.6999998</v>
      </c>
      <c r="F41" s="581">
        <f t="shared" si="3"/>
        <v>43709</v>
      </c>
      <c r="G41" s="559">
        <f t="shared" si="9"/>
        <v>21100</v>
      </c>
      <c r="H41" s="559">
        <f t="shared" si="12"/>
        <v>21100</v>
      </c>
      <c r="I41" s="558">
        <f t="shared" si="10"/>
        <v>0</v>
      </c>
      <c r="J41" s="558"/>
      <c r="K41" s="558"/>
      <c r="L41" s="558">
        <f t="shared" ref="L41" si="13">IF(ISBLANK(H41),"",ROUND(H41*145%*2,-1)/2)</f>
        <v>30595</v>
      </c>
      <c r="M41" s="559">
        <f t="shared" si="2"/>
        <v>1.45</v>
      </c>
    </row>
    <row r="42" spans="1:13">
      <c r="A42" s="584">
        <v>43739</v>
      </c>
      <c r="B42" s="613">
        <v>2.5</v>
      </c>
      <c r="C42" s="585" t="s">
        <v>1281</v>
      </c>
      <c r="D42" s="556">
        <v>21028.080000000002</v>
      </c>
      <c r="E42" s="555">
        <v>6478423619.1999998</v>
      </c>
      <c r="F42" s="581">
        <f t="shared" si="3"/>
        <v>43739</v>
      </c>
      <c r="G42" s="559">
        <f t="shared" si="9"/>
        <v>21100</v>
      </c>
      <c r="H42" s="559">
        <f t="shared" si="12"/>
        <v>52750</v>
      </c>
      <c r="I42" s="558">
        <f t="shared" si="10"/>
        <v>0</v>
      </c>
      <c r="J42" s="558"/>
      <c r="K42" s="558"/>
      <c r="L42" s="558">
        <f t="shared" ref="L42" si="14">IF(ISBLANK(H42),"",ROUND(H42*145%*2,-1)/2)</f>
        <v>76490</v>
      </c>
      <c r="M42" s="559">
        <f t="shared" si="2"/>
        <v>3.625</v>
      </c>
    </row>
    <row r="43" spans="1:13">
      <c r="A43" s="584">
        <v>43745</v>
      </c>
      <c r="B43" s="613">
        <v>2.5</v>
      </c>
      <c r="C43" s="585" t="s">
        <v>1281</v>
      </c>
      <c r="D43" s="556">
        <v>20218.03</v>
      </c>
      <c r="E43" s="555">
        <v>6478423619.1999998</v>
      </c>
      <c r="F43" s="581">
        <f t="shared" si="3"/>
        <v>43739</v>
      </c>
      <c r="G43" s="559">
        <f t="shared" si="9"/>
        <v>20300</v>
      </c>
      <c r="H43" s="559">
        <f t="shared" si="12"/>
        <v>50750</v>
      </c>
      <c r="I43" s="558">
        <f t="shared" si="10"/>
        <v>0</v>
      </c>
      <c r="J43" s="558"/>
      <c r="K43" s="558"/>
      <c r="L43" s="558">
        <f t="shared" si="11"/>
        <v>73590</v>
      </c>
      <c r="M43" s="559">
        <f t="shared" si="2"/>
        <v>3.625</v>
      </c>
    </row>
    <row r="44" spans="1:13">
      <c r="A44" s="584">
        <v>43752</v>
      </c>
      <c r="B44" s="613">
        <v>2.5</v>
      </c>
      <c r="C44" s="585" t="s">
        <v>1281</v>
      </c>
      <c r="D44" s="556">
        <v>19733.41</v>
      </c>
      <c r="E44" s="555">
        <v>6478423619.1999998</v>
      </c>
      <c r="F44" s="581">
        <f t="shared" si="3"/>
        <v>43739</v>
      </c>
      <c r="G44" s="559">
        <f t="shared" si="9"/>
        <v>19800</v>
      </c>
      <c r="H44" s="559">
        <f t="shared" si="12"/>
        <v>49500</v>
      </c>
      <c r="I44" s="558">
        <f t="shared" si="10"/>
        <v>0</v>
      </c>
      <c r="J44" s="558"/>
      <c r="K44" s="558"/>
      <c r="L44" s="558">
        <f t="shared" si="11"/>
        <v>71775</v>
      </c>
      <c r="M44" s="559">
        <f t="shared" si="2"/>
        <v>3.625</v>
      </c>
    </row>
    <row r="45" spans="1:13">
      <c r="A45" s="584">
        <v>43758</v>
      </c>
      <c r="B45" s="613">
        <v>2.5</v>
      </c>
      <c r="C45" s="585" t="s">
        <v>1281</v>
      </c>
      <c r="D45" s="556">
        <v>18710.560000000001</v>
      </c>
      <c r="E45" s="555">
        <v>6478423619.1999998</v>
      </c>
      <c r="F45" s="581">
        <f t="shared" si="3"/>
        <v>43739</v>
      </c>
      <c r="G45" s="559">
        <f t="shared" ref="G45:G52" si="15">ROUNDUP(D45,-2)</f>
        <v>18800</v>
      </c>
      <c r="H45" s="559">
        <f t="shared" si="12"/>
        <v>47000</v>
      </c>
      <c r="I45" s="558">
        <f t="shared" si="10"/>
        <v>0</v>
      </c>
      <c r="J45" s="558"/>
      <c r="K45" s="558"/>
      <c r="L45" s="558">
        <f t="shared" ref="L45" si="16">IF(ISBLANK(H45),"",ROUND(H45*145%*2,-1)/2)</f>
        <v>68150</v>
      </c>
      <c r="M45" s="559">
        <f t="shared" si="2"/>
        <v>3.625</v>
      </c>
    </row>
    <row r="46" spans="1:13">
      <c r="A46" s="584">
        <v>43766</v>
      </c>
      <c r="B46" s="613">
        <v>2.5</v>
      </c>
      <c r="C46" s="585" t="s">
        <v>1281</v>
      </c>
      <c r="D46" s="556">
        <v>20454.310000000001</v>
      </c>
      <c r="E46" s="555">
        <v>6478423619.1999998</v>
      </c>
      <c r="F46" s="581">
        <f t="shared" si="3"/>
        <v>43739</v>
      </c>
      <c r="G46" s="559">
        <f t="shared" si="15"/>
        <v>20500</v>
      </c>
      <c r="H46" s="559">
        <f t="shared" ref="H46" si="17">IF(C46="VEB",B46,G46*B46)</f>
        <v>51250</v>
      </c>
      <c r="I46" s="558">
        <f t="shared" si="10"/>
        <v>0</v>
      </c>
      <c r="J46" s="558"/>
      <c r="K46" s="558"/>
      <c r="L46" s="558">
        <f t="shared" ref="L46" si="18">IF(ISBLANK(H46),"",ROUND(H46*145%*2,-1)/2)</f>
        <v>74315</v>
      </c>
      <c r="M46" s="559">
        <f t="shared" si="2"/>
        <v>3.625</v>
      </c>
    </row>
    <row r="47" spans="1:13">
      <c r="A47" s="584">
        <v>43770</v>
      </c>
      <c r="B47" s="613">
        <v>2.5</v>
      </c>
      <c r="C47" s="585" t="s">
        <v>1281</v>
      </c>
      <c r="D47" s="556">
        <v>20454.310000000001</v>
      </c>
      <c r="E47" s="555">
        <v>8144026331.6999998</v>
      </c>
      <c r="F47" s="581">
        <f t="shared" ref="F47" si="19">DATE(YEAR(A47),MONTH(A47),1)</f>
        <v>43770</v>
      </c>
      <c r="G47" s="559">
        <f t="shared" si="15"/>
        <v>20500</v>
      </c>
      <c r="H47" s="559">
        <f t="shared" ref="H47" si="20">IF(C47="VEB",B47,G47*B47)</f>
        <v>51250</v>
      </c>
      <c r="I47" s="558">
        <f t="shared" si="10"/>
        <v>0</v>
      </c>
      <c r="J47" s="558"/>
      <c r="K47" s="558"/>
      <c r="L47" s="558">
        <f t="shared" ref="L47" si="21">IF(ISBLANK(H47),"",ROUND(H47*145%*2,-1)/2)</f>
        <v>74315</v>
      </c>
      <c r="M47" s="559">
        <f t="shared" si="2"/>
        <v>3.625</v>
      </c>
    </row>
    <row r="48" spans="1:13">
      <c r="A48" s="584">
        <v>43773</v>
      </c>
      <c r="B48" s="613">
        <v>2.5</v>
      </c>
      <c r="C48" s="585" t="s">
        <v>1281</v>
      </c>
      <c r="D48" s="556">
        <v>22493.91</v>
      </c>
      <c r="E48" s="555">
        <v>8144026331.6999998</v>
      </c>
      <c r="F48" s="581">
        <f t="shared" ref="F48" si="22">DATE(YEAR(A48),MONTH(A48),1)</f>
        <v>43770</v>
      </c>
      <c r="G48" s="559">
        <f t="shared" si="15"/>
        <v>22500</v>
      </c>
      <c r="H48" s="559">
        <f t="shared" ref="H48" si="23">IF(C48="VEB",B48,G48*B48)</f>
        <v>56250</v>
      </c>
      <c r="I48" s="558">
        <f t="shared" si="10"/>
        <v>0</v>
      </c>
      <c r="J48" s="558"/>
      <c r="K48" s="558"/>
      <c r="L48" s="558">
        <f t="shared" ref="L48" si="24">IF(ISBLANK(H48),"",ROUND(H48*145%*2,-1)/2)</f>
        <v>81565</v>
      </c>
      <c r="M48" s="559">
        <f t="shared" si="2"/>
        <v>3.625</v>
      </c>
    </row>
    <row r="49" spans="1:13">
      <c r="A49" s="584">
        <v>43780</v>
      </c>
      <c r="B49" s="613">
        <v>2.5</v>
      </c>
      <c r="C49" s="585" t="s">
        <v>1281</v>
      </c>
      <c r="D49" s="556">
        <v>25734.28</v>
      </c>
      <c r="E49" s="555">
        <v>8144026331.6999998</v>
      </c>
      <c r="F49" s="581">
        <f t="shared" ref="F49" si="25">DATE(YEAR(A49),MONTH(A49),1)</f>
        <v>43770</v>
      </c>
      <c r="G49" s="559">
        <f t="shared" si="15"/>
        <v>25800</v>
      </c>
      <c r="H49" s="559">
        <f t="shared" ref="H49" si="26">IF(C49="VEB",B49,G49*B49)</f>
        <v>64500</v>
      </c>
      <c r="I49" s="558">
        <f t="shared" si="10"/>
        <v>0</v>
      </c>
      <c r="J49" s="558"/>
      <c r="K49" s="558"/>
      <c r="L49" s="558">
        <f t="shared" ref="L49" si="27">IF(ISBLANK(H49),"",ROUND(H49*145%*2,-1)/2)</f>
        <v>93525</v>
      </c>
      <c r="M49" s="559">
        <f t="shared" si="2"/>
        <v>3.625</v>
      </c>
    </row>
    <row r="50" spans="1:13">
      <c r="A50" s="584">
        <v>43787</v>
      </c>
      <c r="B50" s="613">
        <v>2.5</v>
      </c>
      <c r="C50" s="585" t="s">
        <v>1281</v>
      </c>
      <c r="D50" s="556">
        <v>29383.24</v>
      </c>
      <c r="E50" s="555">
        <v>8144026331.6999998</v>
      </c>
      <c r="F50" s="581">
        <f t="shared" ref="F50" si="28">DATE(YEAR(A50),MONTH(A50),1)</f>
        <v>43770</v>
      </c>
      <c r="G50" s="559">
        <f t="shared" si="15"/>
        <v>29400</v>
      </c>
      <c r="H50" s="559">
        <f t="shared" ref="H50" si="29">IF(C50="VEB",B50,G50*B50)</f>
        <v>73500</v>
      </c>
      <c r="I50" s="558">
        <f t="shared" si="10"/>
        <v>0</v>
      </c>
      <c r="J50" s="558"/>
      <c r="K50" s="558"/>
      <c r="L50" s="558">
        <f t="shared" ref="L50" si="30">IF(ISBLANK(H50),"",ROUND(H50*145%*2,-1)/2)</f>
        <v>106575</v>
      </c>
      <c r="M50" s="559">
        <f t="shared" si="2"/>
        <v>3.625</v>
      </c>
    </row>
    <row r="51" spans="1:13">
      <c r="A51" s="584">
        <v>43794</v>
      </c>
      <c r="B51" s="613">
        <v>2.5</v>
      </c>
      <c r="C51" s="585" t="s">
        <v>1281</v>
      </c>
      <c r="D51" s="556">
        <v>32638.74</v>
      </c>
      <c r="E51" s="555">
        <v>8144026331.6999998</v>
      </c>
      <c r="F51" s="581">
        <f t="shared" ref="F51" si="31">DATE(YEAR(A51),MONTH(A51),1)</f>
        <v>43770</v>
      </c>
      <c r="G51" s="559">
        <f t="shared" si="15"/>
        <v>32700</v>
      </c>
      <c r="H51" s="559">
        <f t="shared" ref="H51" si="32">IF(C51="VEB",B51,G51*B51)</f>
        <v>81750</v>
      </c>
      <c r="I51" s="558">
        <f t="shared" si="10"/>
        <v>0</v>
      </c>
      <c r="J51" s="558"/>
      <c r="K51" s="558"/>
      <c r="L51" s="558">
        <f t="shared" ref="L51" si="33">IF(ISBLANK(H51),"",ROUND(H51*145%*2,-1)/2)</f>
        <v>118540</v>
      </c>
      <c r="M51" s="559">
        <f t="shared" si="2"/>
        <v>3.625</v>
      </c>
    </row>
    <row r="52" spans="1:13">
      <c r="A52" s="584">
        <v>43800</v>
      </c>
      <c r="B52" s="613">
        <v>2.5</v>
      </c>
      <c r="C52" s="585" t="s">
        <v>1281</v>
      </c>
      <c r="D52" s="556">
        <v>32638.74</v>
      </c>
      <c r="E52" s="555">
        <v>10711919274.4</v>
      </c>
      <c r="F52" s="581">
        <f t="shared" ref="F52" si="34">DATE(YEAR(A52),MONTH(A52),1)</f>
        <v>43800</v>
      </c>
      <c r="G52" s="559">
        <f t="shared" si="15"/>
        <v>32700</v>
      </c>
      <c r="H52" s="559">
        <f t="shared" ref="H52" si="35">IF(C52="VEB",B52,G52*B52)</f>
        <v>81750</v>
      </c>
      <c r="I52" s="558">
        <f t="shared" si="10"/>
        <v>0</v>
      </c>
      <c r="J52" s="558"/>
      <c r="K52" s="558"/>
      <c r="L52" s="558">
        <f t="shared" ref="L52" si="36">IF(ISBLANK(H52),"",ROUND(H52*145%*2,-1)/2)</f>
        <v>118540</v>
      </c>
      <c r="M52" s="559">
        <f t="shared" si="2"/>
        <v>3.625</v>
      </c>
    </row>
    <row r="53" spans="1:13">
      <c r="A53" s="584">
        <v>43801</v>
      </c>
      <c r="B53" s="613">
        <v>2.5</v>
      </c>
      <c r="C53" s="585" t="s">
        <v>1281</v>
      </c>
      <c r="D53" s="556">
        <v>38980.83</v>
      </c>
      <c r="E53" s="555">
        <v>10711919274.4</v>
      </c>
      <c r="F53" s="581">
        <f t="shared" ref="F53" si="37">DATE(YEAR(A53),MONTH(A53),1)</f>
        <v>43800</v>
      </c>
      <c r="G53" s="559">
        <f t="shared" ref="G53" si="38">ROUNDUP(D53,-2)</f>
        <v>39000</v>
      </c>
      <c r="H53" s="559">
        <f t="shared" ref="H53" si="39">IF(C53="VEB",B53,G53*B53)</f>
        <v>97500</v>
      </c>
      <c r="I53" s="558">
        <f t="shared" si="10"/>
        <v>0</v>
      </c>
      <c r="J53" s="558"/>
      <c r="K53" s="558"/>
      <c r="L53" s="558">
        <f t="shared" ref="L53" si="40">IF(ISBLANK(H53),"",ROUND(H53*145%*2,-1)/2)</f>
        <v>141375</v>
      </c>
      <c r="M53" s="559">
        <f t="shared" si="2"/>
        <v>3.625</v>
      </c>
    </row>
    <row r="54" spans="1:13">
      <c r="A54" s="584">
        <v>43808</v>
      </c>
      <c r="B54" s="613">
        <v>2.5</v>
      </c>
      <c r="C54" s="585" t="s">
        <v>1281</v>
      </c>
      <c r="D54" s="556">
        <v>42087.68</v>
      </c>
      <c r="E54" s="555">
        <v>10711919274.4</v>
      </c>
      <c r="F54" s="581">
        <f t="shared" ref="F54" si="41">DATE(YEAR(A54),MONTH(A54),1)</f>
        <v>43800</v>
      </c>
      <c r="G54" s="559">
        <f t="shared" ref="G54" si="42">ROUNDUP(D54,-2)</f>
        <v>42100</v>
      </c>
      <c r="H54" s="559">
        <f t="shared" ref="H54" si="43">IF(C54="VEB",B54,G54*B54)</f>
        <v>105250</v>
      </c>
      <c r="I54" s="558">
        <f t="shared" si="10"/>
        <v>0</v>
      </c>
      <c r="J54" s="558"/>
      <c r="K54" s="558"/>
      <c r="L54" s="558">
        <f t="shared" ref="L54" si="44">IF(ISBLANK(H54),"",ROUND(H54*145%*2,-1)/2)</f>
        <v>152615</v>
      </c>
      <c r="M54" s="559">
        <f t="shared" si="2"/>
        <v>3.625</v>
      </c>
    </row>
    <row r="55" spans="1:13">
      <c r="A55" s="584">
        <v>43815</v>
      </c>
      <c r="B55" s="613">
        <v>2.5</v>
      </c>
      <c r="C55" s="585" t="s">
        <v>1281</v>
      </c>
      <c r="D55" s="556">
        <v>46304.26</v>
      </c>
      <c r="E55" s="555">
        <v>10711919274.4</v>
      </c>
      <c r="F55" s="581">
        <f t="shared" ref="F55" si="45">DATE(YEAR(A55),MONTH(A55),1)</f>
        <v>43800</v>
      </c>
      <c r="G55" s="559">
        <f t="shared" ref="G55" si="46">ROUNDUP(D55,-2)</f>
        <v>46400</v>
      </c>
      <c r="H55" s="559">
        <f>H54</f>
        <v>105250</v>
      </c>
      <c r="I55" s="558">
        <f t="shared" si="10"/>
        <v>0</v>
      </c>
      <c r="J55" s="558"/>
      <c r="K55" s="558"/>
      <c r="L55" s="558">
        <f t="shared" ref="L55" si="47">IF(ISBLANK(H55),"",ROUND(H55*145%*2,-1)/2)</f>
        <v>152615</v>
      </c>
      <c r="M55" s="559">
        <f t="shared" si="2"/>
        <v>3.625</v>
      </c>
    </row>
    <row r="56" spans="1:13">
      <c r="A56" s="584">
        <v>43822</v>
      </c>
      <c r="B56" s="613">
        <v>2.5</v>
      </c>
      <c r="C56" s="585" t="s">
        <v>1281</v>
      </c>
      <c r="D56" s="556">
        <v>46677.2</v>
      </c>
      <c r="E56" s="555">
        <v>10711919274.4</v>
      </c>
      <c r="F56" s="581">
        <f t="shared" ref="F56" si="48">DATE(YEAR(A56),MONTH(A56),1)</f>
        <v>43800</v>
      </c>
      <c r="G56" s="559">
        <f t="shared" ref="G56" si="49">ROUNDUP(D56,-2)</f>
        <v>46700</v>
      </c>
      <c r="H56" s="559">
        <f>H55</f>
        <v>105250</v>
      </c>
      <c r="I56" s="558">
        <f t="shared" si="10"/>
        <v>0</v>
      </c>
      <c r="J56" s="558"/>
      <c r="K56" s="558"/>
      <c r="L56" s="558">
        <f t="shared" ref="L56" si="50">IF(ISBLANK(H56),"",ROUND(H56*145%*2,-1)/2)</f>
        <v>152615</v>
      </c>
      <c r="M56" s="559">
        <f t="shared" si="2"/>
        <v>3.625</v>
      </c>
    </row>
    <row r="57" spans="1:13">
      <c r="A57" s="584">
        <v>43829</v>
      </c>
      <c r="B57" s="613">
        <v>2.5</v>
      </c>
      <c r="C57" s="585" t="s">
        <v>1281</v>
      </c>
      <c r="D57" s="556">
        <v>45874.81</v>
      </c>
      <c r="E57" s="555">
        <v>10711919274.4</v>
      </c>
      <c r="F57" s="581">
        <f t="shared" ref="F57:F58" si="51">DATE(YEAR(A57),MONTH(A57),1)</f>
        <v>43800</v>
      </c>
      <c r="G57" s="559">
        <f t="shared" ref="G57:G58" si="52">ROUNDUP(D57,-2)</f>
        <v>45900</v>
      </c>
      <c r="H57" s="559">
        <f t="shared" ref="H57:H58" si="53">H56</f>
        <v>105250</v>
      </c>
      <c r="I57" s="558">
        <f t="shared" si="10"/>
        <v>0</v>
      </c>
      <c r="J57" s="558"/>
      <c r="K57" s="558"/>
      <c r="L57" s="558">
        <f t="shared" ref="L57:L58" si="54">IF(ISBLANK(H57),"",ROUND(H57*145%*2,-1)/2)</f>
        <v>152615</v>
      </c>
      <c r="M57" s="559">
        <f t="shared" si="2"/>
        <v>3.625</v>
      </c>
    </row>
    <row r="58" spans="1:13">
      <c r="A58" s="584">
        <v>43831</v>
      </c>
      <c r="B58" s="613">
        <v>2.5</v>
      </c>
      <c r="C58" s="585" t="s">
        <v>1281</v>
      </c>
      <c r="D58" s="556">
        <v>45874.81</v>
      </c>
      <c r="E58" s="555">
        <v>17377625281.200001</v>
      </c>
      <c r="F58" s="581">
        <f t="shared" si="51"/>
        <v>43831</v>
      </c>
      <c r="G58" s="559">
        <f t="shared" si="52"/>
        <v>45900</v>
      </c>
      <c r="H58" s="559">
        <f t="shared" si="53"/>
        <v>105250</v>
      </c>
      <c r="I58" s="558">
        <f t="shared" si="10"/>
        <v>0</v>
      </c>
      <c r="J58" s="558"/>
      <c r="K58" s="558"/>
      <c r="L58" s="558">
        <f t="shared" si="54"/>
        <v>152615</v>
      </c>
      <c r="M58" s="559">
        <f t="shared" si="2"/>
        <v>3.625</v>
      </c>
    </row>
    <row r="59" spans="1:13">
      <c r="A59" s="584">
        <v>43833</v>
      </c>
      <c r="B59" s="613">
        <v>2.5</v>
      </c>
      <c r="C59" s="585" t="s">
        <v>1281</v>
      </c>
      <c r="D59" s="556">
        <v>54441.93</v>
      </c>
      <c r="E59" s="555">
        <v>17377625281.200001</v>
      </c>
      <c r="F59" s="581">
        <f t="shared" ref="F59" si="55">DATE(YEAR(A59),MONTH(A59),1)</f>
        <v>43831</v>
      </c>
      <c r="G59" s="559">
        <f t="shared" ref="G59" si="56">ROUNDUP(D59,-2)</f>
        <v>54500</v>
      </c>
      <c r="H59" s="559">
        <f t="shared" ref="H59" si="57">IF(C59="VEB",B59,G59*B59)</f>
        <v>136250</v>
      </c>
      <c r="I59" s="558">
        <f t="shared" si="10"/>
        <v>0</v>
      </c>
      <c r="J59" s="558"/>
      <c r="K59" s="558"/>
      <c r="L59" s="558">
        <f t="shared" ref="L59" si="58">IF(ISBLANK(H59),"",ROUND(H59*145%*2,-1)/2)</f>
        <v>197565</v>
      </c>
      <c r="M59" s="559">
        <f t="shared" si="2"/>
        <v>3.625</v>
      </c>
    </row>
    <row r="60" spans="1:13">
      <c r="A60" s="584">
        <v>43843</v>
      </c>
      <c r="B60" s="613">
        <v>2.5</v>
      </c>
      <c r="C60" s="585" t="s">
        <v>1281</v>
      </c>
      <c r="D60" s="556">
        <v>67213.990000000005</v>
      </c>
      <c r="E60" s="555">
        <v>17377625281.200001</v>
      </c>
      <c r="F60" s="581">
        <f t="shared" ref="F60" si="59">DATE(YEAR(A60),MONTH(A60),1)</f>
        <v>43831</v>
      </c>
      <c r="G60" s="559">
        <f t="shared" ref="G60" si="60">ROUNDUP(D60,-2)</f>
        <v>67300</v>
      </c>
      <c r="H60" s="559">
        <f t="shared" ref="H60:H65" si="61">H59</f>
        <v>136250</v>
      </c>
      <c r="I60" s="558">
        <f t="shared" si="10"/>
        <v>0</v>
      </c>
      <c r="J60" s="558"/>
      <c r="K60" s="558"/>
      <c r="L60" s="558">
        <f t="shared" ref="L60" si="62">IF(ISBLANK(H60),"",ROUND(H60*145%*2,-1)/2)</f>
        <v>197565</v>
      </c>
      <c r="M60" s="559">
        <f t="shared" si="2"/>
        <v>3.625</v>
      </c>
    </row>
    <row r="61" spans="1:13">
      <c r="A61" s="584">
        <v>43850</v>
      </c>
      <c r="B61" s="613">
        <v>2.5</v>
      </c>
      <c r="C61" s="585" t="s">
        <v>1281</v>
      </c>
      <c r="D61" s="556">
        <v>74139.47</v>
      </c>
      <c r="E61" s="555">
        <v>17377625281.200001</v>
      </c>
      <c r="F61" s="581">
        <f t="shared" ref="F61" si="63">DATE(YEAR(A61),MONTH(A61),1)</f>
        <v>43831</v>
      </c>
      <c r="G61" s="559">
        <f t="shared" ref="G61" si="64">ROUNDUP(D61,-2)</f>
        <v>74200</v>
      </c>
      <c r="H61" s="559">
        <f t="shared" si="61"/>
        <v>136250</v>
      </c>
      <c r="I61" s="558">
        <f t="shared" si="10"/>
        <v>0</v>
      </c>
      <c r="J61" s="558"/>
      <c r="K61" s="558"/>
      <c r="L61" s="558">
        <f t="shared" ref="L61" si="65">IF(ISBLANK(H61),"",ROUND(H61*145%*2,-1)/2)</f>
        <v>197565</v>
      </c>
      <c r="M61" s="559">
        <f t="shared" si="2"/>
        <v>3.625</v>
      </c>
    </row>
    <row r="62" spans="1:13">
      <c r="A62" s="584">
        <v>43857</v>
      </c>
      <c r="B62" s="613">
        <v>2.5</v>
      </c>
      <c r="C62" s="585" t="s">
        <v>1281</v>
      </c>
      <c r="D62" s="556">
        <v>74673.81</v>
      </c>
      <c r="E62" s="555">
        <v>17377625281.200001</v>
      </c>
      <c r="F62" s="581">
        <f t="shared" ref="F62" si="66">DATE(YEAR(A62),MONTH(A62),1)</f>
        <v>43831</v>
      </c>
      <c r="G62" s="559">
        <f t="shared" ref="G62" si="67">ROUNDUP(D62,-2)</f>
        <v>74700</v>
      </c>
      <c r="H62" s="559">
        <f t="shared" si="61"/>
        <v>136250</v>
      </c>
      <c r="I62" s="558">
        <f t="shared" si="10"/>
        <v>0</v>
      </c>
      <c r="J62" s="558"/>
      <c r="K62" s="558"/>
      <c r="L62" s="558">
        <f t="shared" ref="L62" si="68">IF(ISBLANK(H62),"",ROUND(H62*145%*2,-1)/2)</f>
        <v>197565</v>
      </c>
      <c r="M62" s="559">
        <f t="shared" si="2"/>
        <v>3.625</v>
      </c>
    </row>
    <row r="63" spans="1:13">
      <c r="A63" s="584">
        <v>43864</v>
      </c>
      <c r="B63" s="613">
        <v>2.5</v>
      </c>
      <c r="C63" s="585" t="s">
        <v>1281</v>
      </c>
      <c r="D63" s="556">
        <v>74026.61</v>
      </c>
      <c r="E63" s="555">
        <v>21174462628.900002</v>
      </c>
      <c r="F63" s="581">
        <f t="shared" ref="F63" si="69">DATE(YEAR(A63),MONTH(A63),1)</f>
        <v>43862</v>
      </c>
      <c r="G63" s="559">
        <f t="shared" ref="G63" si="70">ROUNDUP(D63,-2)</f>
        <v>74100</v>
      </c>
      <c r="H63" s="559">
        <f t="shared" si="61"/>
        <v>136250</v>
      </c>
      <c r="I63" s="558">
        <f t="shared" si="10"/>
        <v>0</v>
      </c>
      <c r="J63" s="558"/>
      <c r="K63" s="558"/>
      <c r="L63" s="558">
        <f t="shared" ref="L63" si="71">IF(ISBLANK(H63),"",ROUND(H63*145%*2,-1)/2)</f>
        <v>197565</v>
      </c>
      <c r="M63" s="559">
        <f t="shared" si="2"/>
        <v>3.625</v>
      </c>
    </row>
    <row r="64" spans="1:13">
      <c r="A64" s="584">
        <v>43871</v>
      </c>
      <c r="B64" s="613">
        <v>2.5</v>
      </c>
      <c r="C64" s="585" t="s">
        <v>1281</v>
      </c>
      <c r="D64" s="556">
        <v>73430.55</v>
      </c>
      <c r="E64" s="555">
        <v>21174462628.900002</v>
      </c>
      <c r="F64" s="581">
        <f t="shared" ref="F64" si="72">DATE(YEAR(A64),MONTH(A64),1)</f>
        <v>43862</v>
      </c>
      <c r="G64" s="559">
        <f t="shared" ref="G64" si="73">ROUNDUP(D64,-2)</f>
        <v>73500</v>
      </c>
      <c r="H64" s="559">
        <f t="shared" si="61"/>
        <v>136250</v>
      </c>
      <c r="I64" s="558">
        <f t="shared" si="10"/>
        <v>0</v>
      </c>
      <c r="J64" s="558"/>
      <c r="K64" s="558"/>
      <c r="L64" s="558">
        <f t="shared" ref="L64" si="74">IF(ISBLANK(H64),"",ROUND(H64*145%*2,-1)/2)</f>
        <v>197565</v>
      </c>
      <c r="M64" s="559">
        <f t="shared" si="2"/>
        <v>3.625</v>
      </c>
    </row>
    <row r="65" spans="1:13">
      <c r="A65" s="584">
        <v>43878</v>
      </c>
      <c r="B65" s="613">
        <v>2.5</v>
      </c>
      <c r="C65" s="585" t="s">
        <v>1281</v>
      </c>
      <c r="D65" s="556">
        <v>73393.289999999994</v>
      </c>
      <c r="E65" s="555">
        <v>21174462628.900002</v>
      </c>
      <c r="F65" s="581">
        <f t="shared" ref="F65" si="75">DATE(YEAR(A65),MONTH(A65),1)</f>
        <v>43862</v>
      </c>
      <c r="G65" s="559">
        <f t="shared" ref="G65" si="76">ROUNDUP(D65,-2)</f>
        <v>73400</v>
      </c>
      <c r="H65" s="559">
        <f t="shared" si="61"/>
        <v>136250</v>
      </c>
      <c r="I65" s="558">
        <f t="shared" si="10"/>
        <v>0</v>
      </c>
      <c r="J65" s="558"/>
      <c r="K65" s="558"/>
      <c r="L65" s="558">
        <f t="shared" ref="L65" si="77">IF(ISBLANK(H65),"",ROUND(H65*145%*2,-1)/2)</f>
        <v>197565</v>
      </c>
      <c r="M65" s="559">
        <f t="shared" si="2"/>
        <v>3.625</v>
      </c>
    </row>
    <row r="66" spans="1:13">
      <c r="A66" s="584">
        <v>43885</v>
      </c>
      <c r="B66" s="613">
        <v>2.5</v>
      </c>
      <c r="C66" s="585" t="s">
        <v>1281</v>
      </c>
      <c r="D66" s="556">
        <v>73787.06</v>
      </c>
      <c r="E66" s="555">
        <v>21174462628.900002</v>
      </c>
      <c r="F66" s="581">
        <f t="shared" ref="F66:F67" si="78">DATE(YEAR(A66),MONTH(A66),1)</f>
        <v>43862</v>
      </c>
      <c r="G66" s="559">
        <f t="shared" ref="G66:G67" si="79">ROUNDUP(D66,-2)</f>
        <v>73800</v>
      </c>
      <c r="H66" s="559">
        <f t="shared" ref="H66:H76" si="80">H65</f>
        <v>136250</v>
      </c>
      <c r="I66" s="558">
        <f t="shared" si="10"/>
        <v>0</v>
      </c>
      <c r="J66" s="558"/>
      <c r="K66" s="558"/>
      <c r="L66" s="558">
        <f t="shared" ref="L66:L67" si="81">IF(ISBLANK(H66),"",ROUND(H66*145%*2,-1)/2)</f>
        <v>197565</v>
      </c>
      <c r="M66" s="559">
        <f t="shared" si="2"/>
        <v>3.625</v>
      </c>
    </row>
    <row r="67" spans="1:13">
      <c r="A67" s="584">
        <v>43891</v>
      </c>
      <c r="B67" s="613">
        <v>2.5</v>
      </c>
      <c r="C67" s="585" t="s">
        <v>1281</v>
      </c>
      <c r="D67" s="556">
        <v>74093.570000000007</v>
      </c>
      <c r="E67" s="555">
        <v>23995112795.700001</v>
      </c>
      <c r="F67" s="581">
        <f t="shared" si="78"/>
        <v>43891</v>
      </c>
      <c r="G67" s="559">
        <f t="shared" si="79"/>
        <v>74100</v>
      </c>
      <c r="H67" s="559">
        <f t="shared" ref="H67" si="82">IF(C67="VEB",B67,G67*B67)</f>
        <v>185250</v>
      </c>
      <c r="I67" s="558">
        <f t="shared" si="10"/>
        <v>0</v>
      </c>
      <c r="J67" s="558"/>
      <c r="K67" s="558"/>
      <c r="L67" s="558">
        <f t="shared" si="81"/>
        <v>268615</v>
      </c>
      <c r="M67" s="559">
        <f t="shared" si="2"/>
        <v>3.625</v>
      </c>
    </row>
    <row r="68" spans="1:13">
      <c r="A68" s="584">
        <v>43899</v>
      </c>
      <c r="B68" s="613">
        <v>2.5</v>
      </c>
      <c r="C68" s="585" t="s">
        <v>1281</v>
      </c>
      <c r="D68" s="556">
        <v>73224.149999999994</v>
      </c>
      <c r="E68" s="555">
        <v>23995112795.700001</v>
      </c>
      <c r="F68" s="581">
        <f t="shared" ref="F68:F69" si="83">DATE(YEAR(A68),MONTH(A68),1)</f>
        <v>43891</v>
      </c>
      <c r="G68" s="559">
        <f t="shared" ref="G68:G69" si="84">ROUNDUP(D68,-2)</f>
        <v>73300</v>
      </c>
      <c r="H68" s="559">
        <f>H67</f>
        <v>185250</v>
      </c>
      <c r="I68" s="558">
        <f t="shared" si="10"/>
        <v>0</v>
      </c>
      <c r="J68" s="558"/>
      <c r="K68" s="558"/>
      <c r="L68" s="558">
        <f t="shared" ref="L68:L69" si="85">IF(ISBLANK(H68),"",ROUND(H68*145%*2,-1)/2)</f>
        <v>268615</v>
      </c>
      <c r="M68" s="559">
        <f t="shared" ref="M68:M76" si="86">IF(C68="VEB","",B68*145%)</f>
        <v>3.625</v>
      </c>
    </row>
    <row r="69" spans="1:13">
      <c r="A69" s="584">
        <v>43906</v>
      </c>
      <c r="B69" s="613">
        <v>2.5</v>
      </c>
      <c r="C69" s="585" t="s">
        <v>1281</v>
      </c>
      <c r="D69" s="556">
        <v>74081.87</v>
      </c>
      <c r="E69" s="555">
        <v>23995112795.700001</v>
      </c>
      <c r="F69" s="581">
        <f t="shared" si="83"/>
        <v>43891</v>
      </c>
      <c r="G69" s="559">
        <f t="shared" si="84"/>
        <v>74100</v>
      </c>
      <c r="H69" s="559">
        <f t="shared" si="80"/>
        <v>185250</v>
      </c>
      <c r="I69" s="558">
        <f t="shared" si="10"/>
        <v>0</v>
      </c>
      <c r="J69" s="558"/>
      <c r="K69" s="558"/>
      <c r="L69" s="558">
        <f t="shared" si="85"/>
        <v>268615</v>
      </c>
      <c r="M69" s="559">
        <f t="shared" si="86"/>
        <v>3.625</v>
      </c>
    </row>
    <row r="70" spans="1:13">
      <c r="A70" s="584">
        <v>43913</v>
      </c>
      <c r="B70" s="613">
        <v>2.5</v>
      </c>
      <c r="C70" s="585" t="s">
        <v>1281</v>
      </c>
      <c r="D70" s="556">
        <v>70718.58</v>
      </c>
      <c r="E70" s="555">
        <v>23995112795.700001</v>
      </c>
      <c r="F70" s="581">
        <f t="shared" ref="F70" si="87">DATE(YEAR(A70),MONTH(A70),1)</f>
        <v>43891</v>
      </c>
      <c r="G70" s="559">
        <f t="shared" ref="G70" si="88">ROUNDUP(D70,-2)</f>
        <v>70800</v>
      </c>
      <c r="H70" s="559">
        <f t="shared" si="80"/>
        <v>185250</v>
      </c>
      <c r="I70" s="558">
        <f t="shared" si="10"/>
        <v>0</v>
      </c>
      <c r="J70" s="558"/>
      <c r="K70" s="558"/>
      <c r="L70" s="558">
        <f t="shared" ref="L70" si="89">IF(ISBLANK(H70),"",ROUND(H70*145%*2,-1)/2)</f>
        <v>268615</v>
      </c>
      <c r="M70" s="559">
        <f t="shared" si="86"/>
        <v>3.625</v>
      </c>
    </row>
    <row r="71" spans="1:13">
      <c r="A71" s="584">
        <v>43920</v>
      </c>
      <c r="B71" s="613">
        <v>2.5</v>
      </c>
      <c r="C71" s="585" t="s">
        <v>1281</v>
      </c>
      <c r="D71" s="556">
        <v>77893.460500000001</v>
      </c>
      <c r="E71" s="555">
        <v>23995112795.700001</v>
      </c>
      <c r="F71" s="581">
        <f t="shared" ref="F71:F72" si="90">DATE(YEAR(A71),MONTH(A71),1)</f>
        <v>43891</v>
      </c>
      <c r="G71" s="559">
        <f t="shared" ref="G71:G72" si="91">ROUNDUP(D71,-2)</f>
        <v>77900</v>
      </c>
      <c r="H71" s="559">
        <f t="shared" si="80"/>
        <v>185250</v>
      </c>
      <c r="I71" s="558">
        <f t="shared" si="10"/>
        <v>0</v>
      </c>
      <c r="J71" s="558"/>
      <c r="K71" s="558"/>
      <c r="L71" s="558">
        <f t="shared" ref="L71:L72" si="92">IF(ISBLANK(H71),"",ROUND(H71*145%*2,-1)/2)</f>
        <v>268615</v>
      </c>
      <c r="M71" s="559">
        <f t="shared" si="86"/>
        <v>3.625</v>
      </c>
    </row>
    <row r="72" spans="1:13">
      <c r="A72" s="584">
        <v>43922</v>
      </c>
      <c r="B72" s="613">
        <v>2.5</v>
      </c>
      <c r="C72" s="585" t="s">
        <v>1281</v>
      </c>
      <c r="D72" s="556">
        <v>80945.724499999997</v>
      </c>
      <c r="E72" s="555">
        <v>23995112795.700001</v>
      </c>
      <c r="F72" s="581">
        <f t="shared" si="90"/>
        <v>43922</v>
      </c>
      <c r="G72" s="559">
        <f t="shared" si="91"/>
        <v>81000</v>
      </c>
      <c r="H72" s="559">
        <f t="shared" si="80"/>
        <v>185250</v>
      </c>
      <c r="I72" s="558">
        <f t="shared" si="10"/>
        <v>0</v>
      </c>
      <c r="J72" s="558"/>
      <c r="K72" s="558"/>
      <c r="L72" s="558">
        <f t="shared" si="92"/>
        <v>268615</v>
      </c>
      <c r="M72" s="559">
        <f t="shared" si="86"/>
        <v>3.625</v>
      </c>
    </row>
    <row r="73" spans="1:13">
      <c r="A73" s="584">
        <v>43927</v>
      </c>
      <c r="B73" s="613">
        <v>2.5</v>
      </c>
      <c r="C73" s="585" t="s">
        <v>1281</v>
      </c>
      <c r="D73" s="556">
        <v>86657.88</v>
      </c>
      <c r="E73" s="555">
        <v>23995112795.700001</v>
      </c>
      <c r="F73" s="581">
        <f t="shared" ref="F73" si="93">DATE(YEAR(A73),MONTH(A73),1)</f>
        <v>43922</v>
      </c>
      <c r="G73" s="559">
        <f t="shared" ref="G73" si="94">ROUNDUP(D73,-2)</f>
        <v>86700</v>
      </c>
      <c r="H73" s="559">
        <f t="shared" si="80"/>
        <v>185250</v>
      </c>
      <c r="I73" s="558">
        <f t="shared" si="10"/>
        <v>0</v>
      </c>
      <c r="J73" s="558"/>
      <c r="K73" s="558"/>
      <c r="L73" s="558">
        <f t="shared" ref="L73" si="95">IF(ISBLANK(H73),"",ROUND(H73*145%*2,-1)/2)</f>
        <v>268615</v>
      </c>
      <c r="M73" s="559">
        <f t="shared" si="86"/>
        <v>3.625</v>
      </c>
    </row>
    <row r="74" spans="1:13">
      <c r="A74" s="584">
        <v>43934</v>
      </c>
      <c r="B74" s="613">
        <v>2.5</v>
      </c>
      <c r="C74" s="585" t="s">
        <v>1281</v>
      </c>
      <c r="D74" s="556">
        <v>100980.13</v>
      </c>
      <c r="E74" s="555">
        <v>23995112795.700001</v>
      </c>
      <c r="F74" s="581">
        <f t="shared" ref="F74:F75" si="96">DATE(YEAR(A74),MONTH(A74),1)</f>
        <v>43922</v>
      </c>
      <c r="G74" s="559">
        <f t="shared" ref="G74:G75" si="97">ROUNDUP(D74,-2)</f>
        <v>101000</v>
      </c>
      <c r="H74" s="559">
        <f t="shared" si="80"/>
        <v>185250</v>
      </c>
      <c r="I74" s="558">
        <f t="shared" si="10"/>
        <v>0</v>
      </c>
      <c r="J74" s="558"/>
      <c r="K74" s="558"/>
      <c r="L74" s="558">
        <f t="shared" ref="L74:L75" si="98">IF(ISBLANK(H74),"",ROUND(H74*145%*2,-1)/2)</f>
        <v>268615</v>
      </c>
      <c r="M74" s="559">
        <f t="shared" si="86"/>
        <v>3.625</v>
      </c>
    </row>
    <row r="75" spans="1:13">
      <c r="A75" s="584">
        <v>43941</v>
      </c>
      <c r="B75" s="613">
        <v>2.5</v>
      </c>
      <c r="C75" s="585" t="s">
        <v>1281</v>
      </c>
      <c r="D75" s="556">
        <v>125574.03</v>
      </c>
      <c r="E75" s="555">
        <v>23995112795.700001</v>
      </c>
      <c r="F75" s="581">
        <f t="shared" si="96"/>
        <v>43922</v>
      </c>
      <c r="G75" s="559">
        <f t="shared" si="97"/>
        <v>125600</v>
      </c>
      <c r="H75" s="559">
        <f t="shared" si="80"/>
        <v>185250</v>
      </c>
      <c r="I75" s="558">
        <f t="shared" si="10"/>
        <v>0</v>
      </c>
      <c r="J75" s="558"/>
      <c r="K75" s="558"/>
      <c r="L75" s="558">
        <f t="shared" si="98"/>
        <v>268615</v>
      </c>
      <c r="M75" s="559">
        <f t="shared" si="86"/>
        <v>3.625</v>
      </c>
    </row>
    <row r="76" spans="1:13">
      <c r="A76" s="584">
        <v>43948</v>
      </c>
      <c r="B76" s="613">
        <v>2.5</v>
      </c>
      <c r="C76" s="585" t="s">
        <v>1281</v>
      </c>
      <c r="D76" s="556">
        <v>171072.85</v>
      </c>
      <c r="E76" s="555">
        <v>23995112795.700001</v>
      </c>
      <c r="F76" s="581">
        <f t="shared" ref="F76" si="99">DATE(YEAR(A76),MONTH(A76),1)</f>
        <v>43922</v>
      </c>
      <c r="G76" s="559">
        <f t="shared" ref="G76" si="100">ROUNDUP(D76,-2)</f>
        <v>171100</v>
      </c>
      <c r="H76" s="559">
        <f t="shared" si="80"/>
        <v>185250</v>
      </c>
      <c r="I76" s="558">
        <f t="shared" si="10"/>
        <v>0</v>
      </c>
      <c r="J76" s="558"/>
      <c r="K76" s="558"/>
      <c r="L76" s="558">
        <f t="shared" ref="L76" si="101">IF(ISBLANK(H76),"",ROUND(H76*145%*2,-1)/2)</f>
        <v>268615</v>
      </c>
      <c r="M76" s="559">
        <f t="shared" si="86"/>
        <v>3.625</v>
      </c>
    </row>
    <row r="77" spans="1:13">
      <c r="A77" s="584">
        <v>43952</v>
      </c>
      <c r="B77" s="613">
        <v>250000</v>
      </c>
      <c r="C77" s="585" t="s">
        <v>1279</v>
      </c>
      <c r="D77" s="556">
        <v>176538.04</v>
      </c>
      <c r="E77" s="555">
        <v>23995112795.700001</v>
      </c>
      <c r="F77" s="581">
        <f t="shared" ref="F77" si="102">DATE(YEAR(A77),MONTH(A77),1)</f>
        <v>43952</v>
      </c>
      <c r="G77" s="559">
        <f t="shared" ref="G77" si="103">ROUNDUP(D77,-2)</f>
        <v>176600</v>
      </c>
      <c r="H77" s="559">
        <f t="shared" ref="H77" si="104">IF(C77="VEB",B77,G77*B77)</f>
        <v>250000</v>
      </c>
      <c r="I77" s="558">
        <f t="shared" si="10"/>
        <v>250000</v>
      </c>
      <c r="J77" s="558"/>
      <c r="K77" s="558"/>
      <c r="L77" s="558">
        <f t="shared" ref="L77" si="105">IF(ISBLANK(H77),"",ROUND(H77*145%*2,-1)/2)</f>
        <v>362500</v>
      </c>
      <c r="M77" s="559" t="str">
        <f>IF(C77="VEB","",B77*145%)</f>
        <v/>
      </c>
    </row>
    <row r="78" spans="1:13">
      <c r="A78" s="584">
        <v>43983</v>
      </c>
      <c r="B78" s="613">
        <v>250000</v>
      </c>
      <c r="C78" s="585" t="s">
        <v>1279</v>
      </c>
      <c r="D78" s="556">
        <v>198110.59</v>
      </c>
      <c r="E78" s="555">
        <v>23995112795.700001</v>
      </c>
      <c r="F78" s="581">
        <f t="shared" ref="F78" si="106">DATE(YEAR(A78),MONTH(A78),1)</f>
        <v>43983</v>
      </c>
      <c r="G78" s="559">
        <f t="shared" ref="G78" si="107">ROUNDUP(D78,-2)</f>
        <v>198200</v>
      </c>
      <c r="H78" s="559">
        <f t="shared" ref="H78" si="108">IF(C78="VEB",B78,G78*B78)</f>
        <v>250000</v>
      </c>
      <c r="I78" s="558">
        <f t="shared" ref="I78" si="109">IF(C78="VEB",(1+($I$1-E78)/E78)*B78,$M$1*B78)</f>
        <v>250000</v>
      </c>
      <c r="J78" s="558"/>
      <c r="K78" s="558"/>
      <c r="L78" s="558">
        <f t="shared" ref="L78" si="110">IF(ISBLANK(H78),"",ROUND(H78*145%*2,-1)/2)</f>
        <v>362500</v>
      </c>
      <c r="M78" s="559" t="str">
        <f>IF(C78="VEB","",B78*145%)</f>
        <v/>
      </c>
    </row>
    <row r="79" spans="1:13">
      <c r="A79" s="584">
        <v>44013</v>
      </c>
      <c r="B79" s="613">
        <v>320000</v>
      </c>
      <c r="C79" s="585" t="s">
        <v>1279</v>
      </c>
      <c r="D79" s="556"/>
      <c r="E79" s="555">
        <v>23995112795.700001</v>
      </c>
      <c r="F79" s="581">
        <f t="shared" ref="F79" si="111">DATE(YEAR(A79),MONTH(A79),1)</f>
        <v>44013</v>
      </c>
      <c r="G79" s="559">
        <f t="shared" ref="G79" si="112">ROUNDUP(D79,-2)</f>
        <v>0</v>
      </c>
      <c r="H79" s="559">
        <f t="shared" ref="H79" si="113">IF(C79="VEB",B79,G79*B79)</f>
        <v>320000</v>
      </c>
      <c r="I79" s="558">
        <f t="shared" ref="I79" si="114">IF(C79="VEB",(1+($I$1-E79)/E79)*B79,$M$1*B79)</f>
        <v>320000</v>
      </c>
      <c r="J79" s="558"/>
      <c r="K79" s="558"/>
      <c r="L79" s="558">
        <f t="shared" ref="L79" si="115">IF(ISBLANK(H79),"",ROUND(H79*145%*2,-1)/2)</f>
        <v>464000</v>
      </c>
      <c r="M79" s="559" t="str">
        <f>IF(C79="VEB","",B79*145%)</f>
        <v/>
      </c>
    </row>
    <row r="80" spans="1:13">
      <c r="A80" s="584"/>
      <c r="B80" s="613"/>
      <c r="C80" s="585"/>
      <c r="D80" s="556"/>
      <c r="E80" s="555"/>
      <c r="F80" s="582"/>
      <c r="G80" s="556"/>
      <c r="H80" s="556"/>
      <c r="I80" s="556"/>
      <c r="J80" s="557"/>
      <c r="K80" s="557"/>
      <c r="L80" s="557" t="str">
        <f t="shared" ref="L79:L81" si="116">IF(ISBLANK(H80),"",ROUND(H80*145%*2,-1)/2)</f>
        <v/>
      </c>
      <c r="M80" s="556"/>
    </row>
    <row r="81" spans="1:13">
      <c r="A81" s="584"/>
      <c r="B81" s="613"/>
      <c r="C81" s="585"/>
      <c r="D81" s="556"/>
      <c r="E81" s="555"/>
      <c r="F81" s="582"/>
      <c r="G81" s="556"/>
      <c r="H81" s="556"/>
      <c r="I81" s="556"/>
      <c r="J81" s="557"/>
      <c r="K81" s="557"/>
      <c r="L81" s="557" t="str">
        <f t="shared" si="116"/>
        <v/>
      </c>
      <c r="M81" s="556"/>
    </row>
    <row r="82" spans="1:13">
      <c r="A82" s="584"/>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L76"/>
  <sheetViews>
    <sheetView showGridLines="0" topLeftCell="AD1" workbookViewId="0">
      <pane ySplit="3" topLeftCell="S5" activePane="bottomLeft" state="frozen"/>
      <selection pane="bottomLeft" activeCell="AC14" sqref="AC1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5"/>
    <col min="6" max="6" width="10.85546875" style="2" bestFit="1" customWidth="1"/>
    <col min="7" max="7" width="38.28515625" bestFit="1" customWidth="1"/>
    <col min="8" max="9" width="12.28515625" style="310" bestFit="1" customWidth="1"/>
    <col min="10" max="10" width="10.7109375" style="545"/>
    <col min="11" max="11" width="10.85546875" style="2" bestFit="1" customWidth="1"/>
    <col min="12" max="12" width="38.28515625" bestFit="1" customWidth="1"/>
    <col min="13" max="13" width="11.42578125" style="310" bestFit="1" customWidth="1"/>
    <col min="14" max="15" width="10.7109375" style="310"/>
    <col min="16" max="16" width="10.7109375" style="2" customWidth="1"/>
    <col min="17" max="17" width="38.28515625" bestFit="1" customWidth="1"/>
    <col min="18" max="19" width="12.28515625" style="310" customWidth="1"/>
    <col min="20" max="20" width="10.7109375" style="545"/>
    <col min="21" max="21" width="10.7109375" style="2"/>
    <col min="22" max="22" width="38.28515625" bestFit="1" customWidth="1"/>
    <col min="23" max="24" width="10.7109375" style="310"/>
    <col min="25" max="25" width="10.7109375" style="545"/>
    <col min="26" max="26" width="10.7109375" style="2" customWidth="1"/>
    <col min="27" max="27" width="44.5703125" bestFit="1" customWidth="1"/>
    <col min="28" max="29" width="13" style="310" bestFit="1" customWidth="1"/>
    <col min="30" max="30" width="9.140625" style="545"/>
    <col min="31" max="31" width="10.85546875" style="2" bestFit="1" customWidth="1"/>
    <col min="32" max="32" width="38.28515625" bestFit="1" customWidth="1"/>
    <col min="33" max="34" width="12.28515625" style="310" bestFit="1" customWidth="1"/>
    <col min="35" max="35" width="10.7109375" style="545"/>
    <col min="36" max="36" width="10.85546875" style="2" customWidth="1"/>
    <col min="37" max="37" width="38.28515625" bestFit="1" customWidth="1"/>
    <col min="38" max="39" width="12.28515625" style="310" bestFit="1" customWidth="1"/>
    <col min="40" max="40" width="9.140625" style="545"/>
    <col min="41" max="41" width="10.7109375" style="2"/>
    <col min="42" max="42" width="38.28515625" bestFit="1" customWidth="1"/>
    <col min="43" max="44" width="10.7109375" style="310"/>
    <col min="45" max="45" width="10.7109375" style="545"/>
    <col min="46" max="46" width="10.7109375" style="2"/>
    <col min="47" max="47" width="38.28515625" bestFit="1" customWidth="1"/>
    <col min="48" max="49" width="10.7109375" style="310"/>
    <col min="50" max="50" width="10.7109375" style="545"/>
    <col min="51" max="51" width="10.7109375" style="2"/>
    <col min="52" max="52" width="38.28515625" bestFit="1" customWidth="1"/>
    <col min="53" max="54" width="10.7109375" style="310"/>
    <col min="55" max="55" width="10.7109375" style="545"/>
    <col min="56" max="56" width="10.7109375" style="2"/>
    <col min="57" max="57" width="38.28515625" bestFit="1" customWidth="1"/>
    <col min="58" max="59" width="10.7109375" style="310"/>
    <col min="60" max="60" width="10.7109375" style="545"/>
    <col min="61" max="61" width="10.7109375" style="2"/>
    <col min="62" max="62" width="38.28515625" bestFit="1" customWidth="1"/>
    <col min="63" max="64" width="10.7109375" style="310"/>
  </cols>
  <sheetData>
    <row r="1" spans="1:64" ht="21">
      <c r="A1" s="355" t="s">
        <v>1282</v>
      </c>
      <c r="D1" s="78">
        <f>MAX(LOOKUP(100000000000000000000,1/(F:F&lt;&gt;""),F:F),LOOKUP(100000000000000000000,1/(K:K&lt;&gt;""),K:K),LOOKUP(100000000000000000000,1/(P:P&lt;&gt;""),P:P),LOOKUP(100000000000000000000,1/(U:U&lt;&gt;""),U:U),LOOKUP(100000000000000000000,1/(AE:AE&lt;&gt;""),AE:AE),LOOKUP(100000000000000000000,1/(AJ:AJ&lt;&gt;""),AJ:AJ),LOOKUP(100000000000000000000,1/(AO:AO&lt;&gt;""),AO:AO),LOOKUP(100000000000000000000,1/(AT:AT&lt;&gt;""),AT:AT),LOOKUP(100000000000000000000,1/(AY:AY&lt;&gt;""),AY:AY),LOOKUP(100000000000000000000,1/(BI:BI&lt;&gt;""),BI:BI))</f>
        <v>44013</v>
      </c>
      <c r="F1" s="621" t="s">
        <v>1283</v>
      </c>
      <c r="G1" s="621"/>
      <c r="H1" s="621"/>
      <c r="I1" s="621"/>
      <c r="K1" s="621" t="s">
        <v>1284</v>
      </c>
      <c r="L1" s="621"/>
      <c r="M1" s="621"/>
      <c r="N1" s="621"/>
      <c r="P1" s="621" t="s">
        <v>1285</v>
      </c>
      <c r="Q1" s="621"/>
      <c r="R1" s="621"/>
      <c r="S1" s="621"/>
      <c r="U1" s="622" t="s">
        <v>1286</v>
      </c>
      <c r="V1" s="622"/>
      <c r="W1" s="622"/>
      <c r="X1" s="622"/>
      <c r="Z1" s="622" t="s">
        <v>1287</v>
      </c>
      <c r="AA1" s="622"/>
      <c r="AB1" s="622"/>
      <c r="AC1" s="622"/>
      <c r="AE1" s="622" t="s">
        <v>1288</v>
      </c>
      <c r="AF1" s="622"/>
      <c r="AG1" s="622"/>
      <c r="AH1" s="622"/>
      <c r="AJ1" s="621" t="s">
        <v>1289</v>
      </c>
      <c r="AK1" s="621"/>
      <c r="AL1" s="621"/>
      <c r="AM1" s="621"/>
      <c r="AO1" s="622" t="s">
        <v>1290</v>
      </c>
      <c r="AP1" s="622"/>
      <c r="AQ1" s="622"/>
      <c r="AR1" s="622"/>
      <c r="AT1" s="622" t="s">
        <v>1291</v>
      </c>
      <c r="AU1" s="622"/>
      <c r="AV1" s="622"/>
      <c r="AW1" s="622"/>
      <c r="AY1" s="622" t="s">
        <v>1292</v>
      </c>
      <c r="AZ1" s="622"/>
      <c r="BA1" s="622"/>
      <c r="BB1" s="622"/>
      <c r="BD1" s="622" t="s">
        <v>1293</v>
      </c>
      <c r="BE1" s="622"/>
      <c r="BF1" s="622"/>
      <c r="BG1" s="622"/>
      <c r="BI1" s="622" t="s">
        <v>1294</v>
      </c>
      <c r="BJ1" s="622"/>
      <c r="BK1" s="622"/>
      <c r="BL1" s="622"/>
    </row>
    <row r="3" spans="1:64">
      <c r="A3" s="575" t="s">
        <v>5</v>
      </c>
      <c r="B3" s="575" t="s">
        <v>7</v>
      </c>
      <c r="C3" s="575" t="s">
        <v>6</v>
      </c>
      <c r="D3" s="586" t="s">
        <v>1295</v>
      </c>
      <c r="F3" s="588" t="s">
        <v>3</v>
      </c>
      <c r="G3" s="587" t="s">
        <v>8</v>
      </c>
      <c r="H3" s="588" t="s">
        <v>4</v>
      </c>
      <c r="I3" s="588" t="s">
        <v>1295</v>
      </c>
      <c r="K3" s="588" t="s">
        <v>3</v>
      </c>
      <c r="L3" s="587" t="s">
        <v>8</v>
      </c>
      <c r="M3" s="588" t="s">
        <v>4</v>
      </c>
      <c r="N3" s="588" t="s">
        <v>1295</v>
      </c>
      <c r="O3" s="545"/>
      <c r="P3" s="588" t="s">
        <v>3</v>
      </c>
      <c r="Q3" s="587" t="s">
        <v>8</v>
      </c>
      <c r="R3" s="588" t="s">
        <v>4</v>
      </c>
      <c r="S3" s="588" t="s">
        <v>1295</v>
      </c>
      <c r="U3" s="588" t="s">
        <v>3</v>
      </c>
      <c r="V3" s="587" t="s">
        <v>8</v>
      </c>
      <c r="W3" s="588" t="s">
        <v>4</v>
      </c>
      <c r="X3" s="588" t="s">
        <v>1295</v>
      </c>
      <c r="Z3" s="588" t="s">
        <v>3</v>
      </c>
      <c r="AA3" s="587" t="s">
        <v>8</v>
      </c>
      <c r="AB3" s="588" t="s">
        <v>4</v>
      </c>
      <c r="AC3" s="588" t="s">
        <v>1295</v>
      </c>
      <c r="AE3" s="588" t="s">
        <v>3</v>
      </c>
      <c r="AF3" s="587" t="s">
        <v>8</v>
      </c>
      <c r="AG3" s="588" t="s">
        <v>4</v>
      </c>
      <c r="AH3" s="588" t="s">
        <v>1295</v>
      </c>
      <c r="AJ3" s="588" t="s">
        <v>3</v>
      </c>
      <c r="AK3" s="587" t="s">
        <v>8</v>
      </c>
      <c r="AL3" s="588" t="s">
        <v>4</v>
      </c>
      <c r="AM3" s="588" t="s">
        <v>1295</v>
      </c>
      <c r="AO3" s="588" t="s">
        <v>3</v>
      </c>
      <c r="AP3" s="587" t="s">
        <v>8</v>
      </c>
      <c r="AQ3" s="588" t="s">
        <v>4</v>
      </c>
      <c r="AR3" s="588" t="s">
        <v>1295</v>
      </c>
      <c r="AT3" s="588" t="s">
        <v>3</v>
      </c>
      <c r="AU3" s="587" t="s">
        <v>8</v>
      </c>
      <c r="AV3" s="588" t="s">
        <v>4</v>
      </c>
      <c r="AW3" s="588" t="s">
        <v>1295</v>
      </c>
      <c r="AY3" s="588" t="s">
        <v>3</v>
      </c>
      <c r="AZ3" s="587" t="s">
        <v>8</v>
      </c>
      <c r="BA3" s="588" t="s">
        <v>4</v>
      </c>
      <c r="BB3" s="588" t="s">
        <v>1295</v>
      </c>
      <c r="BD3" s="588" t="s">
        <v>3</v>
      </c>
      <c r="BE3" s="587" t="s">
        <v>8</v>
      </c>
      <c r="BF3" s="588" t="s">
        <v>4</v>
      </c>
      <c r="BG3" s="588" t="s">
        <v>1295</v>
      </c>
      <c r="BI3" s="588" t="s">
        <v>3</v>
      </c>
      <c r="BJ3" s="587" t="s">
        <v>8</v>
      </c>
      <c r="BK3" s="588" t="s">
        <v>4</v>
      </c>
      <c r="BL3" s="588" t="s">
        <v>1295</v>
      </c>
    </row>
    <row r="4" spans="1:64">
      <c r="A4" s="311" t="s">
        <v>438</v>
      </c>
      <c r="B4" t="s">
        <v>440</v>
      </c>
      <c r="C4" t="s">
        <v>439</v>
      </c>
      <c r="D4" s="310">
        <f>LOOKUP(100000000000000000000,1/(N:N&lt;&gt;""),N:N)</f>
        <v>235202</v>
      </c>
      <c r="E4" s="546">
        <f>DATE(YEAR(F4),MONTH(F4),1)</f>
        <v>42767</v>
      </c>
      <c r="F4" s="2">
        <v>42782</v>
      </c>
      <c r="G4" s="6" t="s">
        <v>226</v>
      </c>
      <c r="H4" s="310">
        <f>170000/100000</f>
        <v>1.7</v>
      </c>
      <c r="I4" s="310">
        <f>ROUND(H4,2)</f>
        <v>1.7</v>
      </c>
      <c r="J4" s="546">
        <f>DATE(YEAR(K4),MONTH(K4),1)</f>
        <v>42887</v>
      </c>
      <c r="K4" s="2">
        <v>42887</v>
      </c>
      <c r="L4" s="6" t="s">
        <v>1296</v>
      </c>
      <c r="M4" s="310">
        <f>338000/100000</f>
        <v>3.38</v>
      </c>
      <c r="N4" s="310">
        <f>ROUND(M4,2)</f>
        <v>3.38</v>
      </c>
      <c r="P4" s="2">
        <v>43947</v>
      </c>
      <c r="Q4" t="s">
        <v>1297</v>
      </c>
      <c r="R4" s="310">
        <v>1100000</v>
      </c>
      <c r="S4" s="310">
        <f>ROUND(R4,2)</f>
        <v>1100000</v>
      </c>
      <c r="T4" s="546">
        <f>DATE(YEAR(U4),MONTH(U4),1)</f>
        <v>43252</v>
      </c>
      <c r="U4" s="2">
        <v>43281</v>
      </c>
      <c r="V4" t="s">
        <v>1298</v>
      </c>
      <c r="W4" s="310">
        <f>975000/100000</f>
        <v>9.75</v>
      </c>
      <c r="X4" s="310">
        <f>ROUND(W4,2)</f>
        <v>9.75</v>
      </c>
      <c r="Y4" s="546">
        <f>DATE(YEAR(AE4),MONTH(AE4),1)</f>
        <v>43282</v>
      </c>
      <c r="Z4" s="2">
        <v>44002</v>
      </c>
      <c r="AA4" t="s">
        <v>1299</v>
      </c>
      <c r="AB4" s="310">
        <v>-1373262</v>
      </c>
      <c r="AC4" s="310">
        <f>ROUND(AB4,2)</f>
        <v>-1373262</v>
      </c>
      <c r="AD4" s="546">
        <f>DATE(YEAR(AJ4),MONTH(AJ4),1)</f>
        <v>43983</v>
      </c>
      <c r="AE4" s="2">
        <v>43293</v>
      </c>
      <c r="AF4" t="s">
        <v>1298</v>
      </c>
      <c r="AG4" s="310">
        <f>4000000/100000</f>
        <v>40</v>
      </c>
      <c r="AH4" s="310">
        <f>ROUND(AG4,2)</f>
        <v>40</v>
      </c>
      <c r="AI4" s="546">
        <f>DATE(YEAR(AO4),MONTH(AO4),1)</f>
        <v>43160</v>
      </c>
      <c r="AJ4" s="2">
        <v>43996</v>
      </c>
      <c r="AK4" t="s">
        <v>1300</v>
      </c>
      <c r="AL4" s="310">
        <f>5*203300</f>
        <v>1016500</v>
      </c>
      <c r="AM4" s="310">
        <f>ROUND(AL4,2)</f>
        <v>1016500</v>
      </c>
      <c r="AN4" s="546">
        <f>DATE(YEAR(AO4),MONTH(AO4),1)</f>
        <v>43160</v>
      </c>
      <c r="AO4" s="2">
        <v>43161</v>
      </c>
      <c r="AP4" t="s">
        <v>1301</v>
      </c>
      <c r="AQ4" s="310">
        <f>573000/100000</f>
        <v>5.73</v>
      </c>
      <c r="AR4" s="310">
        <f>ROUND(AQ4,2)</f>
        <v>5.73</v>
      </c>
      <c r="AS4" s="546">
        <f>DATE(YEAR(AT4),MONTH(AT4),1)</f>
        <v>43191</v>
      </c>
      <c r="AT4" s="2">
        <v>43220</v>
      </c>
      <c r="AU4" t="s">
        <v>1302</v>
      </c>
      <c r="AV4" s="310">
        <f>250000/100000</f>
        <v>2.5</v>
      </c>
      <c r="AW4" s="310">
        <f>AV4</f>
        <v>2.5</v>
      </c>
      <c r="AX4" s="546">
        <f>DATE(YEAR(AY4),MONTH(AY4),1)</f>
        <v>43160</v>
      </c>
      <c r="AY4" s="2">
        <v>43189</v>
      </c>
      <c r="AZ4" t="s">
        <v>1301</v>
      </c>
      <c r="BA4" s="310">
        <f>840000/100000</f>
        <v>8.4</v>
      </c>
      <c r="BB4" s="310">
        <f>ROUND(BA4,2)</f>
        <v>8.4</v>
      </c>
      <c r="BC4" s="546">
        <f>DATE(YEAR(BD4),MONTH(BD4),1)</f>
        <v>43282</v>
      </c>
      <c r="BD4" s="2">
        <v>43304</v>
      </c>
      <c r="BE4" t="s">
        <v>1298</v>
      </c>
      <c r="BF4" s="310">
        <f>3000000/100000</f>
        <v>30</v>
      </c>
      <c r="BG4" s="310">
        <f>ROUND(BF4,2)</f>
        <v>30</v>
      </c>
      <c r="BH4" s="546">
        <f>DATE(YEAR(BI4),MONTH(BI4),1)</f>
        <v>42917</v>
      </c>
      <c r="BI4" s="2">
        <v>42919</v>
      </c>
      <c r="BJ4" t="s">
        <v>1303</v>
      </c>
      <c r="BK4" s="310">
        <f>126000/100000</f>
        <v>1.26</v>
      </c>
      <c r="BL4" s="310">
        <f>ROUND(BK4,2)</f>
        <v>1.26</v>
      </c>
    </row>
    <row r="5" spans="1:64">
      <c r="A5" s="6" t="s">
        <v>18</v>
      </c>
      <c r="B5" t="s">
        <v>20</v>
      </c>
      <c r="C5" t="s">
        <v>19</v>
      </c>
      <c r="D5" s="310">
        <f>LOOKUP(100000000000000000000,1/(I:I&lt;&gt;""),I:I)</f>
        <v>132712.95000000001</v>
      </c>
      <c r="E5" s="546">
        <f t="shared" ref="E5:E75" si="0">DATE(YEAR(F5),MONTH(F5),1)</f>
        <v>42826</v>
      </c>
      <c r="F5" s="2">
        <v>42831</v>
      </c>
      <c r="G5" s="6" t="s">
        <v>395</v>
      </c>
      <c r="H5" s="310">
        <f>-17000/100000</f>
        <v>-0.17</v>
      </c>
      <c r="I5" s="310">
        <f>IF(ISBLANK(H5),"",I4+ROUND(H5,2))</f>
        <v>1.53</v>
      </c>
      <c r="J5" s="546">
        <f t="shared" ref="J5:J75" si="1">DATE(YEAR(K5),MONTH(K5),1)</f>
        <v>42887</v>
      </c>
      <c r="K5" s="2">
        <v>42887</v>
      </c>
      <c r="L5" s="6" t="s">
        <v>1304</v>
      </c>
      <c r="M5" s="310">
        <f>-2*31000/100000</f>
        <v>-0.62</v>
      </c>
      <c r="N5" s="310">
        <f t="shared" ref="N5:N30" si="2">IF(ISBLANK(M5),"",N4+ROUND(M5,2))</f>
        <v>2.76</v>
      </c>
      <c r="P5" s="2">
        <v>43947</v>
      </c>
      <c r="Q5" t="s">
        <v>1176</v>
      </c>
      <c r="R5" s="310">
        <v>-185250</v>
      </c>
      <c r="S5" s="310">
        <f t="shared" ref="S5:S48" si="3">IF(ISBLANK(R5),"",ROUND(S4+R5,2))</f>
        <v>914750</v>
      </c>
      <c r="T5" s="546">
        <f t="shared" ref="T5:T75" si="4">DATE(YEAR(U5),MONTH(U5),1)</f>
        <v>43282</v>
      </c>
      <c r="U5" s="2">
        <v>43293</v>
      </c>
      <c r="V5" t="s">
        <v>1298</v>
      </c>
      <c r="W5" s="310">
        <f>3500000/100000</f>
        <v>35</v>
      </c>
      <c r="X5" s="310">
        <f t="shared" ref="X5:X75" si="5">IF(ISBLANK(W5),"",ROUND(X4+W5,2))</f>
        <v>44.75</v>
      </c>
      <c r="Y5" s="546">
        <f t="shared" ref="Y5:Y75" si="6">DATE(YEAR(AE5),MONTH(AE5),1)</f>
        <v>43282</v>
      </c>
      <c r="Z5" s="2">
        <v>44002</v>
      </c>
      <c r="AA5" t="s">
        <v>1305</v>
      </c>
      <c r="AB5" s="310">
        <v>20720</v>
      </c>
      <c r="AC5" s="310">
        <f t="shared" ref="AC5:AC48" si="7">IF(ISBLANK(AB5),"",ROUND(AC4+AB5,2))</f>
        <v>-1352542</v>
      </c>
      <c r="AD5" s="546">
        <f t="shared" ref="AD5:AD75" si="8">DATE(YEAR(AJ5),MONTH(AJ5),1)</f>
        <v>43983</v>
      </c>
      <c r="AE5" s="2">
        <v>43293</v>
      </c>
      <c r="AF5" t="s">
        <v>750</v>
      </c>
      <c r="AG5" s="310">
        <f>-1000000/100000</f>
        <v>-10</v>
      </c>
      <c r="AH5" s="310">
        <f t="shared" ref="AH5:AH75" si="9">IF(ISBLANK(AG5),"",ROUND(AH4+AG5,2))</f>
        <v>30</v>
      </c>
      <c r="AI5" s="546">
        <f t="shared" ref="AI5:AI75" si="10">DATE(YEAR(AO5),MONTH(AO5),1)</f>
        <v>43160</v>
      </c>
      <c r="AJ5" s="2">
        <v>43996</v>
      </c>
      <c r="AK5" s="6" t="s">
        <v>1228</v>
      </c>
      <c r="AL5" s="310">
        <v>-250000</v>
      </c>
      <c r="AM5" s="310">
        <f t="shared" ref="AM5:AM48" si="11">IF(ISBLANK(AL5),"",ROUND(AM4+AL5,2))</f>
        <v>766500</v>
      </c>
      <c r="AN5" s="546">
        <f t="shared" ref="AN5:AN75" si="12">DATE(YEAR(AO5),MONTH(AO5),1)</f>
        <v>43160</v>
      </c>
      <c r="AO5" s="2">
        <v>43161</v>
      </c>
      <c r="AP5" s="6" t="s">
        <v>1306</v>
      </c>
      <c r="AQ5" s="310">
        <f>-60000/100000-120000/100000</f>
        <v>-1.7999999999999998</v>
      </c>
      <c r="AR5" s="310">
        <f t="shared" ref="AR5:AR75" si="13">IF(ISBLANK(AQ5),"",ROUND(AR4+AQ5,2))</f>
        <v>3.93</v>
      </c>
      <c r="AS5" s="546">
        <f t="shared" ref="AS5:AS75" si="14">DATE(YEAR(AT5),MONTH(AT5),1)</f>
        <v>43191</v>
      </c>
      <c r="AT5" s="2">
        <v>43220</v>
      </c>
      <c r="AU5" t="s">
        <v>1307</v>
      </c>
      <c r="AV5" s="310">
        <f>510000/100000</f>
        <v>5.0999999999999996</v>
      </c>
      <c r="AW5" s="310">
        <f t="shared" ref="AW5:AW75" si="15">IF(ISBLANK(AV5),"",ROUND(AW4+AV5,2))</f>
        <v>7.6</v>
      </c>
      <c r="AX5" s="546">
        <f t="shared" ref="AX5:AX75" si="16">DATE(YEAR(AY5),MONTH(AY5),1)</f>
        <v>43160</v>
      </c>
      <c r="AY5" s="2">
        <v>43189</v>
      </c>
      <c r="AZ5" s="6" t="s">
        <v>630</v>
      </c>
      <c r="BA5" s="310">
        <f>-140000/100000</f>
        <v>-1.4</v>
      </c>
      <c r="BB5" s="310">
        <f t="shared" ref="BB5:BB75" si="17">IF(ISBLANK(BA5),"",ROUND(BB4+BA5,2))</f>
        <v>7</v>
      </c>
      <c r="BC5" s="546">
        <f t="shared" ref="BC5:BC75" si="18">DATE(YEAR(BD5),MONTH(BD5),1)</f>
        <v>43282</v>
      </c>
      <c r="BD5" s="2">
        <v>43304</v>
      </c>
      <c r="BE5" t="s">
        <v>742</v>
      </c>
      <c r="BF5" s="310">
        <f>-225000/100000</f>
        <v>-2.25</v>
      </c>
      <c r="BG5" s="310">
        <f t="shared" ref="BG5:BG75" si="19">IF(ISBLANK(BF5),"",ROUND(BG4+BF5,2))</f>
        <v>27.75</v>
      </c>
      <c r="BH5" s="546">
        <f t="shared" ref="BH5:BH75" si="20">DATE(YEAR(BI5),MONTH(BI5),1)</f>
        <v>42917</v>
      </c>
      <c r="BI5" s="2">
        <v>42919</v>
      </c>
      <c r="BJ5" t="s">
        <v>1308</v>
      </c>
      <c r="BK5" s="310">
        <f>-3387/100000-17000/100000-17000/100000-26000/100000-26000/100000</f>
        <v>-0.89387000000000005</v>
      </c>
      <c r="BL5" s="310">
        <f t="shared" ref="BL5:BL75" si="21">IF(ISBLANK(BK5),"",ROUND(BL4+BK5,2))</f>
        <v>0.37</v>
      </c>
    </row>
    <row r="6" spans="1:64">
      <c r="A6" s="6" t="s">
        <v>771</v>
      </c>
      <c r="B6" t="s">
        <v>773</v>
      </c>
      <c r="C6" t="s">
        <v>772</v>
      </c>
      <c r="D6" s="310">
        <f>LOOKUP(100000000000000000000,1/(AH:AH&lt;&gt;""),AH:AH)</f>
        <v>180000</v>
      </c>
      <c r="E6" s="546">
        <f t="shared" si="0"/>
        <v>42826</v>
      </c>
      <c r="F6" s="2">
        <v>42840</v>
      </c>
      <c r="G6" s="6" t="s">
        <v>1298</v>
      </c>
      <c r="H6" s="310">
        <f>87500/100000</f>
        <v>0.875</v>
      </c>
      <c r="I6" s="310">
        <f t="shared" ref="I6:I30" si="22">IF(ISBLANK(H6),"",I5+ROUND(H6,2))</f>
        <v>2.41</v>
      </c>
      <c r="J6" s="546">
        <f t="shared" si="1"/>
        <v>42887</v>
      </c>
      <c r="K6" s="2">
        <v>42887</v>
      </c>
      <c r="L6" s="6" t="s">
        <v>1309</v>
      </c>
      <c r="M6" s="310">
        <f>-(4*17000+2*26000)/100000</f>
        <v>-1.2</v>
      </c>
      <c r="N6" s="310">
        <f t="shared" si="2"/>
        <v>1.5599999999999998</v>
      </c>
      <c r="P6" s="2">
        <v>43951</v>
      </c>
      <c r="Q6" s="6" t="s">
        <v>1211</v>
      </c>
      <c r="R6" s="310">
        <v>-250000</v>
      </c>
      <c r="S6" s="310">
        <f t="shared" si="3"/>
        <v>664750</v>
      </c>
      <c r="T6" s="546">
        <f t="shared" si="4"/>
        <v>43282</v>
      </c>
      <c r="U6" s="2">
        <v>43293</v>
      </c>
      <c r="V6" s="6" t="s">
        <v>744</v>
      </c>
      <c r="W6" s="310">
        <f>-1220000/100000</f>
        <v>-12.2</v>
      </c>
      <c r="X6" s="310">
        <f t="shared" si="5"/>
        <v>32.549999999999997</v>
      </c>
      <c r="Y6" s="546">
        <f t="shared" si="6"/>
        <v>43282</v>
      </c>
      <c r="Z6" s="2">
        <v>44002</v>
      </c>
      <c r="AA6" t="s">
        <v>1310</v>
      </c>
      <c r="AB6" s="310">
        <v>50250</v>
      </c>
      <c r="AC6" s="310">
        <f t="shared" si="7"/>
        <v>-1302292</v>
      </c>
      <c r="AD6" s="546">
        <f t="shared" si="8"/>
        <v>44013</v>
      </c>
      <c r="AE6" s="2">
        <v>43293</v>
      </c>
      <c r="AF6" s="6" t="s">
        <v>744</v>
      </c>
      <c r="AG6" s="310">
        <f>-1220000/100000</f>
        <v>-12.2</v>
      </c>
      <c r="AH6" s="310">
        <f t="shared" si="9"/>
        <v>17.8</v>
      </c>
      <c r="AI6" s="546">
        <f t="shared" si="10"/>
        <v>43160</v>
      </c>
      <c r="AJ6" s="2">
        <v>44013</v>
      </c>
      <c r="AK6" t="s">
        <v>1245</v>
      </c>
      <c r="AL6" s="310">
        <v>-320000</v>
      </c>
      <c r="AM6" s="310">
        <f t="shared" si="11"/>
        <v>446500</v>
      </c>
      <c r="AN6" s="546">
        <f t="shared" si="12"/>
        <v>43160</v>
      </c>
      <c r="AO6" s="2">
        <v>43175</v>
      </c>
      <c r="AP6" t="s">
        <v>1298</v>
      </c>
      <c r="AQ6" s="310">
        <f>200000/100000</f>
        <v>2</v>
      </c>
      <c r="AR6" s="310">
        <f t="shared" si="13"/>
        <v>5.93</v>
      </c>
      <c r="AS6" s="546">
        <f t="shared" si="14"/>
        <v>43221</v>
      </c>
      <c r="AT6" s="2">
        <v>43223</v>
      </c>
      <c r="AU6" t="s">
        <v>684</v>
      </c>
      <c r="AV6" s="310">
        <f>-400000/100000</f>
        <v>-4</v>
      </c>
      <c r="AW6" s="310">
        <f t="shared" si="15"/>
        <v>3.6</v>
      </c>
      <c r="AX6" s="546">
        <f t="shared" si="16"/>
        <v>43191</v>
      </c>
      <c r="AY6" s="2">
        <v>43195</v>
      </c>
      <c r="AZ6" t="s">
        <v>668</v>
      </c>
      <c r="BA6" s="310">
        <f>-140000/100000</f>
        <v>-1.4</v>
      </c>
      <c r="BB6" s="310">
        <f t="shared" si="17"/>
        <v>5.6</v>
      </c>
      <c r="BC6" s="546">
        <f t="shared" si="18"/>
        <v>43282</v>
      </c>
      <c r="BD6" s="2">
        <v>43304</v>
      </c>
      <c r="BE6" t="s">
        <v>746</v>
      </c>
      <c r="BF6" s="310">
        <f>-600000/100000</f>
        <v>-6</v>
      </c>
      <c r="BG6" s="310">
        <f t="shared" si="19"/>
        <v>21.75</v>
      </c>
      <c r="BH6" s="546">
        <f t="shared" si="20"/>
        <v>42948</v>
      </c>
      <c r="BI6" s="2">
        <v>42951</v>
      </c>
      <c r="BJ6" t="s">
        <v>514</v>
      </c>
      <c r="BK6" s="310">
        <f>-35000/100000</f>
        <v>-0.35</v>
      </c>
      <c r="BL6" s="310">
        <f t="shared" si="21"/>
        <v>0.02</v>
      </c>
    </row>
    <row r="7" spans="1:64">
      <c r="A7" s="6" t="s">
        <v>612</v>
      </c>
      <c r="B7" t="s">
        <v>614</v>
      </c>
      <c r="C7" t="s">
        <v>613</v>
      </c>
      <c r="D7" s="310">
        <f>LOOKUP(100000000000000000000,1/(X:X&lt;&gt;""),X:X)</f>
        <v>0</v>
      </c>
      <c r="E7" s="546">
        <f t="shared" si="0"/>
        <v>42826</v>
      </c>
      <c r="F7" s="2">
        <v>42840</v>
      </c>
      <c r="G7" t="s">
        <v>1311</v>
      </c>
      <c r="H7" s="310">
        <f>-23500/100000</f>
        <v>-0.23499999999999999</v>
      </c>
      <c r="I7" s="310">
        <f t="shared" si="22"/>
        <v>2.17</v>
      </c>
      <c r="J7" s="546">
        <f t="shared" si="1"/>
        <v>42917</v>
      </c>
      <c r="K7" s="2">
        <v>42917</v>
      </c>
      <c r="L7" s="6" t="s">
        <v>473</v>
      </c>
      <c r="M7" s="310">
        <f>-26000/100000</f>
        <v>-0.26</v>
      </c>
      <c r="N7" s="310">
        <f t="shared" si="2"/>
        <v>1.2999999999999998</v>
      </c>
      <c r="P7" s="2">
        <v>43951</v>
      </c>
      <c r="Q7" s="6" t="s">
        <v>1228</v>
      </c>
      <c r="R7" s="310">
        <v>-250000</v>
      </c>
      <c r="S7" s="310">
        <f t="shared" si="3"/>
        <v>414750</v>
      </c>
      <c r="T7" s="546">
        <f t="shared" si="4"/>
        <v>43313</v>
      </c>
      <c r="U7" s="2">
        <v>43313</v>
      </c>
      <c r="V7" t="s">
        <v>1312</v>
      </c>
      <c r="W7" s="310">
        <f>-1200000/100000</f>
        <v>-12</v>
      </c>
      <c r="X7" s="310">
        <f t="shared" si="5"/>
        <v>20.55</v>
      </c>
      <c r="Y7" s="546">
        <f t="shared" si="6"/>
        <v>43313</v>
      </c>
      <c r="Z7" s="2">
        <v>44002</v>
      </c>
      <c r="AA7" t="s">
        <v>1313</v>
      </c>
      <c r="AB7" s="310">
        <v>29030</v>
      </c>
      <c r="AC7" s="310">
        <f t="shared" si="7"/>
        <v>-1273262</v>
      </c>
      <c r="AD7" s="546">
        <f t="shared" si="8"/>
        <v>1</v>
      </c>
      <c r="AE7" s="2">
        <v>43313</v>
      </c>
      <c r="AF7" t="s">
        <v>1312</v>
      </c>
      <c r="AG7" s="310">
        <f>-1200000/100000</f>
        <v>-12</v>
      </c>
      <c r="AH7" s="310">
        <f t="shared" si="9"/>
        <v>5.8</v>
      </c>
      <c r="AI7" s="546">
        <f t="shared" si="10"/>
        <v>43191</v>
      </c>
      <c r="AM7" s="310" t="str">
        <f t="shared" si="11"/>
        <v/>
      </c>
      <c r="AN7" s="546">
        <f t="shared" si="12"/>
        <v>43191</v>
      </c>
      <c r="AO7" s="2">
        <v>43192</v>
      </c>
      <c r="AP7" t="s">
        <v>1298</v>
      </c>
      <c r="AQ7" s="310">
        <f>250000/100000</f>
        <v>2.5</v>
      </c>
      <c r="AR7" s="310">
        <f t="shared" si="13"/>
        <v>8.43</v>
      </c>
      <c r="AS7" s="546">
        <f t="shared" si="14"/>
        <v>43221</v>
      </c>
      <c r="AT7" s="2">
        <v>43224</v>
      </c>
      <c r="AU7" t="s">
        <v>1314</v>
      </c>
      <c r="AV7" s="310">
        <f>60000/100000</f>
        <v>0.6</v>
      </c>
      <c r="AW7" s="310">
        <f t="shared" si="15"/>
        <v>4.2</v>
      </c>
      <c r="AX7" s="546">
        <f t="shared" si="16"/>
        <v>43221</v>
      </c>
      <c r="AY7" s="2">
        <v>43223</v>
      </c>
      <c r="AZ7" t="s">
        <v>684</v>
      </c>
      <c r="BA7" s="310">
        <f>-400000/100000</f>
        <v>-4</v>
      </c>
      <c r="BB7" s="310">
        <f t="shared" si="17"/>
        <v>1.6</v>
      </c>
      <c r="BC7" s="546">
        <f t="shared" si="18"/>
        <v>43282</v>
      </c>
      <c r="BD7" s="2">
        <v>43304</v>
      </c>
      <c r="BE7" s="6" t="s">
        <v>744</v>
      </c>
      <c r="BF7" s="310">
        <f>-1220000/100000</f>
        <v>-12.2</v>
      </c>
      <c r="BG7" s="310">
        <f t="shared" si="19"/>
        <v>9.5500000000000007</v>
      </c>
      <c r="BH7" s="546">
        <f t="shared" si="20"/>
        <v>43770</v>
      </c>
      <c r="BI7" s="2">
        <v>43773</v>
      </c>
      <c r="BJ7" t="s">
        <v>1315</v>
      </c>
      <c r="BK7" s="310">
        <v>-0.02</v>
      </c>
      <c r="BL7" s="310">
        <f t="shared" si="21"/>
        <v>0</v>
      </c>
    </row>
    <row r="8" spans="1:64">
      <c r="A8" s="6" t="s">
        <v>32</v>
      </c>
      <c r="B8" t="s">
        <v>34</v>
      </c>
      <c r="C8" t="s">
        <v>33</v>
      </c>
      <c r="D8" s="310">
        <f>LOOKUP(100000000000000000000,1/(BL:BL&lt;&gt;""),BL:BL)</f>
        <v>0</v>
      </c>
      <c r="E8" s="546">
        <f t="shared" si="0"/>
        <v>42856</v>
      </c>
      <c r="F8" s="2">
        <v>42863</v>
      </c>
      <c r="G8" s="6" t="s">
        <v>420</v>
      </c>
      <c r="H8" s="310">
        <f>-26000/100000</f>
        <v>-0.26</v>
      </c>
      <c r="I8" s="310">
        <f t="shared" si="22"/>
        <v>1.91</v>
      </c>
      <c r="J8" s="546">
        <f t="shared" si="1"/>
        <v>42917</v>
      </c>
      <c r="K8" s="2">
        <v>42934</v>
      </c>
      <c r="L8" t="s">
        <v>499</v>
      </c>
      <c r="M8" s="310">
        <f>-9000/100000</f>
        <v>-0.09</v>
      </c>
      <c r="N8" s="310">
        <f t="shared" si="2"/>
        <v>1.2099999999999997</v>
      </c>
      <c r="P8" s="2">
        <v>43961</v>
      </c>
      <c r="Q8" t="s">
        <v>1217</v>
      </c>
      <c r="R8" s="310">
        <v>-50000</v>
      </c>
      <c r="S8" s="310">
        <f t="shared" si="3"/>
        <v>364750</v>
      </c>
      <c r="T8" s="546">
        <f t="shared" si="4"/>
        <v>43344</v>
      </c>
      <c r="U8" s="2">
        <v>43355</v>
      </c>
      <c r="V8" t="s">
        <v>1316</v>
      </c>
      <c r="W8" s="310">
        <v>-20.55</v>
      </c>
      <c r="X8" s="310">
        <f t="shared" si="5"/>
        <v>0</v>
      </c>
      <c r="Y8" s="546">
        <f t="shared" si="6"/>
        <v>43466</v>
      </c>
      <c r="AA8" s="620" t="s">
        <v>1317</v>
      </c>
      <c r="AB8" s="310">
        <v>0</v>
      </c>
      <c r="AC8" s="310">
        <f t="shared" si="7"/>
        <v>-1273262</v>
      </c>
      <c r="AD8" s="546">
        <f t="shared" si="8"/>
        <v>1</v>
      </c>
      <c r="AE8" s="2">
        <v>43490</v>
      </c>
      <c r="AF8" t="s">
        <v>1298</v>
      </c>
      <c r="AG8" s="310">
        <v>20000</v>
      </c>
      <c r="AH8" s="310">
        <f t="shared" si="9"/>
        <v>20005.8</v>
      </c>
      <c r="AI8" s="546">
        <f t="shared" si="10"/>
        <v>43221</v>
      </c>
      <c r="AM8" s="310" t="str">
        <f t="shared" si="11"/>
        <v/>
      </c>
      <c r="AN8" s="546">
        <f t="shared" si="12"/>
        <v>43221</v>
      </c>
      <c r="AO8" s="2">
        <v>43222</v>
      </c>
      <c r="AP8" t="s">
        <v>1298</v>
      </c>
      <c r="AQ8" s="310">
        <f>950000/100000</f>
        <v>9.5</v>
      </c>
      <c r="AR8" s="310">
        <f t="shared" si="13"/>
        <v>17.93</v>
      </c>
      <c r="AS8" s="546">
        <f t="shared" si="14"/>
        <v>43221</v>
      </c>
      <c r="AT8" s="2">
        <v>43241</v>
      </c>
      <c r="AU8" t="s">
        <v>1318</v>
      </c>
      <c r="AV8" s="310">
        <f>420000/100000</f>
        <v>4.2</v>
      </c>
      <c r="AW8" s="310">
        <f t="shared" si="15"/>
        <v>8.4</v>
      </c>
      <c r="AX8" s="546">
        <f t="shared" si="16"/>
        <v>43282</v>
      </c>
      <c r="AY8" s="2">
        <v>43284</v>
      </c>
      <c r="AZ8" t="s">
        <v>1301</v>
      </c>
      <c r="BA8" s="310">
        <f>5000000/100000</f>
        <v>50</v>
      </c>
      <c r="BB8" s="310">
        <f t="shared" si="17"/>
        <v>51.6</v>
      </c>
      <c r="BC8" s="546">
        <f t="shared" si="18"/>
        <v>43313</v>
      </c>
      <c r="BD8" s="2">
        <v>43319</v>
      </c>
      <c r="BE8" t="s">
        <v>1319</v>
      </c>
      <c r="BF8" s="310">
        <f>10000000/100000</f>
        <v>100</v>
      </c>
      <c r="BG8" s="310">
        <f t="shared" si="19"/>
        <v>109.55</v>
      </c>
      <c r="BH8" s="546">
        <f t="shared" si="20"/>
        <v>1</v>
      </c>
      <c r="BL8" s="310" t="str">
        <f t="shared" si="21"/>
        <v/>
      </c>
    </row>
    <row r="9" spans="1:64">
      <c r="A9" t="s">
        <v>252</v>
      </c>
      <c r="B9" t="s">
        <v>254</v>
      </c>
      <c r="C9" t="s">
        <v>253</v>
      </c>
      <c r="D9" s="310">
        <f>LOOKUP(100000000000000000000,1/(BG:BG&lt;&gt;""),BG:BG)</f>
        <v>0</v>
      </c>
      <c r="E9" s="546">
        <f t="shared" si="0"/>
        <v>42887</v>
      </c>
      <c r="F9" s="2">
        <v>42887</v>
      </c>
      <c r="G9" s="6" t="s">
        <v>445</v>
      </c>
      <c r="H9" s="310">
        <f>-26000/100000</f>
        <v>-0.26</v>
      </c>
      <c r="I9" s="310">
        <f t="shared" si="22"/>
        <v>1.65</v>
      </c>
      <c r="J9" s="546">
        <f t="shared" si="1"/>
        <v>42917</v>
      </c>
      <c r="K9" s="2">
        <v>42945</v>
      </c>
      <c r="L9" s="6" t="s">
        <v>451</v>
      </c>
      <c r="M9" s="310">
        <f>-7000/100000</f>
        <v>-7.0000000000000007E-2</v>
      </c>
      <c r="N9" s="310">
        <f t="shared" si="2"/>
        <v>1.1399999999999997</v>
      </c>
      <c r="P9" s="2">
        <v>44013</v>
      </c>
      <c r="Q9" t="s">
        <v>1245</v>
      </c>
      <c r="R9" s="310">
        <v>-320000</v>
      </c>
      <c r="S9" s="310">
        <f t="shared" si="3"/>
        <v>44750</v>
      </c>
      <c r="T9" s="546">
        <f t="shared" si="4"/>
        <v>1</v>
      </c>
      <c r="X9" s="310" t="str">
        <f t="shared" si="5"/>
        <v/>
      </c>
      <c r="Y9" s="546">
        <f t="shared" si="6"/>
        <v>43466</v>
      </c>
      <c r="AA9" s="620" t="s">
        <v>1320</v>
      </c>
      <c r="AB9" s="310">
        <v>0</v>
      </c>
      <c r="AC9" s="310">
        <f t="shared" si="7"/>
        <v>-1273262</v>
      </c>
      <c r="AD9" s="546">
        <f t="shared" si="8"/>
        <v>1</v>
      </c>
      <c r="AE9" s="2">
        <v>43490</v>
      </c>
      <c r="AF9" t="s">
        <v>888</v>
      </c>
      <c r="AG9" s="310">
        <v>-3000</v>
      </c>
      <c r="AH9" s="310">
        <f t="shared" si="9"/>
        <v>17005.8</v>
      </c>
      <c r="AI9" s="546">
        <f t="shared" si="10"/>
        <v>43221</v>
      </c>
      <c r="AM9" s="310" t="str">
        <f t="shared" si="11"/>
        <v/>
      </c>
      <c r="AN9" s="546">
        <f t="shared" si="12"/>
        <v>43221</v>
      </c>
      <c r="AO9" s="2">
        <v>43223</v>
      </c>
      <c r="AP9" t="s">
        <v>684</v>
      </c>
      <c r="AQ9" s="310">
        <f>-400000/100000</f>
        <v>-4</v>
      </c>
      <c r="AR9" s="310">
        <f t="shared" si="13"/>
        <v>13.93</v>
      </c>
      <c r="AS9" s="546">
        <f t="shared" si="14"/>
        <v>43221</v>
      </c>
      <c r="AT9" s="2">
        <v>43242</v>
      </c>
      <c r="AU9" t="s">
        <v>672</v>
      </c>
      <c r="AV9" s="310">
        <f>-350000/100000</f>
        <v>-3.5</v>
      </c>
      <c r="AW9" s="310">
        <f t="shared" si="15"/>
        <v>4.9000000000000004</v>
      </c>
      <c r="AX9" s="546">
        <f t="shared" si="16"/>
        <v>43282</v>
      </c>
      <c r="AY9" s="2">
        <v>43284</v>
      </c>
      <c r="AZ9" t="s">
        <v>707</v>
      </c>
      <c r="BA9" s="310">
        <f>-625000/100000</f>
        <v>-6.25</v>
      </c>
      <c r="BB9" s="310">
        <f t="shared" si="17"/>
        <v>45.35</v>
      </c>
      <c r="BC9" s="546">
        <f t="shared" si="18"/>
        <v>43313</v>
      </c>
      <c r="BD9" s="2">
        <v>43319</v>
      </c>
      <c r="BE9" t="s">
        <v>789</v>
      </c>
      <c r="BF9" s="310">
        <f>-800000/100000</f>
        <v>-8</v>
      </c>
      <c r="BG9" s="310">
        <f t="shared" si="19"/>
        <v>101.55</v>
      </c>
      <c r="BH9" s="546">
        <f t="shared" si="20"/>
        <v>1</v>
      </c>
      <c r="BL9" s="310" t="str">
        <f t="shared" si="21"/>
        <v/>
      </c>
    </row>
    <row r="10" spans="1:64">
      <c r="A10" s="6" t="s">
        <v>280</v>
      </c>
      <c r="B10" t="s">
        <v>282</v>
      </c>
      <c r="C10" t="s">
        <v>58</v>
      </c>
      <c r="D10" s="310">
        <f>LOOKUP(100000000000000000000,1/(AR:AR&lt;&gt;""),AR:AR)</f>
        <v>35.979999999999997</v>
      </c>
      <c r="E10" s="546">
        <f t="shared" si="0"/>
        <v>42917</v>
      </c>
      <c r="F10" s="2">
        <v>42917</v>
      </c>
      <c r="G10" s="6" t="s">
        <v>473</v>
      </c>
      <c r="H10" s="310">
        <f>-26000/100000</f>
        <v>-0.26</v>
      </c>
      <c r="I10" s="310">
        <f t="shared" si="22"/>
        <v>1.39</v>
      </c>
      <c r="J10" s="546">
        <f t="shared" si="1"/>
        <v>42948</v>
      </c>
      <c r="K10" s="2">
        <v>42953</v>
      </c>
      <c r="L10" s="6" t="s">
        <v>514</v>
      </c>
      <c r="M10" s="310">
        <f>-35000/100000</f>
        <v>-0.35</v>
      </c>
      <c r="N10" s="310">
        <f t="shared" si="2"/>
        <v>0.7899999999999997</v>
      </c>
      <c r="S10" s="310" t="str">
        <f t="shared" si="3"/>
        <v/>
      </c>
      <c r="T10" s="546">
        <f t="shared" si="4"/>
        <v>1</v>
      </c>
      <c r="X10" s="310" t="str">
        <f t="shared" si="5"/>
        <v/>
      </c>
      <c r="Y10" s="546">
        <f t="shared" si="6"/>
        <v>43497</v>
      </c>
      <c r="AA10" s="620" t="s">
        <v>1321</v>
      </c>
      <c r="AB10" s="310">
        <v>0</v>
      </c>
      <c r="AC10" s="310">
        <f t="shared" si="7"/>
        <v>-1273262</v>
      </c>
      <c r="AD10" s="546">
        <f t="shared" si="8"/>
        <v>1</v>
      </c>
      <c r="AE10" s="2">
        <v>43510</v>
      </c>
      <c r="AF10" t="s">
        <v>898</v>
      </c>
      <c r="AG10" s="310">
        <v>-3000</v>
      </c>
      <c r="AH10" s="310">
        <f t="shared" si="9"/>
        <v>14005.8</v>
      </c>
      <c r="AI10" s="546">
        <f t="shared" si="10"/>
        <v>43221</v>
      </c>
      <c r="AM10" s="310" t="str">
        <f t="shared" si="11"/>
        <v/>
      </c>
      <c r="AN10" s="546">
        <f t="shared" si="12"/>
        <v>43221</v>
      </c>
      <c r="AO10" s="2">
        <v>43237</v>
      </c>
      <c r="AP10" t="s">
        <v>1298</v>
      </c>
      <c r="AQ10" s="310">
        <f>450000/100000</f>
        <v>4.5</v>
      </c>
      <c r="AR10" s="310">
        <f t="shared" si="13"/>
        <v>18.43</v>
      </c>
      <c r="AS10" s="546">
        <f t="shared" si="14"/>
        <v>43221</v>
      </c>
      <c r="AT10" s="2">
        <v>43250</v>
      </c>
      <c r="AU10" t="s">
        <v>1322</v>
      </c>
      <c r="AV10" s="310">
        <f>570000/100000</f>
        <v>5.7</v>
      </c>
      <c r="AW10" s="310">
        <f t="shared" si="15"/>
        <v>10.6</v>
      </c>
      <c r="AX10" s="546">
        <f t="shared" si="16"/>
        <v>43282</v>
      </c>
      <c r="AY10" s="2">
        <v>43284</v>
      </c>
      <c r="AZ10" t="s">
        <v>750</v>
      </c>
      <c r="BA10" s="310">
        <f>-1000000/100000</f>
        <v>-10</v>
      </c>
      <c r="BB10" s="310">
        <f t="shared" si="17"/>
        <v>35.35</v>
      </c>
      <c r="BC10" s="546">
        <f t="shared" si="18"/>
        <v>43525</v>
      </c>
      <c r="BD10" s="2">
        <v>43538</v>
      </c>
      <c r="BE10" t="s">
        <v>1323</v>
      </c>
      <c r="BF10" s="310">
        <v>6000</v>
      </c>
      <c r="BG10" s="310">
        <f t="shared" si="19"/>
        <v>6101.55</v>
      </c>
      <c r="BH10" s="546">
        <f t="shared" si="20"/>
        <v>1</v>
      </c>
      <c r="BL10" s="310" t="str">
        <f t="shared" si="21"/>
        <v/>
      </c>
    </row>
    <row r="11" spans="1:64">
      <c r="A11" t="s">
        <v>36</v>
      </c>
      <c r="B11" t="s">
        <v>38</v>
      </c>
      <c r="C11" t="s">
        <v>37</v>
      </c>
      <c r="D11" s="310">
        <f>LOOKUP(100000000000000000000,1/(AW:AW&lt;&gt;""),AW:AW)</f>
        <v>0</v>
      </c>
      <c r="E11" s="546">
        <f t="shared" si="0"/>
        <v>42917</v>
      </c>
      <c r="F11" s="2">
        <v>42934</v>
      </c>
      <c r="G11" t="s">
        <v>499</v>
      </c>
      <c r="H11" s="310">
        <f>-9000/100000</f>
        <v>-0.09</v>
      </c>
      <c r="I11" s="310">
        <f t="shared" si="22"/>
        <v>1.2999999999999998</v>
      </c>
      <c r="J11" s="546">
        <f t="shared" si="1"/>
        <v>42979</v>
      </c>
      <c r="K11" s="2">
        <v>42979</v>
      </c>
      <c r="L11" s="6" t="s">
        <v>528</v>
      </c>
      <c r="M11" s="310">
        <f>-35000/100000</f>
        <v>-0.35</v>
      </c>
      <c r="N11" s="310">
        <f t="shared" si="2"/>
        <v>0.43999999999999972</v>
      </c>
      <c r="S11" s="310" t="str">
        <f t="shared" si="3"/>
        <v/>
      </c>
      <c r="T11" s="546">
        <f t="shared" si="4"/>
        <v>1</v>
      </c>
      <c r="X11" s="310" t="str">
        <f t="shared" si="5"/>
        <v/>
      </c>
      <c r="Y11" s="546">
        <f t="shared" si="6"/>
        <v>43525</v>
      </c>
      <c r="AA11" s="620" t="s">
        <v>1324</v>
      </c>
      <c r="AB11" s="310">
        <v>0</v>
      </c>
      <c r="AC11" s="310">
        <f t="shared" si="7"/>
        <v>-1273262</v>
      </c>
      <c r="AD11" s="546">
        <f t="shared" si="8"/>
        <v>1</v>
      </c>
      <c r="AE11" s="2">
        <v>43536</v>
      </c>
      <c r="AF11" t="s">
        <v>910</v>
      </c>
      <c r="AG11" s="310">
        <v>-3000</v>
      </c>
      <c r="AH11" s="310">
        <f t="shared" si="9"/>
        <v>11005.8</v>
      </c>
      <c r="AI11" s="546">
        <f t="shared" si="10"/>
        <v>43221</v>
      </c>
      <c r="AK11" s="6"/>
      <c r="AM11" s="310" t="str">
        <f t="shared" si="11"/>
        <v/>
      </c>
      <c r="AN11" s="546">
        <f t="shared" si="12"/>
        <v>43221</v>
      </c>
      <c r="AO11" s="2">
        <v>43242</v>
      </c>
      <c r="AP11" t="s">
        <v>672</v>
      </c>
      <c r="AQ11" s="310">
        <f>-350000/100000</f>
        <v>-3.5</v>
      </c>
      <c r="AR11" s="310">
        <f t="shared" si="13"/>
        <v>14.93</v>
      </c>
      <c r="AS11" s="546">
        <f t="shared" si="14"/>
        <v>43252</v>
      </c>
      <c r="AT11" s="2">
        <v>43257</v>
      </c>
      <c r="AU11" t="s">
        <v>707</v>
      </c>
      <c r="AV11" s="310">
        <f>-400000/100000</f>
        <v>-4</v>
      </c>
      <c r="AW11" s="310">
        <f t="shared" si="15"/>
        <v>6.6</v>
      </c>
      <c r="AX11" s="546">
        <f t="shared" si="16"/>
        <v>43282</v>
      </c>
      <c r="AY11" s="2">
        <v>43291</v>
      </c>
      <c r="AZ11" s="6" t="s">
        <v>744</v>
      </c>
      <c r="BA11" s="310">
        <f>-1220000/100000</f>
        <v>-12.2</v>
      </c>
      <c r="BB11" s="310">
        <f t="shared" si="17"/>
        <v>23.15</v>
      </c>
      <c r="BC11" s="546">
        <f t="shared" si="18"/>
        <v>43525</v>
      </c>
      <c r="BD11" s="2">
        <v>43539</v>
      </c>
      <c r="BE11" t="s">
        <v>1325</v>
      </c>
      <c r="BF11" s="310">
        <v>4</v>
      </c>
      <c r="BG11" s="310">
        <f t="shared" si="19"/>
        <v>6105.55</v>
      </c>
      <c r="BH11" s="546">
        <f t="shared" si="20"/>
        <v>1</v>
      </c>
      <c r="BL11" s="310" t="str">
        <f t="shared" si="21"/>
        <v/>
      </c>
    </row>
    <row r="12" spans="1:64">
      <c r="A12" s="6" t="s">
        <v>219</v>
      </c>
      <c r="B12" t="s">
        <v>221</v>
      </c>
      <c r="C12" t="s">
        <v>220</v>
      </c>
      <c r="D12" s="310">
        <f>LOOKUP(100000000000000000000,1/(BB:BB&lt;&gt;""),BB:BB)</f>
        <v>200</v>
      </c>
      <c r="E12" s="546">
        <f t="shared" si="0"/>
        <v>42948</v>
      </c>
      <c r="F12" s="2">
        <v>42953</v>
      </c>
      <c r="G12" s="6" t="s">
        <v>514</v>
      </c>
      <c r="H12" s="310">
        <f>-35000/100000</f>
        <v>-0.35</v>
      </c>
      <c r="I12" s="310">
        <f t="shared" si="22"/>
        <v>0.94999999999999984</v>
      </c>
      <c r="J12" s="546">
        <f t="shared" si="1"/>
        <v>43009</v>
      </c>
      <c r="K12" s="2">
        <v>43013</v>
      </c>
      <c r="L12" s="6" t="s">
        <v>545</v>
      </c>
      <c r="M12" s="310">
        <f>-35000/100000</f>
        <v>-0.35</v>
      </c>
      <c r="N12" s="310">
        <f t="shared" si="2"/>
        <v>8.9999999999999747E-2</v>
      </c>
      <c r="S12" s="310" t="str">
        <f t="shared" si="3"/>
        <v/>
      </c>
      <c r="T12" s="546">
        <f t="shared" si="4"/>
        <v>1</v>
      </c>
      <c r="X12" s="310" t="str">
        <f t="shared" si="5"/>
        <v/>
      </c>
      <c r="Y12" s="546">
        <f t="shared" si="6"/>
        <v>43556</v>
      </c>
      <c r="AA12" s="620" t="s">
        <v>1326</v>
      </c>
      <c r="AB12" s="310">
        <v>0</v>
      </c>
      <c r="AC12" s="310">
        <f t="shared" si="7"/>
        <v>-1273262</v>
      </c>
      <c r="AD12" s="546">
        <f t="shared" si="8"/>
        <v>1</v>
      </c>
      <c r="AE12" s="2">
        <v>43571</v>
      </c>
      <c r="AF12" t="s">
        <v>918</v>
      </c>
      <c r="AG12" s="310">
        <v>-5000</v>
      </c>
      <c r="AH12" s="310">
        <f t="shared" si="9"/>
        <v>6005.8</v>
      </c>
      <c r="AI12" s="546">
        <f t="shared" si="10"/>
        <v>43221</v>
      </c>
      <c r="AM12" s="310" t="str">
        <f t="shared" si="11"/>
        <v/>
      </c>
      <c r="AN12" s="546">
        <f t="shared" si="12"/>
        <v>43221</v>
      </c>
      <c r="AO12" s="2">
        <v>43245</v>
      </c>
      <c r="AP12" t="s">
        <v>1298</v>
      </c>
      <c r="AQ12" s="310">
        <f>500000/100000</f>
        <v>5</v>
      </c>
      <c r="AR12" s="310">
        <f t="shared" si="13"/>
        <v>19.93</v>
      </c>
      <c r="AS12" s="546">
        <f t="shared" si="14"/>
        <v>43252</v>
      </c>
      <c r="AT12" s="2">
        <v>43279</v>
      </c>
      <c r="AU12" t="s">
        <v>742</v>
      </c>
      <c r="AV12" s="310">
        <f>-225000/100000</f>
        <v>-2.25</v>
      </c>
      <c r="AW12" s="310">
        <f t="shared" si="15"/>
        <v>4.3499999999999996</v>
      </c>
      <c r="AX12" s="546">
        <f t="shared" si="16"/>
        <v>43313</v>
      </c>
      <c r="AY12" s="2">
        <v>43313</v>
      </c>
      <c r="AZ12" t="s">
        <v>1312</v>
      </c>
      <c r="BA12" s="310">
        <f>-1200000/100000</f>
        <v>-12</v>
      </c>
      <c r="BB12" s="310">
        <f t="shared" si="17"/>
        <v>11.15</v>
      </c>
      <c r="BC12" s="546">
        <f t="shared" si="18"/>
        <v>43525</v>
      </c>
      <c r="BD12" s="2">
        <v>43539</v>
      </c>
      <c r="BE12" t="s">
        <v>1327</v>
      </c>
      <c r="BF12" s="310">
        <f>-(320*3+800+3000)</f>
        <v>-4760</v>
      </c>
      <c r="BG12" s="310">
        <f t="shared" si="19"/>
        <v>1345.55</v>
      </c>
      <c r="BH12" s="546">
        <f t="shared" si="20"/>
        <v>1</v>
      </c>
      <c r="BL12" s="310" t="str">
        <f t="shared" si="21"/>
        <v/>
      </c>
    </row>
    <row r="13" spans="1:64">
      <c r="A13" t="s">
        <v>786</v>
      </c>
      <c r="B13" t="s">
        <v>719</v>
      </c>
      <c r="D13" s="310" cm="1">
        <f t="array" ref="D13">LOOKUP(100000000000000000000,1/(S:S&lt;&gt;""),S:S)</f>
        <v>44750</v>
      </c>
      <c r="E13" s="546">
        <f t="shared" si="0"/>
        <v>42979</v>
      </c>
      <c r="F13" s="2">
        <v>42979</v>
      </c>
      <c r="G13" s="6" t="s">
        <v>528</v>
      </c>
      <c r="H13" s="310">
        <f>-35000/100000</f>
        <v>-0.35</v>
      </c>
      <c r="I13" s="310">
        <f t="shared" si="22"/>
        <v>0.59999999999999987</v>
      </c>
      <c r="J13" s="546">
        <f t="shared" si="1"/>
        <v>43009</v>
      </c>
      <c r="K13" s="2">
        <v>43017</v>
      </c>
      <c r="L13" t="s">
        <v>1298</v>
      </c>
      <c r="M13" s="310">
        <f>156000/100000</f>
        <v>1.56</v>
      </c>
      <c r="N13" s="310">
        <f t="shared" si="2"/>
        <v>1.65</v>
      </c>
      <c r="S13" s="310" t="str">
        <f t="shared" si="3"/>
        <v/>
      </c>
      <c r="T13" s="546">
        <f t="shared" si="4"/>
        <v>1</v>
      </c>
      <c r="X13" s="310" t="str">
        <f t="shared" si="5"/>
        <v/>
      </c>
      <c r="Y13" s="546">
        <f t="shared" si="6"/>
        <v>43586</v>
      </c>
      <c r="Z13" s="2">
        <v>44002</v>
      </c>
      <c r="AA13" t="s">
        <v>1328</v>
      </c>
      <c r="AB13" s="310">
        <v>250000</v>
      </c>
      <c r="AC13" s="310">
        <f t="shared" si="7"/>
        <v>-1023262</v>
      </c>
      <c r="AD13" s="546">
        <f t="shared" si="8"/>
        <v>1</v>
      </c>
      <c r="AE13" s="2">
        <v>43610</v>
      </c>
      <c r="AF13" t="s">
        <v>1329</v>
      </c>
      <c r="AG13" s="310">
        <v>50000</v>
      </c>
      <c r="AH13" s="310">
        <f t="shared" si="9"/>
        <v>56005.8</v>
      </c>
      <c r="AI13" s="546">
        <f t="shared" si="10"/>
        <v>43252</v>
      </c>
      <c r="AM13" s="310" t="str">
        <f t="shared" si="11"/>
        <v/>
      </c>
      <c r="AN13" s="546">
        <f t="shared" si="12"/>
        <v>43252</v>
      </c>
      <c r="AO13" s="2">
        <v>43257</v>
      </c>
      <c r="AP13" t="s">
        <v>707</v>
      </c>
      <c r="AQ13" s="310">
        <f>-400000/100000</f>
        <v>-4</v>
      </c>
      <c r="AR13" s="310">
        <f t="shared" si="13"/>
        <v>15.93</v>
      </c>
      <c r="AS13" s="546">
        <f t="shared" si="14"/>
        <v>43282</v>
      </c>
      <c r="AT13" s="2">
        <v>43284</v>
      </c>
      <c r="AU13" t="s">
        <v>1330</v>
      </c>
      <c r="AV13" s="310">
        <f>400000/100000</f>
        <v>4</v>
      </c>
      <c r="AW13" s="310">
        <f t="shared" si="15"/>
        <v>8.35</v>
      </c>
      <c r="AX13" s="546">
        <f t="shared" si="16"/>
        <v>43344</v>
      </c>
      <c r="AY13" s="2">
        <v>43368</v>
      </c>
      <c r="AZ13" t="s">
        <v>1298</v>
      </c>
      <c r="BA13" s="310">
        <v>320</v>
      </c>
      <c r="BB13" s="310">
        <f t="shared" si="17"/>
        <v>331.15</v>
      </c>
      <c r="BC13" s="546">
        <f t="shared" si="18"/>
        <v>43556</v>
      </c>
      <c r="BD13" s="2">
        <v>43570</v>
      </c>
      <c r="BE13" t="s">
        <v>1331</v>
      </c>
      <c r="BF13" s="310">
        <v>2000</v>
      </c>
      <c r="BG13" s="310">
        <f t="shared" si="19"/>
        <v>3345.55</v>
      </c>
      <c r="BH13" s="546">
        <f t="shared" si="20"/>
        <v>1</v>
      </c>
      <c r="BL13" s="310" t="str">
        <f t="shared" si="21"/>
        <v/>
      </c>
    </row>
    <row r="14" spans="1:64">
      <c r="A14" t="s">
        <v>126</v>
      </c>
      <c r="B14" t="s">
        <v>128</v>
      </c>
      <c r="D14" s="310" cm="1">
        <f t="array" ref="D14">LOOKUP(100000000000000000000,1/(AM:AM&lt;&gt;""),AM:AM)</f>
        <v>446500</v>
      </c>
      <c r="E14" s="546">
        <f t="shared" si="0"/>
        <v>42979</v>
      </c>
      <c r="F14" s="2">
        <v>42999</v>
      </c>
      <c r="G14" s="6" t="s">
        <v>1298</v>
      </c>
      <c r="H14" s="310">
        <f>45000/100000</f>
        <v>0.45</v>
      </c>
      <c r="I14" s="310">
        <f t="shared" si="22"/>
        <v>1.0499999999999998</v>
      </c>
      <c r="J14" s="546">
        <f t="shared" si="1"/>
        <v>43040</v>
      </c>
      <c r="K14" s="2">
        <v>43046</v>
      </c>
      <c r="L14" s="6" t="s">
        <v>561</v>
      </c>
      <c r="M14" s="310">
        <f>-50000/100000</f>
        <v>-0.5</v>
      </c>
      <c r="N14" s="310">
        <f t="shared" si="2"/>
        <v>1.1499999999999999</v>
      </c>
      <c r="S14" s="310" t="str">
        <f t="shared" si="3"/>
        <v/>
      </c>
      <c r="T14" s="546">
        <f t="shared" si="4"/>
        <v>1</v>
      </c>
      <c r="X14" s="310" t="str">
        <f t="shared" si="5"/>
        <v/>
      </c>
      <c r="Y14" s="546">
        <f t="shared" si="6"/>
        <v>43586</v>
      </c>
      <c r="Z14" s="2">
        <v>44002</v>
      </c>
      <c r="AA14" t="s">
        <v>1332</v>
      </c>
      <c r="AB14" s="310">
        <v>250000</v>
      </c>
      <c r="AC14" s="310">
        <f t="shared" si="7"/>
        <v>-773262</v>
      </c>
      <c r="AD14" s="546">
        <f t="shared" si="8"/>
        <v>1</v>
      </c>
      <c r="AE14" s="2">
        <v>43610</v>
      </c>
      <c r="AF14" t="s">
        <v>971</v>
      </c>
      <c r="AG14" s="310">
        <v>-10000</v>
      </c>
      <c r="AH14" s="310">
        <f t="shared" si="9"/>
        <v>46005.8</v>
      </c>
      <c r="AI14" s="546">
        <f t="shared" si="10"/>
        <v>43252</v>
      </c>
      <c r="AM14" s="310" t="str">
        <f t="shared" si="11"/>
        <v/>
      </c>
      <c r="AN14" s="546">
        <f t="shared" si="12"/>
        <v>43252</v>
      </c>
      <c r="AO14" s="2">
        <v>43279</v>
      </c>
      <c r="AP14" t="s">
        <v>742</v>
      </c>
      <c r="AQ14" s="310">
        <f>-225000/100000</f>
        <v>-2.25</v>
      </c>
      <c r="AR14" s="310">
        <f t="shared" si="13"/>
        <v>13.68</v>
      </c>
      <c r="AS14" s="546">
        <f t="shared" si="14"/>
        <v>43282</v>
      </c>
      <c r="AT14" s="2">
        <v>43291</v>
      </c>
      <c r="AU14" t="s">
        <v>1333</v>
      </c>
      <c r="AV14" s="310">
        <f>-835000/100000</f>
        <v>-8.35</v>
      </c>
      <c r="AW14" s="310">
        <f t="shared" si="15"/>
        <v>0</v>
      </c>
      <c r="AX14" s="546">
        <f t="shared" si="16"/>
        <v>43344</v>
      </c>
      <c r="AY14" s="2">
        <v>43368</v>
      </c>
      <c r="AZ14" t="s">
        <v>811</v>
      </c>
      <c r="BA14" s="310">
        <v>-320</v>
      </c>
      <c r="BB14" s="310">
        <f t="shared" si="17"/>
        <v>11.15</v>
      </c>
      <c r="BC14" s="546">
        <f t="shared" si="18"/>
        <v>43556</v>
      </c>
      <c r="BD14" s="2">
        <v>43573</v>
      </c>
      <c r="BE14" t="s">
        <v>898</v>
      </c>
      <c r="BF14" s="310">
        <v>-3000</v>
      </c>
      <c r="BG14" s="310">
        <f t="shared" si="19"/>
        <v>345.55</v>
      </c>
      <c r="BH14" s="546">
        <f t="shared" si="20"/>
        <v>1</v>
      </c>
      <c r="BL14" s="310" t="str">
        <f t="shared" si="21"/>
        <v/>
      </c>
    </row>
    <row r="15" spans="1:64">
      <c r="D15" s="310"/>
      <c r="E15" s="546">
        <f t="shared" si="0"/>
        <v>43009</v>
      </c>
      <c r="F15" s="2">
        <v>43013</v>
      </c>
      <c r="G15" s="6" t="s">
        <v>545</v>
      </c>
      <c r="H15" s="310">
        <f>-35000/100000</f>
        <v>-0.35</v>
      </c>
      <c r="I15" s="310">
        <f t="shared" si="22"/>
        <v>0.69999999999999984</v>
      </c>
      <c r="J15" s="546">
        <f t="shared" si="1"/>
        <v>43070</v>
      </c>
      <c r="K15" s="2">
        <v>43074</v>
      </c>
      <c r="L15" s="6" t="s">
        <v>575</v>
      </c>
      <c r="M15" s="310">
        <f>-50000/100000</f>
        <v>-0.5</v>
      </c>
      <c r="N15" s="310">
        <f t="shared" si="2"/>
        <v>0.64999999999999991</v>
      </c>
      <c r="S15" s="310" t="str">
        <f t="shared" si="3"/>
        <v/>
      </c>
      <c r="T15" s="546">
        <f t="shared" si="4"/>
        <v>1</v>
      </c>
      <c r="X15" s="310" t="str">
        <f t="shared" si="5"/>
        <v/>
      </c>
      <c r="Y15" s="546">
        <f t="shared" si="6"/>
        <v>43617</v>
      </c>
      <c r="AC15" s="310" t="str">
        <f t="shared" si="7"/>
        <v/>
      </c>
      <c r="AD15" s="546">
        <f t="shared" si="8"/>
        <v>1</v>
      </c>
      <c r="AE15" s="2">
        <v>43623</v>
      </c>
      <c r="AF15" t="s">
        <v>987</v>
      </c>
      <c r="AG15" s="310">
        <v>-10000</v>
      </c>
      <c r="AH15" s="310">
        <f t="shared" si="9"/>
        <v>36005.800000000003</v>
      </c>
      <c r="AI15" s="546">
        <f t="shared" si="10"/>
        <v>43252</v>
      </c>
      <c r="AM15" s="310" t="str">
        <f t="shared" si="11"/>
        <v/>
      </c>
      <c r="AN15" s="546">
        <f t="shared" si="12"/>
        <v>43252</v>
      </c>
      <c r="AO15" s="2">
        <v>43280</v>
      </c>
      <c r="AP15" t="s">
        <v>1298</v>
      </c>
      <c r="AQ15" s="310">
        <f>1150000/100000</f>
        <v>11.5</v>
      </c>
      <c r="AR15" s="310">
        <f t="shared" si="13"/>
        <v>25.18</v>
      </c>
      <c r="AS15" s="546">
        <f t="shared" si="14"/>
        <v>43282</v>
      </c>
      <c r="AT15" s="2">
        <v>43302</v>
      </c>
      <c r="AU15" t="s">
        <v>1334</v>
      </c>
      <c r="AV15" s="310">
        <f>960000/100000</f>
        <v>9.6</v>
      </c>
      <c r="AW15" s="310">
        <f t="shared" si="15"/>
        <v>9.6</v>
      </c>
      <c r="AX15" s="546">
        <f t="shared" si="16"/>
        <v>43405</v>
      </c>
      <c r="AY15" s="2">
        <v>43406</v>
      </c>
      <c r="AZ15" t="s">
        <v>1298</v>
      </c>
      <c r="BA15" s="310">
        <v>320</v>
      </c>
      <c r="BB15" s="310">
        <f t="shared" si="17"/>
        <v>331.15</v>
      </c>
      <c r="BC15" s="546">
        <f t="shared" si="18"/>
        <v>43556</v>
      </c>
      <c r="BD15" s="2">
        <v>43577</v>
      </c>
      <c r="BE15" t="s">
        <v>1335</v>
      </c>
      <c r="BF15" s="310">
        <v>2020</v>
      </c>
      <c r="BG15" s="310">
        <f t="shared" si="19"/>
        <v>2365.5500000000002</v>
      </c>
      <c r="BH15" s="546">
        <f t="shared" si="20"/>
        <v>1</v>
      </c>
      <c r="BL15" s="310" t="str">
        <f t="shared" si="21"/>
        <v/>
      </c>
    </row>
    <row r="16" spans="1:64">
      <c r="D16" s="310"/>
      <c r="E16" s="546">
        <f t="shared" si="0"/>
        <v>43040</v>
      </c>
      <c r="F16" s="2">
        <v>43046</v>
      </c>
      <c r="G16" s="6" t="s">
        <v>561</v>
      </c>
      <c r="H16" s="310">
        <f>-50000/100000</f>
        <v>-0.5</v>
      </c>
      <c r="I16" s="310">
        <f t="shared" si="22"/>
        <v>0.19999999999999984</v>
      </c>
      <c r="J16" s="546">
        <f t="shared" si="1"/>
        <v>43101</v>
      </c>
      <c r="K16" s="2">
        <v>43118</v>
      </c>
      <c r="L16" t="s">
        <v>1298</v>
      </c>
      <c r="M16" s="310">
        <f>960000/100000</f>
        <v>9.6</v>
      </c>
      <c r="N16" s="310">
        <f t="shared" si="2"/>
        <v>10.25</v>
      </c>
      <c r="S16" s="310" t="str">
        <f t="shared" si="3"/>
        <v/>
      </c>
      <c r="T16" s="546">
        <f t="shared" si="4"/>
        <v>1</v>
      </c>
      <c r="X16" s="310" t="str">
        <f t="shared" si="5"/>
        <v/>
      </c>
      <c r="Y16" s="546">
        <f t="shared" si="6"/>
        <v>43647</v>
      </c>
      <c r="AC16" s="310" t="str">
        <f t="shared" si="7"/>
        <v/>
      </c>
      <c r="AD16" s="546">
        <f t="shared" si="8"/>
        <v>1</v>
      </c>
      <c r="AE16" s="2">
        <v>43656</v>
      </c>
      <c r="AF16" t="s">
        <v>1008</v>
      </c>
      <c r="AG16" s="310">
        <v>-10000</v>
      </c>
      <c r="AH16" s="310">
        <f t="shared" si="9"/>
        <v>26005.8</v>
      </c>
      <c r="AI16" s="546">
        <f t="shared" si="10"/>
        <v>43282</v>
      </c>
      <c r="AM16" s="310" t="str">
        <f t="shared" si="11"/>
        <v/>
      </c>
      <c r="AN16" s="546">
        <f t="shared" si="12"/>
        <v>43282</v>
      </c>
      <c r="AO16" s="2">
        <v>43285</v>
      </c>
      <c r="AP16" t="s">
        <v>750</v>
      </c>
      <c r="AQ16" s="310">
        <f>-1000000/100000</f>
        <v>-10</v>
      </c>
      <c r="AR16" s="310">
        <f t="shared" si="13"/>
        <v>15.18</v>
      </c>
      <c r="AS16" s="546">
        <f t="shared" si="14"/>
        <v>43313</v>
      </c>
      <c r="AT16" s="2">
        <v>43319</v>
      </c>
      <c r="AU16" t="s">
        <v>1336</v>
      </c>
      <c r="AV16" s="310">
        <f>1400000/100000</f>
        <v>14</v>
      </c>
      <c r="AW16" s="310">
        <f t="shared" si="15"/>
        <v>23.6</v>
      </c>
      <c r="AX16" s="546">
        <f t="shared" si="16"/>
        <v>43405</v>
      </c>
      <c r="AY16" s="2">
        <v>43406</v>
      </c>
      <c r="AZ16" t="s">
        <v>824</v>
      </c>
      <c r="BA16" s="310">
        <v>-320</v>
      </c>
      <c r="BB16" s="310">
        <f t="shared" si="17"/>
        <v>11.15</v>
      </c>
      <c r="BC16" s="546">
        <f t="shared" si="18"/>
        <v>43556</v>
      </c>
      <c r="BD16" s="2">
        <v>43577</v>
      </c>
      <c r="BE16" t="s">
        <v>929</v>
      </c>
      <c r="BF16" s="310">
        <v>-2365.5500000000002</v>
      </c>
      <c r="BG16" s="310">
        <f t="shared" si="19"/>
        <v>0</v>
      </c>
      <c r="BH16" s="546">
        <f t="shared" si="20"/>
        <v>1</v>
      </c>
      <c r="BL16" s="310" t="str">
        <f t="shared" si="21"/>
        <v/>
      </c>
    </row>
    <row r="17" spans="4:64">
      <c r="D17" s="310"/>
      <c r="E17" s="546">
        <f t="shared" si="0"/>
        <v>43070</v>
      </c>
      <c r="F17" s="2">
        <v>43074</v>
      </c>
      <c r="G17" s="6" t="s">
        <v>1298</v>
      </c>
      <c r="H17" s="310">
        <f>80000/100000</f>
        <v>0.8</v>
      </c>
      <c r="I17" s="310">
        <f t="shared" si="22"/>
        <v>0.99999999999999989</v>
      </c>
      <c r="J17" s="546">
        <f t="shared" si="1"/>
        <v>43101</v>
      </c>
      <c r="K17" s="2">
        <v>43118</v>
      </c>
      <c r="L17" s="6" t="s">
        <v>600</v>
      </c>
      <c r="M17" s="310">
        <f>-80000/100000</f>
        <v>-0.8</v>
      </c>
      <c r="N17" s="310">
        <f t="shared" si="2"/>
        <v>9.4499999999999993</v>
      </c>
      <c r="S17" s="310" t="str">
        <f t="shared" si="3"/>
        <v/>
      </c>
      <c r="T17" s="546">
        <f t="shared" si="4"/>
        <v>1</v>
      </c>
      <c r="X17" s="310" t="str">
        <f t="shared" si="5"/>
        <v/>
      </c>
      <c r="Y17" s="546">
        <f t="shared" si="6"/>
        <v>43678</v>
      </c>
      <c r="AC17" s="310" t="str">
        <f t="shared" si="7"/>
        <v/>
      </c>
      <c r="AD17" s="546">
        <f t="shared" si="8"/>
        <v>1</v>
      </c>
      <c r="AE17" s="2">
        <v>43682</v>
      </c>
      <c r="AF17" t="s">
        <v>1027</v>
      </c>
      <c r="AG17" s="310">
        <v>-10000</v>
      </c>
      <c r="AH17" s="310">
        <f t="shared" si="9"/>
        <v>16005.8</v>
      </c>
      <c r="AI17" s="546">
        <f t="shared" si="10"/>
        <v>43282</v>
      </c>
      <c r="AM17" s="310" t="str">
        <f t="shared" si="11"/>
        <v/>
      </c>
      <c r="AN17" s="546">
        <f t="shared" si="12"/>
        <v>43282</v>
      </c>
      <c r="AO17" s="2">
        <v>43288</v>
      </c>
      <c r="AP17" t="s">
        <v>1298</v>
      </c>
      <c r="AQ17" s="310">
        <f>2000000/100000</f>
        <v>20</v>
      </c>
      <c r="AR17" s="310">
        <f t="shared" si="13"/>
        <v>35.18</v>
      </c>
      <c r="AS17" s="546">
        <f t="shared" si="14"/>
        <v>43313</v>
      </c>
      <c r="AT17" s="2">
        <v>43324</v>
      </c>
      <c r="AU17" t="s">
        <v>1312</v>
      </c>
      <c r="AV17" s="310">
        <f>-1200000/100000</f>
        <v>-12</v>
      </c>
      <c r="AW17" s="310">
        <f t="shared" si="15"/>
        <v>11.6</v>
      </c>
      <c r="AX17" s="546">
        <f t="shared" si="16"/>
        <v>43435</v>
      </c>
      <c r="AY17" s="2">
        <v>43447</v>
      </c>
      <c r="AZ17" t="s">
        <v>1298</v>
      </c>
      <c r="BA17" s="310">
        <v>1120</v>
      </c>
      <c r="BB17" s="310">
        <f t="shared" si="17"/>
        <v>1131.1500000000001</v>
      </c>
      <c r="BC17" s="546">
        <f t="shared" si="18"/>
        <v>1</v>
      </c>
      <c r="BG17" s="310" t="str">
        <f t="shared" si="19"/>
        <v/>
      </c>
      <c r="BH17" s="546">
        <f t="shared" si="20"/>
        <v>1</v>
      </c>
      <c r="BL17" s="310" t="str">
        <f t="shared" si="21"/>
        <v/>
      </c>
    </row>
    <row r="18" spans="4:64">
      <c r="D18" s="310"/>
      <c r="E18" s="546">
        <f t="shared" si="0"/>
        <v>43070</v>
      </c>
      <c r="F18" s="2">
        <v>43074</v>
      </c>
      <c r="G18" s="6" t="s">
        <v>1298</v>
      </c>
      <c r="H18" s="310">
        <f>550000/100000</f>
        <v>5.5</v>
      </c>
      <c r="I18" s="310">
        <f t="shared" si="22"/>
        <v>6.5</v>
      </c>
      <c r="J18" s="546">
        <f t="shared" si="1"/>
        <v>43132</v>
      </c>
      <c r="K18" s="2">
        <v>43136</v>
      </c>
      <c r="L18" t="s">
        <v>616</v>
      </c>
      <c r="M18" s="310">
        <f>-80000/100000</f>
        <v>-0.8</v>
      </c>
      <c r="N18" s="310">
        <f t="shared" si="2"/>
        <v>8.6499999999999986</v>
      </c>
      <c r="Q18" s="6"/>
      <c r="S18" s="310" t="str">
        <f t="shared" si="3"/>
        <v/>
      </c>
      <c r="T18" s="546">
        <f t="shared" si="4"/>
        <v>1</v>
      </c>
      <c r="V18" s="6"/>
      <c r="X18" s="310" t="str">
        <f t="shared" si="5"/>
        <v/>
      </c>
      <c r="Y18" s="546">
        <f t="shared" si="6"/>
        <v>43709</v>
      </c>
      <c r="AA18" s="6"/>
      <c r="AC18" s="310" t="str">
        <f t="shared" si="7"/>
        <v/>
      </c>
      <c r="AD18" s="546">
        <f t="shared" si="8"/>
        <v>1</v>
      </c>
      <c r="AE18" s="2">
        <v>43726</v>
      </c>
      <c r="AF18" t="s">
        <v>1337</v>
      </c>
      <c r="AG18" s="310">
        <v>50000</v>
      </c>
      <c r="AH18" s="310">
        <f t="shared" si="9"/>
        <v>66005.8</v>
      </c>
      <c r="AI18" s="546">
        <f t="shared" si="10"/>
        <v>43282</v>
      </c>
      <c r="AM18" s="310" t="str">
        <f t="shared" si="11"/>
        <v/>
      </c>
      <c r="AN18" s="546">
        <f t="shared" si="12"/>
        <v>43282</v>
      </c>
      <c r="AO18" s="2">
        <v>43290</v>
      </c>
      <c r="AP18" s="6" t="s">
        <v>744</v>
      </c>
      <c r="AQ18" s="310">
        <f>-1220000/100000</f>
        <v>-12.2</v>
      </c>
      <c r="AR18" s="310">
        <f t="shared" si="13"/>
        <v>22.98</v>
      </c>
      <c r="AS18" s="546">
        <f t="shared" si="14"/>
        <v>43344</v>
      </c>
      <c r="AT18" s="2">
        <v>43348</v>
      </c>
      <c r="AU18" t="s">
        <v>1316</v>
      </c>
      <c r="AV18" s="310">
        <v>-11.6</v>
      </c>
      <c r="AW18" s="310">
        <f t="shared" si="15"/>
        <v>0</v>
      </c>
      <c r="AX18" s="546">
        <f t="shared" si="16"/>
        <v>43435</v>
      </c>
      <c r="AY18" s="2">
        <v>43447</v>
      </c>
      <c r="AZ18" t="s">
        <v>852</v>
      </c>
      <c r="BA18" s="310">
        <f>-1120-11.15</f>
        <v>-1131.1500000000001</v>
      </c>
      <c r="BB18" s="310">
        <f t="shared" si="17"/>
        <v>0</v>
      </c>
      <c r="BC18" s="546">
        <f t="shared" si="18"/>
        <v>1</v>
      </c>
      <c r="BG18" s="310" t="str">
        <f t="shared" si="19"/>
        <v/>
      </c>
      <c r="BH18" s="546">
        <f t="shared" si="20"/>
        <v>1</v>
      </c>
      <c r="BL18" s="310" t="str">
        <f t="shared" si="21"/>
        <v/>
      </c>
    </row>
    <row r="19" spans="4:64">
      <c r="D19" s="310"/>
      <c r="E19" s="546">
        <f t="shared" si="0"/>
        <v>43070</v>
      </c>
      <c r="F19" s="2">
        <v>43074</v>
      </c>
      <c r="G19" s="6" t="s">
        <v>575</v>
      </c>
      <c r="H19" s="310">
        <f>-50000/100000</f>
        <v>-0.5</v>
      </c>
      <c r="I19" s="310">
        <f t="shared" si="22"/>
        <v>6</v>
      </c>
      <c r="J19" s="546">
        <f t="shared" si="1"/>
        <v>43160</v>
      </c>
      <c r="K19" s="2">
        <v>43168</v>
      </c>
      <c r="L19" t="s">
        <v>630</v>
      </c>
      <c r="M19" s="310">
        <f>-140000/100000</f>
        <v>-1.4</v>
      </c>
      <c r="N19" s="310">
        <f t="shared" si="2"/>
        <v>7.2499999999999982</v>
      </c>
      <c r="S19" s="310" t="str">
        <f t="shared" si="3"/>
        <v/>
      </c>
      <c r="T19" s="546">
        <f t="shared" si="4"/>
        <v>1</v>
      </c>
      <c r="X19" s="310" t="str">
        <f t="shared" si="5"/>
        <v/>
      </c>
      <c r="Y19" s="546">
        <f t="shared" si="6"/>
        <v>43709</v>
      </c>
      <c r="AC19" s="310" t="str">
        <f t="shared" si="7"/>
        <v/>
      </c>
      <c r="AD19" s="546">
        <f t="shared" si="8"/>
        <v>1</v>
      </c>
      <c r="AE19" s="2">
        <v>43726</v>
      </c>
      <c r="AF19" t="s">
        <v>1036</v>
      </c>
      <c r="AG19" s="310">
        <v>-21600</v>
      </c>
      <c r="AH19" s="310">
        <f t="shared" si="9"/>
        <v>44405.8</v>
      </c>
      <c r="AI19" s="546">
        <f t="shared" si="10"/>
        <v>43313</v>
      </c>
      <c r="AM19" s="310" t="str">
        <f t="shared" si="11"/>
        <v/>
      </c>
      <c r="AN19" s="546">
        <f t="shared" si="12"/>
        <v>43313</v>
      </c>
      <c r="AO19" s="2">
        <v>43313</v>
      </c>
      <c r="AP19" t="s">
        <v>1298</v>
      </c>
      <c r="AQ19" s="310">
        <f>2500000/100000</f>
        <v>25</v>
      </c>
      <c r="AR19" s="310">
        <f t="shared" si="13"/>
        <v>47.98</v>
      </c>
      <c r="AS19" s="546">
        <f t="shared" si="14"/>
        <v>1</v>
      </c>
      <c r="AW19" s="310" t="str">
        <f t="shared" si="15"/>
        <v/>
      </c>
      <c r="AX19" s="546">
        <f t="shared" si="16"/>
        <v>43525</v>
      </c>
      <c r="AY19" s="2">
        <v>43536</v>
      </c>
      <c r="AZ19" t="s">
        <v>1338</v>
      </c>
      <c r="BA19" s="310">
        <v>20000</v>
      </c>
      <c r="BB19" s="310">
        <f t="shared" si="17"/>
        <v>20000</v>
      </c>
      <c r="BC19" s="546">
        <f t="shared" si="18"/>
        <v>1</v>
      </c>
      <c r="BG19" s="310" t="str">
        <f t="shared" si="19"/>
        <v/>
      </c>
      <c r="BH19" s="546">
        <f t="shared" si="20"/>
        <v>1</v>
      </c>
      <c r="BL19" s="310" t="str">
        <f t="shared" si="21"/>
        <v/>
      </c>
    </row>
    <row r="20" spans="4:64">
      <c r="D20" s="310"/>
      <c r="E20" s="546">
        <f t="shared" si="0"/>
        <v>43101</v>
      </c>
      <c r="F20" s="2">
        <v>43103</v>
      </c>
      <c r="G20" s="6" t="s">
        <v>1298</v>
      </c>
      <c r="H20" s="310">
        <f>360000/100000</f>
        <v>3.6</v>
      </c>
      <c r="I20" s="310">
        <f t="shared" si="22"/>
        <v>9.6</v>
      </c>
      <c r="J20" s="546">
        <f t="shared" si="1"/>
        <v>43191</v>
      </c>
      <c r="K20" s="2">
        <v>43195</v>
      </c>
      <c r="L20" t="s">
        <v>668</v>
      </c>
      <c r="M20" s="310">
        <f>-140000/100000</f>
        <v>-1.4</v>
      </c>
      <c r="N20" s="310">
        <f t="shared" si="2"/>
        <v>5.8499999999999979</v>
      </c>
      <c r="S20" s="310" t="str">
        <f t="shared" si="3"/>
        <v/>
      </c>
      <c r="T20" s="546">
        <f t="shared" si="4"/>
        <v>1</v>
      </c>
      <c r="X20" s="310" t="str">
        <f t="shared" si="5"/>
        <v/>
      </c>
      <c r="Y20" s="546">
        <f t="shared" si="6"/>
        <v>43739</v>
      </c>
      <c r="AC20" s="310" t="str">
        <f t="shared" si="7"/>
        <v/>
      </c>
      <c r="AD20" s="546">
        <f t="shared" si="8"/>
        <v>1</v>
      </c>
      <c r="AE20" s="2">
        <v>43740</v>
      </c>
      <c r="AF20" t="s">
        <v>1061</v>
      </c>
      <c r="AG20" s="310">
        <v>-21100</v>
      </c>
      <c r="AH20" s="310">
        <f t="shared" si="9"/>
        <v>23305.8</v>
      </c>
      <c r="AI20" s="546">
        <f t="shared" si="10"/>
        <v>43313</v>
      </c>
      <c r="AM20" s="310" t="str">
        <f t="shared" si="11"/>
        <v/>
      </c>
      <c r="AN20" s="546">
        <f t="shared" si="12"/>
        <v>43313</v>
      </c>
      <c r="AO20" s="2">
        <v>43313</v>
      </c>
      <c r="AP20" t="s">
        <v>1312</v>
      </c>
      <c r="AQ20" s="310">
        <f>-1200000/100000</f>
        <v>-12</v>
      </c>
      <c r="AR20" s="310">
        <f t="shared" si="13"/>
        <v>35.979999999999997</v>
      </c>
      <c r="AS20" s="546">
        <f t="shared" si="14"/>
        <v>1</v>
      </c>
      <c r="AW20" s="310" t="str">
        <f t="shared" si="15"/>
        <v/>
      </c>
      <c r="AX20" s="546">
        <f t="shared" si="16"/>
        <v>43525</v>
      </c>
      <c r="AY20" s="2">
        <v>43536</v>
      </c>
      <c r="AZ20" t="s">
        <v>928</v>
      </c>
      <c r="BA20" s="310">
        <f>-3000*3</f>
        <v>-9000</v>
      </c>
      <c r="BB20" s="310">
        <f t="shared" si="17"/>
        <v>11000</v>
      </c>
      <c r="BC20" s="546">
        <f t="shared" si="18"/>
        <v>1</v>
      </c>
      <c r="BG20" s="310" t="str">
        <f t="shared" si="19"/>
        <v/>
      </c>
      <c r="BH20" s="546">
        <f t="shared" si="20"/>
        <v>1</v>
      </c>
      <c r="BL20" s="310" t="str">
        <f t="shared" si="21"/>
        <v/>
      </c>
    </row>
    <row r="21" spans="4:64">
      <c r="E21" s="546">
        <f t="shared" si="0"/>
        <v>43101</v>
      </c>
      <c r="F21" s="2">
        <v>43110</v>
      </c>
      <c r="G21" t="s">
        <v>600</v>
      </c>
      <c r="H21" s="310">
        <f>-80000/100000</f>
        <v>-0.8</v>
      </c>
      <c r="I21" s="310">
        <f t="shared" si="22"/>
        <v>8.7999999999999989</v>
      </c>
      <c r="J21" s="546">
        <f t="shared" si="1"/>
        <v>43221</v>
      </c>
      <c r="K21" s="2">
        <v>43223</v>
      </c>
      <c r="L21" t="s">
        <v>684</v>
      </c>
      <c r="M21" s="310">
        <f>-400000/100000</f>
        <v>-4</v>
      </c>
      <c r="N21" s="310">
        <f t="shared" si="2"/>
        <v>1.8499999999999979</v>
      </c>
      <c r="S21" s="310" t="str">
        <f t="shared" si="3"/>
        <v/>
      </c>
      <c r="T21" s="546">
        <f t="shared" si="4"/>
        <v>1</v>
      </c>
      <c r="X21" s="310" t="str">
        <f t="shared" si="5"/>
        <v/>
      </c>
      <c r="Y21" s="546">
        <f t="shared" si="6"/>
        <v>43739</v>
      </c>
      <c r="AC21" s="310" t="str">
        <f t="shared" si="7"/>
        <v/>
      </c>
      <c r="AD21" s="546">
        <f t="shared" si="8"/>
        <v>1</v>
      </c>
      <c r="AE21" s="2">
        <v>43759</v>
      </c>
      <c r="AF21" t="s">
        <v>1339</v>
      </c>
      <c r="AG21" s="310">
        <v>200000</v>
      </c>
      <c r="AH21" s="310">
        <f t="shared" si="9"/>
        <v>223305.8</v>
      </c>
      <c r="AI21" s="546">
        <f t="shared" si="10"/>
        <v>1</v>
      </c>
      <c r="AM21" s="310" t="str">
        <f t="shared" si="11"/>
        <v/>
      </c>
      <c r="AN21" s="546">
        <f t="shared" si="12"/>
        <v>1</v>
      </c>
      <c r="AR21" s="310" t="str">
        <f t="shared" si="13"/>
        <v/>
      </c>
      <c r="AS21" s="546">
        <f t="shared" si="14"/>
        <v>1</v>
      </c>
      <c r="AW21" s="310" t="str">
        <f t="shared" si="15"/>
        <v/>
      </c>
      <c r="AX21" s="546">
        <f t="shared" si="16"/>
        <v>43556</v>
      </c>
      <c r="AY21" s="2">
        <v>43571</v>
      </c>
      <c r="AZ21" t="s">
        <v>918</v>
      </c>
      <c r="BA21" s="310">
        <v>-5000</v>
      </c>
      <c r="BB21" s="310">
        <f t="shared" si="17"/>
        <v>6000</v>
      </c>
      <c r="BC21" s="546">
        <f t="shared" si="18"/>
        <v>1</v>
      </c>
      <c r="BG21" s="310" t="str">
        <f t="shared" si="19"/>
        <v/>
      </c>
      <c r="BH21" s="546">
        <f t="shared" si="20"/>
        <v>1</v>
      </c>
      <c r="BL21" s="310" t="str">
        <f t="shared" si="21"/>
        <v/>
      </c>
    </row>
    <row r="22" spans="4:64">
      <c r="E22" s="546">
        <f t="shared" si="0"/>
        <v>43132</v>
      </c>
      <c r="F22" s="2">
        <v>43136</v>
      </c>
      <c r="G22" t="s">
        <v>616</v>
      </c>
      <c r="H22" s="310">
        <f>-80000/100000</f>
        <v>-0.8</v>
      </c>
      <c r="I22" s="310">
        <f t="shared" si="22"/>
        <v>7.9999999999999991</v>
      </c>
      <c r="J22" s="546">
        <f t="shared" si="1"/>
        <v>43221</v>
      </c>
      <c r="K22" s="2">
        <v>43245</v>
      </c>
      <c r="L22" t="s">
        <v>1298</v>
      </c>
      <c r="M22" s="310">
        <f>4000000/100000</f>
        <v>40</v>
      </c>
      <c r="N22" s="310">
        <f t="shared" si="2"/>
        <v>41.849999999999994</v>
      </c>
      <c r="S22" s="310" t="str">
        <f t="shared" si="3"/>
        <v/>
      </c>
      <c r="T22" s="546">
        <f t="shared" si="4"/>
        <v>1</v>
      </c>
      <c r="X22" s="310" t="str">
        <f t="shared" si="5"/>
        <v/>
      </c>
      <c r="Y22" s="546">
        <f t="shared" si="6"/>
        <v>43739</v>
      </c>
      <c r="AC22" s="310" t="str">
        <f t="shared" si="7"/>
        <v/>
      </c>
      <c r="AD22" s="546">
        <f t="shared" si="8"/>
        <v>1</v>
      </c>
      <c r="AE22" s="2">
        <v>43759</v>
      </c>
      <c r="AF22" t="s">
        <v>1066</v>
      </c>
      <c r="AG22" s="310">
        <v>-25900</v>
      </c>
      <c r="AH22" s="310">
        <f t="shared" si="9"/>
        <v>197405.8</v>
      </c>
      <c r="AI22" s="546">
        <f t="shared" si="10"/>
        <v>1</v>
      </c>
      <c r="AM22" s="310" t="str">
        <f t="shared" si="11"/>
        <v/>
      </c>
      <c r="AN22" s="546">
        <f t="shared" si="12"/>
        <v>1</v>
      </c>
      <c r="AR22" s="310" t="str">
        <f t="shared" si="13"/>
        <v/>
      </c>
      <c r="AS22" s="546">
        <f t="shared" si="14"/>
        <v>1</v>
      </c>
      <c r="AW22" s="310" t="str">
        <f t="shared" si="15"/>
        <v/>
      </c>
      <c r="AX22" s="546">
        <f t="shared" si="16"/>
        <v>43586</v>
      </c>
      <c r="AY22" s="2">
        <v>43613</v>
      </c>
      <c r="AZ22" t="s">
        <v>1298</v>
      </c>
      <c r="BA22" s="310">
        <v>50000</v>
      </c>
      <c r="BB22" s="310">
        <f t="shared" si="17"/>
        <v>56000</v>
      </c>
      <c r="BC22" s="546">
        <f t="shared" si="18"/>
        <v>1</v>
      </c>
      <c r="BG22" s="310" t="str">
        <f t="shared" si="19"/>
        <v/>
      </c>
      <c r="BH22" s="546">
        <f t="shared" si="20"/>
        <v>1</v>
      </c>
      <c r="BL22" s="310" t="str">
        <f t="shared" si="21"/>
        <v/>
      </c>
    </row>
    <row r="23" spans="4:64">
      <c r="E23" s="546">
        <f t="shared" si="0"/>
        <v>43160</v>
      </c>
      <c r="F23" s="2">
        <v>43161</v>
      </c>
      <c r="G23" t="s">
        <v>630</v>
      </c>
      <c r="H23" s="310">
        <f>-140000/100000</f>
        <v>-1.4</v>
      </c>
      <c r="I23" s="310">
        <f t="shared" si="22"/>
        <v>6.6</v>
      </c>
      <c r="J23" s="546">
        <f t="shared" si="1"/>
        <v>43252</v>
      </c>
      <c r="K23" s="2">
        <v>43253</v>
      </c>
      <c r="L23" s="6" t="s">
        <v>672</v>
      </c>
      <c r="M23" s="310">
        <f>-350000/100000</f>
        <v>-3.5</v>
      </c>
      <c r="N23" s="310">
        <f t="shared" si="2"/>
        <v>38.349999999999994</v>
      </c>
      <c r="S23" s="310" t="str">
        <f t="shared" si="3"/>
        <v/>
      </c>
      <c r="T23" s="546">
        <f t="shared" si="4"/>
        <v>1</v>
      </c>
      <c r="X23" s="310" t="str">
        <f t="shared" si="5"/>
        <v/>
      </c>
      <c r="Y23" s="546">
        <f t="shared" si="6"/>
        <v>43770</v>
      </c>
      <c r="AC23" s="310" t="str">
        <f t="shared" si="7"/>
        <v/>
      </c>
      <c r="AD23" s="546">
        <f t="shared" si="8"/>
        <v>1</v>
      </c>
      <c r="AE23" s="2">
        <v>43770</v>
      </c>
      <c r="AF23" t="s">
        <v>1083</v>
      </c>
      <c r="AG23" s="310">
        <v>-51250</v>
      </c>
      <c r="AH23" s="310">
        <f t="shared" si="9"/>
        <v>146155.79999999999</v>
      </c>
      <c r="AI23" s="546">
        <f t="shared" si="10"/>
        <v>1</v>
      </c>
      <c r="AM23" s="310" t="str">
        <f t="shared" si="11"/>
        <v/>
      </c>
      <c r="AN23" s="546">
        <f t="shared" si="12"/>
        <v>1</v>
      </c>
      <c r="AR23" s="310" t="str">
        <f t="shared" si="13"/>
        <v/>
      </c>
      <c r="AS23" s="546">
        <f t="shared" si="14"/>
        <v>1</v>
      </c>
      <c r="AW23" s="310" t="str">
        <f t="shared" si="15"/>
        <v/>
      </c>
      <c r="AX23" s="546">
        <f t="shared" si="16"/>
        <v>43586</v>
      </c>
      <c r="AY23" s="2">
        <v>43613</v>
      </c>
      <c r="AZ23" t="s">
        <v>971</v>
      </c>
      <c r="BA23" s="310">
        <v>-8000</v>
      </c>
      <c r="BB23" s="310">
        <f t="shared" si="17"/>
        <v>48000</v>
      </c>
      <c r="BC23" s="546">
        <f t="shared" si="18"/>
        <v>1</v>
      </c>
      <c r="BG23" s="310" t="str">
        <f t="shared" si="19"/>
        <v/>
      </c>
      <c r="BH23" s="546">
        <f t="shared" si="20"/>
        <v>1</v>
      </c>
      <c r="BL23" s="310" t="str">
        <f t="shared" si="21"/>
        <v/>
      </c>
    </row>
    <row r="24" spans="4:64">
      <c r="E24" s="546">
        <f t="shared" si="0"/>
        <v>43191</v>
      </c>
      <c r="F24" s="2">
        <v>43195</v>
      </c>
      <c r="G24" t="s">
        <v>668</v>
      </c>
      <c r="H24" s="310">
        <f>-140000/100000</f>
        <v>-1.4</v>
      </c>
      <c r="I24" s="310">
        <f t="shared" si="22"/>
        <v>5.1999999999999993</v>
      </c>
      <c r="J24" s="546">
        <f t="shared" si="1"/>
        <v>43252</v>
      </c>
      <c r="K24" s="2">
        <v>43257</v>
      </c>
      <c r="L24" t="s">
        <v>707</v>
      </c>
      <c r="M24" s="310">
        <f>-400000/100000</f>
        <v>-4</v>
      </c>
      <c r="N24" s="310">
        <f t="shared" si="2"/>
        <v>34.349999999999994</v>
      </c>
      <c r="S24" s="310" t="str">
        <f t="shared" si="3"/>
        <v/>
      </c>
      <c r="T24" s="546">
        <f t="shared" si="4"/>
        <v>1</v>
      </c>
      <c r="X24" s="310" t="str">
        <f t="shared" si="5"/>
        <v/>
      </c>
      <c r="Y24" s="546">
        <f t="shared" si="6"/>
        <v>43770</v>
      </c>
      <c r="AC24" s="310" t="str">
        <f t="shared" si="7"/>
        <v/>
      </c>
      <c r="AD24" s="546">
        <f t="shared" si="8"/>
        <v>1</v>
      </c>
      <c r="AE24" s="2">
        <v>43799</v>
      </c>
      <c r="AF24" t="s">
        <v>1101</v>
      </c>
      <c r="AG24" s="310">
        <v>-81750</v>
      </c>
      <c r="AH24" s="310">
        <f t="shared" si="9"/>
        <v>64405.8</v>
      </c>
      <c r="AI24" s="546">
        <f t="shared" si="10"/>
        <v>1</v>
      </c>
      <c r="AM24" s="310" t="str">
        <f t="shared" si="11"/>
        <v/>
      </c>
      <c r="AN24" s="546">
        <f t="shared" si="12"/>
        <v>1</v>
      </c>
      <c r="AR24" s="310" t="str">
        <f t="shared" si="13"/>
        <v/>
      </c>
      <c r="AS24" s="546">
        <f t="shared" si="14"/>
        <v>1</v>
      </c>
      <c r="AW24" s="310" t="str">
        <f t="shared" si="15"/>
        <v/>
      </c>
      <c r="AX24" s="546">
        <f t="shared" si="16"/>
        <v>43617</v>
      </c>
      <c r="AY24" s="2">
        <v>43623</v>
      </c>
      <c r="AZ24" t="s">
        <v>987</v>
      </c>
      <c r="BA24" s="310">
        <v>-8000</v>
      </c>
      <c r="BB24" s="310">
        <f t="shared" si="17"/>
        <v>40000</v>
      </c>
      <c r="BC24" s="546">
        <f t="shared" si="18"/>
        <v>1</v>
      </c>
      <c r="BG24" s="310" t="str">
        <f t="shared" si="19"/>
        <v/>
      </c>
      <c r="BH24" s="546">
        <f t="shared" si="20"/>
        <v>1</v>
      </c>
      <c r="BL24" s="310" t="str">
        <f t="shared" si="21"/>
        <v/>
      </c>
    </row>
    <row r="25" spans="4:64">
      <c r="E25" s="546">
        <f t="shared" si="0"/>
        <v>43221</v>
      </c>
      <c r="F25" s="2">
        <v>43223</v>
      </c>
      <c r="G25" t="s">
        <v>684</v>
      </c>
      <c r="H25" s="310">
        <f>-400000/100000</f>
        <v>-4</v>
      </c>
      <c r="I25" s="310">
        <f t="shared" si="22"/>
        <v>1.1999999999999993</v>
      </c>
      <c r="J25" s="546">
        <f t="shared" si="1"/>
        <v>43252</v>
      </c>
      <c r="K25" s="2">
        <v>43279</v>
      </c>
      <c r="L25" t="s">
        <v>742</v>
      </c>
      <c r="M25" s="310">
        <f>-225000/100000</f>
        <v>-2.25</v>
      </c>
      <c r="N25" s="310">
        <f t="shared" si="2"/>
        <v>32.099999999999994</v>
      </c>
      <c r="S25" s="310" t="str">
        <f t="shared" si="3"/>
        <v/>
      </c>
      <c r="T25" s="546">
        <f t="shared" si="4"/>
        <v>1</v>
      </c>
      <c r="X25" s="310" t="str">
        <f t="shared" si="5"/>
        <v/>
      </c>
      <c r="Y25" s="546">
        <f t="shared" si="6"/>
        <v>43831</v>
      </c>
      <c r="AC25" s="310" t="str">
        <f t="shared" si="7"/>
        <v/>
      </c>
      <c r="AD25" s="546">
        <f t="shared" si="8"/>
        <v>1</v>
      </c>
      <c r="AE25" s="2">
        <v>43852</v>
      </c>
      <c r="AF25" t="s">
        <v>1165</v>
      </c>
      <c r="AG25" s="310">
        <v>-64405.8</v>
      </c>
      <c r="AH25" s="310">
        <f t="shared" si="9"/>
        <v>0</v>
      </c>
      <c r="AI25" s="546">
        <f t="shared" si="10"/>
        <v>1</v>
      </c>
      <c r="AM25" s="310" t="str">
        <f t="shared" si="11"/>
        <v/>
      </c>
      <c r="AN25" s="546">
        <f t="shared" si="12"/>
        <v>1</v>
      </c>
      <c r="AR25" s="310" t="str">
        <f t="shared" si="13"/>
        <v/>
      </c>
      <c r="AS25" s="546">
        <f t="shared" si="14"/>
        <v>1</v>
      </c>
      <c r="AW25" s="310" t="str">
        <f t="shared" si="15"/>
        <v/>
      </c>
      <c r="AX25" s="546">
        <f t="shared" si="16"/>
        <v>43647</v>
      </c>
      <c r="AY25" s="2">
        <v>43656</v>
      </c>
      <c r="AZ25" t="s">
        <v>1008</v>
      </c>
      <c r="BA25" s="310">
        <v>-10000</v>
      </c>
      <c r="BB25" s="310">
        <f t="shared" si="17"/>
        <v>30000</v>
      </c>
      <c r="BC25" s="546">
        <f t="shared" si="18"/>
        <v>1</v>
      </c>
      <c r="BG25" s="310" t="str">
        <f t="shared" si="19"/>
        <v/>
      </c>
      <c r="BH25" s="546">
        <f t="shared" si="20"/>
        <v>1</v>
      </c>
      <c r="BL25" s="310" t="str">
        <f t="shared" si="21"/>
        <v/>
      </c>
    </row>
    <row r="26" spans="4:64">
      <c r="E26" s="546">
        <f t="shared" si="0"/>
        <v>43221</v>
      </c>
      <c r="F26" s="2">
        <v>43242</v>
      </c>
      <c r="G26" s="6" t="s">
        <v>1298</v>
      </c>
      <c r="H26" s="310">
        <f>5000000/100000</f>
        <v>50</v>
      </c>
      <c r="I26" s="310">
        <f t="shared" si="22"/>
        <v>51.2</v>
      </c>
      <c r="J26" s="546">
        <f t="shared" si="1"/>
        <v>43282</v>
      </c>
      <c r="K26" s="2">
        <v>43285</v>
      </c>
      <c r="L26" t="s">
        <v>750</v>
      </c>
      <c r="M26" s="310">
        <f>-1000000/100000</f>
        <v>-10</v>
      </c>
      <c r="N26" s="310">
        <f t="shared" si="2"/>
        <v>22.099999999999994</v>
      </c>
      <c r="S26" s="310" t="str">
        <f t="shared" si="3"/>
        <v/>
      </c>
      <c r="T26" s="546">
        <f t="shared" si="4"/>
        <v>1</v>
      </c>
      <c r="X26" s="310" t="str">
        <f t="shared" si="5"/>
        <v/>
      </c>
      <c r="Y26" s="546">
        <f t="shared" si="6"/>
        <v>43983</v>
      </c>
      <c r="AC26" s="310" t="str">
        <f t="shared" si="7"/>
        <v/>
      </c>
      <c r="AD26" s="546">
        <f t="shared" si="8"/>
        <v>1</v>
      </c>
      <c r="AE26" s="2">
        <v>44005</v>
      </c>
      <c r="AF26" t="s">
        <v>1340</v>
      </c>
      <c r="AG26" s="310">
        <v>1000000</v>
      </c>
      <c r="AH26" s="310">
        <f t="shared" si="9"/>
        <v>1000000</v>
      </c>
      <c r="AI26" s="546">
        <f t="shared" si="10"/>
        <v>1</v>
      </c>
      <c r="AM26" s="310" t="str">
        <f t="shared" si="11"/>
        <v/>
      </c>
      <c r="AN26" s="546">
        <f t="shared" si="12"/>
        <v>1</v>
      </c>
      <c r="AR26" s="310" t="str">
        <f t="shared" si="13"/>
        <v/>
      </c>
      <c r="AS26" s="546">
        <f t="shared" si="14"/>
        <v>1</v>
      </c>
      <c r="AW26" s="310" t="str">
        <f t="shared" si="15"/>
        <v/>
      </c>
      <c r="AX26" s="546">
        <f t="shared" si="16"/>
        <v>43678</v>
      </c>
      <c r="AY26" s="2">
        <v>43682</v>
      </c>
      <c r="AZ26" t="s">
        <v>1027</v>
      </c>
      <c r="BA26" s="310">
        <v>-10000</v>
      </c>
      <c r="BB26" s="310">
        <f t="shared" si="17"/>
        <v>20000</v>
      </c>
      <c r="BC26" s="546">
        <f t="shared" si="18"/>
        <v>1</v>
      </c>
      <c r="BG26" s="310" t="str">
        <f t="shared" si="19"/>
        <v/>
      </c>
      <c r="BH26" s="546">
        <f t="shared" si="20"/>
        <v>1</v>
      </c>
      <c r="BL26" s="310" t="str">
        <f t="shared" si="21"/>
        <v/>
      </c>
    </row>
    <row r="27" spans="4:64">
      <c r="E27" s="546">
        <f t="shared" si="0"/>
        <v>43252</v>
      </c>
      <c r="F27" s="2">
        <v>43257</v>
      </c>
      <c r="G27" t="s">
        <v>707</v>
      </c>
      <c r="H27" s="310">
        <f>-400000/100000</f>
        <v>-4</v>
      </c>
      <c r="I27" s="310">
        <f t="shared" si="22"/>
        <v>47.2</v>
      </c>
      <c r="J27" s="546">
        <f t="shared" si="1"/>
        <v>43282</v>
      </c>
      <c r="K27" s="2">
        <v>43291</v>
      </c>
      <c r="L27" s="6" t="s">
        <v>744</v>
      </c>
      <c r="M27" s="310">
        <f>-1220000/100000</f>
        <v>-12.2</v>
      </c>
      <c r="N27" s="310">
        <f t="shared" si="2"/>
        <v>9.899999999999995</v>
      </c>
      <c r="S27" s="310" t="str">
        <f t="shared" si="3"/>
        <v/>
      </c>
      <c r="T27" s="546">
        <f t="shared" si="4"/>
        <v>1</v>
      </c>
      <c r="X27" s="310" t="str">
        <f t="shared" si="5"/>
        <v/>
      </c>
      <c r="Y27" s="546">
        <f t="shared" si="6"/>
        <v>43983</v>
      </c>
      <c r="AC27" s="310" t="str">
        <f t="shared" si="7"/>
        <v/>
      </c>
      <c r="AD27" s="546">
        <f t="shared" si="8"/>
        <v>1</v>
      </c>
      <c r="AE27" s="2">
        <v>44005</v>
      </c>
      <c r="AF27" t="s">
        <v>1341</v>
      </c>
      <c r="AG27" s="310">
        <f>-250000*2</f>
        <v>-500000</v>
      </c>
      <c r="AH27" s="310">
        <f t="shared" si="9"/>
        <v>500000</v>
      </c>
      <c r="AI27" s="546">
        <f t="shared" si="10"/>
        <v>1</v>
      </c>
      <c r="AM27" s="310" t="str">
        <f t="shared" si="11"/>
        <v/>
      </c>
      <c r="AN27" s="546">
        <f t="shared" si="12"/>
        <v>1</v>
      </c>
      <c r="AR27" s="310" t="str">
        <f t="shared" si="13"/>
        <v/>
      </c>
      <c r="AS27" s="546">
        <f t="shared" si="14"/>
        <v>1</v>
      </c>
      <c r="AW27" s="310" t="str">
        <f t="shared" si="15"/>
        <v/>
      </c>
      <c r="AX27" s="546">
        <f t="shared" si="16"/>
        <v>43709</v>
      </c>
      <c r="AY27" s="2">
        <v>43731</v>
      </c>
      <c r="AZ27" t="s">
        <v>1036</v>
      </c>
      <c r="BA27" s="310">
        <v>-19800</v>
      </c>
      <c r="BB27" s="310">
        <f t="shared" si="17"/>
        <v>200</v>
      </c>
      <c r="BC27" s="546">
        <f t="shared" si="18"/>
        <v>1</v>
      </c>
      <c r="BG27" s="310" t="str">
        <f t="shared" si="19"/>
        <v/>
      </c>
      <c r="BH27" s="546">
        <f t="shared" si="20"/>
        <v>1</v>
      </c>
      <c r="BL27" s="310" t="str">
        <f t="shared" si="21"/>
        <v/>
      </c>
    </row>
    <row r="28" spans="4:64">
      <c r="E28" s="546">
        <f t="shared" si="0"/>
        <v>43252</v>
      </c>
      <c r="F28" s="2">
        <v>43279</v>
      </c>
      <c r="G28" t="s">
        <v>742</v>
      </c>
      <c r="H28" s="310">
        <f>-225000/100000</f>
        <v>-2.25</v>
      </c>
      <c r="I28" s="310">
        <f t="shared" si="22"/>
        <v>44.95</v>
      </c>
      <c r="J28" s="546">
        <f t="shared" si="1"/>
        <v>43313</v>
      </c>
      <c r="K28" s="2">
        <v>43313</v>
      </c>
      <c r="L28" t="s">
        <v>807</v>
      </c>
      <c r="M28" s="310">
        <f>-990000/100000</f>
        <v>-9.9</v>
      </c>
      <c r="N28" s="310">
        <f t="shared" si="2"/>
        <v>-5.3290705182007514E-15</v>
      </c>
      <c r="S28" s="310" t="str">
        <f t="shared" si="3"/>
        <v/>
      </c>
      <c r="T28" s="546">
        <f t="shared" si="4"/>
        <v>1</v>
      </c>
      <c r="X28" s="310" t="str">
        <f t="shared" si="5"/>
        <v/>
      </c>
      <c r="Y28" s="546">
        <f t="shared" si="6"/>
        <v>44013</v>
      </c>
      <c r="AC28" s="310" t="str">
        <f t="shared" si="7"/>
        <v/>
      </c>
      <c r="AD28" s="546">
        <f t="shared" si="8"/>
        <v>1</v>
      </c>
      <c r="AE28" s="2">
        <v>44013</v>
      </c>
      <c r="AF28" t="s">
        <v>1245</v>
      </c>
      <c r="AG28" s="310">
        <v>-320000</v>
      </c>
      <c r="AH28" s="310">
        <f t="shared" si="9"/>
        <v>180000</v>
      </c>
      <c r="AI28" s="546">
        <f t="shared" si="10"/>
        <v>1</v>
      </c>
      <c r="AM28" s="310" t="str">
        <f t="shared" si="11"/>
        <v/>
      </c>
      <c r="AN28" s="546">
        <f t="shared" si="12"/>
        <v>1</v>
      </c>
      <c r="AR28" s="310" t="str">
        <f t="shared" si="13"/>
        <v/>
      </c>
      <c r="AS28" s="546">
        <f t="shared" si="14"/>
        <v>1</v>
      </c>
      <c r="AW28" s="310" t="str">
        <f t="shared" si="15"/>
        <v/>
      </c>
      <c r="AX28" s="546">
        <f t="shared" si="16"/>
        <v>1</v>
      </c>
      <c r="BB28" s="310" t="str">
        <f t="shared" si="17"/>
        <v/>
      </c>
      <c r="BC28" s="546">
        <f t="shared" si="18"/>
        <v>1</v>
      </c>
      <c r="BG28" s="310" t="str">
        <f t="shared" si="19"/>
        <v/>
      </c>
      <c r="BH28" s="546">
        <f t="shared" si="20"/>
        <v>1</v>
      </c>
      <c r="BL28" s="310" t="str">
        <f t="shared" si="21"/>
        <v/>
      </c>
    </row>
    <row r="29" spans="4:64">
      <c r="E29" s="546">
        <f t="shared" si="0"/>
        <v>43282</v>
      </c>
      <c r="F29" s="2">
        <v>43285</v>
      </c>
      <c r="G29" t="s">
        <v>750</v>
      </c>
      <c r="H29" s="310">
        <f>-1000000/100000</f>
        <v>-10</v>
      </c>
      <c r="I29" s="310">
        <f t="shared" si="22"/>
        <v>34.950000000000003</v>
      </c>
      <c r="J29" s="546">
        <f t="shared" si="1"/>
        <v>43313</v>
      </c>
      <c r="K29" s="2">
        <v>43314</v>
      </c>
      <c r="L29" t="s">
        <v>1298</v>
      </c>
      <c r="M29" s="310">
        <f>7410000/100000</f>
        <v>74.099999999999994</v>
      </c>
      <c r="N29" s="310">
        <f t="shared" si="2"/>
        <v>74.099999999999994</v>
      </c>
      <c r="S29" s="310" t="str">
        <f t="shared" si="3"/>
        <v/>
      </c>
      <c r="T29" s="546">
        <f t="shared" si="4"/>
        <v>1</v>
      </c>
      <c r="X29" s="310" t="str">
        <f t="shared" si="5"/>
        <v/>
      </c>
      <c r="Y29" s="546">
        <f t="shared" si="6"/>
        <v>1</v>
      </c>
      <c r="AC29" s="310" t="str">
        <f t="shared" si="7"/>
        <v/>
      </c>
      <c r="AD29" s="546">
        <f t="shared" si="8"/>
        <v>1</v>
      </c>
      <c r="AH29" s="310" t="str">
        <f t="shared" si="9"/>
        <v/>
      </c>
      <c r="AI29" s="546">
        <f t="shared" si="10"/>
        <v>1</v>
      </c>
      <c r="AM29" s="310" t="str">
        <f t="shared" si="11"/>
        <v/>
      </c>
      <c r="AN29" s="546">
        <f t="shared" si="12"/>
        <v>1</v>
      </c>
      <c r="AR29" s="310" t="str">
        <f t="shared" si="13"/>
        <v/>
      </c>
      <c r="AS29" s="546">
        <f t="shared" si="14"/>
        <v>1</v>
      </c>
      <c r="AW29" s="310" t="str">
        <f t="shared" si="15"/>
        <v/>
      </c>
      <c r="AX29" s="546">
        <f t="shared" si="16"/>
        <v>1</v>
      </c>
      <c r="BB29" s="310" t="str">
        <f t="shared" si="17"/>
        <v/>
      </c>
      <c r="BC29" s="546">
        <f t="shared" si="18"/>
        <v>1</v>
      </c>
      <c r="BG29" s="310" t="str">
        <f t="shared" si="19"/>
        <v/>
      </c>
      <c r="BH29" s="546">
        <f t="shared" si="20"/>
        <v>1</v>
      </c>
      <c r="BL29" s="310" t="str">
        <f t="shared" si="21"/>
        <v/>
      </c>
    </row>
    <row r="30" spans="4:64">
      <c r="E30" s="546">
        <f t="shared" si="0"/>
        <v>43313</v>
      </c>
      <c r="F30" s="2">
        <v>43313</v>
      </c>
      <c r="G30" t="s">
        <v>788</v>
      </c>
      <c r="H30" s="310">
        <f>-1200000/100000</f>
        <v>-12</v>
      </c>
      <c r="I30" s="310">
        <f t="shared" si="22"/>
        <v>22.950000000000003</v>
      </c>
      <c r="J30" s="546">
        <f t="shared" si="1"/>
        <v>43313</v>
      </c>
      <c r="K30" s="2">
        <v>43314</v>
      </c>
      <c r="L30" t="s">
        <v>789</v>
      </c>
      <c r="M30" s="310">
        <f>-210000/100000</f>
        <v>-2.1</v>
      </c>
      <c r="N30" s="310">
        <f t="shared" si="2"/>
        <v>72</v>
      </c>
      <c r="S30" s="310" t="str">
        <f t="shared" si="3"/>
        <v/>
      </c>
      <c r="T30" s="546">
        <f t="shared" si="4"/>
        <v>1</v>
      </c>
      <c r="X30" s="310" t="str">
        <f t="shared" si="5"/>
        <v/>
      </c>
      <c r="Y30" s="546">
        <f t="shared" si="6"/>
        <v>1</v>
      </c>
      <c r="AC30" s="310" t="str">
        <f t="shared" si="7"/>
        <v/>
      </c>
      <c r="AD30" s="546">
        <f t="shared" si="8"/>
        <v>1</v>
      </c>
      <c r="AH30" s="310" t="str">
        <f t="shared" si="9"/>
        <v/>
      </c>
      <c r="AI30" s="546">
        <f t="shared" si="10"/>
        <v>1</v>
      </c>
      <c r="AM30" s="310" t="str">
        <f t="shared" si="11"/>
        <v/>
      </c>
      <c r="AN30" s="546">
        <f t="shared" si="12"/>
        <v>1</v>
      </c>
      <c r="AR30" s="310" t="str">
        <f t="shared" si="13"/>
        <v/>
      </c>
      <c r="AS30" s="546">
        <f t="shared" si="14"/>
        <v>1</v>
      </c>
      <c r="AW30" s="310" t="str">
        <f t="shared" si="15"/>
        <v/>
      </c>
      <c r="AX30" s="546">
        <f t="shared" si="16"/>
        <v>1</v>
      </c>
      <c r="BB30" s="310" t="str">
        <f t="shared" si="17"/>
        <v/>
      </c>
      <c r="BC30" s="546">
        <f t="shared" si="18"/>
        <v>1</v>
      </c>
      <c r="BG30" s="310" t="str">
        <f t="shared" si="19"/>
        <v/>
      </c>
      <c r="BH30" s="546">
        <f t="shared" si="20"/>
        <v>1</v>
      </c>
      <c r="BL30" s="310" t="str">
        <f t="shared" si="21"/>
        <v/>
      </c>
    </row>
    <row r="31" spans="4:64">
      <c r="E31" s="546">
        <f t="shared" si="0"/>
        <v>43344</v>
      </c>
      <c r="F31" s="2">
        <v>43355</v>
      </c>
      <c r="G31" t="s">
        <v>1342</v>
      </c>
      <c r="H31" s="310">
        <v>1600</v>
      </c>
      <c r="I31" s="310">
        <f t="shared" ref="I31:I75" si="23">IF(ISBLANK(H31),"",ROUND(I30+H31,2))</f>
        <v>1622.95</v>
      </c>
      <c r="J31" s="546">
        <f t="shared" si="1"/>
        <v>43374</v>
      </c>
      <c r="K31" s="2">
        <v>43403</v>
      </c>
      <c r="L31" t="s">
        <v>1298</v>
      </c>
      <c r="M31" s="310">
        <v>3850</v>
      </c>
      <c r="N31" s="310">
        <f t="shared" ref="N31:N75" si="24">IF(ISBLANK(M31),"",ROUND(N30+M31,2))</f>
        <v>3922</v>
      </c>
      <c r="S31" s="310" t="str">
        <f t="shared" si="3"/>
        <v/>
      </c>
      <c r="T31" s="546">
        <f t="shared" si="4"/>
        <v>1</v>
      </c>
      <c r="X31" s="310" t="str">
        <f t="shared" si="5"/>
        <v/>
      </c>
      <c r="Y31" s="546">
        <f t="shared" si="6"/>
        <v>1</v>
      </c>
      <c r="AC31" s="310" t="str">
        <f t="shared" si="7"/>
        <v/>
      </c>
      <c r="AD31" s="546">
        <f t="shared" si="8"/>
        <v>1</v>
      </c>
      <c r="AH31" s="310" t="str">
        <f t="shared" si="9"/>
        <v/>
      </c>
      <c r="AI31" s="546">
        <f t="shared" si="10"/>
        <v>1</v>
      </c>
      <c r="AM31" s="310" t="str">
        <f t="shared" si="11"/>
        <v/>
      </c>
      <c r="AN31" s="546">
        <f t="shared" si="12"/>
        <v>1</v>
      </c>
      <c r="AR31" s="310" t="str">
        <f t="shared" si="13"/>
        <v/>
      </c>
      <c r="AS31" s="546">
        <f t="shared" si="14"/>
        <v>1</v>
      </c>
      <c r="AW31" s="310" t="str">
        <f t="shared" si="15"/>
        <v/>
      </c>
      <c r="AX31" s="546">
        <f t="shared" si="16"/>
        <v>1</v>
      </c>
      <c r="BB31" s="310" t="str">
        <f t="shared" si="17"/>
        <v/>
      </c>
      <c r="BC31" s="546">
        <f t="shared" si="18"/>
        <v>1</v>
      </c>
      <c r="BG31" s="310" t="str">
        <f t="shared" si="19"/>
        <v/>
      </c>
      <c r="BH31" s="546">
        <f t="shared" si="20"/>
        <v>1</v>
      </c>
      <c r="BL31" s="310" t="str">
        <f t="shared" si="21"/>
        <v/>
      </c>
    </row>
    <row r="32" spans="4:64">
      <c r="E32" s="546">
        <f t="shared" si="0"/>
        <v>43344</v>
      </c>
      <c r="F32" s="2">
        <v>43355</v>
      </c>
      <c r="G32" t="s">
        <v>811</v>
      </c>
      <c r="H32" s="310">
        <v>-320</v>
      </c>
      <c r="I32" s="310">
        <f t="shared" si="23"/>
        <v>1302.95</v>
      </c>
      <c r="J32" s="546">
        <f t="shared" si="1"/>
        <v>43374</v>
      </c>
      <c r="K32" s="2">
        <v>43403</v>
      </c>
      <c r="L32" t="s">
        <v>827</v>
      </c>
      <c r="M32" s="310">
        <v>-10</v>
      </c>
      <c r="N32" s="310">
        <f t="shared" si="24"/>
        <v>3912</v>
      </c>
      <c r="S32" s="310" t="str">
        <f t="shared" si="3"/>
        <v/>
      </c>
      <c r="T32" s="546">
        <f t="shared" si="4"/>
        <v>1</v>
      </c>
      <c r="X32" s="310" t="str">
        <f t="shared" si="5"/>
        <v/>
      </c>
      <c r="Y32" s="546">
        <f t="shared" si="6"/>
        <v>1</v>
      </c>
      <c r="AC32" s="310" t="str">
        <f t="shared" si="7"/>
        <v/>
      </c>
      <c r="AD32" s="546">
        <f t="shared" si="8"/>
        <v>1</v>
      </c>
      <c r="AH32" s="310" t="str">
        <f t="shared" si="9"/>
        <v/>
      </c>
      <c r="AI32" s="546">
        <f t="shared" si="10"/>
        <v>1</v>
      </c>
      <c r="AM32" s="310" t="str">
        <f t="shared" si="11"/>
        <v/>
      </c>
      <c r="AN32" s="546">
        <f t="shared" si="12"/>
        <v>1</v>
      </c>
      <c r="AR32" s="310" t="str">
        <f t="shared" si="13"/>
        <v/>
      </c>
      <c r="AS32" s="546">
        <f t="shared" si="14"/>
        <v>1</v>
      </c>
      <c r="AW32" s="310" t="str">
        <f t="shared" si="15"/>
        <v/>
      </c>
      <c r="AX32" s="546">
        <f t="shared" si="16"/>
        <v>1</v>
      </c>
      <c r="BB32" s="310" t="str">
        <f t="shared" si="17"/>
        <v/>
      </c>
      <c r="BC32" s="546">
        <f t="shared" si="18"/>
        <v>1</v>
      </c>
      <c r="BG32" s="310" t="str">
        <f t="shared" si="19"/>
        <v/>
      </c>
      <c r="BH32" s="546">
        <f t="shared" si="20"/>
        <v>1</v>
      </c>
      <c r="BL32" s="310" t="str">
        <f t="shared" si="21"/>
        <v/>
      </c>
    </row>
    <row r="33" spans="5:64">
      <c r="E33" s="546">
        <f t="shared" si="0"/>
        <v>43374</v>
      </c>
      <c r="F33" s="2">
        <v>43384</v>
      </c>
      <c r="G33" t="s">
        <v>824</v>
      </c>
      <c r="H33" s="310">
        <v>-320</v>
      </c>
      <c r="I33" s="310">
        <f t="shared" si="23"/>
        <v>982.95</v>
      </c>
      <c r="J33" s="546">
        <f t="shared" si="1"/>
        <v>43374</v>
      </c>
      <c r="K33" s="2">
        <v>43403</v>
      </c>
      <c r="L33" t="s">
        <v>836</v>
      </c>
      <c r="M33" s="310">
        <f>-320*2</f>
        <v>-640</v>
      </c>
      <c r="N33" s="310">
        <f t="shared" si="24"/>
        <v>3272</v>
      </c>
      <c r="S33" s="310" t="str">
        <f t="shared" si="3"/>
        <v/>
      </c>
      <c r="T33" s="546">
        <f t="shared" si="4"/>
        <v>1</v>
      </c>
      <c r="X33" s="310" t="str">
        <f t="shared" si="5"/>
        <v/>
      </c>
      <c r="Y33" s="546">
        <f t="shared" si="6"/>
        <v>1</v>
      </c>
      <c r="AC33" s="310" t="str">
        <f t="shared" si="7"/>
        <v/>
      </c>
      <c r="AD33" s="546">
        <f t="shared" si="8"/>
        <v>1</v>
      </c>
      <c r="AH33" s="310" t="str">
        <f t="shared" si="9"/>
        <v/>
      </c>
      <c r="AI33" s="546">
        <f t="shared" si="10"/>
        <v>1</v>
      </c>
      <c r="AM33" s="310" t="str">
        <f t="shared" si="11"/>
        <v/>
      </c>
      <c r="AN33" s="546">
        <f t="shared" si="12"/>
        <v>1</v>
      </c>
      <c r="AR33" s="310" t="str">
        <f t="shared" si="13"/>
        <v/>
      </c>
      <c r="AS33" s="546">
        <f t="shared" si="14"/>
        <v>1</v>
      </c>
      <c r="AW33" s="310" t="str">
        <f t="shared" si="15"/>
        <v/>
      </c>
      <c r="AX33" s="546">
        <f t="shared" si="16"/>
        <v>1</v>
      </c>
      <c r="BB33" s="310" t="str">
        <f t="shared" si="17"/>
        <v/>
      </c>
      <c r="BC33" s="546">
        <f t="shared" si="18"/>
        <v>1</v>
      </c>
      <c r="BG33" s="310" t="str">
        <f t="shared" si="19"/>
        <v/>
      </c>
      <c r="BH33" s="546">
        <f t="shared" si="20"/>
        <v>1</v>
      </c>
      <c r="BL33" s="310" t="str">
        <f t="shared" si="21"/>
        <v/>
      </c>
    </row>
    <row r="34" spans="5:64">
      <c r="E34" s="546">
        <f t="shared" si="0"/>
        <v>43405</v>
      </c>
      <c r="F34" s="2">
        <v>43412</v>
      </c>
      <c r="G34" t="s">
        <v>849</v>
      </c>
      <c r="H34" s="310">
        <v>-320</v>
      </c>
      <c r="I34" s="310">
        <f t="shared" si="23"/>
        <v>662.95</v>
      </c>
      <c r="J34" s="546">
        <f t="shared" si="1"/>
        <v>43405</v>
      </c>
      <c r="K34" s="2">
        <v>43412</v>
      </c>
      <c r="L34" t="s">
        <v>849</v>
      </c>
      <c r="M34" s="310">
        <v>-320</v>
      </c>
      <c r="N34" s="310">
        <f t="shared" si="24"/>
        <v>2952</v>
      </c>
      <c r="S34" s="310" t="str">
        <f t="shared" si="3"/>
        <v/>
      </c>
      <c r="T34" s="546">
        <f t="shared" si="4"/>
        <v>1</v>
      </c>
      <c r="X34" s="310" t="str">
        <f t="shared" si="5"/>
        <v/>
      </c>
      <c r="Y34" s="546">
        <f t="shared" si="6"/>
        <v>1</v>
      </c>
      <c r="AC34" s="310" t="str">
        <f t="shared" si="7"/>
        <v/>
      </c>
      <c r="AD34" s="546">
        <f t="shared" si="8"/>
        <v>1</v>
      </c>
      <c r="AH34" s="310" t="str">
        <f t="shared" si="9"/>
        <v/>
      </c>
      <c r="AI34" s="546">
        <f t="shared" si="10"/>
        <v>1</v>
      </c>
      <c r="AM34" s="310" t="str">
        <f t="shared" si="11"/>
        <v/>
      </c>
      <c r="AN34" s="546">
        <f t="shared" si="12"/>
        <v>1</v>
      </c>
      <c r="AR34" s="310" t="str">
        <f t="shared" si="13"/>
        <v/>
      </c>
      <c r="AS34" s="546">
        <f t="shared" si="14"/>
        <v>1</v>
      </c>
      <c r="AW34" s="310" t="str">
        <f t="shared" si="15"/>
        <v/>
      </c>
      <c r="AX34" s="546">
        <f t="shared" si="16"/>
        <v>1</v>
      </c>
      <c r="BB34" s="310" t="str">
        <f t="shared" si="17"/>
        <v/>
      </c>
      <c r="BC34" s="546">
        <f t="shared" si="18"/>
        <v>1</v>
      </c>
      <c r="BG34" s="310" t="str">
        <f t="shared" si="19"/>
        <v/>
      </c>
      <c r="BH34" s="546">
        <f t="shared" si="20"/>
        <v>1</v>
      </c>
      <c r="BL34" s="310" t="str">
        <f t="shared" si="21"/>
        <v/>
      </c>
    </row>
    <row r="35" spans="5:64">
      <c r="E35" s="546">
        <f t="shared" si="0"/>
        <v>43435</v>
      </c>
      <c r="F35" s="2">
        <v>43439</v>
      </c>
      <c r="G35" s="6" t="s">
        <v>862</v>
      </c>
      <c r="H35" s="310">
        <v>-662.95</v>
      </c>
      <c r="I35" s="310">
        <f t="shared" si="23"/>
        <v>0</v>
      </c>
      <c r="J35" s="546">
        <f t="shared" si="1"/>
        <v>43435</v>
      </c>
      <c r="K35" s="2">
        <v>43439</v>
      </c>
      <c r="L35" s="6" t="s">
        <v>862</v>
      </c>
      <c r="M35" s="310">
        <v>-800</v>
      </c>
      <c r="N35" s="310">
        <f t="shared" si="24"/>
        <v>2152</v>
      </c>
      <c r="S35" s="310" t="str">
        <f t="shared" si="3"/>
        <v/>
      </c>
      <c r="T35" s="546">
        <f t="shared" si="4"/>
        <v>1</v>
      </c>
      <c r="X35" s="310" t="str">
        <f t="shared" si="5"/>
        <v/>
      </c>
      <c r="Y35" s="546">
        <f t="shared" si="6"/>
        <v>1</v>
      </c>
      <c r="AC35" s="310" t="str">
        <f t="shared" si="7"/>
        <v/>
      </c>
      <c r="AD35" s="546">
        <f t="shared" si="8"/>
        <v>1</v>
      </c>
      <c r="AH35" s="310" t="str">
        <f t="shared" si="9"/>
        <v/>
      </c>
      <c r="AI35" s="546">
        <f t="shared" si="10"/>
        <v>1</v>
      </c>
      <c r="AM35" s="310" t="str">
        <f t="shared" si="11"/>
        <v/>
      </c>
      <c r="AN35" s="546">
        <f t="shared" si="12"/>
        <v>1</v>
      </c>
      <c r="AR35" s="310" t="str">
        <f t="shared" si="13"/>
        <v/>
      </c>
      <c r="AS35" s="546">
        <f t="shared" si="14"/>
        <v>1</v>
      </c>
      <c r="AW35" s="310" t="str">
        <f t="shared" si="15"/>
        <v/>
      </c>
      <c r="AX35" s="546">
        <f t="shared" si="16"/>
        <v>1</v>
      </c>
      <c r="BB35" s="310" t="str">
        <f t="shared" si="17"/>
        <v/>
      </c>
      <c r="BC35" s="546">
        <f t="shared" si="18"/>
        <v>1</v>
      </c>
      <c r="BG35" s="310" t="str">
        <f t="shared" si="19"/>
        <v/>
      </c>
      <c r="BH35" s="546">
        <f t="shared" si="20"/>
        <v>1</v>
      </c>
      <c r="BL35" s="310" t="str">
        <f t="shared" si="21"/>
        <v/>
      </c>
    </row>
    <row r="36" spans="5:64">
      <c r="E36" s="546">
        <f t="shared" si="0"/>
        <v>43466</v>
      </c>
      <c r="F36" s="2">
        <v>43473</v>
      </c>
      <c r="G36" t="s">
        <v>1343</v>
      </c>
      <c r="H36" s="310">
        <v>10000</v>
      </c>
      <c r="I36" s="310">
        <f t="shared" si="23"/>
        <v>10000</v>
      </c>
      <c r="J36" s="546">
        <f t="shared" si="1"/>
        <v>43466</v>
      </c>
      <c r="K36" s="2">
        <v>43476</v>
      </c>
      <c r="L36" s="6" t="s">
        <v>882</v>
      </c>
      <c r="M36" s="310">
        <v>-800</v>
      </c>
      <c r="N36" s="310">
        <f t="shared" si="24"/>
        <v>1352</v>
      </c>
      <c r="S36" s="310" t="str">
        <f t="shared" si="3"/>
        <v/>
      </c>
      <c r="T36" s="546">
        <f t="shared" si="4"/>
        <v>1</v>
      </c>
      <c r="X36" s="310" t="str">
        <f t="shared" si="5"/>
        <v/>
      </c>
      <c r="Y36" s="546">
        <f t="shared" si="6"/>
        <v>1</v>
      </c>
      <c r="AC36" s="310" t="str">
        <f t="shared" si="7"/>
        <v/>
      </c>
      <c r="AD36" s="546">
        <f t="shared" si="8"/>
        <v>1</v>
      </c>
      <c r="AH36" s="310" t="str">
        <f t="shared" si="9"/>
        <v/>
      </c>
      <c r="AI36" s="546">
        <f t="shared" si="10"/>
        <v>1</v>
      </c>
      <c r="AM36" s="310" t="str">
        <f t="shared" si="11"/>
        <v/>
      </c>
      <c r="AN36" s="546">
        <f t="shared" si="12"/>
        <v>1</v>
      </c>
      <c r="AR36" s="310" t="str">
        <f t="shared" si="13"/>
        <v/>
      </c>
      <c r="AS36" s="546">
        <f t="shared" si="14"/>
        <v>1</v>
      </c>
      <c r="AW36" s="310" t="str">
        <f t="shared" si="15"/>
        <v/>
      </c>
      <c r="AX36" s="546">
        <f t="shared" si="16"/>
        <v>1</v>
      </c>
      <c r="BB36" s="310" t="str">
        <f t="shared" si="17"/>
        <v/>
      </c>
      <c r="BC36" s="546">
        <f t="shared" si="18"/>
        <v>1</v>
      </c>
      <c r="BG36" s="310" t="str">
        <f t="shared" si="19"/>
        <v/>
      </c>
      <c r="BH36" s="546">
        <f t="shared" si="20"/>
        <v>1</v>
      </c>
      <c r="BL36" s="310" t="str">
        <f t="shared" si="21"/>
        <v/>
      </c>
    </row>
    <row r="37" spans="5:64">
      <c r="E37" s="546">
        <f t="shared" si="0"/>
        <v>43466</v>
      </c>
      <c r="F37" s="2">
        <v>43473</v>
      </c>
      <c r="G37" t="s">
        <v>864</v>
      </c>
      <c r="H37" s="310">
        <f>-(800-662.95)</f>
        <v>-137.04999999999995</v>
      </c>
      <c r="I37" s="310">
        <f t="shared" si="23"/>
        <v>9862.9500000000007</v>
      </c>
      <c r="J37" s="546">
        <f t="shared" si="1"/>
        <v>43497</v>
      </c>
      <c r="K37" s="2">
        <v>43500</v>
      </c>
      <c r="L37" t="s">
        <v>1298</v>
      </c>
      <c r="M37" s="310">
        <v>35200</v>
      </c>
      <c r="N37" s="310">
        <f t="shared" si="24"/>
        <v>36552</v>
      </c>
      <c r="S37" s="310" t="str">
        <f t="shared" si="3"/>
        <v/>
      </c>
      <c r="T37" s="546">
        <f t="shared" si="4"/>
        <v>1</v>
      </c>
      <c r="X37" s="310" t="str">
        <f t="shared" si="5"/>
        <v/>
      </c>
      <c r="Y37" s="546">
        <f t="shared" si="6"/>
        <v>1</v>
      </c>
      <c r="AC37" s="310" t="str">
        <f t="shared" si="7"/>
        <v/>
      </c>
      <c r="AD37" s="546">
        <f t="shared" si="8"/>
        <v>1</v>
      </c>
      <c r="AH37" s="310" t="str">
        <f t="shared" si="9"/>
        <v/>
      </c>
      <c r="AI37" s="546">
        <f t="shared" si="10"/>
        <v>1</v>
      </c>
      <c r="AM37" s="310" t="str">
        <f t="shared" si="11"/>
        <v/>
      </c>
      <c r="AN37" s="546">
        <f t="shared" si="12"/>
        <v>1</v>
      </c>
      <c r="AR37" s="310" t="str">
        <f t="shared" si="13"/>
        <v/>
      </c>
      <c r="AS37" s="546">
        <f t="shared" si="14"/>
        <v>1</v>
      </c>
      <c r="AW37" s="310" t="str">
        <f t="shared" si="15"/>
        <v/>
      </c>
      <c r="AX37" s="546">
        <f t="shared" si="16"/>
        <v>1</v>
      </c>
      <c r="BB37" s="310" t="str">
        <f t="shared" si="17"/>
        <v/>
      </c>
      <c r="BC37" s="546">
        <f t="shared" si="18"/>
        <v>1</v>
      </c>
      <c r="BG37" s="310" t="str">
        <f t="shared" si="19"/>
        <v/>
      </c>
      <c r="BH37" s="546">
        <f t="shared" si="20"/>
        <v>1</v>
      </c>
      <c r="BL37" s="310" t="str">
        <f t="shared" si="21"/>
        <v/>
      </c>
    </row>
    <row r="38" spans="5:64">
      <c r="E38" s="546">
        <f t="shared" si="0"/>
        <v>43466</v>
      </c>
      <c r="F38" s="2">
        <v>43473</v>
      </c>
      <c r="G38" t="s">
        <v>888</v>
      </c>
      <c r="H38" s="310">
        <v>-800</v>
      </c>
      <c r="I38" s="310">
        <f t="shared" si="23"/>
        <v>9062.9500000000007</v>
      </c>
      <c r="J38" s="546">
        <f t="shared" si="1"/>
        <v>43497</v>
      </c>
      <c r="K38" s="2">
        <v>43502</v>
      </c>
      <c r="L38" t="s">
        <v>887</v>
      </c>
      <c r="M38" s="310">
        <v>-2200</v>
      </c>
      <c r="N38" s="310">
        <f t="shared" si="24"/>
        <v>34352</v>
      </c>
      <c r="S38" s="310" t="str">
        <f t="shared" si="3"/>
        <v/>
      </c>
      <c r="T38" s="546">
        <f t="shared" si="4"/>
        <v>1</v>
      </c>
      <c r="X38" s="310" t="str">
        <f t="shared" si="5"/>
        <v/>
      </c>
      <c r="Y38" s="546">
        <f t="shared" si="6"/>
        <v>1</v>
      </c>
      <c r="AC38" s="310" t="str">
        <f t="shared" si="7"/>
        <v/>
      </c>
      <c r="AD38" s="546">
        <f t="shared" si="8"/>
        <v>1</v>
      </c>
      <c r="AH38" s="310" t="str">
        <f t="shared" si="9"/>
        <v/>
      </c>
      <c r="AI38" s="546">
        <f t="shared" si="10"/>
        <v>1</v>
      </c>
      <c r="AM38" s="310" t="str">
        <f t="shared" si="11"/>
        <v/>
      </c>
      <c r="AN38" s="546">
        <f t="shared" si="12"/>
        <v>1</v>
      </c>
      <c r="AR38" s="310" t="str">
        <f t="shared" si="13"/>
        <v/>
      </c>
      <c r="AS38" s="546">
        <f t="shared" si="14"/>
        <v>1</v>
      </c>
      <c r="AW38" s="310" t="str">
        <f t="shared" si="15"/>
        <v/>
      </c>
      <c r="AX38" s="546">
        <f t="shared" si="16"/>
        <v>1</v>
      </c>
      <c r="BB38" s="310" t="str">
        <f t="shared" si="17"/>
        <v/>
      </c>
      <c r="BC38" s="546">
        <f t="shared" si="18"/>
        <v>1</v>
      </c>
      <c r="BG38" s="310" t="str">
        <f t="shared" si="19"/>
        <v/>
      </c>
      <c r="BH38" s="546">
        <f t="shared" si="20"/>
        <v>1</v>
      </c>
      <c r="BL38" s="310" t="str">
        <f t="shared" si="21"/>
        <v/>
      </c>
    </row>
    <row r="39" spans="5:64">
      <c r="E39" s="546">
        <f t="shared" si="0"/>
        <v>43466</v>
      </c>
      <c r="F39" s="2">
        <v>43481</v>
      </c>
      <c r="G39" t="s">
        <v>887</v>
      </c>
      <c r="H39" s="310">
        <v>-2200</v>
      </c>
      <c r="I39" s="310">
        <f t="shared" si="23"/>
        <v>6862.95</v>
      </c>
      <c r="J39" s="546">
        <f t="shared" si="1"/>
        <v>43497</v>
      </c>
      <c r="K39" s="2">
        <v>43502</v>
      </c>
      <c r="L39" t="s">
        <v>898</v>
      </c>
      <c r="M39" s="310">
        <v>-3000</v>
      </c>
      <c r="N39" s="310">
        <f t="shared" si="24"/>
        <v>31352</v>
      </c>
      <c r="S39" s="310" t="str">
        <f t="shared" si="3"/>
        <v/>
      </c>
      <c r="T39" s="546">
        <f t="shared" si="4"/>
        <v>1</v>
      </c>
      <c r="X39" s="310" t="str">
        <f t="shared" si="5"/>
        <v/>
      </c>
      <c r="Y39" s="546">
        <f t="shared" si="6"/>
        <v>1</v>
      </c>
      <c r="AC39" s="310" t="str">
        <f t="shared" si="7"/>
        <v/>
      </c>
      <c r="AD39" s="546">
        <f t="shared" si="8"/>
        <v>1</v>
      </c>
      <c r="AH39" s="310" t="str">
        <f t="shared" si="9"/>
        <v/>
      </c>
      <c r="AI39" s="546">
        <f t="shared" si="10"/>
        <v>1</v>
      </c>
      <c r="AM39" s="310" t="str">
        <f t="shared" si="11"/>
        <v/>
      </c>
      <c r="AN39" s="546">
        <f t="shared" si="12"/>
        <v>1</v>
      </c>
      <c r="AR39" s="310" t="str">
        <f t="shared" si="13"/>
        <v/>
      </c>
      <c r="AS39" s="546">
        <f t="shared" si="14"/>
        <v>1</v>
      </c>
      <c r="AW39" s="310" t="str">
        <f t="shared" si="15"/>
        <v/>
      </c>
      <c r="AX39" s="546">
        <f t="shared" si="16"/>
        <v>1</v>
      </c>
      <c r="BB39" s="310" t="str">
        <f t="shared" si="17"/>
        <v/>
      </c>
      <c r="BC39" s="546">
        <f t="shared" si="18"/>
        <v>1</v>
      </c>
      <c r="BG39" s="310" t="str">
        <f t="shared" si="19"/>
        <v/>
      </c>
      <c r="BH39" s="546">
        <f t="shared" si="20"/>
        <v>1</v>
      </c>
      <c r="BL39" s="310" t="str">
        <f t="shared" si="21"/>
        <v/>
      </c>
    </row>
    <row r="40" spans="5:64">
      <c r="E40" s="546">
        <f t="shared" si="0"/>
        <v>43497</v>
      </c>
      <c r="F40" s="2">
        <v>43509</v>
      </c>
      <c r="G40" t="s">
        <v>898</v>
      </c>
      <c r="H40" s="310">
        <v>-3000</v>
      </c>
      <c r="I40" s="310">
        <f t="shared" si="23"/>
        <v>3862.95</v>
      </c>
      <c r="J40" s="546">
        <f t="shared" si="1"/>
        <v>43525</v>
      </c>
      <c r="K40" s="2">
        <v>43536</v>
      </c>
      <c r="L40" t="s">
        <v>910</v>
      </c>
      <c r="M40" s="310">
        <v>-3000</v>
      </c>
      <c r="N40" s="310">
        <f t="shared" si="24"/>
        <v>28352</v>
      </c>
      <c r="S40" s="310" t="str">
        <f t="shared" si="3"/>
        <v/>
      </c>
      <c r="T40" s="546">
        <f t="shared" si="4"/>
        <v>1</v>
      </c>
      <c r="X40" s="310" t="str">
        <f t="shared" si="5"/>
        <v/>
      </c>
      <c r="Y40" s="546">
        <f t="shared" si="6"/>
        <v>1</v>
      </c>
      <c r="AC40" s="310" t="str">
        <f t="shared" si="7"/>
        <v/>
      </c>
      <c r="AD40" s="546">
        <f t="shared" si="8"/>
        <v>1</v>
      </c>
      <c r="AH40" s="310" t="str">
        <f t="shared" si="9"/>
        <v/>
      </c>
      <c r="AI40" s="546">
        <f t="shared" si="10"/>
        <v>1</v>
      </c>
      <c r="AM40" s="310" t="str">
        <f t="shared" si="11"/>
        <v/>
      </c>
      <c r="AN40" s="546">
        <f t="shared" si="12"/>
        <v>1</v>
      </c>
      <c r="AR40" s="310" t="str">
        <f t="shared" si="13"/>
        <v/>
      </c>
      <c r="AS40" s="546">
        <f t="shared" si="14"/>
        <v>1</v>
      </c>
      <c r="AW40" s="310" t="str">
        <f t="shared" si="15"/>
        <v/>
      </c>
      <c r="AX40" s="546">
        <f t="shared" si="16"/>
        <v>1</v>
      </c>
      <c r="BB40" s="310" t="str">
        <f t="shared" si="17"/>
        <v/>
      </c>
      <c r="BC40" s="546">
        <f t="shared" si="18"/>
        <v>1</v>
      </c>
      <c r="BG40" s="310" t="str">
        <f t="shared" si="19"/>
        <v/>
      </c>
      <c r="BH40" s="546">
        <f t="shared" si="20"/>
        <v>1</v>
      </c>
      <c r="BL40" s="310" t="str">
        <f t="shared" si="21"/>
        <v/>
      </c>
    </row>
    <row r="41" spans="5:64">
      <c r="E41" s="546">
        <f t="shared" si="0"/>
        <v>43525</v>
      </c>
      <c r="F41" s="2">
        <v>43536</v>
      </c>
      <c r="G41" t="s">
        <v>910</v>
      </c>
      <c r="H41" s="310">
        <v>-3000</v>
      </c>
      <c r="I41" s="310">
        <f t="shared" si="23"/>
        <v>862.95</v>
      </c>
      <c r="J41" s="546">
        <f t="shared" si="1"/>
        <v>43556</v>
      </c>
      <c r="K41" s="2">
        <v>43571</v>
      </c>
      <c r="L41" t="s">
        <v>918</v>
      </c>
      <c r="M41" s="310">
        <v>-5000</v>
      </c>
      <c r="N41" s="310">
        <f t="shared" si="24"/>
        <v>23352</v>
      </c>
      <c r="S41" s="310" t="str">
        <f t="shared" si="3"/>
        <v/>
      </c>
      <c r="T41" s="546">
        <f t="shared" si="4"/>
        <v>1</v>
      </c>
      <c r="X41" s="310" t="str">
        <f t="shared" si="5"/>
        <v/>
      </c>
      <c r="Y41" s="546">
        <f t="shared" si="6"/>
        <v>1</v>
      </c>
      <c r="AC41" s="310" t="str">
        <f t="shared" si="7"/>
        <v/>
      </c>
      <c r="AD41" s="546">
        <f t="shared" si="8"/>
        <v>1</v>
      </c>
      <c r="AH41" s="310" t="str">
        <f t="shared" si="9"/>
        <v/>
      </c>
      <c r="AI41" s="546">
        <f t="shared" si="10"/>
        <v>1</v>
      </c>
      <c r="AM41" s="310" t="str">
        <f t="shared" si="11"/>
        <v/>
      </c>
      <c r="AN41" s="546">
        <f t="shared" si="12"/>
        <v>1</v>
      </c>
      <c r="AR41" s="310" t="str">
        <f t="shared" si="13"/>
        <v/>
      </c>
      <c r="AS41" s="546">
        <f t="shared" si="14"/>
        <v>1</v>
      </c>
      <c r="AW41" s="310" t="str">
        <f t="shared" si="15"/>
        <v/>
      </c>
      <c r="AX41" s="546">
        <f t="shared" si="16"/>
        <v>1</v>
      </c>
      <c r="BB41" s="310" t="str">
        <f t="shared" si="17"/>
        <v/>
      </c>
      <c r="BC41" s="546">
        <f t="shared" si="18"/>
        <v>1</v>
      </c>
      <c r="BG41" s="310" t="str">
        <f t="shared" si="19"/>
        <v/>
      </c>
      <c r="BH41" s="546">
        <f t="shared" si="20"/>
        <v>1</v>
      </c>
      <c r="BL41" s="310" t="str">
        <f t="shared" si="21"/>
        <v/>
      </c>
    </row>
    <row r="42" spans="5:64">
      <c r="E42" s="546">
        <f t="shared" si="0"/>
        <v>43556</v>
      </c>
      <c r="F42" s="2">
        <v>43571</v>
      </c>
      <c r="G42" t="s">
        <v>1344</v>
      </c>
      <c r="H42" s="310">
        <v>100000</v>
      </c>
      <c r="I42" s="310">
        <f t="shared" si="23"/>
        <v>100862.95</v>
      </c>
      <c r="J42" s="546">
        <f t="shared" si="1"/>
        <v>43586</v>
      </c>
      <c r="K42" s="2">
        <v>43598</v>
      </c>
      <c r="L42" t="s">
        <v>971</v>
      </c>
      <c r="M42" s="310">
        <v>-8000</v>
      </c>
      <c r="N42" s="310">
        <f t="shared" si="24"/>
        <v>15352</v>
      </c>
      <c r="S42" s="310" t="str">
        <f t="shared" si="3"/>
        <v/>
      </c>
      <c r="T42" s="546">
        <f t="shared" si="4"/>
        <v>1</v>
      </c>
      <c r="X42" s="310" t="str">
        <f t="shared" si="5"/>
        <v/>
      </c>
      <c r="Y42" s="546">
        <f t="shared" si="6"/>
        <v>1</v>
      </c>
      <c r="AC42" s="310" t="str">
        <f t="shared" si="7"/>
        <v/>
      </c>
      <c r="AD42" s="546">
        <f t="shared" si="8"/>
        <v>1</v>
      </c>
      <c r="AH42" s="310" t="str">
        <f t="shared" si="9"/>
        <v/>
      </c>
      <c r="AI42" s="546">
        <f t="shared" si="10"/>
        <v>1</v>
      </c>
      <c r="AM42" s="310" t="str">
        <f t="shared" si="11"/>
        <v/>
      </c>
      <c r="AN42" s="546">
        <f t="shared" si="12"/>
        <v>1</v>
      </c>
      <c r="AR42" s="310" t="str">
        <f t="shared" si="13"/>
        <v/>
      </c>
      <c r="AS42" s="546">
        <f t="shared" si="14"/>
        <v>1</v>
      </c>
      <c r="AW42" s="310" t="str">
        <f t="shared" si="15"/>
        <v/>
      </c>
      <c r="AX42" s="546">
        <f t="shared" si="16"/>
        <v>1</v>
      </c>
      <c r="BB42" s="310" t="str">
        <f t="shared" si="17"/>
        <v/>
      </c>
      <c r="BC42" s="546">
        <f t="shared" si="18"/>
        <v>1</v>
      </c>
      <c r="BG42" s="310" t="str">
        <f t="shared" si="19"/>
        <v/>
      </c>
      <c r="BH42" s="546">
        <f t="shared" si="20"/>
        <v>1</v>
      </c>
      <c r="BL42" s="310" t="str">
        <f t="shared" si="21"/>
        <v/>
      </c>
    </row>
    <row r="43" spans="5:64">
      <c r="E43" s="546">
        <f t="shared" si="0"/>
        <v>43556</v>
      </c>
      <c r="F43" s="2">
        <v>43571</v>
      </c>
      <c r="G43" t="s">
        <v>918</v>
      </c>
      <c r="H43" s="310">
        <v>-5000</v>
      </c>
      <c r="I43" s="310">
        <f t="shared" si="23"/>
        <v>95862.95</v>
      </c>
      <c r="J43" s="546">
        <f t="shared" si="1"/>
        <v>43617</v>
      </c>
      <c r="K43" s="2">
        <v>43623</v>
      </c>
      <c r="L43" t="s">
        <v>987</v>
      </c>
      <c r="M43" s="310">
        <v>-8000</v>
      </c>
      <c r="N43" s="310">
        <f t="shared" si="24"/>
        <v>7352</v>
      </c>
      <c r="S43" s="310" t="str">
        <f t="shared" si="3"/>
        <v/>
      </c>
      <c r="T43" s="546">
        <f t="shared" si="4"/>
        <v>1</v>
      </c>
      <c r="X43" s="310" t="str">
        <f t="shared" si="5"/>
        <v/>
      </c>
      <c r="Y43" s="546">
        <f t="shared" si="6"/>
        <v>1</v>
      </c>
      <c r="AC43" s="310" t="str">
        <f t="shared" si="7"/>
        <v/>
      </c>
      <c r="AD43" s="546">
        <f t="shared" si="8"/>
        <v>1</v>
      </c>
      <c r="AH43" s="310" t="str">
        <f t="shared" si="9"/>
        <v/>
      </c>
      <c r="AI43" s="546">
        <f t="shared" si="10"/>
        <v>1</v>
      </c>
      <c r="AM43" s="310" t="str">
        <f t="shared" si="11"/>
        <v/>
      </c>
      <c r="AN43" s="546">
        <f t="shared" si="12"/>
        <v>1</v>
      </c>
      <c r="AR43" s="310" t="str">
        <f t="shared" si="13"/>
        <v/>
      </c>
      <c r="AS43" s="546">
        <f t="shared" si="14"/>
        <v>1</v>
      </c>
      <c r="AW43" s="310" t="str">
        <f t="shared" si="15"/>
        <v/>
      </c>
      <c r="AX43" s="546">
        <f t="shared" si="16"/>
        <v>1</v>
      </c>
      <c r="BB43" s="310" t="str">
        <f t="shared" si="17"/>
        <v/>
      </c>
      <c r="BC43" s="546">
        <f t="shared" si="18"/>
        <v>1</v>
      </c>
      <c r="BG43" s="310" t="str">
        <f t="shared" si="19"/>
        <v/>
      </c>
      <c r="BH43" s="546">
        <f t="shared" si="20"/>
        <v>1</v>
      </c>
      <c r="BL43" s="310" t="str">
        <f t="shared" si="21"/>
        <v/>
      </c>
    </row>
    <row r="44" spans="5:64">
      <c r="E44" s="546">
        <f t="shared" si="0"/>
        <v>43586</v>
      </c>
      <c r="F44" s="2">
        <v>43598</v>
      </c>
      <c r="G44" t="s">
        <v>971</v>
      </c>
      <c r="H44" s="310">
        <v>-8000</v>
      </c>
      <c r="I44" s="310">
        <f t="shared" si="23"/>
        <v>87862.95</v>
      </c>
      <c r="J44" s="546">
        <f t="shared" si="1"/>
        <v>43678</v>
      </c>
      <c r="K44" s="2">
        <v>43683</v>
      </c>
      <c r="L44" t="s">
        <v>1345</v>
      </c>
      <c r="M44" s="310">
        <v>100000</v>
      </c>
      <c r="N44" s="310">
        <f t="shared" si="24"/>
        <v>107352</v>
      </c>
      <c r="S44" s="310" t="str">
        <f t="shared" si="3"/>
        <v/>
      </c>
      <c r="T44" s="546">
        <f t="shared" si="4"/>
        <v>1</v>
      </c>
      <c r="X44" s="310" t="str">
        <f t="shared" si="5"/>
        <v/>
      </c>
      <c r="Y44" s="546">
        <f t="shared" si="6"/>
        <v>1</v>
      </c>
      <c r="AC44" s="310" t="str">
        <f t="shared" si="7"/>
        <v/>
      </c>
      <c r="AD44" s="546">
        <f t="shared" si="8"/>
        <v>1</v>
      </c>
      <c r="AH44" s="310" t="str">
        <f t="shared" si="9"/>
        <v/>
      </c>
      <c r="AI44" s="546">
        <f t="shared" si="10"/>
        <v>1</v>
      </c>
      <c r="AM44" s="310" t="str">
        <f t="shared" si="11"/>
        <v/>
      </c>
      <c r="AN44" s="546">
        <f t="shared" si="12"/>
        <v>1</v>
      </c>
      <c r="AR44" s="310" t="str">
        <f t="shared" si="13"/>
        <v/>
      </c>
      <c r="AS44" s="546">
        <f t="shared" si="14"/>
        <v>1</v>
      </c>
      <c r="AW44" s="310" t="str">
        <f t="shared" si="15"/>
        <v/>
      </c>
      <c r="AX44" s="546">
        <f t="shared" si="16"/>
        <v>1</v>
      </c>
      <c r="BB44" s="310" t="str">
        <f t="shared" si="17"/>
        <v/>
      </c>
      <c r="BC44" s="546">
        <f t="shared" si="18"/>
        <v>1</v>
      </c>
      <c r="BG44" s="310" t="str">
        <f t="shared" si="19"/>
        <v/>
      </c>
      <c r="BH44" s="546">
        <f t="shared" si="20"/>
        <v>1</v>
      </c>
      <c r="BL44" s="310" t="str">
        <f t="shared" si="21"/>
        <v/>
      </c>
    </row>
    <row r="45" spans="5:64">
      <c r="E45" s="546">
        <f t="shared" si="0"/>
        <v>43617</v>
      </c>
      <c r="F45" s="2">
        <v>43623</v>
      </c>
      <c r="G45" t="s">
        <v>987</v>
      </c>
      <c r="H45" s="310">
        <v>-8000</v>
      </c>
      <c r="I45" s="310">
        <f t="shared" si="23"/>
        <v>79862.95</v>
      </c>
      <c r="J45" s="546">
        <f t="shared" si="1"/>
        <v>43678</v>
      </c>
      <c r="K45" s="2">
        <v>43683</v>
      </c>
      <c r="L45" t="s">
        <v>1026</v>
      </c>
      <c r="M45" s="310">
        <v>-20000</v>
      </c>
      <c r="N45" s="310">
        <f t="shared" si="24"/>
        <v>87352</v>
      </c>
      <c r="S45" s="310" t="str">
        <f t="shared" si="3"/>
        <v/>
      </c>
      <c r="T45" s="546">
        <f t="shared" si="4"/>
        <v>1</v>
      </c>
      <c r="X45" s="310" t="str">
        <f t="shared" si="5"/>
        <v/>
      </c>
      <c r="Y45" s="546">
        <f t="shared" si="6"/>
        <v>1</v>
      </c>
      <c r="AC45" s="310" t="str">
        <f t="shared" si="7"/>
        <v/>
      </c>
      <c r="AD45" s="546">
        <f t="shared" si="8"/>
        <v>1</v>
      </c>
      <c r="AH45" s="310" t="str">
        <f t="shared" si="9"/>
        <v/>
      </c>
      <c r="AI45" s="546">
        <f t="shared" si="10"/>
        <v>1</v>
      </c>
      <c r="AM45" s="310" t="str">
        <f t="shared" si="11"/>
        <v/>
      </c>
      <c r="AN45" s="546">
        <f t="shared" si="12"/>
        <v>1</v>
      </c>
      <c r="AR45" s="310" t="str">
        <f t="shared" si="13"/>
        <v/>
      </c>
      <c r="AS45" s="546">
        <f t="shared" si="14"/>
        <v>1</v>
      </c>
      <c r="AW45" s="310" t="str">
        <f t="shared" si="15"/>
        <v/>
      </c>
      <c r="AX45" s="546">
        <f t="shared" si="16"/>
        <v>1</v>
      </c>
      <c r="BB45" s="310" t="str">
        <f t="shared" si="17"/>
        <v/>
      </c>
      <c r="BC45" s="546">
        <f t="shared" si="18"/>
        <v>1</v>
      </c>
      <c r="BG45" s="310" t="str">
        <f t="shared" si="19"/>
        <v/>
      </c>
      <c r="BH45" s="546">
        <f t="shared" si="20"/>
        <v>1</v>
      </c>
      <c r="BL45" s="310" t="str">
        <f t="shared" si="21"/>
        <v/>
      </c>
    </row>
    <row r="46" spans="5:64">
      <c r="E46" s="546">
        <f t="shared" si="0"/>
        <v>43647</v>
      </c>
      <c r="F46" s="2">
        <v>43656</v>
      </c>
      <c r="G46" t="s">
        <v>1008</v>
      </c>
      <c r="H46" s="310">
        <v>-10000</v>
      </c>
      <c r="I46" s="310">
        <f t="shared" si="23"/>
        <v>69862.95</v>
      </c>
      <c r="J46" s="546">
        <f t="shared" si="1"/>
        <v>43709</v>
      </c>
      <c r="K46" s="2">
        <v>43711</v>
      </c>
      <c r="L46" t="s">
        <v>1036</v>
      </c>
      <c r="M46" s="310">
        <v>-23400</v>
      </c>
      <c r="N46" s="310">
        <f t="shared" si="24"/>
        <v>63952</v>
      </c>
      <c r="S46" s="310" t="str">
        <f t="shared" si="3"/>
        <v/>
      </c>
      <c r="T46" s="546">
        <f t="shared" si="4"/>
        <v>1</v>
      </c>
      <c r="X46" s="310" t="str">
        <f t="shared" si="5"/>
        <v/>
      </c>
      <c r="Y46" s="546">
        <f t="shared" si="6"/>
        <v>1</v>
      </c>
      <c r="AC46" s="310" t="str">
        <f t="shared" si="7"/>
        <v/>
      </c>
      <c r="AD46" s="546">
        <f t="shared" si="8"/>
        <v>1</v>
      </c>
      <c r="AH46" s="310" t="str">
        <f t="shared" si="9"/>
        <v/>
      </c>
      <c r="AI46" s="546">
        <f t="shared" si="10"/>
        <v>1</v>
      </c>
      <c r="AM46" s="310" t="str">
        <f t="shared" si="11"/>
        <v/>
      </c>
      <c r="AN46" s="546">
        <f t="shared" si="12"/>
        <v>1</v>
      </c>
      <c r="AR46" s="310" t="str">
        <f t="shared" si="13"/>
        <v/>
      </c>
      <c r="AS46" s="546">
        <f t="shared" si="14"/>
        <v>1</v>
      </c>
      <c r="AW46" s="310" t="str">
        <f t="shared" si="15"/>
        <v/>
      </c>
      <c r="AX46" s="546">
        <f t="shared" si="16"/>
        <v>1</v>
      </c>
      <c r="BB46" s="310" t="str">
        <f t="shared" si="17"/>
        <v/>
      </c>
      <c r="BC46" s="546">
        <f t="shared" si="18"/>
        <v>1</v>
      </c>
      <c r="BG46" s="310" t="str">
        <f t="shared" si="19"/>
        <v/>
      </c>
      <c r="BH46" s="546">
        <f t="shared" si="20"/>
        <v>1</v>
      </c>
      <c r="BL46" s="310" t="str">
        <f t="shared" si="21"/>
        <v/>
      </c>
    </row>
    <row r="47" spans="5:64">
      <c r="E47" s="546">
        <f t="shared" si="0"/>
        <v>43678</v>
      </c>
      <c r="F47" s="2">
        <v>43682</v>
      </c>
      <c r="G47" t="s">
        <v>1027</v>
      </c>
      <c r="H47" s="310">
        <v>-10000</v>
      </c>
      <c r="I47" s="310">
        <f t="shared" si="23"/>
        <v>59862.95</v>
      </c>
      <c r="J47" s="546">
        <f t="shared" si="1"/>
        <v>43739</v>
      </c>
      <c r="K47" s="2">
        <v>43740</v>
      </c>
      <c r="L47" t="s">
        <v>1061</v>
      </c>
      <c r="M47" s="310">
        <v>-21100</v>
      </c>
      <c r="N47" s="310">
        <f t="shared" si="24"/>
        <v>42852</v>
      </c>
      <c r="S47" s="310" t="str">
        <f t="shared" si="3"/>
        <v/>
      </c>
      <c r="T47" s="546">
        <f t="shared" si="4"/>
        <v>1</v>
      </c>
      <c r="X47" s="310" t="str">
        <f t="shared" si="5"/>
        <v/>
      </c>
      <c r="Y47" s="546">
        <f t="shared" si="6"/>
        <v>1</v>
      </c>
      <c r="AC47" s="310" t="str">
        <f t="shared" si="7"/>
        <v/>
      </c>
      <c r="AD47" s="546">
        <f t="shared" si="8"/>
        <v>1</v>
      </c>
      <c r="AH47" s="310" t="str">
        <f t="shared" si="9"/>
        <v/>
      </c>
      <c r="AI47" s="546">
        <f t="shared" si="10"/>
        <v>1</v>
      </c>
      <c r="AM47" s="310" t="str">
        <f t="shared" si="11"/>
        <v/>
      </c>
      <c r="AN47" s="546">
        <f t="shared" si="12"/>
        <v>1</v>
      </c>
      <c r="AR47" s="310" t="str">
        <f t="shared" si="13"/>
        <v/>
      </c>
      <c r="AS47" s="546">
        <f t="shared" si="14"/>
        <v>1</v>
      </c>
      <c r="AW47" s="310" t="str">
        <f t="shared" si="15"/>
        <v/>
      </c>
      <c r="AX47" s="546">
        <f t="shared" si="16"/>
        <v>1</v>
      </c>
      <c r="BB47" s="310" t="str">
        <f t="shared" si="17"/>
        <v/>
      </c>
      <c r="BC47" s="546">
        <f t="shared" si="18"/>
        <v>1</v>
      </c>
      <c r="BG47" s="310" t="str">
        <f t="shared" si="19"/>
        <v/>
      </c>
      <c r="BH47" s="546">
        <f t="shared" si="20"/>
        <v>1</v>
      </c>
      <c r="BL47" s="310" t="str">
        <f t="shared" si="21"/>
        <v/>
      </c>
    </row>
    <row r="48" spans="5:64">
      <c r="E48" s="546">
        <f t="shared" si="0"/>
        <v>43709</v>
      </c>
      <c r="F48" s="2">
        <v>43711</v>
      </c>
      <c r="G48" t="s">
        <v>1036</v>
      </c>
      <c r="H48" s="310">
        <v>-23400</v>
      </c>
      <c r="I48" s="310">
        <f t="shared" si="23"/>
        <v>36462.949999999997</v>
      </c>
      <c r="J48" s="546">
        <f t="shared" si="1"/>
        <v>43739</v>
      </c>
      <c r="K48" s="2">
        <v>43758</v>
      </c>
      <c r="L48" t="s">
        <v>1066</v>
      </c>
      <c r="M48" s="310">
        <v>-25900</v>
      </c>
      <c r="N48" s="310">
        <f t="shared" si="24"/>
        <v>16952</v>
      </c>
      <c r="S48" s="310" t="str">
        <f t="shared" si="3"/>
        <v/>
      </c>
      <c r="T48" s="546">
        <f t="shared" si="4"/>
        <v>1</v>
      </c>
      <c r="X48" s="310" t="str">
        <f t="shared" si="5"/>
        <v/>
      </c>
      <c r="Y48" s="546">
        <f t="shared" si="6"/>
        <v>1</v>
      </c>
      <c r="AC48" s="310" t="str">
        <f t="shared" si="7"/>
        <v/>
      </c>
      <c r="AD48" s="546">
        <f t="shared" si="8"/>
        <v>1</v>
      </c>
      <c r="AH48" s="310" t="str">
        <f t="shared" si="9"/>
        <v/>
      </c>
      <c r="AI48" s="546">
        <f t="shared" si="10"/>
        <v>1</v>
      </c>
      <c r="AM48" s="310" t="str">
        <f t="shared" si="11"/>
        <v/>
      </c>
      <c r="AN48" s="546">
        <f t="shared" si="12"/>
        <v>1</v>
      </c>
      <c r="AR48" s="310" t="str">
        <f t="shared" si="13"/>
        <v/>
      </c>
      <c r="AS48" s="546">
        <f t="shared" si="14"/>
        <v>1</v>
      </c>
      <c r="AW48" s="310" t="str">
        <f t="shared" si="15"/>
        <v/>
      </c>
      <c r="AX48" s="546">
        <f t="shared" si="16"/>
        <v>1</v>
      </c>
      <c r="BB48" s="310" t="str">
        <f t="shared" si="17"/>
        <v/>
      </c>
      <c r="BC48" s="546">
        <f t="shared" si="18"/>
        <v>1</v>
      </c>
      <c r="BG48" s="310" t="str">
        <f t="shared" si="19"/>
        <v/>
      </c>
      <c r="BH48" s="546">
        <f t="shared" si="20"/>
        <v>1</v>
      </c>
      <c r="BL48" s="310" t="str">
        <f t="shared" si="21"/>
        <v/>
      </c>
    </row>
    <row r="49" spans="5:64">
      <c r="E49" s="546">
        <f t="shared" si="0"/>
        <v>43739</v>
      </c>
      <c r="F49" s="2">
        <v>43740</v>
      </c>
      <c r="G49" t="s">
        <v>1061</v>
      </c>
      <c r="H49" s="310">
        <v>-21100</v>
      </c>
      <c r="I49" s="310">
        <f t="shared" si="23"/>
        <v>15362.95</v>
      </c>
      <c r="J49" s="546">
        <f t="shared" si="1"/>
        <v>43770</v>
      </c>
      <c r="K49" s="2">
        <v>43787</v>
      </c>
      <c r="L49" t="s">
        <v>1346</v>
      </c>
      <c r="M49" s="310">
        <v>100000</v>
      </c>
      <c r="N49" s="310">
        <f t="shared" si="24"/>
        <v>116952</v>
      </c>
      <c r="S49" s="310" t="str">
        <f t="shared" ref="S49:S51" si="25">IF(ISBLANK(R49),"",ROUND(S3+R49,2))</f>
        <v/>
      </c>
      <c r="T49" s="546">
        <f t="shared" si="4"/>
        <v>1</v>
      </c>
      <c r="X49" s="310" t="str">
        <f t="shared" ref="X49:X51" si="26">IF(ISBLANK(W49),"",ROUND(X3+W49,2))</f>
        <v/>
      </c>
      <c r="Y49" s="546">
        <f t="shared" si="6"/>
        <v>1</v>
      </c>
      <c r="AC49" s="310" t="str">
        <f t="shared" ref="AC49:AC51" si="27">IF(ISBLANK(AB49),"",ROUND(AC3+AB49,2))</f>
        <v/>
      </c>
      <c r="AD49" s="546">
        <f t="shared" si="8"/>
        <v>1</v>
      </c>
      <c r="AH49" s="310" t="str">
        <f t="shared" ref="AH49:AH51" si="28">IF(ISBLANK(AG49),"",ROUND(AH3+AG49,2))</f>
        <v/>
      </c>
      <c r="AI49" s="546">
        <f t="shared" si="10"/>
        <v>1</v>
      </c>
      <c r="AM49" s="310" t="str">
        <f t="shared" ref="AM49:AM51" si="29">IF(ISBLANK(AL49),"",ROUND(AM3+AL49,2))</f>
        <v/>
      </c>
      <c r="AN49" s="546">
        <f t="shared" si="12"/>
        <v>1</v>
      </c>
      <c r="AR49" s="310" t="str">
        <f t="shared" ref="AR49:AR51" si="30">IF(ISBLANK(AQ49),"",ROUND(AR3+AQ49,2))</f>
        <v/>
      </c>
      <c r="AS49" s="546">
        <f t="shared" si="14"/>
        <v>1</v>
      </c>
      <c r="AW49" s="310" t="str">
        <f t="shared" ref="AW49:AW51" si="31">IF(ISBLANK(AV49),"",ROUND(AW3+AV49,2))</f>
        <v/>
      </c>
      <c r="AX49" s="546">
        <f t="shared" si="16"/>
        <v>1</v>
      </c>
      <c r="BB49" s="310" t="str">
        <f t="shared" ref="BB49:BB51" si="32">IF(ISBLANK(BA49),"",ROUND(BB3+BA49,2))</f>
        <v/>
      </c>
      <c r="BC49" s="546">
        <f t="shared" si="18"/>
        <v>1</v>
      </c>
      <c r="BG49" s="310" t="str">
        <f t="shared" ref="BG49:BG51" si="33">IF(ISBLANK(BF49),"",ROUND(BG3+BF49,2))</f>
        <v/>
      </c>
      <c r="BH49" s="546">
        <f t="shared" si="20"/>
        <v>1</v>
      </c>
      <c r="BL49" s="310" t="str">
        <f t="shared" ref="BL49:BL51" si="34">IF(ISBLANK(BK49),"",ROUND(BL3+BK49,2))</f>
        <v/>
      </c>
    </row>
    <row r="50" spans="5:64">
      <c r="E50" s="546">
        <f t="shared" si="0"/>
        <v>43770</v>
      </c>
      <c r="F50" s="2">
        <v>43782</v>
      </c>
      <c r="G50" t="s">
        <v>1347</v>
      </c>
      <c r="H50" s="310">
        <v>500000</v>
      </c>
      <c r="I50" s="310">
        <f t="shared" si="23"/>
        <v>515362.95</v>
      </c>
      <c r="J50" s="546">
        <f t="shared" si="1"/>
        <v>43770</v>
      </c>
      <c r="K50" s="2">
        <v>43787</v>
      </c>
      <c r="L50" t="s">
        <v>1085</v>
      </c>
      <c r="M50" s="310">
        <v>-73500</v>
      </c>
      <c r="N50" s="310">
        <f t="shared" si="24"/>
        <v>43452</v>
      </c>
      <c r="S50" s="310" t="str">
        <f t="shared" si="25"/>
        <v/>
      </c>
      <c r="T50" s="546">
        <f t="shared" si="4"/>
        <v>1</v>
      </c>
      <c r="X50" s="310" t="str">
        <f t="shared" si="26"/>
        <v/>
      </c>
      <c r="Y50" s="546">
        <f t="shared" si="6"/>
        <v>1</v>
      </c>
      <c r="AC50" s="310" t="str">
        <f t="shared" si="27"/>
        <v/>
      </c>
      <c r="AD50" s="546">
        <f t="shared" si="8"/>
        <v>1</v>
      </c>
      <c r="AH50" s="310" t="str">
        <f t="shared" si="28"/>
        <v/>
      </c>
      <c r="AI50" s="546">
        <f t="shared" si="10"/>
        <v>1</v>
      </c>
      <c r="AM50" s="310" t="str">
        <f t="shared" si="29"/>
        <v/>
      </c>
      <c r="AN50" s="546">
        <f t="shared" si="12"/>
        <v>1</v>
      </c>
      <c r="AR50" s="310" t="str">
        <f t="shared" si="30"/>
        <v/>
      </c>
      <c r="AS50" s="546">
        <f t="shared" si="14"/>
        <v>1</v>
      </c>
      <c r="AW50" s="310" t="str">
        <f t="shared" si="31"/>
        <v/>
      </c>
      <c r="AX50" s="546">
        <f t="shared" si="16"/>
        <v>1</v>
      </c>
      <c r="BB50" s="310" t="str">
        <f t="shared" si="32"/>
        <v/>
      </c>
      <c r="BC50" s="546">
        <f t="shared" si="18"/>
        <v>1</v>
      </c>
      <c r="BG50" s="310" t="str">
        <f t="shared" si="33"/>
        <v/>
      </c>
      <c r="BH50" s="546">
        <f t="shared" si="20"/>
        <v>1</v>
      </c>
      <c r="BL50" s="310" t="str">
        <f t="shared" si="34"/>
        <v/>
      </c>
    </row>
    <row r="51" spans="5:64">
      <c r="E51" s="546">
        <f t="shared" si="0"/>
        <v>43770</v>
      </c>
      <c r="F51" s="2">
        <v>43782</v>
      </c>
      <c r="G51" t="s">
        <v>1079</v>
      </c>
      <c r="H51" s="310">
        <v>-107900</v>
      </c>
      <c r="I51" s="310">
        <f t="shared" si="23"/>
        <v>407462.95</v>
      </c>
      <c r="J51" s="546">
        <f t="shared" si="1"/>
        <v>43800</v>
      </c>
      <c r="K51" s="2">
        <v>43810</v>
      </c>
      <c r="L51" t="s">
        <v>1348</v>
      </c>
      <c r="M51" s="310">
        <v>200000</v>
      </c>
      <c r="N51" s="310">
        <f t="shared" si="24"/>
        <v>243452</v>
      </c>
      <c r="S51" s="310" t="str">
        <f t="shared" si="25"/>
        <v/>
      </c>
      <c r="T51" s="546">
        <f t="shared" si="4"/>
        <v>1</v>
      </c>
      <c r="X51" s="310" t="str">
        <f t="shared" si="26"/>
        <v/>
      </c>
      <c r="Y51" s="546">
        <f t="shared" si="6"/>
        <v>1</v>
      </c>
      <c r="AC51" s="310" t="str">
        <f t="shared" si="27"/>
        <v/>
      </c>
      <c r="AD51" s="546">
        <f t="shared" si="8"/>
        <v>1</v>
      </c>
      <c r="AH51" s="310" t="str">
        <f t="shared" si="28"/>
        <v/>
      </c>
      <c r="AI51" s="546">
        <f t="shared" si="10"/>
        <v>1</v>
      </c>
      <c r="AM51" s="310" t="str">
        <f t="shared" si="29"/>
        <v/>
      </c>
      <c r="AN51" s="546">
        <f t="shared" si="12"/>
        <v>1</v>
      </c>
      <c r="AR51" s="310" t="str">
        <f t="shared" si="30"/>
        <v/>
      </c>
      <c r="AS51" s="546">
        <f t="shared" si="14"/>
        <v>1</v>
      </c>
      <c r="AW51" s="310" t="str">
        <f t="shared" si="31"/>
        <v/>
      </c>
      <c r="AX51" s="546">
        <f t="shared" si="16"/>
        <v>1</v>
      </c>
      <c r="BB51" s="310" t="str">
        <f t="shared" si="32"/>
        <v/>
      </c>
      <c r="BC51" s="546">
        <f t="shared" si="18"/>
        <v>1</v>
      </c>
      <c r="BG51" s="310" t="str">
        <f t="shared" si="33"/>
        <v/>
      </c>
      <c r="BH51" s="546">
        <f t="shared" si="20"/>
        <v>1</v>
      </c>
      <c r="BL51" s="310" t="str">
        <f t="shared" si="34"/>
        <v/>
      </c>
    </row>
    <row r="52" spans="5:64">
      <c r="E52" s="546">
        <f t="shared" si="0"/>
        <v>43770</v>
      </c>
      <c r="F52" s="2">
        <v>43799</v>
      </c>
      <c r="G52" t="s">
        <v>1101</v>
      </c>
      <c r="H52" s="310">
        <v>-81750</v>
      </c>
      <c r="I52" s="310">
        <f t="shared" si="23"/>
        <v>325712.95</v>
      </c>
      <c r="J52" s="546">
        <f t="shared" si="1"/>
        <v>43800</v>
      </c>
      <c r="K52" s="2">
        <v>43810</v>
      </c>
      <c r="L52" t="s">
        <v>1101</v>
      </c>
      <c r="M52" s="310">
        <v>-105250</v>
      </c>
      <c r="N52" s="310">
        <f t="shared" si="24"/>
        <v>138202</v>
      </c>
      <c r="S52" s="310" t="str">
        <f t="shared" ref="S52:S68" si="35">IF(ISBLANK(R52),"",ROUND(S31+R52,2))</f>
        <v/>
      </c>
      <c r="T52" s="546">
        <f t="shared" si="4"/>
        <v>1</v>
      </c>
      <c r="X52" s="310" t="str">
        <f t="shared" ref="X52:X68" si="36">IF(ISBLANK(W52),"",ROUND(X31+W52,2))</f>
        <v/>
      </c>
      <c r="Y52" s="546">
        <f t="shared" si="6"/>
        <v>1</v>
      </c>
      <c r="AC52" s="310" t="str">
        <f t="shared" ref="AC52:AC68" si="37">IF(ISBLANK(AB52),"",ROUND(AC31+AB52,2))</f>
        <v/>
      </c>
      <c r="AD52" s="546">
        <f t="shared" si="8"/>
        <v>1</v>
      </c>
      <c r="AH52" s="310" t="str">
        <f t="shared" ref="AH52:AH68" si="38">IF(ISBLANK(AG52),"",ROUND(AH31+AG52,2))</f>
        <v/>
      </c>
      <c r="AI52" s="546">
        <f t="shared" si="10"/>
        <v>1</v>
      </c>
      <c r="AM52" s="310" t="str">
        <f t="shared" ref="AM52:AM68" si="39">IF(ISBLANK(AL52),"",ROUND(AM31+AL52,2))</f>
        <v/>
      </c>
      <c r="AN52" s="546">
        <f t="shared" si="12"/>
        <v>1</v>
      </c>
      <c r="AR52" s="310" t="str">
        <f t="shared" ref="AR52:AR68" si="40">IF(ISBLANK(AQ52),"",ROUND(AR31+AQ52,2))</f>
        <v/>
      </c>
      <c r="AS52" s="546">
        <f t="shared" si="14"/>
        <v>1</v>
      </c>
      <c r="AW52" s="310" t="str">
        <f t="shared" ref="AW52:AW68" si="41">IF(ISBLANK(AV52),"",ROUND(AW31+AV52,2))</f>
        <v/>
      </c>
      <c r="AX52" s="546">
        <f t="shared" si="16"/>
        <v>1</v>
      </c>
      <c r="BB52" s="310" t="str">
        <f t="shared" ref="BB52:BB68" si="42">IF(ISBLANK(BA52),"",ROUND(BB31+BA52,2))</f>
        <v/>
      </c>
      <c r="BC52" s="546">
        <f t="shared" si="18"/>
        <v>1</v>
      </c>
      <c r="BG52" s="310" t="str">
        <f t="shared" ref="BG52:BG68" si="43">IF(ISBLANK(BF52),"",ROUND(BG31+BF52,2))</f>
        <v/>
      </c>
      <c r="BH52" s="546">
        <f t="shared" si="20"/>
        <v>1</v>
      </c>
      <c r="BL52" s="310" t="str">
        <f t="shared" ref="BL52:BL68" si="44">IF(ISBLANK(BK52),"",ROUND(BL31+BK52,2))</f>
        <v/>
      </c>
    </row>
    <row r="53" spans="5:64">
      <c r="E53" s="546">
        <f t="shared" si="0"/>
        <v>43831</v>
      </c>
      <c r="F53" s="2">
        <v>43834</v>
      </c>
      <c r="G53" t="s">
        <v>1122</v>
      </c>
      <c r="H53" s="310">
        <v>-136250</v>
      </c>
      <c r="I53" s="310">
        <f t="shared" si="23"/>
        <v>189462.95</v>
      </c>
      <c r="J53" s="546">
        <f t="shared" si="1"/>
        <v>43831</v>
      </c>
      <c r="K53" s="2">
        <v>43834</v>
      </c>
      <c r="L53" t="s">
        <v>1122</v>
      </c>
      <c r="M53" s="310">
        <v>-136250</v>
      </c>
      <c r="N53" s="310">
        <f t="shared" si="24"/>
        <v>1952</v>
      </c>
      <c r="S53" s="310" t="str">
        <f t="shared" si="35"/>
        <v/>
      </c>
      <c r="T53" s="546">
        <f t="shared" si="4"/>
        <v>1</v>
      </c>
      <c r="X53" s="310" t="str">
        <f t="shared" si="36"/>
        <v/>
      </c>
      <c r="Y53" s="546">
        <f t="shared" si="6"/>
        <v>1</v>
      </c>
      <c r="AC53" s="310" t="str">
        <f t="shared" si="37"/>
        <v/>
      </c>
      <c r="AD53" s="546">
        <f t="shared" si="8"/>
        <v>1</v>
      </c>
      <c r="AH53" s="310" t="str">
        <f t="shared" si="38"/>
        <v/>
      </c>
      <c r="AI53" s="546">
        <f t="shared" si="10"/>
        <v>1</v>
      </c>
      <c r="AM53" s="310" t="str">
        <f t="shared" si="39"/>
        <v/>
      </c>
      <c r="AN53" s="546">
        <f t="shared" si="12"/>
        <v>1</v>
      </c>
      <c r="AR53" s="310" t="str">
        <f t="shared" si="40"/>
        <v/>
      </c>
      <c r="AS53" s="546">
        <f t="shared" si="14"/>
        <v>1</v>
      </c>
      <c r="AW53" s="310" t="str">
        <f t="shared" si="41"/>
        <v/>
      </c>
      <c r="AX53" s="546">
        <f t="shared" si="16"/>
        <v>1</v>
      </c>
      <c r="BB53" s="310" t="str">
        <f t="shared" si="42"/>
        <v/>
      </c>
      <c r="BC53" s="546">
        <f t="shared" si="18"/>
        <v>1</v>
      </c>
      <c r="BG53" s="310" t="str">
        <f t="shared" si="43"/>
        <v/>
      </c>
      <c r="BH53" s="546">
        <f t="shared" si="20"/>
        <v>1</v>
      </c>
      <c r="BL53" s="310" t="str">
        <f t="shared" si="44"/>
        <v/>
      </c>
    </row>
    <row r="54" spans="5:64">
      <c r="E54" s="546">
        <f t="shared" si="0"/>
        <v>43862</v>
      </c>
      <c r="F54" s="2">
        <v>43864</v>
      </c>
      <c r="G54" t="s">
        <v>1143</v>
      </c>
      <c r="H54" s="310">
        <v>-136250</v>
      </c>
      <c r="I54" s="310">
        <f t="shared" si="23"/>
        <v>53212.95</v>
      </c>
      <c r="J54" s="546">
        <f t="shared" si="1"/>
        <v>43831</v>
      </c>
      <c r="K54" s="2">
        <v>43839</v>
      </c>
      <c r="L54" t="s">
        <v>1349</v>
      </c>
      <c r="M54" s="310">
        <v>140000</v>
      </c>
      <c r="N54" s="310">
        <f t="shared" si="24"/>
        <v>141952</v>
      </c>
      <c r="S54" s="310" t="str">
        <f t="shared" si="35"/>
        <v/>
      </c>
      <c r="T54" s="546">
        <f t="shared" si="4"/>
        <v>1</v>
      </c>
      <c r="X54" s="310" t="str">
        <f t="shared" si="36"/>
        <v/>
      </c>
      <c r="Y54" s="546">
        <f t="shared" si="6"/>
        <v>1</v>
      </c>
      <c r="AC54" s="310" t="str">
        <f t="shared" si="37"/>
        <v/>
      </c>
      <c r="AD54" s="546">
        <f t="shared" si="8"/>
        <v>1</v>
      </c>
      <c r="AH54" s="310" t="str">
        <f t="shared" si="38"/>
        <v/>
      </c>
      <c r="AI54" s="546">
        <f t="shared" si="10"/>
        <v>1</v>
      </c>
      <c r="AM54" s="310" t="str">
        <f t="shared" si="39"/>
        <v/>
      </c>
      <c r="AN54" s="546">
        <f t="shared" si="12"/>
        <v>1</v>
      </c>
      <c r="AR54" s="310" t="str">
        <f t="shared" si="40"/>
        <v/>
      </c>
      <c r="AS54" s="546">
        <f t="shared" si="14"/>
        <v>1</v>
      </c>
      <c r="AW54" s="310" t="str">
        <f t="shared" si="41"/>
        <v/>
      </c>
      <c r="AX54" s="546">
        <f t="shared" si="16"/>
        <v>1</v>
      </c>
      <c r="BB54" s="310" t="str">
        <f t="shared" si="42"/>
        <v/>
      </c>
      <c r="BC54" s="546">
        <f t="shared" si="18"/>
        <v>1</v>
      </c>
      <c r="BG54" s="310" t="str">
        <f t="shared" si="43"/>
        <v/>
      </c>
      <c r="BH54" s="546">
        <f t="shared" si="20"/>
        <v>1</v>
      </c>
      <c r="BL54" s="310" t="str">
        <f t="shared" si="44"/>
        <v/>
      </c>
    </row>
    <row r="55" spans="5:64">
      <c r="E55" s="546">
        <f t="shared" si="0"/>
        <v>43891</v>
      </c>
      <c r="F55" s="2">
        <v>43900</v>
      </c>
      <c r="G55" t="s">
        <v>1350</v>
      </c>
      <c r="H55" s="310">
        <v>1000000</v>
      </c>
      <c r="I55" s="310">
        <f t="shared" si="23"/>
        <v>1053212.95</v>
      </c>
      <c r="J55" s="546">
        <f t="shared" si="1"/>
        <v>43831</v>
      </c>
      <c r="K55" s="2">
        <v>43839</v>
      </c>
      <c r="L55" t="s">
        <v>1143</v>
      </c>
      <c r="M55" s="310">
        <v>-136250</v>
      </c>
      <c r="N55" s="310">
        <f t="shared" si="24"/>
        <v>5702</v>
      </c>
      <c r="S55" s="310" t="str">
        <f t="shared" si="35"/>
        <v/>
      </c>
      <c r="T55" s="546">
        <f t="shared" si="4"/>
        <v>1</v>
      </c>
      <c r="X55" s="310" t="str">
        <f t="shared" si="36"/>
        <v/>
      </c>
      <c r="Y55" s="546">
        <f t="shared" si="6"/>
        <v>1</v>
      </c>
      <c r="AC55" s="310" t="str">
        <f t="shared" si="37"/>
        <v/>
      </c>
      <c r="AD55" s="546">
        <f t="shared" si="8"/>
        <v>1</v>
      </c>
      <c r="AH55" s="310" t="str">
        <f t="shared" si="38"/>
        <v/>
      </c>
      <c r="AI55" s="546">
        <f t="shared" si="10"/>
        <v>1</v>
      </c>
      <c r="AM55" s="310" t="str">
        <f t="shared" si="39"/>
        <v/>
      </c>
      <c r="AN55" s="546">
        <f t="shared" si="12"/>
        <v>1</v>
      </c>
      <c r="AR55" s="310" t="str">
        <f t="shared" si="40"/>
        <v/>
      </c>
      <c r="AS55" s="546">
        <f t="shared" si="14"/>
        <v>1</v>
      </c>
      <c r="AW55" s="310" t="str">
        <f t="shared" si="41"/>
        <v/>
      </c>
      <c r="AX55" s="546">
        <f t="shared" si="16"/>
        <v>1</v>
      </c>
      <c r="BB55" s="310" t="str">
        <f t="shared" si="42"/>
        <v/>
      </c>
      <c r="BC55" s="546">
        <f t="shared" si="18"/>
        <v>1</v>
      </c>
      <c r="BG55" s="310" t="str">
        <f t="shared" si="43"/>
        <v/>
      </c>
      <c r="BH55" s="546">
        <f t="shared" si="20"/>
        <v>1</v>
      </c>
      <c r="BL55" s="310" t="str">
        <f t="shared" si="44"/>
        <v/>
      </c>
    </row>
    <row r="56" spans="5:64">
      <c r="E56" s="546">
        <f t="shared" si="0"/>
        <v>43891</v>
      </c>
      <c r="F56" s="2">
        <v>43900</v>
      </c>
      <c r="G56" t="s">
        <v>1164</v>
      </c>
      <c r="H56" s="310">
        <v>-185250</v>
      </c>
      <c r="I56" s="310">
        <f t="shared" si="23"/>
        <v>867962.95</v>
      </c>
      <c r="J56" s="546">
        <f t="shared" si="1"/>
        <v>43891</v>
      </c>
      <c r="K56" s="2">
        <v>43896</v>
      </c>
      <c r="L56" t="s">
        <v>1351</v>
      </c>
      <c r="M56" s="310">
        <v>400000</v>
      </c>
      <c r="N56" s="310">
        <f t="shared" si="24"/>
        <v>405702</v>
      </c>
      <c r="S56" s="310" t="str">
        <f t="shared" si="35"/>
        <v/>
      </c>
      <c r="T56" s="546">
        <f t="shared" si="4"/>
        <v>1</v>
      </c>
      <c r="X56" s="310" t="str">
        <f t="shared" si="36"/>
        <v/>
      </c>
      <c r="Y56" s="546">
        <f t="shared" si="6"/>
        <v>1</v>
      </c>
      <c r="AC56" s="310" t="str">
        <f t="shared" si="37"/>
        <v/>
      </c>
      <c r="AD56" s="546">
        <f t="shared" si="8"/>
        <v>1</v>
      </c>
      <c r="AH56" s="310" t="str">
        <f t="shared" si="38"/>
        <v/>
      </c>
      <c r="AI56" s="546">
        <f t="shared" si="10"/>
        <v>1</v>
      </c>
      <c r="AM56" s="310" t="str">
        <f t="shared" si="39"/>
        <v/>
      </c>
      <c r="AN56" s="546">
        <f t="shared" si="12"/>
        <v>1</v>
      </c>
      <c r="AR56" s="310" t="str">
        <f t="shared" si="40"/>
        <v/>
      </c>
      <c r="AS56" s="546">
        <f t="shared" si="14"/>
        <v>1</v>
      </c>
      <c r="AW56" s="310" t="str">
        <f t="shared" si="41"/>
        <v/>
      </c>
      <c r="AX56" s="546">
        <f t="shared" si="16"/>
        <v>1</v>
      </c>
      <c r="BB56" s="310" t="str">
        <f t="shared" si="42"/>
        <v/>
      </c>
      <c r="BC56" s="546">
        <f t="shared" si="18"/>
        <v>1</v>
      </c>
      <c r="BG56" s="310" t="str">
        <f t="shared" si="43"/>
        <v/>
      </c>
      <c r="BH56" s="546">
        <f t="shared" si="20"/>
        <v>1</v>
      </c>
      <c r="BL56" s="310" t="str">
        <f t="shared" si="44"/>
        <v/>
      </c>
    </row>
    <row r="57" spans="5:64">
      <c r="E57" s="546">
        <f t="shared" si="0"/>
        <v>43922</v>
      </c>
      <c r="F57" s="2">
        <v>43922</v>
      </c>
      <c r="G57" t="s">
        <v>1176</v>
      </c>
      <c r="H57" s="310">
        <v>-185250</v>
      </c>
      <c r="I57" s="310">
        <f t="shared" si="23"/>
        <v>682712.95</v>
      </c>
      <c r="J57" s="546">
        <f t="shared" si="1"/>
        <v>43891</v>
      </c>
      <c r="K57" s="2">
        <v>43896</v>
      </c>
      <c r="L57" t="s">
        <v>1164</v>
      </c>
      <c r="M57" s="310">
        <v>-185250</v>
      </c>
      <c r="N57" s="310">
        <f t="shared" si="24"/>
        <v>220452</v>
      </c>
      <c r="S57" s="310" t="str">
        <f t="shared" si="35"/>
        <v/>
      </c>
      <c r="T57" s="546">
        <f t="shared" si="4"/>
        <v>1</v>
      </c>
      <c r="X57" s="310" t="str">
        <f t="shared" si="36"/>
        <v/>
      </c>
      <c r="Y57" s="546">
        <f t="shared" si="6"/>
        <v>1</v>
      </c>
      <c r="AC57" s="310" t="str">
        <f t="shared" si="37"/>
        <v/>
      </c>
      <c r="AD57" s="546">
        <f t="shared" si="8"/>
        <v>1</v>
      </c>
      <c r="AH57" s="310" t="str">
        <f t="shared" si="38"/>
        <v/>
      </c>
      <c r="AI57" s="546">
        <f t="shared" si="10"/>
        <v>1</v>
      </c>
      <c r="AM57" s="310" t="str">
        <f t="shared" si="39"/>
        <v/>
      </c>
      <c r="AN57" s="546">
        <f t="shared" si="12"/>
        <v>1</v>
      </c>
      <c r="AR57" s="310" t="str">
        <f t="shared" si="40"/>
        <v/>
      </c>
      <c r="AS57" s="546">
        <f t="shared" si="14"/>
        <v>1</v>
      </c>
      <c r="AW57" s="310" t="str">
        <f t="shared" si="41"/>
        <v/>
      </c>
      <c r="AX57" s="546">
        <f t="shared" si="16"/>
        <v>1</v>
      </c>
      <c r="BB57" s="310" t="str">
        <f t="shared" si="42"/>
        <v/>
      </c>
      <c r="BC57" s="546">
        <f t="shared" si="18"/>
        <v>1</v>
      </c>
      <c r="BG57" s="310" t="str">
        <f t="shared" si="43"/>
        <v/>
      </c>
      <c r="BH57" s="546">
        <f t="shared" si="20"/>
        <v>1</v>
      </c>
      <c r="BL57" s="310" t="str">
        <f t="shared" si="44"/>
        <v/>
      </c>
    </row>
    <row r="58" spans="5:64">
      <c r="E58" s="546">
        <f t="shared" si="0"/>
        <v>43952</v>
      </c>
      <c r="F58" s="2">
        <v>43952</v>
      </c>
      <c r="G58" t="s">
        <v>1211</v>
      </c>
      <c r="H58" s="310">
        <v>-250000</v>
      </c>
      <c r="I58" s="310">
        <f t="shared" si="23"/>
        <v>432712.95</v>
      </c>
      <c r="J58" s="546">
        <f t="shared" si="1"/>
        <v>43922</v>
      </c>
      <c r="K58" s="2">
        <v>43922</v>
      </c>
      <c r="L58" t="s">
        <v>1176</v>
      </c>
      <c r="M58" s="310">
        <v>-185250</v>
      </c>
      <c r="N58" s="310">
        <f t="shared" si="24"/>
        <v>35202</v>
      </c>
      <c r="S58" s="310" t="str">
        <f t="shared" si="35"/>
        <v/>
      </c>
      <c r="T58" s="546">
        <f t="shared" si="4"/>
        <v>1</v>
      </c>
      <c r="X58" s="310" t="str">
        <f t="shared" si="36"/>
        <v/>
      </c>
      <c r="Y58" s="546">
        <f t="shared" si="6"/>
        <v>1</v>
      </c>
      <c r="AC58" s="310" t="str">
        <f t="shared" si="37"/>
        <v/>
      </c>
      <c r="AD58" s="546">
        <f t="shared" si="8"/>
        <v>1</v>
      </c>
      <c r="AH58" s="310" t="str">
        <f t="shared" si="38"/>
        <v/>
      </c>
      <c r="AI58" s="546">
        <f t="shared" si="10"/>
        <v>1</v>
      </c>
      <c r="AM58" s="310" t="str">
        <f t="shared" si="39"/>
        <v/>
      </c>
      <c r="AN58" s="546">
        <f t="shared" si="12"/>
        <v>1</v>
      </c>
      <c r="AR58" s="310" t="str">
        <f t="shared" si="40"/>
        <v/>
      </c>
      <c r="AS58" s="546">
        <f t="shared" si="14"/>
        <v>1</v>
      </c>
      <c r="AW58" s="310" t="str">
        <f t="shared" si="41"/>
        <v/>
      </c>
      <c r="AX58" s="546">
        <f t="shared" si="16"/>
        <v>1</v>
      </c>
      <c r="BB58" s="310" t="str">
        <f t="shared" si="42"/>
        <v/>
      </c>
      <c r="BC58" s="546">
        <f t="shared" si="18"/>
        <v>1</v>
      </c>
      <c r="BG58" s="310" t="str">
        <f t="shared" si="43"/>
        <v/>
      </c>
      <c r="BH58" s="546">
        <f t="shared" si="20"/>
        <v>1</v>
      </c>
      <c r="BL58" s="310" t="str">
        <f t="shared" si="44"/>
        <v/>
      </c>
    </row>
    <row r="59" spans="5:64">
      <c r="E59" s="546">
        <f t="shared" si="0"/>
        <v>43952</v>
      </c>
      <c r="F59" s="2">
        <v>43961</v>
      </c>
      <c r="G59" t="s">
        <v>1217</v>
      </c>
      <c r="H59" s="310">
        <v>-50000</v>
      </c>
      <c r="I59" s="310">
        <f t="shared" si="23"/>
        <v>382712.95</v>
      </c>
      <c r="J59" s="546">
        <f t="shared" si="1"/>
        <v>43952</v>
      </c>
      <c r="K59" s="2">
        <v>43970</v>
      </c>
      <c r="L59" t="s">
        <v>1352</v>
      </c>
      <c r="M59" s="310">
        <v>500000</v>
      </c>
      <c r="N59" s="310">
        <f t="shared" si="24"/>
        <v>535202</v>
      </c>
      <c r="S59" s="310" t="str">
        <f t="shared" si="35"/>
        <v/>
      </c>
      <c r="T59" s="546">
        <f t="shared" si="4"/>
        <v>1</v>
      </c>
      <c r="X59" s="310" t="str">
        <f t="shared" si="36"/>
        <v/>
      </c>
      <c r="Y59" s="546">
        <f t="shared" si="6"/>
        <v>1</v>
      </c>
      <c r="AC59" s="310" t="str">
        <f t="shared" si="37"/>
        <v/>
      </c>
      <c r="AD59" s="546">
        <f t="shared" si="8"/>
        <v>1</v>
      </c>
      <c r="AH59" s="310" t="str">
        <f t="shared" si="38"/>
        <v/>
      </c>
      <c r="AI59" s="546">
        <f t="shared" si="10"/>
        <v>1</v>
      </c>
      <c r="AM59" s="310" t="str">
        <f t="shared" si="39"/>
        <v/>
      </c>
      <c r="AN59" s="546">
        <f t="shared" si="12"/>
        <v>1</v>
      </c>
      <c r="AR59" s="310" t="str">
        <f t="shared" si="40"/>
        <v/>
      </c>
      <c r="AS59" s="546">
        <f t="shared" si="14"/>
        <v>1</v>
      </c>
      <c r="AW59" s="310" t="str">
        <f t="shared" si="41"/>
        <v/>
      </c>
      <c r="AX59" s="546">
        <f t="shared" si="16"/>
        <v>1</v>
      </c>
      <c r="BB59" s="310" t="str">
        <f t="shared" si="42"/>
        <v/>
      </c>
      <c r="BC59" s="546">
        <f t="shared" si="18"/>
        <v>1</v>
      </c>
      <c r="BG59" s="310" t="str">
        <f t="shared" si="43"/>
        <v/>
      </c>
      <c r="BH59" s="546">
        <f t="shared" si="20"/>
        <v>1</v>
      </c>
      <c r="BL59" s="310" t="str">
        <f t="shared" si="44"/>
        <v/>
      </c>
    </row>
    <row r="60" spans="5:64">
      <c r="E60" s="546">
        <f t="shared" si="0"/>
        <v>43983</v>
      </c>
      <c r="F60" s="2">
        <v>43983</v>
      </c>
      <c r="G60" t="s">
        <v>1211</v>
      </c>
      <c r="H60" s="310">
        <v>-250000</v>
      </c>
      <c r="I60" s="310">
        <f t="shared" si="23"/>
        <v>132712.95000000001</v>
      </c>
      <c r="J60" s="546">
        <f t="shared" si="1"/>
        <v>43952</v>
      </c>
      <c r="K60" s="2">
        <v>43970</v>
      </c>
      <c r="L60" s="6" t="s">
        <v>1211</v>
      </c>
      <c r="M60" s="310">
        <v>-250000</v>
      </c>
      <c r="N60" s="310">
        <f t="shared" si="24"/>
        <v>285202</v>
      </c>
      <c r="S60" s="310" t="str">
        <f t="shared" si="35"/>
        <v/>
      </c>
      <c r="T60" s="546">
        <f t="shared" si="4"/>
        <v>1</v>
      </c>
      <c r="X60" s="310" t="str">
        <f t="shared" si="36"/>
        <v/>
      </c>
      <c r="Y60" s="546">
        <f t="shared" si="6"/>
        <v>1</v>
      </c>
      <c r="AC60" s="310" t="str">
        <f t="shared" si="37"/>
        <v/>
      </c>
      <c r="AD60" s="546">
        <f t="shared" si="8"/>
        <v>1</v>
      </c>
      <c r="AH60" s="310" t="str">
        <f t="shared" si="38"/>
        <v/>
      </c>
      <c r="AI60" s="546">
        <f t="shared" si="10"/>
        <v>1</v>
      </c>
      <c r="AM60" s="310" t="str">
        <f t="shared" si="39"/>
        <v/>
      </c>
      <c r="AN60" s="546">
        <f t="shared" si="12"/>
        <v>1</v>
      </c>
      <c r="AR60" s="310" t="str">
        <f t="shared" si="40"/>
        <v/>
      </c>
      <c r="AS60" s="546">
        <f t="shared" si="14"/>
        <v>1</v>
      </c>
      <c r="AW60" s="310" t="str">
        <f t="shared" si="41"/>
        <v/>
      </c>
      <c r="AX60" s="546">
        <f t="shared" si="16"/>
        <v>1</v>
      </c>
      <c r="BB60" s="310" t="str">
        <f t="shared" si="42"/>
        <v/>
      </c>
      <c r="BC60" s="546">
        <f t="shared" si="18"/>
        <v>1</v>
      </c>
      <c r="BG60" s="310" t="str">
        <f t="shared" si="43"/>
        <v/>
      </c>
      <c r="BH60" s="546">
        <f t="shared" si="20"/>
        <v>1</v>
      </c>
      <c r="BL60" s="310" t="str">
        <f t="shared" si="44"/>
        <v/>
      </c>
    </row>
    <row r="61" spans="5:64">
      <c r="E61" s="546">
        <f t="shared" si="0"/>
        <v>1</v>
      </c>
      <c r="I61" s="310" t="str">
        <f t="shared" si="23"/>
        <v/>
      </c>
      <c r="J61" s="546">
        <f t="shared" si="1"/>
        <v>43952</v>
      </c>
      <c r="K61" s="2">
        <v>43970</v>
      </c>
      <c r="L61" s="6" t="s">
        <v>1217</v>
      </c>
      <c r="M61" s="310">
        <v>-50000</v>
      </c>
      <c r="N61" s="310">
        <f t="shared" si="24"/>
        <v>235202</v>
      </c>
      <c r="S61" s="310" t="str">
        <f t="shared" si="35"/>
        <v/>
      </c>
      <c r="T61" s="546">
        <f t="shared" si="4"/>
        <v>1</v>
      </c>
      <c r="X61" s="310" t="str">
        <f t="shared" si="36"/>
        <v/>
      </c>
      <c r="Y61" s="546">
        <f t="shared" si="6"/>
        <v>1</v>
      </c>
      <c r="AC61" s="310" t="str">
        <f t="shared" si="37"/>
        <v/>
      </c>
      <c r="AD61" s="546">
        <f t="shared" si="8"/>
        <v>1</v>
      </c>
      <c r="AH61" s="310" t="str">
        <f t="shared" si="38"/>
        <v/>
      </c>
      <c r="AI61" s="546">
        <f t="shared" si="10"/>
        <v>1</v>
      </c>
      <c r="AM61" s="310" t="str">
        <f t="shared" si="39"/>
        <v/>
      </c>
      <c r="AN61" s="546">
        <f t="shared" si="12"/>
        <v>1</v>
      </c>
      <c r="AR61" s="310" t="str">
        <f t="shared" si="40"/>
        <v/>
      </c>
      <c r="AS61" s="546">
        <f t="shared" si="14"/>
        <v>1</v>
      </c>
      <c r="AW61" s="310" t="str">
        <f t="shared" si="41"/>
        <v/>
      </c>
      <c r="AX61" s="546">
        <f t="shared" si="16"/>
        <v>1</v>
      </c>
      <c r="BB61" s="310" t="str">
        <f t="shared" si="42"/>
        <v/>
      </c>
      <c r="BC61" s="546">
        <f t="shared" si="18"/>
        <v>1</v>
      </c>
      <c r="BG61" s="310" t="str">
        <f t="shared" si="43"/>
        <v/>
      </c>
      <c r="BH61" s="546">
        <f t="shared" si="20"/>
        <v>1</v>
      </c>
      <c r="BL61" s="310" t="str">
        <f t="shared" si="44"/>
        <v/>
      </c>
    </row>
    <row r="62" spans="5:64">
      <c r="E62" s="546">
        <f t="shared" si="0"/>
        <v>1</v>
      </c>
      <c r="I62" s="310" t="str">
        <f t="shared" si="23"/>
        <v/>
      </c>
      <c r="J62" s="546">
        <f t="shared" si="1"/>
        <v>1</v>
      </c>
      <c r="N62" s="310" t="str">
        <f t="shared" si="24"/>
        <v/>
      </c>
      <c r="S62" s="310" t="str">
        <f t="shared" si="35"/>
        <v/>
      </c>
      <c r="T62" s="546">
        <f t="shared" si="4"/>
        <v>1</v>
      </c>
      <c r="X62" s="310" t="str">
        <f t="shared" si="36"/>
        <v/>
      </c>
      <c r="Y62" s="546">
        <f t="shared" si="6"/>
        <v>1</v>
      </c>
      <c r="AC62" s="310" t="str">
        <f t="shared" si="37"/>
        <v/>
      </c>
      <c r="AD62" s="546">
        <f t="shared" si="8"/>
        <v>1</v>
      </c>
      <c r="AH62" s="310" t="str">
        <f t="shared" si="38"/>
        <v/>
      </c>
      <c r="AI62" s="546">
        <f t="shared" si="10"/>
        <v>1</v>
      </c>
      <c r="AM62" s="310" t="str">
        <f t="shared" si="39"/>
        <v/>
      </c>
      <c r="AN62" s="546">
        <f t="shared" si="12"/>
        <v>1</v>
      </c>
      <c r="AR62" s="310" t="str">
        <f t="shared" si="40"/>
        <v/>
      </c>
      <c r="AS62" s="546">
        <f t="shared" si="14"/>
        <v>1</v>
      </c>
      <c r="AW62" s="310" t="str">
        <f t="shared" si="41"/>
        <v/>
      </c>
      <c r="AX62" s="546">
        <f t="shared" si="16"/>
        <v>1</v>
      </c>
      <c r="BB62" s="310" t="str">
        <f t="shared" si="42"/>
        <v/>
      </c>
      <c r="BC62" s="546">
        <f t="shared" si="18"/>
        <v>1</v>
      </c>
      <c r="BG62" s="310" t="str">
        <f t="shared" si="43"/>
        <v/>
      </c>
      <c r="BH62" s="546">
        <f t="shared" si="20"/>
        <v>1</v>
      </c>
      <c r="BL62" s="310" t="str">
        <f t="shared" si="44"/>
        <v/>
      </c>
    </row>
    <row r="63" spans="5:64">
      <c r="E63" s="546">
        <f t="shared" si="0"/>
        <v>1</v>
      </c>
      <c r="I63" s="310" t="str">
        <f t="shared" si="23"/>
        <v/>
      </c>
      <c r="J63" s="546">
        <f t="shared" si="1"/>
        <v>1</v>
      </c>
      <c r="N63" s="310" t="str">
        <f t="shared" si="24"/>
        <v/>
      </c>
      <c r="S63" s="310" t="str">
        <f t="shared" si="35"/>
        <v/>
      </c>
      <c r="T63" s="546">
        <f t="shared" si="4"/>
        <v>1</v>
      </c>
      <c r="X63" s="310" t="str">
        <f t="shared" si="36"/>
        <v/>
      </c>
      <c r="Y63" s="546">
        <f t="shared" si="6"/>
        <v>1</v>
      </c>
      <c r="AC63" s="310" t="str">
        <f t="shared" si="37"/>
        <v/>
      </c>
      <c r="AD63" s="546">
        <f t="shared" si="8"/>
        <v>1</v>
      </c>
      <c r="AH63" s="310" t="str">
        <f t="shared" si="38"/>
        <v/>
      </c>
      <c r="AI63" s="546">
        <f t="shared" si="10"/>
        <v>1</v>
      </c>
      <c r="AM63" s="310" t="str">
        <f t="shared" si="39"/>
        <v/>
      </c>
      <c r="AN63" s="546">
        <f t="shared" si="12"/>
        <v>1</v>
      </c>
      <c r="AR63" s="310" t="str">
        <f t="shared" si="40"/>
        <v/>
      </c>
      <c r="AS63" s="546">
        <f t="shared" si="14"/>
        <v>1</v>
      </c>
      <c r="AW63" s="310" t="str">
        <f t="shared" si="41"/>
        <v/>
      </c>
      <c r="AX63" s="546">
        <f t="shared" si="16"/>
        <v>1</v>
      </c>
      <c r="BB63" s="310" t="str">
        <f t="shared" si="42"/>
        <v/>
      </c>
      <c r="BC63" s="546">
        <f t="shared" si="18"/>
        <v>1</v>
      </c>
      <c r="BG63" s="310" t="str">
        <f t="shared" si="43"/>
        <v/>
      </c>
      <c r="BH63" s="546">
        <f t="shared" si="20"/>
        <v>1</v>
      </c>
      <c r="BL63" s="310" t="str">
        <f t="shared" si="44"/>
        <v/>
      </c>
    </row>
    <row r="64" spans="5:64">
      <c r="E64" s="546">
        <f t="shared" si="0"/>
        <v>1</v>
      </c>
      <c r="I64" s="310" t="str">
        <f t="shared" si="23"/>
        <v/>
      </c>
      <c r="J64" s="546">
        <f t="shared" si="1"/>
        <v>1</v>
      </c>
      <c r="N64" s="310" t="str">
        <f t="shared" si="24"/>
        <v/>
      </c>
      <c r="S64" s="310" t="str">
        <f t="shared" si="35"/>
        <v/>
      </c>
      <c r="T64" s="546">
        <f t="shared" si="4"/>
        <v>1</v>
      </c>
      <c r="X64" s="310" t="str">
        <f t="shared" si="36"/>
        <v/>
      </c>
      <c r="Y64" s="546">
        <f t="shared" si="6"/>
        <v>1</v>
      </c>
      <c r="AC64" s="310" t="str">
        <f t="shared" si="37"/>
        <v/>
      </c>
      <c r="AD64" s="546">
        <f t="shared" si="8"/>
        <v>1</v>
      </c>
      <c r="AH64" s="310" t="str">
        <f t="shared" si="38"/>
        <v/>
      </c>
      <c r="AI64" s="546">
        <f t="shared" si="10"/>
        <v>1</v>
      </c>
      <c r="AM64" s="310" t="str">
        <f t="shared" si="39"/>
        <v/>
      </c>
      <c r="AN64" s="546">
        <f t="shared" si="12"/>
        <v>1</v>
      </c>
      <c r="AR64" s="310" t="str">
        <f t="shared" si="40"/>
        <v/>
      </c>
      <c r="AS64" s="546">
        <f t="shared" si="14"/>
        <v>1</v>
      </c>
      <c r="AW64" s="310" t="str">
        <f t="shared" si="41"/>
        <v/>
      </c>
      <c r="AX64" s="546">
        <f t="shared" si="16"/>
        <v>1</v>
      </c>
      <c r="BB64" s="310" t="str">
        <f t="shared" si="42"/>
        <v/>
      </c>
      <c r="BC64" s="546">
        <f t="shared" si="18"/>
        <v>1</v>
      </c>
      <c r="BG64" s="310" t="str">
        <f t="shared" si="43"/>
        <v/>
      </c>
      <c r="BH64" s="546">
        <f t="shared" si="20"/>
        <v>1</v>
      </c>
      <c r="BL64" s="310" t="str">
        <f t="shared" si="44"/>
        <v/>
      </c>
    </row>
    <row r="65" spans="1:64">
      <c r="E65" s="546">
        <f t="shared" si="0"/>
        <v>1</v>
      </c>
      <c r="I65" s="310" t="str">
        <f t="shared" si="23"/>
        <v/>
      </c>
      <c r="J65" s="546">
        <f t="shared" si="1"/>
        <v>1</v>
      </c>
      <c r="N65" s="310" t="str">
        <f t="shared" si="24"/>
        <v/>
      </c>
      <c r="S65" s="310" t="str">
        <f t="shared" si="35"/>
        <v/>
      </c>
      <c r="T65" s="546">
        <f t="shared" si="4"/>
        <v>1</v>
      </c>
      <c r="X65" s="310" t="str">
        <f t="shared" si="36"/>
        <v/>
      </c>
      <c r="Y65" s="546">
        <f t="shared" si="6"/>
        <v>1</v>
      </c>
      <c r="AC65" s="310" t="str">
        <f t="shared" si="37"/>
        <v/>
      </c>
      <c r="AD65" s="546">
        <f t="shared" si="8"/>
        <v>1</v>
      </c>
      <c r="AH65" s="310" t="str">
        <f t="shared" si="38"/>
        <v/>
      </c>
      <c r="AI65" s="546">
        <f t="shared" si="10"/>
        <v>1</v>
      </c>
      <c r="AM65" s="310" t="str">
        <f t="shared" si="39"/>
        <v/>
      </c>
      <c r="AN65" s="546">
        <f t="shared" si="12"/>
        <v>1</v>
      </c>
      <c r="AR65" s="310" t="str">
        <f t="shared" si="40"/>
        <v/>
      </c>
      <c r="AS65" s="546">
        <f t="shared" si="14"/>
        <v>1</v>
      </c>
      <c r="AW65" s="310" t="str">
        <f t="shared" si="41"/>
        <v/>
      </c>
      <c r="AX65" s="546">
        <f t="shared" si="16"/>
        <v>1</v>
      </c>
      <c r="BB65" s="310" t="str">
        <f t="shared" si="42"/>
        <v/>
      </c>
      <c r="BC65" s="546">
        <f t="shared" si="18"/>
        <v>1</v>
      </c>
      <c r="BG65" s="310" t="str">
        <f t="shared" si="43"/>
        <v/>
      </c>
      <c r="BH65" s="546">
        <f t="shared" si="20"/>
        <v>1</v>
      </c>
      <c r="BL65" s="310" t="str">
        <f t="shared" si="44"/>
        <v/>
      </c>
    </row>
    <row r="66" spans="1:64">
      <c r="E66" s="546">
        <f t="shared" si="0"/>
        <v>1</v>
      </c>
      <c r="I66" s="310" t="str">
        <f t="shared" si="23"/>
        <v/>
      </c>
      <c r="J66" s="546">
        <f t="shared" si="1"/>
        <v>1</v>
      </c>
      <c r="N66" s="310" t="str">
        <f t="shared" si="24"/>
        <v/>
      </c>
      <c r="S66" s="310" t="str">
        <f t="shared" si="35"/>
        <v/>
      </c>
      <c r="T66" s="546">
        <f t="shared" si="4"/>
        <v>1</v>
      </c>
      <c r="X66" s="310" t="str">
        <f t="shared" si="36"/>
        <v/>
      </c>
      <c r="Y66" s="546">
        <f t="shared" si="6"/>
        <v>1</v>
      </c>
      <c r="AC66" s="310" t="str">
        <f t="shared" si="37"/>
        <v/>
      </c>
      <c r="AD66" s="546">
        <f t="shared" si="8"/>
        <v>1</v>
      </c>
      <c r="AH66" s="310" t="str">
        <f t="shared" si="38"/>
        <v/>
      </c>
      <c r="AI66" s="546">
        <f t="shared" si="10"/>
        <v>1</v>
      </c>
      <c r="AM66" s="310" t="str">
        <f t="shared" si="39"/>
        <v/>
      </c>
      <c r="AN66" s="546">
        <f t="shared" si="12"/>
        <v>1</v>
      </c>
      <c r="AR66" s="310" t="str">
        <f t="shared" si="40"/>
        <v/>
      </c>
      <c r="AS66" s="546">
        <f t="shared" si="14"/>
        <v>1</v>
      </c>
      <c r="AW66" s="310" t="str">
        <f t="shared" si="41"/>
        <v/>
      </c>
      <c r="AX66" s="546">
        <f t="shared" si="16"/>
        <v>1</v>
      </c>
      <c r="BB66" s="310" t="str">
        <f t="shared" si="42"/>
        <v/>
      </c>
      <c r="BC66" s="546">
        <f t="shared" si="18"/>
        <v>1</v>
      </c>
      <c r="BG66" s="310" t="str">
        <f t="shared" si="43"/>
        <v/>
      </c>
      <c r="BH66" s="546">
        <f t="shared" si="20"/>
        <v>1</v>
      </c>
      <c r="BL66" s="310" t="str">
        <f t="shared" si="44"/>
        <v/>
      </c>
    </row>
    <row r="67" spans="1:64">
      <c r="E67" s="546">
        <f t="shared" si="0"/>
        <v>1</v>
      </c>
      <c r="I67" s="310" t="str">
        <f t="shared" si="23"/>
        <v/>
      </c>
      <c r="J67" s="546">
        <f t="shared" si="1"/>
        <v>1</v>
      </c>
      <c r="N67" s="310" t="str">
        <f t="shared" si="24"/>
        <v/>
      </c>
      <c r="S67" s="310" t="str">
        <f t="shared" si="35"/>
        <v/>
      </c>
      <c r="T67" s="546">
        <f t="shared" si="4"/>
        <v>1</v>
      </c>
      <c r="X67" s="310" t="str">
        <f t="shared" si="36"/>
        <v/>
      </c>
      <c r="Y67" s="546">
        <f t="shared" si="6"/>
        <v>1</v>
      </c>
      <c r="AC67" s="310" t="str">
        <f t="shared" si="37"/>
        <v/>
      </c>
      <c r="AD67" s="546">
        <f t="shared" si="8"/>
        <v>1</v>
      </c>
      <c r="AH67" s="310" t="str">
        <f t="shared" si="38"/>
        <v/>
      </c>
      <c r="AI67" s="546">
        <f t="shared" si="10"/>
        <v>1</v>
      </c>
      <c r="AM67" s="310" t="str">
        <f t="shared" si="39"/>
        <v/>
      </c>
      <c r="AN67" s="546">
        <f t="shared" si="12"/>
        <v>1</v>
      </c>
      <c r="AR67" s="310" t="str">
        <f t="shared" si="40"/>
        <v/>
      </c>
      <c r="AS67" s="546">
        <f t="shared" si="14"/>
        <v>1</v>
      </c>
      <c r="AW67" s="310" t="str">
        <f t="shared" si="41"/>
        <v/>
      </c>
      <c r="AX67" s="546">
        <f t="shared" si="16"/>
        <v>1</v>
      </c>
      <c r="BB67" s="310" t="str">
        <f t="shared" si="42"/>
        <v/>
      </c>
      <c r="BC67" s="546">
        <f t="shared" si="18"/>
        <v>1</v>
      </c>
      <c r="BG67" s="310" t="str">
        <f t="shared" si="43"/>
        <v/>
      </c>
      <c r="BH67" s="546">
        <f t="shared" si="20"/>
        <v>1</v>
      </c>
      <c r="BL67" s="310" t="str">
        <f t="shared" si="44"/>
        <v/>
      </c>
    </row>
    <row r="68" spans="1:64">
      <c r="E68" s="546">
        <f t="shared" si="0"/>
        <v>1</v>
      </c>
      <c r="I68" s="310" t="str">
        <f t="shared" si="23"/>
        <v/>
      </c>
      <c r="J68" s="546">
        <f t="shared" si="1"/>
        <v>1</v>
      </c>
      <c r="N68" s="310" t="str">
        <f t="shared" si="24"/>
        <v/>
      </c>
      <c r="S68" s="310" t="str">
        <f t="shared" si="35"/>
        <v/>
      </c>
      <c r="T68" s="546">
        <f t="shared" si="4"/>
        <v>1</v>
      </c>
      <c r="X68" s="310" t="str">
        <f t="shared" si="36"/>
        <v/>
      </c>
      <c r="Y68" s="546">
        <f t="shared" si="6"/>
        <v>1</v>
      </c>
      <c r="AC68" s="310" t="str">
        <f t="shared" si="37"/>
        <v/>
      </c>
      <c r="AD68" s="546">
        <f t="shared" si="8"/>
        <v>1</v>
      </c>
      <c r="AH68" s="310" t="str">
        <f t="shared" si="38"/>
        <v/>
      </c>
      <c r="AI68" s="546">
        <f t="shared" si="10"/>
        <v>1</v>
      </c>
      <c r="AM68" s="310" t="str">
        <f t="shared" si="39"/>
        <v/>
      </c>
      <c r="AN68" s="546">
        <f t="shared" si="12"/>
        <v>1</v>
      </c>
      <c r="AR68" s="310" t="str">
        <f t="shared" si="40"/>
        <v/>
      </c>
      <c r="AS68" s="546">
        <f t="shared" si="14"/>
        <v>1</v>
      </c>
      <c r="AW68" s="310" t="str">
        <f t="shared" si="41"/>
        <v/>
      </c>
      <c r="AX68" s="546">
        <f t="shared" si="16"/>
        <v>1</v>
      </c>
      <c r="BB68" s="310" t="str">
        <f t="shared" si="42"/>
        <v/>
      </c>
      <c r="BC68" s="546">
        <f t="shared" si="18"/>
        <v>1</v>
      </c>
      <c r="BG68" s="310" t="str">
        <f t="shared" si="43"/>
        <v/>
      </c>
      <c r="BH68" s="546">
        <f t="shared" si="20"/>
        <v>1</v>
      </c>
      <c r="BL68" s="310" t="str">
        <f t="shared" si="44"/>
        <v/>
      </c>
    </row>
    <row r="69" spans="1:64">
      <c r="E69" s="546">
        <f t="shared" si="0"/>
        <v>1</v>
      </c>
      <c r="I69" s="310" t="str">
        <f t="shared" si="23"/>
        <v/>
      </c>
      <c r="J69" s="546">
        <f t="shared" si="1"/>
        <v>1</v>
      </c>
      <c r="N69" s="310" t="str">
        <f t="shared" si="24"/>
        <v/>
      </c>
      <c r="S69" s="310" t="str">
        <f t="shared" ref="S69:S74" si="45">IF(ISBLANK(R69),"",ROUND(S43+R69,2))</f>
        <v/>
      </c>
      <c r="T69" s="546">
        <f t="shared" si="4"/>
        <v>1</v>
      </c>
      <c r="X69" s="310" t="str">
        <f t="shared" ref="X69:X74" si="46">IF(ISBLANK(W69),"",ROUND(X43+W69,2))</f>
        <v/>
      </c>
      <c r="Y69" s="546">
        <f t="shared" si="6"/>
        <v>1</v>
      </c>
      <c r="AC69" s="310" t="str">
        <f t="shared" ref="AC69:AC74" si="47">IF(ISBLANK(AB69),"",ROUND(AC43+AB69,2))</f>
        <v/>
      </c>
      <c r="AD69" s="546">
        <f t="shared" si="8"/>
        <v>1</v>
      </c>
      <c r="AH69" s="310" t="str">
        <f t="shared" ref="AH69:AH74" si="48">IF(ISBLANK(AG69),"",ROUND(AH43+AG69,2))</f>
        <v/>
      </c>
      <c r="AI69" s="546">
        <f t="shared" si="10"/>
        <v>1</v>
      </c>
      <c r="AM69" s="310" t="str">
        <f t="shared" ref="AM69:AM74" si="49">IF(ISBLANK(AL69),"",ROUND(AM43+AL69,2))</f>
        <v/>
      </c>
      <c r="AN69" s="546">
        <f t="shared" si="12"/>
        <v>1</v>
      </c>
      <c r="AR69" s="310" t="str">
        <f t="shared" ref="AR69:AR74" si="50">IF(ISBLANK(AQ69),"",ROUND(AR43+AQ69,2))</f>
        <v/>
      </c>
      <c r="AS69" s="546">
        <f t="shared" si="14"/>
        <v>1</v>
      </c>
      <c r="AW69" s="310" t="str">
        <f t="shared" ref="AW69:AW74" si="51">IF(ISBLANK(AV69),"",ROUND(AW43+AV69,2))</f>
        <v/>
      </c>
      <c r="AX69" s="546">
        <f t="shared" si="16"/>
        <v>1</v>
      </c>
      <c r="BB69" s="310" t="str">
        <f t="shared" ref="BB69:BB74" si="52">IF(ISBLANK(BA69),"",ROUND(BB43+BA69,2))</f>
        <v/>
      </c>
      <c r="BC69" s="546">
        <f t="shared" si="18"/>
        <v>1</v>
      </c>
      <c r="BG69" s="310" t="str">
        <f t="shared" ref="BG69:BG74" si="53">IF(ISBLANK(BF69),"",ROUND(BG43+BF69,2))</f>
        <v/>
      </c>
      <c r="BH69" s="546">
        <f t="shared" si="20"/>
        <v>1</v>
      </c>
      <c r="BL69" s="310" t="str">
        <f t="shared" ref="BL69:BL74" si="54">IF(ISBLANK(BK69),"",ROUND(BL43+BK69,2))</f>
        <v/>
      </c>
    </row>
    <row r="70" spans="1:64">
      <c r="E70" s="546">
        <f t="shared" si="0"/>
        <v>1</v>
      </c>
      <c r="I70" s="310" t="str">
        <f t="shared" si="23"/>
        <v/>
      </c>
      <c r="J70" s="546">
        <f t="shared" si="1"/>
        <v>1</v>
      </c>
      <c r="N70" s="310" t="str">
        <f t="shared" si="24"/>
        <v/>
      </c>
      <c r="S70" s="310" t="str">
        <f t="shared" si="45"/>
        <v/>
      </c>
      <c r="T70" s="546">
        <f t="shared" si="4"/>
        <v>1</v>
      </c>
      <c r="X70" s="310" t="str">
        <f t="shared" si="46"/>
        <v/>
      </c>
      <c r="Y70" s="546">
        <f t="shared" si="6"/>
        <v>1</v>
      </c>
      <c r="AC70" s="310" t="str">
        <f t="shared" si="47"/>
        <v/>
      </c>
      <c r="AD70" s="546">
        <f t="shared" si="8"/>
        <v>1</v>
      </c>
      <c r="AH70" s="310" t="str">
        <f t="shared" si="48"/>
        <v/>
      </c>
      <c r="AI70" s="546">
        <f t="shared" si="10"/>
        <v>1</v>
      </c>
      <c r="AM70" s="310" t="str">
        <f t="shared" si="49"/>
        <v/>
      </c>
      <c r="AN70" s="546">
        <f t="shared" si="12"/>
        <v>1</v>
      </c>
      <c r="AR70" s="310" t="str">
        <f t="shared" si="50"/>
        <v/>
      </c>
      <c r="AS70" s="546">
        <f t="shared" si="14"/>
        <v>1</v>
      </c>
      <c r="AW70" s="310" t="str">
        <f t="shared" si="51"/>
        <v/>
      </c>
      <c r="AX70" s="546">
        <f t="shared" si="16"/>
        <v>1</v>
      </c>
      <c r="BB70" s="310" t="str">
        <f t="shared" si="52"/>
        <v/>
      </c>
      <c r="BC70" s="546">
        <f t="shared" si="18"/>
        <v>1</v>
      </c>
      <c r="BG70" s="310" t="str">
        <f t="shared" si="53"/>
        <v/>
      </c>
      <c r="BH70" s="546">
        <f t="shared" si="20"/>
        <v>1</v>
      </c>
      <c r="BL70" s="310" t="str">
        <f t="shared" si="54"/>
        <v/>
      </c>
    </row>
    <row r="71" spans="1:64">
      <c r="E71" s="546">
        <f t="shared" si="0"/>
        <v>1</v>
      </c>
      <c r="I71" s="310" t="str">
        <f t="shared" ref="I71:I74" si="55">IF(ISBLANK(H71),"",ROUND(I45+H71,2))</f>
        <v/>
      </c>
      <c r="J71" s="546">
        <f t="shared" si="1"/>
        <v>1</v>
      </c>
      <c r="N71" s="310" t="str">
        <f t="shared" si="24"/>
        <v/>
      </c>
      <c r="S71" s="310" t="str">
        <f t="shared" si="45"/>
        <v/>
      </c>
      <c r="T71" s="546">
        <f t="shared" si="4"/>
        <v>1</v>
      </c>
      <c r="X71" s="310" t="str">
        <f t="shared" si="46"/>
        <v/>
      </c>
      <c r="Y71" s="546">
        <f t="shared" si="6"/>
        <v>1</v>
      </c>
      <c r="AC71" s="310" t="str">
        <f t="shared" si="47"/>
        <v/>
      </c>
      <c r="AD71" s="546">
        <f t="shared" si="8"/>
        <v>1</v>
      </c>
      <c r="AH71" s="310" t="str">
        <f t="shared" si="48"/>
        <v/>
      </c>
      <c r="AI71" s="546">
        <f t="shared" si="10"/>
        <v>1</v>
      </c>
      <c r="AM71" s="310" t="str">
        <f t="shared" si="49"/>
        <v/>
      </c>
      <c r="AN71" s="546">
        <f t="shared" si="12"/>
        <v>1</v>
      </c>
      <c r="AR71" s="310" t="str">
        <f t="shared" si="50"/>
        <v/>
      </c>
      <c r="AS71" s="546">
        <f t="shared" si="14"/>
        <v>1</v>
      </c>
      <c r="AW71" s="310" t="str">
        <f t="shared" si="51"/>
        <v/>
      </c>
      <c r="AX71" s="546">
        <f t="shared" si="16"/>
        <v>1</v>
      </c>
      <c r="BB71" s="310" t="str">
        <f t="shared" si="52"/>
        <v/>
      </c>
      <c r="BC71" s="546">
        <f t="shared" si="18"/>
        <v>1</v>
      </c>
      <c r="BG71" s="310" t="str">
        <f t="shared" si="53"/>
        <v/>
      </c>
      <c r="BH71" s="546">
        <f t="shared" si="20"/>
        <v>1</v>
      </c>
      <c r="BL71" s="310" t="str">
        <f t="shared" si="54"/>
        <v/>
      </c>
    </row>
    <row r="72" spans="1:64">
      <c r="E72" s="546">
        <f t="shared" si="0"/>
        <v>1</v>
      </c>
      <c r="I72" s="310" t="str">
        <f t="shared" si="55"/>
        <v/>
      </c>
      <c r="J72" s="546">
        <f t="shared" si="1"/>
        <v>1</v>
      </c>
      <c r="N72" s="310" t="str">
        <f t="shared" si="24"/>
        <v/>
      </c>
      <c r="S72" s="310" t="str">
        <f t="shared" si="45"/>
        <v/>
      </c>
      <c r="T72" s="546">
        <f t="shared" si="4"/>
        <v>1</v>
      </c>
      <c r="X72" s="310" t="str">
        <f t="shared" si="46"/>
        <v/>
      </c>
      <c r="Y72" s="546">
        <f t="shared" si="6"/>
        <v>1</v>
      </c>
      <c r="AC72" s="310" t="str">
        <f t="shared" si="47"/>
        <v/>
      </c>
      <c r="AD72" s="546">
        <f t="shared" si="8"/>
        <v>1</v>
      </c>
      <c r="AH72" s="310" t="str">
        <f t="shared" si="48"/>
        <v/>
      </c>
      <c r="AI72" s="546">
        <f t="shared" si="10"/>
        <v>1</v>
      </c>
      <c r="AM72" s="310" t="str">
        <f t="shared" si="49"/>
        <v/>
      </c>
      <c r="AN72" s="546">
        <f t="shared" si="12"/>
        <v>1</v>
      </c>
      <c r="AR72" s="310" t="str">
        <f t="shared" si="50"/>
        <v/>
      </c>
      <c r="AS72" s="546">
        <f t="shared" si="14"/>
        <v>1</v>
      </c>
      <c r="AW72" s="310" t="str">
        <f t="shared" si="51"/>
        <v/>
      </c>
      <c r="AX72" s="546">
        <f t="shared" si="16"/>
        <v>1</v>
      </c>
      <c r="BB72" s="310" t="str">
        <f t="shared" si="52"/>
        <v/>
      </c>
      <c r="BC72" s="546">
        <f t="shared" si="18"/>
        <v>1</v>
      </c>
      <c r="BG72" s="310" t="str">
        <f t="shared" si="53"/>
        <v/>
      </c>
      <c r="BH72" s="546">
        <f t="shared" si="20"/>
        <v>1</v>
      </c>
      <c r="BL72" s="310" t="str">
        <f t="shared" si="54"/>
        <v/>
      </c>
    </row>
    <row r="73" spans="1:64">
      <c r="E73" s="546">
        <f t="shared" si="0"/>
        <v>1</v>
      </c>
      <c r="I73" s="310" t="str">
        <f t="shared" si="55"/>
        <v/>
      </c>
      <c r="J73" s="546">
        <f t="shared" si="1"/>
        <v>1</v>
      </c>
      <c r="N73" s="310" t="str">
        <f t="shared" si="24"/>
        <v/>
      </c>
      <c r="S73" s="310" t="str">
        <f t="shared" si="45"/>
        <v/>
      </c>
      <c r="T73" s="546">
        <f t="shared" si="4"/>
        <v>1</v>
      </c>
      <c r="X73" s="310" t="str">
        <f t="shared" si="46"/>
        <v/>
      </c>
      <c r="Y73" s="546">
        <f t="shared" si="6"/>
        <v>1</v>
      </c>
      <c r="AC73" s="310" t="str">
        <f t="shared" si="47"/>
        <v/>
      </c>
      <c r="AD73" s="546">
        <f t="shared" si="8"/>
        <v>1</v>
      </c>
      <c r="AH73" s="310" t="str">
        <f t="shared" si="48"/>
        <v/>
      </c>
      <c r="AI73" s="546">
        <f t="shared" si="10"/>
        <v>1</v>
      </c>
      <c r="AM73" s="310" t="str">
        <f t="shared" si="49"/>
        <v/>
      </c>
      <c r="AN73" s="546">
        <f t="shared" si="12"/>
        <v>1</v>
      </c>
      <c r="AR73" s="310" t="str">
        <f t="shared" si="50"/>
        <v/>
      </c>
      <c r="AS73" s="546">
        <f t="shared" si="14"/>
        <v>1</v>
      </c>
      <c r="AW73" s="310" t="str">
        <f t="shared" si="51"/>
        <v/>
      </c>
      <c r="AX73" s="546">
        <f t="shared" si="16"/>
        <v>1</v>
      </c>
      <c r="BB73" s="310" t="str">
        <f t="shared" si="52"/>
        <v/>
      </c>
      <c r="BC73" s="546">
        <f t="shared" si="18"/>
        <v>1</v>
      </c>
      <c r="BG73" s="310" t="str">
        <f t="shared" si="53"/>
        <v/>
      </c>
      <c r="BH73" s="546">
        <f t="shared" si="20"/>
        <v>1</v>
      </c>
      <c r="BL73" s="310" t="str">
        <f t="shared" si="54"/>
        <v/>
      </c>
    </row>
    <row r="74" spans="1:64">
      <c r="A74" s="548" t="s">
        <v>1353</v>
      </c>
      <c r="E74" s="546">
        <f t="shared" si="0"/>
        <v>1</v>
      </c>
      <c r="I74" s="310" t="str">
        <f t="shared" si="55"/>
        <v/>
      </c>
      <c r="J74" s="546">
        <f t="shared" si="1"/>
        <v>1</v>
      </c>
      <c r="N74" s="310" t="str">
        <f t="shared" si="24"/>
        <v/>
      </c>
      <c r="S74" s="310" t="str">
        <f t="shared" si="45"/>
        <v/>
      </c>
      <c r="T74" s="546">
        <f t="shared" si="4"/>
        <v>1</v>
      </c>
      <c r="X74" s="310" t="str">
        <f t="shared" si="46"/>
        <v/>
      </c>
      <c r="Y74" s="546">
        <f t="shared" si="6"/>
        <v>1</v>
      </c>
      <c r="AC74" s="310" t="str">
        <f t="shared" si="47"/>
        <v/>
      </c>
      <c r="AD74" s="546">
        <f t="shared" si="8"/>
        <v>1</v>
      </c>
      <c r="AH74" s="310" t="str">
        <f t="shared" si="48"/>
        <v/>
      </c>
      <c r="AI74" s="546">
        <f t="shared" si="10"/>
        <v>1</v>
      </c>
      <c r="AM74" s="310" t="str">
        <f t="shared" si="49"/>
        <v/>
      </c>
      <c r="AN74" s="546">
        <f t="shared" si="12"/>
        <v>1</v>
      </c>
      <c r="AR74" s="310" t="str">
        <f t="shared" si="50"/>
        <v/>
      </c>
      <c r="AS74" s="546">
        <f t="shared" si="14"/>
        <v>1</v>
      </c>
      <c r="AW74" s="310" t="str">
        <f t="shared" si="51"/>
        <v/>
      </c>
      <c r="AX74" s="546">
        <f t="shared" si="16"/>
        <v>1</v>
      </c>
      <c r="BB74" s="310" t="str">
        <f t="shared" si="52"/>
        <v/>
      </c>
      <c r="BC74" s="546">
        <f t="shared" si="18"/>
        <v>1</v>
      </c>
      <c r="BG74" s="310" t="str">
        <f t="shared" si="53"/>
        <v/>
      </c>
      <c r="BH74" s="546">
        <f t="shared" si="20"/>
        <v>1</v>
      </c>
      <c r="BL74" s="310" t="str">
        <f t="shared" si="54"/>
        <v/>
      </c>
    </row>
    <row r="75" spans="1:64">
      <c r="E75" s="546">
        <f t="shared" si="0"/>
        <v>1</v>
      </c>
      <c r="I75" s="310" t="str">
        <f t="shared" si="23"/>
        <v/>
      </c>
      <c r="J75" s="546">
        <f t="shared" si="1"/>
        <v>1</v>
      </c>
      <c r="N75" s="310" t="str">
        <f t="shared" si="24"/>
        <v/>
      </c>
      <c r="S75" s="310" t="str">
        <f t="shared" ref="S75" si="56">IF(ISBLANK(R75),"",ROUND(S74+R75,2))</f>
        <v/>
      </c>
      <c r="T75" s="546">
        <f t="shared" si="4"/>
        <v>1</v>
      </c>
      <c r="X75" s="310" t="str">
        <f t="shared" si="5"/>
        <v/>
      </c>
      <c r="Y75" s="546">
        <f t="shared" si="6"/>
        <v>1</v>
      </c>
      <c r="AC75" s="310" t="str">
        <f t="shared" ref="AC75" si="57">IF(ISBLANK(AB75),"",ROUND(AC74+AB75,2))</f>
        <v/>
      </c>
      <c r="AD75" s="546">
        <f t="shared" si="8"/>
        <v>1</v>
      </c>
      <c r="AH75" s="310" t="str">
        <f t="shared" si="9"/>
        <v/>
      </c>
      <c r="AI75" s="546">
        <f t="shared" si="10"/>
        <v>1</v>
      </c>
      <c r="AM75" s="310" t="str">
        <f t="shared" ref="AM75" si="58">IF(ISBLANK(AL75),"",ROUND(AM74+AL75,2))</f>
        <v/>
      </c>
      <c r="AN75" s="546">
        <f t="shared" si="12"/>
        <v>1</v>
      </c>
      <c r="AR75" s="310" t="str">
        <f t="shared" si="13"/>
        <v/>
      </c>
      <c r="AS75" s="546">
        <f t="shared" si="14"/>
        <v>1</v>
      </c>
      <c r="AW75" s="310" t="str">
        <f t="shared" si="15"/>
        <v/>
      </c>
      <c r="AX75" s="546">
        <f t="shared" si="16"/>
        <v>1</v>
      </c>
      <c r="BB75" s="310" t="str">
        <f t="shared" si="17"/>
        <v/>
      </c>
      <c r="BC75" s="546">
        <f t="shared" si="18"/>
        <v>1</v>
      </c>
      <c r="BG75" s="310" t="str">
        <f t="shared" si="19"/>
        <v/>
      </c>
      <c r="BH75" s="546">
        <f t="shared" si="20"/>
        <v>1</v>
      </c>
      <c r="BL75" s="310" t="str">
        <f t="shared" si="21"/>
        <v/>
      </c>
    </row>
    <row r="76" spans="1:64">
      <c r="E76" s="547"/>
      <c r="F76" s="543"/>
      <c r="G76" s="132"/>
      <c r="H76" s="544"/>
      <c r="I76" s="544"/>
      <c r="J76" s="547"/>
      <c r="K76" s="543"/>
      <c r="L76" s="132"/>
      <c r="M76" s="544"/>
      <c r="N76" s="544"/>
      <c r="O76" s="544"/>
      <c r="P76" s="543"/>
      <c r="Q76" s="132"/>
      <c r="R76" s="544"/>
      <c r="S76" s="544"/>
      <c r="T76" s="547"/>
      <c r="U76" s="543"/>
      <c r="V76" s="132"/>
      <c r="W76" s="544"/>
      <c r="X76" s="544"/>
      <c r="Y76" s="547"/>
      <c r="Z76" s="543"/>
      <c r="AA76" s="132"/>
      <c r="AB76" s="544"/>
      <c r="AC76" s="544"/>
      <c r="AD76" s="547"/>
      <c r="AE76" s="543"/>
      <c r="AF76" s="132"/>
      <c r="AG76" s="544"/>
      <c r="AH76" s="544"/>
      <c r="AI76" s="547"/>
      <c r="AJ76" s="543"/>
      <c r="AK76" s="132"/>
      <c r="AL76" s="544"/>
      <c r="AM76" s="544"/>
      <c r="AN76" s="547"/>
      <c r="AO76" s="543"/>
      <c r="AP76" s="132"/>
      <c r="AQ76" s="544"/>
      <c r="AR76" s="544"/>
      <c r="AS76" s="547"/>
      <c r="AT76" s="543"/>
      <c r="AU76" s="132"/>
      <c r="AV76" s="544"/>
      <c r="AW76" s="544"/>
      <c r="AX76" s="547"/>
      <c r="AY76" s="543"/>
      <c r="AZ76" s="132"/>
      <c r="BA76" s="544"/>
      <c r="BB76" s="544"/>
      <c r="BC76" s="547"/>
      <c r="BD76" s="543"/>
      <c r="BE76" s="132"/>
      <c r="BF76" s="544"/>
      <c r="BG76" s="544"/>
      <c r="BH76" s="547"/>
      <c r="BI76" s="543"/>
      <c r="BJ76" s="132"/>
      <c r="BK76" s="544"/>
      <c r="BL76" s="544"/>
    </row>
  </sheetData>
  <mergeCells count="12">
    <mergeCell ref="AO1:AR1"/>
    <mergeCell ref="AT1:AW1"/>
    <mergeCell ref="AY1:BB1"/>
    <mergeCell ref="BD1:BG1"/>
    <mergeCell ref="BI1:BL1"/>
    <mergeCell ref="AJ1:AM1"/>
    <mergeCell ref="F1:I1"/>
    <mergeCell ref="K1:N1"/>
    <mergeCell ref="P1:S1"/>
    <mergeCell ref="U1:X1"/>
    <mergeCell ref="AE1:AH1"/>
    <mergeCell ref="Z1:AC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BD150"/>
  <sheetViews>
    <sheetView showGridLines="0" zoomScale="85" zoomScaleNormal="85" workbookViewId="0">
      <pane xSplit="4" ySplit="1" topLeftCell="AD81" activePane="bottomRight" state="frozen"/>
      <selection pane="bottomRight" activeCell="C92" sqref="C92"/>
      <selection pane="bottomLeft" activeCell="A2" sqref="A2"/>
      <selection pane="topRight" activeCell="E1" sqref="E1"/>
    </sheetView>
  </sheetViews>
  <sheetFormatPr defaultColWidth="11.42578125" defaultRowHeight="14.25"/>
  <cols>
    <col min="1" max="1" width="24.5703125" style="44" bestFit="1" customWidth="1"/>
    <col min="2" max="2" width="20.85546875" style="44" customWidth="1"/>
    <col min="3" max="3" width="14.28515625" style="56" bestFit="1" customWidth="1"/>
    <col min="4" max="4" width="4.7109375" style="438" customWidth="1"/>
    <col min="5" max="29" width="11.7109375" style="26" hidden="1" customWidth="1"/>
    <col min="30" max="53" width="11.7109375" style="26" customWidth="1"/>
    <col min="54" max="54" width="12.7109375" style="27" customWidth="1"/>
    <col min="55" max="56" width="11.42578125" style="119"/>
    <col min="57" max="16384" width="11.42578125" style="44"/>
  </cols>
  <sheetData>
    <row r="1" spans="1:56" s="28" customFormat="1" ht="20.100000000000001" customHeight="1">
      <c r="A1" s="589" t="s">
        <v>5</v>
      </c>
      <c r="B1" s="589" t="s">
        <v>7</v>
      </c>
      <c r="C1" s="589" t="s">
        <v>9</v>
      </c>
      <c r="D1" s="589" t="s">
        <v>1354</v>
      </c>
      <c r="E1" s="591">
        <f>'RESUMEN VIGILANCIA'!D1</f>
        <v>2016</v>
      </c>
      <c r="F1" s="589">
        <f>'RESUMEN VIGILANCIA'!E1</f>
        <v>42736</v>
      </c>
      <c r="G1" s="589">
        <f>'RESUMEN VIGILANCIA'!F1</f>
        <v>42767</v>
      </c>
      <c r="H1" s="589">
        <f>'RESUMEN VIGILANCIA'!G1</f>
        <v>42795</v>
      </c>
      <c r="I1" s="589">
        <f>'RESUMEN VIGILANCIA'!H1</f>
        <v>42826</v>
      </c>
      <c r="J1" s="589">
        <f>'RESUMEN VIGILANCIA'!I1</f>
        <v>42856</v>
      </c>
      <c r="K1" s="589">
        <f>'RESUMEN VIGILANCIA'!J1</f>
        <v>42887</v>
      </c>
      <c r="L1" s="589">
        <f>'RESUMEN VIGILANCIA'!K1</f>
        <v>42917</v>
      </c>
      <c r="M1" s="589">
        <f>'RESUMEN VIGILANCIA'!L1</f>
        <v>42948</v>
      </c>
      <c r="N1" s="589">
        <f>'RESUMEN VIGILANCIA'!M1</f>
        <v>42979</v>
      </c>
      <c r="O1" s="589">
        <f>'RESUMEN VIGILANCIA'!N1</f>
        <v>43009</v>
      </c>
      <c r="P1" s="589">
        <f>'RESUMEN VIGILANCIA'!O1</f>
        <v>43040</v>
      </c>
      <c r="Q1" s="589">
        <f>'RESUMEN VIGILANCIA'!P1</f>
        <v>43070</v>
      </c>
      <c r="R1" s="589">
        <f>'RESUMEN VIGILANCIA'!Q1</f>
        <v>43101</v>
      </c>
      <c r="S1" s="589">
        <f>'RESUMEN VIGILANCIA'!R1</f>
        <v>43132</v>
      </c>
      <c r="T1" s="589">
        <f>'RESUMEN VIGILANCIA'!S1</f>
        <v>43160</v>
      </c>
      <c r="U1" s="589">
        <f>'RESUMEN VIGILANCIA'!T1</f>
        <v>43191</v>
      </c>
      <c r="V1" s="589">
        <f>'RESUMEN VIGILANCIA'!U1</f>
        <v>43221</v>
      </c>
      <c r="W1" s="589">
        <f>'RESUMEN VIGILANCIA'!V1</f>
        <v>43252</v>
      </c>
      <c r="X1" s="589">
        <f>'RESUMEN VIGILANCIA'!W1</f>
        <v>43282</v>
      </c>
      <c r="Y1" s="589">
        <f>'RESUMEN VIGILANCIA'!X1</f>
        <v>43313</v>
      </c>
      <c r="Z1" s="589">
        <f>'RESUMEN VIGILANCIA'!Y1</f>
        <v>43344</v>
      </c>
      <c r="AA1" s="589">
        <f>'RESUMEN VIGILANCIA'!Z1</f>
        <v>43374</v>
      </c>
      <c r="AB1" s="589">
        <f>'RESUMEN VIGILANCIA'!AA1</f>
        <v>43405</v>
      </c>
      <c r="AC1" s="589">
        <f>'RESUMEN VIGILANCIA'!AB1</f>
        <v>43435</v>
      </c>
      <c r="AD1" s="589">
        <f>'RESUMEN VIGILANCIA'!AC1</f>
        <v>43466</v>
      </c>
      <c r="AE1" s="589">
        <f>'RESUMEN VIGILANCIA'!AD1</f>
        <v>43497</v>
      </c>
      <c r="AF1" s="589">
        <f>'RESUMEN VIGILANCIA'!AE1</f>
        <v>43525</v>
      </c>
      <c r="AG1" s="589">
        <f>'RESUMEN VIGILANCIA'!AF1</f>
        <v>43556</v>
      </c>
      <c r="AH1" s="589">
        <f>'RESUMEN VIGILANCIA'!AG1</f>
        <v>43586</v>
      </c>
      <c r="AI1" s="589">
        <f>'RESUMEN VIGILANCIA'!AH1</f>
        <v>43617</v>
      </c>
      <c r="AJ1" s="589">
        <f>'RESUMEN VIGILANCIA'!AI1</f>
        <v>43647</v>
      </c>
      <c r="AK1" s="589">
        <f>'RESUMEN VIGILANCIA'!AJ1</f>
        <v>43678</v>
      </c>
      <c r="AL1" s="589">
        <f>'RESUMEN VIGILANCIA'!AK1</f>
        <v>43709</v>
      </c>
      <c r="AM1" s="589">
        <f>'RESUMEN VIGILANCIA'!AL1</f>
        <v>43739</v>
      </c>
      <c r="AN1" s="589">
        <f>'RESUMEN VIGILANCIA'!AM1</f>
        <v>43770</v>
      </c>
      <c r="AO1" s="589">
        <f>'RESUMEN VIGILANCIA'!AN1</f>
        <v>43800</v>
      </c>
      <c r="AP1" s="589">
        <f>'RESUMEN VIGILANCIA'!AO1</f>
        <v>43831</v>
      </c>
      <c r="AQ1" s="589">
        <f>'RESUMEN VIGILANCIA'!AP1</f>
        <v>43862</v>
      </c>
      <c r="AR1" s="589">
        <f>'RESUMEN VIGILANCIA'!AQ1</f>
        <v>43891</v>
      </c>
      <c r="AS1" s="589">
        <f>'RESUMEN VIGILANCIA'!AR1</f>
        <v>43922</v>
      </c>
      <c r="AT1" s="589">
        <f>'RESUMEN VIGILANCIA'!AS1</f>
        <v>43952</v>
      </c>
      <c r="AU1" s="589">
        <f>'RESUMEN VIGILANCIA'!AT1</f>
        <v>43983</v>
      </c>
      <c r="AV1" s="589">
        <f>'RESUMEN VIGILANCIA'!AU1</f>
        <v>44013</v>
      </c>
      <c r="AW1" s="589">
        <f>'RESUMEN VIGILANCIA'!AV1</f>
        <v>44044</v>
      </c>
      <c r="AX1" s="589">
        <f>'RESUMEN VIGILANCIA'!AW1</f>
        <v>44075</v>
      </c>
      <c r="AY1" s="589">
        <f>'RESUMEN VIGILANCIA'!AX1</f>
        <v>44105</v>
      </c>
      <c r="AZ1" s="589">
        <f>'RESUMEN VIGILANCIA'!AY1</f>
        <v>44136</v>
      </c>
      <c r="BA1" s="589">
        <f>'RESUMEN VIGILANCIA'!AZ1</f>
        <v>44166</v>
      </c>
      <c r="BB1" s="589" t="s">
        <v>1254</v>
      </c>
      <c r="BC1" s="589" t="s">
        <v>1355</v>
      </c>
      <c r="BD1" s="589" t="s">
        <v>1356</v>
      </c>
    </row>
    <row r="2" spans="1:56" s="28" customFormat="1" ht="20.100000000000001" customHeight="1">
      <c r="A2" s="36" t="str">
        <f>'RESUMEN VIGILANCIA'!A24</f>
        <v>Familia Padrón C. Bollingher</v>
      </c>
      <c r="B2" s="37" t="str">
        <f>'RESUMEN VIGILANCIA'!B24</f>
        <v>Calle Guacara Nro. 87-30</v>
      </c>
      <c r="C2" s="424"/>
      <c r="D2" s="432" t="s">
        <v>1357</v>
      </c>
      <c r="E2" s="413" t="str">
        <f>IF(ISBLANK('RESUMEN VIGILANCIA'!D24),"",'RESUMEN VIGILANCIA'!D24)</f>
        <v/>
      </c>
      <c r="F2" s="261" t="str">
        <f>IF(ISBLANK('RESUMEN VIGILANCIA'!E24),"",'RESUMEN VIGILANCIA'!E24)</f>
        <v/>
      </c>
      <c r="G2" s="197" t="str">
        <f>IF(ISBLANK('RESUMEN VIGILANCIA'!F24),"",'RESUMEN VIGILANCIA'!F24)</f>
        <v/>
      </c>
      <c r="H2" s="197" t="str">
        <f>IF(ISBLANK('RESUMEN VIGILANCIA'!G24),"",'RESUMEN VIGILANCIA'!G24)</f>
        <v/>
      </c>
      <c r="I2" s="197" t="str">
        <f>IF(ISBLANK('RESUMEN VIGILANCIA'!H24),"",'RESUMEN VIGILANCIA'!H24)</f>
        <v/>
      </c>
      <c r="J2" s="197" t="str">
        <f>IF(ISBLANK('RESUMEN VIGILANCIA'!I24),"",'RESUMEN VIGILANCIA'!I24)</f>
        <v/>
      </c>
      <c r="K2" s="197" t="str">
        <f>IF(ISBLANK('RESUMEN VIGILANCIA'!J24),"",'RESUMEN VIGILANCIA'!J24)</f>
        <v/>
      </c>
      <c r="L2" s="197" t="str">
        <f>IF(ISBLANK('RESUMEN VIGILANCIA'!K24),"",'RESUMEN VIGILANCIA'!K24)</f>
        <v/>
      </c>
      <c r="M2" s="197" t="str">
        <f>IF(ISBLANK('RESUMEN VIGILANCIA'!L24),"",'RESUMEN VIGILANCIA'!L24)</f>
        <v/>
      </c>
      <c r="N2" s="197" t="str">
        <f>IF(ISBLANK('RESUMEN VIGILANCIA'!M24),"",'RESUMEN VIGILANCIA'!M24)</f>
        <v/>
      </c>
      <c r="O2" s="197" t="str">
        <f>IF(ISBLANK('RESUMEN VIGILANCIA'!N24),"",'RESUMEN VIGILANCIA'!N24)</f>
        <v/>
      </c>
      <c r="P2" s="262" t="str">
        <f>IF(ISBLANK('RESUMEN VIGILANCIA'!O24),"",'RESUMEN VIGILANCIA'!O24)</f>
        <v/>
      </c>
      <c r="Q2" s="195" t="str">
        <f>IF(ISBLANK('RESUMEN VIGILANCIA'!P24),"",'RESUMEN VIGILANCIA'!P24)</f>
        <v/>
      </c>
      <c r="R2" s="263" t="str">
        <f>IF(ISBLANK('RESUMEN VIGILANCIA'!Q24),"",'RESUMEN VIGILANCIA'!Q24)</f>
        <v/>
      </c>
      <c r="S2" s="262" t="str">
        <f>IF(ISBLANK('RESUMEN VIGILANCIA'!R24),"",'RESUMEN VIGILANCIA'!R24)</f>
        <v/>
      </c>
      <c r="T2" s="262" t="str">
        <f>IF(ISBLANK('RESUMEN VIGILANCIA'!S24),"",'RESUMEN VIGILANCIA'!S24)</f>
        <v/>
      </c>
      <c r="U2" s="262" t="str">
        <f>IF(ISBLANK('RESUMEN VIGILANCIA'!T24),"",'RESUMEN VIGILANCIA'!T24)</f>
        <v/>
      </c>
      <c r="V2" s="262" t="str">
        <f>IF(ISBLANK('RESUMEN VIGILANCIA'!U24),"",'RESUMEN VIGILANCIA'!U24)</f>
        <v/>
      </c>
      <c r="W2" s="262" t="str">
        <f>IF(ISBLANK('RESUMEN VIGILANCIA'!V24),"",'RESUMEN VIGILANCIA'!V24)</f>
        <v/>
      </c>
      <c r="X2" s="262" t="str">
        <f>IF(ISBLANK('RESUMEN VIGILANCIA'!W24),"",'RESUMEN VIGILANCIA'!W24)</f>
        <v/>
      </c>
      <c r="Y2" s="262" t="str">
        <f>IF(ISBLANK('RESUMEN VIGILANCIA'!X24),"",'RESUMEN VIGILANCIA'!X24)</f>
        <v/>
      </c>
      <c r="Z2" s="451" t="str">
        <f>IF(ISBLANK('RESUMEN VIGILANCIA'!Y24),"",'RESUMEN VIGILANCIA'!Y24)</f>
        <v/>
      </c>
      <c r="AA2" s="451" t="str">
        <f>IF(ISBLANK('RESUMEN VIGILANCIA'!Z24),"",'RESUMEN VIGILANCIA'!Z24)</f>
        <v/>
      </c>
      <c r="AB2" s="451" t="str">
        <f>IF(ISBLANK('RESUMEN VIGILANCIA'!AA24),"",'RESUMEN VIGILANCIA'!AA24)</f>
        <v/>
      </c>
      <c r="AC2" s="452" t="str">
        <f>IF(ISBLANK('RESUMEN VIGILANCIA'!AB24),"",'RESUMEN VIGILANCIA'!AB24)</f>
        <v/>
      </c>
      <c r="AD2" s="382" t="str">
        <f>IF(ISBLANK('RESUMEN VIGILANCIA'!AC24),"",'RESUMEN VIGILANCIA'!AC24)</f>
        <v/>
      </c>
      <c r="AE2" s="383" t="str">
        <f>IF(ISBLANK('RESUMEN VIGILANCIA'!AD24),"",'RESUMEN VIGILANCIA'!AD24)</f>
        <v/>
      </c>
      <c r="AF2" s="383" t="str">
        <f>IF(ISBLANK('RESUMEN VIGILANCIA'!AE24),"",'RESUMEN VIGILANCIA'!AE24)</f>
        <v/>
      </c>
      <c r="AG2" s="383" t="str">
        <f>IF(ISBLANK('RESUMEN VIGILANCIA'!AF24),"",'RESUMEN VIGILANCIA'!AF24)</f>
        <v/>
      </c>
      <c r="AH2" s="383" t="str">
        <f>IF(ISBLANK('RESUMEN VIGILANCIA'!AG24),"",'RESUMEN VIGILANCIA'!AG24)</f>
        <v/>
      </c>
      <c r="AI2" s="383" t="str">
        <f>IF(ISBLANK('RESUMEN VIGILANCIA'!AH24),"",'RESUMEN VIGILANCIA'!AH24)</f>
        <v/>
      </c>
      <c r="AJ2" s="383" t="str">
        <f>IF(ISBLANK('RESUMEN VIGILANCIA'!AI24),"",'RESUMEN VIGILANCIA'!AI24)</f>
        <v/>
      </c>
      <c r="AK2" s="383" t="str">
        <f>IF(ISBLANK('RESUMEN VIGILANCIA'!AJ24),"",'RESUMEN VIGILANCIA'!AJ24)</f>
        <v/>
      </c>
      <c r="AL2" s="383" t="str">
        <f>IF(ISBLANK('RESUMEN VIGILANCIA'!AK24),"",'RESUMEN VIGILANCIA'!AK24)</f>
        <v/>
      </c>
      <c r="AM2" s="383" t="str">
        <f>IF(ISBLANK('RESUMEN VIGILANCIA'!AL24),"",'RESUMEN VIGILANCIA'!AL24)</f>
        <v/>
      </c>
      <c r="AN2" s="383" t="str">
        <f>IF(ISBLANK('RESUMEN VIGILANCIA'!AM24),"",'RESUMEN VIGILANCIA'!AM24)</f>
        <v/>
      </c>
      <c r="AO2" s="384" t="str">
        <f>IF(ISBLANK('RESUMEN VIGILANCIA'!AN24),"",'RESUMEN VIGILANCIA'!AN24)</f>
        <v/>
      </c>
      <c r="AP2" s="382" t="str">
        <f>IF(ISBLANK('RESUMEN VIGILANCIA'!AO24),"",'RESUMEN VIGILANCIA'!AO24)</f>
        <v/>
      </c>
      <c r="AQ2" s="383" t="str">
        <f>IF(ISBLANK('RESUMEN VIGILANCIA'!AP24),"",'RESUMEN VIGILANCIA'!AP24)</f>
        <v/>
      </c>
      <c r="AR2" s="383" t="str">
        <f>IF(ISBLANK('RESUMEN VIGILANCIA'!AQ24),"",'RESUMEN VIGILANCIA'!AQ24)</f>
        <v/>
      </c>
      <c r="AS2" s="383" t="str">
        <f>IF(ISBLANK('RESUMEN VIGILANCIA'!AR24),"",'RESUMEN VIGILANCIA'!AR24)</f>
        <v/>
      </c>
      <c r="AT2" s="383" t="str">
        <f>IF(ISBLANK('RESUMEN VIGILANCIA'!AS24),"",'RESUMEN VIGILANCIA'!AS24)</f>
        <v/>
      </c>
      <c r="AU2" s="383" t="str">
        <f>IF(ISBLANK('RESUMEN VIGILANCIA'!AT24),"",'RESUMEN VIGILANCIA'!AT24)</f>
        <v/>
      </c>
      <c r="AV2" s="383" t="str">
        <f>IF(ISBLANK('RESUMEN VIGILANCIA'!AU24),"",'RESUMEN VIGILANCIA'!AU24)</f>
        <v/>
      </c>
      <c r="AW2" s="383" t="str">
        <f>IF(ISBLANK('RESUMEN VIGILANCIA'!AV24),"",'RESUMEN VIGILANCIA'!AV24)</f>
        <v/>
      </c>
      <c r="AX2" s="383" t="str">
        <f>IF(ISBLANK('RESUMEN VIGILANCIA'!AW24),"",'RESUMEN VIGILANCIA'!AW24)</f>
        <v/>
      </c>
      <c r="AY2" s="383" t="str">
        <f>IF(ISBLANK('RESUMEN VIGILANCIA'!AX24),"",'RESUMEN VIGILANCIA'!AX24)</f>
        <v/>
      </c>
      <c r="AZ2" s="383" t="str">
        <f>IF(ISBLANK('RESUMEN VIGILANCIA'!AY24),"",'RESUMEN VIGILANCIA'!AY24)</f>
        <v/>
      </c>
      <c r="BA2" s="384" t="str">
        <f>IF(ISBLANK('RESUMEN VIGILANCIA'!AZ24),"",'RESUMEN VIGILANCIA'!AZ24)</f>
        <v/>
      </c>
      <c r="BB2" s="241">
        <f t="shared" ref="BB2:BB34" si="0">SUM(E2:AO2)</f>
        <v>0</v>
      </c>
      <c r="BC2" s="108"/>
      <c r="BD2" s="108"/>
    </row>
    <row r="3" spans="1:56" s="28" customFormat="1" ht="20.100000000000001" customHeight="1">
      <c r="A3" s="36" t="str">
        <f>'RESUMEN VIGILANCIA'!A26</f>
        <v>Familia Gorrín Gianfrancesco</v>
      </c>
      <c r="B3" s="37" t="str">
        <f>'RESUMEN VIGILANCIA'!B26</f>
        <v>Calle Guacara Nro. 87-40</v>
      </c>
      <c r="C3" s="425"/>
      <c r="D3" s="432" t="s">
        <v>1357</v>
      </c>
      <c r="E3" s="413" t="str">
        <f>IF(ISBLANK('RESUMEN VIGILANCIA'!D26),"",'RESUMEN VIGILANCIA'!D26)</f>
        <v/>
      </c>
      <c r="F3" s="261" t="str">
        <f>IF(ISBLANK('RESUMEN VIGILANCIA'!E26),"",'RESUMEN VIGILANCIA'!E26)</f>
        <v/>
      </c>
      <c r="G3" s="197" t="str">
        <f>IF(ISBLANK('RESUMEN VIGILANCIA'!F26),"",'RESUMEN VIGILANCIA'!F26)</f>
        <v/>
      </c>
      <c r="H3" s="197" t="str">
        <f>IF(ISBLANK('RESUMEN VIGILANCIA'!G26),"",'RESUMEN VIGILANCIA'!G26)</f>
        <v/>
      </c>
      <c r="I3" s="197" t="str">
        <f>IF(ISBLANK('RESUMEN VIGILANCIA'!H26),"",'RESUMEN VIGILANCIA'!H26)</f>
        <v/>
      </c>
      <c r="J3" s="197" t="str">
        <f>IF(ISBLANK('RESUMEN VIGILANCIA'!I26),"",'RESUMEN VIGILANCIA'!I26)</f>
        <v/>
      </c>
      <c r="K3" s="197" t="str">
        <f>IF(ISBLANK('RESUMEN VIGILANCIA'!J26),"",'RESUMEN VIGILANCIA'!J26)</f>
        <v/>
      </c>
      <c r="L3" s="197" t="str">
        <f>IF(ISBLANK('RESUMEN VIGILANCIA'!K26),"",'RESUMEN VIGILANCIA'!K26)</f>
        <v/>
      </c>
      <c r="M3" s="197" t="str">
        <f>IF(ISBLANK('RESUMEN VIGILANCIA'!L26),"",'RESUMEN VIGILANCIA'!L26)</f>
        <v/>
      </c>
      <c r="N3" s="197" t="str">
        <f>IF(ISBLANK('RESUMEN VIGILANCIA'!M26),"",'RESUMEN VIGILANCIA'!M26)</f>
        <v/>
      </c>
      <c r="O3" s="197" t="str">
        <f>IF(ISBLANK('RESUMEN VIGILANCIA'!N26),"",'RESUMEN VIGILANCIA'!N26)</f>
        <v/>
      </c>
      <c r="P3" s="262" t="str">
        <f>IF(ISBLANK('RESUMEN VIGILANCIA'!O26),"",'RESUMEN VIGILANCIA'!O26)</f>
        <v/>
      </c>
      <c r="Q3" s="195" t="str">
        <f>IF(ISBLANK('RESUMEN VIGILANCIA'!P26),"",'RESUMEN VIGILANCIA'!P26)</f>
        <v/>
      </c>
      <c r="R3" s="263" t="str">
        <f>IF(ISBLANK('RESUMEN VIGILANCIA'!Q26),"",'RESUMEN VIGILANCIA'!Q26)</f>
        <v/>
      </c>
      <c r="S3" s="262" t="str">
        <f>IF(ISBLANK('RESUMEN VIGILANCIA'!R26),"",'RESUMEN VIGILANCIA'!R26)</f>
        <v/>
      </c>
      <c r="T3" s="262" t="str">
        <f>IF(ISBLANK('RESUMEN VIGILANCIA'!S26),"",'RESUMEN VIGILANCIA'!S26)</f>
        <v/>
      </c>
      <c r="U3" s="262" t="str">
        <f>IF(ISBLANK('RESUMEN VIGILANCIA'!T26),"",'RESUMEN VIGILANCIA'!T26)</f>
        <v/>
      </c>
      <c r="V3" s="262" t="str">
        <f>IF(ISBLANK('RESUMEN VIGILANCIA'!U26),"",'RESUMEN VIGILANCIA'!U26)</f>
        <v/>
      </c>
      <c r="W3" s="262" t="str">
        <f>IF(ISBLANK('RESUMEN VIGILANCIA'!V26),"",'RESUMEN VIGILANCIA'!V26)</f>
        <v/>
      </c>
      <c r="X3" s="262" t="str">
        <f>IF(ISBLANK('RESUMEN VIGILANCIA'!W26),"",'RESUMEN VIGILANCIA'!W26)</f>
        <v/>
      </c>
      <c r="Y3" s="262" t="str">
        <f>IF(ISBLANK('RESUMEN VIGILANCIA'!X26),"",'RESUMEN VIGILANCIA'!X26)</f>
        <v/>
      </c>
      <c r="Z3" s="451" t="str">
        <f>IF(ISBLANK('RESUMEN VIGILANCIA'!Y26),"",'RESUMEN VIGILANCIA'!Y26)</f>
        <v/>
      </c>
      <c r="AA3" s="451" t="str">
        <f>IF(ISBLANK('RESUMEN VIGILANCIA'!Z26),"",'RESUMEN VIGILANCIA'!Z26)</f>
        <v/>
      </c>
      <c r="AB3" s="451" t="str">
        <f>IF(ISBLANK('RESUMEN VIGILANCIA'!AA26),"",'RESUMEN VIGILANCIA'!AA26)</f>
        <v/>
      </c>
      <c r="AC3" s="452" t="str">
        <f>IF(ISBLANK('RESUMEN VIGILANCIA'!AB26),"",'RESUMEN VIGILANCIA'!AB26)</f>
        <v/>
      </c>
      <c r="AD3" s="382" t="str">
        <f>IF(ISBLANK('RESUMEN VIGILANCIA'!AC26),"",'RESUMEN VIGILANCIA'!AC26)</f>
        <v/>
      </c>
      <c r="AE3" s="383" t="str">
        <f>IF(ISBLANK('RESUMEN VIGILANCIA'!AD26),"",'RESUMEN VIGILANCIA'!AD26)</f>
        <v/>
      </c>
      <c r="AF3" s="383" t="str">
        <f>IF(ISBLANK('RESUMEN VIGILANCIA'!AE26),"",'RESUMEN VIGILANCIA'!AE26)</f>
        <v/>
      </c>
      <c r="AG3" s="383" t="str">
        <f>IF(ISBLANK('RESUMEN VIGILANCIA'!AF26),"",'RESUMEN VIGILANCIA'!AF26)</f>
        <v/>
      </c>
      <c r="AH3" s="383" t="str">
        <f>IF(ISBLANK('RESUMEN VIGILANCIA'!AG26),"",'RESUMEN VIGILANCIA'!AG26)</f>
        <v/>
      </c>
      <c r="AI3" s="383" t="str">
        <f>IF(ISBLANK('RESUMEN VIGILANCIA'!AH26),"",'RESUMEN VIGILANCIA'!AH26)</f>
        <v/>
      </c>
      <c r="AJ3" s="383" t="str">
        <f>IF(ISBLANK('RESUMEN VIGILANCIA'!AI26),"",'RESUMEN VIGILANCIA'!AI26)</f>
        <v/>
      </c>
      <c r="AK3" s="383" t="str">
        <f>IF(ISBLANK('RESUMEN VIGILANCIA'!AJ26),"",'RESUMEN VIGILANCIA'!AJ26)</f>
        <v/>
      </c>
      <c r="AL3" s="383" t="str">
        <f>IF(ISBLANK('RESUMEN VIGILANCIA'!AK26),"",'RESUMEN VIGILANCIA'!AK26)</f>
        <v/>
      </c>
      <c r="AM3" s="383" t="str">
        <f>IF(ISBLANK('RESUMEN VIGILANCIA'!AL26),"",'RESUMEN VIGILANCIA'!AL26)</f>
        <v/>
      </c>
      <c r="AN3" s="383" t="str">
        <f>IF(ISBLANK('RESUMEN VIGILANCIA'!AM26),"",'RESUMEN VIGILANCIA'!AM26)</f>
        <v/>
      </c>
      <c r="AO3" s="384" t="str">
        <f>IF(ISBLANK('RESUMEN VIGILANCIA'!AN26),"",'RESUMEN VIGILANCIA'!AN26)</f>
        <v/>
      </c>
      <c r="AP3" s="382" t="str">
        <f>IF(ISBLANK('RESUMEN VIGILANCIA'!AO26),"",'RESUMEN VIGILANCIA'!AO26)</f>
        <v/>
      </c>
      <c r="AQ3" s="383" t="str">
        <f>IF(ISBLANK('RESUMEN VIGILANCIA'!AP26),"",'RESUMEN VIGILANCIA'!AP26)</f>
        <v/>
      </c>
      <c r="AR3" s="383" t="str">
        <f>IF(ISBLANK('RESUMEN VIGILANCIA'!AQ26),"",'RESUMEN VIGILANCIA'!AQ26)</f>
        <v/>
      </c>
      <c r="AS3" s="383" t="str">
        <f>IF(ISBLANK('RESUMEN VIGILANCIA'!AR26),"",'RESUMEN VIGILANCIA'!AR26)</f>
        <v/>
      </c>
      <c r="AT3" s="383" t="str">
        <f>IF(ISBLANK('RESUMEN VIGILANCIA'!AS26),"",'RESUMEN VIGILANCIA'!AS26)</f>
        <v/>
      </c>
      <c r="AU3" s="383" t="str">
        <f>IF(ISBLANK('RESUMEN VIGILANCIA'!AT26),"",'RESUMEN VIGILANCIA'!AT26)</f>
        <v/>
      </c>
      <c r="AV3" s="383" t="str">
        <f>IF(ISBLANK('RESUMEN VIGILANCIA'!AU26),"",'RESUMEN VIGILANCIA'!AU26)</f>
        <v/>
      </c>
      <c r="AW3" s="383" t="str">
        <f>IF(ISBLANK('RESUMEN VIGILANCIA'!AV26),"",'RESUMEN VIGILANCIA'!AV26)</f>
        <v/>
      </c>
      <c r="AX3" s="383" t="str">
        <f>IF(ISBLANK('RESUMEN VIGILANCIA'!AW26),"",'RESUMEN VIGILANCIA'!AW26)</f>
        <v/>
      </c>
      <c r="AY3" s="383" t="str">
        <f>IF(ISBLANK('RESUMEN VIGILANCIA'!AX26),"",'RESUMEN VIGILANCIA'!AX26)</f>
        <v/>
      </c>
      <c r="AZ3" s="383" t="str">
        <f>IF(ISBLANK('RESUMEN VIGILANCIA'!AY26),"",'RESUMEN VIGILANCIA'!AY26)</f>
        <v/>
      </c>
      <c r="BA3" s="384" t="str">
        <f>IF(ISBLANK('RESUMEN VIGILANCIA'!AZ26),"",'RESUMEN VIGILANCIA'!AZ26)</f>
        <v/>
      </c>
      <c r="BB3" s="241">
        <f t="shared" si="0"/>
        <v>0</v>
      </c>
      <c r="BC3" s="108"/>
      <c r="BD3" s="108"/>
    </row>
    <row r="4" spans="1:56" s="28" customFormat="1" ht="20.100000000000001" customHeight="1">
      <c r="A4" s="36" t="str">
        <f>'RESUMEN VIGILANCIA'!A30</f>
        <v>Familia De Libero Marinelli</v>
      </c>
      <c r="B4" s="37" t="str">
        <f>'RESUMEN VIGILANCIA'!B30</f>
        <v>Calle Guacara Nro. 87-70</v>
      </c>
      <c r="C4" s="425"/>
      <c r="D4" s="432" t="s">
        <v>1357</v>
      </c>
      <c r="E4" s="413" t="str">
        <f>IF(ISBLANK('RESUMEN VIGILANCIA'!D30),"",'RESUMEN VIGILANCIA'!D30)</f>
        <v/>
      </c>
      <c r="F4" s="261" t="str">
        <f>IF(ISBLANK('RESUMEN VIGILANCIA'!E30),"",'RESUMEN VIGILANCIA'!E30)</f>
        <v/>
      </c>
      <c r="G4" s="197" t="str">
        <f>IF(ISBLANK('RESUMEN VIGILANCIA'!F30),"",'RESUMEN VIGILANCIA'!F30)</f>
        <v/>
      </c>
      <c r="H4" s="197" t="str">
        <f>IF(ISBLANK('RESUMEN VIGILANCIA'!G30),"",'RESUMEN VIGILANCIA'!G30)</f>
        <v/>
      </c>
      <c r="I4" s="197" t="str">
        <f>IF(ISBLANK('RESUMEN VIGILANCIA'!H30),"",'RESUMEN VIGILANCIA'!H30)</f>
        <v/>
      </c>
      <c r="J4" s="197" t="str">
        <f>IF(ISBLANK('RESUMEN VIGILANCIA'!I30),"",'RESUMEN VIGILANCIA'!I30)</f>
        <v/>
      </c>
      <c r="K4" s="197" t="str">
        <f>IF(ISBLANK('RESUMEN VIGILANCIA'!J30),"",'RESUMEN VIGILANCIA'!J30)</f>
        <v/>
      </c>
      <c r="L4" s="197" t="str">
        <f>IF(ISBLANK('RESUMEN VIGILANCIA'!K30),"",'RESUMEN VIGILANCIA'!K30)</f>
        <v/>
      </c>
      <c r="M4" s="197" t="str">
        <f>IF(ISBLANK('RESUMEN VIGILANCIA'!L30),"",'RESUMEN VIGILANCIA'!L30)</f>
        <v/>
      </c>
      <c r="N4" s="197" t="str">
        <f>IF(ISBLANK('RESUMEN VIGILANCIA'!M30),"",'RESUMEN VIGILANCIA'!M30)</f>
        <v/>
      </c>
      <c r="O4" s="197" t="str">
        <f>IF(ISBLANK('RESUMEN VIGILANCIA'!N30),"",'RESUMEN VIGILANCIA'!N30)</f>
        <v/>
      </c>
      <c r="P4" s="262" t="str">
        <f>IF(ISBLANK('RESUMEN VIGILANCIA'!O30),"",'RESUMEN VIGILANCIA'!O30)</f>
        <v/>
      </c>
      <c r="Q4" s="195" t="str">
        <f>IF(ISBLANK('RESUMEN VIGILANCIA'!P30),"",'RESUMEN VIGILANCIA'!P30)</f>
        <v/>
      </c>
      <c r="R4" s="263" t="str">
        <f>IF(ISBLANK('RESUMEN VIGILANCIA'!Q30),"",'RESUMEN VIGILANCIA'!Q30)</f>
        <v/>
      </c>
      <c r="S4" s="262" t="str">
        <f>IF(ISBLANK('RESUMEN VIGILANCIA'!R30),"",'RESUMEN VIGILANCIA'!R30)</f>
        <v/>
      </c>
      <c r="T4" s="262" t="str">
        <f>IF(ISBLANK('RESUMEN VIGILANCIA'!S30),"",'RESUMEN VIGILANCIA'!S30)</f>
        <v/>
      </c>
      <c r="U4" s="262" t="str">
        <f>IF(ISBLANK('RESUMEN VIGILANCIA'!T30),"",'RESUMEN VIGILANCIA'!T30)</f>
        <v/>
      </c>
      <c r="V4" s="262" t="str">
        <f>IF(ISBLANK('RESUMEN VIGILANCIA'!U30),"",'RESUMEN VIGILANCIA'!U30)</f>
        <v/>
      </c>
      <c r="W4" s="262" t="str">
        <f>IF(ISBLANK('RESUMEN VIGILANCIA'!V30),"",'RESUMEN VIGILANCIA'!V30)</f>
        <v/>
      </c>
      <c r="X4" s="262" t="str">
        <f>IF(ISBLANK('RESUMEN VIGILANCIA'!W30),"",'RESUMEN VIGILANCIA'!W30)</f>
        <v/>
      </c>
      <c r="Y4" s="262" t="str">
        <f>IF(ISBLANK('RESUMEN VIGILANCIA'!X30),"",'RESUMEN VIGILANCIA'!X30)</f>
        <v/>
      </c>
      <c r="Z4" s="451" t="str">
        <f>IF(ISBLANK('RESUMEN VIGILANCIA'!Y30),"",'RESUMEN VIGILANCIA'!Y30)</f>
        <v/>
      </c>
      <c r="AA4" s="451" t="str">
        <f>IF(ISBLANK('RESUMEN VIGILANCIA'!Z30),"",'RESUMEN VIGILANCIA'!Z30)</f>
        <v/>
      </c>
      <c r="AB4" s="451" t="str">
        <f>IF(ISBLANK('RESUMEN VIGILANCIA'!AA30),"",'RESUMEN VIGILANCIA'!AA30)</f>
        <v/>
      </c>
      <c r="AC4" s="452" t="str">
        <f>IF(ISBLANK('RESUMEN VIGILANCIA'!AB30),"",'RESUMEN VIGILANCIA'!AB30)</f>
        <v/>
      </c>
      <c r="AD4" s="382" t="str">
        <f>IF(ISBLANK('RESUMEN VIGILANCIA'!AC30),"",'RESUMEN VIGILANCIA'!AC30)</f>
        <v/>
      </c>
      <c r="AE4" s="383" t="str">
        <f>IF(ISBLANK('RESUMEN VIGILANCIA'!AD30),"",'RESUMEN VIGILANCIA'!AD30)</f>
        <v/>
      </c>
      <c r="AF4" s="383" t="str">
        <f>IF(ISBLANK('RESUMEN VIGILANCIA'!AE30),"",'RESUMEN VIGILANCIA'!AE30)</f>
        <v/>
      </c>
      <c r="AG4" s="383" t="str">
        <f>IF(ISBLANK('RESUMEN VIGILANCIA'!AF30),"",'RESUMEN VIGILANCIA'!AF30)</f>
        <v/>
      </c>
      <c r="AH4" s="383" t="str">
        <f>IF(ISBLANK('RESUMEN VIGILANCIA'!AG30),"",'RESUMEN VIGILANCIA'!AG30)</f>
        <v/>
      </c>
      <c r="AI4" s="383" t="str">
        <f>IF(ISBLANK('RESUMEN VIGILANCIA'!AH30),"",'RESUMEN VIGILANCIA'!AH30)</f>
        <v/>
      </c>
      <c r="AJ4" s="383" t="str">
        <f>IF(ISBLANK('RESUMEN VIGILANCIA'!AI30),"",'RESUMEN VIGILANCIA'!AI30)</f>
        <v/>
      </c>
      <c r="AK4" s="383" t="str">
        <f>IF(ISBLANK('RESUMEN VIGILANCIA'!AJ30),"",'RESUMEN VIGILANCIA'!AJ30)</f>
        <v/>
      </c>
      <c r="AL4" s="383" t="str">
        <f>IF(ISBLANK('RESUMEN VIGILANCIA'!AK30),"",'RESUMEN VIGILANCIA'!AK30)</f>
        <v/>
      </c>
      <c r="AM4" s="383" t="str">
        <f>IF(ISBLANK('RESUMEN VIGILANCIA'!AL30),"",'RESUMEN VIGILANCIA'!AL30)</f>
        <v/>
      </c>
      <c r="AN4" s="383" t="str">
        <f>IF(ISBLANK('RESUMEN VIGILANCIA'!AM30),"",'RESUMEN VIGILANCIA'!AM30)</f>
        <v/>
      </c>
      <c r="AO4" s="384" t="str">
        <f>IF(ISBLANK('RESUMEN VIGILANCIA'!AN30),"",'RESUMEN VIGILANCIA'!AN30)</f>
        <v/>
      </c>
      <c r="AP4" s="382" t="str">
        <f>IF(ISBLANK('RESUMEN VIGILANCIA'!AO30),"",'RESUMEN VIGILANCIA'!AO30)</f>
        <v/>
      </c>
      <c r="AQ4" s="383" t="str">
        <f>IF(ISBLANK('RESUMEN VIGILANCIA'!AP30),"",'RESUMEN VIGILANCIA'!AP30)</f>
        <v/>
      </c>
      <c r="AR4" s="383" t="str">
        <f>IF(ISBLANK('RESUMEN VIGILANCIA'!AQ30),"",'RESUMEN VIGILANCIA'!AQ30)</f>
        <v/>
      </c>
      <c r="AS4" s="383" t="str">
        <f>IF(ISBLANK('RESUMEN VIGILANCIA'!AR30),"",'RESUMEN VIGILANCIA'!AR30)</f>
        <v/>
      </c>
      <c r="AT4" s="383" t="str">
        <f>IF(ISBLANK('RESUMEN VIGILANCIA'!AS30),"",'RESUMEN VIGILANCIA'!AS30)</f>
        <v/>
      </c>
      <c r="AU4" s="383" t="str">
        <f>IF(ISBLANK('RESUMEN VIGILANCIA'!AT30),"",'RESUMEN VIGILANCIA'!AT30)</f>
        <v/>
      </c>
      <c r="AV4" s="383" t="str">
        <f>IF(ISBLANK('RESUMEN VIGILANCIA'!AU30),"",'RESUMEN VIGILANCIA'!AU30)</f>
        <v/>
      </c>
      <c r="AW4" s="383" t="str">
        <f>IF(ISBLANK('RESUMEN VIGILANCIA'!AV30),"",'RESUMEN VIGILANCIA'!AV30)</f>
        <v/>
      </c>
      <c r="AX4" s="383" t="str">
        <f>IF(ISBLANK('RESUMEN VIGILANCIA'!AW30),"",'RESUMEN VIGILANCIA'!AW30)</f>
        <v/>
      </c>
      <c r="AY4" s="383" t="str">
        <f>IF(ISBLANK('RESUMEN VIGILANCIA'!AX30),"",'RESUMEN VIGILANCIA'!AX30)</f>
        <v/>
      </c>
      <c r="AZ4" s="383" t="str">
        <f>IF(ISBLANK('RESUMEN VIGILANCIA'!AY30),"",'RESUMEN VIGILANCIA'!AY30)</f>
        <v/>
      </c>
      <c r="BA4" s="384" t="str">
        <f>IF(ISBLANK('RESUMEN VIGILANCIA'!AZ30),"",'RESUMEN VIGILANCIA'!AZ30)</f>
        <v/>
      </c>
      <c r="BB4" s="241">
        <f t="shared" si="0"/>
        <v>0</v>
      </c>
      <c r="BC4" s="108"/>
      <c r="BD4" s="108"/>
    </row>
    <row r="5" spans="1:56" s="28" customFormat="1" ht="20.100000000000001" customHeight="1">
      <c r="A5" s="36" t="str">
        <f>'RESUMEN VIGILANCIA'!A31</f>
        <v>Familia Martínez</v>
      </c>
      <c r="B5" s="37" t="str">
        <f>'RESUMEN VIGILANCIA'!B31</f>
        <v>Calle Guacara Nro. 87-80</v>
      </c>
      <c r="C5" s="425"/>
      <c r="D5" s="432" t="s">
        <v>1357</v>
      </c>
      <c r="E5" s="413" t="str">
        <f>IF(ISBLANK('RESUMEN VIGILANCIA'!D31),"",'RESUMEN VIGILANCIA'!D31)</f>
        <v/>
      </c>
      <c r="F5" s="261" t="str">
        <f>IF(ISBLANK('RESUMEN VIGILANCIA'!E31),"",'RESUMEN VIGILANCIA'!E31)</f>
        <v/>
      </c>
      <c r="G5" s="197" t="str">
        <f>IF(ISBLANK('RESUMEN VIGILANCIA'!F31),"",'RESUMEN VIGILANCIA'!F31)</f>
        <v/>
      </c>
      <c r="H5" s="197" t="str">
        <f>IF(ISBLANK('RESUMEN VIGILANCIA'!G31),"",'RESUMEN VIGILANCIA'!G31)</f>
        <v/>
      </c>
      <c r="I5" s="197" t="str">
        <f>IF(ISBLANK('RESUMEN VIGILANCIA'!H31),"",'RESUMEN VIGILANCIA'!H31)</f>
        <v/>
      </c>
      <c r="J5" s="197" t="str">
        <f>IF(ISBLANK('RESUMEN VIGILANCIA'!I31),"",'RESUMEN VIGILANCIA'!I31)</f>
        <v/>
      </c>
      <c r="K5" s="197" t="str">
        <f>IF(ISBLANK('RESUMEN VIGILANCIA'!J31),"",'RESUMEN VIGILANCIA'!J31)</f>
        <v/>
      </c>
      <c r="L5" s="197" t="str">
        <f>IF(ISBLANK('RESUMEN VIGILANCIA'!K31),"",'RESUMEN VIGILANCIA'!K31)</f>
        <v/>
      </c>
      <c r="M5" s="197" t="str">
        <f>IF(ISBLANK('RESUMEN VIGILANCIA'!L31),"",'RESUMEN VIGILANCIA'!L31)</f>
        <v/>
      </c>
      <c r="N5" s="197" t="str">
        <f>IF(ISBLANK('RESUMEN VIGILANCIA'!M31),"",'RESUMEN VIGILANCIA'!M31)</f>
        <v/>
      </c>
      <c r="O5" s="197" t="str">
        <f>IF(ISBLANK('RESUMEN VIGILANCIA'!N31),"",'RESUMEN VIGILANCIA'!N31)</f>
        <v/>
      </c>
      <c r="P5" s="262" t="str">
        <f>IF(ISBLANK('RESUMEN VIGILANCIA'!O31),"",'RESUMEN VIGILANCIA'!O31)</f>
        <v/>
      </c>
      <c r="Q5" s="195" t="str">
        <f>IF(ISBLANK('RESUMEN VIGILANCIA'!P31),"",'RESUMEN VIGILANCIA'!P31)</f>
        <v/>
      </c>
      <c r="R5" s="263" t="str">
        <f>IF(ISBLANK('RESUMEN VIGILANCIA'!Q31),"",'RESUMEN VIGILANCIA'!Q31)</f>
        <v/>
      </c>
      <c r="S5" s="262" t="str">
        <f>IF(ISBLANK('RESUMEN VIGILANCIA'!R31),"",'RESUMEN VIGILANCIA'!R31)</f>
        <v/>
      </c>
      <c r="T5" s="262" t="str">
        <f>IF(ISBLANK('RESUMEN VIGILANCIA'!S31),"",'RESUMEN VIGILANCIA'!S31)</f>
        <v/>
      </c>
      <c r="U5" s="262" t="str">
        <f>IF(ISBLANK('RESUMEN VIGILANCIA'!T31),"",'RESUMEN VIGILANCIA'!T31)</f>
        <v/>
      </c>
      <c r="V5" s="262" t="str">
        <f>IF(ISBLANK('RESUMEN VIGILANCIA'!U31),"",'RESUMEN VIGILANCIA'!U31)</f>
        <v/>
      </c>
      <c r="W5" s="262" t="str">
        <f>IF(ISBLANK('RESUMEN VIGILANCIA'!V31),"",'RESUMEN VIGILANCIA'!V31)</f>
        <v/>
      </c>
      <c r="X5" s="262" t="str">
        <f>IF(ISBLANK('RESUMEN VIGILANCIA'!W31),"",'RESUMEN VIGILANCIA'!W31)</f>
        <v/>
      </c>
      <c r="Y5" s="262" t="str">
        <f>IF(ISBLANK('RESUMEN VIGILANCIA'!X31),"",'RESUMEN VIGILANCIA'!X31)</f>
        <v/>
      </c>
      <c r="Z5" s="451" t="str">
        <f>IF(ISBLANK('RESUMEN VIGILANCIA'!Y31),"",'RESUMEN VIGILANCIA'!Y31)</f>
        <v/>
      </c>
      <c r="AA5" s="451" t="str">
        <f>IF(ISBLANK('RESUMEN VIGILANCIA'!Z31),"",'RESUMEN VIGILANCIA'!Z31)</f>
        <v/>
      </c>
      <c r="AB5" s="451" t="str">
        <f>IF(ISBLANK('RESUMEN VIGILANCIA'!AA31),"",'RESUMEN VIGILANCIA'!AA31)</f>
        <v/>
      </c>
      <c r="AC5" s="452" t="str">
        <f>IF(ISBLANK('RESUMEN VIGILANCIA'!AB31),"",'RESUMEN VIGILANCIA'!AB31)</f>
        <v/>
      </c>
      <c r="AD5" s="382" t="str">
        <f>IF(ISBLANK('RESUMEN VIGILANCIA'!AC31),"",'RESUMEN VIGILANCIA'!AC31)</f>
        <v/>
      </c>
      <c r="AE5" s="383" t="str">
        <f>IF(ISBLANK('RESUMEN VIGILANCIA'!AD31),"",'RESUMEN VIGILANCIA'!AD31)</f>
        <v/>
      </c>
      <c r="AF5" s="383" t="str">
        <f>IF(ISBLANK('RESUMEN VIGILANCIA'!AE31),"",'RESUMEN VIGILANCIA'!AE31)</f>
        <v/>
      </c>
      <c r="AG5" s="383" t="str">
        <f>IF(ISBLANK('RESUMEN VIGILANCIA'!AF31),"",'RESUMEN VIGILANCIA'!AF31)</f>
        <v/>
      </c>
      <c r="AH5" s="383" t="str">
        <f>IF(ISBLANK('RESUMEN VIGILANCIA'!AG31),"",'RESUMEN VIGILANCIA'!AG31)</f>
        <v/>
      </c>
      <c r="AI5" s="383" t="str">
        <f>IF(ISBLANK('RESUMEN VIGILANCIA'!AH31),"",'RESUMEN VIGILANCIA'!AH31)</f>
        <v/>
      </c>
      <c r="AJ5" s="383" t="str">
        <f>IF(ISBLANK('RESUMEN VIGILANCIA'!AI31),"",'RESUMEN VIGILANCIA'!AI31)</f>
        <v/>
      </c>
      <c r="AK5" s="383" t="str">
        <f>IF(ISBLANK('RESUMEN VIGILANCIA'!AJ31),"",'RESUMEN VIGILANCIA'!AJ31)</f>
        <v/>
      </c>
      <c r="AL5" s="383" t="str">
        <f>IF(ISBLANK('RESUMEN VIGILANCIA'!AK31),"",'RESUMEN VIGILANCIA'!AK31)</f>
        <v/>
      </c>
      <c r="AM5" s="383" t="str">
        <f>IF(ISBLANK('RESUMEN VIGILANCIA'!AL31),"",'RESUMEN VIGILANCIA'!AL31)</f>
        <v/>
      </c>
      <c r="AN5" s="383" t="str">
        <f>IF(ISBLANK('RESUMEN VIGILANCIA'!AM31),"",'RESUMEN VIGILANCIA'!AM31)</f>
        <v/>
      </c>
      <c r="AO5" s="384" t="str">
        <f>IF(ISBLANK('RESUMEN VIGILANCIA'!AN31),"",'RESUMEN VIGILANCIA'!AN31)</f>
        <v/>
      </c>
      <c r="AP5" s="382" t="str">
        <f>IF(ISBLANK('RESUMEN VIGILANCIA'!AO31),"",'RESUMEN VIGILANCIA'!AO31)</f>
        <v/>
      </c>
      <c r="AQ5" s="383" t="str">
        <f>IF(ISBLANK('RESUMEN VIGILANCIA'!AP31),"",'RESUMEN VIGILANCIA'!AP31)</f>
        <v/>
      </c>
      <c r="AR5" s="383" t="str">
        <f>IF(ISBLANK('RESUMEN VIGILANCIA'!AQ31),"",'RESUMEN VIGILANCIA'!AQ31)</f>
        <v/>
      </c>
      <c r="AS5" s="383" t="str">
        <f>IF(ISBLANK('RESUMEN VIGILANCIA'!AR31),"",'RESUMEN VIGILANCIA'!AR31)</f>
        <v/>
      </c>
      <c r="AT5" s="383" t="str">
        <f>IF(ISBLANK('RESUMEN VIGILANCIA'!AS31),"",'RESUMEN VIGILANCIA'!AS31)</f>
        <v/>
      </c>
      <c r="AU5" s="383" t="str">
        <f>IF(ISBLANK('RESUMEN VIGILANCIA'!AT31),"",'RESUMEN VIGILANCIA'!AT31)</f>
        <v/>
      </c>
      <c r="AV5" s="383" t="str">
        <f>IF(ISBLANK('RESUMEN VIGILANCIA'!AU31),"",'RESUMEN VIGILANCIA'!AU31)</f>
        <v/>
      </c>
      <c r="AW5" s="383" t="str">
        <f>IF(ISBLANK('RESUMEN VIGILANCIA'!AV31),"",'RESUMEN VIGILANCIA'!AV31)</f>
        <v/>
      </c>
      <c r="AX5" s="383" t="str">
        <f>IF(ISBLANK('RESUMEN VIGILANCIA'!AW31),"",'RESUMEN VIGILANCIA'!AW31)</f>
        <v/>
      </c>
      <c r="AY5" s="383" t="str">
        <f>IF(ISBLANK('RESUMEN VIGILANCIA'!AX31),"",'RESUMEN VIGILANCIA'!AX31)</f>
        <v/>
      </c>
      <c r="AZ5" s="383" t="str">
        <f>IF(ISBLANK('RESUMEN VIGILANCIA'!AY31),"",'RESUMEN VIGILANCIA'!AY31)</f>
        <v/>
      </c>
      <c r="BA5" s="384" t="str">
        <f>IF(ISBLANK('RESUMEN VIGILANCIA'!AZ31),"",'RESUMEN VIGILANCIA'!AZ31)</f>
        <v/>
      </c>
      <c r="BB5" s="241">
        <f t="shared" si="0"/>
        <v>0</v>
      </c>
      <c r="BC5" s="108"/>
      <c r="BD5" s="108"/>
    </row>
    <row r="6" spans="1:56" s="28" customFormat="1" ht="20.100000000000001" customHeight="1">
      <c r="A6" s="36" t="str">
        <f>'RESUMEN VIGILANCIA'!A32</f>
        <v>Familia Suarez</v>
      </c>
      <c r="B6" s="37" t="str">
        <f>'RESUMEN VIGILANCIA'!B32</f>
        <v>Calle Guacara Nro. 87-82</v>
      </c>
      <c r="C6" s="425"/>
      <c r="D6" s="432" t="s">
        <v>1357</v>
      </c>
      <c r="E6" s="413" t="str">
        <f>IF(ISBLANK('RESUMEN VIGILANCIA'!D32),"",'RESUMEN VIGILANCIA'!D32)</f>
        <v/>
      </c>
      <c r="F6" s="261" t="str">
        <f>IF(ISBLANK('RESUMEN VIGILANCIA'!E32),"",'RESUMEN VIGILANCIA'!E32)</f>
        <v/>
      </c>
      <c r="G6" s="197" t="str">
        <f>IF(ISBLANK('RESUMEN VIGILANCIA'!F32),"",'RESUMEN VIGILANCIA'!F32)</f>
        <v/>
      </c>
      <c r="H6" s="197" t="str">
        <f>IF(ISBLANK('RESUMEN VIGILANCIA'!G32),"",'RESUMEN VIGILANCIA'!G32)</f>
        <v/>
      </c>
      <c r="I6" s="197" t="str">
        <f>IF(ISBLANK('RESUMEN VIGILANCIA'!H32),"",'RESUMEN VIGILANCIA'!H32)</f>
        <v/>
      </c>
      <c r="J6" s="197" t="str">
        <f>IF(ISBLANK('RESUMEN VIGILANCIA'!I32),"",'RESUMEN VIGILANCIA'!I32)</f>
        <v/>
      </c>
      <c r="K6" s="197" t="str">
        <f>IF(ISBLANK('RESUMEN VIGILANCIA'!J32),"",'RESUMEN VIGILANCIA'!J32)</f>
        <v/>
      </c>
      <c r="L6" s="197" t="str">
        <f>IF(ISBLANK('RESUMEN VIGILANCIA'!K32),"",'RESUMEN VIGILANCIA'!K32)</f>
        <v/>
      </c>
      <c r="M6" s="197" t="str">
        <f>IF(ISBLANK('RESUMEN VIGILANCIA'!L32),"",'RESUMEN VIGILANCIA'!L32)</f>
        <v/>
      </c>
      <c r="N6" s="197" t="str">
        <f>IF(ISBLANK('RESUMEN VIGILANCIA'!M32),"",'RESUMEN VIGILANCIA'!M32)</f>
        <v/>
      </c>
      <c r="O6" s="197" t="str">
        <f>IF(ISBLANK('RESUMEN VIGILANCIA'!N32),"",'RESUMEN VIGILANCIA'!N32)</f>
        <v/>
      </c>
      <c r="P6" s="262" t="str">
        <f>IF(ISBLANK('RESUMEN VIGILANCIA'!O32),"",'RESUMEN VIGILANCIA'!O32)</f>
        <v/>
      </c>
      <c r="Q6" s="195" t="str">
        <f>IF(ISBLANK('RESUMEN VIGILANCIA'!P32),"",'RESUMEN VIGILANCIA'!P32)</f>
        <v/>
      </c>
      <c r="R6" s="263" t="str">
        <f>IF(ISBLANK('RESUMEN VIGILANCIA'!Q32),"",'RESUMEN VIGILANCIA'!Q32)</f>
        <v/>
      </c>
      <c r="S6" s="262" t="str">
        <f>IF(ISBLANK('RESUMEN VIGILANCIA'!R32),"",'RESUMEN VIGILANCIA'!R32)</f>
        <v/>
      </c>
      <c r="T6" s="262" t="str">
        <f>IF(ISBLANK('RESUMEN VIGILANCIA'!S32),"",'RESUMEN VIGILANCIA'!S32)</f>
        <v/>
      </c>
      <c r="U6" s="262" t="str">
        <f>IF(ISBLANK('RESUMEN VIGILANCIA'!T32),"",'RESUMEN VIGILANCIA'!T32)</f>
        <v/>
      </c>
      <c r="V6" s="262" t="str">
        <f>IF(ISBLANK('RESUMEN VIGILANCIA'!U32),"",'RESUMEN VIGILANCIA'!U32)</f>
        <v/>
      </c>
      <c r="W6" s="262" t="str">
        <f>IF(ISBLANK('RESUMEN VIGILANCIA'!V32),"",'RESUMEN VIGILANCIA'!V32)</f>
        <v/>
      </c>
      <c r="X6" s="262" t="str">
        <f>IF(ISBLANK('RESUMEN VIGILANCIA'!W32),"",'RESUMEN VIGILANCIA'!W32)</f>
        <v/>
      </c>
      <c r="Y6" s="262" t="str">
        <f>IF(ISBLANK('RESUMEN VIGILANCIA'!X32),"",'RESUMEN VIGILANCIA'!X32)</f>
        <v/>
      </c>
      <c r="Z6" s="451" t="str">
        <f>IF(ISBLANK('RESUMEN VIGILANCIA'!Y32),"",'RESUMEN VIGILANCIA'!Y32)</f>
        <v/>
      </c>
      <c r="AA6" s="451" t="str">
        <f>IF(ISBLANK('RESUMEN VIGILANCIA'!Z32),"",'RESUMEN VIGILANCIA'!Z32)</f>
        <v/>
      </c>
      <c r="AB6" s="451" t="str">
        <f>IF(ISBLANK('RESUMEN VIGILANCIA'!AA32),"",'RESUMEN VIGILANCIA'!AA32)</f>
        <v/>
      </c>
      <c r="AC6" s="452" t="str">
        <f>IF(ISBLANK('RESUMEN VIGILANCIA'!AB32),"",'RESUMEN VIGILANCIA'!AB32)</f>
        <v/>
      </c>
      <c r="AD6" s="382" t="str">
        <f>IF(ISBLANK('RESUMEN VIGILANCIA'!AC32),"",'RESUMEN VIGILANCIA'!AC32)</f>
        <v/>
      </c>
      <c r="AE6" s="383" t="str">
        <f>IF(ISBLANK('RESUMEN VIGILANCIA'!AD32),"",'RESUMEN VIGILANCIA'!AD32)</f>
        <v/>
      </c>
      <c r="AF6" s="383" t="str">
        <f>IF(ISBLANK('RESUMEN VIGILANCIA'!AE32),"",'RESUMEN VIGILANCIA'!AE32)</f>
        <v/>
      </c>
      <c r="AG6" s="383" t="str">
        <f>IF(ISBLANK('RESUMEN VIGILANCIA'!AF32),"",'RESUMEN VIGILANCIA'!AF32)</f>
        <v/>
      </c>
      <c r="AH6" s="383" t="str">
        <f>IF(ISBLANK('RESUMEN VIGILANCIA'!AG32),"",'RESUMEN VIGILANCIA'!AG32)</f>
        <v/>
      </c>
      <c r="AI6" s="383" t="str">
        <f>IF(ISBLANK('RESUMEN VIGILANCIA'!AH32),"",'RESUMEN VIGILANCIA'!AH32)</f>
        <v/>
      </c>
      <c r="AJ6" s="383" t="str">
        <f>IF(ISBLANK('RESUMEN VIGILANCIA'!AI32),"",'RESUMEN VIGILANCIA'!AI32)</f>
        <v/>
      </c>
      <c r="AK6" s="383" t="str">
        <f>IF(ISBLANK('RESUMEN VIGILANCIA'!AJ32),"",'RESUMEN VIGILANCIA'!AJ32)</f>
        <v/>
      </c>
      <c r="AL6" s="383" t="str">
        <f>IF(ISBLANK('RESUMEN VIGILANCIA'!AK32),"",'RESUMEN VIGILANCIA'!AK32)</f>
        <v/>
      </c>
      <c r="AM6" s="383" t="str">
        <f>IF(ISBLANK('RESUMEN VIGILANCIA'!AL32),"",'RESUMEN VIGILANCIA'!AL32)</f>
        <v/>
      </c>
      <c r="AN6" s="383" t="str">
        <f>IF(ISBLANK('RESUMEN VIGILANCIA'!AM32),"",'RESUMEN VIGILANCIA'!AM32)</f>
        <v/>
      </c>
      <c r="AO6" s="384" t="str">
        <f>IF(ISBLANK('RESUMEN VIGILANCIA'!AN32),"",'RESUMEN VIGILANCIA'!AN32)</f>
        <v/>
      </c>
      <c r="AP6" s="382" t="str">
        <f>IF(ISBLANK('RESUMEN VIGILANCIA'!AO32),"",'RESUMEN VIGILANCIA'!AO32)</f>
        <v/>
      </c>
      <c r="AQ6" s="383" t="str">
        <f>IF(ISBLANK('RESUMEN VIGILANCIA'!AP32),"",'RESUMEN VIGILANCIA'!AP32)</f>
        <v/>
      </c>
      <c r="AR6" s="383" t="str">
        <f>IF(ISBLANK('RESUMEN VIGILANCIA'!AQ32),"",'RESUMEN VIGILANCIA'!AQ32)</f>
        <v/>
      </c>
      <c r="AS6" s="383" t="str">
        <f>IF(ISBLANK('RESUMEN VIGILANCIA'!AR32),"",'RESUMEN VIGILANCIA'!AR32)</f>
        <v/>
      </c>
      <c r="AT6" s="383" t="str">
        <f>IF(ISBLANK('RESUMEN VIGILANCIA'!AS32),"",'RESUMEN VIGILANCIA'!AS32)</f>
        <v/>
      </c>
      <c r="AU6" s="383" t="str">
        <f>IF(ISBLANK('RESUMEN VIGILANCIA'!AT32),"",'RESUMEN VIGILANCIA'!AT32)</f>
        <v/>
      </c>
      <c r="AV6" s="383" t="str">
        <f>IF(ISBLANK('RESUMEN VIGILANCIA'!AU32),"",'RESUMEN VIGILANCIA'!AU32)</f>
        <v/>
      </c>
      <c r="AW6" s="383" t="str">
        <f>IF(ISBLANK('RESUMEN VIGILANCIA'!AV32),"",'RESUMEN VIGILANCIA'!AV32)</f>
        <v/>
      </c>
      <c r="AX6" s="383" t="str">
        <f>IF(ISBLANK('RESUMEN VIGILANCIA'!AW32),"",'RESUMEN VIGILANCIA'!AW32)</f>
        <v/>
      </c>
      <c r="AY6" s="383" t="str">
        <f>IF(ISBLANK('RESUMEN VIGILANCIA'!AX32),"",'RESUMEN VIGILANCIA'!AX32)</f>
        <v/>
      </c>
      <c r="AZ6" s="383" t="str">
        <f>IF(ISBLANK('RESUMEN VIGILANCIA'!AY32),"",'RESUMEN VIGILANCIA'!AY32)</f>
        <v/>
      </c>
      <c r="BA6" s="384" t="str">
        <f>IF(ISBLANK('RESUMEN VIGILANCIA'!AZ32),"",'RESUMEN VIGILANCIA'!AZ32)</f>
        <v/>
      </c>
      <c r="BB6" s="241">
        <f t="shared" si="0"/>
        <v>0</v>
      </c>
      <c r="BC6" s="108"/>
      <c r="BD6" s="108"/>
    </row>
    <row r="7" spans="1:56" s="28" customFormat="1" ht="20.100000000000001" customHeight="1">
      <c r="A7" s="356" t="str">
        <f>'RESUMEN VIGILANCIA'!A33</f>
        <v>Chin Chun Ya (Goya)</v>
      </c>
      <c r="B7" s="357" t="str">
        <f>'RESUMEN VIGILANCIA'!B33</f>
        <v>Calle Guacara Nro. 87-86</v>
      </c>
      <c r="C7" s="428" t="s">
        <v>1358</v>
      </c>
      <c r="D7" s="433" t="s">
        <v>1357</v>
      </c>
      <c r="E7" s="414" t="str">
        <f>IF(ISBLANK('RESUMEN VIGILANCIA'!D33),"",'RESUMEN VIGILANCIA'!D33)</f>
        <v/>
      </c>
      <c r="F7" s="264">
        <f>IF(ISBLANK('RESUMEN VIGILANCIA'!E33),"",'RESUMEN VIGILANCIA'!E33)</f>
        <v>0.05</v>
      </c>
      <c r="G7" s="186">
        <f>IF(ISBLANK('RESUMEN VIGILANCIA'!F33),"",'RESUMEN VIGILANCIA'!F33)</f>
        <v>0.05</v>
      </c>
      <c r="H7" s="186">
        <f>IF(ISBLANK('RESUMEN VIGILANCIA'!G33),"",'RESUMEN VIGILANCIA'!G33)</f>
        <v>7.0000000000000007E-2</v>
      </c>
      <c r="I7" s="186">
        <f>IF(ISBLANK('RESUMEN VIGILANCIA'!H33),"",'RESUMEN VIGILANCIA'!H33)</f>
        <v>7.0000000000000007E-2</v>
      </c>
      <c r="J7" s="186">
        <f>IF(ISBLANK('RESUMEN VIGILANCIA'!I33),"",'RESUMEN VIGILANCIA'!I33)</f>
        <v>7.0000000000000007E-2</v>
      </c>
      <c r="K7" s="186">
        <f>IF(ISBLANK('RESUMEN VIGILANCIA'!J33),"",'RESUMEN VIGILANCIA'!J33)</f>
        <v>0.1</v>
      </c>
      <c r="L7" s="186">
        <f>IF(ISBLANK('RESUMEN VIGILANCIA'!K33),"",'RESUMEN VIGILANCIA'!K33)</f>
        <v>0.1</v>
      </c>
      <c r="M7" s="186">
        <f>IF(ISBLANK('RESUMEN VIGILANCIA'!L33),"",'RESUMEN VIGILANCIA'!L33)</f>
        <v>0.15</v>
      </c>
      <c r="N7" s="186">
        <f>IF(ISBLANK('RESUMEN VIGILANCIA'!M33),"",'RESUMEN VIGILANCIA'!M33)</f>
        <v>0.15</v>
      </c>
      <c r="O7" s="186">
        <f>IF(ISBLANK('RESUMEN VIGILANCIA'!N33),"",'RESUMEN VIGILANCIA'!N33)</f>
        <v>0.15</v>
      </c>
      <c r="P7" s="265">
        <f>IF(ISBLANK('RESUMEN VIGILANCIA'!O33),"",'RESUMEN VIGILANCIA'!O33)</f>
        <v>0.35</v>
      </c>
      <c r="Q7" s="184">
        <f>IF(ISBLANK('RESUMEN VIGILANCIA'!P33),"",'RESUMEN VIGILANCIA'!P33)</f>
        <v>0.35</v>
      </c>
      <c r="R7" s="266">
        <f>IF(ISBLANK('RESUMEN VIGILANCIA'!Q33),"",'RESUMEN VIGILANCIA'!Q33)</f>
        <v>0.35</v>
      </c>
      <c r="S7" s="265">
        <f>IF(ISBLANK('RESUMEN VIGILANCIA'!R33),"",'RESUMEN VIGILANCIA'!R33)</f>
        <v>0.8</v>
      </c>
      <c r="T7" s="265">
        <f>IF(ISBLANK('RESUMEN VIGILANCIA'!S33),"",'RESUMEN VIGILANCIA'!S33)</f>
        <v>1</v>
      </c>
      <c r="U7" s="265">
        <f>IF(ISBLANK('RESUMEN VIGILANCIA'!T33),"",'RESUMEN VIGILANCIA'!T33)</f>
        <v>1</v>
      </c>
      <c r="V7" s="265">
        <f>IF(ISBLANK('RESUMEN VIGILANCIA'!U33),"",'RESUMEN VIGILANCIA'!U33)</f>
        <v>2</v>
      </c>
      <c r="W7" s="265">
        <f>IF(ISBLANK('RESUMEN VIGILANCIA'!V33),"",'RESUMEN VIGILANCIA'!V33)</f>
        <v>6.25</v>
      </c>
      <c r="X7" s="268">
        <f>IF(ISBLANK('RESUMEN VIGILANCIA'!W33),"",'RESUMEN VIGILANCIA'!W33)</f>
        <v>10</v>
      </c>
      <c r="Y7" s="268">
        <f>IF(ISBLANK('RESUMEN VIGILANCIA'!X33),"",'RESUMEN VIGILANCIA'!X33)</f>
        <v>12</v>
      </c>
      <c r="Z7" s="453">
        <f>IF(ISBLANK('RESUMEN VIGILANCIA'!Y33),"",'RESUMEN VIGILANCIA'!Y33)</f>
        <v>320</v>
      </c>
      <c r="AA7" s="453">
        <f>IF(ISBLANK('RESUMEN VIGILANCIA'!Z33),"",'RESUMEN VIGILANCIA'!Z33)</f>
        <v>320</v>
      </c>
      <c r="AB7" s="453">
        <f>IF(ISBLANK('RESUMEN VIGILANCIA'!AA33),"",'RESUMEN VIGILANCIA'!AA33)</f>
        <v>320</v>
      </c>
      <c r="AC7" s="454">
        <f>IF(ISBLANK('RESUMEN VIGILANCIA'!AB33),"",'RESUMEN VIGILANCIA'!AB33)</f>
        <v>800</v>
      </c>
      <c r="AD7" s="374">
        <f>IF(ISBLANK('RESUMEN VIGILANCIA'!AC33),"",'RESUMEN VIGILANCIA'!AC33)</f>
        <v>3000</v>
      </c>
      <c r="AE7" s="375">
        <f>IF(ISBLANK('RESUMEN VIGILANCIA'!AD33),"",'RESUMEN VIGILANCIA'!AD33)</f>
        <v>3000</v>
      </c>
      <c r="AF7" s="375">
        <f>IF(ISBLANK('RESUMEN VIGILANCIA'!AE33),"",'RESUMEN VIGILANCIA'!AE33)</f>
        <v>3000</v>
      </c>
      <c r="AG7" s="375">
        <f>IF(ISBLANK('RESUMEN VIGILANCIA'!AF33),"",'RESUMEN VIGILANCIA'!AF33)</f>
        <v>5000</v>
      </c>
      <c r="AH7" s="375">
        <f>IF(ISBLANK('RESUMEN VIGILANCIA'!AG33),"",'RESUMEN VIGILANCIA'!AG33)</f>
        <v>5000</v>
      </c>
      <c r="AI7" s="375">
        <f>IF(ISBLANK('RESUMEN VIGILANCIA'!AH33),"",'RESUMEN VIGILANCIA'!AH33)</f>
        <v>8000</v>
      </c>
      <c r="AJ7" s="375">
        <f>IF(ISBLANK('RESUMEN VIGILANCIA'!AI33),"",'RESUMEN VIGILANCIA'!AI33)</f>
        <v>10000</v>
      </c>
      <c r="AK7" s="375">
        <f>IF(ISBLANK('RESUMEN VIGILANCIA'!AJ33),"",'RESUMEN VIGILANCIA'!AJ33)</f>
        <v>10000</v>
      </c>
      <c r="AL7" s="375">
        <f>IF(ISBLANK('RESUMEN VIGILANCIA'!AK33),"",'RESUMEN VIGILANCIA'!AK33)</f>
        <v>23400</v>
      </c>
      <c r="AM7" s="375">
        <f>IF(ISBLANK('RESUMEN VIGILANCIA'!AL33),"",'RESUMEN VIGILANCIA'!AL33)</f>
        <v>51100</v>
      </c>
      <c r="AN7" s="375">
        <f>IF(ISBLANK('RESUMEN VIGILANCIA'!AM33),"",'RESUMEN VIGILANCIA'!AM33)</f>
        <v>56250</v>
      </c>
      <c r="AO7" s="376">
        <f>IF(ISBLANK('RESUMEN VIGILANCIA'!AN33),"",'RESUMEN VIGILANCIA'!AN33)</f>
        <v>97500</v>
      </c>
      <c r="AP7" s="374">
        <f>IF(ISBLANK('RESUMEN VIGILANCIA'!AO33),"",'RESUMEN VIGILANCIA'!AO33)</f>
        <v>136250</v>
      </c>
      <c r="AQ7" s="375">
        <f>IF(ISBLANK('RESUMEN VIGILANCIA'!AP33),"",'RESUMEN VIGILANCIA'!AP33)</f>
        <v>136250</v>
      </c>
      <c r="AR7" s="375">
        <f>IF(ISBLANK('RESUMEN VIGILANCIA'!AQ33),"",'RESUMEN VIGILANCIA'!AQ33)</f>
        <v>185250</v>
      </c>
      <c r="AS7" s="375" t="str">
        <f>IF(ISBLANK('RESUMEN VIGILANCIA'!AR33),"",'RESUMEN VIGILANCIA'!AR33)</f>
        <v/>
      </c>
      <c r="AT7" s="375" t="str">
        <f>IF(ISBLANK('RESUMEN VIGILANCIA'!AS33),"",'RESUMEN VIGILANCIA'!AS33)</f>
        <v/>
      </c>
      <c r="AU7" s="375" t="str">
        <f>IF(ISBLANK('RESUMEN VIGILANCIA'!AT33),"",'RESUMEN VIGILANCIA'!AT33)</f>
        <v/>
      </c>
      <c r="AV7" s="375" t="str">
        <f>IF(ISBLANK('RESUMEN VIGILANCIA'!AU33),"",'RESUMEN VIGILANCIA'!AU33)</f>
        <v/>
      </c>
      <c r="AW7" s="375" t="str">
        <f>IF(ISBLANK('RESUMEN VIGILANCIA'!AV33),"",'RESUMEN VIGILANCIA'!AV33)</f>
        <v/>
      </c>
      <c r="AX7" s="375" t="str">
        <f>IF(ISBLANK('RESUMEN VIGILANCIA'!AW33),"",'RESUMEN VIGILANCIA'!AW33)</f>
        <v/>
      </c>
      <c r="AY7" s="375" t="str">
        <f>IF(ISBLANK('RESUMEN VIGILANCIA'!AX33),"",'RESUMEN VIGILANCIA'!AX33)</f>
        <v/>
      </c>
      <c r="AZ7" s="375" t="str">
        <f>IF(ISBLANK('RESUMEN VIGILANCIA'!AY33),"",'RESUMEN VIGILANCIA'!AY33)</f>
        <v/>
      </c>
      <c r="BA7" s="376" t="str">
        <f>IF(ISBLANK('RESUMEN VIGILANCIA'!AZ33),"",'RESUMEN VIGILANCIA'!AZ33)</f>
        <v/>
      </c>
      <c r="BB7" s="240">
        <f t="shared" si="0"/>
        <v>277045.06</v>
      </c>
      <c r="BC7" s="110"/>
      <c r="BD7" s="110">
        <v>43921</v>
      </c>
    </row>
    <row r="8" spans="1:56" s="28" customFormat="1" ht="20.100000000000001" customHeight="1">
      <c r="A8" s="356" t="str">
        <f>'RESUMEN VIGILANCIA'!A34</f>
        <v>Familia Ríos Sambrano</v>
      </c>
      <c r="B8" s="357" t="str">
        <f>'RESUMEN VIGILANCIA'!B34</f>
        <v>Calle Guacara Nro. 87-86</v>
      </c>
      <c r="C8" s="428" t="s">
        <v>1358</v>
      </c>
      <c r="D8" s="433" t="s">
        <v>17</v>
      </c>
      <c r="E8" s="414" t="str">
        <f>IF(ISBLANK('RESUMEN VIGILANCIA'!D34),"",'RESUMEN VIGILANCIA'!D34)</f>
        <v/>
      </c>
      <c r="F8" s="264" t="str">
        <f>IF(ISBLANK('RESUMEN VIGILANCIA'!E34),"",'RESUMEN VIGILANCIA'!E34)</f>
        <v/>
      </c>
      <c r="G8" s="186" t="str">
        <f>IF(ISBLANK('RESUMEN VIGILANCIA'!F34),"",'RESUMEN VIGILANCIA'!F34)</f>
        <v/>
      </c>
      <c r="H8" s="186" t="str">
        <f>IF(ISBLANK('RESUMEN VIGILANCIA'!G34),"",'RESUMEN VIGILANCIA'!G34)</f>
        <v/>
      </c>
      <c r="I8" s="186" t="str">
        <f>IF(ISBLANK('RESUMEN VIGILANCIA'!H34),"",'RESUMEN VIGILANCIA'!H34)</f>
        <v/>
      </c>
      <c r="J8" s="186" t="str">
        <f>IF(ISBLANK('RESUMEN VIGILANCIA'!I34),"",'RESUMEN VIGILANCIA'!I34)</f>
        <v/>
      </c>
      <c r="K8" s="186" t="str">
        <f>IF(ISBLANK('RESUMEN VIGILANCIA'!J34),"",'RESUMEN VIGILANCIA'!J34)</f>
        <v/>
      </c>
      <c r="L8" s="186" t="str">
        <f>IF(ISBLANK('RESUMEN VIGILANCIA'!K34),"",'RESUMEN VIGILANCIA'!K34)</f>
        <v/>
      </c>
      <c r="M8" s="186" t="str">
        <f>IF(ISBLANK('RESUMEN VIGILANCIA'!L34),"",'RESUMEN VIGILANCIA'!L34)</f>
        <v/>
      </c>
      <c r="N8" s="186" t="str">
        <f>IF(ISBLANK('RESUMEN VIGILANCIA'!M34),"",'RESUMEN VIGILANCIA'!M34)</f>
        <v/>
      </c>
      <c r="O8" s="186" t="str">
        <f>IF(ISBLANK('RESUMEN VIGILANCIA'!N34),"",'RESUMEN VIGILANCIA'!N34)</f>
        <v/>
      </c>
      <c r="P8" s="265" t="str">
        <f>IF(ISBLANK('RESUMEN VIGILANCIA'!O34),"",'RESUMEN VIGILANCIA'!O34)</f>
        <v/>
      </c>
      <c r="Q8" s="184" t="str">
        <f>IF(ISBLANK('RESUMEN VIGILANCIA'!P34),"",'RESUMEN VIGILANCIA'!P34)</f>
        <v/>
      </c>
      <c r="R8" s="266" t="str">
        <f>IF(ISBLANK('RESUMEN VIGILANCIA'!Q34),"",'RESUMEN VIGILANCIA'!Q34)</f>
        <v/>
      </c>
      <c r="S8" s="265" t="str">
        <f>IF(ISBLANK('RESUMEN VIGILANCIA'!R34),"",'RESUMEN VIGILANCIA'!R34)</f>
        <v/>
      </c>
      <c r="T8" s="265" t="str">
        <f>IF(ISBLANK('RESUMEN VIGILANCIA'!S34),"",'RESUMEN VIGILANCIA'!S34)</f>
        <v/>
      </c>
      <c r="U8" s="265" t="str">
        <f>IF(ISBLANK('RESUMEN VIGILANCIA'!T34),"",'RESUMEN VIGILANCIA'!T34)</f>
        <v/>
      </c>
      <c r="V8" s="265" t="str">
        <f>IF(ISBLANK('RESUMEN VIGILANCIA'!U34),"",'RESUMEN VIGILANCIA'!U34)</f>
        <v/>
      </c>
      <c r="W8" s="265" t="str">
        <f>IF(ISBLANK('RESUMEN VIGILANCIA'!V34),"",'RESUMEN VIGILANCIA'!V34)</f>
        <v/>
      </c>
      <c r="X8" s="268" t="str">
        <f>IF(ISBLANK('RESUMEN VIGILANCIA'!W34),"",'RESUMEN VIGILANCIA'!W34)</f>
        <v/>
      </c>
      <c r="Y8" s="268" t="str">
        <f>IF(ISBLANK('RESUMEN VIGILANCIA'!X34),"",'RESUMEN VIGILANCIA'!X34)</f>
        <v/>
      </c>
      <c r="Z8" s="453" t="str">
        <f>IF(ISBLANK('RESUMEN VIGILANCIA'!Y34),"",'RESUMEN VIGILANCIA'!Y34)</f>
        <v/>
      </c>
      <c r="AA8" s="453" t="str">
        <f>IF(ISBLANK('RESUMEN VIGILANCIA'!Z34),"",'RESUMEN VIGILANCIA'!Z34)</f>
        <v/>
      </c>
      <c r="AB8" s="453" t="str">
        <f>IF(ISBLANK('RESUMEN VIGILANCIA'!AA34),"",'RESUMEN VIGILANCIA'!AA34)</f>
        <v/>
      </c>
      <c r="AC8" s="454" t="str">
        <f>IF(ISBLANK('RESUMEN VIGILANCIA'!AB34),"",'RESUMEN VIGILANCIA'!AB34)</f>
        <v/>
      </c>
      <c r="AD8" s="374" t="str">
        <f>IF(ISBLANK('RESUMEN VIGILANCIA'!AC34),"",'RESUMEN VIGILANCIA'!AC34)</f>
        <v/>
      </c>
      <c r="AE8" s="375" t="str">
        <f>IF(ISBLANK('RESUMEN VIGILANCIA'!AD34),"",'RESUMEN VIGILANCIA'!AD34)</f>
        <v/>
      </c>
      <c r="AF8" s="375" t="str">
        <f>IF(ISBLANK('RESUMEN VIGILANCIA'!AE34),"",'RESUMEN VIGILANCIA'!AE34)</f>
        <v/>
      </c>
      <c r="AG8" s="375" t="str">
        <f>IF(ISBLANK('RESUMEN VIGILANCIA'!AF34),"",'RESUMEN VIGILANCIA'!AF34)</f>
        <v/>
      </c>
      <c r="AH8" s="375" t="str">
        <f>IF(ISBLANK('RESUMEN VIGILANCIA'!AG34),"",'RESUMEN VIGILANCIA'!AG34)</f>
        <v/>
      </c>
      <c r="AI8" s="375" t="str">
        <f>IF(ISBLANK('RESUMEN VIGILANCIA'!AH34),"",'RESUMEN VIGILANCIA'!AH34)</f>
        <v/>
      </c>
      <c r="AJ8" s="375" t="str">
        <f>IF(ISBLANK('RESUMEN VIGILANCIA'!AI34),"",'RESUMEN VIGILANCIA'!AI34)</f>
        <v/>
      </c>
      <c r="AK8" s="375" t="str">
        <f>IF(ISBLANK('RESUMEN VIGILANCIA'!AJ34),"",'RESUMEN VIGILANCIA'!AJ34)</f>
        <v/>
      </c>
      <c r="AL8" s="375" t="str">
        <f>IF(ISBLANK('RESUMEN VIGILANCIA'!AK34),"",'RESUMEN VIGILANCIA'!AK34)</f>
        <v/>
      </c>
      <c r="AM8" s="375" t="str">
        <f>IF(ISBLANK('RESUMEN VIGILANCIA'!AL34),"",'RESUMEN VIGILANCIA'!AL34)</f>
        <v/>
      </c>
      <c r="AN8" s="375" t="str">
        <f>IF(ISBLANK('RESUMEN VIGILANCIA'!AM34),"",'RESUMEN VIGILANCIA'!AM34)</f>
        <v/>
      </c>
      <c r="AO8" s="376" t="str">
        <f>IF(ISBLANK('RESUMEN VIGILANCIA'!AN34),"",'RESUMEN VIGILANCIA'!AN34)</f>
        <v/>
      </c>
      <c r="AP8" s="374" t="str">
        <f>IF(ISBLANK('RESUMEN VIGILANCIA'!AO34),"",'RESUMEN VIGILANCIA'!AO34)</f>
        <v/>
      </c>
      <c r="AQ8" s="375" t="str">
        <f>IF(ISBLANK('RESUMEN VIGILANCIA'!AP34),"",'RESUMEN VIGILANCIA'!AP34)</f>
        <v/>
      </c>
      <c r="AR8" s="375" t="str">
        <f>IF(ISBLANK('RESUMEN VIGILANCIA'!AQ34),"",'RESUMEN VIGILANCIA'!AQ34)</f>
        <v/>
      </c>
      <c r="AS8" s="375">
        <f>IF(ISBLANK('RESUMEN VIGILANCIA'!AR34),"",'RESUMEN VIGILANCIA'!AR34)</f>
        <v>186000</v>
      </c>
      <c r="AT8" s="375">
        <f>IF(ISBLANK('RESUMEN VIGILANCIA'!AS34),"",'RESUMEN VIGILANCIA'!AS34)</f>
        <v>250000</v>
      </c>
      <c r="AU8" s="375">
        <f>IF(ISBLANK('RESUMEN VIGILANCIA'!AT34),"",'RESUMEN VIGILANCIA'!AT34)</f>
        <v>250000</v>
      </c>
      <c r="AV8" s="375">
        <f>IF(ISBLANK('RESUMEN VIGILANCIA'!AU34),"",'RESUMEN VIGILANCIA'!AU34)</f>
        <v>320000</v>
      </c>
      <c r="AW8" s="375">
        <f>IF(ISBLANK('RESUMEN VIGILANCIA'!AV34),"",'RESUMEN VIGILANCIA'!AV34)</f>
        <v>30000</v>
      </c>
      <c r="AX8" s="375" t="str">
        <f>IF(ISBLANK('RESUMEN VIGILANCIA'!AW34),"",'RESUMEN VIGILANCIA'!AW34)</f>
        <v/>
      </c>
      <c r="AY8" s="375" t="str">
        <f>IF(ISBLANK('RESUMEN VIGILANCIA'!AX34),"",'RESUMEN VIGILANCIA'!AX34)</f>
        <v/>
      </c>
      <c r="AZ8" s="375" t="str">
        <f>IF(ISBLANK('RESUMEN VIGILANCIA'!AY34),"",'RESUMEN VIGILANCIA'!AY34)</f>
        <v/>
      </c>
      <c r="BA8" s="376" t="str">
        <f>IF(ISBLANK('RESUMEN VIGILANCIA'!AZ34),"",'RESUMEN VIGILANCIA'!AZ34)</f>
        <v/>
      </c>
      <c r="BB8" s="240">
        <f t="shared" ref="BB8" si="1">SUM(E8:AO8)</f>
        <v>0</v>
      </c>
      <c r="BC8" s="110">
        <v>43922</v>
      </c>
      <c r="BD8" s="110"/>
    </row>
    <row r="9" spans="1:56" s="28" customFormat="1" ht="20.100000000000001" customHeight="1">
      <c r="A9" s="29" t="str">
        <f>'RESUMEN VIGILANCIA'!A35</f>
        <v>Teresita Román</v>
      </c>
      <c r="B9" s="30" t="str">
        <f>'RESUMEN VIGILANCIA'!B35</f>
        <v>Calle Guacara Nro. 87-90</v>
      </c>
      <c r="C9" s="427" t="s">
        <v>1359</v>
      </c>
      <c r="D9" s="434" t="s">
        <v>1357</v>
      </c>
      <c r="E9" s="415" t="str">
        <f>IF(ISBLANK('RESUMEN VIGILANCIA'!D35),"",'RESUMEN VIGILANCIA'!D35)</f>
        <v/>
      </c>
      <c r="F9" s="267" t="str">
        <f>IF(ISBLANK('RESUMEN VIGILANCIA'!E35),"",'RESUMEN VIGILANCIA'!E35)</f>
        <v/>
      </c>
      <c r="G9" s="179" t="str">
        <f>IF(ISBLANK('RESUMEN VIGILANCIA'!F35),"",'RESUMEN VIGILANCIA'!F35)</f>
        <v/>
      </c>
      <c r="H9" s="179" t="str">
        <f>IF(ISBLANK('RESUMEN VIGILANCIA'!G35),"",'RESUMEN VIGILANCIA'!G35)</f>
        <v/>
      </c>
      <c r="I9" s="179" t="str">
        <f>IF(ISBLANK('RESUMEN VIGILANCIA'!H35),"",'RESUMEN VIGILANCIA'!H35)</f>
        <v/>
      </c>
      <c r="J9" s="179" t="str">
        <f>IF(ISBLANK('RESUMEN VIGILANCIA'!I35),"",'RESUMEN VIGILANCIA'!I35)</f>
        <v/>
      </c>
      <c r="K9" s="179" t="str">
        <f>IF(ISBLANK('RESUMEN VIGILANCIA'!J35),"",'RESUMEN VIGILANCIA'!J35)</f>
        <v/>
      </c>
      <c r="L9" s="179" t="str">
        <f>IF(ISBLANK('RESUMEN VIGILANCIA'!K35),"",'RESUMEN VIGILANCIA'!K35)</f>
        <v/>
      </c>
      <c r="M9" s="179" t="str">
        <f>IF(ISBLANK('RESUMEN VIGILANCIA'!L35),"",'RESUMEN VIGILANCIA'!L35)</f>
        <v/>
      </c>
      <c r="N9" s="179" t="str">
        <f>IF(ISBLANK('RESUMEN VIGILANCIA'!M35),"",'RESUMEN VIGILANCIA'!M35)</f>
        <v/>
      </c>
      <c r="O9" s="179" t="str">
        <f>IF(ISBLANK('RESUMEN VIGILANCIA'!N35),"",'RESUMEN VIGILANCIA'!N35)</f>
        <v/>
      </c>
      <c r="P9" s="268" t="str">
        <f>IF(ISBLANK('RESUMEN VIGILANCIA'!O35),"",'RESUMEN VIGILANCIA'!O35)</f>
        <v/>
      </c>
      <c r="Q9" s="177" t="str">
        <f>IF(ISBLANK('RESUMEN VIGILANCIA'!P35),"",'RESUMEN VIGILANCIA'!P35)</f>
        <v/>
      </c>
      <c r="R9" s="269" t="str">
        <f>IF(ISBLANK('RESUMEN VIGILANCIA'!Q35),"",'RESUMEN VIGILANCIA'!Q35)</f>
        <v/>
      </c>
      <c r="S9" s="268" t="str">
        <f>IF(ISBLANK('RESUMEN VIGILANCIA'!R35),"",'RESUMEN VIGILANCIA'!R35)</f>
        <v/>
      </c>
      <c r="T9" s="268" t="str">
        <f>IF(ISBLANK('RESUMEN VIGILANCIA'!S35),"",'RESUMEN VIGILANCIA'!S35)</f>
        <v/>
      </c>
      <c r="U9" s="268" t="str">
        <f>IF(ISBLANK('RESUMEN VIGILANCIA'!T35),"",'RESUMEN VIGILANCIA'!T35)</f>
        <v/>
      </c>
      <c r="V9" s="268" t="str">
        <f>IF(ISBLANK('RESUMEN VIGILANCIA'!U35),"",'RESUMEN VIGILANCIA'!U35)</f>
        <v/>
      </c>
      <c r="W9" s="268" t="str">
        <f>IF(ISBLANK('RESUMEN VIGILANCIA'!V35),"",'RESUMEN VIGILANCIA'!V35)</f>
        <v/>
      </c>
      <c r="X9" s="268" t="str">
        <f>IF(ISBLANK('RESUMEN VIGILANCIA'!W35),"",'RESUMEN VIGILANCIA'!W35)</f>
        <v/>
      </c>
      <c r="Y9" s="268" t="str">
        <f>IF(ISBLANK('RESUMEN VIGILANCIA'!X35),"",'RESUMEN VIGILANCIA'!X35)</f>
        <v/>
      </c>
      <c r="Z9" s="453" t="str">
        <f>IF(ISBLANK('RESUMEN VIGILANCIA'!Y35),"",'RESUMEN VIGILANCIA'!Y35)</f>
        <v/>
      </c>
      <c r="AA9" s="453" t="str">
        <f>IF(ISBLANK('RESUMEN VIGILANCIA'!Z35),"",'RESUMEN VIGILANCIA'!Z35)</f>
        <v/>
      </c>
      <c r="AB9" s="453" t="str">
        <f>IF(ISBLANK('RESUMEN VIGILANCIA'!AA35),"",'RESUMEN VIGILANCIA'!AA35)</f>
        <v/>
      </c>
      <c r="AC9" s="454" t="str">
        <f>IF(ISBLANK('RESUMEN VIGILANCIA'!AB35),"",'RESUMEN VIGILANCIA'!AB35)</f>
        <v/>
      </c>
      <c r="AD9" s="374" t="str">
        <f>IF(ISBLANK('RESUMEN VIGILANCIA'!AC35),"",'RESUMEN VIGILANCIA'!AC35)</f>
        <v/>
      </c>
      <c r="AE9" s="375" t="str">
        <f>IF(ISBLANK('RESUMEN VIGILANCIA'!AD35),"",'RESUMEN VIGILANCIA'!AD35)</f>
        <v/>
      </c>
      <c r="AF9" s="375" t="str">
        <f>IF(ISBLANK('RESUMEN VIGILANCIA'!AE35),"",'RESUMEN VIGILANCIA'!AE35)</f>
        <v/>
      </c>
      <c r="AG9" s="375" t="str">
        <f>IF(ISBLANK('RESUMEN VIGILANCIA'!AF35),"",'RESUMEN VIGILANCIA'!AF35)</f>
        <v/>
      </c>
      <c r="AH9" s="375" t="str">
        <f>IF(ISBLANK('RESUMEN VIGILANCIA'!AG35),"",'RESUMEN VIGILANCIA'!AG35)</f>
        <v/>
      </c>
      <c r="AI9" s="375" t="str">
        <f>IF(ISBLANK('RESUMEN VIGILANCIA'!AH35),"",'RESUMEN VIGILANCIA'!AH35)</f>
        <v/>
      </c>
      <c r="AJ9" s="375" t="str">
        <f>IF(ISBLANK('RESUMEN VIGILANCIA'!AI35),"",'RESUMEN VIGILANCIA'!AI35)</f>
        <v/>
      </c>
      <c r="AK9" s="375" t="str">
        <f>IF(ISBLANK('RESUMEN VIGILANCIA'!AJ35),"",'RESUMEN VIGILANCIA'!AJ35)</f>
        <v/>
      </c>
      <c r="AL9" s="375" t="str">
        <f>IF(ISBLANK('RESUMEN VIGILANCIA'!AK35),"",'RESUMEN VIGILANCIA'!AK35)</f>
        <v/>
      </c>
      <c r="AM9" s="375" t="str">
        <f>IF(ISBLANK('RESUMEN VIGILANCIA'!AL35),"",'RESUMEN VIGILANCIA'!AL35)</f>
        <v/>
      </c>
      <c r="AN9" s="375" t="str">
        <f>IF(ISBLANK('RESUMEN VIGILANCIA'!AM35),"",'RESUMEN VIGILANCIA'!AM35)</f>
        <v/>
      </c>
      <c r="AO9" s="376" t="str">
        <f>IF(ISBLANK('RESUMEN VIGILANCIA'!AN35),"",'RESUMEN VIGILANCIA'!AN35)</f>
        <v/>
      </c>
      <c r="AP9" s="374" t="str">
        <f>IF(ISBLANK('RESUMEN VIGILANCIA'!AO35),"",'RESUMEN VIGILANCIA'!AO35)</f>
        <v/>
      </c>
      <c r="AQ9" s="375" t="str">
        <f>IF(ISBLANK('RESUMEN VIGILANCIA'!AP35),"",'RESUMEN VIGILANCIA'!AP35)</f>
        <v/>
      </c>
      <c r="AR9" s="375" t="str">
        <f>IF(ISBLANK('RESUMEN VIGILANCIA'!AQ35),"",'RESUMEN VIGILANCIA'!AQ35)</f>
        <v/>
      </c>
      <c r="AS9" s="375" t="str">
        <f>IF(ISBLANK('RESUMEN VIGILANCIA'!AR35),"",'RESUMEN VIGILANCIA'!AR35)</f>
        <v/>
      </c>
      <c r="AT9" s="375" t="str">
        <f>IF(ISBLANK('RESUMEN VIGILANCIA'!AS35),"",'RESUMEN VIGILANCIA'!AS35)</f>
        <v/>
      </c>
      <c r="AU9" s="375" t="str">
        <f>IF(ISBLANK('RESUMEN VIGILANCIA'!AT35),"",'RESUMEN VIGILANCIA'!AT35)</f>
        <v/>
      </c>
      <c r="AV9" s="375" t="str">
        <f>IF(ISBLANK('RESUMEN VIGILANCIA'!AU35),"",'RESUMEN VIGILANCIA'!AU35)</f>
        <v/>
      </c>
      <c r="AW9" s="375" t="str">
        <f>IF(ISBLANK('RESUMEN VIGILANCIA'!AV35),"",'RESUMEN VIGILANCIA'!AV35)</f>
        <v/>
      </c>
      <c r="AX9" s="375" t="str">
        <f>IF(ISBLANK('RESUMEN VIGILANCIA'!AW35),"",'RESUMEN VIGILANCIA'!AW35)</f>
        <v/>
      </c>
      <c r="AY9" s="375" t="str">
        <f>IF(ISBLANK('RESUMEN VIGILANCIA'!AX35),"",'RESUMEN VIGILANCIA'!AX35)</f>
        <v/>
      </c>
      <c r="AZ9" s="375" t="str">
        <f>IF(ISBLANK('RESUMEN VIGILANCIA'!AY35),"",'RESUMEN VIGILANCIA'!AY35)</f>
        <v/>
      </c>
      <c r="BA9" s="376" t="str">
        <f>IF(ISBLANK('RESUMEN VIGILANCIA'!AZ35),"",'RESUMEN VIGILANCIA'!AZ35)</f>
        <v/>
      </c>
      <c r="BB9" s="240">
        <f t="shared" si="0"/>
        <v>0</v>
      </c>
      <c r="BC9" s="110"/>
      <c r="BD9" s="110"/>
    </row>
    <row r="10" spans="1:56" s="28" customFormat="1" ht="20.100000000000001" customHeight="1">
      <c r="A10" s="29" t="str">
        <f>'RESUMEN VIGILANCIA'!A36</f>
        <v>Familia Puerta Burguillos</v>
      </c>
      <c r="B10" s="30" t="str">
        <f>'RESUMEN VIGILANCIA'!B36</f>
        <v>Calle Guacara Nro. 87-100</v>
      </c>
      <c r="C10" s="427" t="s">
        <v>1358</v>
      </c>
      <c r="D10" s="434" t="s">
        <v>17</v>
      </c>
      <c r="E10" s="415" t="str">
        <f>IF(ISBLANK('RESUMEN VIGILANCIA'!D36),"",'RESUMEN VIGILANCIA'!D36)</f>
        <v/>
      </c>
      <c r="F10" s="267">
        <f>IF(ISBLANK('RESUMEN VIGILANCIA'!E36),"",'RESUMEN VIGILANCIA'!E36)</f>
        <v>0.17</v>
      </c>
      <c r="G10" s="179">
        <f>IF(ISBLANK('RESUMEN VIGILANCIA'!F36),"",'RESUMEN VIGILANCIA'!F36)</f>
        <v>0.17</v>
      </c>
      <c r="H10" s="179">
        <f>IF(ISBLANK('RESUMEN VIGILANCIA'!G36),"",'RESUMEN VIGILANCIA'!G36)</f>
        <v>0.16999999999999998</v>
      </c>
      <c r="I10" s="179">
        <f>IF(ISBLANK('RESUMEN VIGILANCIA'!H36),"",'RESUMEN VIGILANCIA'!H36)</f>
        <v>0.17</v>
      </c>
      <c r="J10" s="179">
        <f>IF(ISBLANK('RESUMEN VIGILANCIA'!I36),"",'RESUMEN VIGILANCIA'!I36)</f>
        <v>0.26</v>
      </c>
      <c r="K10" s="179">
        <f>IF(ISBLANK('RESUMEN VIGILANCIA'!J36),"",'RESUMEN VIGILANCIA'!J36)</f>
        <v>0.26</v>
      </c>
      <c r="L10" s="179">
        <f>IF(ISBLANK('RESUMEN VIGILANCIA'!K36),"",'RESUMEN VIGILANCIA'!K36)</f>
        <v>0.35</v>
      </c>
      <c r="M10" s="179">
        <f>IF(ISBLANK('RESUMEN VIGILANCIA'!L36),"",'RESUMEN VIGILANCIA'!L36)</f>
        <v>0.35</v>
      </c>
      <c r="N10" s="179">
        <f>IF(ISBLANK('RESUMEN VIGILANCIA'!M36),"",'RESUMEN VIGILANCIA'!M36)</f>
        <v>0.35</v>
      </c>
      <c r="O10" s="179">
        <f>IF(ISBLANK('RESUMEN VIGILANCIA'!N36),"",'RESUMEN VIGILANCIA'!N36)</f>
        <v>0.35</v>
      </c>
      <c r="P10" s="268">
        <f>IF(ISBLANK('RESUMEN VIGILANCIA'!O36),"",'RESUMEN VIGILANCIA'!O36)</f>
        <v>0.5</v>
      </c>
      <c r="Q10" s="177">
        <f>IF(ISBLANK('RESUMEN VIGILANCIA'!P36),"",'RESUMEN VIGILANCIA'!P36)</f>
        <v>0.5</v>
      </c>
      <c r="R10" s="269">
        <f>IF(ISBLANK('RESUMEN VIGILANCIA'!Q36),"",'RESUMEN VIGILANCIA'!Q36)</f>
        <v>0.8</v>
      </c>
      <c r="S10" s="268">
        <f>IF(ISBLANK('RESUMEN VIGILANCIA'!R36),"",'RESUMEN VIGILANCIA'!R36)</f>
        <v>0.8</v>
      </c>
      <c r="T10" s="268">
        <f>IF(ISBLANK('RESUMEN VIGILANCIA'!S36),"",'RESUMEN VIGILANCIA'!S36)</f>
        <v>1.4</v>
      </c>
      <c r="U10" s="268">
        <f>IF(ISBLANK('RESUMEN VIGILANCIA'!T36),"",'RESUMEN VIGILANCIA'!T36)</f>
        <v>1.4</v>
      </c>
      <c r="V10" s="268">
        <f>IF(ISBLANK('RESUMEN VIGILANCIA'!U36),"",'RESUMEN VIGILANCIA'!U36)</f>
        <v>4</v>
      </c>
      <c r="W10" s="268">
        <f>IF(ISBLANK('RESUMEN VIGILANCIA'!V36),"",'RESUMEN VIGILANCIA'!V36)</f>
        <v>6.25</v>
      </c>
      <c r="X10" s="268">
        <f>IF(ISBLANK('RESUMEN VIGILANCIA'!W36),"",'RESUMEN VIGILANCIA'!W36)</f>
        <v>10</v>
      </c>
      <c r="Y10" s="268">
        <f>IF(ISBLANK('RESUMEN VIGILANCIA'!X36),"",'RESUMEN VIGILANCIA'!X36)</f>
        <v>12</v>
      </c>
      <c r="Z10" s="453">
        <f>IF(ISBLANK('RESUMEN VIGILANCIA'!Y36),"",'RESUMEN VIGILANCIA'!Y36)</f>
        <v>320</v>
      </c>
      <c r="AA10" s="453">
        <f>IF(ISBLANK('RESUMEN VIGILANCIA'!Z36),"",'RESUMEN VIGILANCIA'!Z36)</f>
        <v>320</v>
      </c>
      <c r="AB10" s="453">
        <f>IF(ISBLANK('RESUMEN VIGILANCIA'!AA36),"",'RESUMEN VIGILANCIA'!AA36)</f>
        <v>320</v>
      </c>
      <c r="AC10" s="455">
        <f>IF(ISBLANK('RESUMEN VIGILANCIA'!AB36),"",'RESUMEN VIGILANCIA'!AB36)</f>
        <v>800</v>
      </c>
      <c r="AD10" s="374">
        <f>IF(ISBLANK('RESUMEN VIGILANCIA'!AC36),"",'RESUMEN VIGILANCIA'!AC36)</f>
        <v>3000</v>
      </c>
      <c r="AE10" s="375">
        <f>IF(ISBLANK('RESUMEN VIGILANCIA'!AD36),"",'RESUMEN VIGILANCIA'!AD36)</f>
        <v>3000</v>
      </c>
      <c r="AF10" s="375">
        <f>IF(ISBLANK('RESUMEN VIGILANCIA'!AE36),"",'RESUMEN VIGILANCIA'!AE36)</f>
        <v>3000</v>
      </c>
      <c r="AG10" s="375">
        <f>IF(ISBLANK('RESUMEN VIGILANCIA'!AF36),"",'RESUMEN VIGILANCIA'!AF36)</f>
        <v>5000</v>
      </c>
      <c r="AH10" s="375">
        <f>IF(ISBLANK('RESUMEN VIGILANCIA'!AG36),"",'RESUMEN VIGILANCIA'!AG36)</f>
        <v>8000</v>
      </c>
      <c r="AI10" s="375">
        <f>IF(ISBLANK('RESUMEN VIGILANCIA'!AH36),"",'RESUMEN VIGILANCIA'!AH36)</f>
        <v>10000</v>
      </c>
      <c r="AJ10" s="375">
        <f>IF(ISBLANK('RESUMEN VIGILANCIA'!AI36),"",'RESUMEN VIGILANCIA'!AI36)</f>
        <v>10000</v>
      </c>
      <c r="AK10" s="375">
        <f>IF(ISBLANK('RESUMEN VIGILANCIA'!AJ36),"",'RESUMEN VIGILANCIA'!AJ36)</f>
        <v>10000</v>
      </c>
      <c r="AL10" s="375">
        <f>IF(ISBLANK('RESUMEN VIGILANCIA'!AK36),"",'RESUMEN VIGILANCIA'!AK36)</f>
        <v>20500</v>
      </c>
      <c r="AM10" s="375">
        <f>IF(ISBLANK('RESUMEN VIGILANCIA'!AL36),"",'RESUMEN VIGILANCIA'!AL36)</f>
        <v>47000</v>
      </c>
      <c r="AN10" s="375">
        <f>IF(ISBLANK('RESUMEN VIGILANCIA'!AM36),"",'RESUMEN VIGILANCIA'!AM36)</f>
        <v>60000</v>
      </c>
      <c r="AO10" s="376">
        <f>IF(ISBLANK('RESUMEN VIGILANCIA'!AN36),"",'RESUMEN VIGILANCIA'!AN36)</f>
        <v>210500</v>
      </c>
      <c r="AP10" s="374">
        <f>IF(ISBLANK('RESUMEN VIGILANCIA'!AO36),"",'RESUMEN VIGILANCIA'!AO36)</f>
        <v>136250</v>
      </c>
      <c r="AQ10" s="375">
        <f>IF(ISBLANK('RESUMEN VIGILANCIA'!AP36),"",'RESUMEN VIGILANCIA'!AP36)</f>
        <v>136250</v>
      </c>
      <c r="AR10" s="375">
        <f>IF(ISBLANK('RESUMEN VIGILANCIA'!AQ36),"",'RESUMEN VIGILANCIA'!AQ36)</f>
        <v>186000</v>
      </c>
      <c r="AS10" s="375">
        <f>IF(ISBLANK('RESUMEN VIGILANCIA'!AR36),"",'RESUMEN VIGILANCIA'!AR36)</f>
        <v>185250</v>
      </c>
      <c r="AT10" s="375">
        <f>IF(ISBLANK('RESUMEN VIGILANCIA'!AS36),"",'RESUMEN VIGILANCIA'!AS36)</f>
        <v>250000</v>
      </c>
      <c r="AU10" s="375">
        <f>IF(ISBLANK('RESUMEN VIGILANCIA'!AT36),"",'RESUMEN VIGILANCIA'!AT36)</f>
        <v>250000</v>
      </c>
      <c r="AV10" s="375">
        <f>IF(ISBLANK('RESUMEN VIGILANCIA'!AU36),"",'RESUMEN VIGILANCIA'!AU36)</f>
        <v>250000</v>
      </c>
      <c r="AW10" s="375" t="str">
        <f>IF(ISBLANK('RESUMEN VIGILANCIA'!AV36),"",'RESUMEN VIGILANCIA'!AV36)</f>
        <v/>
      </c>
      <c r="AX10" s="375" t="str">
        <f>IF(ISBLANK('RESUMEN VIGILANCIA'!AW36),"",'RESUMEN VIGILANCIA'!AW36)</f>
        <v/>
      </c>
      <c r="AY10" s="375" t="str">
        <f>IF(ISBLANK('RESUMEN VIGILANCIA'!AX36),"",'RESUMEN VIGILANCIA'!AX36)</f>
        <v/>
      </c>
      <c r="AZ10" s="375" t="str">
        <f>IF(ISBLANK('RESUMEN VIGILANCIA'!AY36),"",'RESUMEN VIGILANCIA'!AY36)</f>
        <v/>
      </c>
      <c r="BA10" s="376" t="str">
        <f>IF(ISBLANK('RESUMEN VIGILANCIA'!AZ36),"",'RESUMEN VIGILANCIA'!AZ36)</f>
        <v/>
      </c>
      <c r="BB10" s="240">
        <f t="shared" si="0"/>
        <v>391800.25</v>
      </c>
      <c r="BC10" s="110"/>
      <c r="BD10" s="110"/>
    </row>
    <row r="11" spans="1:56" s="28" customFormat="1" ht="20.100000000000001" customHeight="1">
      <c r="A11" s="29" t="str">
        <f>'RESUMEN VIGILANCIA'!A54</f>
        <v>Familia Arcia Polanco</v>
      </c>
      <c r="B11" s="30" t="str">
        <f>'RESUMEN VIGILANCIA'!B54</f>
        <v>Calle Guacara Nro. 89-20</v>
      </c>
      <c r="C11" s="427" t="s">
        <v>1358</v>
      </c>
      <c r="D11" s="434" t="s">
        <v>1357</v>
      </c>
      <c r="E11" s="415" t="str">
        <f>IF(ISBLANK('RESUMEN VIGILANCIA'!D54),"",'RESUMEN VIGILANCIA'!D54)</f>
        <v/>
      </c>
      <c r="F11" s="267">
        <f>IF(ISBLANK('RESUMEN VIGILANCIA'!E54),"",'RESUMEN VIGILANCIA'!E54)</f>
        <v>0.16999999999999998</v>
      </c>
      <c r="G11" s="179">
        <f>IF(ISBLANK('RESUMEN VIGILANCIA'!F54),"",'RESUMEN VIGILANCIA'!F54)</f>
        <v>0.17</v>
      </c>
      <c r="H11" s="179">
        <f>IF(ISBLANK('RESUMEN VIGILANCIA'!G54),"",'RESUMEN VIGILANCIA'!G54)</f>
        <v>0.17</v>
      </c>
      <c r="I11" s="179">
        <f>IF(ISBLANK('RESUMEN VIGILANCIA'!H54),"",'RESUMEN VIGILANCIA'!H54)</f>
        <v>0.17</v>
      </c>
      <c r="J11" s="179">
        <f>IF(ISBLANK('RESUMEN VIGILANCIA'!I54),"",'RESUMEN VIGILANCIA'!I54)</f>
        <v>0.26</v>
      </c>
      <c r="K11" s="179">
        <f>IF(ISBLANK('RESUMEN VIGILANCIA'!J54),"",'RESUMEN VIGILANCIA'!J54)</f>
        <v>0.26</v>
      </c>
      <c r="L11" s="179">
        <f>IF(ISBLANK('RESUMEN VIGILANCIA'!K54),"",'RESUMEN VIGILANCIA'!K54)</f>
        <v>0.35</v>
      </c>
      <c r="M11" s="179">
        <f>IF(ISBLANK('RESUMEN VIGILANCIA'!L54),"",'RESUMEN VIGILANCIA'!L54)</f>
        <v>0.35</v>
      </c>
      <c r="N11" s="179">
        <f>IF(ISBLANK('RESUMEN VIGILANCIA'!M54),"",'RESUMEN VIGILANCIA'!M54)</f>
        <v>0.35</v>
      </c>
      <c r="O11" s="179">
        <f>IF(ISBLANK('RESUMEN VIGILANCIA'!N54),"",'RESUMEN VIGILANCIA'!N54)</f>
        <v>0.35</v>
      </c>
      <c r="P11" s="268">
        <f>IF(ISBLANK('RESUMEN VIGILANCIA'!O54),"",'RESUMEN VIGILANCIA'!O54)</f>
        <v>0.5</v>
      </c>
      <c r="Q11" s="177">
        <f>IF(ISBLANK('RESUMEN VIGILANCIA'!P54),"",'RESUMEN VIGILANCIA'!P54)</f>
        <v>0.5</v>
      </c>
      <c r="R11" s="269">
        <f>IF(ISBLANK('RESUMEN VIGILANCIA'!Q54),"",'RESUMEN VIGILANCIA'!Q54)</f>
        <v>0.8</v>
      </c>
      <c r="S11" s="268">
        <f>IF(ISBLANK('RESUMEN VIGILANCIA'!R54),"",'RESUMEN VIGILANCIA'!R54)</f>
        <v>0.8</v>
      </c>
      <c r="T11" s="268">
        <f>IF(ISBLANK('RESUMEN VIGILANCIA'!S54),"",'RESUMEN VIGILANCIA'!S54)</f>
        <v>1.4</v>
      </c>
      <c r="U11" s="268">
        <f>IF(ISBLANK('RESUMEN VIGILANCIA'!T54),"",'RESUMEN VIGILANCIA'!T54)</f>
        <v>1.4</v>
      </c>
      <c r="V11" s="268">
        <f>IF(ISBLANK('RESUMEN VIGILANCIA'!U54),"",'RESUMEN VIGILANCIA'!U54)</f>
        <v>4</v>
      </c>
      <c r="W11" s="268">
        <f>IF(ISBLANK('RESUMEN VIGILANCIA'!V54),"",'RESUMEN VIGILANCIA'!V54)</f>
        <v>6.25</v>
      </c>
      <c r="X11" s="268">
        <f>IF(ISBLANK('RESUMEN VIGILANCIA'!W54),"",'RESUMEN VIGILANCIA'!W54)</f>
        <v>10</v>
      </c>
      <c r="Y11" s="268">
        <f>IF(ISBLANK('RESUMEN VIGILANCIA'!X54),"",'RESUMEN VIGILANCIA'!X54)</f>
        <v>12</v>
      </c>
      <c r="Z11" s="453">
        <f>IF(ISBLANK('RESUMEN VIGILANCIA'!Y54),"",'RESUMEN VIGILANCIA'!Y54)</f>
        <v>320</v>
      </c>
      <c r="AA11" s="453">
        <f>IF(ISBLANK('RESUMEN VIGILANCIA'!Z54),"",'RESUMEN VIGILANCIA'!Z54)</f>
        <v>320</v>
      </c>
      <c r="AB11" s="453">
        <f>IF(ISBLANK('RESUMEN VIGILANCIA'!AA54),"",'RESUMEN VIGILANCIA'!AA54)</f>
        <v>320</v>
      </c>
      <c r="AC11" s="455">
        <f>IF(ISBLANK('RESUMEN VIGILANCIA'!AB54),"",'RESUMEN VIGILANCIA'!AB54)</f>
        <v>800</v>
      </c>
      <c r="AD11" s="374">
        <f>IF(ISBLANK('RESUMEN VIGILANCIA'!AC54),"",'RESUMEN VIGILANCIA'!AC54)</f>
        <v>3000</v>
      </c>
      <c r="AE11" s="375">
        <f>IF(ISBLANK('RESUMEN VIGILANCIA'!AD54),"",'RESUMEN VIGILANCIA'!AD54)</f>
        <v>3000</v>
      </c>
      <c r="AF11" s="375">
        <f>IF(ISBLANK('RESUMEN VIGILANCIA'!AE54),"",'RESUMEN VIGILANCIA'!AE54)</f>
        <v>3000</v>
      </c>
      <c r="AG11" s="375">
        <f>IF(ISBLANK('RESUMEN VIGILANCIA'!AF54),"",'RESUMEN VIGILANCIA'!AF54)</f>
        <v>5000</v>
      </c>
      <c r="AH11" s="375">
        <f>IF(ISBLANK('RESUMEN VIGILANCIA'!AG54),"",'RESUMEN VIGILANCIA'!AG54)</f>
        <v>8000</v>
      </c>
      <c r="AI11" s="375">
        <f>IF(ISBLANK('RESUMEN VIGILANCIA'!AH54),"",'RESUMEN VIGILANCIA'!AH54)</f>
        <v>8000</v>
      </c>
      <c r="AJ11" s="375">
        <f>IF(ISBLANK('RESUMEN VIGILANCIA'!AI54),"",'RESUMEN VIGILANCIA'!AI54)</f>
        <v>10000</v>
      </c>
      <c r="AK11" s="375">
        <f>IF(ISBLANK('RESUMEN VIGILANCIA'!AJ54),"",'RESUMEN VIGILANCIA'!AJ54)</f>
        <v>10000</v>
      </c>
      <c r="AL11" s="375">
        <f>IF(ISBLANK('RESUMEN VIGILANCIA'!AK54),"",'RESUMEN VIGILANCIA'!AK54)</f>
        <v>23400</v>
      </c>
      <c r="AM11" s="375">
        <f>IF(ISBLANK('RESUMEN VIGILANCIA'!AL54),"",'RESUMEN VIGILANCIA'!AL54)</f>
        <v>49300</v>
      </c>
      <c r="AN11" s="375">
        <f>IF(ISBLANK('RESUMEN VIGILANCIA'!AM54),"",'RESUMEN VIGILANCIA'!AM54)</f>
        <v>56250</v>
      </c>
      <c r="AO11" s="376">
        <f>IF(ISBLANK('RESUMEN VIGILANCIA'!AN54),"",'RESUMEN VIGILANCIA'!AN54)</f>
        <v>81750</v>
      </c>
      <c r="AP11" s="374">
        <f>IF(ISBLANK('RESUMEN VIGILANCIA'!AO54),"",'RESUMEN VIGILANCIA'!AO54)</f>
        <v>136250</v>
      </c>
      <c r="AQ11" s="375">
        <f>IF(ISBLANK('RESUMEN VIGILANCIA'!AP54),"",'RESUMEN VIGILANCIA'!AP54)</f>
        <v>136250</v>
      </c>
      <c r="AR11" s="375">
        <f>IF(ISBLANK('RESUMEN VIGILANCIA'!AQ54),"",'RESUMEN VIGILANCIA'!AQ54)</f>
        <v>185250</v>
      </c>
      <c r="AS11" s="375">
        <f>IF(ISBLANK('RESUMEN VIGILANCIA'!AR54),"",'RESUMEN VIGILANCIA'!AR54)</f>
        <v>185250</v>
      </c>
      <c r="AT11" s="375">
        <f>IF(ISBLANK('RESUMEN VIGILANCIA'!AS54),"",'RESUMEN VIGILANCIA'!AS54)</f>
        <v>250000</v>
      </c>
      <c r="AU11" s="375">
        <f>IF(ISBLANK('RESUMEN VIGILANCIA'!AT54),"",'RESUMEN VIGILANCIA'!AT54)</f>
        <v>250000</v>
      </c>
      <c r="AV11" s="375" t="str">
        <f>IF(ISBLANK('RESUMEN VIGILANCIA'!AU54),"",'RESUMEN VIGILANCIA'!AU54)</f>
        <v/>
      </c>
      <c r="AW11" s="375" t="str">
        <f>IF(ISBLANK('RESUMEN VIGILANCIA'!AV54),"",'RESUMEN VIGILANCIA'!AV54)</f>
        <v/>
      </c>
      <c r="AX11" s="375" t="str">
        <f>IF(ISBLANK('RESUMEN VIGILANCIA'!AW54),"",'RESUMEN VIGILANCIA'!AW54)</f>
        <v/>
      </c>
      <c r="AY11" s="375" t="str">
        <f>IF(ISBLANK('RESUMEN VIGILANCIA'!AX54),"",'RESUMEN VIGILANCIA'!AX54)</f>
        <v/>
      </c>
      <c r="AZ11" s="375" t="str">
        <f>IF(ISBLANK('RESUMEN VIGILANCIA'!AY54),"",'RESUMEN VIGILANCIA'!AY54)</f>
        <v/>
      </c>
      <c r="BA11" s="376" t="str">
        <f>IF(ISBLANK('RESUMEN VIGILANCIA'!AZ54),"",'RESUMEN VIGILANCIA'!AZ54)</f>
        <v/>
      </c>
      <c r="BB11" s="240">
        <f t="shared" si="0"/>
        <v>262500.25</v>
      </c>
      <c r="BC11" s="110"/>
      <c r="BD11" s="110"/>
    </row>
    <row r="12" spans="1:56" s="28" customFormat="1" ht="20.100000000000001" customHeight="1">
      <c r="A12" s="29" t="str">
        <f>'RESUMEN VIGILANCIA'!A55</f>
        <v>Familia Lomeña Agudo</v>
      </c>
      <c r="B12" s="30" t="str">
        <f>'RESUMEN VIGILANCIA'!B55</f>
        <v>Calle Guacara Nro. 89-30</v>
      </c>
      <c r="C12" s="427" t="s">
        <v>1358</v>
      </c>
      <c r="D12" s="434" t="s">
        <v>17</v>
      </c>
      <c r="E12" s="415" t="str">
        <f>IF(ISBLANK('RESUMEN VIGILANCIA'!D55),"",'RESUMEN VIGILANCIA'!D55)</f>
        <v/>
      </c>
      <c r="F12" s="267">
        <f>IF(ISBLANK('RESUMEN VIGILANCIA'!E55),"",'RESUMEN VIGILANCIA'!E55)</f>
        <v>0.17</v>
      </c>
      <c r="G12" s="179">
        <f>IF(ISBLANK('RESUMEN VIGILANCIA'!F55),"",'RESUMEN VIGILANCIA'!F55)</f>
        <v>0.17</v>
      </c>
      <c r="H12" s="179">
        <f>IF(ISBLANK('RESUMEN VIGILANCIA'!G55),"",'RESUMEN VIGILANCIA'!G55)</f>
        <v>0.17</v>
      </c>
      <c r="I12" s="179">
        <f>IF(ISBLANK('RESUMEN VIGILANCIA'!H55),"",'RESUMEN VIGILANCIA'!H55)</f>
        <v>0.17</v>
      </c>
      <c r="J12" s="179">
        <f>IF(ISBLANK('RESUMEN VIGILANCIA'!I55),"",'RESUMEN VIGILANCIA'!I55)</f>
        <v>0.26</v>
      </c>
      <c r="K12" s="179">
        <f>IF(ISBLANK('RESUMEN VIGILANCIA'!J55),"",'RESUMEN VIGILANCIA'!J55)</f>
        <v>0.26</v>
      </c>
      <c r="L12" s="179">
        <f>IF(ISBLANK('RESUMEN VIGILANCIA'!K55),"",'RESUMEN VIGILANCIA'!K55)</f>
        <v>0.35</v>
      </c>
      <c r="M12" s="179">
        <f>IF(ISBLANK('RESUMEN VIGILANCIA'!L55),"",'RESUMEN VIGILANCIA'!L55)</f>
        <v>0.35</v>
      </c>
      <c r="N12" s="179">
        <f>IF(ISBLANK('RESUMEN VIGILANCIA'!M55),"",'RESUMEN VIGILANCIA'!M55)</f>
        <v>0.35</v>
      </c>
      <c r="O12" s="179">
        <f>IF(ISBLANK('RESUMEN VIGILANCIA'!N55),"",'RESUMEN VIGILANCIA'!N55)</f>
        <v>0.35</v>
      </c>
      <c r="P12" s="268">
        <f>IF(ISBLANK('RESUMEN VIGILANCIA'!O55),"",'RESUMEN VIGILANCIA'!O55)</f>
        <v>0.5</v>
      </c>
      <c r="Q12" s="177">
        <f>IF(ISBLANK('RESUMEN VIGILANCIA'!P55),"",'RESUMEN VIGILANCIA'!P55)</f>
        <v>0.5</v>
      </c>
      <c r="R12" s="269">
        <f>IF(ISBLANK('RESUMEN VIGILANCIA'!Q55),"",'RESUMEN VIGILANCIA'!Q55)</f>
        <v>0.8</v>
      </c>
      <c r="S12" s="268">
        <f>IF(ISBLANK('RESUMEN VIGILANCIA'!R55),"",'RESUMEN VIGILANCIA'!R55)</f>
        <v>0.8</v>
      </c>
      <c r="T12" s="268">
        <f>IF(ISBLANK('RESUMEN VIGILANCIA'!S55),"",'RESUMEN VIGILANCIA'!S55)</f>
        <v>1.4000000000000001</v>
      </c>
      <c r="U12" s="268">
        <f>IF(ISBLANK('RESUMEN VIGILANCIA'!T55),"",'RESUMEN VIGILANCIA'!T55)</f>
        <v>1.4</v>
      </c>
      <c r="V12" s="268">
        <f>IF(ISBLANK('RESUMEN VIGILANCIA'!U55),"",'RESUMEN VIGILANCIA'!U55)</f>
        <v>4</v>
      </c>
      <c r="W12" s="268">
        <f>IF(ISBLANK('RESUMEN VIGILANCIA'!V55),"",'RESUMEN VIGILANCIA'!V55)</f>
        <v>6.25</v>
      </c>
      <c r="X12" s="268">
        <f>IF(ISBLANK('RESUMEN VIGILANCIA'!W55),"",'RESUMEN VIGILANCIA'!W55)</f>
        <v>12.25</v>
      </c>
      <c r="Y12" s="268">
        <f>IF(ISBLANK('RESUMEN VIGILANCIA'!X55),"",'RESUMEN VIGILANCIA'!X55)</f>
        <v>12</v>
      </c>
      <c r="Z12" s="456">
        <f>IF(ISBLANK('RESUMEN VIGILANCIA'!Y55),"",'RESUMEN VIGILANCIA'!Y55)</f>
        <v>350.2</v>
      </c>
      <c r="AA12" s="453">
        <f>IF(ISBLANK('RESUMEN VIGILANCIA'!Z55),"",'RESUMEN VIGILANCIA'!Z55)</f>
        <v>320</v>
      </c>
      <c r="AB12" s="453">
        <f>IF(ISBLANK('RESUMEN VIGILANCIA'!AA55),"",'RESUMEN VIGILANCIA'!AA55)</f>
        <v>350</v>
      </c>
      <c r="AC12" s="455">
        <f>IF(ISBLANK('RESUMEN VIGILANCIA'!AB55),"",'RESUMEN VIGILANCIA'!AB55)</f>
        <v>800</v>
      </c>
      <c r="AD12" s="374">
        <f>IF(ISBLANK('RESUMEN VIGILANCIA'!AC55),"",'RESUMEN VIGILANCIA'!AC55)</f>
        <v>3000</v>
      </c>
      <c r="AE12" s="375">
        <f>IF(ISBLANK('RESUMEN VIGILANCIA'!AD55),"",'RESUMEN VIGILANCIA'!AD55)</f>
        <v>3000</v>
      </c>
      <c r="AF12" s="375">
        <f>IF(ISBLANK('RESUMEN VIGILANCIA'!AE55),"",'RESUMEN VIGILANCIA'!AE55)</f>
        <v>4500</v>
      </c>
      <c r="AG12" s="375">
        <f>IF(ISBLANK('RESUMEN VIGILANCIA'!AF55),"",'RESUMEN VIGILANCIA'!AF55)</f>
        <v>5000</v>
      </c>
      <c r="AH12" s="375">
        <f>IF(ISBLANK('RESUMEN VIGILANCIA'!AG55),"",'RESUMEN VIGILANCIA'!AG55)</f>
        <v>8000</v>
      </c>
      <c r="AI12" s="375">
        <f>IF(ISBLANK('RESUMEN VIGILANCIA'!AH55),"",'RESUMEN VIGILANCIA'!AH55)</f>
        <v>10000</v>
      </c>
      <c r="AJ12" s="375">
        <f>IF(ISBLANK('RESUMEN VIGILANCIA'!AI55),"",'RESUMEN VIGILANCIA'!AI55)</f>
        <v>10000</v>
      </c>
      <c r="AK12" s="375">
        <f>IF(ISBLANK('RESUMEN VIGILANCIA'!AJ55),"",'RESUMEN VIGILANCIA'!AJ55)</f>
        <v>15000</v>
      </c>
      <c r="AL12" s="375">
        <f>IF(ISBLANK('RESUMEN VIGILANCIA'!AK55),"",'RESUMEN VIGILANCIA'!AK55)</f>
        <v>23400</v>
      </c>
      <c r="AM12" s="375">
        <f>IF(ISBLANK('RESUMEN VIGILANCIA'!AL55),"",'RESUMEN VIGILANCIA'!AL55)</f>
        <v>48000</v>
      </c>
      <c r="AN12" s="375">
        <f>IF(ISBLANK('RESUMEN VIGILANCIA'!AM55),"",'RESUMEN VIGILANCIA'!AM55)</f>
        <v>67481</v>
      </c>
      <c r="AO12" s="376">
        <f>IF(ISBLANK('RESUMEN VIGILANCIA'!AN55),"",'RESUMEN VIGILANCIA'!AN55)</f>
        <v>148000</v>
      </c>
      <c r="AP12" s="374">
        <f>IF(ISBLANK('RESUMEN VIGILANCIA'!AO55),"",'RESUMEN VIGILANCIA'!AO55)</f>
        <v>136250</v>
      </c>
      <c r="AQ12" s="375">
        <f>IF(ISBLANK('RESUMEN VIGILANCIA'!AP55),"",'RESUMEN VIGILANCIA'!AP55)</f>
        <v>210000</v>
      </c>
      <c r="AR12" s="375">
        <f>IF(ISBLANK('RESUMEN VIGILANCIA'!AQ55),"",'RESUMEN VIGILANCIA'!AQ55)</f>
        <v>186000</v>
      </c>
      <c r="AS12" s="375">
        <f>IF(ISBLANK('RESUMEN VIGILANCIA'!AR55),"",'RESUMEN VIGILANCIA'!AR55)</f>
        <v>187000</v>
      </c>
      <c r="AT12" s="375">
        <f>IF(ISBLANK('RESUMEN VIGILANCIA'!AS55),"",'RESUMEN VIGILANCIA'!AS55)</f>
        <v>250000</v>
      </c>
      <c r="AU12" s="375">
        <f>IF(ISBLANK('RESUMEN VIGILANCIA'!AT55),"",'RESUMEN VIGILANCIA'!AT55)</f>
        <v>300000</v>
      </c>
      <c r="AV12" s="375" t="str">
        <f>IF(ISBLANK('RESUMEN VIGILANCIA'!AU55),"",'RESUMEN VIGILANCIA'!AU55)</f>
        <v/>
      </c>
      <c r="AW12" s="375" t="str">
        <f>IF(ISBLANK('RESUMEN VIGILANCIA'!AV55),"",'RESUMEN VIGILANCIA'!AV55)</f>
        <v/>
      </c>
      <c r="AX12" s="375" t="str">
        <f>IF(ISBLANK('RESUMEN VIGILANCIA'!AW55),"",'RESUMEN VIGILANCIA'!AW55)</f>
        <v/>
      </c>
      <c r="AY12" s="375" t="str">
        <f>IF(ISBLANK('RESUMEN VIGILANCIA'!AX55),"",'RESUMEN VIGILANCIA'!AX55)</f>
        <v/>
      </c>
      <c r="AZ12" s="375" t="str">
        <f>IF(ISBLANK('RESUMEN VIGILANCIA'!AY55),"",'RESUMEN VIGILANCIA'!AY55)</f>
        <v/>
      </c>
      <c r="BA12" s="376" t="str">
        <f>IF(ISBLANK('RESUMEN VIGILANCIA'!AZ55),"",'RESUMEN VIGILANCIA'!AZ55)</f>
        <v/>
      </c>
      <c r="BB12" s="240">
        <f t="shared" si="0"/>
        <v>347243.7</v>
      </c>
      <c r="BC12" s="110"/>
      <c r="BD12" s="110"/>
    </row>
    <row r="13" spans="1:56" s="28" customFormat="1" ht="20.100000000000001" customHeight="1">
      <c r="A13" s="29" t="str">
        <f>'RESUMEN VIGILANCIA'!A56</f>
        <v>Familia Manrique Riera</v>
      </c>
      <c r="B13" s="30" t="str">
        <f>'RESUMEN VIGILANCIA'!B56</f>
        <v>Calle Guacara Nro. 89-40</v>
      </c>
      <c r="C13" s="427" t="s">
        <v>1358</v>
      </c>
      <c r="D13" s="434" t="s">
        <v>1357</v>
      </c>
      <c r="E13" s="415" t="str">
        <f>IF(ISBLANK('RESUMEN VIGILANCIA'!D56),"",'RESUMEN VIGILANCIA'!D56)</f>
        <v/>
      </c>
      <c r="F13" s="267">
        <f>IF(ISBLANK('RESUMEN VIGILANCIA'!E56),"",'RESUMEN VIGILANCIA'!E56)</f>
        <v>0.17</v>
      </c>
      <c r="G13" s="179">
        <f>IF(ISBLANK('RESUMEN VIGILANCIA'!F56),"",'RESUMEN VIGILANCIA'!F56)</f>
        <v>0.17</v>
      </c>
      <c r="H13" s="179">
        <f>IF(ISBLANK('RESUMEN VIGILANCIA'!G56),"",'RESUMEN VIGILANCIA'!G56)</f>
        <v>0.17</v>
      </c>
      <c r="I13" s="179">
        <f>IF(ISBLANK('RESUMEN VIGILANCIA'!H56),"",'RESUMEN VIGILANCIA'!H56)</f>
        <v>0.17</v>
      </c>
      <c r="J13" s="179">
        <f>IF(ISBLANK('RESUMEN VIGILANCIA'!I56),"",'RESUMEN VIGILANCIA'!I56)</f>
        <v>0.26</v>
      </c>
      <c r="K13" s="179">
        <f>IF(ISBLANK('RESUMEN VIGILANCIA'!J56),"",'RESUMEN VIGILANCIA'!J56)</f>
        <v>0.26</v>
      </c>
      <c r="L13" s="179">
        <f>IF(ISBLANK('RESUMEN VIGILANCIA'!K56),"",'RESUMEN VIGILANCIA'!K56)</f>
        <v>0.35</v>
      </c>
      <c r="M13" s="179">
        <f>IF(ISBLANK('RESUMEN VIGILANCIA'!L56),"",'RESUMEN VIGILANCIA'!L56)</f>
        <v>0.35</v>
      </c>
      <c r="N13" s="179">
        <f>IF(ISBLANK('RESUMEN VIGILANCIA'!M56),"",'RESUMEN VIGILANCIA'!M56)</f>
        <v>0.35</v>
      </c>
      <c r="O13" s="179">
        <f>IF(ISBLANK('RESUMEN VIGILANCIA'!N56),"",'RESUMEN VIGILANCIA'!N56)</f>
        <v>0.35</v>
      </c>
      <c r="P13" s="268">
        <f>IF(ISBLANK('RESUMEN VIGILANCIA'!O56),"",'RESUMEN VIGILANCIA'!O56)</f>
        <v>0.5</v>
      </c>
      <c r="Q13" s="177">
        <f>IF(ISBLANK('RESUMEN VIGILANCIA'!P56),"",'RESUMEN VIGILANCIA'!P56)</f>
        <v>0.2</v>
      </c>
      <c r="R13" s="269">
        <f>IF(ISBLANK('RESUMEN VIGILANCIA'!Q56),"",'RESUMEN VIGILANCIA'!Q56)</f>
        <v>0.8</v>
      </c>
      <c r="S13" s="268">
        <f>IF(ISBLANK('RESUMEN VIGILANCIA'!R56),"",'RESUMEN VIGILANCIA'!R56)</f>
        <v>0.8</v>
      </c>
      <c r="T13" s="268">
        <f>IF(ISBLANK('RESUMEN VIGILANCIA'!S56),"",'RESUMEN VIGILANCIA'!S56)</f>
        <v>1.4</v>
      </c>
      <c r="U13" s="268">
        <f>IF(ISBLANK('RESUMEN VIGILANCIA'!T56),"",'RESUMEN VIGILANCIA'!T56)</f>
        <v>1.4</v>
      </c>
      <c r="V13" s="268">
        <f>IF(ISBLANK('RESUMEN VIGILANCIA'!U56),"",'RESUMEN VIGILANCIA'!U56)</f>
        <v>4</v>
      </c>
      <c r="W13" s="268">
        <f>IF(ISBLANK('RESUMEN VIGILANCIA'!V56),"",'RESUMEN VIGILANCIA'!V56)</f>
        <v>6.5</v>
      </c>
      <c r="X13" s="270">
        <f>IF(ISBLANK('RESUMEN VIGILANCIA'!W56),"",'RESUMEN VIGILANCIA'!W56)</f>
        <v>10</v>
      </c>
      <c r="Y13" s="268">
        <f>IF(ISBLANK('RESUMEN VIGILANCIA'!X56),"",'RESUMEN VIGILANCIA'!X56)</f>
        <v>12</v>
      </c>
      <c r="Z13" s="453">
        <f>IF(ISBLANK('RESUMEN VIGILANCIA'!Y56),"",'RESUMEN VIGILANCIA'!Y56)</f>
        <v>320</v>
      </c>
      <c r="AA13" s="453">
        <f>IF(ISBLANK('RESUMEN VIGILANCIA'!Z56),"",'RESUMEN VIGILANCIA'!Z56)</f>
        <v>320</v>
      </c>
      <c r="AB13" s="453">
        <f>IF(ISBLANK('RESUMEN VIGILANCIA'!AA56),"",'RESUMEN VIGILANCIA'!AA56)</f>
        <v>320</v>
      </c>
      <c r="AC13" s="455">
        <f>IF(ISBLANK('RESUMEN VIGILANCIA'!AB56),"",'RESUMEN VIGILANCIA'!AB56)</f>
        <v>800</v>
      </c>
      <c r="AD13" s="374">
        <f>IF(ISBLANK('RESUMEN VIGILANCIA'!AC56),"",'RESUMEN VIGILANCIA'!AC56)</f>
        <v>3000</v>
      </c>
      <c r="AE13" s="375">
        <f>IF(ISBLANK('RESUMEN VIGILANCIA'!AD56),"",'RESUMEN VIGILANCIA'!AD56)</f>
        <v>3000</v>
      </c>
      <c r="AF13" s="375">
        <f>IF(ISBLANK('RESUMEN VIGILANCIA'!AE56),"",'RESUMEN VIGILANCIA'!AE56)</f>
        <v>3000</v>
      </c>
      <c r="AG13" s="375">
        <f>IF(ISBLANK('RESUMEN VIGILANCIA'!AF56),"",'RESUMEN VIGILANCIA'!AF56)</f>
        <v>5000</v>
      </c>
      <c r="AH13" s="375">
        <f>IF(ISBLANK('RESUMEN VIGILANCIA'!AG56),"",'RESUMEN VIGILANCIA'!AG56)</f>
        <v>8000</v>
      </c>
      <c r="AI13" s="375">
        <f>IF(ISBLANK('RESUMEN VIGILANCIA'!AH56),"",'RESUMEN VIGILANCIA'!AH56)</f>
        <v>8000</v>
      </c>
      <c r="AJ13" s="375">
        <f>IF(ISBLANK('RESUMEN VIGILANCIA'!AI56),"",'RESUMEN VIGILANCIA'!AI56)</f>
        <v>10000</v>
      </c>
      <c r="AK13" s="375">
        <f>IF(ISBLANK('RESUMEN VIGILANCIA'!AJ56),"",'RESUMEN VIGILANCIA'!AJ56)</f>
        <v>10000</v>
      </c>
      <c r="AL13" s="375">
        <f>IF(ISBLANK('RESUMEN VIGILANCIA'!AK56),"",'RESUMEN VIGILANCIA'!AK56)</f>
        <v>23400</v>
      </c>
      <c r="AM13" s="375">
        <f>IF(ISBLANK('RESUMEN VIGILANCIA'!AL56),"",'RESUMEN VIGILANCIA'!AL56)</f>
        <v>47000</v>
      </c>
      <c r="AN13" s="375">
        <f>IF(ISBLANK('RESUMEN VIGILANCIA'!AM56),"",'RESUMEN VIGILANCIA'!AM56)</f>
        <v>64500</v>
      </c>
      <c r="AO13" s="376">
        <f>IF(ISBLANK('RESUMEN VIGILANCIA'!AN56),"",'RESUMEN VIGILANCIA'!AN56)</f>
        <v>81750</v>
      </c>
      <c r="AP13" s="374">
        <f>IF(ISBLANK('RESUMEN VIGILANCIA'!AO56),"",'RESUMEN VIGILANCIA'!AO56)</f>
        <v>136250</v>
      </c>
      <c r="AQ13" s="375">
        <f>IF(ISBLANK('RESUMEN VIGILANCIA'!AP56),"",'RESUMEN VIGILANCIA'!AP56)</f>
        <v>136250</v>
      </c>
      <c r="AR13" s="375">
        <f>IF(ISBLANK('RESUMEN VIGILANCIA'!AQ56),"",'RESUMEN VIGILANCIA'!AQ56)</f>
        <v>185250</v>
      </c>
      <c r="AS13" s="375">
        <f>IF(ISBLANK('RESUMEN VIGILANCIA'!AR56),"",'RESUMEN VIGILANCIA'!AR56)</f>
        <v>185250</v>
      </c>
      <c r="AT13" s="375">
        <f>IF(ISBLANK('RESUMEN VIGILANCIA'!AS56),"",'RESUMEN VIGILANCIA'!AS56)</f>
        <v>250000</v>
      </c>
      <c r="AU13" s="375">
        <f>IF(ISBLANK('RESUMEN VIGILANCIA'!AT56),"",'RESUMEN VIGILANCIA'!AT56)</f>
        <v>250000</v>
      </c>
      <c r="AV13" s="375" t="str">
        <f>IF(ISBLANK('RESUMEN VIGILANCIA'!AU56),"",'RESUMEN VIGILANCIA'!AU56)</f>
        <v/>
      </c>
      <c r="AW13" s="375" t="str">
        <f>IF(ISBLANK('RESUMEN VIGILANCIA'!AV56),"",'RESUMEN VIGILANCIA'!AV56)</f>
        <v/>
      </c>
      <c r="AX13" s="375" t="str">
        <f>IF(ISBLANK('RESUMEN VIGILANCIA'!AW56),"",'RESUMEN VIGILANCIA'!AW56)</f>
        <v/>
      </c>
      <c r="AY13" s="375" t="str">
        <f>IF(ISBLANK('RESUMEN VIGILANCIA'!AX56),"",'RESUMEN VIGILANCIA'!AX56)</f>
        <v/>
      </c>
      <c r="AZ13" s="375" t="str">
        <f>IF(ISBLANK('RESUMEN VIGILANCIA'!AY56),"",'RESUMEN VIGILANCIA'!AY56)</f>
        <v/>
      </c>
      <c r="BA13" s="376" t="str">
        <f>IF(ISBLANK('RESUMEN VIGILANCIA'!AZ56),"",'RESUMEN VIGILANCIA'!AZ56)</f>
        <v/>
      </c>
      <c r="BB13" s="240">
        <f t="shared" si="0"/>
        <v>268450.2</v>
      </c>
      <c r="BC13" s="110"/>
      <c r="BD13" s="110"/>
    </row>
    <row r="14" spans="1:56" s="28" customFormat="1" ht="20.100000000000001" customHeight="1">
      <c r="A14" s="29" t="str">
        <f>'RESUMEN VIGILANCIA'!A57</f>
        <v>Familia Romero</v>
      </c>
      <c r="B14" s="30" t="str">
        <f>'RESUMEN VIGILANCIA'!B57</f>
        <v>Calle Guacara Nro. 89-50</v>
      </c>
      <c r="C14" s="427" t="s">
        <v>1358</v>
      </c>
      <c r="D14" s="434" t="s">
        <v>1357</v>
      </c>
      <c r="E14" s="415" t="str">
        <f>IF(ISBLANK('RESUMEN VIGILANCIA'!D57),"",'RESUMEN VIGILANCIA'!D57)</f>
        <v/>
      </c>
      <c r="F14" s="267" t="str">
        <f>IF(ISBLANK('RESUMEN VIGILANCIA'!E57),"",'RESUMEN VIGILANCIA'!E57)</f>
        <v/>
      </c>
      <c r="G14" s="179" t="str">
        <f>IF(ISBLANK('RESUMEN VIGILANCIA'!F57),"",'RESUMEN VIGILANCIA'!F57)</f>
        <v/>
      </c>
      <c r="H14" s="179" t="str">
        <f>IF(ISBLANK('RESUMEN VIGILANCIA'!G57),"",'RESUMEN VIGILANCIA'!G57)</f>
        <v/>
      </c>
      <c r="I14" s="179" t="str">
        <f>IF(ISBLANK('RESUMEN VIGILANCIA'!H57),"",'RESUMEN VIGILANCIA'!H57)</f>
        <v/>
      </c>
      <c r="J14" s="179" t="str">
        <f>IF(ISBLANK('RESUMEN VIGILANCIA'!I57),"",'RESUMEN VIGILANCIA'!I57)</f>
        <v/>
      </c>
      <c r="K14" s="179" t="str">
        <f>IF(ISBLANK('RESUMEN VIGILANCIA'!J57),"",'RESUMEN VIGILANCIA'!J57)</f>
        <v/>
      </c>
      <c r="L14" s="179" t="str">
        <f>IF(ISBLANK('RESUMEN VIGILANCIA'!K57),"",'RESUMEN VIGILANCIA'!K57)</f>
        <v/>
      </c>
      <c r="M14" s="179" t="str">
        <f>IF(ISBLANK('RESUMEN VIGILANCIA'!L57),"",'RESUMEN VIGILANCIA'!L57)</f>
        <v/>
      </c>
      <c r="N14" s="179" t="str">
        <f>IF(ISBLANK('RESUMEN VIGILANCIA'!M57),"",'RESUMEN VIGILANCIA'!M57)</f>
        <v/>
      </c>
      <c r="O14" s="179" t="str">
        <f>IF(ISBLANK('RESUMEN VIGILANCIA'!N57),"",'RESUMEN VIGILANCIA'!N57)</f>
        <v/>
      </c>
      <c r="P14" s="268" t="str">
        <f>IF(ISBLANK('RESUMEN VIGILANCIA'!O57),"",'RESUMEN VIGILANCIA'!O57)</f>
        <v/>
      </c>
      <c r="Q14" s="177">
        <f>IF(ISBLANK('RESUMEN VIGILANCIA'!P57),"",'RESUMEN VIGILANCIA'!P57)</f>
        <v>0.5</v>
      </c>
      <c r="R14" s="269">
        <f>IF(ISBLANK('RESUMEN VIGILANCIA'!Q57),"",'RESUMEN VIGILANCIA'!Q57)</f>
        <v>0.5</v>
      </c>
      <c r="S14" s="268">
        <f>IF(ISBLANK('RESUMEN VIGILANCIA'!R57),"",'RESUMEN VIGILANCIA'!R57)</f>
        <v>0.5</v>
      </c>
      <c r="T14" s="268">
        <f>IF(ISBLANK('RESUMEN VIGILANCIA'!S57),"",'RESUMEN VIGILANCIA'!S57)</f>
        <v>0.5</v>
      </c>
      <c r="U14" s="268">
        <f>IF(ISBLANK('RESUMEN VIGILANCIA'!T57),"",'RESUMEN VIGILANCIA'!T57)</f>
        <v>0.5</v>
      </c>
      <c r="V14" s="268">
        <f>IF(ISBLANK('RESUMEN VIGILANCIA'!U57),"",'RESUMEN VIGILANCIA'!U57)</f>
        <v>4</v>
      </c>
      <c r="W14" s="268">
        <f>IF(ISBLANK('RESUMEN VIGILANCIA'!V57),"",'RESUMEN VIGILANCIA'!V57)</f>
        <v>4</v>
      </c>
      <c r="X14" s="268">
        <f>IF(ISBLANK('RESUMEN VIGILANCIA'!W57),"",'RESUMEN VIGILANCIA'!W57)</f>
        <v>10</v>
      </c>
      <c r="Y14" s="270">
        <f>IF(ISBLANK('RESUMEN VIGILANCIA'!X57),"",'RESUMEN VIGILANCIA'!X57)</f>
        <v>10</v>
      </c>
      <c r="Z14" s="453">
        <f>IF(ISBLANK('RESUMEN VIGILANCIA'!Y57),"",'RESUMEN VIGILANCIA'!Y57)</f>
        <v>160</v>
      </c>
      <c r="AA14" s="453">
        <f>IF(ISBLANK('RESUMEN VIGILANCIA'!Z57),"",'RESUMEN VIGILANCIA'!Z57)</f>
        <v>160</v>
      </c>
      <c r="AB14" s="453" t="str">
        <f>IF(ISBLANK('RESUMEN VIGILANCIA'!AA57),"",'RESUMEN VIGILANCIA'!AA57)</f>
        <v/>
      </c>
      <c r="AC14" s="455">
        <f>IF(ISBLANK('RESUMEN VIGILANCIA'!AB57),"",'RESUMEN VIGILANCIA'!AB57)</f>
        <v>800</v>
      </c>
      <c r="AD14" s="374">
        <f>IF(ISBLANK('RESUMEN VIGILANCIA'!AC57),"",'RESUMEN VIGILANCIA'!AC57)</f>
        <v>3000</v>
      </c>
      <c r="AE14" s="375">
        <f>IF(ISBLANK('RESUMEN VIGILANCIA'!AD57),"",'RESUMEN VIGILANCIA'!AD57)</f>
        <v>3000</v>
      </c>
      <c r="AF14" s="375">
        <f>IF(ISBLANK('RESUMEN VIGILANCIA'!AE57),"",'RESUMEN VIGILANCIA'!AE57)</f>
        <v>3000</v>
      </c>
      <c r="AG14" s="375">
        <f>IF(ISBLANK('RESUMEN VIGILANCIA'!AF57),"",'RESUMEN VIGILANCIA'!AF57)</f>
        <v>5000</v>
      </c>
      <c r="AH14" s="375">
        <f>IF(ISBLANK('RESUMEN VIGILANCIA'!AG57),"",'RESUMEN VIGILANCIA'!AG57)</f>
        <v>8000</v>
      </c>
      <c r="AI14" s="375">
        <f>IF(ISBLANK('RESUMEN VIGILANCIA'!AH57),"",'RESUMEN VIGILANCIA'!AH57)</f>
        <v>8000</v>
      </c>
      <c r="AJ14" s="375">
        <f>IF(ISBLANK('RESUMEN VIGILANCIA'!AI57),"",'RESUMEN VIGILANCIA'!AI57)</f>
        <v>10000</v>
      </c>
      <c r="AK14" s="375">
        <f>IF(ISBLANK('RESUMEN VIGILANCIA'!AJ57),"",'RESUMEN VIGILANCIA'!AJ57)</f>
        <v>10000</v>
      </c>
      <c r="AL14" s="375">
        <f>IF(ISBLANK('RESUMEN VIGILANCIA'!AK57),"",'RESUMEN VIGILANCIA'!AK57)</f>
        <v>20500</v>
      </c>
      <c r="AM14" s="375">
        <f>IF(ISBLANK('RESUMEN VIGILANCIA'!AL57),"",'RESUMEN VIGILANCIA'!AL57)</f>
        <v>47000</v>
      </c>
      <c r="AN14" s="375">
        <f>IF(ISBLANK('RESUMEN VIGILANCIA'!AM57),"",'RESUMEN VIGILANCIA'!AM57)</f>
        <v>56250</v>
      </c>
      <c r="AO14" s="376">
        <f>IF(ISBLANK('RESUMEN VIGILANCIA'!AN57),"",'RESUMEN VIGILANCIA'!AN57)</f>
        <v>81750</v>
      </c>
      <c r="AP14" s="374">
        <f>IF(ISBLANK('RESUMEN VIGILANCIA'!AO57),"",'RESUMEN VIGILANCIA'!AO57)</f>
        <v>136250</v>
      </c>
      <c r="AQ14" s="375">
        <f>IF(ISBLANK('RESUMEN VIGILANCIA'!AP57),"",'RESUMEN VIGILANCIA'!AP57)</f>
        <v>185250</v>
      </c>
      <c r="AR14" s="375">
        <f>IF(ISBLANK('RESUMEN VIGILANCIA'!AQ57),"",'RESUMEN VIGILANCIA'!AQ57)</f>
        <v>185250</v>
      </c>
      <c r="AS14" s="375">
        <f>IF(ISBLANK('RESUMEN VIGILANCIA'!AR57),"",'RESUMEN VIGILANCIA'!AR57)</f>
        <v>185250</v>
      </c>
      <c r="AT14" s="375">
        <f>IF(ISBLANK('RESUMEN VIGILANCIA'!AS57),"",'RESUMEN VIGILANCIA'!AS57)</f>
        <v>250000</v>
      </c>
      <c r="AU14" s="375" t="str">
        <f>IF(ISBLANK('RESUMEN VIGILANCIA'!AT57),"",'RESUMEN VIGILANCIA'!AT57)</f>
        <v/>
      </c>
      <c r="AV14" s="375" t="str">
        <f>IF(ISBLANK('RESUMEN VIGILANCIA'!AU57),"",'RESUMEN VIGILANCIA'!AU57)</f>
        <v/>
      </c>
      <c r="AW14" s="375" t="str">
        <f>IF(ISBLANK('RESUMEN VIGILANCIA'!AV57),"",'RESUMEN VIGILANCIA'!AV57)</f>
        <v/>
      </c>
      <c r="AX14" s="375" t="str">
        <f>IF(ISBLANK('RESUMEN VIGILANCIA'!AW57),"",'RESUMEN VIGILANCIA'!AW57)</f>
        <v/>
      </c>
      <c r="AY14" s="375" t="str">
        <f>IF(ISBLANK('RESUMEN VIGILANCIA'!AX57),"",'RESUMEN VIGILANCIA'!AX57)</f>
        <v/>
      </c>
      <c r="AZ14" s="375" t="str">
        <f>IF(ISBLANK('RESUMEN VIGILANCIA'!AY57),"",'RESUMEN VIGILANCIA'!AY57)</f>
        <v/>
      </c>
      <c r="BA14" s="376" t="str">
        <f>IF(ISBLANK('RESUMEN VIGILANCIA'!AZ57),"",'RESUMEN VIGILANCIA'!AZ57)</f>
        <v/>
      </c>
      <c r="BB14" s="240">
        <f t="shared" si="0"/>
        <v>256650.5</v>
      </c>
      <c r="BC14" s="110"/>
      <c r="BD14" s="110"/>
    </row>
    <row r="15" spans="1:56" s="28" customFormat="1" ht="20.100000000000001" customHeight="1">
      <c r="A15" s="29" t="str">
        <f>'RESUMEN VIGILANCIA'!A58</f>
        <v>Familia Durvelle Serrano</v>
      </c>
      <c r="B15" s="30" t="str">
        <f>'RESUMEN VIGILANCIA'!B58</f>
        <v>Calle Guacara Nro. 89-60</v>
      </c>
      <c r="C15" s="427" t="s">
        <v>1358</v>
      </c>
      <c r="D15" s="434" t="s">
        <v>1357</v>
      </c>
      <c r="E15" s="415" t="str">
        <f>IF(ISBLANK('RESUMEN VIGILANCIA'!D58),"",'RESUMEN VIGILANCIA'!D58)</f>
        <v/>
      </c>
      <c r="F15" s="271">
        <f>IF(ISBLANK('RESUMEN VIGILANCIA'!E58),"",'RESUMEN VIGILANCIA'!E58)</f>
        <v>0.1</v>
      </c>
      <c r="G15" s="179">
        <f>IF(ISBLANK('RESUMEN VIGILANCIA'!F58),"",'RESUMEN VIGILANCIA'!F58)</f>
        <v>0.17</v>
      </c>
      <c r="H15" s="179">
        <f>IF(ISBLANK('RESUMEN VIGILANCIA'!G58),"",'RESUMEN VIGILANCIA'!G58)</f>
        <v>0.17</v>
      </c>
      <c r="I15" s="179">
        <f>IF(ISBLANK('RESUMEN VIGILANCIA'!H58),"",'RESUMEN VIGILANCIA'!H58)</f>
        <v>0.17</v>
      </c>
      <c r="J15" s="179">
        <f>IF(ISBLANK('RESUMEN VIGILANCIA'!I58),"",'RESUMEN VIGILANCIA'!I58)</f>
        <v>0.26</v>
      </c>
      <c r="K15" s="179">
        <f>IF(ISBLANK('RESUMEN VIGILANCIA'!J58),"",'RESUMEN VIGILANCIA'!J58)</f>
        <v>0.27</v>
      </c>
      <c r="L15" s="179">
        <f>IF(ISBLANK('RESUMEN VIGILANCIA'!K58),"",'RESUMEN VIGILANCIA'!K58)</f>
        <v>0.36</v>
      </c>
      <c r="M15" s="179">
        <f>IF(ISBLANK('RESUMEN VIGILANCIA'!L58),"",'RESUMEN VIGILANCIA'!L58)</f>
        <v>0.35</v>
      </c>
      <c r="N15" s="179">
        <f>IF(ISBLANK('RESUMEN VIGILANCIA'!M58),"",'RESUMEN VIGILANCIA'!M58)</f>
        <v>0.35</v>
      </c>
      <c r="O15" s="179">
        <f>IF(ISBLANK('RESUMEN VIGILANCIA'!N58),"",'RESUMEN VIGILANCIA'!N58)</f>
        <v>0.35</v>
      </c>
      <c r="P15" s="268">
        <f>IF(ISBLANK('RESUMEN VIGILANCIA'!O58),"",'RESUMEN VIGILANCIA'!O58)</f>
        <v>0.5</v>
      </c>
      <c r="Q15" s="177">
        <f>IF(ISBLANK('RESUMEN VIGILANCIA'!P58),"",'RESUMEN VIGILANCIA'!P58)</f>
        <v>0.5</v>
      </c>
      <c r="R15" s="269">
        <f>IF(ISBLANK('RESUMEN VIGILANCIA'!Q58),"",'RESUMEN VIGILANCIA'!Q58)</f>
        <v>1</v>
      </c>
      <c r="S15" s="268">
        <f>IF(ISBLANK('RESUMEN VIGILANCIA'!R58),"",'RESUMEN VIGILANCIA'!R58)</f>
        <v>1</v>
      </c>
      <c r="T15" s="268">
        <f>IF(ISBLANK('RESUMEN VIGILANCIA'!S58),"",'RESUMEN VIGILANCIA'!S58)</f>
        <v>2</v>
      </c>
      <c r="U15" s="268">
        <f>IF(ISBLANK('RESUMEN VIGILANCIA'!T58),"",'RESUMEN VIGILANCIA'!T58)</f>
        <v>2.5</v>
      </c>
      <c r="V15" s="268">
        <f>IF(ISBLANK('RESUMEN VIGILANCIA'!U58),"",'RESUMEN VIGILANCIA'!U58)</f>
        <v>4</v>
      </c>
      <c r="W15" s="268">
        <f>IF(ISBLANK('RESUMEN VIGILANCIA'!V58),"",'RESUMEN VIGILANCIA'!V58)</f>
        <v>6.25</v>
      </c>
      <c r="X15" s="268">
        <f>IF(ISBLANK('RESUMEN VIGILANCIA'!W58),"",'RESUMEN VIGILANCIA'!W58)</f>
        <v>10</v>
      </c>
      <c r="Y15" s="268">
        <f>IF(ISBLANK('RESUMEN VIGILANCIA'!X58),"",'RESUMEN VIGILANCIA'!X58)</f>
        <v>11.999999999999998</v>
      </c>
      <c r="Z15" s="453">
        <f>IF(ISBLANK('RESUMEN VIGILANCIA'!Y58),"",'RESUMEN VIGILANCIA'!Y58)</f>
        <v>405.15</v>
      </c>
      <c r="AA15" s="453">
        <f>IF(ISBLANK('RESUMEN VIGILANCIA'!Z58),"",'RESUMEN VIGILANCIA'!Z58)</f>
        <v>500</v>
      </c>
      <c r="AB15" s="453">
        <f>IF(ISBLANK('RESUMEN VIGILANCIA'!AA58),"",'RESUMEN VIGILANCIA'!AA58)</f>
        <v>500</v>
      </c>
      <c r="AC15" s="455">
        <f>IF(ISBLANK('RESUMEN VIGILANCIA'!AB58),"",'RESUMEN VIGILANCIA'!AB58)</f>
        <v>1000</v>
      </c>
      <c r="AD15" s="374">
        <f>IF(ISBLANK('RESUMEN VIGILANCIA'!AC58),"",'RESUMEN VIGILANCIA'!AC58)</f>
        <v>4000</v>
      </c>
      <c r="AE15" s="375">
        <f>IF(ISBLANK('RESUMEN VIGILANCIA'!AD58),"",'RESUMEN VIGILANCIA'!AD58)</f>
        <v>4000</v>
      </c>
      <c r="AF15" s="375">
        <f>IF(ISBLANK('RESUMEN VIGILANCIA'!AE58),"",'RESUMEN VIGILANCIA'!AE58)</f>
        <v>6000</v>
      </c>
      <c r="AG15" s="375">
        <f>IF(ISBLANK('RESUMEN VIGILANCIA'!AF58),"",'RESUMEN VIGILANCIA'!AF58)</f>
        <v>5000</v>
      </c>
      <c r="AH15" s="375">
        <f>IF(ISBLANK('RESUMEN VIGILANCIA'!AG58),"",'RESUMEN VIGILANCIA'!AG58)</f>
        <v>8000</v>
      </c>
      <c r="AI15" s="375">
        <f>IF(ISBLANK('RESUMEN VIGILANCIA'!AH58),"",'RESUMEN VIGILANCIA'!AH58)</f>
        <v>8000</v>
      </c>
      <c r="AJ15" s="375">
        <f>IF(ISBLANK('RESUMEN VIGILANCIA'!AI58),"",'RESUMEN VIGILANCIA'!AI58)</f>
        <v>15000</v>
      </c>
      <c r="AK15" s="375">
        <f>IF(ISBLANK('RESUMEN VIGILANCIA'!AJ58),"",'RESUMEN VIGILANCIA'!AJ58)</f>
        <v>10000</v>
      </c>
      <c r="AL15" s="375">
        <f>IF(ISBLANK('RESUMEN VIGILANCIA'!AK58),"",'RESUMEN VIGILANCIA'!AK58)</f>
        <v>24000</v>
      </c>
      <c r="AM15" s="375">
        <f>IF(ISBLANK('RESUMEN VIGILANCIA'!AL58),"",'RESUMEN VIGILANCIA'!AL58)</f>
        <v>47000</v>
      </c>
      <c r="AN15" s="375">
        <f>IF(ISBLANK('RESUMEN VIGILANCIA'!AM58),"",'RESUMEN VIGILANCIA'!AM58)</f>
        <v>57000</v>
      </c>
      <c r="AO15" s="376">
        <f>IF(ISBLANK('RESUMEN VIGILANCIA'!AN58),"",'RESUMEN VIGILANCIA'!AN58)</f>
        <v>98750</v>
      </c>
      <c r="AP15" s="374">
        <f>IF(ISBLANK('RESUMEN VIGILANCIA'!AO58),"",'RESUMEN VIGILANCIA'!AO58)</f>
        <v>136250</v>
      </c>
      <c r="AQ15" s="375">
        <f>IF(ISBLANK('RESUMEN VIGILANCIA'!AP58),"",'RESUMEN VIGILANCIA'!AP58)</f>
        <v>140000</v>
      </c>
      <c r="AR15" s="375">
        <f>IF(ISBLANK('RESUMEN VIGILANCIA'!AQ58),"",'RESUMEN VIGILANCIA'!AQ58)</f>
        <v>400000</v>
      </c>
      <c r="AS15" s="375">
        <f>IF(ISBLANK('RESUMEN VIGILANCIA'!AR58),"",'RESUMEN VIGILANCIA'!AR58)</f>
        <v>300000</v>
      </c>
      <c r="AT15" s="375">
        <f>IF(ISBLANK('RESUMEN VIGILANCIA'!AS58),"",'RESUMEN VIGILANCIA'!AS58)</f>
        <v>250000</v>
      </c>
      <c r="AU15" s="375">
        <f>IF(ISBLANK('RESUMEN VIGILANCIA'!AT58),"",'RESUMEN VIGILANCIA'!AT58)</f>
        <v>300000</v>
      </c>
      <c r="AV15" s="375">
        <f>IF(ISBLANK('RESUMEN VIGILANCIA'!AU58),"",'RESUMEN VIGILANCIA'!AU58)</f>
        <v>400000</v>
      </c>
      <c r="AW15" s="375" t="str">
        <f>IF(ISBLANK('RESUMEN VIGILANCIA'!AV58),"",'RESUMEN VIGILANCIA'!AV58)</f>
        <v/>
      </c>
      <c r="AX15" s="375" t="str">
        <f>IF(ISBLANK('RESUMEN VIGILANCIA'!AW58),"",'RESUMEN VIGILANCIA'!AW58)</f>
        <v/>
      </c>
      <c r="AY15" s="375" t="str">
        <f>IF(ISBLANK('RESUMEN VIGILANCIA'!AX58),"",'RESUMEN VIGILANCIA'!AX58)</f>
        <v/>
      </c>
      <c r="AZ15" s="375" t="str">
        <f>IF(ISBLANK('RESUMEN VIGILANCIA'!AY58),"",'RESUMEN VIGILANCIA'!AY58)</f>
        <v/>
      </c>
      <c r="BA15" s="376" t="str">
        <f>IF(ISBLANK('RESUMEN VIGILANCIA'!AZ58),"",'RESUMEN VIGILANCIA'!AZ58)</f>
        <v/>
      </c>
      <c r="BB15" s="240">
        <f t="shared" si="0"/>
        <v>289197.45</v>
      </c>
      <c r="BC15" s="110"/>
      <c r="BD15" s="110"/>
    </row>
    <row r="16" spans="1:56" s="28" customFormat="1" ht="20.100000000000001" customHeight="1">
      <c r="A16" s="29" t="str">
        <f>'RESUMEN VIGILANCIA'!A59</f>
        <v>Yuraima Rodríguez</v>
      </c>
      <c r="B16" s="30" t="str">
        <f>'RESUMEN VIGILANCIA'!B59</f>
        <v>Calle Guacara Nro. 89-70</v>
      </c>
      <c r="C16" s="427" t="s">
        <v>1360</v>
      </c>
      <c r="D16" s="434" t="s">
        <v>1357</v>
      </c>
      <c r="E16" s="415" t="str">
        <f>IF(ISBLANK('RESUMEN VIGILANCIA'!D59),"",'RESUMEN VIGILANCIA'!D59)</f>
        <v/>
      </c>
      <c r="F16" s="267">
        <f>IF(ISBLANK('RESUMEN VIGILANCIA'!E59),"",'RESUMEN VIGILANCIA'!E59)</f>
        <v>0.17</v>
      </c>
      <c r="G16" s="179">
        <f>IF(ISBLANK('RESUMEN VIGILANCIA'!F59),"",'RESUMEN VIGILANCIA'!F59)</f>
        <v>0.17</v>
      </c>
      <c r="H16" s="179">
        <f>IF(ISBLANK('RESUMEN VIGILANCIA'!G59),"",'RESUMEN VIGILANCIA'!G59)</f>
        <v>0.17</v>
      </c>
      <c r="I16" s="179">
        <f>IF(ISBLANK('RESUMEN VIGILANCIA'!H59),"",'RESUMEN VIGILANCIA'!H59)</f>
        <v>0.17</v>
      </c>
      <c r="J16" s="179" t="str">
        <f>IF(ISBLANK('RESUMEN VIGILANCIA'!I59),"",'RESUMEN VIGILANCIA'!I59)</f>
        <v/>
      </c>
      <c r="K16" s="179" t="str">
        <f>IF(ISBLANK('RESUMEN VIGILANCIA'!J59),"",'RESUMEN VIGILANCIA'!J59)</f>
        <v/>
      </c>
      <c r="L16" s="179" t="str">
        <f>IF(ISBLANK('RESUMEN VIGILANCIA'!K59),"",'RESUMEN VIGILANCIA'!K59)</f>
        <v/>
      </c>
      <c r="M16" s="179" t="str">
        <f>IF(ISBLANK('RESUMEN VIGILANCIA'!L59),"",'RESUMEN VIGILANCIA'!L59)</f>
        <v/>
      </c>
      <c r="N16" s="179" t="str">
        <f>IF(ISBLANK('RESUMEN VIGILANCIA'!M59),"",'RESUMEN VIGILANCIA'!M59)</f>
        <v/>
      </c>
      <c r="O16" s="179" t="str">
        <f>IF(ISBLANK('RESUMEN VIGILANCIA'!N59),"",'RESUMEN VIGILANCIA'!N59)</f>
        <v/>
      </c>
      <c r="P16" s="268" t="str">
        <f>IF(ISBLANK('RESUMEN VIGILANCIA'!O59),"",'RESUMEN VIGILANCIA'!O59)</f>
        <v/>
      </c>
      <c r="Q16" s="177" t="str">
        <f>IF(ISBLANK('RESUMEN VIGILANCIA'!P59),"",'RESUMEN VIGILANCIA'!P59)</f>
        <v/>
      </c>
      <c r="R16" s="269" t="str">
        <f>IF(ISBLANK('RESUMEN VIGILANCIA'!Q59),"",'RESUMEN VIGILANCIA'!Q59)</f>
        <v/>
      </c>
      <c r="S16" s="268" t="str">
        <f>IF(ISBLANK('RESUMEN VIGILANCIA'!R59),"",'RESUMEN VIGILANCIA'!R59)</f>
        <v/>
      </c>
      <c r="T16" s="268" t="str">
        <f>IF(ISBLANK('RESUMEN VIGILANCIA'!S59),"",'RESUMEN VIGILANCIA'!S59)</f>
        <v/>
      </c>
      <c r="U16" s="268" t="str">
        <f>IF(ISBLANK('RESUMEN VIGILANCIA'!T59),"",'RESUMEN VIGILANCIA'!T59)</f>
        <v/>
      </c>
      <c r="V16" s="268">
        <f>IF(ISBLANK('RESUMEN VIGILANCIA'!U59),"",'RESUMEN VIGILANCIA'!U59)</f>
        <v>4</v>
      </c>
      <c r="W16" s="268">
        <f>IF(ISBLANK('RESUMEN VIGILANCIA'!V59),"",'RESUMEN VIGILANCIA'!V59)</f>
        <v>4</v>
      </c>
      <c r="X16" s="268">
        <f>IF(ISBLANK('RESUMEN VIGILANCIA'!W59),"",'RESUMEN VIGILANCIA'!W59)</f>
        <v>10</v>
      </c>
      <c r="Y16" s="268">
        <f>IF(ISBLANK('RESUMEN VIGILANCIA'!X59),"",'RESUMEN VIGILANCIA'!X59)</f>
        <v>12</v>
      </c>
      <c r="Z16" s="453">
        <f>IF(ISBLANK('RESUMEN VIGILANCIA'!Y59),"",'RESUMEN VIGILANCIA'!Y59)</f>
        <v>320</v>
      </c>
      <c r="AA16" s="453">
        <f>IF(ISBLANK('RESUMEN VIGILANCIA'!Z59),"",'RESUMEN VIGILANCIA'!Z59)</f>
        <v>320</v>
      </c>
      <c r="AB16" s="453">
        <f>IF(ISBLANK('RESUMEN VIGILANCIA'!AA59),"",'RESUMEN VIGILANCIA'!AA59)</f>
        <v>320</v>
      </c>
      <c r="AC16" s="455">
        <f>IF(ISBLANK('RESUMEN VIGILANCIA'!AB59),"",'RESUMEN VIGILANCIA'!AB59)</f>
        <v>800</v>
      </c>
      <c r="AD16" s="374">
        <f>IF(ISBLANK('RESUMEN VIGILANCIA'!AC59),"",'RESUMEN VIGILANCIA'!AC59)</f>
        <v>3000</v>
      </c>
      <c r="AE16" s="375">
        <f>IF(ISBLANK('RESUMEN VIGILANCIA'!AD59),"",'RESUMEN VIGILANCIA'!AD59)</f>
        <v>3000</v>
      </c>
      <c r="AF16" s="375">
        <f>IF(ISBLANK('RESUMEN VIGILANCIA'!AE59),"",'RESUMEN VIGILANCIA'!AE59)</f>
        <v>3000</v>
      </c>
      <c r="AG16" s="375">
        <f>IF(ISBLANK('RESUMEN VIGILANCIA'!AF59),"",'RESUMEN VIGILANCIA'!AF59)</f>
        <v>5000</v>
      </c>
      <c r="AH16" s="375">
        <f>IF(ISBLANK('RESUMEN VIGILANCIA'!AG59),"",'RESUMEN VIGILANCIA'!AG59)</f>
        <v>8000</v>
      </c>
      <c r="AI16" s="375">
        <f>IF(ISBLANK('RESUMEN VIGILANCIA'!AH59),"",'RESUMEN VIGILANCIA'!AH59)</f>
        <v>8000</v>
      </c>
      <c r="AJ16" s="375" t="str">
        <f>IF(ISBLANK('RESUMEN VIGILANCIA'!AI59),"",'RESUMEN VIGILANCIA'!AI59)</f>
        <v/>
      </c>
      <c r="AK16" s="375" t="str">
        <f>IF(ISBLANK('RESUMEN VIGILANCIA'!AJ59),"",'RESUMEN VIGILANCIA'!AJ59)</f>
        <v/>
      </c>
      <c r="AL16" s="375" t="str">
        <f>IF(ISBLANK('RESUMEN VIGILANCIA'!AK59),"",'RESUMEN VIGILANCIA'!AK59)</f>
        <v/>
      </c>
      <c r="AM16" s="375" t="str">
        <f>IF(ISBLANK('RESUMEN VIGILANCIA'!AL59),"",'RESUMEN VIGILANCIA'!AL59)</f>
        <v/>
      </c>
      <c r="AN16" s="375" t="str">
        <f>IF(ISBLANK('RESUMEN VIGILANCIA'!AM59),"",'RESUMEN VIGILANCIA'!AM59)</f>
        <v/>
      </c>
      <c r="AO16" s="376" t="str">
        <f>IF(ISBLANK('RESUMEN VIGILANCIA'!AN59),"",'RESUMEN VIGILANCIA'!AN59)</f>
        <v/>
      </c>
      <c r="AP16" s="374" t="str">
        <f>IF(ISBLANK('RESUMEN VIGILANCIA'!AO59),"",'RESUMEN VIGILANCIA'!AO59)</f>
        <v/>
      </c>
      <c r="AQ16" s="375" t="str">
        <f>IF(ISBLANK('RESUMEN VIGILANCIA'!AP59),"",'RESUMEN VIGILANCIA'!AP59)</f>
        <v/>
      </c>
      <c r="AR16" s="375" t="str">
        <f>IF(ISBLANK('RESUMEN VIGILANCIA'!AQ59),"",'RESUMEN VIGILANCIA'!AQ59)</f>
        <v/>
      </c>
      <c r="AS16" s="375" t="str">
        <f>IF(ISBLANK('RESUMEN VIGILANCIA'!AR59),"",'RESUMEN VIGILANCIA'!AR59)</f>
        <v/>
      </c>
      <c r="AT16" s="375" t="str">
        <f>IF(ISBLANK('RESUMEN VIGILANCIA'!AS59),"",'RESUMEN VIGILANCIA'!AS59)</f>
        <v/>
      </c>
      <c r="AU16" s="375" t="str">
        <f>IF(ISBLANK('RESUMEN VIGILANCIA'!AT59),"",'RESUMEN VIGILANCIA'!AT59)</f>
        <v/>
      </c>
      <c r="AV16" s="375" t="str">
        <f>IF(ISBLANK('RESUMEN VIGILANCIA'!AU59),"",'RESUMEN VIGILANCIA'!AU59)</f>
        <v/>
      </c>
      <c r="AW16" s="375" t="str">
        <f>IF(ISBLANK('RESUMEN VIGILANCIA'!AV59),"",'RESUMEN VIGILANCIA'!AV59)</f>
        <v/>
      </c>
      <c r="AX16" s="375" t="str">
        <f>IF(ISBLANK('RESUMEN VIGILANCIA'!AW59),"",'RESUMEN VIGILANCIA'!AW59)</f>
        <v/>
      </c>
      <c r="AY16" s="375" t="str">
        <f>IF(ISBLANK('RESUMEN VIGILANCIA'!AX59),"",'RESUMEN VIGILANCIA'!AX59)</f>
        <v/>
      </c>
      <c r="AZ16" s="375" t="str">
        <f>IF(ISBLANK('RESUMEN VIGILANCIA'!AY59),"",'RESUMEN VIGILANCIA'!AY59)</f>
        <v/>
      </c>
      <c r="BA16" s="376" t="str">
        <f>IF(ISBLANK('RESUMEN VIGILANCIA'!AZ59),"",'RESUMEN VIGILANCIA'!AZ59)</f>
        <v/>
      </c>
      <c r="BB16" s="240">
        <f t="shared" si="0"/>
        <v>31790.68</v>
      </c>
      <c r="BC16" s="110"/>
      <c r="BD16" s="110"/>
    </row>
    <row r="17" spans="1:56" s="28" customFormat="1" ht="20.100000000000001" customHeight="1">
      <c r="A17" s="29" t="str">
        <f>'RESUMEN VIGILANCIA'!A60</f>
        <v>Familia Nava Gordon</v>
      </c>
      <c r="B17" s="30" t="str">
        <f>'RESUMEN VIGILANCIA'!B60</f>
        <v>Calle Guacara Nro. 89-78</v>
      </c>
      <c r="C17" s="427" t="s">
        <v>1358</v>
      </c>
      <c r="D17" s="434" t="s">
        <v>1357</v>
      </c>
      <c r="E17" s="415" t="str">
        <f>IF(ISBLANK('RESUMEN VIGILANCIA'!D60),"",'RESUMEN VIGILANCIA'!D60)</f>
        <v/>
      </c>
      <c r="F17" s="267">
        <f>IF(ISBLANK('RESUMEN VIGILANCIA'!E60),"",'RESUMEN VIGILANCIA'!E60)</f>
        <v>0.17</v>
      </c>
      <c r="G17" s="179">
        <f>IF(ISBLANK('RESUMEN VIGILANCIA'!F60),"",'RESUMEN VIGILANCIA'!F60)</f>
        <v>0.17</v>
      </c>
      <c r="H17" s="179">
        <f>IF(ISBLANK('RESUMEN VIGILANCIA'!G60),"",'RESUMEN VIGILANCIA'!G60)</f>
        <v>0.17</v>
      </c>
      <c r="I17" s="179">
        <f>IF(ISBLANK('RESUMEN VIGILANCIA'!H60),"",'RESUMEN VIGILANCIA'!H60)</f>
        <v>0.17</v>
      </c>
      <c r="J17" s="179">
        <f>IF(ISBLANK('RESUMEN VIGILANCIA'!I60),"",'RESUMEN VIGILANCIA'!I60)</f>
        <v>0.26</v>
      </c>
      <c r="K17" s="179">
        <f>IF(ISBLANK('RESUMEN VIGILANCIA'!J60),"",'RESUMEN VIGILANCIA'!J60)</f>
        <v>0.26</v>
      </c>
      <c r="L17" s="179">
        <f>IF(ISBLANK('RESUMEN VIGILANCIA'!K60),"",'RESUMEN VIGILANCIA'!K60)</f>
        <v>0.35000000000000003</v>
      </c>
      <c r="M17" s="179">
        <f>IF(ISBLANK('RESUMEN VIGILANCIA'!L60),"",'RESUMEN VIGILANCIA'!L60)</f>
        <v>0.35</v>
      </c>
      <c r="N17" s="179">
        <f>IF(ISBLANK('RESUMEN VIGILANCIA'!M60),"",'RESUMEN VIGILANCIA'!M60)</f>
        <v>0.35</v>
      </c>
      <c r="O17" s="179">
        <f>IF(ISBLANK('RESUMEN VIGILANCIA'!N60),"",'RESUMEN VIGILANCIA'!N60)</f>
        <v>0.35</v>
      </c>
      <c r="P17" s="268">
        <f>IF(ISBLANK('RESUMEN VIGILANCIA'!O60),"",'RESUMEN VIGILANCIA'!O60)</f>
        <v>0.5</v>
      </c>
      <c r="Q17" s="177">
        <f>IF(ISBLANK('RESUMEN VIGILANCIA'!P60),"",'RESUMEN VIGILANCIA'!P60)</f>
        <v>0.5</v>
      </c>
      <c r="R17" s="269">
        <f>IF(ISBLANK('RESUMEN VIGILANCIA'!Q60),"",'RESUMEN VIGILANCIA'!Q60)</f>
        <v>0.8</v>
      </c>
      <c r="S17" s="268">
        <f>IF(ISBLANK('RESUMEN VIGILANCIA'!R60),"",'RESUMEN VIGILANCIA'!R60)</f>
        <v>0.8</v>
      </c>
      <c r="T17" s="268">
        <f>IF(ISBLANK('RESUMEN VIGILANCIA'!S60),"",'RESUMEN VIGILANCIA'!S60)</f>
        <v>1.4</v>
      </c>
      <c r="U17" s="268">
        <f>IF(ISBLANK('RESUMEN VIGILANCIA'!T60),"",'RESUMEN VIGILANCIA'!T60)</f>
        <v>1.4</v>
      </c>
      <c r="V17" s="268">
        <f>IF(ISBLANK('RESUMEN VIGILANCIA'!U60),"",'RESUMEN VIGILANCIA'!U60)</f>
        <v>4</v>
      </c>
      <c r="W17" s="268">
        <f>IF(ISBLANK('RESUMEN VIGILANCIA'!V60),"",'RESUMEN VIGILANCIA'!V60)</f>
        <v>6.25</v>
      </c>
      <c r="X17" s="268">
        <f>IF(ISBLANK('RESUMEN VIGILANCIA'!W60),"",'RESUMEN VIGILANCIA'!W60)</f>
        <v>10</v>
      </c>
      <c r="Y17" s="268">
        <f>IF(ISBLANK('RESUMEN VIGILANCIA'!X60),"",'RESUMEN VIGILANCIA'!X60)</f>
        <v>12</v>
      </c>
      <c r="Z17" s="453">
        <f>IF(ISBLANK('RESUMEN VIGILANCIA'!Y60),"",'RESUMEN VIGILANCIA'!Y60)</f>
        <v>320</v>
      </c>
      <c r="AA17" s="453">
        <f>IF(ISBLANK('RESUMEN VIGILANCIA'!Z60),"",'RESUMEN VIGILANCIA'!Z60)</f>
        <v>320</v>
      </c>
      <c r="AB17" s="453">
        <f>IF(ISBLANK('RESUMEN VIGILANCIA'!AA60),"",'RESUMEN VIGILANCIA'!AA60)</f>
        <v>320</v>
      </c>
      <c r="AC17" s="455">
        <f>IF(ISBLANK('RESUMEN VIGILANCIA'!AB60),"",'RESUMEN VIGILANCIA'!AB60)</f>
        <v>800</v>
      </c>
      <c r="AD17" s="374">
        <f>IF(ISBLANK('RESUMEN VIGILANCIA'!AC60),"",'RESUMEN VIGILANCIA'!AC60)</f>
        <v>3000</v>
      </c>
      <c r="AE17" s="375">
        <f>IF(ISBLANK('RESUMEN VIGILANCIA'!AD60),"",'RESUMEN VIGILANCIA'!AD60)</f>
        <v>3040</v>
      </c>
      <c r="AF17" s="375">
        <f>IF(ISBLANK('RESUMEN VIGILANCIA'!AE60),"",'RESUMEN VIGILANCIA'!AE60)</f>
        <v>3000</v>
      </c>
      <c r="AG17" s="375">
        <f>IF(ISBLANK('RESUMEN VIGILANCIA'!AF60),"",'RESUMEN VIGILANCIA'!AF60)</f>
        <v>5000</v>
      </c>
      <c r="AH17" s="375">
        <f>IF(ISBLANK('RESUMEN VIGILANCIA'!AG60),"",'RESUMEN VIGILANCIA'!AG60)</f>
        <v>8000</v>
      </c>
      <c r="AI17" s="375">
        <f>IF(ISBLANK('RESUMEN VIGILANCIA'!AH60),"",'RESUMEN VIGILANCIA'!AH60)</f>
        <v>8000</v>
      </c>
      <c r="AJ17" s="375">
        <f>IF(ISBLANK('RESUMEN VIGILANCIA'!AI60),"",'RESUMEN VIGILANCIA'!AI60)</f>
        <v>10000</v>
      </c>
      <c r="AK17" s="375">
        <f>IF(ISBLANK('RESUMEN VIGILANCIA'!AJ60),"",'RESUMEN VIGILANCIA'!AJ60)</f>
        <v>15000</v>
      </c>
      <c r="AL17" s="375">
        <f>IF(ISBLANK('RESUMEN VIGILANCIA'!AK60),"",'RESUMEN VIGILANCIA'!AK60)</f>
        <v>23400</v>
      </c>
      <c r="AM17" s="375">
        <f>IF(ISBLANK('RESUMEN VIGILANCIA'!AL60),"",'RESUMEN VIGILANCIA'!AL60)</f>
        <v>47000</v>
      </c>
      <c r="AN17" s="375">
        <f>IF(ISBLANK('RESUMEN VIGILANCIA'!AM60),"",'RESUMEN VIGILANCIA'!AM60)</f>
        <v>56250</v>
      </c>
      <c r="AO17" s="376">
        <f>IF(ISBLANK('RESUMEN VIGILANCIA'!AN60),"",'RESUMEN VIGILANCIA'!AN60)</f>
        <v>81750</v>
      </c>
      <c r="AP17" s="374">
        <f>IF(ISBLANK('RESUMEN VIGILANCIA'!AO60),"",'RESUMEN VIGILANCIA'!AO60)</f>
        <v>136250</v>
      </c>
      <c r="AQ17" s="375">
        <f>IF(ISBLANK('RESUMEN VIGILANCIA'!AP60),"",'RESUMEN VIGILANCIA'!AP60)</f>
        <v>136250</v>
      </c>
      <c r="AR17" s="375">
        <f>IF(ISBLANK('RESUMEN VIGILANCIA'!AQ60),"",'RESUMEN VIGILANCIA'!AQ60)</f>
        <v>185250</v>
      </c>
      <c r="AS17" s="375">
        <f>IF(ISBLANK('RESUMEN VIGILANCIA'!AR60),"",'RESUMEN VIGILANCIA'!AR60)</f>
        <v>185250</v>
      </c>
      <c r="AT17" s="375">
        <f>IF(ISBLANK('RESUMEN VIGILANCIA'!AS60),"",'RESUMEN VIGILANCIA'!AS60)</f>
        <v>250000</v>
      </c>
      <c r="AU17" s="375">
        <f>IF(ISBLANK('RESUMEN VIGILANCIA'!AT60),"",'RESUMEN VIGILANCIA'!AT60)</f>
        <v>252300</v>
      </c>
      <c r="AV17" s="375" t="str">
        <f>IF(ISBLANK('RESUMEN VIGILANCIA'!AU60),"",'RESUMEN VIGILANCIA'!AU60)</f>
        <v/>
      </c>
      <c r="AW17" s="375" t="str">
        <f>IF(ISBLANK('RESUMEN VIGILANCIA'!AV60),"",'RESUMEN VIGILANCIA'!AV60)</f>
        <v/>
      </c>
      <c r="AX17" s="375" t="str">
        <f>IF(ISBLANK('RESUMEN VIGILANCIA'!AW60),"",'RESUMEN VIGILANCIA'!AW60)</f>
        <v/>
      </c>
      <c r="AY17" s="375" t="str">
        <f>IF(ISBLANK('RESUMEN VIGILANCIA'!AX60),"",'RESUMEN VIGILANCIA'!AX60)</f>
        <v/>
      </c>
      <c r="AZ17" s="375" t="str">
        <f>IF(ISBLANK('RESUMEN VIGILANCIA'!AY60),"",'RESUMEN VIGILANCIA'!AY60)</f>
        <v/>
      </c>
      <c r="BA17" s="376" t="str">
        <f>IF(ISBLANK('RESUMEN VIGILANCIA'!AZ60),"",'RESUMEN VIGILANCIA'!AZ60)</f>
        <v/>
      </c>
      <c r="BB17" s="240">
        <f t="shared" si="0"/>
        <v>265240.25</v>
      </c>
      <c r="BC17" s="110"/>
      <c r="BD17" s="110"/>
    </row>
    <row r="18" spans="1:56" s="28" customFormat="1" ht="20.100000000000001" customHeight="1">
      <c r="A18" s="29" t="str">
        <f>'RESUMEN VIGILANCIA'!A61</f>
        <v>Familia González Arévalo</v>
      </c>
      <c r="B18" s="30" t="str">
        <f>'RESUMEN VIGILANCIA'!B61</f>
        <v>Calle Guacara Nro. 89-86</v>
      </c>
      <c r="C18" s="427" t="s">
        <v>1358</v>
      </c>
      <c r="D18" s="434" t="s">
        <v>17</v>
      </c>
      <c r="E18" s="415" t="str">
        <f>IF(ISBLANK('RESUMEN VIGILANCIA'!D61),"",'RESUMEN VIGILANCIA'!D61)</f>
        <v/>
      </c>
      <c r="F18" s="271">
        <f>IF(ISBLANK('RESUMEN VIGILANCIA'!E61),"",'RESUMEN VIGILANCIA'!E61)</f>
        <v>0.105</v>
      </c>
      <c r="G18" s="179">
        <f>IF(ISBLANK('RESUMEN VIGILANCIA'!F61),"",'RESUMEN VIGILANCIA'!F61)</f>
        <v>0.17</v>
      </c>
      <c r="H18" s="179">
        <f>IF(ISBLANK('RESUMEN VIGILANCIA'!G61),"",'RESUMEN VIGILANCIA'!G61)</f>
        <v>0.22</v>
      </c>
      <c r="I18" s="179">
        <f>IF(ISBLANK('RESUMEN VIGILANCIA'!H61),"",'RESUMEN VIGILANCIA'!H61)</f>
        <v>0.22</v>
      </c>
      <c r="J18" s="179">
        <f>IF(ISBLANK('RESUMEN VIGILANCIA'!I61),"",'RESUMEN VIGILANCIA'!I61)</f>
        <v>0.22</v>
      </c>
      <c r="K18" s="179">
        <f>IF(ISBLANK('RESUMEN VIGILANCIA'!J61),"",'RESUMEN VIGILANCIA'!J61)</f>
        <v>0.26</v>
      </c>
      <c r="L18" s="179">
        <f>IF(ISBLANK('RESUMEN VIGILANCIA'!K61),"",'RESUMEN VIGILANCIA'!K61)</f>
        <v>0.35</v>
      </c>
      <c r="M18" s="179">
        <f>IF(ISBLANK('RESUMEN VIGILANCIA'!L61),"",'RESUMEN VIGILANCIA'!L61)</f>
        <v>0.35</v>
      </c>
      <c r="N18" s="179">
        <f>IF(ISBLANK('RESUMEN VIGILANCIA'!M61),"",'RESUMEN VIGILANCIA'!M61)</f>
        <v>0.35</v>
      </c>
      <c r="O18" s="179">
        <f>IF(ISBLANK('RESUMEN VIGILANCIA'!N61),"",'RESUMEN VIGILANCIA'!N61)</f>
        <v>0.35</v>
      </c>
      <c r="P18" s="268">
        <f>IF(ISBLANK('RESUMEN VIGILANCIA'!O61),"",'RESUMEN VIGILANCIA'!O61)</f>
        <v>0.5</v>
      </c>
      <c r="Q18" s="177">
        <f>IF(ISBLANK('RESUMEN VIGILANCIA'!P61),"",'RESUMEN VIGILANCIA'!P61)</f>
        <v>0.5</v>
      </c>
      <c r="R18" s="269">
        <f>IF(ISBLANK('RESUMEN VIGILANCIA'!Q61),"",'RESUMEN VIGILANCIA'!Q61)</f>
        <v>0.8</v>
      </c>
      <c r="S18" s="268">
        <f>IF(ISBLANK('RESUMEN VIGILANCIA'!R61),"",'RESUMEN VIGILANCIA'!R61)</f>
        <v>0.8</v>
      </c>
      <c r="T18" s="268">
        <f>IF(ISBLANK('RESUMEN VIGILANCIA'!S61),"",'RESUMEN VIGILANCIA'!S61)</f>
        <v>1.4</v>
      </c>
      <c r="U18" s="268">
        <f>IF(ISBLANK('RESUMEN VIGILANCIA'!T61),"",'RESUMEN VIGILANCIA'!T61)</f>
        <v>1.4</v>
      </c>
      <c r="V18" s="268">
        <f>IF(ISBLANK('RESUMEN VIGILANCIA'!U61),"",'RESUMEN VIGILANCIA'!U61)</f>
        <v>4</v>
      </c>
      <c r="W18" s="268">
        <f>IF(ISBLANK('RESUMEN VIGILANCIA'!V61),"",'RESUMEN VIGILANCIA'!V61)</f>
        <v>6.25</v>
      </c>
      <c r="X18" s="268">
        <f>IF(ISBLANK('RESUMEN VIGILANCIA'!W61),"",'RESUMEN VIGILANCIA'!W61)</f>
        <v>10</v>
      </c>
      <c r="Y18" s="268">
        <f>IF(ISBLANK('RESUMEN VIGILANCIA'!X61),"",'RESUMEN VIGILANCIA'!X61)</f>
        <v>12</v>
      </c>
      <c r="Z18" s="453">
        <f>IF(ISBLANK('RESUMEN VIGILANCIA'!Y61),"",'RESUMEN VIGILANCIA'!Y61)</f>
        <v>320</v>
      </c>
      <c r="AA18" s="453">
        <f>IF(ISBLANK('RESUMEN VIGILANCIA'!Z61),"",'RESUMEN VIGILANCIA'!Z61)</f>
        <v>320</v>
      </c>
      <c r="AB18" s="453">
        <f>IF(ISBLANK('RESUMEN VIGILANCIA'!AA61),"",'RESUMEN VIGILANCIA'!AA61)</f>
        <v>320</v>
      </c>
      <c r="AC18" s="455">
        <f>IF(ISBLANK('RESUMEN VIGILANCIA'!AB61),"",'RESUMEN VIGILANCIA'!AB61)</f>
        <v>770</v>
      </c>
      <c r="AD18" s="374">
        <f>IF(ISBLANK('RESUMEN VIGILANCIA'!AC61),"",'RESUMEN VIGILANCIA'!AC61)</f>
        <v>3000</v>
      </c>
      <c r="AE18" s="375">
        <f>IF(ISBLANK('RESUMEN VIGILANCIA'!AD61),"",'RESUMEN VIGILANCIA'!AD61)</f>
        <v>3000</v>
      </c>
      <c r="AF18" s="375">
        <f>IF(ISBLANK('RESUMEN VIGILANCIA'!AE61),"",'RESUMEN VIGILANCIA'!AE61)</f>
        <v>3000</v>
      </c>
      <c r="AG18" s="375">
        <f>IF(ISBLANK('RESUMEN VIGILANCIA'!AF61),"",'RESUMEN VIGILANCIA'!AF61)</f>
        <v>5000</v>
      </c>
      <c r="AH18" s="375">
        <f>IF(ISBLANK('RESUMEN VIGILANCIA'!AG61),"",'RESUMEN VIGILANCIA'!AG61)</f>
        <v>8000</v>
      </c>
      <c r="AI18" s="375">
        <f>IF(ISBLANK('RESUMEN VIGILANCIA'!AH61),"",'RESUMEN VIGILANCIA'!AH61)</f>
        <v>8000</v>
      </c>
      <c r="AJ18" s="375">
        <f>IF(ISBLANK('RESUMEN VIGILANCIA'!AI61),"",'RESUMEN VIGILANCIA'!AI61)</f>
        <v>10000</v>
      </c>
      <c r="AK18" s="375">
        <f>IF(ISBLANK('RESUMEN VIGILANCIA'!AJ61),"",'RESUMEN VIGILANCIA'!AJ61)</f>
        <v>10000</v>
      </c>
      <c r="AL18" s="375">
        <f>IF(ISBLANK('RESUMEN VIGILANCIA'!AK61),"",'RESUMEN VIGILANCIA'!AK61)</f>
        <v>23400</v>
      </c>
      <c r="AM18" s="375">
        <f>IF(ISBLANK('RESUMEN VIGILANCIA'!AL61),"",'RESUMEN VIGILANCIA'!AL61)</f>
        <v>47000</v>
      </c>
      <c r="AN18" s="375">
        <f>IF(ISBLANK('RESUMEN VIGILANCIA'!AM61),"",'RESUMEN VIGILANCIA'!AM61)</f>
        <v>56250</v>
      </c>
      <c r="AO18" s="376">
        <f>IF(ISBLANK('RESUMEN VIGILANCIA'!AN61),"",'RESUMEN VIGILANCIA'!AN61)</f>
        <v>200000</v>
      </c>
      <c r="AP18" s="605">
        <f>IF(ISBLANK('RESUMEN VIGILANCIA'!AO61),"",'RESUMEN VIGILANCIA'!AO61)</f>
        <v>136250</v>
      </c>
      <c r="AQ18" s="375">
        <f>IF(ISBLANK('RESUMEN VIGILANCIA'!AP61),"",'RESUMEN VIGILANCIA'!AP61)</f>
        <v>150000</v>
      </c>
      <c r="AR18" s="375">
        <f>IF(ISBLANK('RESUMEN VIGILANCIA'!AQ61),"",'RESUMEN VIGILANCIA'!AQ61)</f>
        <v>150000</v>
      </c>
      <c r="AS18" s="375">
        <f>IF(ISBLANK('RESUMEN VIGILANCIA'!AR61),"",'RESUMEN VIGILANCIA'!AR61)</f>
        <v>225000</v>
      </c>
      <c r="AT18" s="375">
        <f>IF(ISBLANK('RESUMEN VIGILANCIA'!AS61),"",'RESUMEN VIGILANCIA'!AS61)</f>
        <v>275000</v>
      </c>
      <c r="AU18" s="375">
        <f>IF(ISBLANK('RESUMEN VIGILANCIA'!AT61),"",'RESUMEN VIGILANCIA'!AT61)</f>
        <v>250000</v>
      </c>
      <c r="AV18" s="375">
        <f>IF(ISBLANK('RESUMEN VIGILANCIA'!AU61),"",'RESUMEN VIGILANCIA'!AU61)</f>
        <v>320000</v>
      </c>
      <c r="AW18" s="375">
        <f>IF(ISBLANK('RESUMEN VIGILANCIA'!AV61),"",'RESUMEN VIGILANCIA'!AV61)</f>
        <v>280000</v>
      </c>
      <c r="AX18" s="375" t="str">
        <f>IF(ISBLANK('RESUMEN VIGILANCIA'!AW61),"",'RESUMEN VIGILANCIA'!AW61)</f>
        <v/>
      </c>
      <c r="AY18" s="375" t="str">
        <f>IF(ISBLANK('RESUMEN VIGILANCIA'!AX61),"",'RESUMEN VIGILANCIA'!AX61)</f>
        <v/>
      </c>
      <c r="AZ18" s="375" t="str">
        <f>IF(ISBLANK('RESUMEN VIGILANCIA'!AY61),"",'RESUMEN VIGILANCIA'!AY61)</f>
        <v/>
      </c>
      <c r="BA18" s="376" t="str">
        <f>IF(ISBLANK('RESUMEN VIGILANCIA'!AZ61),"",'RESUMEN VIGILANCIA'!AZ61)</f>
        <v/>
      </c>
      <c r="BB18" s="240">
        <f t="shared" si="0"/>
        <v>378420.245</v>
      </c>
      <c r="BC18" s="110"/>
      <c r="BD18" s="110"/>
    </row>
    <row r="19" spans="1:56" s="28" customFormat="1" ht="20.100000000000001" customHeight="1">
      <c r="A19" s="356" t="str">
        <f>'RESUMEN VIGILANCIA'!A62</f>
        <v>Héctor Hernández</v>
      </c>
      <c r="B19" s="357" t="str">
        <f>'RESUMEN VIGILANCIA'!B62</f>
        <v>Calle Guacara Nro. 89-94</v>
      </c>
      <c r="C19" s="428" t="s">
        <v>1358</v>
      </c>
      <c r="D19" s="433" t="s">
        <v>1357</v>
      </c>
      <c r="E19" s="414" t="str">
        <f>IF(ISBLANK('RESUMEN VIGILANCIA'!D62),"",'RESUMEN VIGILANCIA'!D62)</f>
        <v/>
      </c>
      <c r="F19" s="264">
        <f>IF(ISBLANK('RESUMEN VIGILANCIA'!E62),"",'RESUMEN VIGILANCIA'!E62)</f>
        <v>0.1</v>
      </c>
      <c r="G19" s="186">
        <f>IF(ISBLANK('RESUMEN VIGILANCIA'!F62),"",'RESUMEN VIGILANCIA'!F62)</f>
        <v>0.1</v>
      </c>
      <c r="H19" s="186">
        <f>IF(ISBLANK('RESUMEN VIGILANCIA'!G62),"",'RESUMEN VIGILANCIA'!G62)</f>
        <v>0.1</v>
      </c>
      <c r="I19" s="186">
        <f>IF(ISBLANK('RESUMEN VIGILANCIA'!H62),"",'RESUMEN VIGILANCIA'!H62)</f>
        <v>0.1</v>
      </c>
      <c r="J19" s="186" t="str">
        <f>IF(ISBLANK('RESUMEN VIGILANCIA'!I62),"",'RESUMEN VIGILANCIA'!I62)</f>
        <v/>
      </c>
      <c r="K19" s="186" t="str">
        <f>IF(ISBLANK('RESUMEN VIGILANCIA'!J62),"",'RESUMEN VIGILANCIA'!J62)</f>
        <v/>
      </c>
      <c r="L19" s="186">
        <f>IF(ISBLANK('RESUMEN VIGILANCIA'!K62),"",'RESUMEN VIGILANCIA'!K62)</f>
        <v>0.15</v>
      </c>
      <c r="M19" s="186">
        <f>IF(ISBLANK('RESUMEN VIGILANCIA'!L62),"",'RESUMEN VIGILANCIA'!L62)</f>
        <v>0.15</v>
      </c>
      <c r="N19" s="186">
        <f>IF(ISBLANK('RESUMEN VIGILANCIA'!M62),"",'RESUMEN VIGILANCIA'!M62)</f>
        <v>0.2</v>
      </c>
      <c r="O19" s="186">
        <f>IF(ISBLANK('RESUMEN VIGILANCIA'!N62),"",'RESUMEN VIGILANCIA'!N62)</f>
        <v>0.25</v>
      </c>
      <c r="P19" s="265">
        <f>IF(ISBLANK('RESUMEN VIGILANCIA'!O62),"",'RESUMEN VIGILANCIA'!O62)</f>
        <v>0.3</v>
      </c>
      <c r="Q19" s="184">
        <f>IF(ISBLANK('RESUMEN VIGILANCIA'!P62),"",'RESUMEN VIGILANCIA'!P62)</f>
        <v>0.3</v>
      </c>
      <c r="R19" s="266">
        <f>IF(ISBLANK('RESUMEN VIGILANCIA'!Q62),"",'RESUMEN VIGILANCIA'!Q62)</f>
        <v>0.3</v>
      </c>
      <c r="S19" s="265">
        <f>IF(ISBLANK('RESUMEN VIGILANCIA'!R62),"",'RESUMEN VIGILANCIA'!R62)</f>
        <v>0.3</v>
      </c>
      <c r="T19" s="265">
        <f>IF(ISBLANK('RESUMEN VIGILANCIA'!S62),"",'RESUMEN VIGILANCIA'!S62)</f>
        <v>0.7</v>
      </c>
      <c r="U19" s="265">
        <f>IF(ISBLANK('RESUMEN VIGILANCIA'!T62),"",'RESUMEN VIGILANCIA'!T62)</f>
        <v>0.8</v>
      </c>
      <c r="V19" s="265">
        <f>IF(ISBLANK('RESUMEN VIGILANCIA'!U62),"",'RESUMEN VIGILANCIA'!U62)</f>
        <v>2</v>
      </c>
      <c r="W19" s="268">
        <f>IF(ISBLANK('RESUMEN VIGILANCIA'!V62),"",'RESUMEN VIGILANCIA'!V62)</f>
        <v>6.25</v>
      </c>
      <c r="X19" s="268">
        <f>IF(ISBLANK('RESUMEN VIGILANCIA'!W62),"",'RESUMEN VIGILANCIA'!W62)</f>
        <v>10</v>
      </c>
      <c r="Y19" s="268">
        <f>IF(ISBLANK('RESUMEN VIGILANCIA'!X62),"",'RESUMEN VIGILANCIA'!X62)</f>
        <v>12</v>
      </c>
      <c r="Z19" s="453">
        <f>IF(ISBLANK('RESUMEN VIGILANCIA'!Y62),"",'RESUMEN VIGILANCIA'!Y62)</f>
        <v>320</v>
      </c>
      <c r="AA19" s="453">
        <f>IF(ISBLANK('RESUMEN VIGILANCIA'!Z62),"",'RESUMEN VIGILANCIA'!Z62)</f>
        <v>320</v>
      </c>
      <c r="AB19" s="453">
        <f>IF(ISBLANK('RESUMEN VIGILANCIA'!AA62),"",'RESUMEN VIGILANCIA'!AA62)</f>
        <v>320</v>
      </c>
      <c r="AC19" s="454">
        <f>IF(ISBLANK('RESUMEN VIGILANCIA'!AB62),"",'RESUMEN VIGILANCIA'!AB62)</f>
        <v>800</v>
      </c>
      <c r="AD19" s="374">
        <f>IF(ISBLANK('RESUMEN VIGILANCIA'!AC62),"",'RESUMEN VIGILANCIA'!AC62)</f>
        <v>3000</v>
      </c>
      <c r="AE19" s="375">
        <f>IF(ISBLANK('RESUMEN VIGILANCIA'!AD62),"",'RESUMEN VIGILANCIA'!AD62)</f>
        <v>3000</v>
      </c>
      <c r="AF19" s="375">
        <f>IF(ISBLANK('RESUMEN VIGILANCIA'!AE62),"",'RESUMEN VIGILANCIA'!AE62)</f>
        <v>3000</v>
      </c>
      <c r="AG19" s="375">
        <f>IF(ISBLANK('RESUMEN VIGILANCIA'!AF62),"",'RESUMEN VIGILANCIA'!AF62)</f>
        <v>5000</v>
      </c>
      <c r="AH19" s="375">
        <f>IF(ISBLANK('RESUMEN VIGILANCIA'!AG62),"",'RESUMEN VIGILANCIA'!AG62)</f>
        <v>8000</v>
      </c>
      <c r="AI19" s="375">
        <f>IF(ISBLANK('RESUMEN VIGILANCIA'!AH62),"",'RESUMEN VIGILANCIA'!AH62)</f>
        <v>8000</v>
      </c>
      <c r="AJ19" s="375">
        <f>IF(ISBLANK('RESUMEN VIGILANCIA'!AI62),"",'RESUMEN VIGILANCIA'!AI62)</f>
        <v>10000</v>
      </c>
      <c r="AK19" s="375">
        <f>IF(ISBLANK('RESUMEN VIGILANCIA'!AJ62),"",'RESUMEN VIGILANCIA'!AJ62)</f>
        <v>10000</v>
      </c>
      <c r="AL19" s="375">
        <f>IF(ISBLANK('RESUMEN VIGILANCIA'!AK62),"",'RESUMEN VIGILANCIA'!AK62)</f>
        <v>20500</v>
      </c>
      <c r="AM19" s="375">
        <f>IF(ISBLANK('RESUMEN VIGILANCIA'!AL62),"",'RESUMEN VIGILANCIA'!AL62)</f>
        <v>51250</v>
      </c>
      <c r="AN19" s="375">
        <f>IF(ISBLANK('RESUMEN VIGILANCIA'!AM62),"",'RESUMEN VIGILANCIA'!AM62)</f>
        <v>51250</v>
      </c>
      <c r="AO19" s="376">
        <f>IF(ISBLANK('RESUMEN VIGILANCIA'!AN62),"",'RESUMEN VIGILANCIA'!AN62)</f>
        <v>81750</v>
      </c>
      <c r="AP19" s="374">
        <f>IF(ISBLANK('RESUMEN VIGILANCIA'!AO62),"",'RESUMEN VIGILANCIA'!AO62)</f>
        <v>136250</v>
      </c>
      <c r="AQ19" s="375">
        <f>IF(ISBLANK('RESUMEN VIGILANCIA'!AP62),"",'RESUMEN VIGILANCIA'!AP62)</f>
        <v>136250</v>
      </c>
      <c r="AR19" s="375">
        <f>IF(ISBLANK('RESUMEN VIGILANCIA'!AQ62),"",'RESUMEN VIGILANCIA'!AQ62)</f>
        <v>185250</v>
      </c>
      <c r="AS19" s="375">
        <f>IF(ISBLANK('RESUMEN VIGILANCIA'!AR62),"",'RESUMEN VIGILANCIA'!AR62)</f>
        <v>185250</v>
      </c>
      <c r="AT19" s="375">
        <f>IF(ISBLANK('RESUMEN VIGILANCIA'!AS62),"",'RESUMEN VIGILANCIA'!AS62)</f>
        <v>250000</v>
      </c>
      <c r="AU19" s="375">
        <f>IF(ISBLANK('RESUMEN VIGILANCIA'!AT62),"",'RESUMEN VIGILANCIA'!AT62)</f>
        <v>250000</v>
      </c>
      <c r="AV19" s="375">
        <f>IF(ISBLANK('RESUMEN VIGILANCIA'!AU62),"",'RESUMEN VIGILANCIA'!AU62)</f>
        <v>320000</v>
      </c>
      <c r="AW19" s="375" t="str">
        <f>IF(ISBLANK('RESUMEN VIGILANCIA'!AV62),"",'RESUMEN VIGILANCIA'!AV62)</f>
        <v/>
      </c>
      <c r="AX19" s="375" t="str">
        <f>IF(ISBLANK('RESUMEN VIGILANCIA'!AW62),"",'RESUMEN VIGILANCIA'!AW62)</f>
        <v/>
      </c>
      <c r="AY19" s="375" t="str">
        <f>IF(ISBLANK('RESUMEN VIGILANCIA'!AX62),"",'RESUMEN VIGILANCIA'!AX62)</f>
        <v/>
      </c>
      <c r="AZ19" s="375" t="str">
        <f>IF(ISBLANK('RESUMEN VIGILANCIA'!AY62),"",'RESUMEN VIGILANCIA'!AY62)</f>
        <v/>
      </c>
      <c r="BA19" s="376" t="str">
        <f>IF(ISBLANK('RESUMEN VIGILANCIA'!AZ62),"",'RESUMEN VIGILANCIA'!AZ62)</f>
        <v/>
      </c>
      <c r="BB19" s="240">
        <f t="shared" si="0"/>
        <v>256544.1</v>
      </c>
      <c r="BC19" s="110"/>
      <c r="BD19" s="110"/>
    </row>
    <row r="20" spans="1:56" s="28" customFormat="1" ht="20.100000000000001" customHeight="1">
      <c r="A20" s="29" t="str">
        <f>'RESUMEN VIGILANCIA'!A63</f>
        <v>Familia Soto Urdaneta</v>
      </c>
      <c r="B20" s="30" t="str">
        <f>'RESUMEN VIGILANCIA'!B63</f>
        <v>Calle Guacara Nro. 89-102</v>
      </c>
      <c r="C20" s="427" t="s">
        <v>1358</v>
      </c>
      <c r="D20" s="434" t="s">
        <v>17</v>
      </c>
      <c r="E20" s="415" t="str">
        <f>IF(ISBLANK('RESUMEN VIGILANCIA'!D63),"",'RESUMEN VIGILANCIA'!D63)</f>
        <v/>
      </c>
      <c r="F20" s="267" t="str">
        <f>IF(ISBLANK('RESUMEN VIGILANCIA'!E63),"",'RESUMEN VIGILANCIA'!E63)</f>
        <v/>
      </c>
      <c r="G20" s="179" t="str">
        <f>IF(ISBLANK('RESUMEN VIGILANCIA'!F63),"",'RESUMEN VIGILANCIA'!F63)</f>
        <v/>
      </c>
      <c r="H20" s="179" t="str">
        <f>IF(ISBLANK('RESUMEN VIGILANCIA'!G63),"",'RESUMEN VIGILANCIA'!G63)</f>
        <v/>
      </c>
      <c r="I20" s="179" t="str">
        <f>IF(ISBLANK('RESUMEN VIGILANCIA'!H63),"",'RESUMEN VIGILANCIA'!H63)</f>
        <v/>
      </c>
      <c r="J20" s="179" t="str">
        <f>IF(ISBLANK('RESUMEN VIGILANCIA'!I63),"",'RESUMEN VIGILANCIA'!I63)</f>
        <v/>
      </c>
      <c r="K20" s="179" t="str">
        <f>IF(ISBLANK('RESUMEN VIGILANCIA'!J63),"",'RESUMEN VIGILANCIA'!J63)</f>
        <v/>
      </c>
      <c r="L20" s="179" t="str">
        <f>IF(ISBLANK('RESUMEN VIGILANCIA'!K63),"",'RESUMEN VIGILANCIA'!K63)</f>
        <v/>
      </c>
      <c r="M20" s="179" t="str">
        <f>IF(ISBLANK('RESUMEN VIGILANCIA'!L63),"",'RESUMEN VIGILANCIA'!L63)</f>
        <v/>
      </c>
      <c r="N20" s="179" t="str">
        <f>IF(ISBLANK('RESUMEN VIGILANCIA'!M63),"",'RESUMEN VIGILANCIA'!M63)</f>
        <v/>
      </c>
      <c r="O20" s="179" t="str">
        <f>IF(ISBLANK('RESUMEN VIGILANCIA'!N63),"",'RESUMEN VIGILANCIA'!N63)</f>
        <v/>
      </c>
      <c r="P20" s="268" t="str">
        <f>IF(ISBLANK('RESUMEN VIGILANCIA'!O63),"",'RESUMEN VIGILANCIA'!O63)</f>
        <v/>
      </c>
      <c r="Q20" s="177" t="str">
        <f>IF(ISBLANK('RESUMEN VIGILANCIA'!P63),"",'RESUMEN VIGILANCIA'!P63)</f>
        <v/>
      </c>
      <c r="R20" s="269" t="str">
        <f>IF(ISBLANK('RESUMEN VIGILANCIA'!Q63),"",'RESUMEN VIGILANCIA'!Q63)</f>
        <v/>
      </c>
      <c r="S20" s="268" t="str">
        <f>IF(ISBLANK('RESUMEN VIGILANCIA'!R63),"",'RESUMEN VIGILANCIA'!R63)</f>
        <v/>
      </c>
      <c r="T20" s="268" t="str">
        <f>IF(ISBLANK('RESUMEN VIGILANCIA'!S63),"",'RESUMEN VIGILANCIA'!S63)</f>
        <v/>
      </c>
      <c r="U20" s="268" t="str">
        <f>IF(ISBLANK('RESUMEN VIGILANCIA'!T63),"",'RESUMEN VIGILANCIA'!T63)</f>
        <v/>
      </c>
      <c r="V20" s="268" t="str">
        <f>IF(ISBLANK('RESUMEN VIGILANCIA'!U63),"",'RESUMEN VIGILANCIA'!U63)</f>
        <v/>
      </c>
      <c r="W20" s="268" t="str">
        <f>IF(ISBLANK('RESUMEN VIGILANCIA'!V63),"",'RESUMEN VIGILANCIA'!V63)</f>
        <v/>
      </c>
      <c r="X20" s="268" t="str">
        <f>IF(ISBLANK('RESUMEN VIGILANCIA'!W63),"",'RESUMEN VIGILANCIA'!W63)</f>
        <v/>
      </c>
      <c r="Y20" s="268" t="str">
        <f>IF(ISBLANK('RESUMEN VIGILANCIA'!X63),"",'RESUMEN VIGILANCIA'!X63)</f>
        <v/>
      </c>
      <c r="Z20" s="453" t="str">
        <f>IF(ISBLANK('RESUMEN VIGILANCIA'!Y63),"",'RESUMEN VIGILANCIA'!Y63)</f>
        <v/>
      </c>
      <c r="AA20" s="453" t="str">
        <f>IF(ISBLANK('RESUMEN VIGILANCIA'!Z63),"",'RESUMEN VIGILANCIA'!Z63)</f>
        <v/>
      </c>
      <c r="AB20" s="453" t="str">
        <f>IF(ISBLANK('RESUMEN VIGILANCIA'!AA63),"",'RESUMEN VIGILANCIA'!AA63)</f>
        <v/>
      </c>
      <c r="AC20" s="454" t="str">
        <f>IF(ISBLANK('RESUMEN VIGILANCIA'!AB63),"",'RESUMEN VIGILANCIA'!AB63)</f>
        <v/>
      </c>
      <c r="AD20" s="374">
        <f>IF(ISBLANK('RESUMEN VIGILANCIA'!AC63),"",'RESUMEN VIGILANCIA'!AC63)</f>
        <v>3000</v>
      </c>
      <c r="AE20" s="375">
        <f>IF(ISBLANK('RESUMEN VIGILANCIA'!AD63),"",'RESUMEN VIGILANCIA'!AD63)</f>
        <v>3000</v>
      </c>
      <c r="AF20" s="375">
        <f>IF(ISBLANK('RESUMEN VIGILANCIA'!AE63),"",'RESUMEN VIGILANCIA'!AE63)</f>
        <v>4000</v>
      </c>
      <c r="AG20" s="375">
        <f>IF(ISBLANK('RESUMEN VIGILANCIA'!AF63),"",'RESUMEN VIGILANCIA'!AF63)</f>
        <v>5000</v>
      </c>
      <c r="AH20" s="375">
        <f>IF(ISBLANK('RESUMEN VIGILANCIA'!AG63),"",'RESUMEN VIGILANCIA'!AG63)</f>
        <v>8000</v>
      </c>
      <c r="AI20" s="375">
        <f>IF(ISBLANK('RESUMEN VIGILANCIA'!AH63),"",'RESUMEN VIGILANCIA'!AH63)</f>
        <v>8000</v>
      </c>
      <c r="AJ20" s="375">
        <f>IF(ISBLANK('RESUMEN VIGILANCIA'!AI63),"",'RESUMEN VIGILANCIA'!AI63)</f>
        <v>10000</v>
      </c>
      <c r="AK20" s="375">
        <f>IF(ISBLANK('RESUMEN VIGILANCIA'!AJ63),"",'RESUMEN VIGILANCIA'!AJ63)</f>
        <v>10000</v>
      </c>
      <c r="AL20" s="375">
        <f>IF(ISBLANK('RESUMEN VIGILANCIA'!AK63),"",'RESUMEN VIGILANCIA'!AK63)</f>
        <v>23400</v>
      </c>
      <c r="AM20" s="375">
        <f>IF(ISBLANK('RESUMEN VIGILANCIA'!AL63),"",'RESUMEN VIGILANCIA'!AL63)</f>
        <v>47000</v>
      </c>
      <c r="AN20" s="375">
        <f>IF(ISBLANK('RESUMEN VIGILANCIA'!AM63),"",'RESUMEN VIGILANCIA'!AM63)</f>
        <v>56250</v>
      </c>
      <c r="AO20" s="376">
        <f>IF(ISBLANK('RESUMEN VIGILANCIA'!AN63),"",'RESUMEN VIGILANCIA'!AN63)</f>
        <v>81750</v>
      </c>
      <c r="AP20" s="374">
        <f>IF(ISBLANK('RESUMEN VIGILANCIA'!AO63),"",'RESUMEN VIGILANCIA'!AO63)</f>
        <v>136250</v>
      </c>
      <c r="AQ20" s="375">
        <f>IF(ISBLANK('RESUMEN VIGILANCIA'!AP63),"",'RESUMEN VIGILANCIA'!AP63)</f>
        <v>136250</v>
      </c>
      <c r="AR20" s="375">
        <f>IF(ISBLANK('RESUMEN VIGILANCIA'!AQ63),"",'RESUMEN VIGILANCIA'!AQ63)</f>
        <v>185250</v>
      </c>
      <c r="AS20" s="375">
        <f>IF(ISBLANK('RESUMEN VIGILANCIA'!AR63),"",'RESUMEN VIGILANCIA'!AR63)</f>
        <v>186250</v>
      </c>
      <c r="AT20" s="375">
        <f>IF(ISBLANK('RESUMEN VIGILANCIA'!AS63),"",'RESUMEN VIGILANCIA'!AS63)</f>
        <v>250000</v>
      </c>
      <c r="AU20" s="375">
        <f>IF(ISBLANK('RESUMEN VIGILANCIA'!AT63),"",'RESUMEN VIGILANCIA'!AT63)</f>
        <v>250000</v>
      </c>
      <c r="AV20" s="375">
        <f>IF(ISBLANK('RESUMEN VIGILANCIA'!AU63),"",'RESUMEN VIGILANCIA'!AU63)</f>
        <v>320000</v>
      </c>
      <c r="AW20" s="375" t="str">
        <f>IF(ISBLANK('RESUMEN VIGILANCIA'!AV63),"",'RESUMEN VIGILANCIA'!AV63)</f>
        <v/>
      </c>
      <c r="AX20" s="375" t="str">
        <f>IF(ISBLANK('RESUMEN VIGILANCIA'!AW63),"",'RESUMEN VIGILANCIA'!AW63)</f>
        <v/>
      </c>
      <c r="AY20" s="375" t="str">
        <f>IF(ISBLANK('RESUMEN VIGILANCIA'!AX63),"",'RESUMEN VIGILANCIA'!AX63)</f>
        <v/>
      </c>
      <c r="AZ20" s="375" t="str">
        <f>IF(ISBLANK('RESUMEN VIGILANCIA'!AY63),"",'RESUMEN VIGILANCIA'!AY63)</f>
        <v/>
      </c>
      <c r="BA20" s="376" t="str">
        <f>IF(ISBLANK('RESUMEN VIGILANCIA'!AZ63),"",'RESUMEN VIGILANCIA'!AZ63)</f>
        <v/>
      </c>
      <c r="BB20" s="240">
        <f t="shared" si="0"/>
        <v>259400</v>
      </c>
      <c r="BC20" s="110"/>
      <c r="BD20" s="110"/>
    </row>
    <row r="21" spans="1:56" s="28" customFormat="1" ht="20.100000000000001" customHeight="1">
      <c r="A21" s="32" t="str">
        <f>'RESUMEN VIGILANCIA'!A73</f>
        <v>Familia García Hurtado</v>
      </c>
      <c r="B21" s="33" t="str">
        <f>'RESUMEN VIGILANCIA'!B73</f>
        <v>Calle Guacara Nro. 90-110</v>
      </c>
      <c r="C21" s="426" t="s">
        <v>1360</v>
      </c>
      <c r="D21" s="435"/>
      <c r="E21" s="414" t="str">
        <f>IF(ISBLANK('RESUMEN VIGILANCIA'!D73),"",'RESUMEN VIGILANCIA'!D73)</f>
        <v/>
      </c>
      <c r="F21" s="264">
        <f>IF(ISBLANK('RESUMEN VIGILANCIA'!E73),"",'RESUMEN VIGILANCIA'!E73)</f>
        <v>0.1</v>
      </c>
      <c r="G21" s="186">
        <f>IF(ISBLANK('RESUMEN VIGILANCIA'!F73),"",'RESUMEN VIGILANCIA'!F73)</f>
        <v>0.1</v>
      </c>
      <c r="H21" s="186" t="str">
        <f>IF(ISBLANK('RESUMEN VIGILANCIA'!G73),"",'RESUMEN VIGILANCIA'!G73)</f>
        <v/>
      </c>
      <c r="I21" s="186" t="str">
        <f>IF(ISBLANK('RESUMEN VIGILANCIA'!H73),"",'RESUMEN VIGILANCIA'!H73)</f>
        <v/>
      </c>
      <c r="J21" s="186" t="str">
        <f>IF(ISBLANK('RESUMEN VIGILANCIA'!I73),"",'RESUMEN VIGILANCIA'!I73)</f>
        <v/>
      </c>
      <c r="K21" s="186" t="str">
        <f>IF(ISBLANK('RESUMEN VIGILANCIA'!J73),"",'RESUMEN VIGILANCIA'!J73)</f>
        <v/>
      </c>
      <c r="L21" s="186" t="str">
        <f>IF(ISBLANK('RESUMEN VIGILANCIA'!K73),"",'RESUMEN VIGILANCIA'!K73)</f>
        <v/>
      </c>
      <c r="M21" s="186" t="str">
        <f>IF(ISBLANK('RESUMEN VIGILANCIA'!L73),"",'RESUMEN VIGILANCIA'!L73)</f>
        <v/>
      </c>
      <c r="N21" s="186" t="str">
        <f>IF(ISBLANK('RESUMEN VIGILANCIA'!M73),"",'RESUMEN VIGILANCIA'!M73)</f>
        <v/>
      </c>
      <c r="O21" s="186" t="str">
        <f>IF(ISBLANK('RESUMEN VIGILANCIA'!N73),"",'RESUMEN VIGILANCIA'!N73)</f>
        <v/>
      </c>
      <c r="P21" s="265" t="str">
        <f>IF(ISBLANK('RESUMEN VIGILANCIA'!O73),"",'RESUMEN VIGILANCIA'!O73)</f>
        <v/>
      </c>
      <c r="Q21" s="184" t="str">
        <f>IF(ISBLANK('RESUMEN VIGILANCIA'!P73),"",'RESUMEN VIGILANCIA'!P73)</f>
        <v/>
      </c>
      <c r="R21" s="266" t="str">
        <f>IF(ISBLANK('RESUMEN VIGILANCIA'!Q73),"",'RESUMEN VIGILANCIA'!Q73)</f>
        <v/>
      </c>
      <c r="S21" s="265" t="str">
        <f>IF(ISBLANK('RESUMEN VIGILANCIA'!R73),"",'RESUMEN VIGILANCIA'!R73)</f>
        <v/>
      </c>
      <c r="T21" s="265" t="str">
        <f>IF(ISBLANK('RESUMEN VIGILANCIA'!S73),"",'RESUMEN VIGILANCIA'!S73)</f>
        <v/>
      </c>
      <c r="U21" s="265" t="str">
        <f>IF(ISBLANK('RESUMEN VIGILANCIA'!T73),"",'RESUMEN VIGILANCIA'!T73)</f>
        <v/>
      </c>
      <c r="V21" s="265" t="str">
        <f>IF(ISBLANK('RESUMEN VIGILANCIA'!U73),"",'RESUMEN VIGILANCIA'!U73)</f>
        <v/>
      </c>
      <c r="W21" s="265" t="str">
        <f>IF(ISBLANK('RESUMEN VIGILANCIA'!V73),"",'RESUMEN VIGILANCIA'!V73)</f>
        <v/>
      </c>
      <c r="X21" s="265" t="str">
        <f>IF(ISBLANK('RESUMEN VIGILANCIA'!W73),"",'RESUMEN VIGILANCIA'!W73)</f>
        <v/>
      </c>
      <c r="Y21" s="265" t="str">
        <f>IF(ISBLANK('RESUMEN VIGILANCIA'!X73),"",'RESUMEN VIGILANCIA'!X73)</f>
        <v/>
      </c>
      <c r="Z21" s="457" t="str">
        <f>IF(ISBLANK('RESUMEN VIGILANCIA'!Y73),"",'RESUMEN VIGILANCIA'!Y73)</f>
        <v/>
      </c>
      <c r="AA21" s="457" t="str">
        <f>IF(ISBLANK('RESUMEN VIGILANCIA'!Z73),"",'RESUMEN VIGILANCIA'!Z73)</f>
        <v/>
      </c>
      <c r="AB21" s="457" t="str">
        <f>IF(ISBLANK('RESUMEN VIGILANCIA'!AA73),"",'RESUMEN VIGILANCIA'!AA73)</f>
        <v/>
      </c>
      <c r="AC21" s="458" t="str">
        <f>IF(ISBLANK('RESUMEN VIGILANCIA'!AB73),"",'RESUMEN VIGILANCIA'!AB73)</f>
        <v/>
      </c>
      <c r="AD21" s="371" t="str">
        <f>IF(ISBLANK('RESUMEN VIGILANCIA'!AC73),"",'RESUMEN VIGILANCIA'!AC73)</f>
        <v/>
      </c>
      <c r="AE21" s="372" t="str">
        <f>IF(ISBLANK('RESUMEN VIGILANCIA'!AD73),"",'RESUMEN VIGILANCIA'!AD73)</f>
        <v/>
      </c>
      <c r="AF21" s="372" t="str">
        <f>IF(ISBLANK('RESUMEN VIGILANCIA'!AE73),"",'RESUMEN VIGILANCIA'!AE73)</f>
        <v/>
      </c>
      <c r="AG21" s="372" t="str">
        <f>IF(ISBLANK('RESUMEN VIGILANCIA'!AF73),"",'RESUMEN VIGILANCIA'!AF73)</f>
        <v/>
      </c>
      <c r="AH21" s="372" t="str">
        <f>IF(ISBLANK('RESUMEN VIGILANCIA'!AG73),"",'RESUMEN VIGILANCIA'!AG73)</f>
        <v/>
      </c>
      <c r="AI21" s="372" t="str">
        <f>IF(ISBLANK('RESUMEN VIGILANCIA'!AH73),"",'RESUMEN VIGILANCIA'!AH73)</f>
        <v/>
      </c>
      <c r="AJ21" s="372" t="str">
        <f>IF(ISBLANK('RESUMEN VIGILANCIA'!AI73),"",'RESUMEN VIGILANCIA'!AI73)</f>
        <v/>
      </c>
      <c r="AK21" s="372" t="str">
        <f>IF(ISBLANK('RESUMEN VIGILANCIA'!AJ73),"",'RESUMEN VIGILANCIA'!AJ73)</f>
        <v/>
      </c>
      <c r="AL21" s="372" t="str">
        <f>IF(ISBLANK('RESUMEN VIGILANCIA'!AK73),"",'RESUMEN VIGILANCIA'!AK73)</f>
        <v/>
      </c>
      <c r="AM21" s="372" t="str">
        <f>IF(ISBLANK('RESUMEN VIGILANCIA'!AL73),"",'RESUMEN VIGILANCIA'!AL73)</f>
        <v/>
      </c>
      <c r="AN21" s="372" t="str">
        <f>IF(ISBLANK('RESUMEN VIGILANCIA'!AM73),"",'RESUMEN VIGILANCIA'!AM73)</f>
        <v/>
      </c>
      <c r="AO21" s="373" t="str">
        <f>IF(ISBLANK('RESUMEN VIGILANCIA'!AN73),"",'RESUMEN VIGILANCIA'!AN73)</f>
        <v/>
      </c>
      <c r="AP21" s="371" t="str">
        <f>IF(ISBLANK('RESUMEN VIGILANCIA'!AO73),"",'RESUMEN VIGILANCIA'!AO73)</f>
        <v/>
      </c>
      <c r="AQ21" s="372" t="str">
        <f>IF(ISBLANK('RESUMEN VIGILANCIA'!AP73),"",'RESUMEN VIGILANCIA'!AP73)</f>
        <v/>
      </c>
      <c r="AR21" s="372" t="str">
        <f>IF(ISBLANK('RESUMEN VIGILANCIA'!AQ73),"",'RESUMEN VIGILANCIA'!AQ73)</f>
        <v/>
      </c>
      <c r="AS21" s="372" t="str">
        <f>IF(ISBLANK('RESUMEN VIGILANCIA'!AR73),"",'RESUMEN VIGILANCIA'!AR73)</f>
        <v/>
      </c>
      <c r="AT21" s="372" t="str">
        <f>IF(ISBLANK('RESUMEN VIGILANCIA'!AS73),"",'RESUMEN VIGILANCIA'!AS73)</f>
        <v/>
      </c>
      <c r="AU21" s="372" t="str">
        <f>IF(ISBLANK('RESUMEN VIGILANCIA'!AT73),"",'RESUMEN VIGILANCIA'!AT73)</f>
        <v/>
      </c>
      <c r="AV21" s="372" t="str">
        <f>IF(ISBLANK('RESUMEN VIGILANCIA'!AU73),"",'RESUMEN VIGILANCIA'!AU73)</f>
        <v/>
      </c>
      <c r="AW21" s="372" t="str">
        <f>IF(ISBLANK('RESUMEN VIGILANCIA'!AV73),"",'RESUMEN VIGILANCIA'!AV73)</f>
        <v/>
      </c>
      <c r="AX21" s="372" t="str">
        <f>IF(ISBLANK('RESUMEN VIGILANCIA'!AW73),"",'RESUMEN VIGILANCIA'!AW73)</f>
        <v/>
      </c>
      <c r="AY21" s="372" t="str">
        <f>IF(ISBLANK('RESUMEN VIGILANCIA'!AX73),"",'RESUMEN VIGILANCIA'!AX73)</f>
        <v/>
      </c>
      <c r="AZ21" s="372" t="str">
        <f>IF(ISBLANK('RESUMEN VIGILANCIA'!AY73),"",'RESUMEN VIGILANCIA'!AY73)</f>
        <v/>
      </c>
      <c r="BA21" s="373" t="str">
        <f>IF(ISBLANK('RESUMEN VIGILANCIA'!AZ73),"",'RESUMEN VIGILANCIA'!AZ73)</f>
        <v/>
      </c>
      <c r="BB21" s="239">
        <f t="shared" si="0"/>
        <v>0.2</v>
      </c>
      <c r="BC21" s="109"/>
      <c r="BD21" s="109"/>
    </row>
    <row r="22" spans="1:56" s="28" customFormat="1" ht="20.100000000000001" customHeight="1">
      <c r="A22" s="29" t="str">
        <f>'RESUMEN VIGILANCIA'!A74</f>
        <v>Familia Rodríguez Chiappeta</v>
      </c>
      <c r="B22" s="30" t="str">
        <f>'RESUMEN VIGILANCIA'!B74</f>
        <v>Calle Guacara Nro. 90-120</v>
      </c>
      <c r="C22" s="427" t="s">
        <v>1360</v>
      </c>
      <c r="D22" s="434" t="s">
        <v>1357</v>
      </c>
      <c r="E22" s="415" t="str">
        <f>IF(ISBLANK('RESUMEN VIGILANCIA'!D74),"",'RESUMEN VIGILANCIA'!D74)</f>
        <v/>
      </c>
      <c r="F22" s="267" t="str">
        <f>IF(ISBLANK('RESUMEN VIGILANCIA'!E74),"",'RESUMEN VIGILANCIA'!E74)</f>
        <v/>
      </c>
      <c r="G22" s="179" t="str">
        <f>IF(ISBLANK('RESUMEN VIGILANCIA'!F74),"",'RESUMEN VIGILANCIA'!F74)</f>
        <v/>
      </c>
      <c r="H22" s="179" t="str">
        <f>IF(ISBLANK('RESUMEN VIGILANCIA'!G74),"",'RESUMEN VIGILANCIA'!G74)</f>
        <v/>
      </c>
      <c r="I22" s="179" t="str">
        <f>IF(ISBLANK('RESUMEN VIGILANCIA'!H74),"",'RESUMEN VIGILANCIA'!H74)</f>
        <v/>
      </c>
      <c r="J22" s="179" t="str">
        <f>IF(ISBLANK('RESUMEN VIGILANCIA'!I74),"",'RESUMEN VIGILANCIA'!I74)</f>
        <v/>
      </c>
      <c r="K22" s="179" t="str">
        <f>IF(ISBLANK('RESUMEN VIGILANCIA'!J74),"",'RESUMEN VIGILANCIA'!J74)</f>
        <v/>
      </c>
      <c r="L22" s="179" t="str">
        <f>IF(ISBLANK('RESUMEN VIGILANCIA'!K74),"",'RESUMEN VIGILANCIA'!K74)</f>
        <v/>
      </c>
      <c r="M22" s="179" t="str">
        <f>IF(ISBLANK('RESUMEN VIGILANCIA'!L74),"",'RESUMEN VIGILANCIA'!L74)</f>
        <v/>
      </c>
      <c r="N22" s="179" t="str">
        <f>IF(ISBLANK('RESUMEN VIGILANCIA'!M74),"",'RESUMEN VIGILANCIA'!M74)</f>
        <v/>
      </c>
      <c r="O22" s="179" t="str">
        <f>IF(ISBLANK('RESUMEN VIGILANCIA'!N74),"",'RESUMEN VIGILANCIA'!N74)</f>
        <v/>
      </c>
      <c r="P22" s="268" t="str">
        <f>IF(ISBLANK('RESUMEN VIGILANCIA'!O74),"",'RESUMEN VIGILANCIA'!O74)</f>
        <v/>
      </c>
      <c r="Q22" s="177" t="str">
        <f>IF(ISBLANK('RESUMEN VIGILANCIA'!P74),"",'RESUMEN VIGILANCIA'!P74)</f>
        <v/>
      </c>
      <c r="R22" s="269" t="str">
        <f>IF(ISBLANK('RESUMEN VIGILANCIA'!Q74),"",'RESUMEN VIGILANCIA'!Q74)</f>
        <v/>
      </c>
      <c r="S22" s="268" t="str">
        <f>IF(ISBLANK('RESUMEN VIGILANCIA'!R74),"",'RESUMEN VIGILANCIA'!R74)</f>
        <v/>
      </c>
      <c r="T22" s="268" t="str">
        <f>IF(ISBLANK('RESUMEN VIGILANCIA'!S74),"",'RESUMEN VIGILANCIA'!S74)</f>
        <v/>
      </c>
      <c r="U22" s="268" t="str">
        <f>IF(ISBLANK('RESUMEN VIGILANCIA'!T74),"",'RESUMEN VIGILANCIA'!T74)</f>
        <v/>
      </c>
      <c r="V22" s="268" t="str">
        <f>IF(ISBLANK('RESUMEN VIGILANCIA'!U74),"",'RESUMEN VIGILANCIA'!U74)</f>
        <v/>
      </c>
      <c r="W22" s="268" t="str">
        <f>IF(ISBLANK('RESUMEN VIGILANCIA'!V74),"",'RESUMEN VIGILANCIA'!V74)</f>
        <v/>
      </c>
      <c r="X22" s="268" t="str">
        <f>IF(ISBLANK('RESUMEN VIGILANCIA'!W74),"",'RESUMEN VIGILANCIA'!W74)</f>
        <v/>
      </c>
      <c r="Y22" s="268" t="str">
        <f>IF(ISBLANK('RESUMEN VIGILANCIA'!X74),"",'RESUMEN VIGILANCIA'!X74)</f>
        <v/>
      </c>
      <c r="Z22" s="453" t="str">
        <f>IF(ISBLANK('RESUMEN VIGILANCIA'!Y74),"",'RESUMEN VIGILANCIA'!Y74)</f>
        <v/>
      </c>
      <c r="AA22" s="453" t="str">
        <f>IF(ISBLANK('RESUMEN VIGILANCIA'!Z74),"",'RESUMEN VIGILANCIA'!Z74)</f>
        <v/>
      </c>
      <c r="AB22" s="453" t="str">
        <f>IF(ISBLANK('RESUMEN VIGILANCIA'!AA74),"",'RESUMEN VIGILANCIA'!AA74)</f>
        <v/>
      </c>
      <c r="AC22" s="454" t="str">
        <f>IF(ISBLANK('RESUMEN VIGILANCIA'!AB74),"",'RESUMEN VIGILANCIA'!AB74)</f>
        <v/>
      </c>
      <c r="AD22" s="374" t="str">
        <f>IF(ISBLANK('RESUMEN VIGILANCIA'!AC74),"",'RESUMEN VIGILANCIA'!AC74)</f>
        <v/>
      </c>
      <c r="AE22" s="375" t="str">
        <f>IF(ISBLANK('RESUMEN VIGILANCIA'!AD74),"",'RESUMEN VIGILANCIA'!AD74)</f>
        <v/>
      </c>
      <c r="AF22" s="375" t="str">
        <f>IF(ISBLANK('RESUMEN VIGILANCIA'!AE74),"",'RESUMEN VIGILANCIA'!AE74)</f>
        <v/>
      </c>
      <c r="AG22" s="375" t="str">
        <f>IF(ISBLANK('RESUMEN VIGILANCIA'!AF74),"",'RESUMEN VIGILANCIA'!AF74)</f>
        <v/>
      </c>
      <c r="AH22" s="375" t="str">
        <f>IF(ISBLANK('RESUMEN VIGILANCIA'!AG74),"",'RESUMEN VIGILANCIA'!AG74)</f>
        <v/>
      </c>
      <c r="AI22" s="375" t="str">
        <f>IF(ISBLANK('RESUMEN VIGILANCIA'!AH74),"",'RESUMEN VIGILANCIA'!AH74)</f>
        <v/>
      </c>
      <c r="AJ22" s="375" t="str">
        <f>IF(ISBLANK('RESUMEN VIGILANCIA'!AI74),"",'RESUMEN VIGILANCIA'!AI74)</f>
        <v/>
      </c>
      <c r="AK22" s="375" t="str">
        <f>IF(ISBLANK('RESUMEN VIGILANCIA'!AJ74),"",'RESUMEN VIGILANCIA'!AJ74)</f>
        <v/>
      </c>
      <c r="AL22" s="375" t="str">
        <f>IF(ISBLANK('RESUMEN VIGILANCIA'!AK74),"",'RESUMEN VIGILANCIA'!AK74)</f>
        <v/>
      </c>
      <c r="AM22" s="375" t="str">
        <f>IF(ISBLANK('RESUMEN VIGILANCIA'!AL74),"",'RESUMEN VIGILANCIA'!AL74)</f>
        <v/>
      </c>
      <c r="AN22" s="375" t="str">
        <f>IF(ISBLANK('RESUMEN VIGILANCIA'!AM74),"",'RESUMEN VIGILANCIA'!AM74)</f>
        <v/>
      </c>
      <c r="AO22" s="376" t="str">
        <f>IF(ISBLANK('RESUMEN VIGILANCIA'!AN74),"",'RESUMEN VIGILANCIA'!AN74)</f>
        <v/>
      </c>
      <c r="AP22" s="374" t="str">
        <f>IF(ISBLANK('RESUMEN VIGILANCIA'!AO74),"",'RESUMEN VIGILANCIA'!AO74)</f>
        <v/>
      </c>
      <c r="AQ22" s="375" t="str">
        <f>IF(ISBLANK('RESUMEN VIGILANCIA'!AP74),"",'RESUMEN VIGILANCIA'!AP74)</f>
        <v/>
      </c>
      <c r="AR22" s="375" t="str">
        <f>IF(ISBLANK('RESUMEN VIGILANCIA'!AQ74),"",'RESUMEN VIGILANCIA'!AQ74)</f>
        <v/>
      </c>
      <c r="AS22" s="375" t="str">
        <f>IF(ISBLANK('RESUMEN VIGILANCIA'!AR74),"",'RESUMEN VIGILANCIA'!AR74)</f>
        <v/>
      </c>
      <c r="AT22" s="375" t="str">
        <f>IF(ISBLANK('RESUMEN VIGILANCIA'!AS74),"",'RESUMEN VIGILANCIA'!AS74)</f>
        <v/>
      </c>
      <c r="AU22" s="375" t="str">
        <f>IF(ISBLANK('RESUMEN VIGILANCIA'!AT74),"",'RESUMEN VIGILANCIA'!AT74)</f>
        <v/>
      </c>
      <c r="AV22" s="375" t="str">
        <f>IF(ISBLANK('RESUMEN VIGILANCIA'!AU74),"",'RESUMEN VIGILANCIA'!AU74)</f>
        <v/>
      </c>
      <c r="AW22" s="375" t="str">
        <f>IF(ISBLANK('RESUMEN VIGILANCIA'!AV74),"",'RESUMEN VIGILANCIA'!AV74)</f>
        <v/>
      </c>
      <c r="AX22" s="375" t="str">
        <f>IF(ISBLANK('RESUMEN VIGILANCIA'!AW74),"",'RESUMEN VIGILANCIA'!AW74)</f>
        <v/>
      </c>
      <c r="AY22" s="375" t="str">
        <f>IF(ISBLANK('RESUMEN VIGILANCIA'!AX74),"",'RESUMEN VIGILANCIA'!AX74)</f>
        <v/>
      </c>
      <c r="AZ22" s="375" t="str">
        <f>IF(ISBLANK('RESUMEN VIGILANCIA'!AY74),"",'RESUMEN VIGILANCIA'!AY74)</f>
        <v/>
      </c>
      <c r="BA22" s="376" t="str">
        <f>IF(ISBLANK('RESUMEN VIGILANCIA'!AZ74),"",'RESUMEN VIGILANCIA'!AZ74)</f>
        <v/>
      </c>
      <c r="BB22" s="240">
        <f t="shared" si="0"/>
        <v>0</v>
      </c>
      <c r="BC22" s="110"/>
      <c r="BD22" s="110"/>
    </row>
    <row r="23" spans="1:56" s="28" customFormat="1" ht="20.100000000000001" customHeight="1">
      <c r="A23" s="29" t="str">
        <f>'RESUMEN VIGILANCIA'!A18</f>
        <v>María Luisa Gornés</v>
      </c>
      <c r="B23" s="30" t="str">
        <f>'RESUMEN VIGILANCIA'!B18</f>
        <v>Calle Guacara Nro. 87-05</v>
      </c>
      <c r="C23" s="427" t="s">
        <v>1360</v>
      </c>
      <c r="D23" s="434" t="s">
        <v>1357</v>
      </c>
      <c r="E23" s="415" t="str">
        <f>IF(ISBLANK('RESUMEN VIGILANCIA'!D18),"",'RESUMEN VIGILANCIA'!D18)</f>
        <v/>
      </c>
      <c r="F23" s="267" t="str">
        <f>IF(ISBLANK('RESUMEN VIGILANCIA'!E18),"",'RESUMEN VIGILANCIA'!E18)</f>
        <v/>
      </c>
      <c r="G23" s="179" t="str">
        <f>IF(ISBLANK('RESUMEN VIGILANCIA'!F18),"",'RESUMEN VIGILANCIA'!F18)</f>
        <v/>
      </c>
      <c r="H23" s="179" t="str">
        <f>IF(ISBLANK('RESUMEN VIGILANCIA'!G18),"",'RESUMEN VIGILANCIA'!G18)</f>
        <v/>
      </c>
      <c r="I23" s="179" t="str">
        <f>IF(ISBLANK('RESUMEN VIGILANCIA'!H18),"",'RESUMEN VIGILANCIA'!H18)</f>
        <v/>
      </c>
      <c r="J23" s="179" t="str">
        <f>IF(ISBLANK('RESUMEN VIGILANCIA'!I18),"",'RESUMEN VIGILANCIA'!I18)</f>
        <v/>
      </c>
      <c r="K23" s="179" t="str">
        <f>IF(ISBLANK('RESUMEN VIGILANCIA'!J18),"",'RESUMEN VIGILANCIA'!J18)</f>
        <v/>
      </c>
      <c r="L23" s="179" t="str">
        <f>IF(ISBLANK('RESUMEN VIGILANCIA'!K18),"",'RESUMEN VIGILANCIA'!K18)</f>
        <v/>
      </c>
      <c r="M23" s="179" t="str">
        <f>IF(ISBLANK('RESUMEN VIGILANCIA'!L18),"",'RESUMEN VIGILANCIA'!L18)</f>
        <v/>
      </c>
      <c r="N23" s="179" t="str">
        <f>IF(ISBLANK('RESUMEN VIGILANCIA'!M18),"",'RESUMEN VIGILANCIA'!M18)</f>
        <v/>
      </c>
      <c r="O23" s="179" t="str">
        <f>IF(ISBLANK('RESUMEN VIGILANCIA'!N18),"",'RESUMEN VIGILANCIA'!N18)</f>
        <v/>
      </c>
      <c r="P23" s="268" t="str">
        <f>IF(ISBLANK('RESUMEN VIGILANCIA'!O18),"",'RESUMEN VIGILANCIA'!O18)</f>
        <v/>
      </c>
      <c r="Q23" s="177" t="str">
        <f>IF(ISBLANK('RESUMEN VIGILANCIA'!P18),"",'RESUMEN VIGILANCIA'!P18)</f>
        <v/>
      </c>
      <c r="R23" s="269" t="str">
        <f>IF(ISBLANK('RESUMEN VIGILANCIA'!Q18),"",'RESUMEN VIGILANCIA'!Q18)</f>
        <v/>
      </c>
      <c r="S23" s="268" t="str">
        <f>IF(ISBLANK('RESUMEN VIGILANCIA'!R18),"",'RESUMEN VIGILANCIA'!R18)</f>
        <v/>
      </c>
      <c r="T23" s="268" t="str">
        <f>IF(ISBLANK('RESUMEN VIGILANCIA'!S18),"",'RESUMEN VIGILANCIA'!S18)</f>
        <v/>
      </c>
      <c r="U23" s="268" t="str">
        <f>IF(ISBLANK('RESUMEN VIGILANCIA'!T18),"",'RESUMEN VIGILANCIA'!T18)</f>
        <v/>
      </c>
      <c r="V23" s="268" t="str">
        <f>IF(ISBLANK('RESUMEN VIGILANCIA'!U18),"",'RESUMEN VIGILANCIA'!U18)</f>
        <v/>
      </c>
      <c r="W23" s="268" t="str">
        <f>IF(ISBLANK('RESUMEN VIGILANCIA'!V18),"",'RESUMEN VIGILANCIA'!V18)</f>
        <v/>
      </c>
      <c r="X23" s="268" t="str">
        <f>IF(ISBLANK('RESUMEN VIGILANCIA'!W18),"",'RESUMEN VIGILANCIA'!W18)</f>
        <v/>
      </c>
      <c r="Y23" s="268" t="str">
        <f>IF(ISBLANK('RESUMEN VIGILANCIA'!X18),"",'RESUMEN VIGILANCIA'!X18)</f>
        <v/>
      </c>
      <c r="Z23" s="453" t="str">
        <f>IF(ISBLANK('RESUMEN VIGILANCIA'!Y18),"",'RESUMEN VIGILANCIA'!Y18)</f>
        <v/>
      </c>
      <c r="AA23" s="453" t="str">
        <f>IF(ISBLANK('RESUMEN VIGILANCIA'!Z18),"",'RESUMEN VIGILANCIA'!Z18)</f>
        <v/>
      </c>
      <c r="AB23" s="453" t="str">
        <f>IF(ISBLANK('RESUMEN VIGILANCIA'!AA18),"",'RESUMEN VIGILANCIA'!AA18)</f>
        <v/>
      </c>
      <c r="AC23" s="454" t="str">
        <f>IF(ISBLANK('RESUMEN VIGILANCIA'!AB18),"",'RESUMEN VIGILANCIA'!AB18)</f>
        <v/>
      </c>
      <c r="AD23" s="374" t="str">
        <f>IF(ISBLANK('RESUMEN VIGILANCIA'!AC18),"",'RESUMEN VIGILANCIA'!AC18)</f>
        <v/>
      </c>
      <c r="AE23" s="375" t="str">
        <f>IF(ISBLANK('RESUMEN VIGILANCIA'!AD18),"",'RESUMEN VIGILANCIA'!AD18)</f>
        <v/>
      </c>
      <c r="AF23" s="375" t="str">
        <f>IF(ISBLANK('RESUMEN VIGILANCIA'!AE18),"",'RESUMEN VIGILANCIA'!AE18)</f>
        <v/>
      </c>
      <c r="AG23" s="375" t="str">
        <f>IF(ISBLANK('RESUMEN VIGILANCIA'!AF18),"",'RESUMEN VIGILANCIA'!AF18)</f>
        <v/>
      </c>
      <c r="AH23" s="375" t="str">
        <f>IF(ISBLANK('RESUMEN VIGILANCIA'!AG18),"",'RESUMEN VIGILANCIA'!AG18)</f>
        <v/>
      </c>
      <c r="AI23" s="375" t="str">
        <f>IF(ISBLANK('RESUMEN VIGILANCIA'!AH18),"",'RESUMEN VIGILANCIA'!AH18)</f>
        <v/>
      </c>
      <c r="AJ23" s="375" t="str">
        <f>IF(ISBLANK('RESUMEN VIGILANCIA'!AI18),"",'RESUMEN VIGILANCIA'!AI18)</f>
        <v/>
      </c>
      <c r="AK23" s="375" t="str">
        <f>IF(ISBLANK('RESUMEN VIGILANCIA'!AJ18),"",'RESUMEN VIGILANCIA'!AJ18)</f>
        <v/>
      </c>
      <c r="AL23" s="375" t="str">
        <f>IF(ISBLANK('RESUMEN VIGILANCIA'!AK18),"",'RESUMEN VIGILANCIA'!AK18)</f>
        <v/>
      </c>
      <c r="AM23" s="375" t="str">
        <f>IF(ISBLANK('RESUMEN VIGILANCIA'!AL18),"",'RESUMEN VIGILANCIA'!AL18)</f>
        <v/>
      </c>
      <c r="AN23" s="375" t="str">
        <f>IF(ISBLANK('RESUMEN VIGILANCIA'!AM18),"",'RESUMEN VIGILANCIA'!AM18)</f>
        <v/>
      </c>
      <c r="AO23" s="376" t="str">
        <f>IF(ISBLANK('RESUMEN VIGILANCIA'!AN18),"",'RESUMEN VIGILANCIA'!AN18)</f>
        <v/>
      </c>
      <c r="AP23" s="374" t="str">
        <f>IF(ISBLANK('RESUMEN VIGILANCIA'!AO18),"",'RESUMEN VIGILANCIA'!AO18)</f>
        <v/>
      </c>
      <c r="AQ23" s="375" t="str">
        <f>IF(ISBLANK('RESUMEN VIGILANCIA'!AP18),"",'RESUMEN VIGILANCIA'!AP18)</f>
        <v/>
      </c>
      <c r="AR23" s="375" t="str">
        <f>IF(ISBLANK('RESUMEN VIGILANCIA'!AQ18),"",'RESUMEN VIGILANCIA'!AQ18)</f>
        <v/>
      </c>
      <c r="AS23" s="375" t="str">
        <f>IF(ISBLANK('RESUMEN VIGILANCIA'!AR18),"",'RESUMEN VIGILANCIA'!AR18)</f>
        <v/>
      </c>
      <c r="AT23" s="375" t="str">
        <f>IF(ISBLANK('RESUMEN VIGILANCIA'!AS18),"",'RESUMEN VIGILANCIA'!AS18)</f>
        <v/>
      </c>
      <c r="AU23" s="375" t="str">
        <f>IF(ISBLANK('RESUMEN VIGILANCIA'!AT18),"",'RESUMEN VIGILANCIA'!AT18)</f>
        <v/>
      </c>
      <c r="AV23" s="375" t="str">
        <f>IF(ISBLANK('RESUMEN VIGILANCIA'!AU18),"",'RESUMEN VIGILANCIA'!AU18)</f>
        <v/>
      </c>
      <c r="AW23" s="375" t="str">
        <f>IF(ISBLANK('RESUMEN VIGILANCIA'!AV18),"",'RESUMEN VIGILANCIA'!AV18)</f>
        <v/>
      </c>
      <c r="AX23" s="375" t="str">
        <f>IF(ISBLANK('RESUMEN VIGILANCIA'!AW18),"",'RESUMEN VIGILANCIA'!AW18)</f>
        <v/>
      </c>
      <c r="AY23" s="375" t="str">
        <f>IF(ISBLANK('RESUMEN VIGILANCIA'!AX18),"",'RESUMEN VIGILANCIA'!AX18)</f>
        <v/>
      </c>
      <c r="AZ23" s="375" t="str">
        <f>IF(ISBLANK('RESUMEN VIGILANCIA'!AY18),"",'RESUMEN VIGILANCIA'!AY18)</f>
        <v/>
      </c>
      <c r="BA23" s="376" t="str">
        <f>IF(ISBLANK('RESUMEN VIGILANCIA'!AZ18),"",'RESUMEN VIGILANCIA'!AZ18)</f>
        <v/>
      </c>
      <c r="BB23" s="240">
        <f t="shared" si="0"/>
        <v>0</v>
      </c>
      <c r="BC23" s="110"/>
      <c r="BD23" s="110"/>
    </row>
    <row r="24" spans="1:56" s="28" customFormat="1" ht="20.100000000000001" customHeight="1">
      <c r="A24" s="356" t="str">
        <f>'RESUMEN VIGILANCIA'!A20</f>
        <v>Familia Franco Gómez</v>
      </c>
      <c r="B24" s="357" t="str">
        <f>'RESUMEN VIGILANCIA'!B20</f>
        <v>Calle Guacara Nro. 87-07</v>
      </c>
      <c r="C24" s="428" t="s">
        <v>1361</v>
      </c>
      <c r="D24" s="433" t="s">
        <v>1357</v>
      </c>
      <c r="E24" s="414" t="str">
        <f>IF(ISBLANK('RESUMEN VIGILANCIA'!D20),"",'RESUMEN VIGILANCIA'!D20)</f>
        <v/>
      </c>
      <c r="F24" s="264">
        <f>IF(ISBLANK('RESUMEN VIGILANCIA'!E20),"",'RESUMEN VIGILANCIA'!E20)</f>
        <v>0.17</v>
      </c>
      <c r="G24" s="186">
        <f>IF(ISBLANK('RESUMEN VIGILANCIA'!F20),"",'RESUMEN VIGILANCIA'!F20)</f>
        <v>0.17</v>
      </c>
      <c r="H24" s="186">
        <f>IF(ISBLANK('RESUMEN VIGILANCIA'!G20),"",'RESUMEN VIGILANCIA'!G20)</f>
        <v>0.17</v>
      </c>
      <c r="I24" s="186">
        <f>IF(ISBLANK('RESUMEN VIGILANCIA'!H20),"",'RESUMEN VIGILANCIA'!H20)</f>
        <v>0.17</v>
      </c>
      <c r="J24" s="186">
        <f>IF(ISBLANK('RESUMEN VIGILANCIA'!I20),"",'RESUMEN VIGILANCIA'!I20)</f>
        <v>0.17</v>
      </c>
      <c r="K24" s="186">
        <f>IF(ISBLANK('RESUMEN VIGILANCIA'!J20),"",'RESUMEN VIGILANCIA'!J20)</f>
        <v>0.17</v>
      </c>
      <c r="L24" s="186">
        <f>IF(ISBLANK('RESUMEN VIGILANCIA'!K20),"",'RESUMEN VIGILANCIA'!K20)</f>
        <v>0.17</v>
      </c>
      <c r="M24" s="186">
        <f>IF(ISBLANK('RESUMEN VIGILANCIA'!L20),"",'RESUMEN VIGILANCIA'!L20)</f>
        <v>0.2</v>
      </c>
      <c r="N24" s="186">
        <f>IF(ISBLANK('RESUMEN VIGILANCIA'!M20),"",'RESUMEN VIGILANCIA'!M20)</f>
        <v>0.25</v>
      </c>
      <c r="O24" s="186">
        <f>IF(ISBLANK('RESUMEN VIGILANCIA'!N20),"",'RESUMEN VIGILANCIA'!N20)</f>
        <v>0.25</v>
      </c>
      <c r="P24" s="265">
        <f>IF(ISBLANK('RESUMEN VIGILANCIA'!O20),"",'RESUMEN VIGILANCIA'!O20)</f>
        <v>0.25</v>
      </c>
      <c r="Q24" s="184">
        <f>IF(ISBLANK('RESUMEN VIGILANCIA'!P20),"",'RESUMEN VIGILANCIA'!P20)</f>
        <v>0.25</v>
      </c>
      <c r="R24" s="266">
        <f>IF(ISBLANK('RESUMEN VIGILANCIA'!Q20),"",'RESUMEN VIGILANCIA'!Q20)</f>
        <v>0.8</v>
      </c>
      <c r="S24" s="265">
        <f>IF(ISBLANK('RESUMEN VIGILANCIA'!R20),"",'RESUMEN VIGILANCIA'!R20)</f>
        <v>0.8</v>
      </c>
      <c r="T24" s="265">
        <f>IF(ISBLANK('RESUMEN VIGILANCIA'!S20),"",'RESUMEN VIGILANCIA'!S20)</f>
        <v>1.4</v>
      </c>
      <c r="U24" s="265">
        <f>IF(ISBLANK('RESUMEN VIGILANCIA'!T20),"",'RESUMEN VIGILANCIA'!T20)</f>
        <v>1.4</v>
      </c>
      <c r="V24" s="265">
        <f>IF(ISBLANK('RESUMEN VIGILANCIA'!U20),"",'RESUMEN VIGILANCIA'!U20)</f>
        <v>2</v>
      </c>
      <c r="W24" s="265">
        <f>IF(ISBLANK('RESUMEN VIGILANCIA'!V20),"",'RESUMEN VIGILANCIA'!V20)</f>
        <v>6.25</v>
      </c>
      <c r="X24" s="265">
        <f>IF(ISBLANK('RESUMEN VIGILANCIA'!W20),"",'RESUMEN VIGILANCIA'!W20)</f>
        <v>10</v>
      </c>
      <c r="Y24" s="265">
        <f>IF(ISBLANK('RESUMEN VIGILANCIA'!X20),"",'RESUMEN VIGILANCIA'!X20)</f>
        <v>12</v>
      </c>
      <c r="Z24" s="457">
        <f>IF(ISBLANK('RESUMEN VIGILANCIA'!Y20),"",'RESUMEN VIGILANCIA'!Y20)</f>
        <v>160</v>
      </c>
      <c r="AA24" s="456">
        <f>IF(ISBLANK('RESUMEN VIGILANCIA'!Z20),"",'RESUMEN VIGILANCIA'!Z20)</f>
        <v>320</v>
      </c>
      <c r="AB24" s="456">
        <f>IF(ISBLANK('RESUMEN VIGILANCIA'!AA20),"",'RESUMEN VIGILANCIA'!AA20)</f>
        <v>320</v>
      </c>
      <c r="AC24" s="455">
        <f>IF(ISBLANK('RESUMEN VIGILANCIA'!AB20),"",'RESUMEN VIGILANCIA'!AB20)</f>
        <v>800</v>
      </c>
      <c r="AD24" s="379">
        <f>IF(ISBLANK('RESUMEN VIGILANCIA'!AC20),"",'RESUMEN VIGILANCIA'!AC20)</f>
        <v>3000</v>
      </c>
      <c r="AE24" s="380">
        <f>IF(ISBLANK('RESUMEN VIGILANCIA'!AD20),"",'RESUMEN VIGILANCIA'!AD20)</f>
        <v>3000</v>
      </c>
      <c r="AF24" s="380">
        <f>IF(ISBLANK('RESUMEN VIGILANCIA'!AE20),"",'RESUMEN VIGILANCIA'!AE20)</f>
        <v>3000</v>
      </c>
      <c r="AG24" s="380">
        <f>IF(ISBLANK('RESUMEN VIGILANCIA'!AF20),"",'RESUMEN VIGILANCIA'!AF20)</f>
        <v>5000</v>
      </c>
      <c r="AH24" s="380">
        <f>IF(ISBLANK('RESUMEN VIGILANCIA'!AG20),"",'RESUMEN VIGILANCIA'!AG20)</f>
        <v>8000</v>
      </c>
      <c r="AI24" s="380">
        <f>IF(ISBLANK('RESUMEN VIGILANCIA'!AH20),"",'RESUMEN VIGILANCIA'!AH20)</f>
        <v>8000</v>
      </c>
      <c r="AJ24" s="380">
        <f>IF(ISBLANK('RESUMEN VIGILANCIA'!AI20),"",'RESUMEN VIGILANCIA'!AI20)</f>
        <v>10000</v>
      </c>
      <c r="AK24" s="380">
        <f>IF(ISBLANK('RESUMEN VIGILANCIA'!AJ20),"",'RESUMEN VIGILANCIA'!AJ20)</f>
        <v>10000</v>
      </c>
      <c r="AL24" s="380">
        <f>IF(ISBLANK('RESUMEN VIGILANCIA'!AK20),"",'RESUMEN VIGILANCIA'!AK20)</f>
        <v>20500</v>
      </c>
      <c r="AM24" s="372">
        <f>IF(ISBLANK('RESUMEN VIGILANCIA'!AL20),"",'RESUMEN VIGILANCIA'!AL20)</f>
        <v>21100</v>
      </c>
      <c r="AN24" s="372">
        <f>IF(ISBLANK('RESUMEN VIGILANCIA'!AM20),"",'RESUMEN VIGILANCIA'!AM20)</f>
        <v>33750</v>
      </c>
      <c r="AO24" s="373">
        <f>IF(ISBLANK('RESUMEN VIGILANCIA'!AN20),"",'RESUMEN VIGILANCIA'!AN20)</f>
        <v>32700</v>
      </c>
      <c r="AP24" s="371">
        <f>IF(ISBLANK('RESUMEN VIGILANCIA'!AO20),"",'RESUMEN VIGILANCIA'!AO20)</f>
        <v>54500</v>
      </c>
      <c r="AQ24" s="372">
        <f>IF(ISBLANK('RESUMEN VIGILANCIA'!AP20),"",'RESUMEN VIGILANCIA'!AP20)</f>
        <v>60500</v>
      </c>
      <c r="AR24" s="372">
        <f>IF(ISBLANK('RESUMEN VIGILANCIA'!AQ20),"",'RESUMEN VIGILANCIA'!AQ20)</f>
        <v>74975</v>
      </c>
      <c r="AS24" s="372">
        <f>IF(ISBLANK('RESUMEN VIGILANCIA'!AR20),"",'RESUMEN VIGILANCIA'!AR20)</f>
        <v>74975</v>
      </c>
      <c r="AT24" s="372">
        <f>IF(ISBLANK('RESUMEN VIGILANCIA'!AS20),"",'RESUMEN VIGILANCIA'!AS20)</f>
        <v>125000</v>
      </c>
      <c r="AU24" s="372">
        <f>IF(ISBLANK('RESUMEN VIGILANCIA'!AT20),"",'RESUMEN VIGILANCIA'!AT20)</f>
        <v>150000</v>
      </c>
      <c r="AV24" s="372">
        <f>IF(ISBLANK('RESUMEN VIGILANCIA'!AU20),"",'RESUMEN VIGILANCIA'!AU20)</f>
        <v>160000</v>
      </c>
      <c r="AW24" s="372" t="str">
        <f>IF(ISBLANK('RESUMEN VIGILANCIA'!AV20),"",'RESUMEN VIGILANCIA'!AV20)</f>
        <v/>
      </c>
      <c r="AX24" s="372" t="str">
        <f>IF(ISBLANK('RESUMEN VIGILANCIA'!AW20),"",'RESUMEN VIGILANCIA'!AW20)</f>
        <v/>
      </c>
      <c r="AY24" s="372" t="str">
        <f>IF(ISBLANK('RESUMEN VIGILANCIA'!AX20),"",'RESUMEN VIGILANCIA'!AX20)</f>
        <v/>
      </c>
      <c r="AZ24" s="372" t="str">
        <f>IF(ISBLANK('RESUMEN VIGILANCIA'!AY20),"",'RESUMEN VIGILANCIA'!AY20)</f>
        <v/>
      </c>
      <c r="BA24" s="373" t="str">
        <f>IF(ISBLANK('RESUMEN VIGILANCIA'!AZ20),"",'RESUMEN VIGILANCIA'!AZ20)</f>
        <v/>
      </c>
      <c r="BB24" s="239">
        <f t="shared" si="0"/>
        <v>159687.04000000001</v>
      </c>
      <c r="BC24" s="109"/>
      <c r="BD24" s="109"/>
    </row>
    <row r="25" spans="1:56" s="28" customFormat="1" ht="20.100000000000001" customHeight="1">
      <c r="A25" s="36" t="str">
        <f>'RESUMEN VIGILANCIA'!A21</f>
        <v>Doris Valderrama</v>
      </c>
      <c r="B25" s="37" t="str">
        <f>'RESUMEN VIGILANCIA'!B21</f>
        <v>Calle Guacara Nro. 87-15</v>
      </c>
      <c r="C25" s="425"/>
      <c r="D25" s="432" t="s">
        <v>1357</v>
      </c>
      <c r="E25" s="413" t="str">
        <f>IF(ISBLANK('RESUMEN VIGILANCIA'!D21),"",'RESUMEN VIGILANCIA'!D21)</f>
        <v/>
      </c>
      <c r="F25" s="261" t="str">
        <f>IF(ISBLANK('RESUMEN VIGILANCIA'!E21),"",'RESUMEN VIGILANCIA'!E21)</f>
        <v/>
      </c>
      <c r="G25" s="197" t="str">
        <f>IF(ISBLANK('RESUMEN VIGILANCIA'!F21),"",'RESUMEN VIGILANCIA'!F21)</f>
        <v/>
      </c>
      <c r="H25" s="197" t="str">
        <f>IF(ISBLANK('RESUMEN VIGILANCIA'!G21),"",'RESUMEN VIGILANCIA'!G21)</f>
        <v/>
      </c>
      <c r="I25" s="197" t="str">
        <f>IF(ISBLANK('RESUMEN VIGILANCIA'!H21),"",'RESUMEN VIGILANCIA'!H21)</f>
        <v/>
      </c>
      <c r="J25" s="197" t="str">
        <f>IF(ISBLANK('RESUMEN VIGILANCIA'!I21),"",'RESUMEN VIGILANCIA'!I21)</f>
        <v/>
      </c>
      <c r="K25" s="197" t="str">
        <f>IF(ISBLANK('RESUMEN VIGILANCIA'!J21),"",'RESUMEN VIGILANCIA'!J21)</f>
        <v/>
      </c>
      <c r="L25" s="197" t="str">
        <f>IF(ISBLANK('RESUMEN VIGILANCIA'!K21),"",'RESUMEN VIGILANCIA'!K21)</f>
        <v/>
      </c>
      <c r="M25" s="197" t="str">
        <f>IF(ISBLANK('RESUMEN VIGILANCIA'!L21),"",'RESUMEN VIGILANCIA'!L21)</f>
        <v/>
      </c>
      <c r="N25" s="197" t="str">
        <f>IF(ISBLANK('RESUMEN VIGILANCIA'!M21),"",'RESUMEN VIGILANCIA'!M21)</f>
        <v/>
      </c>
      <c r="O25" s="197" t="str">
        <f>IF(ISBLANK('RESUMEN VIGILANCIA'!N21),"",'RESUMEN VIGILANCIA'!N21)</f>
        <v/>
      </c>
      <c r="P25" s="262" t="str">
        <f>IF(ISBLANK('RESUMEN VIGILANCIA'!O21),"",'RESUMEN VIGILANCIA'!O21)</f>
        <v/>
      </c>
      <c r="Q25" s="195" t="str">
        <f>IF(ISBLANK('RESUMEN VIGILANCIA'!P21),"",'RESUMEN VIGILANCIA'!P21)</f>
        <v/>
      </c>
      <c r="R25" s="263" t="str">
        <f>IF(ISBLANK('RESUMEN VIGILANCIA'!Q21),"",'RESUMEN VIGILANCIA'!Q21)</f>
        <v/>
      </c>
      <c r="S25" s="262" t="str">
        <f>IF(ISBLANK('RESUMEN VIGILANCIA'!R21),"",'RESUMEN VIGILANCIA'!R21)</f>
        <v/>
      </c>
      <c r="T25" s="262" t="str">
        <f>IF(ISBLANK('RESUMEN VIGILANCIA'!S21),"",'RESUMEN VIGILANCIA'!S21)</f>
        <v/>
      </c>
      <c r="U25" s="262" t="str">
        <f>IF(ISBLANK('RESUMEN VIGILANCIA'!T21),"",'RESUMEN VIGILANCIA'!T21)</f>
        <v/>
      </c>
      <c r="V25" s="262" t="str">
        <f>IF(ISBLANK('RESUMEN VIGILANCIA'!U21),"",'RESUMEN VIGILANCIA'!U21)</f>
        <v/>
      </c>
      <c r="W25" s="262" t="str">
        <f>IF(ISBLANK('RESUMEN VIGILANCIA'!V21),"",'RESUMEN VIGILANCIA'!V21)</f>
        <v/>
      </c>
      <c r="X25" s="262" t="str">
        <f>IF(ISBLANK('RESUMEN VIGILANCIA'!W21),"",'RESUMEN VIGILANCIA'!W21)</f>
        <v/>
      </c>
      <c r="Y25" s="262" t="str">
        <f>IF(ISBLANK('RESUMEN VIGILANCIA'!X21),"",'RESUMEN VIGILANCIA'!X21)</f>
        <v/>
      </c>
      <c r="Z25" s="451" t="str">
        <f>IF(ISBLANK('RESUMEN VIGILANCIA'!Y21),"",'RESUMEN VIGILANCIA'!Y21)</f>
        <v/>
      </c>
      <c r="AA25" s="451" t="str">
        <f>IF(ISBLANK('RESUMEN VIGILANCIA'!Z21),"",'RESUMEN VIGILANCIA'!Z21)</f>
        <v/>
      </c>
      <c r="AB25" s="451" t="str">
        <f>IF(ISBLANK('RESUMEN VIGILANCIA'!AA21),"",'RESUMEN VIGILANCIA'!AA21)</f>
        <v/>
      </c>
      <c r="AC25" s="452" t="str">
        <f>IF(ISBLANK('RESUMEN VIGILANCIA'!AB21),"",'RESUMEN VIGILANCIA'!AB21)</f>
        <v/>
      </c>
      <c r="AD25" s="382" t="str">
        <f>IF(ISBLANK('RESUMEN VIGILANCIA'!AC21),"",'RESUMEN VIGILANCIA'!AC21)</f>
        <v/>
      </c>
      <c r="AE25" s="383" t="str">
        <f>IF(ISBLANK('RESUMEN VIGILANCIA'!AD21),"",'RESUMEN VIGILANCIA'!AD21)</f>
        <v/>
      </c>
      <c r="AF25" s="383" t="str">
        <f>IF(ISBLANK('RESUMEN VIGILANCIA'!AE21),"",'RESUMEN VIGILANCIA'!AE21)</f>
        <v/>
      </c>
      <c r="AG25" s="383" t="str">
        <f>IF(ISBLANK('RESUMEN VIGILANCIA'!AF21),"",'RESUMEN VIGILANCIA'!AF21)</f>
        <v/>
      </c>
      <c r="AH25" s="383" t="str">
        <f>IF(ISBLANK('RESUMEN VIGILANCIA'!AG21),"",'RESUMEN VIGILANCIA'!AG21)</f>
        <v/>
      </c>
      <c r="AI25" s="383" t="str">
        <f>IF(ISBLANK('RESUMEN VIGILANCIA'!AH21),"",'RESUMEN VIGILANCIA'!AH21)</f>
        <v/>
      </c>
      <c r="AJ25" s="383" t="str">
        <f>IF(ISBLANK('RESUMEN VIGILANCIA'!AI21),"",'RESUMEN VIGILANCIA'!AI21)</f>
        <v/>
      </c>
      <c r="AK25" s="383" t="str">
        <f>IF(ISBLANK('RESUMEN VIGILANCIA'!AJ21),"",'RESUMEN VIGILANCIA'!AJ21)</f>
        <v/>
      </c>
      <c r="AL25" s="383" t="str">
        <f>IF(ISBLANK('RESUMEN VIGILANCIA'!AK21),"",'RESUMEN VIGILANCIA'!AK21)</f>
        <v/>
      </c>
      <c r="AM25" s="383" t="str">
        <f>IF(ISBLANK('RESUMEN VIGILANCIA'!AL21),"",'RESUMEN VIGILANCIA'!AL21)</f>
        <v/>
      </c>
      <c r="AN25" s="383" t="str">
        <f>IF(ISBLANK('RESUMEN VIGILANCIA'!AM21),"",'RESUMEN VIGILANCIA'!AM21)</f>
        <v/>
      </c>
      <c r="AO25" s="384" t="str">
        <f>IF(ISBLANK('RESUMEN VIGILANCIA'!AN21),"",'RESUMEN VIGILANCIA'!AN21)</f>
        <v/>
      </c>
      <c r="AP25" s="382" t="str">
        <f>IF(ISBLANK('RESUMEN VIGILANCIA'!AO21),"",'RESUMEN VIGILANCIA'!AO21)</f>
        <v/>
      </c>
      <c r="AQ25" s="383" t="str">
        <f>IF(ISBLANK('RESUMEN VIGILANCIA'!AP21),"",'RESUMEN VIGILANCIA'!AP21)</f>
        <v/>
      </c>
      <c r="AR25" s="383" t="str">
        <f>IF(ISBLANK('RESUMEN VIGILANCIA'!AQ21),"",'RESUMEN VIGILANCIA'!AQ21)</f>
        <v/>
      </c>
      <c r="AS25" s="383" t="str">
        <f>IF(ISBLANK('RESUMEN VIGILANCIA'!AR21),"",'RESUMEN VIGILANCIA'!AR21)</f>
        <v/>
      </c>
      <c r="AT25" s="383" t="str">
        <f>IF(ISBLANK('RESUMEN VIGILANCIA'!AS21),"",'RESUMEN VIGILANCIA'!AS21)</f>
        <v/>
      </c>
      <c r="AU25" s="383" t="str">
        <f>IF(ISBLANK('RESUMEN VIGILANCIA'!AT21),"",'RESUMEN VIGILANCIA'!AT21)</f>
        <v/>
      </c>
      <c r="AV25" s="383" t="str">
        <f>IF(ISBLANK('RESUMEN VIGILANCIA'!AU21),"",'RESUMEN VIGILANCIA'!AU21)</f>
        <v/>
      </c>
      <c r="AW25" s="383" t="str">
        <f>IF(ISBLANK('RESUMEN VIGILANCIA'!AV21),"",'RESUMEN VIGILANCIA'!AV21)</f>
        <v/>
      </c>
      <c r="AX25" s="383" t="str">
        <f>IF(ISBLANK('RESUMEN VIGILANCIA'!AW21),"",'RESUMEN VIGILANCIA'!AW21)</f>
        <v/>
      </c>
      <c r="AY25" s="383" t="str">
        <f>IF(ISBLANK('RESUMEN VIGILANCIA'!AX21),"",'RESUMEN VIGILANCIA'!AX21)</f>
        <v/>
      </c>
      <c r="AZ25" s="383" t="str">
        <f>IF(ISBLANK('RESUMEN VIGILANCIA'!AY21),"",'RESUMEN VIGILANCIA'!AY21)</f>
        <v/>
      </c>
      <c r="BA25" s="384" t="str">
        <f>IF(ISBLANK('RESUMEN VIGILANCIA'!AZ21),"",'RESUMEN VIGILANCIA'!AZ21)</f>
        <v/>
      </c>
      <c r="BB25" s="241">
        <f t="shared" si="0"/>
        <v>0</v>
      </c>
      <c r="BC25" s="108"/>
      <c r="BD25" s="108"/>
    </row>
    <row r="26" spans="1:56" s="28" customFormat="1" ht="20.100000000000001" customHeight="1">
      <c r="A26" s="36" t="str">
        <f>'RESUMEN VIGILANCIA'!A22</f>
        <v>Familia Delgado</v>
      </c>
      <c r="B26" s="37" t="str">
        <f>'RESUMEN VIGILANCIA'!B22</f>
        <v>Calle Guacara Nro. 87-19</v>
      </c>
      <c r="C26" s="425"/>
      <c r="D26" s="432" t="s">
        <v>1357</v>
      </c>
      <c r="E26" s="413" t="str">
        <f>IF(ISBLANK('RESUMEN VIGILANCIA'!D22),"",'RESUMEN VIGILANCIA'!D22)</f>
        <v/>
      </c>
      <c r="F26" s="261" t="str">
        <f>IF(ISBLANK('RESUMEN VIGILANCIA'!E22),"",'RESUMEN VIGILANCIA'!E22)</f>
        <v/>
      </c>
      <c r="G26" s="197" t="str">
        <f>IF(ISBLANK('RESUMEN VIGILANCIA'!F22),"",'RESUMEN VIGILANCIA'!F22)</f>
        <v/>
      </c>
      <c r="H26" s="197" t="str">
        <f>IF(ISBLANK('RESUMEN VIGILANCIA'!G22),"",'RESUMEN VIGILANCIA'!G22)</f>
        <v/>
      </c>
      <c r="I26" s="197" t="str">
        <f>IF(ISBLANK('RESUMEN VIGILANCIA'!H22),"",'RESUMEN VIGILANCIA'!H22)</f>
        <v/>
      </c>
      <c r="J26" s="197" t="str">
        <f>IF(ISBLANK('RESUMEN VIGILANCIA'!I22),"",'RESUMEN VIGILANCIA'!I22)</f>
        <v/>
      </c>
      <c r="K26" s="197" t="str">
        <f>IF(ISBLANK('RESUMEN VIGILANCIA'!J22),"",'RESUMEN VIGILANCIA'!J22)</f>
        <v/>
      </c>
      <c r="L26" s="197" t="str">
        <f>IF(ISBLANK('RESUMEN VIGILANCIA'!K22),"",'RESUMEN VIGILANCIA'!K22)</f>
        <v/>
      </c>
      <c r="M26" s="197" t="str">
        <f>IF(ISBLANK('RESUMEN VIGILANCIA'!L22),"",'RESUMEN VIGILANCIA'!L22)</f>
        <v/>
      </c>
      <c r="N26" s="197" t="str">
        <f>IF(ISBLANK('RESUMEN VIGILANCIA'!M22),"",'RESUMEN VIGILANCIA'!M22)</f>
        <v/>
      </c>
      <c r="O26" s="197" t="str">
        <f>IF(ISBLANK('RESUMEN VIGILANCIA'!N22),"",'RESUMEN VIGILANCIA'!N22)</f>
        <v/>
      </c>
      <c r="P26" s="262" t="str">
        <f>IF(ISBLANK('RESUMEN VIGILANCIA'!O22),"",'RESUMEN VIGILANCIA'!O22)</f>
        <v/>
      </c>
      <c r="Q26" s="195" t="str">
        <f>IF(ISBLANK('RESUMEN VIGILANCIA'!P22),"",'RESUMEN VIGILANCIA'!P22)</f>
        <v/>
      </c>
      <c r="R26" s="263" t="str">
        <f>IF(ISBLANK('RESUMEN VIGILANCIA'!Q22),"",'RESUMEN VIGILANCIA'!Q22)</f>
        <v/>
      </c>
      <c r="S26" s="262" t="str">
        <f>IF(ISBLANK('RESUMEN VIGILANCIA'!R22),"",'RESUMEN VIGILANCIA'!R22)</f>
        <v/>
      </c>
      <c r="T26" s="262" t="str">
        <f>IF(ISBLANK('RESUMEN VIGILANCIA'!S22),"",'RESUMEN VIGILANCIA'!S22)</f>
        <v/>
      </c>
      <c r="U26" s="262" t="str">
        <f>IF(ISBLANK('RESUMEN VIGILANCIA'!T22),"",'RESUMEN VIGILANCIA'!T22)</f>
        <v/>
      </c>
      <c r="V26" s="262" t="str">
        <f>IF(ISBLANK('RESUMEN VIGILANCIA'!U22),"",'RESUMEN VIGILANCIA'!U22)</f>
        <v/>
      </c>
      <c r="W26" s="262" t="str">
        <f>IF(ISBLANK('RESUMEN VIGILANCIA'!V22),"",'RESUMEN VIGILANCIA'!V22)</f>
        <v/>
      </c>
      <c r="X26" s="262" t="str">
        <f>IF(ISBLANK('RESUMEN VIGILANCIA'!W22),"",'RESUMEN VIGILANCIA'!W22)</f>
        <v/>
      </c>
      <c r="Y26" s="262" t="str">
        <f>IF(ISBLANK('RESUMEN VIGILANCIA'!X22),"",'RESUMEN VIGILANCIA'!X22)</f>
        <v/>
      </c>
      <c r="Z26" s="451" t="str">
        <f>IF(ISBLANK('RESUMEN VIGILANCIA'!Y22),"",'RESUMEN VIGILANCIA'!Y22)</f>
        <v/>
      </c>
      <c r="AA26" s="451" t="str">
        <f>IF(ISBLANK('RESUMEN VIGILANCIA'!Z22),"",'RESUMEN VIGILANCIA'!Z22)</f>
        <v/>
      </c>
      <c r="AB26" s="451" t="str">
        <f>IF(ISBLANK('RESUMEN VIGILANCIA'!AA22),"",'RESUMEN VIGILANCIA'!AA22)</f>
        <v/>
      </c>
      <c r="AC26" s="452" t="str">
        <f>IF(ISBLANK('RESUMEN VIGILANCIA'!AB22),"",'RESUMEN VIGILANCIA'!AB22)</f>
        <v/>
      </c>
      <c r="AD26" s="382" t="str">
        <f>IF(ISBLANK('RESUMEN VIGILANCIA'!AC22),"",'RESUMEN VIGILANCIA'!AC22)</f>
        <v/>
      </c>
      <c r="AE26" s="383" t="str">
        <f>IF(ISBLANK('RESUMEN VIGILANCIA'!AD22),"",'RESUMEN VIGILANCIA'!AD22)</f>
        <v/>
      </c>
      <c r="AF26" s="383" t="str">
        <f>IF(ISBLANK('RESUMEN VIGILANCIA'!AE22),"",'RESUMEN VIGILANCIA'!AE22)</f>
        <v/>
      </c>
      <c r="AG26" s="383" t="str">
        <f>IF(ISBLANK('RESUMEN VIGILANCIA'!AF22),"",'RESUMEN VIGILANCIA'!AF22)</f>
        <v/>
      </c>
      <c r="AH26" s="383" t="str">
        <f>IF(ISBLANK('RESUMEN VIGILANCIA'!AG22),"",'RESUMEN VIGILANCIA'!AG22)</f>
        <v/>
      </c>
      <c r="AI26" s="383" t="str">
        <f>IF(ISBLANK('RESUMEN VIGILANCIA'!AH22),"",'RESUMEN VIGILANCIA'!AH22)</f>
        <v/>
      </c>
      <c r="AJ26" s="383" t="str">
        <f>IF(ISBLANK('RESUMEN VIGILANCIA'!AI22),"",'RESUMEN VIGILANCIA'!AI22)</f>
        <v/>
      </c>
      <c r="AK26" s="383" t="str">
        <f>IF(ISBLANK('RESUMEN VIGILANCIA'!AJ22),"",'RESUMEN VIGILANCIA'!AJ22)</f>
        <v/>
      </c>
      <c r="AL26" s="383" t="str">
        <f>IF(ISBLANK('RESUMEN VIGILANCIA'!AK22),"",'RESUMEN VIGILANCIA'!AK22)</f>
        <v/>
      </c>
      <c r="AM26" s="383" t="str">
        <f>IF(ISBLANK('RESUMEN VIGILANCIA'!AL22),"",'RESUMEN VIGILANCIA'!AL22)</f>
        <v/>
      </c>
      <c r="AN26" s="383" t="str">
        <f>IF(ISBLANK('RESUMEN VIGILANCIA'!AM22),"",'RESUMEN VIGILANCIA'!AM22)</f>
        <v/>
      </c>
      <c r="AO26" s="384" t="str">
        <f>IF(ISBLANK('RESUMEN VIGILANCIA'!AN22),"",'RESUMEN VIGILANCIA'!AN22)</f>
        <v/>
      </c>
      <c r="AP26" s="382" t="str">
        <f>IF(ISBLANK('RESUMEN VIGILANCIA'!AO22),"",'RESUMEN VIGILANCIA'!AO22)</f>
        <v/>
      </c>
      <c r="AQ26" s="383" t="str">
        <f>IF(ISBLANK('RESUMEN VIGILANCIA'!AP22),"",'RESUMEN VIGILANCIA'!AP22)</f>
        <v/>
      </c>
      <c r="AR26" s="383" t="str">
        <f>IF(ISBLANK('RESUMEN VIGILANCIA'!AQ22),"",'RESUMEN VIGILANCIA'!AQ22)</f>
        <v/>
      </c>
      <c r="AS26" s="383" t="str">
        <f>IF(ISBLANK('RESUMEN VIGILANCIA'!AR22),"",'RESUMEN VIGILANCIA'!AR22)</f>
        <v/>
      </c>
      <c r="AT26" s="383" t="str">
        <f>IF(ISBLANK('RESUMEN VIGILANCIA'!AS22),"",'RESUMEN VIGILANCIA'!AS22)</f>
        <v/>
      </c>
      <c r="AU26" s="383" t="str">
        <f>IF(ISBLANK('RESUMEN VIGILANCIA'!AT22),"",'RESUMEN VIGILANCIA'!AT22)</f>
        <v/>
      </c>
      <c r="AV26" s="383" t="str">
        <f>IF(ISBLANK('RESUMEN VIGILANCIA'!AU22),"",'RESUMEN VIGILANCIA'!AU22)</f>
        <v/>
      </c>
      <c r="AW26" s="383" t="str">
        <f>IF(ISBLANK('RESUMEN VIGILANCIA'!AV22),"",'RESUMEN VIGILANCIA'!AV22)</f>
        <v/>
      </c>
      <c r="AX26" s="383" t="str">
        <f>IF(ISBLANK('RESUMEN VIGILANCIA'!AW22),"",'RESUMEN VIGILANCIA'!AW22)</f>
        <v/>
      </c>
      <c r="AY26" s="383" t="str">
        <f>IF(ISBLANK('RESUMEN VIGILANCIA'!AX22),"",'RESUMEN VIGILANCIA'!AX22)</f>
        <v/>
      </c>
      <c r="AZ26" s="383" t="str">
        <f>IF(ISBLANK('RESUMEN VIGILANCIA'!AY22),"",'RESUMEN VIGILANCIA'!AY22)</f>
        <v/>
      </c>
      <c r="BA26" s="384" t="str">
        <f>IF(ISBLANK('RESUMEN VIGILANCIA'!AZ22),"",'RESUMEN VIGILANCIA'!AZ22)</f>
        <v/>
      </c>
      <c r="BB26" s="241">
        <f t="shared" si="0"/>
        <v>0</v>
      </c>
      <c r="BC26" s="108"/>
      <c r="BD26" s="108"/>
    </row>
    <row r="27" spans="1:56" s="28" customFormat="1" ht="20.100000000000001" customHeight="1">
      <c r="A27" s="36" t="str">
        <f>'RESUMEN VIGILANCIA'!A23</f>
        <v>Familia Pereira</v>
      </c>
      <c r="B27" s="37" t="str">
        <f>'RESUMEN VIGILANCIA'!B23</f>
        <v>Calle Guacara Nro. 87-27</v>
      </c>
      <c r="C27" s="425"/>
      <c r="D27" s="432" t="s">
        <v>1357</v>
      </c>
      <c r="E27" s="413" t="str">
        <f>IF(ISBLANK('RESUMEN VIGILANCIA'!D23),"",'RESUMEN VIGILANCIA'!D23)</f>
        <v/>
      </c>
      <c r="F27" s="261" t="str">
        <f>IF(ISBLANK('RESUMEN VIGILANCIA'!E23),"",'RESUMEN VIGILANCIA'!E23)</f>
        <v/>
      </c>
      <c r="G27" s="197" t="str">
        <f>IF(ISBLANK('RESUMEN VIGILANCIA'!F23),"",'RESUMEN VIGILANCIA'!F23)</f>
        <v/>
      </c>
      <c r="H27" s="197" t="str">
        <f>IF(ISBLANK('RESUMEN VIGILANCIA'!G23),"",'RESUMEN VIGILANCIA'!G23)</f>
        <v/>
      </c>
      <c r="I27" s="197" t="str">
        <f>IF(ISBLANK('RESUMEN VIGILANCIA'!H23),"",'RESUMEN VIGILANCIA'!H23)</f>
        <v/>
      </c>
      <c r="J27" s="197" t="str">
        <f>IF(ISBLANK('RESUMEN VIGILANCIA'!I23),"",'RESUMEN VIGILANCIA'!I23)</f>
        <v/>
      </c>
      <c r="K27" s="197" t="str">
        <f>IF(ISBLANK('RESUMEN VIGILANCIA'!J23),"",'RESUMEN VIGILANCIA'!J23)</f>
        <v/>
      </c>
      <c r="L27" s="197" t="str">
        <f>IF(ISBLANK('RESUMEN VIGILANCIA'!K23),"",'RESUMEN VIGILANCIA'!K23)</f>
        <v/>
      </c>
      <c r="M27" s="197" t="str">
        <f>IF(ISBLANK('RESUMEN VIGILANCIA'!L23),"",'RESUMEN VIGILANCIA'!L23)</f>
        <v/>
      </c>
      <c r="N27" s="197" t="str">
        <f>IF(ISBLANK('RESUMEN VIGILANCIA'!M23),"",'RESUMEN VIGILANCIA'!M23)</f>
        <v/>
      </c>
      <c r="O27" s="197" t="str">
        <f>IF(ISBLANK('RESUMEN VIGILANCIA'!N23),"",'RESUMEN VIGILANCIA'!N23)</f>
        <v/>
      </c>
      <c r="P27" s="262" t="str">
        <f>IF(ISBLANK('RESUMEN VIGILANCIA'!O23),"",'RESUMEN VIGILANCIA'!O23)</f>
        <v/>
      </c>
      <c r="Q27" s="195" t="str">
        <f>IF(ISBLANK('RESUMEN VIGILANCIA'!P23),"",'RESUMEN VIGILANCIA'!P23)</f>
        <v/>
      </c>
      <c r="R27" s="263" t="str">
        <f>IF(ISBLANK('RESUMEN VIGILANCIA'!Q23),"",'RESUMEN VIGILANCIA'!Q23)</f>
        <v/>
      </c>
      <c r="S27" s="262" t="str">
        <f>IF(ISBLANK('RESUMEN VIGILANCIA'!R23),"",'RESUMEN VIGILANCIA'!R23)</f>
        <v/>
      </c>
      <c r="T27" s="262" t="str">
        <f>IF(ISBLANK('RESUMEN VIGILANCIA'!S23),"",'RESUMEN VIGILANCIA'!S23)</f>
        <v/>
      </c>
      <c r="U27" s="262" t="str">
        <f>IF(ISBLANK('RESUMEN VIGILANCIA'!T23),"",'RESUMEN VIGILANCIA'!T23)</f>
        <v/>
      </c>
      <c r="V27" s="262" t="str">
        <f>IF(ISBLANK('RESUMEN VIGILANCIA'!U23),"",'RESUMEN VIGILANCIA'!U23)</f>
        <v/>
      </c>
      <c r="W27" s="262" t="str">
        <f>IF(ISBLANK('RESUMEN VIGILANCIA'!V23),"",'RESUMEN VIGILANCIA'!V23)</f>
        <v/>
      </c>
      <c r="X27" s="262" t="str">
        <f>IF(ISBLANK('RESUMEN VIGILANCIA'!W23),"",'RESUMEN VIGILANCIA'!W23)</f>
        <v/>
      </c>
      <c r="Y27" s="262" t="str">
        <f>IF(ISBLANK('RESUMEN VIGILANCIA'!X23),"",'RESUMEN VIGILANCIA'!X23)</f>
        <v/>
      </c>
      <c r="Z27" s="451" t="str">
        <f>IF(ISBLANK('RESUMEN VIGILANCIA'!Y23),"",'RESUMEN VIGILANCIA'!Y23)</f>
        <v/>
      </c>
      <c r="AA27" s="451" t="str">
        <f>IF(ISBLANK('RESUMEN VIGILANCIA'!Z23),"",'RESUMEN VIGILANCIA'!Z23)</f>
        <v/>
      </c>
      <c r="AB27" s="451" t="str">
        <f>IF(ISBLANK('RESUMEN VIGILANCIA'!AA23),"",'RESUMEN VIGILANCIA'!AA23)</f>
        <v/>
      </c>
      <c r="AC27" s="452" t="str">
        <f>IF(ISBLANK('RESUMEN VIGILANCIA'!AB23),"",'RESUMEN VIGILANCIA'!AB23)</f>
        <v/>
      </c>
      <c r="AD27" s="382" t="str">
        <f>IF(ISBLANK('RESUMEN VIGILANCIA'!AC23),"",'RESUMEN VIGILANCIA'!AC23)</f>
        <v/>
      </c>
      <c r="AE27" s="383" t="str">
        <f>IF(ISBLANK('RESUMEN VIGILANCIA'!AD23),"",'RESUMEN VIGILANCIA'!AD23)</f>
        <v/>
      </c>
      <c r="AF27" s="383" t="str">
        <f>IF(ISBLANK('RESUMEN VIGILANCIA'!AE23),"",'RESUMEN VIGILANCIA'!AE23)</f>
        <v/>
      </c>
      <c r="AG27" s="383" t="str">
        <f>IF(ISBLANK('RESUMEN VIGILANCIA'!AF23),"",'RESUMEN VIGILANCIA'!AF23)</f>
        <v/>
      </c>
      <c r="AH27" s="383" t="str">
        <f>IF(ISBLANK('RESUMEN VIGILANCIA'!AG23),"",'RESUMEN VIGILANCIA'!AG23)</f>
        <v/>
      </c>
      <c r="AI27" s="383" t="str">
        <f>IF(ISBLANK('RESUMEN VIGILANCIA'!AH23),"",'RESUMEN VIGILANCIA'!AH23)</f>
        <v/>
      </c>
      <c r="AJ27" s="383" t="str">
        <f>IF(ISBLANK('RESUMEN VIGILANCIA'!AI23),"",'RESUMEN VIGILANCIA'!AI23)</f>
        <v/>
      </c>
      <c r="AK27" s="383" t="str">
        <f>IF(ISBLANK('RESUMEN VIGILANCIA'!AJ23),"",'RESUMEN VIGILANCIA'!AJ23)</f>
        <v/>
      </c>
      <c r="AL27" s="383" t="str">
        <f>IF(ISBLANK('RESUMEN VIGILANCIA'!AK23),"",'RESUMEN VIGILANCIA'!AK23)</f>
        <v/>
      </c>
      <c r="AM27" s="383" t="str">
        <f>IF(ISBLANK('RESUMEN VIGILANCIA'!AL23),"",'RESUMEN VIGILANCIA'!AL23)</f>
        <v/>
      </c>
      <c r="AN27" s="383" t="str">
        <f>IF(ISBLANK('RESUMEN VIGILANCIA'!AM23),"",'RESUMEN VIGILANCIA'!AM23)</f>
        <v/>
      </c>
      <c r="AO27" s="384" t="str">
        <f>IF(ISBLANK('RESUMEN VIGILANCIA'!AN23),"",'RESUMEN VIGILANCIA'!AN23)</f>
        <v/>
      </c>
      <c r="AP27" s="382" t="str">
        <f>IF(ISBLANK('RESUMEN VIGILANCIA'!AO23),"",'RESUMEN VIGILANCIA'!AO23)</f>
        <v/>
      </c>
      <c r="AQ27" s="383" t="str">
        <f>IF(ISBLANK('RESUMEN VIGILANCIA'!AP23),"",'RESUMEN VIGILANCIA'!AP23)</f>
        <v/>
      </c>
      <c r="AR27" s="383" t="str">
        <f>IF(ISBLANK('RESUMEN VIGILANCIA'!AQ23),"",'RESUMEN VIGILANCIA'!AQ23)</f>
        <v/>
      </c>
      <c r="AS27" s="383" t="str">
        <f>IF(ISBLANK('RESUMEN VIGILANCIA'!AR23),"",'RESUMEN VIGILANCIA'!AR23)</f>
        <v/>
      </c>
      <c r="AT27" s="383" t="str">
        <f>IF(ISBLANK('RESUMEN VIGILANCIA'!AS23),"",'RESUMEN VIGILANCIA'!AS23)</f>
        <v/>
      </c>
      <c r="AU27" s="383" t="str">
        <f>IF(ISBLANK('RESUMEN VIGILANCIA'!AT23),"",'RESUMEN VIGILANCIA'!AT23)</f>
        <v/>
      </c>
      <c r="AV27" s="383" t="str">
        <f>IF(ISBLANK('RESUMEN VIGILANCIA'!AU23),"",'RESUMEN VIGILANCIA'!AU23)</f>
        <v/>
      </c>
      <c r="AW27" s="383" t="str">
        <f>IF(ISBLANK('RESUMEN VIGILANCIA'!AV23),"",'RESUMEN VIGILANCIA'!AV23)</f>
        <v/>
      </c>
      <c r="AX27" s="383" t="str">
        <f>IF(ISBLANK('RESUMEN VIGILANCIA'!AW23),"",'RESUMEN VIGILANCIA'!AW23)</f>
        <v/>
      </c>
      <c r="AY27" s="383" t="str">
        <f>IF(ISBLANK('RESUMEN VIGILANCIA'!AX23),"",'RESUMEN VIGILANCIA'!AX23)</f>
        <v/>
      </c>
      <c r="AZ27" s="383" t="str">
        <f>IF(ISBLANK('RESUMEN VIGILANCIA'!AY23),"",'RESUMEN VIGILANCIA'!AY23)</f>
        <v/>
      </c>
      <c r="BA27" s="384" t="str">
        <f>IF(ISBLANK('RESUMEN VIGILANCIA'!AZ23),"",'RESUMEN VIGILANCIA'!AZ23)</f>
        <v/>
      </c>
      <c r="BB27" s="241">
        <f t="shared" si="0"/>
        <v>0</v>
      </c>
      <c r="BC27" s="108"/>
      <c r="BD27" s="108"/>
    </row>
    <row r="28" spans="1:56" s="28" customFormat="1" ht="20.100000000000001" customHeight="1">
      <c r="A28" s="36" t="str">
        <f>'RESUMEN VIGILANCIA'!A25</f>
        <v>Familia Morillo</v>
      </c>
      <c r="B28" s="37" t="str">
        <f>'RESUMEN VIGILANCIA'!B25</f>
        <v>Calle Guacara Nro. 87-35</v>
      </c>
      <c r="C28" s="425"/>
      <c r="D28" s="432" t="s">
        <v>1357</v>
      </c>
      <c r="E28" s="413" t="str">
        <f>IF(ISBLANK('RESUMEN VIGILANCIA'!D25),"",'RESUMEN VIGILANCIA'!D25)</f>
        <v/>
      </c>
      <c r="F28" s="261" t="str">
        <f>IF(ISBLANK('RESUMEN VIGILANCIA'!E25),"",'RESUMEN VIGILANCIA'!E25)</f>
        <v/>
      </c>
      <c r="G28" s="197" t="str">
        <f>IF(ISBLANK('RESUMEN VIGILANCIA'!F25),"",'RESUMEN VIGILANCIA'!F25)</f>
        <v/>
      </c>
      <c r="H28" s="197" t="str">
        <f>IF(ISBLANK('RESUMEN VIGILANCIA'!G25),"",'RESUMEN VIGILANCIA'!G25)</f>
        <v/>
      </c>
      <c r="I28" s="197" t="str">
        <f>IF(ISBLANK('RESUMEN VIGILANCIA'!H25),"",'RESUMEN VIGILANCIA'!H25)</f>
        <v/>
      </c>
      <c r="J28" s="197" t="str">
        <f>IF(ISBLANK('RESUMEN VIGILANCIA'!I25),"",'RESUMEN VIGILANCIA'!I25)</f>
        <v/>
      </c>
      <c r="K28" s="197" t="str">
        <f>IF(ISBLANK('RESUMEN VIGILANCIA'!J25),"",'RESUMEN VIGILANCIA'!J25)</f>
        <v/>
      </c>
      <c r="L28" s="197" t="str">
        <f>IF(ISBLANK('RESUMEN VIGILANCIA'!K25),"",'RESUMEN VIGILANCIA'!K25)</f>
        <v/>
      </c>
      <c r="M28" s="197" t="str">
        <f>IF(ISBLANK('RESUMEN VIGILANCIA'!L25),"",'RESUMEN VIGILANCIA'!L25)</f>
        <v/>
      </c>
      <c r="N28" s="197" t="str">
        <f>IF(ISBLANK('RESUMEN VIGILANCIA'!M25),"",'RESUMEN VIGILANCIA'!M25)</f>
        <v/>
      </c>
      <c r="O28" s="197" t="str">
        <f>IF(ISBLANK('RESUMEN VIGILANCIA'!N25),"",'RESUMEN VIGILANCIA'!N25)</f>
        <v/>
      </c>
      <c r="P28" s="262" t="str">
        <f>IF(ISBLANK('RESUMEN VIGILANCIA'!O25),"",'RESUMEN VIGILANCIA'!O25)</f>
        <v/>
      </c>
      <c r="Q28" s="195" t="str">
        <f>IF(ISBLANK('RESUMEN VIGILANCIA'!P25),"",'RESUMEN VIGILANCIA'!P25)</f>
        <v/>
      </c>
      <c r="R28" s="263" t="str">
        <f>IF(ISBLANK('RESUMEN VIGILANCIA'!Q25),"",'RESUMEN VIGILANCIA'!Q25)</f>
        <v/>
      </c>
      <c r="S28" s="262" t="str">
        <f>IF(ISBLANK('RESUMEN VIGILANCIA'!R25),"",'RESUMEN VIGILANCIA'!R25)</f>
        <v/>
      </c>
      <c r="T28" s="262" t="str">
        <f>IF(ISBLANK('RESUMEN VIGILANCIA'!S25),"",'RESUMEN VIGILANCIA'!S25)</f>
        <v/>
      </c>
      <c r="U28" s="262" t="str">
        <f>IF(ISBLANK('RESUMEN VIGILANCIA'!T25),"",'RESUMEN VIGILANCIA'!T25)</f>
        <v/>
      </c>
      <c r="V28" s="262" t="str">
        <f>IF(ISBLANK('RESUMEN VIGILANCIA'!U25),"",'RESUMEN VIGILANCIA'!U25)</f>
        <v/>
      </c>
      <c r="W28" s="262" t="str">
        <f>IF(ISBLANK('RESUMEN VIGILANCIA'!V25),"",'RESUMEN VIGILANCIA'!V25)</f>
        <v/>
      </c>
      <c r="X28" s="262" t="str">
        <f>IF(ISBLANK('RESUMEN VIGILANCIA'!W25),"",'RESUMEN VIGILANCIA'!W25)</f>
        <v/>
      </c>
      <c r="Y28" s="262" t="str">
        <f>IF(ISBLANK('RESUMEN VIGILANCIA'!X25),"",'RESUMEN VIGILANCIA'!X25)</f>
        <v/>
      </c>
      <c r="Z28" s="451" t="str">
        <f>IF(ISBLANK('RESUMEN VIGILANCIA'!Y25),"",'RESUMEN VIGILANCIA'!Y25)</f>
        <v/>
      </c>
      <c r="AA28" s="451" t="str">
        <f>IF(ISBLANK('RESUMEN VIGILANCIA'!Z25),"",'RESUMEN VIGILANCIA'!Z25)</f>
        <v/>
      </c>
      <c r="AB28" s="451" t="str">
        <f>IF(ISBLANK('RESUMEN VIGILANCIA'!AA25),"",'RESUMEN VIGILANCIA'!AA25)</f>
        <v/>
      </c>
      <c r="AC28" s="452" t="str">
        <f>IF(ISBLANK('RESUMEN VIGILANCIA'!AB25),"",'RESUMEN VIGILANCIA'!AB25)</f>
        <v/>
      </c>
      <c r="AD28" s="382" t="str">
        <f>IF(ISBLANK('RESUMEN VIGILANCIA'!AC25),"",'RESUMEN VIGILANCIA'!AC25)</f>
        <v/>
      </c>
      <c r="AE28" s="383" t="str">
        <f>IF(ISBLANK('RESUMEN VIGILANCIA'!AD25),"",'RESUMEN VIGILANCIA'!AD25)</f>
        <v/>
      </c>
      <c r="AF28" s="383" t="str">
        <f>IF(ISBLANK('RESUMEN VIGILANCIA'!AE25),"",'RESUMEN VIGILANCIA'!AE25)</f>
        <v/>
      </c>
      <c r="AG28" s="383" t="str">
        <f>IF(ISBLANK('RESUMEN VIGILANCIA'!AF25),"",'RESUMEN VIGILANCIA'!AF25)</f>
        <v/>
      </c>
      <c r="AH28" s="383" t="str">
        <f>IF(ISBLANK('RESUMEN VIGILANCIA'!AG25),"",'RESUMEN VIGILANCIA'!AG25)</f>
        <v/>
      </c>
      <c r="AI28" s="383" t="str">
        <f>IF(ISBLANK('RESUMEN VIGILANCIA'!AH25),"",'RESUMEN VIGILANCIA'!AH25)</f>
        <v/>
      </c>
      <c r="AJ28" s="383" t="str">
        <f>IF(ISBLANK('RESUMEN VIGILANCIA'!AI25),"",'RESUMEN VIGILANCIA'!AI25)</f>
        <v/>
      </c>
      <c r="AK28" s="383" t="str">
        <f>IF(ISBLANK('RESUMEN VIGILANCIA'!AJ25),"",'RESUMEN VIGILANCIA'!AJ25)</f>
        <v/>
      </c>
      <c r="AL28" s="383" t="str">
        <f>IF(ISBLANK('RESUMEN VIGILANCIA'!AK25),"",'RESUMEN VIGILANCIA'!AK25)</f>
        <v/>
      </c>
      <c r="AM28" s="383" t="str">
        <f>IF(ISBLANK('RESUMEN VIGILANCIA'!AL25),"",'RESUMEN VIGILANCIA'!AL25)</f>
        <v/>
      </c>
      <c r="AN28" s="383" t="str">
        <f>IF(ISBLANK('RESUMEN VIGILANCIA'!AM25),"",'RESUMEN VIGILANCIA'!AM25)</f>
        <v/>
      </c>
      <c r="AO28" s="384" t="str">
        <f>IF(ISBLANK('RESUMEN VIGILANCIA'!AN25),"",'RESUMEN VIGILANCIA'!AN25)</f>
        <v/>
      </c>
      <c r="AP28" s="382" t="str">
        <f>IF(ISBLANK('RESUMEN VIGILANCIA'!AO25),"",'RESUMEN VIGILANCIA'!AO25)</f>
        <v/>
      </c>
      <c r="AQ28" s="383" t="str">
        <f>IF(ISBLANK('RESUMEN VIGILANCIA'!AP25),"",'RESUMEN VIGILANCIA'!AP25)</f>
        <v/>
      </c>
      <c r="AR28" s="383" t="str">
        <f>IF(ISBLANK('RESUMEN VIGILANCIA'!AQ25),"",'RESUMEN VIGILANCIA'!AQ25)</f>
        <v/>
      </c>
      <c r="AS28" s="383" t="str">
        <f>IF(ISBLANK('RESUMEN VIGILANCIA'!AR25),"",'RESUMEN VIGILANCIA'!AR25)</f>
        <v/>
      </c>
      <c r="AT28" s="383" t="str">
        <f>IF(ISBLANK('RESUMEN VIGILANCIA'!AS25),"",'RESUMEN VIGILANCIA'!AS25)</f>
        <v/>
      </c>
      <c r="AU28" s="383" t="str">
        <f>IF(ISBLANK('RESUMEN VIGILANCIA'!AT25),"",'RESUMEN VIGILANCIA'!AT25)</f>
        <v/>
      </c>
      <c r="AV28" s="383" t="str">
        <f>IF(ISBLANK('RESUMEN VIGILANCIA'!AU25),"",'RESUMEN VIGILANCIA'!AU25)</f>
        <v/>
      </c>
      <c r="AW28" s="383" t="str">
        <f>IF(ISBLANK('RESUMEN VIGILANCIA'!AV25),"",'RESUMEN VIGILANCIA'!AV25)</f>
        <v/>
      </c>
      <c r="AX28" s="383" t="str">
        <f>IF(ISBLANK('RESUMEN VIGILANCIA'!AW25),"",'RESUMEN VIGILANCIA'!AW25)</f>
        <v/>
      </c>
      <c r="AY28" s="383" t="str">
        <f>IF(ISBLANK('RESUMEN VIGILANCIA'!AX25),"",'RESUMEN VIGILANCIA'!AX25)</f>
        <v/>
      </c>
      <c r="AZ28" s="383" t="str">
        <f>IF(ISBLANK('RESUMEN VIGILANCIA'!AY25),"",'RESUMEN VIGILANCIA'!AY25)</f>
        <v/>
      </c>
      <c r="BA28" s="384" t="str">
        <f>IF(ISBLANK('RESUMEN VIGILANCIA'!AZ25),"",'RESUMEN VIGILANCIA'!AZ25)</f>
        <v/>
      </c>
      <c r="BB28" s="241">
        <f t="shared" si="0"/>
        <v>0</v>
      </c>
      <c r="BC28" s="108"/>
      <c r="BD28" s="108"/>
    </row>
    <row r="29" spans="1:56" s="28" customFormat="1" ht="20.100000000000001" customHeight="1">
      <c r="A29" s="36" t="str">
        <f>'RESUMEN VIGILANCIA'!A29</f>
        <v>Familia De Sousa Pereira</v>
      </c>
      <c r="B29" s="37" t="str">
        <f>'RESUMEN VIGILANCIA'!B29</f>
        <v>Calle Guacara Nro. 87-65</v>
      </c>
      <c r="C29" s="425"/>
      <c r="D29" s="432" t="s">
        <v>1357</v>
      </c>
      <c r="E29" s="413" t="str">
        <f>IF(ISBLANK('RESUMEN VIGILANCIA'!D29),"",'RESUMEN VIGILANCIA'!D29)</f>
        <v/>
      </c>
      <c r="F29" s="261" t="str">
        <f>IF(ISBLANK('RESUMEN VIGILANCIA'!E29),"",'RESUMEN VIGILANCIA'!E29)</f>
        <v/>
      </c>
      <c r="G29" s="197" t="str">
        <f>IF(ISBLANK('RESUMEN VIGILANCIA'!F29),"",'RESUMEN VIGILANCIA'!F29)</f>
        <v/>
      </c>
      <c r="H29" s="197" t="str">
        <f>IF(ISBLANK('RESUMEN VIGILANCIA'!G29),"",'RESUMEN VIGILANCIA'!G29)</f>
        <v/>
      </c>
      <c r="I29" s="197" t="str">
        <f>IF(ISBLANK('RESUMEN VIGILANCIA'!H29),"",'RESUMEN VIGILANCIA'!H29)</f>
        <v/>
      </c>
      <c r="J29" s="197" t="str">
        <f>IF(ISBLANK('RESUMEN VIGILANCIA'!I29),"",'RESUMEN VIGILANCIA'!I29)</f>
        <v/>
      </c>
      <c r="K29" s="197" t="str">
        <f>IF(ISBLANK('RESUMEN VIGILANCIA'!J29),"",'RESUMEN VIGILANCIA'!J29)</f>
        <v/>
      </c>
      <c r="L29" s="197" t="str">
        <f>IF(ISBLANK('RESUMEN VIGILANCIA'!K29),"",'RESUMEN VIGILANCIA'!K29)</f>
        <v/>
      </c>
      <c r="M29" s="197" t="str">
        <f>IF(ISBLANK('RESUMEN VIGILANCIA'!L29),"",'RESUMEN VIGILANCIA'!L29)</f>
        <v/>
      </c>
      <c r="N29" s="197" t="str">
        <f>IF(ISBLANK('RESUMEN VIGILANCIA'!M29),"",'RESUMEN VIGILANCIA'!M29)</f>
        <v/>
      </c>
      <c r="O29" s="197" t="str">
        <f>IF(ISBLANK('RESUMEN VIGILANCIA'!N29),"",'RESUMEN VIGILANCIA'!N29)</f>
        <v/>
      </c>
      <c r="P29" s="262" t="str">
        <f>IF(ISBLANK('RESUMEN VIGILANCIA'!O29),"",'RESUMEN VIGILANCIA'!O29)</f>
        <v/>
      </c>
      <c r="Q29" s="195" t="str">
        <f>IF(ISBLANK('RESUMEN VIGILANCIA'!P29),"",'RESUMEN VIGILANCIA'!P29)</f>
        <v/>
      </c>
      <c r="R29" s="263" t="str">
        <f>IF(ISBLANK('RESUMEN VIGILANCIA'!Q29),"",'RESUMEN VIGILANCIA'!Q29)</f>
        <v/>
      </c>
      <c r="S29" s="262" t="str">
        <f>IF(ISBLANK('RESUMEN VIGILANCIA'!R29),"",'RESUMEN VIGILANCIA'!R29)</f>
        <v/>
      </c>
      <c r="T29" s="262" t="str">
        <f>IF(ISBLANK('RESUMEN VIGILANCIA'!S29),"",'RESUMEN VIGILANCIA'!S29)</f>
        <v/>
      </c>
      <c r="U29" s="262" t="str">
        <f>IF(ISBLANK('RESUMEN VIGILANCIA'!T29),"",'RESUMEN VIGILANCIA'!T29)</f>
        <v/>
      </c>
      <c r="V29" s="262" t="str">
        <f>IF(ISBLANK('RESUMEN VIGILANCIA'!U29),"",'RESUMEN VIGILANCIA'!U29)</f>
        <v/>
      </c>
      <c r="W29" s="262" t="str">
        <f>IF(ISBLANK('RESUMEN VIGILANCIA'!V29),"",'RESUMEN VIGILANCIA'!V29)</f>
        <v/>
      </c>
      <c r="X29" s="262" t="str">
        <f>IF(ISBLANK('RESUMEN VIGILANCIA'!W29),"",'RESUMEN VIGILANCIA'!W29)</f>
        <v/>
      </c>
      <c r="Y29" s="262" t="str">
        <f>IF(ISBLANK('RESUMEN VIGILANCIA'!X29),"",'RESUMEN VIGILANCIA'!X29)</f>
        <v/>
      </c>
      <c r="Z29" s="451" t="str">
        <f>IF(ISBLANK('RESUMEN VIGILANCIA'!Y29),"",'RESUMEN VIGILANCIA'!Y29)</f>
        <v/>
      </c>
      <c r="AA29" s="451" t="str">
        <f>IF(ISBLANK('RESUMEN VIGILANCIA'!Z29),"",'RESUMEN VIGILANCIA'!Z29)</f>
        <v/>
      </c>
      <c r="AB29" s="451" t="str">
        <f>IF(ISBLANK('RESUMEN VIGILANCIA'!AA29),"",'RESUMEN VIGILANCIA'!AA29)</f>
        <v/>
      </c>
      <c r="AC29" s="452" t="str">
        <f>IF(ISBLANK('RESUMEN VIGILANCIA'!AB29),"",'RESUMEN VIGILANCIA'!AB29)</f>
        <v/>
      </c>
      <c r="AD29" s="382" t="str">
        <f>IF(ISBLANK('RESUMEN VIGILANCIA'!AC29),"",'RESUMEN VIGILANCIA'!AC29)</f>
        <v/>
      </c>
      <c r="AE29" s="383" t="str">
        <f>IF(ISBLANK('RESUMEN VIGILANCIA'!AD29),"",'RESUMEN VIGILANCIA'!AD29)</f>
        <v/>
      </c>
      <c r="AF29" s="383" t="str">
        <f>IF(ISBLANK('RESUMEN VIGILANCIA'!AE29),"",'RESUMEN VIGILANCIA'!AE29)</f>
        <v/>
      </c>
      <c r="AG29" s="383" t="str">
        <f>IF(ISBLANK('RESUMEN VIGILANCIA'!AF29),"",'RESUMEN VIGILANCIA'!AF29)</f>
        <v/>
      </c>
      <c r="AH29" s="383" t="str">
        <f>IF(ISBLANK('RESUMEN VIGILANCIA'!AG29),"",'RESUMEN VIGILANCIA'!AG29)</f>
        <v/>
      </c>
      <c r="AI29" s="383" t="str">
        <f>IF(ISBLANK('RESUMEN VIGILANCIA'!AH29),"",'RESUMEN VIGILANCIA'!AH29)</f>
        <v/>
      </c>
      <c r="AJ29" s="383" t="str">
        <f>IF(ISBLANK('RESUMEN VIGILANCIA'!AI29),"",'RESUMEN VIGILANCIA'!AI29)</f>
        <v/>
      </c>
      <c r="AK29" s="383" t="str">
        <f>IF(ISBLANK('RESUMEN VIGILANCIA'!AJ29),"",'RESUMEN VIGILANCIA'!AJ29)</f>
        <v/>
      </c>
      <c r="AL29" s="383" t="str">
        <f>IF(ISBLANK('RESUMEN VIGILANCIA'!AK29),"",'RESUMEN VIGILANCIA'!AK29)</f>
        <v/>
      </c>
      <c r="AM29" s="383" t="str">
        <f>IF(ISBLANK('RESUMEN VIGILANCIA'!AL29),"",'RESUMEN VIGILANCIA'!AL29)</f>
        <v/>
      </c>
      <c r="AN29" s="383" t="str">
        <f>IF(ISBLANK('RESUMEN VIGILANCIA'!AM29),"",'RESUMEN VIGILANCIA'!AM29)</f>
        <v/>
      </c>
      <c r="AO29" s="384" t="str">
        <f>IF(ISBLANK('RESUMEN VIGILANCIA'!AN29),"",'RESUMEN VIGILANCIA'!AN29)</f>
        <v/>
      </c>
      <c r="AP29" s="382" t="str">
        <f>IF(ISBLANK('RESUMEN VIGILANCIA'!AO29),"",'RESUMEN VIGILANCIA'!AO29)</f>
        <v/>
      </c>
      <c r="AQ29" s="383" t="str">
        <f>IF(ISBLANK('RESUMEN VIGILANCIA'!AP29),"",'RESUMEN VIGILANCIA'!AP29)</f>
        <v/>
      </c>
      <c r="AR29" s="383" t="str">
        <f>IF(ISBLANK('RESUMEN VIGILANCIA'!AQ29),"",'RESUMEN VIGILANCIA'!AQ29)</f>
        <v/>
      </c>
      <c r="AS29" s="383" t="str">
        <f>IF(ISBLANK('RESUMEN VIGILANCIA'!AR29),"",'RESUMEN VIGILANCIA'!AR29)</f>
        <v/>
      </c>
      <c r="AT29" s="383" t="str">
        <f>IF(ISBLANK('RESUMEN VIGILANCIA'!AS29),"",'RESUMEN VIGILANCIA'!AS29)</f>
        <v/>
      </c>
      <c r="AU29" s="383" t="str">
        <f>IF(ISBLANK('RESUMEN VIGILANCIA'!AT29),"",'RESUMEN VIGILANCIA'!AT29)</f>
        <v/>
      </c>
      <c r="AV29" s="383" t="str">
        <f>IF(ISBLANK('RESUMEN VIGILANCIA'!AU29),"",'RESUMEN VIGILANCIA'!AU29)</f>
        <v/>
      </c>
      <c r="AW29" s="383" t="str">
        <f>IF(ISBLANK('RESUMEN VIGILANCIA'!AV29),"",'RESUMEN VIGILANCIA'!AV29)</f>
        <v/>
      </c>
      <c r="AX29" s="383" t="str">
        <f>IF(ISBLANK('RESUMEN VIGILANCIA'!AW29),"",'RESUMEN VIGILANCIA'!AW29)</f>
        <v/>
      </c>
      <c r="AY29" s="383" t="str">
        <f>IF(ISBLANK('RESUMEN VIGILANCIA'!AX29),"",'RESUMEN VIGILANCIA'!AX29)</f>
        <v/>
      </c>
      <c r="AZ29" s="383" t="str">
        <f>IF(ISBLANK('RESUMEN VIGILANCIA'!AY29),"",'RESUMEN VIGILANCIA'!AY29)</f>
        <v/>
      </c>
      <c r="BA29" s="384" t="str">
        <f>IF(ISBLANK('RESUMEN VIGILANCIA'!AZ29),"",'RESUMEN VIGILANCIA'!AZ29)</f>
        <v/>
      </c>
      <c r="BB29" s="241">
        <f t="shared" si="0"/>
        <v>0</v>
      </c>
      <c r="BC29" s="108"/>
      <c r="BD29" s="108"/>
    </row>
    <row r="30" spans="1:56" s="28" customFormat="1" ht="20.100000000000001" customHeight="1">
      <c r="A30" s="36" t="str">
        <f>'RESUMEN VIGILANCIA'!A28</f>
        <v>Familia Ramírez (Guacara)</v>
      </c>
      <c r="B30" s="37" t="str">
        <f>'RESUMEN VIGILANCIA'!B28</f>
        <v>Calle Guacara Nro. 87-59</v>
      </c>
      <c r="C30" s="425"/>
      <c r="D30" s="432" t="s">
        <v>1357</v>
      </c>
      <c r="E30" s="413" t="str">
        <f>IF(ISBLANK('RESUMEN VIGILANCIA'!D28),"",'RESUMEN VIGILANCIA'!D28)</f>
        <v/>
      </c>
      <c r="F30" s="261" t="str">
        <f>IF(ISBLANK('RESUMEN VIGILANCIA'!E28),"",'RESUMEN VIGILANCIA'!E28)</f>
        <v/>
      </c>
      <c r="G30" s="197" t="str">
        <f>IF(ISBLANK('RESUMEN VIGILANCIA'!F28),"",'RESUMEN VIGILANCIA'!F28)</f>
        <v/>
      </c>
      <c r="H30" s="197" t="str">
        <f>IF(ISBLANK('RESUMEN VIGILANCIA'!G28),"",'RESUMEN VIGILANCIA'!G28)</f>
        <v/>
      </c>
      <c r="I30" s="197" t="str">
        <f>IF(ISBLANK('RESUMEN VIGILANCIA'!H28),"",'RESUMEN VIGILANCIA'!H28)</f>
        <v/>
      </c>
      <c r="J30" s="197" t="str">
        <f>IF(ISBLANK('RESUMEN VIGILANCIA'!I28),"",'RESUMEN VIGILANCIA'!I28)</f>
        <v/>
      </c>
      <c r="K30" s="197" t="str">
        <f>IF(ISBLANK('RESUMEN VIGILANCIA'!J28),"",'RESUMEN VIGILANCIA'!J28)</f>
        <v/>
      </c>
      <c r="L30" s="197" t="str">
        <f>IF(ISBLANK('RESUMEN VIGILANCIA'!K28),"",'RESUMEN VIGILANCIA'!K28)</f>
        <v/>
      </c>
      <c r="M30" s="197" t="str">
        <f>IF(ISBLANK('RESUMEN VIGILANCIA'!L28),"",'RESUMEN VIGILANCIA'!L28)</f>
        <v/>
      </c>
      <c r="N30" s="197" t="str">
        <f>IF(ISBLANK('RESUMEN VIGILANCIA'!M28),"",'RESUMEN VIGILANCIA'!M28)</f>
        <v/>
      </c>
      <c r="O30" s="197" t="str">
        <f>IF(ISBLANK('RESUMEN VIGILANCIA'!N28),"",'RESUMEN VIGILANCIA'!N28)</f>
        <v/>
      </c>
      <c r="P30" s="262" t="str">
        <f>IF(ISBLANK('RESUMEN VIGILANCIA'!O28),"",'RESUMEN VIGILANCIA'!O28)</f>
        <v/>
      </c>
      <c r="Q30" s="195" t="str">
        <f>IF(ISBLANK('RESUMEN VIGILANCIA'!P28),"",'RESUMEN VIGILANCIA'!P28)</f>
        <v/>
      </c>
      <c r="R30" s="263" t="str">
        <f>IF(ISBLANK('RESUMEN VIGILANCIA'!Q28),"",'RESUMEN VIGILANCIA'!Q28)</f>
        <v/>
      </c>
      <c r="S30" s="262" t="str">
        <f>IF(ISBLANK('RESUMEN VIGILANCIA'!R28),"",'RESUMEN VIGILANCIA'!R28)</f>
        <v/>
      </c>
      <c r="T30" s="262" t="str">
        <f>IF(ISBLANK('RESUMEN VIGILANCIA'!S28),"",'RESUMEN VIGILANCIA'!S28)</f>
        <v/>
      </c>
      <c r="U30" s="262" t="str">
        <f>IF(ISBLANK('RESUMEN VIGILANCIA'!T28),"",'RESUMEN VIGILANCIA'!T28)</f>
        <v/>
      </c>
      <c r="V30" s="262" t="str">
        <f>IF(ISBLANK('RESUMEN VIGILANCIA'!U28),"",'RESUMEN VIGILANCIA'!U28)</f>
        <v/>
      </c>
      <c r="W30" s="262" t="str">
        <f>IF(ISBLANK('RESUMEN VIGILANCIA'!V28),"",'RESUMEN VIGILANCIA'!V28)</f>
        <v/>
      </c>
      <c r="X30" s="262" t="str">
        <f>IF(ISBLANK('RESUMEN VIGILANCIA'!W28),"",'RESUMEN VIGILANCIA'!W28)</f>
        <v/>
      </c>
      <c r="Y30" s="262" t="str">
        <f>IF(ISBLANK('RESUMEN VIGILANCIA'!X28),"",'RESUMEN VIGILANCIA'!X28)</f>
        <v/>
      </c>
      <c r="Z30" s="451" t="str">
        <f>IF(ISBLANK('RESUMEN VIGILANCIA'!Y28),"",'RESUMEN VIGILANCIA'!Y28)</f>
        <v/>
      </c>
      <c r="AA30" s="451" t="str">
        <f>IF(ISBLANK('RESUMEN VIGILANCIA'!Z28),"",'RESUMEN VIGILANCIA'!Z28)</f>
        <v/>
      </c>
      <c r="AB30" s="451" t="str">
        <f>IF(ISBLANK('RESUMEN VIGILANCIA'!AA28),"",'RESUMEN VIGILANCIA'!AA28)</f>
        <v/>
      </c>
      <c r="AC30" s="452" t="str">
        <f>IF(ISBLANK('RESUMEN VIGILANCIA'!AB28),"",'RESUMEN VIGILANCIA'!AB28)</f>
        <v/>
      </c>
      <c r="AD30" s="382" t="str">
        <f>IF(ISBLANK('RESUMEN VIGILANCIA'!AC28),"",'RESUMEN VIGILANCIA'!AC28)</f>
        <v/>
      </c>
      <c r="AE30" s="383" t="str">
        <f>IF(ISBLANK('RESUMEN VIGILANCIA'!AD28),"",'RESUMEN VIGILANCIA'!AD28)</f>
        <v/>
      </c>
      <c r="AF30" s="383" t="str">
        <f>IF(ISBLANK('RESUMEN VIGILANCIA'!AE28),"",'RESUMEN VIGILANCIA'!AE28)</f>
        <v/>
      </c>
      <c r="AG30" s="383" t="str">
        <f>IF(ISBLANK('RESUMEN VIGILANCIA'!AF28),"",'RESUMEN VIGILANCIA'!AF28)</f>
        <v/>
      </c>
      <c r="AH30" s="383" t="str">
        <f>IF(ISBLANK('RESUMEN VIGILANCIA'!AG28),"",'RESUMEN VIGILANCIA'!AG28)</f>
        <v/>
      </c>
      <c r="AI30" s="383" t="str">
        <f>IF(ISBLANK('RESUMEN VIGILANCIA'!AH28),"",'RESUMEN VIGILANCIA'!AH28)</f>
        <v/>
      </c>
      <c r="AJ30" s="383" t="str">
        <f>IF(ISBLANK('RESUMEN VIGILANCIA'!AI28),"",'RESUMEN VIGILANCIA'!AI28)</f>
        <v/>
      </c>
      <c r="AK30" s="383" t="str">
        <f>IF(ISBLANK('RESUMEN VIGILANCIA'!AJ28),"",'RESUMEN VIGILANCIA'!AJ28)</f>
        <v/>
      </c>
      <c r="AL30" s="383" t="str">
        <f>IF(ISBLANK('RESUMEN VIGILANCIA'!AK28),"",'RESUMEN VIGILANCIA'!AK28)</f>
        <v/>
      </c>
      <c r="AM30" s="383" t="str">
        <f>IF(ISBLANK('RESUMEN VIGILANCIA'!AL28),"",'RESUMEN VIGILANCIA'!AL28)</f>
        <v/>
      </c>
      <c r="AN30" s="383" t="str">
        <f>IF(ISBLANK('RESUMEN VIGILANCIA'!AM28),"",'RESUMEN VIGILANCIA'!AM28)</f>
        <v/>
      </c>
      <c r="AO30" s="384" t="str">
        <f>IF(ISBLANK('RESUMEN VIGILANCIA'!AN28),"",'RESUMEN VIGILANCIA'!AN28)</f>
        <v/>
      </c>
      <c r="AP30" s="382" t="str">
        <f>IF(ISBLANK('RESUMEN VIGILANCIA'!AO28),"",'RESUMEN VIGILANCIA'!AO28)</f>
        <v/>
      </c>
      <c r="AQ30" s="383" t="str">
        <f>IF(ISBLANK('RESUMEN VIGILANCIA'!AP28),"",'RESUMEN VIGILANCIA'!AP28)</f>
        <v/>
      </c>
      <c r="AR30" s="383" t="str">
        <f>IF(ISBLANK('RESUMEN VIGILANCIA'!AQ28),"",'RESUMEN VIGILANCIA'!AQ28)</f>
        <v/>
      </c>
      <c r="AS30" s="383" t="str">
        <f>IF(ISBLANK('RESUMEN VIGILANCIA'!AR28),"",'RESUMEN VIGILANCIA'!AR28)</f>
        <v/>
      </c>
      <c r="AT30" s="383" t="str">
        <f>IF(ISBLANK('RESUMEN VIGILANCIA'!AS28),"",'RESUMEN VIGILANCIA'!AS28)</f>
        <v/>
      </c>
      <c r="AU30" s="383" t="str">
        <f>IF(ISBLANK('RESUMEN VIGILANCIA'!AT28),"",'RESUMEN VIGILANCIA'!AT28)</f>
        <v/>
      </c>
      <c r="AV30" s="383" t="str">
        <f>IF(ISBLANK('RESUMEN VIGILANCIA'!AU28),"",'RESUMEN VIGILANCIA'!AU28)</f>
        <v/>
      </c>
      <c r="AW30" s="383" t="str">
        <f>IF(ISBLANK('RESUMEN VIGILANCIA'!AV28),"",'RESUMEN VIGILANCIA'!AV28)</f>
        <v/>
      </c>
      <c r="AX30" s="383" t="str">
        <f>IF(ISBLANK('RESUMEN VIGILANCIA'!AW28),"",'RESUMEN VIGILANCIA'!AW28)</f>
        <v/>
      </c>
      <c r="AY30" s="383" t="str">
        <f>IF(ISBLANK('RESUMEN VIGILANCIA'!AX28),"",'RESUMEN VIGILANCIA'!AX28)</f>
        <v/>
      </c>
      <c r="AZ30" s="383" t="str">
        <f>IF(ISBLANK('RESUMEN VIGILANCIA'!AY28),"",'RESUMEN VIGILANCIA'!AY28)</f>
        <v/>
      </c>
      <c r="BA30" s="384" t="str">
        <f>IF(ISBLANK('RESUMEN VIGILANCIA'!AZ28),"",'RESUMEN VIGILANCIA'!AZ28)</f>
        <v/>
      </c>
      <c r="BB30" s="241">
        <f t="shared" si="0"/>
        <v>0</v>
      </c>
      <c r="BC30" s="108"/>
      <c r="BD30" s="108"/>
    </row>
    <row r="31" spans="1:56" s="28" customFormat="1" ht="20.100000000000001" customHeight="1">
      <c r="A31" s="36" t="str">
        <f>'RESUMEN VIGILANCIA'!A27</f>
        <v>Familia Moretti</v>
      </c>
      <c r="B31" s="37" t="str">
        <f>'RESUMEN VIGILANCIA'!B27</f>
        <v>Calle Guacara Nro. 87-51</v>
      </c>
      <c r="C31" s="425"/>
      <c r="D31" s="432" t="s">
        <v>1357</v>
      </c>
      <c r="E31" s="413" t="str">
        <f>IF(ISBLANK('RESUMEN VIGILANCIA'!D27),"",'RESUMEN VIGILANCIA'!D27)</f>
        <v/>
      </c>
      <c r="F31" s="261" t="str">
        <f>IF(ISBLANK('RESUMEN VIGILANCIA'!E27),"",'RESUMEN VIGILANCIA'!E27)</f>
        <v/>
      </c>
      <c r="G31" s="197" t="str">
        <f>IF(ISBLANK('RESUMEN VIGILANCIA'!F27),"",'RESUMEN VIGILANCIA'!F27)</f>
        <v/>
      </c>
      <c r="H31" s="197" t="str">
        <f>IF(ISBLANK('RESUMEN VIGILANCIA'!G27),"",'RESUMEN VIGILANCIA'!G27)</f>
        <v/>
      </c>
      <c r="I31" s="197" t="str">
        <f>IF(ISBLANK('RESUMEN VIGILANCIA'!H27),"",'RESUMEN VIGILANCIA'!H27)</f>
        <v/>
      </c>
      <c r="J31" s="197" t="str">
        <f>IF(ISBLANK('RESUMEN VIGILANCIA'!I27),"",'RESUMEN VIGILANCIA'!I27)</f>
        <v/>
      </c>
      <c r="K31" s="197" t="str">
        <f>IF(ISBLANK('RESUMEN VIGILANCIA'!J27),"",'RESUMEN VIGILANCIA'!J27)</f>
        <v/>
      </c>
      <c r="L31" s="197" t="str">
        <f>IF(ISBLANK('RESUMEN VIGILANCIA'!K27),"",'RESUMEN VIGILANCIA'!K27)</f>
        <v/>
      </c>
      <c r="M31" s="197" t="str">
        <f>IF(ISBLANK('RESUMEN VIGILANCIA'!L27),"",'RESUMEN VIGILANCIA'!L27)</f>
        <v/>
      </c>
      <c r="N31" s="197" t="str">
        <f>IF(ISBLANK('RESUMEN VIGILANCIA'!M27),"",'RESUMEN VIGILANCIA'!M27)</f>
        <v/>
      </c>
      <c r="O31" s="197" t="str">
        <f>IF(ISBLANK('RESUMEN VIGILANCIA'!N27),"",'RESUMEN VIGILANCIA'!N27)</f>
        <v/>
      </c>
      <c r="P31" s="262" t="str">
        <f>IF(ISBLANK('RESUMEN VIGILANCIA'!O27),"",'RESUMEN VIGILANCIA'!O27)</f>
        <v/>
      </c>
      <c r="Q31" s="195" t="str">
        <f>IF(ISBLANK('RESUMEN VIGILANCIA'!P27),"",'RESUMEN VIGILANCIA'!P27)</f>
        <v/>
      </c>
      <c r="R31" s="263" t="str">
        <f>IF(ISBLANK('RESUMEN VIGILANCIA'!Q27),"",'RESUMEN VIGILANCIA'!Q27)</f>
        <v/>
      </c>
      <c r="S31" s="262" t="str">
        <f>IF(ISBLANK('RESUMEN VIGILANCIA'!R27),"",'RESUMEN VIGILANCIA'!R27)</f>
        <v/>
      </c>
      <c r="T31" s="262" t="str">
        <f>IF(ISBLANK('RESUMEN VIGILANCIA'!S27),"",'RESUMEN VIGILANCIA'!S27)</f>
        <v/>
      </c>
      <c r="U31" s="262" t="str">
        <f>IF(ISBLANK('RESUMEN VIGILANCIA'!T27),"",'RESUMEN VIGILANCIA'!T27)</f>
        <v/>
      </c>
      <c r="V31" s="262" t="str">
        <f>IF(ISBLANK('RESUMEN VIGILANCIA'!U27),"",'RESUMEN VIGILANCIA'!U27)</f>
        <v/>
      </c>
      <c r="W31" s="262" t="str">
        <f>IF(ISBLANK('RESUMEN VIGILANCIA'!V27),"",'RESUMEN VIGILANCIA'!V27)</f>
        <v/>
      </c>
      <c r="X31" s="262" t="str">
        <f>IF(ISBLANK('RESUMEN VIGILANCIA'!W27),"",'RESUMEN VIGILANCIA'!W27)</f>
        <v/>
      </c>
      <c r="Y31" s="262" t="str">
        <f>IF(ISBLANK('RESUMEN VIGILANCIA'!X27),"",'RESUMEN VIGILANCIA'!X27)</f>
        <v/>
      </c>
      <c r="Z31" s="451" t="str">
        <f>IF(ISBLANK('RESUMEN VIGILANCIA'!Y27),"",'RESUMEN VIGILANCIA'!Y27)</f>
        <v/>
      </c>
      <c r="AA31" s="451" t="str">
        <f>IF(ISBLANK('RESUMEN VIGILANCIA'!Z27),"",'RESUMEN VIGILANCIA'!Z27)</f>
        <v/>
      </c>
      <c r="AB31" s="451" t="str">
        <f>IF(ISBLANK('RESUMEN VIGILANCIA'!AA27),"",'RESUMEN VIGILANCIA'!AA27)</f>
        <v/>
      </c>
      <c r="AC31" s="452" t="str">
        <f>IF(ISBLANK('RESUMEN VIGILANCIA'!AB27),"",'RESUMEN VIGILANCIA'!AB27)</f>
        <v/>
      </c>
      <c r="AD31" s="382" t="str">
        <f>IF(ISBLANK('RESUMEN VIGILANCIA'!AC27),"",'RESUMEN VIGILANCIA'!AC27)</f>
        <v/>
      </c>
      <c r="AE31" s="383" t="str">
        <f>IF(ISBLANK('RESUMEN VIGILANCIA'!AD27),"",'RESUMEN VIGILANCIA'!AD27)</f>
        <v/>
      </c>
      <c r="AF31" s="383" t="str">
        <f>IF(ISBLANK('RESUMEN VIGILANCIA'!AE27),"",'RESUMEN VIGILANCIA'!AE27)</f>
        <v/>
      </c>
      <c r="AG31" s="383" t="str">
        <f>IF(ISBLANK('RESUMEN VIGILANCIA'!AF27),"",'RESUMEN VIGILANCIA'!AF27)</f>
        <v/>
      </c>
      <c r="AH31" s="383" t="str">
        <f>IF(ISBLANK('RESUMEN VIGILANCIA'!AG27),"",'RESUMEN VIGILANCIA'!AG27)</f>
        <v/>
      </c>
      <c r="AI31" s="383" t="str">
        <f>IF(ISBLANK('RESUMEN VIGILANCIA'!AH27),"",'RESUMEN VIGILANCIA'!AH27)</f>
        <v/>
      </c>
      <c r="AJ31" s="383" t="str">
        <f>IF(ISBLANK('RESUMEN VIGILANCIA'!AI27),"",'RESUMEN VIGILANCIA'!AI27)</f>
        <v/>
      </c>
      <c r="AK31" s="383" t="str">
        <f>IF(ISBLANK('RESUMEN VIGILANCIA'!AJ27),"",'RESUMEN VIGILANCIA'!AJ27)</f>
        <v/>
      </c>
      <c r="AL31" s="383" t="str">
        <f>IF(ISBLANK('RESUMEN VIGILANCIA'!AK27),"",'RESUMEN VIGILANCIA'!AK27)</f>
        <v/>
      </c>
      <c r="AM31" s="383" t="str">
        <f>IF(ISBLANK('RESUMEN VIGILANCIA'!AL27),"",'RESUMEN VIGILANCIA'!AL27)</f>
        <v/>
      </c>
      <c r="AN31" s="383" t="str">
        <f>IF(ISBLANK('RESUMEN VIGILANCIA'!AM27),"",'RESUMEN VIGILANCIA'!AM27)</f>
        <v/>
      </c>
      <c r="AO31" s="384" t="str">
        <f>IF(ISBLANK('RESUMEN VIGILANCIA'!AN27),"",'RESUMEN VIGILANCIA'!AN27)</f>
        <v/>
      </c>
      <c r="AP31" s="382" t="str">
        <f>IF(ISBLANK('RESUMEN VIGILANCIA'!AO27),"",'RESUMEN VIGILANCIA'!AO27)</f>
        <v/>
      </c>
      <c r="AQ31" s="383" t="str">
        <f>IF(ISBLANK('RESUMEN VIGILANCIA'!AP27),"",'RESUMEN VIGILANCIA'!AP27)</f>
        <v/>
      </c>
      <c r="AR31" s="383" t="str">
        <f>IF(ISBLANK('RESUMEN VIGILANCIA'!AQ27),"",'RESUMEN VIGILANCIA'!AQ27)</f>
        <v/>
      </c>
      <c r="AS31" s="383" t="str">
        <f>IF(ISBLANK('RESUMEN VIGILANCIA'!AR27),"",'RESUMEN VIGILANCIA'!AR27)</f>
        <v/>
      </c>
      <c r="AT31" s="383" t="str">
        <f>IF(ISBLANK('RESUMEN VIGILANCIA'!AS27),"",'RESUMEN VIGILANCIA'!AS27)</f>
        <v/>
      </c>
      <c r="AU31" s="383" t="str">
        <f>IF(ISBLANK('RESUMEN VIGILANCIA'!AT27),"",'RESUMEN VIGILANCIA'!AT27)</f>
        <v/>
      </c>
      <c r="AV31" s="383" t="str">
        <f>IF(ISBLANK('RESUMEN VIGILANCIA'!AU27),"",'RESUMEN VIGILANCIA'!AU27)</f>
        <v/>
      </c>
      <c r="AW31" s="383" t="str">
        <f>IF(ISBLANK('RESUMEN VIGILANCIA'!AV27),"",'RESUMEN VIGILANCIA'!AV27)</f>
        <v/>
      </c>
      <c r="AX31" s="383" t="str">
        <f>IF(ISBLANK('RESUMEN VIGILANCIA'!AW27),"",'RESUMEN VIGILANCIA'!AW27)</f>
        <v/>
      </c>
      <c r="AY31" s="383" t="str">
        <f>IF(ISBLANK('RESUMEN VIGILANCIA'!AX27),"",'RESUMEN VIGILANCIA'!AX27)</f>
        <v/>
      </c>
      <c r="AZ31" s="383" t="str">
        <f>IF(ISBLANK('RESUMEN VIGILANCIA'!AY27),"",'RESUMEN VIGILANCIA'!AY27)</f>
        <v/>
      </c>
      <c r="BA31" s="384" t="str">
        <f>IF(ISBLANK('RESUMEN VIGILANCIA'!AZ27),"",'RESUMEN VIGILANCIA'!AZ27)</f>
        <v/>
      </c>
      <c r="BB31" s="241">
        <f t="shared" si="0"/>
        <v>0</v>
      </c>
      <c r="BC31" s="108"/>
      <c r="BD31" s="108"/>
    </row>
    <row r="32" spans="1:56" s="28" customFormat="1" ht="20.100000000000001" customHeight="1">
      <c r="A32" s="32" t="str">
        <f>'RESUMEN VIGILANCIA'!A37</f>
        <v>Familia Méndez Parra</v>
      </c>
      <c r="B32" s="33" t="str">
        <f>'RESUMEN VIGILANCIA'!B37</f>
        <v>Calle Guacara Nro. 88-19</v>
      </c>
      <c r="C32" s="426" t="s">
        <v>1361</v>
      </c>
      <c r="D32" s="435"/>
      <c r="E32" s="414" t="str">
        <f>IF(ISBLANK('RESUMEN VIGILANCIA'!D37),"",'RESUMEN VIGILANCIA'!D37)</f>
        <v/>
      </c>
      <c r="F32" s="264">
        <f>IF(ISBLANK('RESUMEN VIGILANCIA'!E37),"",'RESUMEN VIGILANCIA'!E37)</f>
        <v>0.14500000000000002</v>
      </c>
      <c r="G32" s="186">
        <f>IF(ISBLANK('RESUMEN VIGILANCIA'!F37),"",'RESUMEN VIGILANCIA'!F37)</f>
        <v>0.105</v>
      </c>
      <c r="H32" s="186">
        <f>IF(ISBLANK('RESUMEN VIGILANCIA'!G37),"",'RESUMEN VIGILANCIA'!G37)</f>
        <v>0.105</v>
      </c>
      <c r="I32" s="186">
        <f>IF(ISBLANK('RESUMEN VIGILANCIA'!H37),"",'RESUMEN VIGILANCIA'!H37)</f>
        <v>0.105</v>
      </c>
      <c r="J32" s="186">
        <f>IF(ISBLANK('RESUMEN VIGILANCIA'!I37),"",'RESUMEN VIGILANCIA'!I37)</f>
        <v>0.2</v>
      </c>
      <c r="K32" s="186">
        <f>IF(ISBLANK('RESUMEN VIGILANCIA'!J37),"",'RESUMEN VIGILANCIA'!J37)</f>
        <v>0.2</v>
      </c>
      <c r="L32" s="186">
        <f>IF(ISBLANK('RESUMEN VIGILANCIA'!K37),"",'RESUMEN VIGILANCIA'!K37)</f>
        <v>0.25</v>
      </c>
      <c r="M32" s="186">
        <f>IF(ISBLANK('RESUMEN VIGILANCIA'!L37),"",'RESUMEN VIGILANCIA'!L37)</f>
        <v>0.2</v>
      </c>
      <c r="N32" s="186">
        <f>IF(ISBLANK('RESUMEN VIGILANCIA'!M37),"",'RESUMEN VIGILANCIA'!M37)</f>
        <v>0.2</v>
      </c>
      <c r="O32" s="186">
        <f>IF(ISBLANK('RESUMEN VIGILANCIA'!N37),"",'RESUMEN VIGILANCIA'!N37)</f>
        <v>0.2</v>
      </c>
      <c r="P32" s="265">
        <f>IF(ISBLANK('RESUMEN VIGILANCIA'!O37),"",'RESUMEN VIGILANCIA'!O37)</f>
        <v>0.32</v>
      </c>
      <c r="Q32" s="184">
        <f>IF(ISBLANK('RESUMEN VIGILANCIA'!P37),"",'RESUMEN VIGILANCIA'!P37)</f>
        <v>0.3</v>
      </c>
      <c r="R32" s="266">
        <f>IF(ISBLANK('RESUMEN VIGILANCIA'!Q37),"",'RESUMEN VIGILANCIA'!Q37)</f>
        <v>0.5</v>
      </c>
      <c r="S32" s="265">
        <f>IF(ISBLANK('RESUMEN VIGILANCIA'!R37),"",'RESUMEN VIGILANCIA'!R37)</f>
        <v>0.5</v>
      </c>
      <c r="T32" s="265">
        <f>IF(ISBLANK('RESUMEN VIGILANCIA'!S37),"",'RESUMEN VIGILANCIA'!S37)</f>
        <v>1</v>
      </c>
      <c r="U32" s="265">
        <f>IF(ISBLANK('RESUMEN VIGILANCIA'!T37),"",'RESUMEN VIGILANCIA'!T37)</f>
        <v>1</v>
      </c>
      <c r="V32" s="265">
        <f>IF(ISBLANK('RESUMEN VIGILANCIA'!U37),"",'RESUMEN VIGILANCIA'!U37)</f>
        <v>2</v>
      </c>
      <c r="W32" s="265">
        <f>IF(ISBLANK('RESUMEN VIGILANCIA'!V37),"",'RESUMEN VIGILANCIA'!V37)</f>
        <v>6</v>
      </c>
      <c r="X32" s="265">
        <f>IF(ISBLANK('RESUMEN VIGILANCIA'!W37),"",'RESUMEN VIGILANCIA'!W37)</f>
        <v>6</v>
      </c>
      <c r="Y32" s="265">
        <f>IF(ISBLANK('RESUMEN VIGILANCIA'!X37),"",'RESUMEN VIGILANCIA'!X37)</f>
        <v>8</v>
      </c>
      <c r="Z32" s="457">
        <f>IF(ISBLANK('RESUMEN VIGILANCIA'!Y37),"",'RESUMEN VIGILANCIA'!Y37)</f>
        <v>270</v>
      </c>
      <c r="AA32" s="457">
        <f>IF(ISBLANK('RESUMEN VIGILANCIA'!Z37),"",'RESUMEN VIGILANCIA'!Z37)</f>
        <v>260</v>
      </c>
      <c r="AB32" s="457">
        <f>IF(ISBLANK('RESUMEN VIGILANCIA'!AA37),"",'RESUMEN VIGILANCIA'!AA37)</f>
        <v>260</v>
      </c>
      <c r="AC32" s="458" t="str">
        <f>IF(ISBLANK('RESUMEN VIGILANCIA'!AB37),"",'RESUMEN VIGILANCIA'!AB37)</f>
        <v/>
      </c>
      <c r="AD32" s="371">
        <f>IF(ISBLANK('RESUMEN VIGILANCIA'!AC37),"",'RESUMEN VIGILANCIA'!AC37)</f>
        <v>600</v>
      </c>
      <c r="AE32" s="372">
        <f>IF(ISBLANK('RESUMEN VIGILANCIA'!AD37),"",'RESUMEN VIGILANCIA'!AD37)</f>
        <v>2300</v>
      </c>
      <c r="AF32" s="372">
        <f>IF(ISBLANK('RESUMEN VIGILANCIA'!AE37),"",'RESUMEN VIGILANCIA'!AE37)</f>
        <v>2200</v>
      </c>
      <c r="AG32" s="372">
        <f>IF(ISBLANK('RESUMEN VIGILANCIA'!AF37),"",'RESUMEN VIGILANCIA'!AF37)</f>
        <v>2200</v>
      </c>
      <c r="AH32" s="372">
        <f>IF(ISBLANK('RESUMEN VIGILANCIA'!AG37),"",'RESUMEN VIGILANCIA'!AG37)</f>
        <v>5000</v>
      </c>
      <c r="AI32" s="372">
        <f>IF(ISBLANK('RESUMEN VIGILANCIA'!AH37),"",'RESUMEN VIGILANCIA'!AH37)</f>
        <v>5000</v>
      </c>
      <c r="AJ32" s="372">
        <f>IF(ISBLANK('RESUMEN VIGILANCIA'!AI37),"",'RESUMEN VIGILANCIA'!AI37)</f>
        <v>6000</v>
      </c>
      <c r="AK32" s="372">
        <f>IF(ISBLANK('RESUMEN VIGILANCIA'!AJ37),"",'RESUMEN VIGILANCIA'!AJ37)</f>
        <v>6000</v>
      </c>
      <c r="AL32" s="372">
        <f>IF(ISBLANK('RESUMEN VIGILANCIA'!AK37),"",'RESUMEN VIGILANCIA'!AK37)</f>
        <v>18018</v>
      </c>
      <c r="AM32" s="372">
        <f>IF(ISBLANK('RESUMEN VIGILANCIA'!AL37),"",'RESUMEN VIGILANCIA'!AL37)</f>
        <v>15000</v>
      </c>
      <c r="AN32" s="372">
        <f>IF(ISBLANK('RESUMEN VIGILANCIA'!AM37),"",'RESUMEN VIGILANCIA'!AM37)</f>
        <v>48000</v>
      </c>
      <c r="AO32" s="373">
        <f>IF(ISBLANK('RESUMEN VIGILANCIA'!AN37),"",'RESUMEN VIGILANCIA'!AN37)</f>
        <v>35000</v>
      </c>
      <c r="AP32" s="371">
        <f>IF(ISBLANK('RESUMEN VIGILANCIA'!AO37),"",'RESUMEN VIGILANCIA'!AO37)</f>
        <v>80000</v>
      </c>
      <c r="AQ32" s="372">
        <f>IF(ISBLANK('RESUMEN VIGILANCIA'!AP37),"",'RESUMEN VIGILANCIA'!AP37)</f>
        <v>80000</v>
      </c>
      <c r="AR32" s="372">
        <f>IF(ISBLANK('RESUMEN VIGILANCIA'!AQ37),"",'RESUMEN VIGILANCIA'!AQ37)</f>
        <v>90000</v>
      </c>
      <c r="AS32" s="372">
        <f>IF(ISBLANK('RESUMEN VIGILANCIA'!AR37),"",'RESUMEN VIGILANCIA'!AR37)</f>
        <v>90000</v>
      </c>
      <c r="AT32" s="372">
        <f>IF(ISBLANK('RESUMEN VIGILANCIA'!AS37),"",'RESUMEN VIGILANCIA'!AS37)</f>
        <v>180000</v>
      </c>
      <c r="AU32" s="372">
        <f>IF(ISBLANK('RESUMEN VIGILANCIA'!AT37),"",'RESUMEN VIGILANCIA'!AT37)</f>
        <v>110000</v>
      </c>
      <c r="AV32" s="372" t="str">
        <f>IF(ISBLANK('RESUMEN VIGILANCIA'!AU37),"",'RESUMEN VIGILANCIA'!AU37)</f>
        <v/>
      </c>
      <c r="AW32" s="372" t="str">
        <f>IF(ISBLANK('RESUMEN VIGILANCIA'!AV37),"",'RESUMEN VIGILANCIA'!AV37)</f>
        <v/>
      </c>
      <c r="AX32" s="372" t="str">
        <f>IF(ISBLANK('RESUMEN VIGILANCIA'!AW37),"",'RESUMEN VIGILANCIA'!AW37)</f>
        <v/>
      </c>
      <c r="AY32" s="372" t="str">
        <f>IF(ISBLANK('RESUMEN VIGILANCIA'!AX37),"",'RESUMEN VIGILANCIA'!AX37)</f>
        <v/>
      </c>
      <c r="AZ32" s="372" t="str">
        <f>IF(ISBLANK('RESUMEN VIGILANCIA'!AY37),"",'RESUMEN VIGILANCIA'!AY37)</f>
        <v/>
      </c>
      <c r="BA32" s="373" t="str">
        <f>IF(ISBLANK('RESUMEN VIGILANCIA'!AZ37),"",'RESUMEN VIGILANCIA'!AZ37)</f>
        <v/>
      </c>
      <c r="BB32" s="239">
        <f t="shared" si="0"/>
        <v>146135.33000000002</v>
      </c>
      <c r="BC32" s="109"/>
      <c r="BD32" s="109"/>
    </row>
    <row r="33" spans="1:56" s="28" customFormat="1" ht="20.100000000000001" customHeight="1">
      <c r="A33" s="32" t="str">
        <f>'RESUMEN VIGILANCIA'!A38</f>
        <v>Victoria Francischiello</v>
      </c>
      <c r="B33" s="33" t="str">
        <f>'RESUMEN VIGILANCIA'!B38</f>
        <v>Calle Guacara Nro. 88-25</v>
      </c>
      <c r="C33" s="426" t="s">
        <v>1358</v>
      </c>
      <c r="D33" s="435" t="s">
        <v>17</v>
      </c>
      <c r="E33" s="414" t="str">
        <f>IF(ISBLANK('RESUMEN VIGILANCIA'!D38),"",'RESUMEN VIGILANCIA'!D38)</f>
        <v/>
      </c>
      <c r="F33" s="264">
        <f>IF(ISBLANK('RESUMEN VIGILANCIA'!E38),"",'RESUMEN VIGILANCIA'!E38)</f>
        <v>0.1</v>
      </c>
      <c r="G33" s="186">
        <f>IF(ISBLANK('RESUMEN VIGILANCIA'!F38),"",'RESUMEN VIGILANCIA'!F38)</f>
        <v>0.1</v>
      </c>
      <c r="H33" s="186">
        <f>IF(ISBLANK('RESUMEN VIGILANCIA'!G38),"",'RESUMEN VIGILANCIA'!G38)</f>
        <v>0.1</v>
      </c>
      <c r="I33" s="186">
        <f>IF(ISBLANK('RESUMEN VIGILANCIA'!H38),"",'RESUMEN VIGILANCIA'!H38)</f>
        <v>0.1</v>
      </c>
      <c r="J33" s="186">
        <f>IF(ISBLANK('RESUMEN VIGILANCIA'!I38),"",'RESUMEN VIGILANCIA'!I38)</f>
        <v>0.2</v>
      </c>
      <c r="K33" s="186">
        <f>IF(ISBLANK('RESUMEN VIGILANCIA'!J38),"",'RESUMEN VIGILANCIA'!J38)</f>
        <v>0.2</v>
      </c>
      <c r="L33" s="186">
        <f>IF(ISBLANK('RESUMEN VIGILANCIA'!K38),"",'RESUMEN VIGILANCIA'!K38)</f>
        <v>0.2</v>
      </c>
      <c r="M33" s="186">
        <f>IF(ISBLANK('RESUMEN VIGILANCIA'!L38),"",'RESUMEN VIGILANCIA'!L38)</f>
        <v>0.2</v>
      </c>
      <c r="N33" s="186">
        <f>IF(ISBLANK('RESUMEN VIGILANCIA'!M38),"",'RESUMEN VIGILANCIA'!M38)</f>
        <v>0.2</v>
      </c>
      <c r="O33" s="186">
        <f>IF(ISBLANK('RESUMEN VIGILANCIA'!N38),"",'RESUMEN VIGILANCIA'!N38)</f>
        <v>0.2</v>
      </c>
      <c r="P33" s="265">
        <f>IF(ISBLANK('RESUMEN VIGILANCIA'!O38),"",'RESUMEN VIGILANCIA'!O38)</f>
        <v>0.15</v>
      </c>
      <c r="Q33" s="184">
        <f>IF(ISBLANK('RESUMEN VIGILANCIA'!P38),"",'RESUMEN VIGILANCIA'!P38)</f>
        <v>0.45</v>
      </c>
      <c r="R33" s="266">
        <f>IF(ISBLANK('RESUMEN VIGILANCIA'!Q38),"",'RESUMEN VIGILANCIA'!Q38)</f>
        <v>0.5</v>
      </c>
      <c r="S33" s="265">
        <f>IF(ISBLANK('RESUMEN VIGILANCIA'!R38),"",'RESUMEN VIGILANCIA'!R38)</f>
        <v>0.8</v>
      </c>
      <c r="T33" s="265">
        <f>IF(ISBLANK('RESUMEN VIGILANCIA'!S38),"",'RESUMEN VIGILANCIA'!S38)</f>
        <v>1</v>
      </c>
      <c r="U33" s="265">
        <f>IF(ISBLANK('RESUMEN VIGILANCIA'!T38),"",'RESUMEN VIGILANCIA'!T38)</f>
        <v>1</v>
      </c>
      <c r="V33" s="265">
        <f>IF(ISBLANK('RESUMEN VIGILANCIA'!U38),"",'RESUMEN VIGILANCIA'!U38)</f>
        <v>2.5</v>
      </c>
      <c r="W33" s="265">
        <f>IF(ISBLANK('RESUMEN VIGILANCIA'!V38),"",'RESUMEN VIGILANCIA'!V38)</f>
        <v>4</v>
      </c>
      <c r="X33" s="268">
        <f>IF(ISBLANK('RESUMEN VIGILANCIA'!W38),"",'RESUMEN VIGILANCIA'!W38)</f>
        <v>10</v>
      </c>
      <c r="Y33" s="268">
        <f>IF(ISBLANK('RESUMEN VIGILANCIA'!X38),"",'RESUMEN VIGILANCIA'!X38)</f>
        <v>12</v>
      </c>
      <c r="Z33" s="453">
        <f>IF(ISBLANK('RESUMEN VIGILANCIA'!Y38),"",'RESUMEN VIGILANCIA'!Y38)</f>
        <v>320</v>
      </c>
      <c r="AA33" s="456">
        <f>IF(ISBLANK('RESUMEN VIGILANCIA'!Z38),"",'RESUMEN VIGILANCIA'!Z38)</f>
        <v>320</v>
      </c>
      <c r="AB33" s="456">
        <f>IF(ISBLANK('RESUMEN VIGILANCIA'!AA38),"",'RESUMEN VIGILANCIA'!AA38)</f>
        <v>320</v>
      </c>
      <c r="AC33" s="455">
        <f>IF(ISBLANK('RESUMEN VIGILANCIA'!AB38),"",'RESUMEN VIGILANCIA'!AB38)</f>
        <v>800</v>
      </c>
      <c r="AD33" s="379">
        <f>IF(ISBLANK('RESUMEN VIGILANCIA'!AC38),"",'RESUMEN VIGILANCIA'!AC38)</f>
        <v>3000</v>
      </c>
      <c r="AE33" s="380">
        <f>IF(ISBLANK('RESUMEN VIGILANCIA'!AD38),"",'RESUMEN VIGILANCIA'!AD38)</f>
        <v>3000</v>
      </c>
      <c r="AF33" s="380">
        <f>IF(ISBLANK('RESUMEN VIGILANCIA'!AE38),"",'RESUMEN VIGILANCIA'!AE38)</f>
        <v>3000</v>
      </c>
      <c r="AG33" s="380">
        <f>IF(ISBLANK('RESUMEN VIGILANCIA'!AF38),"",'RESUMEN VIGILANCIA'!AF38)</f>
        <v>5000</v>
      </c>
      <c r="AH33" s="380">
        <f>IF(ISBLANK('RESUMEN VIGILANCIA'!AG38),"",'RESUMEN VIGILANCIA'!AG38)</f>
        <v>8000</v>
      </c>
      <c r="AI33" s="380">
        <f>IF(ISBLANK('RESUMEN VIGILANCIA'!AH38),"",'RESUMEN VIGILANCIA'!AH38)</f>
        <v>8000</v>
      </c>
      <c r="AJ33" s="380">
        <f>IF(ISBLANK('RESUMEN VIGILANCIA'!AI38),"",'RESUMEN VIGILANCIA'!AI38)</f>
        <v>10000</v>
      </c>
      <c r="AK33" s="380">
        <f>IF(ISBLANK('RESUMEN VIGILANCIA'!AJ38),"",'RESUMEN VIGILANCIA'!AJ38)</f>
        <v>10000</v>
      </c>
      <c r="AL33" s="380">
        <f>IF(ISBLANK('RESUMEN VIGILANCIA'!AK38),"",'RESUMEN VIGILANCIA'!AK38)</f>
        <v>19800</v>
      </c>
      <c r="AM33" s="380">
        <f>IF(ISBLANK('RESUMEN VIGILANCIA'!AL38),"",'RESUMEN VIGILANCIA'!AL38)</f>
        <v>51250</v>
      </c>
      <c r="AN33" s="372">
        <f>IF(ISBLANK('RESUMEN VIGILANCIA'!AM38),"",'RESUMEN VIGILANCIA'!AM38)</f>
        <v>40000</v>
      </c>
      <c r="AO33" s="373">
        <f>IF(ISBLANK('RESUMEN VIGILANCIA'!AN38),"",'RESUMEN VIGILANCIA'!AN38)</f>
        <v>40000</v>
      </c>
      <c r="AP33" s="371">
        <f>IF(ISBLANK('RESUMEN VIGILANCIA'!AO38),"",'RESUMEN VIGILANCIA'!AO38)</f>
        <v>136000</v>
      </c>
      <c r="AQ33" s="372">
        <f>IF(ISBLANK('RESUMEN VIGILANCIA'!AP38),"",'RESUMEN VIGILANCIA'!AP38)</f>
        <v>185250</v>
      </c>
      <c r="AR33" s="372">
        <f>IF(ISBLANK('RESUMEN VIGILANCIA'!AQ38),"",'RESUMEN VIGILANCIA'!AQ38)</f>
        <v>185250</v>
      </c>
      <c r="AS33" s="372">
        <f>IF(ISBLANK('RESUMEN VIGILANCIA'!AR38),"",'RESUMEN VIGILANCIA'!AR38)</f>
        <v>185250</v>
      </c>
      <c r="AT33" s="372">
        <f>IF(ISBLANK('RESUMEN VIGILANCIA'!AS38),"",'RESUMEN VIGILANCIA'!AS38)</f>
        <v>250000</v>
      </c>
      <c r="AU33" s="372">
        <f>IF(ISBLANK('RESUMEN VIGILANCIA'!AT38),"",'RESUMEN VIGILANCIA'!AT38)</f>
        <v>250000</v>
      </c>
      <c r="AV33" s="372" t="str">
        <f>IF(ISBLANK('RESUMEN VIGILANCIA'!AU38),"",'RESUMEN VIGILANCIA'!AU38)</f>
        <v/>
      </c>
      <c r="AW33" s="372" t="str">
        <f>IF(ISBLANK('RESUMEN VIGILANCIA'!AV38),"",'RESUMEN VIGILANCIA'!AV38)</f>
        <v/>
      </c>
      <c r="AX33" s="372" t="str">
        <f>IF(ISBLANK('RESUMEN VIGILANCIA'!AW38),"",'RESUMEN VIGILANCIA'!AW38)</f>
        <v/>
      </c>
      <c r="AY33" s="372" t="str">
        <f>IF(ISBLANK('RESUMEN VIGILANCIA'!AX38),"",'RESUMEN VIGILANCIA'!AX38)</f>
        <v/>
      </c>
      <c r="AZ33" s="372" t="str">
        <f>IF(ISBLANK('RESUMEN VIGILANCIA'!AY38),"",'RESUMEN VIGILANCIA'!AY38)</f>
        <v/>
      </c>
      <c r="BA33" s="373" t="str">
        <f>IF(ISBLANK('RESUMEN VIGILANCIA'!AZ38),"",'RESUMEN VIGILANCIA'!AZ38)</f>
        <v/>
      </c>
      <c r="BB33" s="239">
        <f t="shared" si="0"/>
        <v>202844</v>
      </c>
      <c r="BC33" s="109"/>
      <c r="BD33" s="109"/>
    </row>
    <row r="34" spans="1:56" s="28" customFormat="1" ht="20.100000000000001" customHeight="1">
      <c r="A34" s="29" t="str">
        <f>'RESUMEN VIGILANCIA'!A39</f>
        <v>Familia Cegarra Villamizar</v>
      </c>
      <c r="B34" s="30" t="str">
        <f>'RESUMEN VIGILANCIA'!B39</f>
        <v>Calle Guacara Nro. 88-35</v>
      </c>
      <c r="C34" s="427" t="s">
        <v>1358</v>
      </c>
      <c r="D34" s="434" t="s">
        <v>1357</v>
      </c>
      <c r="E34" s="415" t="str">
        <f>IF(ISBLANK('RESUMEN VIGILANCIA'!D39),"",'RESUMEN VIGILANCIA'!D39)</f>
        <v/>
      </c>
      <c r="F34" s="267">
        <f>IF(ISBLANK('RESUMEN VIGILANCIA'!E39),"",'RESUMEN VIGILANCIA'!E39)</f>
        <v>0.17</v>
      </c>
      <c r="G34" s="179">
        <f>IF(ISBLANK('RESUMEN VIGILANCIA'!F39),"",'RESUMEN VIGILANCIA'!F39)</f>
        <v>0.17</v>
      </c>
      <c r="H34" s="179">
        <f>IF(ISBLANK('RESUMEN VIGILANCIA'!G39),"",'RESUMEN VIGILANCIA'!G39)</f>
        <v>0.17</v>
      </c>
      <c r="I34" s="179">
        <f>IF(ISBLANK('RESUMEN VIGILANCIA'!H39),"",'RESUMEN VIGILANCIA'!H39)</f>
        <v>0.17</v>
      </c>
      <c r="J34" s="179">
        <f>IF(ISBLANK('RESUMEN VIGILANCIA'!I39),"",'RESUMEN VIGILANCIA'!I39)</f>
        <v>0.26</v>
      </c>
      <c r="K34" s="179">
        <f>IF(ISBLANK('RESUMEN VIGILANCIA'!J39),"",'RESUMEN VIGILANCIA'!J39)</f>
        <v>0.26</v>
      </c>
      <c r="L34" s="186">
        <f>IF(ISBLANK('RESUMEN VIGILANCIA'!K39),"",'RESUMEN VIGILANCIA'!K39)</f>
        <v>0.3</v>
      </c>
      <c r="M34" s="186">
        <f>IF(ISBLANK('RESUMEN VIGILANCIA'!L39),"",'RESUMEN VIGILANCIA'!L39)</f>
        <v>0.3</v>
      </c>
      <c r="N34" s="179">
        <f>IF(ISBLANK('RESUMEN VIGILANCIA'!M39),"",'RESUMEN VIGILANCIA'!M39)</f>
        <v>0.35</v>
      </c>
      <c r="O34" s="179">
        <f>IF(ISBLANK('RESUMEN VIGILANCIA'!N39),"",'RESUMEN VIGILANCIA'!N39)</f>
        <v>0.35</v>
      </c>
      <c r="P34" s="268">
        <f>IF(ISBLANK('RESUMEN VIGILANCIA'!O39),"",'RESUMEN VIGILANCIA'!O39)</f>
        <v>0.5</v>
      </c>
      <c r="Q34" s="177">
        <f>IF(ISBLANK('RESUMEN VIGILANCIA'!P39),"",'RESUMEN VIGILANCIA'!P39)</f>
        <v>0.5</v>
      </c>
      <c r="R34" s="269">
        <f>IF(ISBLANK('RESUMEN VIGILANCIA'!Q39),"",'RESUMEN VIGILANCIA'!Q39)</f>
        <v>0.8</v>
      </c>
      <c r="S34" s="268">
        <f>IF(ISBLANK('RESUMEN VIGILANCIA'!R39),"",'RESUMEN VIGILANCIA'!R39)</f>
        <v>0.8</v>
      </c>
      <c r="T34" s="268">
        <f>IF(ISBLANK('RESUMEN VIGILANCIA'!S39),"",'RESUMEN VIGILANCIA'!S39)</f>
        <v>1.4</v>
      </c>
      <c r="U34" s="268">
        <f>IF(ISBLANK('RESUMEN VIGILANCIA'!T39),"",'RESUMEN VIGILANCIA'!T39)</f>
        <v>1.4</v>
      </c>
      <c r="V34" s="268">
        <f>IF(ISBLANK('RESUMEN VIGILANCIA'!U39),"",'RESUMEN VIGILANCIA'!U39)</f>
        <v>4</v>
      </c>
      <c r="W34" s="268">
        <f>IF(ISBLANK('RESUMEN VIGILANCIA'!V39),"",'RESUMEN VIGILANCIA'!V39)</f>
        <v>6.25</v>
      </c>
      <c r="X34" s="270">
        <f>IF(ISBLANK('RESUMEN VIGILANCIA'!W39),"",'RESUMEN VIGILANCIA'!W39)</f>
        <v>10</v>
      </c>
      <c r="Y34" s="268">
        <f>IF(ISBLANK('RESUMEN VIGILANCIA'!X39),"",'RESUMEN VIGILANCIA'!X39)</f>
        <v>12</v>
      </c>
      <c r="Z34" s="453">
        <f>IF(ISBLANK('RESUMEN VIGILANCIA'!Y39),"",'RESUMEN VIGILANCIA'!Y39)</f>
        <v>320</v>
      </c>
      <c r="AA34" s="453">
        <f>IF(ISBLANK('RESUMEN VIGILANCIA'!Z39),"",'RESUMEN VIGILANCIA'!Z39)</f>
        <v>320</v>
      </c>
      <c r="AB34" s="453">
        <f>IF(ISBLANK('RESUMEN VIGILANCIA'!AA39),"",'RESUMEN VIGILANCIA'!AA39)</f>
        <v>320</v>
      </c>
      <c r="AC34" s="454">
        <f>IF(ISBLANK('RESUMEN VIGILANCIA'!AB39),"",'RESUMEN VIGILANCIA'!AB39)</f>
        <v>800</v>
      </c>
      <c r="AD34" s="374">
        <f>IF(ISBLANK('RESUMEN VIGILANCIA'!AC39),"",'RESUMEN VIGILANCIA'!AC39)</f>
        <v>3000</v>
      </c>
      <c r="AE34" s="375">
        <f>IF(ISBLANK('RESUMEN VIGILANCIA'!AD39),"",'RESUMEN VIGILANCIA'!AD39)</f>
        <v>3000</v>
      </c>
      <c r="AF34" s="375">
        <f>IF(ISBLANK('RESUMEN VIGILANCIA'!AE39),"",'RESUMEN VIGILANCIA'!AE39)</f>
        <v>3000</v>
      </c>
      <c r="AG34" s="375">
        <f>IF(ISBLANK('RESUMEN VIGILANCIA'!AF39),"",'RESUMEN VIGILANCIA'!AF39)</f>
        <v>4880</v>
      </c>
      <c r="AH34" s="375">
        <f>IF(ISBLANK('RESUMEN VIGILANCIA'!AG39),"",'RESUMEN VIGILANCIA'!AG39)</f>
        <v>8000</v>
      </c>
      <c r="AI34" s="375">
        <f>IF(ISBLANK('RESUMEN VIGILANCIA'!AH39),"",'RESUMEN VIGILANCIA'!AH39)</f>
        <v>8000</v>
      </c>
      <c r="AJ34" s="375">
        <f>IF(ISBLANK('RESUMEN VIGILANCIA'!AI39),"",'RESUMEN VIGILANCIA'!AI39)</f>
        <v>10000</v>
      </c>
      <c r="AK34" s="375">
        <f>IF(ISBLANK('RESUMEN VIGILANCIA'!AJ39),"",'RESUMEN VIGILANCIA'!AJ39)</f>
        <v>10000</v>
      </c>
      <c r="AL34" s="375">
        <f>IF(ISBLANK('RESUMEN VIGILANCIA'!AK39),"",'RESUMEN VIGILANCIA'!AK39)</f>
        <v>81750</v>
      </c>
      <c r="AM34" s="375">
        <f>IF(ISBLANK('RESUMEN VIGILANCIA'!AL39),"",'RESUMEN VIGILANCIA'!AL39)</f>
        <v>81750</v>
      </c>
      <c r="AN34" s="375">
        <f>IF(ISBLANK('RESUMEN VIGILANCIA'!AM39),"",'RESUMEN VIGILANCIA'!AM39)</f>
        <v>81750</v>
      </c>
      <c r="AO34" s="376">
        <f>IF(ISBLANK('RESUMEN VIGILANCIA'!AN39),"",'RESUMEN VIGILANCIA'!AN39)</f>
        <v>185250</v>
      </c>
      <c r="AP34" s="374">
        <f>IF(ISBLANK('RESUMEN VIGILANCIA'!AO39),"",'RESUMEN VIGILANCIA'!AO39)</f>
        <v>185250</v>
      </c>
      <c r="AQ34" s="375">
        <f>IF(ISBLANK('RESUMEN VIGILANCIA'!AP39),"",'RESUMEN VIGILANCIA'!AP39)</f>
        <v>185250</v>
      </c>
      <c r="AR34" s="375">
        <f>IF(ISBLANK('RESUMEN VIGILANCIA'!AQ39),"",'RESUMEN VIGILANCIA'!AQ39)</f>
        <v>185250</v>
      </c>
      <c r="AS34" s="375">
        <f>IF(ISBLANK('RESUMEN VIGILANCIA'!AR39),"",'RESUMEN VIGILANCIA'!AR39)</f>
        <v>185250</v>
      </c>
      <c r="AT34" s="375">
        <f>IF(ISBLANK('RESUMEN VIGILANCIA'!AS39),"",'RESUMEN VIGILANCIA'!AS39)</f>
        <v>250000</v>
      </c>
      <c r="AU34" s="375" t="str">
        <f>IF(ISBLANK('RESUMEN VIGILANCIA'!AT39),"",'RESUMEN VIGILANCIA'!AT39)</f>
        <v/>
      </c>
      <c r="AV34" s="375" t="str">
        <f>IF(ISBLANK('RESUMEN VIGILANCIA'!AU39),"",'RESUMEN VIGILANCIA'!AU39)</f>
        <v/>
      </c>
      <c r="AW34" s="375" t="str">
        <f>IF(ISBLANK('RESUMEN VIGILANCIA'!AV39),"",'RESUMEN VIGILANCIA'!AV39)</f>
        <v/>
      </c>
      <c r="AX34" s="375" t="str">
        <f>IF(ISBLANK('RESUMEN VIGILANCIA'!AW39),"",'RESUMEN VIGILANCIA'!AW39)</f>
        <v/>
      </c>
      <c r="AY34" s="375" t="str">
        <f>IF(ISBLANK('RESUMEN VIGILANCIA'!AX39),"",'RESUMEN VIGILANCIA'!AX39)</f>
        <v/>
      </c>
      <c r="AZ34" s="375" t="str">
        <f>IF(ISBLANK('RESUMEN VIGILANCIA'!AY39),"",'RESUMEN VIGILANCIA'!AY39)</f>
        <v/>
      </c>
      <c r="BA34" s="376" t="str">
        <f>IF(ISBLANK('RESUMEN VIGILANCIA'!AZ39),"",'RESUMEN VIGILANCIA'!AZ39)</f>
        <v/>
      </c>
      <c r="BB34" s="240">
        <f t="shared" si="0"/>
        <v>482180.15</v>
      </c>
      <c r="BC34" s="110"/>
      <c r="BD34" s="110"/>
    </row>
    <row r="35" spans="1:56" s="28" customFormat="1" ht="20.100000000000001" customHeight="1">
      <c r="A35" s="29" t="str">
        <f>'RESUMEN VIGILANCIA'!A41</f>
        <v>Familia Hatem Medina</v>
      </c>
      <c r="B35" s="30" t="str">
        <f>'RESUMEN VIGILANCIA'!B41</f>
        <v>Calle Guacara Nro. 88-51</v>
      </c>
      <c r="C35" s="427" t="s">
        <v>1358</v>
      </c>
      <c r="D35" s="434" t="s">
        <v>1357</v>
      </c>
      <c r="E35" s="415" t="str">
        <f>IF(ISBLANK('RESUMEN VIGILANCIA'!D41),"",'RESUMEN VIGILANCIA'!D41)</f>
        <v/>
      </c>
      <c r="F35" s="271">
        <f>IF(ISBLANK('RESUMEN VIGILANCIA'!E41),"",'RESUMEN VIGILANCIA'!E41)</f>
        <v>0.105</v>
      </c>
      <c r="G35" s="180">
        <f>IF(ISBLANK('RESUMEN VIGILANCIA'!F41),"",'RESUMEN VIGILANCIA'!F41)</f>
        <v>0.16</v>
      </c>
      <c r="H35" s="180">
        <f>IF(ISBLANK('RESUMEN VIGILANCIA'!G41),"",'RESUMEN VIGILANCIA'!G41)</f>
        <v>0.16</v>
      </c>
      <c r="I35" s="180">
        <f>IF(ISBLANK('RESUMEN VIGILANCIA'!H41),"",'RESUMEN VIGILANCIA'!H41)</f>
        <v>0.17100000000000001</v>
      </c>
      <c r="J35" s="179">
        <f>IF(ISBLANK('RESUMEN VIGILANCIA'!I41),"",'RESUMEN VIGILANCIA'!I41)</f>
        <v>0.26</v>
      </c>
      <c r="K35" s="179">
        <f>IF(ISBLANK('RESUMEN VIGILANCIA'!J41),"",'RESUMEN VIGILANCIA'!J41)</f>
        <v>0.26</v>
      </c>
      <c r="L35" s="179">
        <f>IF(ISBLANK('RESUMEN VIGILANCIA'!K41),"",'RESUMEN VIGILANCIA'!K41)</f>
        <v>0.3</v>
      </c>
      <c r="M35" s="179">
        <f>IF(ISBLANK('RESUMEN VIGILANCIA'!L41),"",'RESUMEN VIGILANCIA'!L41)</f>
        <v>0.3</v>
      </c>
      <c r="N35" s="179">
        <f>IF(ISBLANK('RESUMEN VIGILANCIA'!M41),"",'RESUMEN VIGILANCIA'!M41)</f>
        <v>0.35</v>
      </c>
      <c r="O35" s="179">
        <f>IF(ISBLANK('RESUMEN VIGILANCIA'!N41),"",'RESUMEN VIGILANCIA'!N41)</f>
        <v>0.35</v>
      </c>
      <c r="P35" s="268">
        <f>IF(ISBLANK('RESUMEN VIGILANCIA'!O41),"",'RESUMEN VIGILANCIA'!O41)</f>
        <v>0.5</v>
      </c>
      <c r="Q35" s="177">
        <f>IF(ISBLANK('RESUMEN VIGILANCIA'!P41),"",'RESUMEN VIGILANCIA'!P41)</f>
        <v>0.5</v>
      </c>
      <c r="R35" s="269">
        <f>IF(ISBLANK('RESUMEN VIGILANCIA'!Q41),"",'RESUMEN VIGILANCIA'!Q41)</f>
        <v>0.8</v>
      </c>
      <c r="S35" s="268">
        <f>IF(ISBLANK('RESUMEN VIGILANCIA'!R41),"",'RESUMEN VIGILANCIA'!R41)</f>
        <v>0.8</v>
      </c>
      <c r="T35" s="268">
        <f>IF(ISBLANK('RESUMEN VIGILANCIA'!S41),"",'RESUMEN VIGILANCIA'!S41)</f>
        <v>1.4</v>
      </c>
      <c r="U35" s="268">
        <f>IF(ISBLANK('RESUMEN VIGILANCIA'!T41),"",'RESUMEN VIGILANCIA'!T41)</f>
        <v>1.4</v>
      </c>
      <c r="V35" s="268">
        <f>IF(ISBLANK('RESUMEN VIGILANCIA'!U41),"",'RESUMEN VIGILANCIA'!U41)</f>
        <v>4</v>
      </c>
      <c r="W35" s="268">
        <f>IF(ISBLANK('RESUMEN VIGILANCIA'!V41),"",'RESUMEN VIGILANCIA'!V41)</f>
        <v>6.25</v>
      </c>
      <c r="X35" s="268">
        <f>IF(ISBLANK('RESUMEN VIGILANCIA'!W41),"",'RESUMEN VIGILANCIA'!W41)</f>
        <v>10</v>
      </c>
      <c r="Y35" s="268">
        <f>IF(ISBLANK('RESUMEN VIGILANCIA'!X41),"",'RESUMEN VIGILANCIA'!X41)</f>
        <v>12</v>
      </c>
      <c r="Z35" s="453">
        <f>IF(ISBLANK('RESUMEN VIGILANCIA'!Y41),"",'RESUMEN VIGILANCIA'!Y41)</f>
        <v>320</v>
      </c>
      <c r="AA35" s="453">
        <f>IF(ISBLANK('RESUMEN VIGILANCIA'!Z41),"",'RESUMEN VIGILANCIA'!Z41)</f>
        <v>320</v>
      </c>
      <c r="AB35" s="453">
        <f>IF(ISBLANK('RESUMEN VIGILANCIA'!AA41),"",'RESUMEN VIGILANCIA'!AA41)</f>
        <v>320</v>
      </c>
      <c r="AC35" s="454">
        <f>IF(ISBLANK('RESUMEN VIGILANCIA'!AB41),"",'RESUMEN VIGILANCIA'!AB41)</f>
        <v>800</v>
      </c>
      <c r="AD35" s="374">
        <f>IF(ISBLANK('RESUMEN VIGILANCIA'!AC41),"",'RESUMEN VIGILANCIA'!AC41)</f>
        <v>3000</v>
      </c>
      <c r="AE35" s="375">
        <f>IF(ISBLANK('RESUMEN VIGILANCIA'!AD41),"",'RESUMEN VIGILANCIA'!AD41)</f>
        <v>3000</v>
      </c>
      <c r="AF35" s="375">
        <f>IF(ISBLANK('RESUMEN VIGILANCIA'!AE41),"",'RESUMEN VIGILANCIA'!AE41)</f>
        <v>3000</v>
      </c>
      <c r="AG35" s="375">
        <f>IF(ISBLANK('RESUMEN VIGILANCIA'!AF41),"",'RESUMEN VIGILANCIA'!AF41)</f>
        <v>5000</v>
      </c>
      <c r="AH35" s="375">
        <f>IF(ISBLANK('RESUMEN VIGILANCIA'!AG41),"",'RESUMEN VIGILANCIA'!AG41)</f>
        <v>8000</v>
      </c>
      <c r="AI35" s="375">
        <f>IF(ISBLANK('RESUMEN VIGILANCIA'!AH41),"",'RESUMEN VIGILANCIA'!AH41)</f>
        <v>12040</v>
      </c>
      <c r="AJ35" s="375">
        <f>IF(ISBLANK('RESUMEN VIGILANCIA'!AI41),"",'RESUMEN VIGILANCIA'!AI41)</f>
        <v>10000</v>
      </c>
      <c r="AK35" s="375">
        <f>IF(ISBLANK('RESUMEN VIGILANCIA'!AJ41),"",'RESUMEN VIGILANCIA'!AJ41)</f>
        <v>10000</v>
      </c>
      <c r="AL35" s="375">
        <f>IF(ISBLANK('RESUMEN VIGILANCIA'!AK41),"",'RESUMEN VIGILANCIA'!AK41)</f>
        <v>19800</v>
      </c>
      <c r="AM35" s="375">
        <f>IF(ISBLANK('RESUMEN VIGILANCIA'!AL41),"",'RESUMEN VIGILANCIA'!AL41)</f>
        <v>47000</v>
      </c>
      <c r="AN35" s="375">
        <f>IF(ISBLANK('RESUMEN VIGILANCIA'!AM41),"",'RESUMEN VIGILANCIA'!AM41)</f>
        <v>56250</v>
      </c>
      <c r="AO35" s="376">
        <f>IF(ISBLANK('RESUMEN VIGILANCIA'!AN41),"",'RESUMEN VIGILANCIA'!AN41)</f>
        <v>81750</v>
      </c>
      <c r="AP35" s="374">
        <f>IF(ISBLANK('RESUMEN VIGILANCIA'!AO41),"",'RESUMEN VIGILANCIA'!AO41)</f>
        <v>136250</v>
      </c>
      <c r="AQ35" s="375">
        <f>IF(ISBLANK('RESUMEN VIGILANCIA'!AP41),"",'RESUMEN VIGILANCIA'!AP41)</f>
        <v>136250</v>
      </c>
      <c r="AR35" s="375">
        <f>IF(ISBLANK('RESUMEN VIGILANCIA'!AQ41),"",'RESUMEN VIGILANCIA'!AQ41)</f>
        <v>185250</v>
      </c>
      <c r="AS35" s="375">
        <f>IF(ISBLANK('RESUMEN VIGILANCIA'!AR41),"",'RESUMEN VIGILANCIA'!AR41)</f>
        <v>185250</v>
      </c>
      <c r="AT35" s="375">
        <f>IF(ISBLANK('RESUMEN VIGILANCIA'!AS41),"",'RESUMEN VIGILANCIA'!AS41)</f>
        <v>250000</v>
      </c>
      <c r="AU35" s="375">
        <f>IF(ISBLANK('RESUMEN VIGILANCIA'!AT41),"",'RESUMEN VIGILANCIA'!AT41)</f>
        <v>250000</v>
      </c>
      <c r="AV35" s="375" t="str">
        <f>IF(ISBLANK('RESUMEN VIGILANCIA'!AU41),"",'RESUMEN VIGILANCIA'!AU41)</f>
        <v/>
      </c>
      <c r="AW35" s="375" t="str">
        <f>IF(ISBLANK('RESUMEN VIGILANCIA'!AV41),"",'RESUMEN VIGILANCIA'!AV41)</f>
        <v/>
      </c>
      <c r="AX35" s="375" t="str">
        <f>IF(ISBLANK('RESUMEN VIGILANCIA'!AW41),"",'RESUMEN VIGILANCIA'!AW41)</f>
        <v/>
      </c>
      <c r="AY35" s="375" t="str">
        <f>IF(ISBLANK('RESUMEN VIGILANCIA'!AX41),"",'RESUMEN VIGILANCIA'!AX41)</f>
        <v/>
      </c>
      <c r="AZ35" s="375" t="str">
        <f>IF(ISBLANK('RESUMEN VIGILANCIA'!AY41),"",'RESUMEN VIGILANCIA'!AY41)</f>
        <v/>
      </c>
      <c r="BA35" s="376" t="str">
        <f>IF(ISBLANK('RESUMEN VIGILANCIA'!AZ41),"",'RESUMEN VIGILANCIA'!AZ41)</f>
        <v/>
      </c>
      <c r="BB35" s="240">
        <f t="shared" ref="BB35:BB69" si="2">SUM(E35:AO35)</f>
        <v>260640.06599999999</v>
      </c>
      <c r="BC35" s="110"/>
      <c r="BD35" s="110"/>
    </row>
    <row r="36" spans="1:56" s="28" customFormat="1" ht="20.100000000000001" customHeight="1">
      <c r="A36" s="29" t="str">
        <f>'RESUMEN VIGILANCIA'!A40</f>
        <v>Familia Del Negro Palermo</v>
      </c>
      <c r="B36" s="30" t="str">
        <f>'RESUMEN VIGILANCIA'!B40</f>
        <v>Calle Guacara Nro. 88-45</v>
      </c>
      <c r="C36" s="427" t="s">
        <v>1358</v>
      </c>
      <c r="D36" s="434" t="s">
        <v>1357</v>
      </c>
      <c r="E36" s="415" t="str">
        <f>IF(ISBLANK('RESUMEN VIGILANCIA'!D40),"",'RESUMEN VIGILANCIA'!D40)</f>
        <v/>
      </c>
      <c r="F36" s="267">
        <f>IF(ISBLANK('RESUMEN VIGILANCIA'!E40),"",'RESUMEN VIGILANCIA'!E40)</f>
        <v>0.16999999999999998</v>
      </c>
      <c r="G36" s="179">
        <f>IF(ISBLANK('RESUMEN VIGILANCIA'!F40),"",'RESUMEN VIGILANCIA'!F40)</f>
        <v>0.17</v>
      </c>
      <c r="H36" s="179">
        <f>IF(ISBLANK('RESUMEN VIGILANCIA'!G40),"",'RESUMEN VIGILANCIA'!G40)</f>
        <v>0.17</v>
      </c>
      <c r="I36" s="179">
        <f>IF(ISBLANK('RESUMEN VIGILANCIA'!H40),"",'RESUMEN VIGILANCIA'!H40)</f>
        <v>0.17</v>
      </c>
      <c r="J36" s="179">
        <f>IF(ISBLANK('RESUMEN VIGILANCIA'!I40),"",'RESUMEN VIGILANCIA'!I40)</f>
        <v>0.26</v>
      </c>
      <c r="K36" s="179">
        <f>IF(ISBLANK('RESUMEN VIGILANCIA'!J40),"",'RESUMEN VIGILANCIA'!J40)</f>
        <v>0.26</v>
      </c>
      <c r="L36" s="179">
        <f>IF(ISBLANK('RESUMEN VIGILANCIA'!K40),"",'RESUMEN VIGILANCIA'!K40)</f>
        <v>0.35</v>
      </c>
      <c r="M36" s="179">
        <f>IF(ISBLANK('RESUMEN VIGILANCIA'!L40),"",'RESUMEN VIGILANCIA'!L40)</f>
        <v>0.35</v>
      </c>
      <c r="N36" s="179">
        <f>IF(ISBLANK('RESUMEN VIGILANCIA'!M40),"",'RESUMEN VIGILANCIA'!M40)</f>
        <v>0.35</v>
      </c>
      <c r="O36" s="179">
        <f>IF(ISBLANK('RESUMEN VIGILANCIA'!N40),"",'RESUMEN VIGILANCIA'!N40)</f>
        <v>0.35</v>
      </c>
      <c r="P36" s="268">
        <f>IF(ISBLANK('RESUMEN VIGILANCIA'!O40),"",'RESUMEN VIGILANCIA'!O40)</f>
        <v>0.5</v>
      </c>
      <c r="Q36" s="177">
        <f>IF(ISBLANK('RESUMEN VIGILANCIA'!P40),"",'RESUMEN VIGILANCIA'!P40)</f>
        <v>0.5</v>
      </c>
      <c r="R36" s="269">
        <f>IF(ISBLANK('RESUMEN VIGILANCIA'!Q40),"",'RESUMEN VIGILANCIA'!Q40)</f>
        <v>0.8</v>
      </c>
      <c r="S36" s="268">
        <f>IF(ISBLANK('RESUMEN VIGILANCIA'!R40),"",'RESUMEN VIGILANCIA'!R40)</f>
        <v>0.8</v>
      </c>
      <c r="T36" s="268">
        <f>IF(ISBLANK('RESUMEN VIGILANCIA'!S40),"",'RESUMEN VIGILANCIA'!S40)</f>
        <v>1.4</v>
      </c>
      <c r="U36" s="268">
        <f>IF(ISBLANK('RESUMEN VIGILANCIA'!T40),"",'RESUMEN VIGILANCIA'!T40)</f>
        <v>1.4</v>
      </c>
      <c r="V36" s="268">
        <f>IF(ISBLANK('RESUMEN VIGILANCIA'!U40),"",'RESUMEN VIGILANCIA'!U40)</f>
        <v>4</v>
      </c>
      <c r="W36" s="268">
        <f>IF(ISBLANK('RESUMEN VIGILANCIA'!V40),"",'RESUMEN VIGILANCIA'!V40)</f>
        <v>6.25</v>
      </c>
      <c r="X36" s="268">
        <f>IF(ISBLANK('RESUMEN VIGILANCIA'!W40),"",'RESUMEN VIGILANCIA'!W40)</f>
        <v>10</v>
      </c>
      <c r="Y36" s="268">
        <f>IF(ISBLANK('RESUMEN VIGILANCIA'!X40),"",'RESUMEN VIGILANCIA'!X40)</f>
        <v>12</v>
      </c>
      <c r="Z36" s="453">
        <f>IF(ISBLANK('RESUMEN VIGILANCIA'!Y40),"",'RESUMEN VIGILANCIA'!Y40)</f>
        <v>320</v>
      </c>
      <c r="AA36" s="453">
        <f>IF(ISBLANK('RESUMEN VIGILANCIA'!Z40),"",'RESUMEN VIGILANCIA'!Z40)</f>
        <v>320</v>
      </c>
      <c r="AB36" s="453">
        <f>IF(ISBLANK('RESUMEN VIGILANCIA'!AA40),"",'RESUMEN VIGILANCIA'!AA40)</f>
        <v>320</v>
      </c>
      <c r="AC36" s="454">
        <f>IF(ISBLANK('RESUMEN VIGILANCIA'!AB40),"",'RESUMEN VIGILANCIA'!AB40)</f>
        <v>800</v>
      </c>
      <c r="AD36" s="374">
        <f>IF(ISBLANK('RESUMEN VIGILANCIA'!AC40),"",'RESUMEN VIGILANCIA'!AC40)</f>
        <v>3000</v>
      </c>
      <c r="AE36" s="375">
        <f>IF(ISBLANK('RESUMEN VIGILANCIA'!AD40),"",'RESUMEN VIGILANCIA'!AD40)</f>
        <v>3000</v>
      </c>
      <c r="AF36" s="375">
        <f>IF(ISBLANK('RESUMEN VIGILANCIA'!AE40),"",'RESUMEN VIGILANCIA'!AE40)</f>
        <v>3000</v>
      </c>
      <c r="AG36" s="375">
        <f>IF(ISBLANK('RESUMEN VIGILANCIA'!AF40),"",'RESUMEN VIGILANCIA'!AF40)</f>
        <v>5000</v>
      </c>
      <c r="AH36" s="375">
        <f>IF(ISBLANK('RESUMEN VIGILANCIA'!AG40),"",'RESUMEN VIGILANCIA'!AG40)</f>
        <v>8000</v>
      </c>
      <c r="AI36" s="375">
        <f>IF(ISBLANK('RESUMEN VIGILANCIA'!AH40),"",'RESUMEN VIGILANCIA'!AH40)</f>
        <v>8000</v>
      </c>
      <c r="AJ36" s="375">
        <f>IF(ISBLANK('RESUMEN VIGILANCIA'!AI40),"",'RESUMEN VIGILANCIA'!AI40)</f>
        <v>10000</v>
      </c>
      <c r="AK36" s="375">
        <f>IF(ISBLANK('RESUMEN VIGILANCIA'!AJ40),"",'RESUMEN VIGILANCIA'!AJ40)</f>
        <v>10000</v>
      </c>
      <c r="AL36" s="375">
        <f>IF(ISBLANK('RESUMEN VIGILANCIA'!AK40),"",'RESUMEN VIGILANCIA'!AK40)</f>
        <v>23400</v>
      </c>
      <c r="AM36" s="375">
        <f>IF(ISBLANK('RESUMEN VIGILANCIA'!AL40),"",'RESUMEN VIGILANCIA'!AL40)</f>
        <v>64500</v>
      </c>
      <c r="AN36" s="375">
        <f>IF(ISBLANK('RESUMEN VIGILANCIA'!AM40),"",'RESUMEN VIGILANCIA'!AM40)</f>
        <v>64500</v>
      </c>
      <c r="AO36" s="376">
        <f>IF(ISBLANK('RESUMEN VIGILANCIA'!AN40),"",'RESUMEN VIGILANCIA'!AN40)</f>
        <v>81750</v>
      </c>
      <c r="AP36" s="374">
        <f>IF(ISBLANK('RESUMEN VIGILANCIA'!AO40),"",'RESUMEN VIGILANCIA'!AO40)</f>
        <v>136250</v>
      </c>
      <c r="AQ36" s="375">
        <f>IF(ISBLANK('RESUMEN VIGILANCIA'!AP40),"",'RESUMEN VIGILANCIA'!AP40)</f>
        <v>136250</v>
      </c>
      <c r="AR36" s="375">
        <f>IF(ISBLANK('RESUMEN VIGILANCIA'!AQ40),"",'RESUMEN VIGILANCIA'!AQ40)</f>
        <v>185250</v>
      </c>
      <c r="AS36" s="375">
        <f>IF(ISBLANK('RESUMEN VIGILANCIA'!AR40),"",'RESUMEN VIGILANCIA'!AR40)</f>
        <v>185250</v>
      </c>
      <c r="AT36" s="375">
        <f>IF(ISBLANK('RESUMEN VIGILANCIA'!AS40),"",'RESUMEN VIGILANCIA'!AS40)</f>
        <v>250000</v>
      </c>
      <c r="AU36" s="375">
        <f>IF(ISBLANK('RESUMEN VIGILANCIA'!AT40),"",'RESUMEN VIGILANCIA'!AT40)</f>
        <v>250000</v>
      </c>
      <c r="AV36" s="375" t="str">
        <f>IF(ISBLANK('RESUMEN VIGILANCIA'!AU40),"",'RESUMEN VIGILANCIA'!AU40)</f>
        <v/>
      </c>
      <c r="AW36" s="375" t="str">
        <f>IF(ISBLANK('RESUMEN VIGILANCIA'!AV40),"",'RESUMEN VIGILANCIA'!AV40)</f>
        <v/>
      </c>
      <c r="AX36" s="375" t="str">
        <f>IF(ISBLANK('RESUMEN VIGILANCIA'!AW40),"",'RESUMEN VIGILANCIA'!AW40)</f>
        <v/>
      </c>
      <c r="AY36" s="375" t="str">
        <f>IF(ISBLANK('RESUMEN VIGILANCIA'!AX40),"",'RESUMEN VIGILANCIA'!AX40)</f>
        <v/>
      </c>
      <c r="AZ36" s="375" t="str">
        <f>IF(ISBLANK('RESUMEN VIGILANCIA'!AY40),"",'RESUMEN VIGILANCIA'!AY40)</f>
        <v/>
      </c>
      <c r="BA36" s="376" t="str">
        <f>IF(ISBLANK('RESUMEN VIGILANCIA'!AZ40),"",'RESUMEN VIGILANCIA'!AZ40)</f>
        <v/>
      </c>
      <c r="BB36" s="240">
        <f t="shared" si="2"/>
        <v>285950.25</v>
      </c>
      <c r="BC36" s="110"/>
      <c r="BD36" s="110"/>
    </row>
    <row r="37" spans="1:56" s="28" customFormat="1" ht="20.100000000000001" customHeight="1">
      <c r="A37" s="29" t="str">
        <f>'RESUMEN VIGILANCIA'!A42</f>
        <v>Familia Leung</v>
      </c>
      <c r="B37" s="30" t="str">
        <f>'RESUMEN VIGILANCIA'!B42</f>
        <v>Calle Guacara Nro. 88-55</v>
      </c>
      <c r="C37" s="427" t="s">
        <v>1358</v>
      </c>
      <c r="D37" s="434" t="s">
        <v>1357</v>
      </c>
      <c r="E37" s="415" t="str">
        <f>IF(ISBLANK('RESUMEN VIGILANCIA'!D42),"",'RESUMEN VIGILANCIA'!D42)</f>
        <v/>
      </c>
      <c r="F37" s="267">
        <f>IF(ISBLANK('RESUMEN VIGILANCIA'!E42),"",'RESUMEN VIGILANCIA'!E42)</f>
        <v>0.17</v>
      </c>
      <c r="G37" s="179">
        <f>IF(ISBLANK('RESUMEN VIGILANCIA'!F42),"",'RESUMEN VIGILANCIA'!F42)</f>
        <v>0.17</v>
      </c>
      <c r="H37" s="179">
        <f>IF(ISBLANK('RESUMEN VIGILANCIA'!G42),"",'RESUMEN VIGILANCIA'!G42)</f>
        <v>0.17</v>
      </c>
      <c r="I37" s="179">
        <f>IF(ISBLANK('RESUMEN VIGILANCIA'!H42),"",'RESUMEN VIGILANCIA'!H42)</f>
        <v>0.17</v>
      </c>
      <c r="J37" s="179">
        <f>IF(ISBLANK('RESUMEN VIGILANCIA'!I42),"",'RESUMEN VIGILANCIA'!I42)</f>
        <v>0.26</v>
      </c>
      <c r="K37" s="179" t="str">
        <f>IF(ISBLANK('RESUMEN VIGILANCIA'!J42),"",'RESUMEN VIGILANCIA'!J42)</f>
        <v>- - -</v>
      </c>
      <c r="L37" s="179" t="str">
        <f>IF(ISBLANK('RESUMEN VIGILANCIA'!K42),"",'RESUMEN VIGILANCIA'!K42)</f>
        <v>- - -</v>
      </c>
      <c r="M37" s="179" t="str">
        <f>IF(ISBLANK('RESUMEN VIGILANCIA'!L42),"",'RESUMEN VIGILANCIA'!L42)</f>
        <v>- - -</v>
      </c>
      <c r="N37" s="179" t="str">
        <f>IF(ISBLANK('RESUMEN VIGILANCIA'!M42),"",'RESUMEN VIGILANCIA'!M42)</f>
        <v>- - -</v>
      </c>
      <c r="O37" s="179" t="str">
        <f>IF(ISBLANK('RESUMEN VIGILANCIA'!N42),"",'RESUMEN VIGILANCIA'!N42)</f>
        <v>- - -</v>
      </c>
      <c r="P37" s="268" t="str">
        <f>IF(ISBLANK('RESUMEN VIGILANCIA'!O42),"",'RESUMEN VIGILANCIA'!O42)</f>
        <v>- - -</v>
      </c>
      <c r="Q37" s="177" t="str">
        <f>IF(ISBLANK('RESUMEN VIGILANCIA'!P42),"",'RESUMEN VIGILANCIA'!P42)</f>
        <v>- - -</v>
      </c>
      <c r="R37" s="269">
        <f>IF(ISBLANK('RESUMEN VIGILANCIA'!Q42),"",'RESUMEN VIGILANCIA'!Q42)</f>
        <v>0.8</v>
      </c>
      <c r="S37" s="268">
        <f>IF(ISBLANK('RESUMEN VIGILANCIA'!R42),"",'RESUMEN VIGILANCIA'!R42)</f>
        <v>0.8</v>
      </c>
      <c r="T37" s="268">
        <f>IF(ISBLANK('RESUMEN VIGILANCIA'!S42),"",'RESUMEN VIGILANCIA'!S42)</f>
        <v>1.4</v>
      </c>
      <c r="U37" s="268">
        <f>IF(ISBLANK('RESUMEN VIGILANCIA'!T42),"",'RESUMEN VIGILANCIA'!T42)</f>
        <v>1.4</v>
      </c>
      <c r="V37" s="268">
        <f>IF(ISBLANK('RESUMEN VIGILANCIA'!U42),"",'RESUMEN VIGILANCIA'!U42)</f>
        <v>4</v>
      </c>
      <c r="W37" s="268">
        <f>IF(ISBLANK('RESUMEN VIGILANCIA'!V42),"",'RESUMEN VIGILANCIA'!V42)</f>
        <v>4</v>
      </c>
      <c r="X37" s="268">
        <f>IF(ISBLANK('RESUMEN VIGILANCIA'!W42),"",'RESUMEN VIGILANCIA'!W42)</f>
        <v>10</v>
      </c>
      <c r="Y37" s="268">
        <f>IF(ISBLANK('RESUMEN VIGILANCIA'!X42),"",'RESUMEN VIGILANCIA'!X42)</f>
        <v>12</v>
      </c>
      <c r="Z37" s="453">
        <f>IF(ISBLANK('RESUMEN VIGILANCIA'!Y42),"",'RESUMEN VIGILANCIA'!Y42)</f>
        <v>320</v>
      </c>
      <c r="AA37" s="453">
        <f>IF(ISBLANK('RESUMEN VIGILANCIA'!Z42),"",'RESUMEN VIGILANCIA'!Z42)</f>
        <v>330</v>
      </c>
      <c r="AB37" s="453">
        <f>IF(ISBLANK('RESUMEN VIGILANCIA'!AA42),"",'RESUMEN VIGILANCIA'!AA42)</f>
        <v>320</v>
      </c>
      <c r="AC37" s="454">
        <f>IF(ISBLANK('RESUMEN VIGILANCIA'!AB42),"",'RESUMEN VIGILANCIA'!AB42)</f>
        <v>800</v>
      </c>
      <c r="AD37" s="374">
        <f>IF(ISBLANK('RESUMEN VIGILANCIA'!AC42),"",'RESUMEN VIGILANCIA'!AC42)</f>
        <v>3000</v>
      </c>
      <c r="AE37" s="375">
        <f>IF(ISBLANK('RESUMEN VIGILANCIA'!AD42),"",'RESUMEN VIGILANCIA'!AD42)</f>
        <v>3000</v>
      </c>
      <c r="AF37" s="375">
        <f>IF(ISBLANK('RESUMEN VIGILANCIA'!AE42),"",'RESUMEN VIGILANCIA'!AE42)</f>
        <v>3000</v>
      </c>
      <c r="AG37" s="375">
        <f>IF(ISBLANK('RESUMEN VIGILANCIA'!AF42),"",'RESUMEN VIGILANCIA'!AF42)</f>
        <v>5000</v>
      </c>
      <c r="AH37" s="391" t="str">
        <f>IF(ISBLANK('RESUMEN VIGILANCIA'!AG42),"",'RESUMEN VIGILANCIA'!AG42)</f>
        <v/>
      </c>
      <c r="AI37" s="391" t="str">
        <f>IF(ISBLANK('RESUMEN VIGILANCIA'!AH42),"",'RESUMEN VIGILANCIA'!AH42)</f>
        <v/>
      </c>
      <c r="AJ37" s="391" t="str">
        <f>IF(ISBLANK('RESUMEN VIGILANCIA'!AI42),"",'RESUMEN VIGILANCIA'!AI42)</f>
        <v/>
      </c>
      <c r="AK37" s="391" t="str">
        <f>IF(ISBLANK('RESUMEN VIGILANCIA'!AJ42),"",'RESUMEN VIGILANCIA'!AJ42)</f>
        <v/>
      </c>
      <c r="AL37" s="391" t="str">
        <f>IF(ISBLANK('RESUMEN VIGILANCIA'!AK42),"",'RESUMEN VIGILANCIA'!AK42)</f>
        <v/>
      </c>
      <c r="AM37" s="391" t="str">
        <f>IF(ISBLANK('RESUMEN VIGILANCIA'!AL42),"",'RESUMEN VIGILANCIA'!AL42)</f>
        <v/>
      </c>
      <c r="AN37" s="391" t="str">
        <f>IF(ISBLANK('RESUMEN VIGILANCIA'!AM42),"",'RESUMEN VIGILANCIA'!AM42)</f>
        <v/>
      </c>
      <c r="AO37" s="392" t="str">
        <f>IF(ISBLANK('RESUMEN VIGILANCIA'!AN42),"",'RESUMEN VIGILANCIA'!AN42)</f>
        <v/>
      </c>
      <c r="AP37" s="390" t="str">
        <f>IF(ISBLANK('RESUMEN VIGILANCIA'!AO42),"",'RESUMEN VIGILANCIA'!AO42)</f>
        <v/>
      </c>
      <c r="AQ37" s="391" t="str">
        <f>IF(ISBLANK('RESUMEN VIGILANCIA'!AP42),"",'RESUMEN VIGILANCIA'!AP42)</f>
        <v/>
      </c>
      <c r="AR37" s="391" t="str">
        <f>IF(ISBLANK('RESUMEN VIGILANCIA'!AQ42),"",'RESUMEN VIGILANCIA'!AQ42)</f>
        <v/>
      </c>
      <c r="AS37" s="391" t="str">
        <f>IF(ISBLANK('RESUMEN VIGILANCIA'!AR42),"",'RESUMEN VIGILANCIA'!AR42)</f>
        <v/>
      </c>
      <c r="AT37" s="391" t="str">
        <f>IF(ISBLANK('RESUMEN VIGILANCIA'!AS42),"",'RESUMEN VIGILANCIA'!AS42)</f>
        <v/>
      </c>
      <c r="AU37" s="391" t="str">
        <f>IF(ISBLANK('RESUMEN VIGILANCIA'!AT42),"",'RESUMEN VIGILANCIA'!AT42)</f>
        <v/>
      </c>
      <c r="AV37" s="391" t="str">
        <f>IF(ISBLANK('RESUMEN VIGILANCIA'!AU42),"",'RESUMEN VIGILANCIA'!AU42)</f>
        <v/>
      </c>
      <c r="AW37" s="391" t="str">
        <f>IF(ISBLANK('RESUMEN VIGILANCIA'!AV42),"",'RESUMEN VIGILANCIA'!AV42)</f>
        <v/>
      </c>
      <c r="AX37" s="391" t="str">
        <f>IF(ISBLANK('RESUMEN VIGILANCIA'!AW42),"",'RESUMEN VIGILANCIA'!AW42)</f>
        <v/>
      </c>
      <c r="AY37" s="391" t="str">
        <f>IF(ISBLANK('RESUMEN VIGILANCIA'!AX42),"",'RESUMEN VIGILANCIA'!AX42)</f>
        <v/>
      </c>
      <c r="AZ37" s="391" t="str">
        <f>IF(ISBLANK('RESUMEN VIGILANCIA'!AY42),"",'RESUMEN VIGILANCIA'!AY42)</f>
        <v/>
      </c>
      <c r="BA37" s="392" t="str">
        <f>IF(ISBLANK('RESUMEN VIGILANCIA'!AZ42),"",'RESUMEN VIGILANCIA'!AZ42)</f>
        <v/>
      </c>
      <c r="BB37" s="243">
        <f t="shared" si="2"/>
        <v>15805.34</v>
      </c>
      <c r="BC37" s="111"/>
      <c r="BD37" s="111">
        <v>43556</v>
      </c>
    </row>
    <row r="38" spans="1:56" s="28" customFormat="1" ht="20.100000000000001" customHeight="1">
      <c r="A38" s="29" t="str">
        <f>'RESUMEN VIGILANCIA'!A43</f>
        <v>Familia Zhen</v>
      </c>
      <c r="B38" s="30" t="str">
        <f>'RESUMEN VIGILANCIA'!B43</f>
        <v>Calle Guacara Nro. 88-55</v>
      </c>
      <c r="C38" s="427" t="s">
        <v>1358</v>
      </c>
      <c r="D38" s="434" t="s">
        <v>1357</v>
      </c>
      <c r="E38" s="416" t="str">
        <f>IF(ISBLANK('RESUMEN VIGILANCIA'!D43),"",'RESUMEN VIGILANCIA'!D43)</f>
        <v/>
      </c>
      <c r="F38" s="275" t="str">
        <f>IF(ISBLANK('RESUMEN VIGILANCIA'!E43),"",'RESUMEN VIGILANCIA'!E43)</f>
        <v/>
      </c>
      <c r="G38" s="276" t="str">
        <f>IF(ISBLANK('RESUMEN VIGILANCIA'!F43),"",'RESUMEN VIGILANCIA'!F43)</f>
        <v/>
      </c>
      <c r="H38" s="276" t="str">
        <f>IF(ISBLANK('RESUMEN VIGILANCIA'!G43),"",'RESUMEN VIGILANCIA'!G43)</f>
        <v/>
      </c>
      <c r="I38" s="276" t="str">
        <f>IF(ISBLANK('RESUMEN VIGILANCIA'!H43),"",'RESUMEN VIGILANCIA'!H43)</f>
        <v/>
      </c>
      <c r="J38" s="276" t="str">
        <f>IF(ISBLANK('RESUMEN VIGILANCIA'!I43),"",'RESUMEN VIGILANCIA'!I43)</f>
        <v/>
      </c>
      <c r="K38" s="276" t="str">
        <f>IF(ISBLANK('RESUMEN VIGILANCIA'!J43),"",'RESUMEN VIGILANCIA'!J43)</f>
        <v/>
      </c>
      <c r="L38" s="276" t="str">
        <f>IF(ISBLANK('RESUMEN VIGILANCIA'!K43),"",'RESUMEN VIGILANCIA'!K43)</f>
        <v/>
      </c>
      <c r="M38" s="276" t="str">
        <f>IF(ISBLANK('RESUMEN VIGILANCIA'!L43),"",'RESUMEN VIGILANCIA'!L43)</f>
        <v/>
      </c>
      <c r="N38" s="276" t="str">
        <f>IF(ISBLANK('RESUMEN VIGILANCIA'!M43),"",'RESUMEN VIGILANCIA'!M43)</f>
        <v/>
      </c>
      <c r="O38" s="276" t="str">
        <f>IF(ISBLANK('RESUMEN VIGILANCIA'!N43),"",'RESUMEN VIGILANCIA'!N43)</f>
        <v/>
      </c>
      <c r="P38" s="277" t="str">
        <f>IF(ISBLANK('RESUMEN VIGILANCIA'!O43),"",'RESUMEN VIGILANCIA'!O43)</f>
        <v/>
      </c>
      <c r="Q38" s="274" t="str">
        <f>IF(ISBLANK('RESUMEN VIGILANCIA'!P43),"",'RESUMEN VIGILANCIA'!P43)</f>
        <v/>
      </c>
      <c r="R38" s="278" t="str">
        <f>IF(ISBLANK('RESUMEN VIGILANCIA'!Q43),"",'RESUMEN VIGILANCIA'!Q43)</f>
        <v/>
      </c>
      <c r="S38" s="277" t="str">
        <f>IF(ISBLANK('RESUMEN VIGILANCIA'!R43),"",'RESUMEN VIGILANCIA'!R43)</f>
        <v/>
      </c>
      <c r="T38" s="277" t="str">
        <f>IF(ISBLANK('RESUMEN VIGILANCIA'!S43),"",'RESUMEN VIGILANCIA'!S43)</f>
        <v/>
      </c>
      <c r="U38" s="277" t="str">
        <f>IF(ISBLANK('RESUMEN VIGILANCIA'!T43),"",'RESUMEN VIGILANCIA'!T43)</f>
        <v/>
      </c>
      <c r="V38" s="277" t="str">
        <f>IF(ISBLANK('RESUMEN VIGILANCIA'!U43),"",'RESUMEN VIGILANCIA'!U43)</f>
        <v/>
      </c>
      <c r="W38" s="277" t="str">
        <f>IF(ISBLANK('RESUMEN VIGILANCIA'!V43),"",'RESUMEN VIGILANCIA'!V43)</f>
        <v/>
      </c>
      <c r="X38" s="277" t="str">
        <f>IF(ISBLANK('RESUMEN VIGILANCIA'!W43),"",'RESUMEN VIGILANCIA'!W43)</f>
        <v/>
      </c>
      <c r="Y38" s="277" t="str">
        <f>IF(ISBLANK('RESUMEN VIGILANCIA'!X43),"",'RESUMEN VIGILANCIA'!X43)</f>
        <v/>
      </c>
      <c r="Z38" s="461" t="str">
        <f>IF(ISBLANK('RESUMEN VIGILANCIA'!Y43),"",'RESUMEN VIGILANCIA'!Y43)</f>
        <v/>
      </c>
      <c r="AA38" s="461" t="str">
        <f>IF(ISBLANK('RESUMEN VIGILANCIA'!Z43),"",'RESUMEN VIGILANCIA'!Z43)</f>
        <v/>
      </c>
      <c r="AB38" s="461" t="str">
        <f>IF(ISBLANK('RESUMEN VIGILANCIA'!AA43),"",'RESUMEN VIGILANCIA'!AA43)</f>
        <v/>
      </c>
      <c r="AC38" s="461" t="str">
        <f>IF(ISBLANK('RESUMEN VIGILANCIA'!AB43),"",'RESUMEN VIGILANCIA'!AB43)</f>
        <v/>
      </c>
      <c r="AD38" s="461" t="str">
        <f>IF(ISBLANK('RESUMEN VIGILANCIA'!AC43),"",'RESUMEN VIGILANCIA'!AC43)</f>
        <v/>
      </c>
      <c r="AE38" s="461" t="str">
        <f>IF(ISBLANK('RESUMEN VIGILANCIA'!AD43),"",'RESUMEN VIGILANCIA'!AD43)</f>
        <v/>
      </c>
      <c r="AF38" s="461" t="str">
        <f>IF(ISBLANK('RESUMEN VIGILANCIA'!AE43),"",'RESUMEN VIGILANCIA'!AE43)</f>
        <v/>
      </c>
      <c r="AG38" s="461" t="str">
        <f>IF(ISBLANK('RESUMEN VIGILANCIA'!AF43),"",'RESUMEN VIGILANCIA'!AF43)</f>
        <v/>
      </c>
      <c r="AH38" s="375">
        <f>IF(ISBLANK('RESUMEN VIGILANCIA'!AG43),"",'RESUMEN VIGILANCIA'!AG43)</f>
        <v>8000</v>
      </c>
      <c r="AI38" s="375">
        <f>IF(ISBLANK('RESUMEN VIGILANCIA'!AH43),"",'RESUMEN VIGILANCIA'!AH43)</f>
        <v>8000</v>
      </c>
      <c r="AJ38" s="375">
        <f>IF(ISBLANK('RESUMEN VIGILANCIA'!AI43),"",'RESUMEN VIGILANCIA'!AI43)</f>
        <v>10000</v>
      </c>
      <c r="AK38" s="375">
        <f>IF(ISBLANK('RESUMEN VIGILANCIA'!AJ43),"",'RESUMEN VIGILANCIA'!AJ43)</f>
        <v>10000</v>
      </c>
      <c r="AL38" s="375">
        <f>IF(ISBLANK('RESUMEN VIGILANCIA'!AK43),"",'RESUMEN VIGILANCIA'!AK43)</f>
        <v>20300</v>
      </c>
      <c r="AM38" s="375">
        <f>IF(ISBLANK('RESUMEN VIGILANCIA'!AL43),"",'RESUMEN VIGILANCIA'!AL43)</f>
        <v>185250</v>
      </c>
      <c r="AN38" s="375">
        <f>IF(ISBLANK('RESUMEN VIGILANCIA'!AM43),"",'RESUMEN VIGILANCIA'!AM43)</f>
        <v>185250</v>
      </c>
      <c r="AO38" s="376">
        <f>IF(ISBLANK('RESUMEN VIGILANCIA'!AN43),"",'RESUMEN VIGILANCIA'!AN43)</f>
        <v>185250</v>
      </c>
      <c r="AP38" s="374">
        <f>IF(ISBLANK('RESUMEN VIGILANCIA'!AO43),"",'RESUMEN VIGILANCIA'!AO43)</f>
        <v>185250</v>
      </c>
      <c r="AQ38" s="375">
        <f>IF(ISBLANK('RESUMEN VIGILANCIA'!AP43),"",'RESUMEN VIGILANCIA'!AP43)</f>
        <v>185250</v>
      </c>
      <c r="AR38" s="375">
        <f>IF(ISBLANK('RESUMEN VIGILANCIA'!AQ43),"",'RESUMEN VIGILANCIA'!AQ43)</f>
        <v>185250</v>
      </c>
      <c r="AS38" s="375">
        <f>IF(ISBLANK('RESUMEN VIGILANCIA'!AR43),"",'RESUMEN VIGILANCIA'!AR43)</f>
        <v>185250</v>
      </c>
      <c r="AT38" s="375" t="str">
        <f>IF(ISBLANK('RESUMEN VIGILANCIA'!AS43),"",'RESUMEN VIGILANCIA'!AS43)</f>
        <v/>
      </c>
      <c r="AU38" s="375" t="str">
        <f>IF(ISBLANK('RESUMEN VIGILANCIA'!AT43),"",'RESUMEN VIGILANCIA'!AT43)</f>
        <v/>
      </c>
      <c r="AV38" s="375" t="str">
        <f>IF(ISBLANK('RESUMEN VIGILANCIA'!AU43),"",'RESUMEN VIGILANCIA'!AU43)</f>
        <v/>
      </c>
      <c r="AW38" s="375" t="str">
        <f>IF(ISBLANK('RESUMEN VIGILANCIA'!AV43),"",'RESUMEN VIGILANCIA'!AV43)</f>
        <v/>
      </c>
      <c r="AX38" s="375" t="str">
        <f>IF(ISBLANK('RESUMEN VIGILANCIA'!AW43),"",'RESUMEN VIGILANCIA'!AW43)</f>
        <v/>
      </c>
      <c r="AY38" s="375" t="str">
        <f>IF(ISBLANK('RESUMEN VIGILANCIA'!AX43),"",'RESUMEN VIGILANCIA'!AX43)</f>
        <v/>
      </c>
      <c r="AZ38" s="375" t="str">
        <f>IF(ISBLANK('RESUMEN VIGILANCIA'!AY43),"",'RESUMEN VIGILANCIA'!AY43)</f>
        <v/>
      </c>
      <c r="BA38" s="376" t="str">
        <f>IF(ISBLANK('RESUMEN VIGILANCIA'!AZ43),"",'RESUMEN VIGILANCIA'!AZ43)</f>
        <v/>
      </c>
      <c r="BB38" s="240">
        <f t="shared" ref="BB38" si="3">SUM(E38:AO38)</f>
        <v>612050</v>
      </c>
      <c r="BC38" s="110">
        <v>43586</v>
      </c>
      <c r="BD38" s="110"/>
    </row>
    <row r="39" spans="1:56" s="28" customFormat="1" ht="20.100000000000001" customHeight="1">
      <c r="A39" s="29" t="str">
        <f>'RESUMEN VIGILANCIA'!A44</f>
        <v>Amparo Acosta</v>
      </c>
      <c r="B39" s="30" t="str">
        <f>'RESUMEN VIGILANCIA'!B44</f>
        <v>Calle Guacara Nro. 88-65</v>
      </c>
      <c r="C39" s="427" t="s">
        <v>1359</v>
      </c>
      <c r="D39" s="522" t="s">
        <v>17</v>
      </c>
      <c r="E39" s="415" t="str">
        <f>IF(ISBLANK('RESUMEN VIGILANCIA'!D44),"",'RESUMEN VIGILANCIA'!D44)</f>
        <v/>
      </c>
      <c r="F39" s="267" t="str">
        <f>IF(ISBLANK('RESUMEN VIGILANCIA'!E44),"",'RESUMEN VIGILANCIA'!E44)</f>
        <v/>
      </c>
      <c r="G39" s="179" t="str">
        <f>IF(ISBLANK('RESUMEN VIGILANCIA'!F44),"",'RESUMEN VIGILANCIA'!F44)</f>
        <v/>
      </c>
      <c r="H39" s="179" t="str">
        <f>IF(ISBLANK('RESUMEN VIGILANCIA'!G44),"",'RESUMEN VIGILANCIA'!G44)</f>
        <v/>
      </c>
      <c r="I39" s="179" t="str">
        <f>IF(ISBLANK('RESUMEN VIGILANCIA'!H44),"",'RESUMEN VIGILANCIA'!H44)</f>
        <v/>
      </c>
      <c r="J39" s="179" t="str">
        <f>IF(ISBLANK('RESUMEN VIGILANCIA'!I44),"",'RESUMEN VIGILANCIA'!I44)</f>
        <v/>
      </c>
      <c r="K39" s="179" t="str">
        <f>IF(ISBLANK('RESUMEN VIGILANCIA'!J44),"",'RESUMEN VIGILANCIA'!J44)</f>
        <v/>
      </c>
      <c r="L39" s="179" t="str">
        <f>IF(ISBLANK('RESUMEN VIGILANCIA'!K44),"",'RESUMEN VIGILANCIA'!K44)</f>
        <v/>
      </c>
      <c r="M39" s="179" t="str">
        <f>IF(ISBLANK('RESUMEN VIGILANCIA'!L44),"",'RESUMEN VIGILANCIA'!L44)</f>
        <v/>
      </c>
      <c r="N39" s="179" t="str">
        <f>IF(ISBLANK('RESUMEN VIGILANCIA'!M44),"",'RESUMEN VIGILANCIA'!M44)</f>
        <v/>
      </c>
      <c r="O39" s="179" t="str">
        <f>IF(ISBLANK('RESUMEN VIGILANCIA'!N44),"",'RESUMEN VIGILANCIA'!N44)</f>
        <v/>
      </c>
      <c r="P39" s="268" t="str">
        <f>IF(ISBLANK('RESUMEN VIGILANCIA'!O44),"",'RESUMEN VIGILANCIA'!O44)</f>
        <v/>
      </c>
      <c r="Q39" s="177" t="str">
        <f>IF(ISBLANK('RESUMEN VIGILANCIA'!P44),"",'RESUMEN VIGILANCIA'!P44)</f>
        <v/>
      </c>
      <c r="R39" s="269" t="str">
        <f>IF(ISBLANK('RESUMEN VIGILANCIA'!Q44),"",'RESUMEN VIGILANCIA'!Q44)</f>
        <v/>
      </c>
      <c r="S39" s="268" t="str">
        <f>IF(ISBLANK('RESUMEN VIGILANCIA'!R44),"",'RESUMEN VIGILANCIA'!R44)</f>
        <v/>
      </c>
      <c r="T39" s="268" t="str">
        <f>IF(ISBLANK('RESUMEN VIGILANCIA'!S44),"",'RESUMEN VIGILANCIA'!S44)</f>
        <v/>
      </c>
      <c r="U39" s="268" t="str">
        <f>IF(ISBLANK('RESUMEN VIGILANCIA'!T44),"",'RESUMEN VIGILANCIA'!T44)</f>
        <v/>
      </c>
      <c r="V39" s="268" t="str">
        <f>IF(ISBLANK('RESUMEN VIGILANCIA'!U44),"",'RESUMEN VIGILANCIA'!U44)</f>
        <v/>
      </c>
      <c r="W39" s="268" t="str">
        <f>IF(ISBLANK('RESUMEN VIGILANCIA'!V44),"",'RESUMEN VIGILANCIA'!V44)</f>
        <v/>
      </c>
      <c r="X39" s="268">
        <f>IF(ISBLANK('RESUMEN VIGILANCIA'!W44),"",'RESUMEN VIGILANCIA'!W44)</f>
        <v>10</v>
      </c>
      <c r="Y39" s="268">
        <f>IF(ISBLANK('RESUMEN VIGILANCIA'!X44),"",'RESUMEN VIGILANCIA'!X44)</f>
        <v>12</v>
      </c>
      <c r="Z39" s="453">
        <f>IF(ISBLANK('RESUMEN VIGILANCIA'!Y44),"",'RESUMEN VIGILANCIA'!Y44)</f>
        <v>320</v>
      </c>
      <c r="AA39" s="453">
        <f>IF(ISBLANK('RESUMEN VIGILANCIA'!Z44),"",'RESUMEN VIGILANCIA'!Z44)</f>
        <v>320</v>
      </c>
      <c r="AB39" s="453">
        <f>IF(ISBLANK('RESUMEN VIGILANCIA'!AA44),"",'RESUMEN VIGILANCIA'!AA44)</f>
        <v>330</v>
      </c>
      <c r="AC39" s="454">
        <f>IF(ISBLANK('RESUMEN VIGILANCIA'!AB44),"",'RESUMEN VIGILANCIA'!AB44)</f>
        <v>800</v>
      </c>
      <c r="AD39" s="374">
        <f>IF(ISBLANK('RESUMEN VIGILANCIA'!AC44),"",'RESUMEN VIGILANCIA'!AC44)</f>
        <v>3000</v>
      </c>
      <c r="AE39" s="375">
        <f>IF(ISBLANK('RESUMEN VIGILANCIA'!AD44),"",'RESUMEN VIGILANCIA'!AD44)</f>
        <v>3000</v>
      </c>
      <c r="AF39" s="375">
        <f>IF(ISBLANK('RESUMEN VIGILANCIA'!AE44),"",'RESUMEN VIGILANCIA'!AE44)</f>
        <v>3000</v>
      </c>
      <c r="AG39" s="375">
        <f>IF(ISBLANK('RESUMEN VIGILANCIA'!AF44),"",'RESUMEN VIGILANCIA'!AF44)</f>
        <v>5000</v>
      </c>
      <c r="AH39" s="375">
        <f>IF(ISBLANK('RESUMEN VIGILANCIA'!AG44),"",'RESUMEN VIGILANCIA'!AG44)</f>
        <v>8000</v>
      </c>
      <c r="AI39" s="375">
        <f>IF(ISBLANK('RESUMEN VIGILANCIA'!AH44),"",'RESUMEN VIGILANCIA'!AH44)</f>
        <v>8000</v>
      </c>
      <c r="AJ39" s="375">
        <f>IF(ISBLANK('RESUMEN VIGILANCIA'!AI44),"",'RESUMEN VIGILANCIA'!AI44)</f>
        <v>10000</v>
      </c>
      <c r="AK39" s="375">
        <f>IF(ISBLANK('RESUMEN VIGILANCIA'!AJ44),"",'RESUMEN VIGILANCIA'!AJ44)</f>
        <v>10000</v>
      </c>
      <c r="AL39" s="375">
        <f>IF(ISBLANK('RESUMEN VIGILANCIA'!AK44),"",'RESUMEN VIGILANCIA'!AK44)</f>
        <v>20500</v>
      </c>
      <c r="AM39" s="375">
        <f>IF(ISBLANK('RESUMEN VIGILANCIA'!AL44),"",'RESUMEN VIGILANCIA'!AL44)</f>
        <v>47000</v>
      </c>
      <c r="AN39" s="375">
        <f>IF(ISBLANK('RESUMEN VIGILANCIA'!AM44),"",'RESUMEN VIGILANCIA'!AM44)</f>
        <v>56250</v>
      </c>
      <c r="AO39" s="376">
        <f>IF(ISBLANK('RESUMEN VIGILANCIA'!AN44),"",'RESUMEN VIGILANCIA'!AN44)</f>
        <v>81750</v>
      </c>
      <c r="AP39" s="374">
        <f>IF(ISBLANK('RESUMEN VIGILANCIA'!AO44),"",'RESUMEN VIGILANCIA'!AO44)</f>
        <v>136250</v>
      </c>
      <c r="AQ39" s="375">
        <f>IF(ISBLANK('RESUMEN VIGILANCIA'!AP44),"",'RESUMEN VIGILANCIA'!AP44)</f>
        <v>136250</v>
      </c>
      <c r="AR39" s="375">
        <f>IF(ISBLANK('RESUMEN VIGILANCIA'!AQ44),"",'RESUMEN VIGILANCIA'!AQ44)</f>
        <v>185250</v>
      </c>
      <c r="AS39" s="375">
        <f>IF(ISBLANK('RESUMEN VIGILANCIA'!AR44),"",'RESUMEN VIGILANCIA'!AR44)</f>
        <v>185250</v>
      </c>
      <c r="AT39" s="375">
        <f>IF(ISBLANK('RESUMEN VIGILANCIA'!AS44),"",'RESUMEN VIGILANCIA'!AS44)</f>
        <v>250000</v>
      </c>
      <c r="AU39" s="375">
        <f>IF(ISBLANK('RESUMEN VIGILANCIA'!AT44),"",'RESUMEN VIGILANCIA'!AT44)</f>
        <v>250000</v>
      </c>
      <c r="AV39" s="375" t="str">
        <f>IF(ISBLANK('RESUMEN VIGILANCIA'!AU44),"",'RESUMEN VIGILANCIA'!AU44)</f>
        <v/>
      </c>
      <c r="AW39" s="375" t="str">
        <f>IF(ISBLANK('RESUMEN VIGILANCIA'!AV44),"",'RESUMEN VIGILANCIA'!AV44)</f>
        <v/>
      </c>
      <c r="AX39" s="375" t="str">
        <f>IF(ISBLANK('RESUMEN VIGILANCIA'!AW44),"",'RESUMEN VIGILANCIA'!AW44)</f>
        <v/>
      </c>
      <c r="AY39" s="375" t="str">
        <f>IF(ISBLANK('RESUMEN VIGILANCIA'!AX44),"",'RESUMEN VIGILANCIA'!AX44)</f>
        <v/>
      </c>
      <c r="AZ39" s="375" t="str">
        <f>IF(ISBLANK('RESUMEN VIGILANCIA'!AY44),"",'RESUMEN VIGILANCIA'!AY44)</f>
        <v/>
      </c>
      <c r="BA39" s="376" t="str">
        <f>IF(ISBLANK('RESUMEN VIGILANCIA'!AZ44),"",'RESUMEN VIGILANCIA'!AZ44)</f>
        <v/>
      </c>
      <c r="BB39" s="240">
        <f t="shared" si="2"/>
        <v>257292</v>
      </c>
      <c r="BC39" s="110"/>
      <c r="BD39" s="110"/>
    </row>
    <row r="40" spans="1:56" s="28" customFormat="1" ht="20.100000000000001" customHeight="1">
      <c r="A40" s="57" t="str">
        <f>'RESUMEN VIGILANCIA'!A45</f>
        <v>Familia Fernández Parés</v>
      </c>
      <c r="B40" s="58" t="str">
        <f>'RESUMEN VIGILANCIA'!B45</f>
        <v>Calle Guacara Nro. 88-75</v>
      </c>
      <c r="C40" s="427"/>
      <c r="D40" s="434" t="s">
        <v>1357</v>
      </c>
      <c r="E40" s="415" t="str">
        <f>IF(ISBLANK('RESUMEN VIGILANCIA'!D45),"",'RESUMEN VIGILANCIA'!D45)</f>
        <v/>
      </c>
      <c r="F40" s="267">
        <f>IF(ISBLANK('RESUMEN VIGILANCIA'!E45),"",'RESUMEN VIGILANCIA'!E45)</f>
        <v>0.17</v>
      </c>
      <c r="G40" s="179">
        <f>IF(ISBLANK('RESUMEN VIGILANCIA'!F45),"",'RESUMEN VIGILANCIA'!F45)</f>
        <v>0.17</v>
      </c>
      <c r="H40" s="179">
        <f>IF(ISBLANK('RESUMEN VIGILANCIA'!G45),"",'RESUMEN VIGILANCIA'!G45)</f>
        <v>0.17</v>
      </c>
      <c r="I40" s="179">
        <f>IF(ISBLANK('RESUMEN VIGILANCIA'!H45),"",'RESUMEN VIGILANCIA'!H45)</f>
        <v>0.17</v>
      </c>
      <c r="J40" s="179">
        <f>IF(ISBLANK('RESUMEN VIGILANCIA'!I45),"",'RESUMEN VIGILANCIA'!I45)</f>
        <v>0.26</v>
      </c>
      <c r="K40" s="179">
        <f>IF(ISBLANK('RESUMEN VIGILANCIA'!J45),"",'RESUMEN VIGILANCIA'!J45)</f>
        <v>0.26</v>
      </c>
      <c r="L40" s="179">
        <f>IF(ISBLANK('RESUMEN VIGILANCIA'!K45),"",'RESUMEN VIGILANCIA'!K45)</f>
        <v>0.35</v>
      </c>
      <c r="M40" s="179">
        <f>IF(ISBLANK('RESUMEN VIGILANCIA'!L45),"",'RESUMEN VIGILANCIA'!L45)</f>
        <v>0.35000000000000003</v>
      </c>
      <c r="N40" s="179">
        <f>IF(ISBLANK('RESUMEN VIGILANCIA'!M45),"",'RESUMEN VIGILANCIA'!M45)</f>
        <v>0.35000000000000003</v>
      </c>
      <c r="O40" s="179">
        <f>IF(ISBLANK('RESUMEN VIGILANCIA'!N45),"",'RESUMEN VIGILANCIA'!N45)</f>
        <v>0.35000000000000003</v>
      </c>
      <c r="P40" s="268">
        <f>IF(ISBLANK('RESUMEN VIGILANCIA'!O45),"",'RESUMEN VIGILANCIA'!O45)</f>
        <v>0.5</v>
      </c>
      <c r="Q40" s="177">
        <f>IF(ISBLANK('RESUMEN VIGILANCIA'!P45),"",'RESUMEN VIGILANCIA'!P45)</f>
        <v>0.5</v>
      </c>
      <c r="R40" s="269">
        <f>IF(ISBLANK('RESUMEN VIGILANCIA'!Q45),"",'RESUMEN VIGILANCIA'!Q45)</f>
        <v>0.8</v>
      </c>
      <c r="S40" s="268">
        <f>IF(ISBLANK('RESUMEN VIGILANCIA'!R45),"",'RESUMEN VIGILANCIA'!R45)</f>
        <v>0.8</v>
      </c>
      <c r="T40" s="268">
        <f>IF(ISBLANK('RESUMEN VIGILANCIA'!S45),"",'RESUMEN VIGILANCIA'!S45)</f>
        <v>0.35</v>
      </c>
      <c r="U40" s="268" t="str">
        <f>IF(ISBLANK('RESUMEN VIGILANCIA'!T45),"",'RESUMEN VIGILANCIA'!T45)</f>
        <v/>
      </c>
      <c r="V40" s="272" t="s">
        <v>1256</v>
      </c>
      <c r="W40" s="273" t="str">
        <f>IF(ISBLANK('RESUMEN VIGILANCIA'!V45),"",'RESUMEN VIGILANCIA'!V45)</f>
        <v/>
      </c>
      <c r="X40" s="273" t="str">
        <f>IF(ISBLANK('RESUMEN VIGILANCIA'!W45),"",'RESUMEN VIGILANCIA'!W45)</f>
        <v/>
      </c>
      <c r="Y40" s="273" t="str">
        <f>IF(ISBLANK('RESUMEN VIGILANCIA'!X45),"",'RESUMEN VIGILANCIA'!X45)</f>
        <v/>
      </c>
      <c r="Z40" s="459" t="str">
        <f>IF(ISBLANK('RESUMEN VIGILANCIA'!Y45),"",'RESUMEN VIGILANCIA'!Y45)</f>
        <v/>
      </c>
      <c r="AA40" s="459" t="str">
        <f>IF(ISBLANK('RESUMEN VIGILANCIA'!Z45),"",'RESUMEN VIGILANCIA'!Z45)</f>
        <v/>
      </c>
      <c r="AB40" s="459" t="str">
        <f>IF(ISBLANK('RESUMEN VIGILANCIA'!AA45),"",'RESUMEN VIGILANCIA'!AA45)</f>
        <v/>
      </c>
      <c r="AC40" s="460" t="str">
        <f>IF(ISBLANK('RESUMEN VIGILANCIA'!AB45),"",'RESUMEN VIGILANCIA'!AB45)</f>
        <v/>
      </c>
      <c r="AD40" s="390" t="str">
        <f>IF(ISBLANK('RESUMEN VIGILANCIA'!AC45),"",'RESUMEN VIGILANCIA'!AC45)</f>
        <v/>
      </c>
      <c r="AE40" s="391" t="str">
        <f>IF(ISBLANK('RESUMEN VIGILANCIA'!AD45),"",'RESUMEN VIGILANCIA'!AD45)</f>
        <v/>
      </c>
      <c r="AF40" s="391" t="str">
        <f>IF(ISBLANK('RESUMEN VIGILANCIA'!AE45),"",'RESUMEN VIGILANCIA'!AE45)</f>
        <v/>
      </c>
      <c r="AG40" s="391" t="str">
        <f>IF(ISBLANK('RESUMEN VIGILANCIA'!AF45),"",'RESUMEN VIGILANCIA'!AF45)</f>
        <v/>
      </c>
      <c r="AH40" s="391" t="str">
        <f>IF(ISBLANK('RESUMEN VIGILANCIA'!AG45),"",'RESUMEN VIGILANCIA'!AG45)</f>
        <v/>
      </c>
      <c r="AI40" s="391" t="str">
        <f>IF(ISBLANK('RESUMEN VIGILANCIA'!AH45),"",'RESUMEN VIGILANCIA'!AH45)</f>
        <v/>
      </c>
      <c r="AJ40" s="391" t="str">
        <f>IF(ISBLANK('RESUMEN VIGILANCIA'!AI45),"",'RESUMEN VIGILANCIA'!AI45)</f>
        <v/>
      </c>
      <c r="AK40" s="391" t="str">
        <f>IF(ISBLANK('RESUMEN VIGILANCIA'!AJ45),"",'RESUMEN VIGILANCIA'!AJ45)</f>
        <v/>
      </c>
      <c r="AL40" s="391" t="str">
        <f>IF(ISBLANK('RESUMEN VIGILANCIA'!AK45),"",'RESUMEN VIGILANCIA'!AK45)</f>
        <v/>
      </c>
      <c r="AM40" s="391" t="str">
        <f>IF(ISBLANK('RESUMEN VIGILANCIA'!AL45),"",'RESUMEN VIGILANCIA'!AL45)</f>
        <v/>
      </c>
      <c r="AN40" s="391" t="str">
        <f>IF(ISBLANK('RESUMEN VIGILANCIA'!AM45),"",'RESUMEN VIGILANCIA'!AM45)</f>
        <v/>
      </c>
      <c r="AO40" s="392" t="str">
        <f>IF(ISBLANK('RESUMEN VIGILANCIA'!AN45),"",'RESUMEN VIGILANCIA'!AN45)</f>
        <v/>
      </c>
      <c r="AP40" s="390" t="str">
        <f>IF(ISBLANK('RESUMEN VIGILANCIA'!AO45),"",'RESUMEN VIGILANCIA'!AO45)</f>
        <v/>
      </c>
      <c r="AQ40" s="391" t="str">
        <f>IF(ISBLANK('RESUMEN VIGILANCIA'!AP45),"",'RESUMEN VIGILANCIA'!AP45)</f>
        <v/>
      </c>
      <c r="AR40" s="391" t="str">
        <f>IF(ISBLANK('RESUMEN VIGILANCIA'!AQ45),"",'RESUMEN VIGILANCIA'!AQ45)</f>
        <v/>
      </c>
      <c r="AS40" s="391" t="str">
        <f>IF(ISBLANK('RESUMEN VIGILANCIA'!AR45),"",'RESUMEN VIGILANCIA'!AR45)</f>
        <v/>
      </c>
      <c r="AT40" s="391" t="str">
        <f>IF(ISBLANK('RESUMEN VIGILANCIA'!AS45),"",'RESUMEN VIGILANCIA'!AS45)</f>
        <v/>
      </c>
      <c r="AU40" s="391" t="str">
        <f>IF(ISBLANK('RESUMEN VIGILANCIA'!AT45),"",'RESUMEN VIGILANCIA'!AT45)</f>
        <v/>
      </c>
      <c r="AV40" s="391" t="str">
        <f>IF(ISBLANK('RESUMEN VIGILANCIA'!AU45),"",'RESUMEN VIGILANCIA'!AU45)</f>
        <v/>
      </c>
      <c r="AW40" s="391" t="str">
        <f>IF(ISBLANK('RESUMEN VIGILANCIA'!AV45),"",'RESUMEN VIGILANCIA'!AV45)</f>
        <v/>
      </c>
      <c r="AX40" s="391" t="str">
        <f>IF(ISBLANK('RESUMEN VIGILANCIA'!AW45),"",'RESUMEN VIGILANCIA'!AW45)</f>
        <v/>
      </c>
      <c r="AY40" s="391" t="str">
        <f>IF(ISBLANK('RESUMEN VIGILANCIA'!AX45),"",'RESUMEN VIGILANCIA'!AX45)</f>
        <v/>
      </c>
      <c r="AZ40" s="391" t="str">
        <f>IF(ISBLANK('RESUMEN VIGILANCIA'!AY45),"",'RESUMEN VIGILANCIA'!AY45)</f>
        <v/>
      </c>
      <c r="BA40" s="392" t="str">
        <f>IF(ISBLANK('RESUMEN VIGILANCIA'!AZ45),"",'RESUMEN VIGILANCIA'!AZ45)</f>
        <v/>
      </c>
      <c r="BB40" s="243">
        <f t="shared" si="2"/>
        <v>5.55</v>
      </c>
      <c r="BC40" s="111"/>
      <c r="BD40" s="111">
        <v>43191</v>
      </c>
    </row>
    <row r="41" spans="1:56" s="28" customFormat="1" ht="20.100000000000001" customHeight="1">
      <c r="A41" s="57" t="str">
        <f>'RESUMEN VIGILANCIA'!A46</f>
        <v>Isbeth Palacios</v>
      </c>
      <c r="B41" s="58" t="str">
        <f>'RESUMEN VIGILANCIA'!B46</f>
        <v>Calle Guacara Nro. 88-75</v>
      </c>
      <c r="C41" s="427"/>
      <c r="D41" s="434" t="s">
        <v>1357</v>
      </c>
      <c r="E41" s="415" t="str">
        <f>IF(ISBLANK('RESUMEN VIGILANCIA'!D46),"",'RESUMEN VIGILANCIA'!D46)</f>
        <v/>
      </c>
      <c r="F41" s="267" t="str">
        <f>IF(ISBLANK('RESUMEN VIGILANCIA'!E46),"",'RESUMEN VIGILANCIA'!E46)</f>
        <v/>
      </c>
      <c r="G41" s="179" t="str">
        <f>IF(ISBLANK('RESUMEN VIGILANCIA'!F46),"",'RESUMEN VIGILANCIA'!F46)</f>
        <v/>
      </c>
      <c r="H41" s="179" t="str">
        <f>IF(ISBLANK('RESUMEN VIGILANCIA'!G46),"",'RESUMEN VIGILANCIA'!G46)</f>
        <v/>
      </c>
      <c r="I41" s="179" t="str">
        <f>IF(ISBLANK('RESUMEN VIGILANCIA'!H46),"",'RESUMEN VIGILANCIA'!H46)</f>
        <v/>
      </c>
      <c r="J41" s="179" t="str">
        <f>IF(ISBLANK('RESUMEN VIGILANCIA'!I46),"",'RESUMEN VIGILANCIA'!I46)</f>
        <v/>
      </c>
      <c r="K41" s="179" t="str">
        <f>IF(ISBLANK('RESUMEN VIGILANCIA'!J46),"",'RESUMEN VIGILANCIA'!J46)</f>
        <v/>
      </c>
      <c r="L41" s="179" t="str">
        <f>IF(ISBLANK('RESUMEN VIGILANCIA'!K46),"",'RESUMEN VIGILANCIA'!K46)</f>
        <v/>
      </c>
      <c r="M41" s="179" t="str">
        <f>IF(ISBLANK('RESUMEN VIGILANCIA'!L46),"",'RESUMEN VIGILANCIA'!L46)</f>
        <v/>
      </c>
      <c r="N41" s="179" t="str">
        <f>IF(ISBLANK('RESUMEN VIGILANCIA'!M46),"",'RESUMEN VIGILANCIA'!M46)</f>
        <v/>
      </c>
      <c r="O41" s="179" t="str">
        <f>IF(ISBLANK('RESUMEN VIGILANCIA'!N46),"",'RESUMEN VIGILANCIA'!N46)</f>
        <v/>
      </c>
      <c r="P41" s="268" t="str">
        <f>IF(ISBLANK('RESUMEN VIGILANCIA'!O46),"",'RESUMEN VIGILANCIA'!O46)</f>
        <v/>
      </c>
      <c r="Q41" s="177" t="str">
        <f>IF(ISBLANK('RESUMEN VIGILANCIA'!P46),"",'RESUMEN VIGILANCIA'!P46)</f>
        <v/>
      </c>
      <c r="R41" s="269" t="str">
        <f>IF(ISBLANK('RESUMEN VIGILANCIA'!Q46),"",'RESUMEN VIGILANCIA'!Q46)</f>
        <v/>
      </c>
      <c r="S41" s="268" t="str">
        <f>IF(ISBLANK('RESUMEN VIGILANCIA'!R46),"",'RESUMEN VIGILANCIA'!R46)</f>
        <v/>
      </c>
      <c r="T41" s="268" t="str">
        <f>IF(ISBLANK('RESUMEN VIGILANCIA'!S46),"",'RESUMEN VIGILANCIA'!S46)</f>
        <v/>
      </c>
      <c r="U41" s="268" t="str">
        <f>IF(ISBLANK('RESUMEN VIGILANCIA'!T46),"",'RESUMEN VIGILANCIA'!T46)</f>
        <v/>
      </c>
      <c r="V41" s="431">
        <f>IF(ISBLANK('RESUMEN VIGILANCIA'!U46),"",'RESUMEN VIGILANCIA'!U46)</f>
        <v>4</v>
      </c>
      <c r="W41" s="270">
        <f>IF(ISBLANK('RESUMEN VIGILANCIA'!V46),"",'RESUMEN VIGILANCIA'!V46)</f>
        <v>6.25</v>
      </c>
      <c r="X41" s="270">
        <f>IF(ISBLANK('RESUMEN VIGILANCIA'!W46),"",'RESUMEN VIGILANCIA'!W46)</f>
        <v>10</v>
      </c>
      <c r="Y41" s="270">
        <f>IF(ISBLANK('RESUMEN VIGILANCIA'!X46),"",'RESUMEN VIGILANCIA'!X46)</f>
        <v>12</v>
      </c>
      <c r="Z41" s="456" t="str">
        <f>IF(ISBLANK('RESUMEN VIGILANCIA'!Y46),"",'RESUMEN VIGILANCIA'!Y46)</f>
        <v/>
      </c>
      <c r="AA41" s="456" t="str">
        <f>IF(ISBLANK('RESUMEN VIGILANCIA'!Z46),"",'RESUMEN VIGILANCIA'!Z46)</f>
        <v/>
      </c>
      <c r="AB41" s="459" t="str">
        <f>IF(ISBLANK('RESUMEN VIGILANCIA'!AA46),"",'RESUMEN VIGILANCIA'!AA46)</f>
        <v/>
      </c>
      <c r="AC41" s="460" t="str">
        <f>IF(ISBLANK('RESUMEN VIGILANCIA'!AB46),"",'RESUMEN VIGILANCIA'!AB46)</f>
        <v/>
      </c>
      <c r="AD41" s="390" t="str">
        <f>IF(ISBLANK('RESUMEN VIGILANCIA'!AC46),"",'RESUMEN VIGILANCIA'!AC46)</f>
        <v/>
      </c>
      <c r="AE41" s="391" t="str">
        <f>IF(ISBLANK('RESUMEN VIGILANCIA'!AD46),"",'RESUMEN VIGILANCIA'!AD46)</f>
        <v/>
      </c>
      <c r="AF41" s="391" t="str">
        <f>IF(ISBLANK('RESUMEN VIGILANCIA'!AE46),"",'RESUMEN VIGILANCIA'!AE46)</f>
        <v/>
      </c>
      <c r="AG41" s="391" t="str">
        <f>IF(ISBLANK('RESUMEN VIGILANCIA'!AF46),"",'RESUMEN VIGILANCIA'!AF46)</f>
        <v/>
      </c>
      <c r="AH41" s="391" t="str">
        <f>IF(ISBLANK('RESUMEN VIGILANCIA'!AG46),"",'RESUMEN VIGILANCIA'!AG46)</f>
        <v/>
      </c>
      <c r="AI41" s="391" t="str">
        <f>IF(ISBLANK('RESUMEN VIGILANCIA'!AH46),"",'RESUMEN VIGILANCIA'!AH46)</f>
        <v/>
      </c>
      <c r="AJ41" s="391" t="str">
        <f>IF(ISBLANK('RESUMEN VIGILANCIA'!AI46),"",'RESUMEN VIGILANCIA'!AI46)</f>
        <v/>
      </c>
      <c r="AK41" s="391" t="str">
        <f>IF(ISBLANK('RESUMEN VIGILANCIA'!AJ46),"",'RESUMEN VIGILANCIA'!AJ46)</f>
        <v/>
      </c>
      <c r="AL41" s="391" t="str">
        <f>IF(ISBLANK('RESUMEN VIGILANCIA'!AK46),"",'RESUMEN VIGILANCIA'!AK46)</f>
        <v/>
      </c>
      <c r="AM41" s="391" t="str">
        <f>IF(ISBLANK('RESUMEN VIGILANCIA'!AL46),"",'RESUMEN VIGILANCIA'!AL46)</f>
        <v/>
      </c>
      <c r="AN41" s="391" t="str">
        <f>IF(ISBLANK('RESUMEN VIGILANCIA'!AM46),"",'RESUMEN VIGILANCIA'!AM46)</f>
        <v/>
      </c>
      <c r="AO41" s="392" t="str">
        <f>IF(ISBLANK('RESUMEN VIGILANCIA'!AN46),"",'RESUMEN VIGILANCIA'!AN46)</f>
        <v/>
      </c>
      <c r="AP41" s="390" t="str">
        <f>IF(ISBLANK('RESUMEN VIGILANCIA'!AO46),"",'RESUMEN VIGILANCIA'!AO46)</f>
        <v/>
      </c>
      <c r="AQ41" s="391" t="str">
        <f>IF(ISBLANK('RESUMEN VIGILANCIA'!AP46),"",'RESUMEN VIGILANCIA'!AP46)</f>
        <v/>
      </c>
      <c r="AR41" s="391" t="str">
        <f>IF(ISBLANK('RESUMEN VIGILANCIA'!AQ46),"",'RESUMEN VIGILANCIA'!AQ46)</f>
        <v/>
      </c>
      <c r="AS41" s="391" t="str">
        <f>IF(ISBLANK('RESUMEN VIGILANCIA'!AR46),"",'RESUMEN VIGILANCIA'!AR46)</f>
        <v/>
      </c>
      <c r="AT41" s="391" t="str">
        <f>IF(ISBLANK('RESUMEN VIGILANCIA'!AS46),"",'RESUMEN VIGILANCIA'!AS46)</f>
        <v/>
      </c>
      <c r="AU41" s="391" t="str">
        <f>IF(ISBLANK('RESUMEN VIGILANCIA'!AT46),"",'RESUMEN VIGILANCIA'!AT46)</f>
        <v/>
      </c>
      <c r="AV41" s="391" t="str">
        <f>IF(ISBLANK('RESUMEN VIGILANCIA'!AU46),"",'RESUMEN VIGILANCIA'!AU46)</f>
        <v/>
      </c>
      <c r="AW41" s="391" t="str">
        <f>IF(ISBLANK('RESUMEN VIGILANCIA'!AV46),"",'RESUMEN VIGILANCIA'!AV46)</f>
        <v/>
      </c>
      <c r="AX41" s="391" t="str">
        <f>IF(ISBLANK('RESUMEN VIGILANCIA'!AW46),"",'RESUMEN VIGILANCIA'!AW46)</f>
        <v/>
      </c>
      <c r="AY41" s="391" t="str">
        <f>IF(ISBLANK('RESUMEN VIGILANCIA'!AX46),"",'RESUMEN VIGILANCIA'!AX46)</f>
        <v/>
      </c>
      <c r="AZ41" s="391" t="str">
        <f>IF(ISBLANK('RESUMEN VIGILANCIA'!AY46),"",'RESUMEN VIGILANCIA'!AY46)</f>
        <v/>
      </c>
      <c r="BA41" s="392" t="str">
        <f>IF(ISBLANK('RESUMEN VIGILANCIA'!AZ46),"",'RESUMEN VIGILANCIA'!AZ46)</f>
        <v/>
      </c>
      <c r="BB41" s="243">
        <f t="shared" si="2"/>
        <v>32.25</v>
      </c>
      <c r="BC41" s="111">
        <v>43221</v>
      </c>
      <c r="BD41" s="111">
        <v>43374</v>
      </c>
    </row>
    <row r="42" spans="1:56" s="28" customFormat="1" ht="20.100000000000001" customHeight="1">
      <c r="A42" s="29" t="str">
        <f>'RESUMEN VIGILANCIA'!A47</f>
        <v>Andrea Valor</v>
      </c>
      <c r="B42" s="30" t="str">
        <f>'RESUMEN VIGILANCIA'!B47</f>
        <v>Calle Guacara Nro. 88-75</v>
      </c>
      <c r="C42" s="427" t="s">
        <v>1358</v>
      </c>
      <c r="D42" s="434" t="s">
        <v>17</v>
      </c>
      <c r="E42" s="416" t="str">
        <f>IF(ISBLANK('RESUMEN VIGILANCIA'!D47),"",'RESUMEN VIGILANCIA'!D47)</f>
        <v/>
      </c>
      <c r="F42" s="275" t="str">
        <f>IF(ISBLANK('RESUMEN VIGILANCIA'!E47),"",'RESUMEN VIGILANCIA'!E47)</f>
        <v/>
      </c>
      <c r="G42" s="276" t="str">
        <f>IF(ISBLANK('RESUMEN VIGILANCIA'!F47),"",'RESUMEN VIGILANCIA'!F47)</f>
        <v/>
      </c>
      <c r="H42" s="276" t="str">
        <f>IF(ISBLANK('RESUMEN VIGILANCIA'!G47),"",'RESUMEN VIGILANCIA'!G47)</f>
        <v/>
      </c>
      <c r="I42" s="276" t="str">
        <f>IF(ISBLANK('RESUMEN VIGILANCIA'!H47),"",'RESUMEN VIGILANCIA'!H47)</f>
        <v/>
      </c>
      <c r="J42" s="276" t="str">
        <f>IF(ISBLANK('RESUMEN VIGILANCIA'!I47),"",'RESUMEN VIGILANCIA'!I47)</f>
        <v/>
      </c>
      <c r="K42" s="276" t="str">
        <f>IF(ISBLANK('RESUMEN VIGILANCIA'!J47),"",'RESUMEN VIGILANCIA'!J47)</f>
        <v/>
      </c>
      <c r="L42" s="276" t="str">
        <f>IF(ISBLANK('RESUMEN VIGILANCIA'!K47),"",'RESUMEN VIGILANCIA'!K47)</f>
        <v/>
      </c>
      <c r="M42" s="276" t="str">
        <f>IF(ISBLANK('RESUMEN VIGILANCIA'!L47),"",'RESUMEN VIGILANCIA'!L47)</f>
        <v/>
      </c>
      <c r="N42" s="276" t="str">
        <f>IF(ISBLANK('RESUMEN VIGILANCIA'!M47),"",'RESUMEN VIGILANCIA'!M47)</f>
        <v/>
      </c>
      <c r="O42" s="276" t="str">
        <f>IF(ISBLANK('RESUMEN VIGILANCIA'!N47),"",'RESUMEN VIGILANCIA'!N47)</f>
        <v/>
      </c>
      <c r="P42" s="277" t="str">
        <f>IF(ISBLANK('RESUMEN VIGILANCIA'!O47),"",'RESUMEN VIGILANCIA'!O47)</f>
        <v/>
      </c>
      <c r="Q42" s="274" t="str">
        <f>IF(ISBLANK('RESUMEN VIGILANCIA'!P47),"",'RESUMEN VIGILANCIA'!P47)</f>
        <v/>
      </c>
      <c r="R42" s="278" t="str">
        <f>IF(ISBLANK('RESUMEN VIGILANCIA'!Q47),"",'RESUMEN VIGILANCIA'!Q47)</f>
        <v/>
      </c>
      <c r="S42" s="277" t="str">
        <f>IF(ISBLANK('RESUMEN VIGILANCIA'!R47),"",'RESUMEN VIGILANCIA'!R47)</f>
        <v/>
      </c>
      <c r="T42" s="277" t="str">
        <f>IF(ISBLANK('RESUMEN VIGILANCIA'!S47),"",'RESUMEN VIGILANCIA'!S47)</f>
        <v/>
      </c>
      <c r="U42" s="277" t="str">
        <f>IF(ISBLANK('RESUMEN VIGILANCIA'!T47),"",'RESUMEN VIGILANCIA'!T47)</f>
        <v/>
      </c>
      <c r="V42" s="277"/>
      <c r="W42" s="277"/>
      <c r="X42" s="277"/>
      <c r="Y42" s="277"/>
      <c r="Z42" s="461" t="str">
        <f>IF(ISBLANK('RESUMEN VIGILANCIA'!Y47),"",'RESUMEN VIGILANCIA'!Y47)</f>
        <v/>
      </c>
      <c r="AA42" s="461" t="str">
        <f>IF(ISBLANK('RESUMEN VIGILANCIA'!Z47),"",'RESUMEN VIGILANCIA'!Z47)</f>
        <v/>
      </c>
      <c r="AB42" s="461" t="str">
        <f>IF(ISBLANK('RESUMEN VIGILANCIA'!AA47),"",'RESUMEN VIGILANCIA'!AA47)</f>
        <v/>
      </c>
      <c r="AC42" s="461" t="str">
        <f>IF(ISBLANK('RESUMEN VIGILANCIA'!AB47),"",'RESUMEN VIGILANCIA'!AB47)</f>
        <v/>
      </c>
      <c r="AD42" s="461" t="str">
        <f>IF(ISBLANK('RESUMEN VIGILANCIA'!AC47),"",'RESUMEN VIGILANCIA'!AC47)</f>
        <v/>
      </c>
      <c r="AE42" s="461" t="str">
        <f>IF(ISBLANK('RESUMEN VIGILANCIA'!AD47),"",'RESUMEN VIGILANCIA'!AD47)</f>
        <v/>
      </c>
      <c r="AF42" s="375">
        <f>IF(ISBLANK('RESUMEN VIGILANCIA'!AE47),"",'RESUMEN VIGILANCIA'!AE47)</f>
        <v>3000</v>
      </c>
      <c r="AG42" s="375">
        <f>IF(ISBLANK('RESUMEN VIGILANCIA'!AF47),"",'RESUMEN VIGILANCIA'!AF47)</f>
        <v>5000</v>
      </c>
      <c r="AH42" s="375">
        <f>IF(ISBLANK('RESUMEN VIGILANCIA'!AG47),"",'RESUMEN VIGILANCIA'!AG47)</f>
        <v>8000</v>
      </c>
      <c r="AI42" s="375">
        <f>IF(ISBLANK('RESUMEN VIGILANCIA'!AH47),"",'RESUMEN VIGILANCIA'!AH47)</f>
        <v>8000</v>
      </c>
      <c r="AJ42" s="375">
        <f>IF(ISBLANK('RESUMEN VIGILANCIA'!AI47),"",'RESUMEN VIGILANCIA'!AI47)</f>
        <v>10000</v>
      </c>
      <c r="AK42" s="375">
        <f>IF(ISBLANK('RESUMEN VIGILANCIA'!AJ47),"",'RESUMEN VIGILANCIA'!AJ47)</f>
        <v>10000</v>
      </c>
      <c r="AL42" s="375">
        <f>IF(ISBLANK('RESUMEN VIGILANCIA'!AK47),"",'RESUMEN VIGILANCIA'!AK47)</f>
        <v>20500</v>
      </c>
      <c r="AM42" s="375">
        <f>IF(ISBLANK('RESUMEN VIGILANCIA'!AL47),"",'RESUMEN VIGILANCIA'!AL47)</f>
        <v>51250</v>
      </c>
      <c r="AN42" s="375">
        <f>IF(ISBLANK('RESUMEN VIGILANCIA'!AM47),"",'RESUMEN VIGILANCIA'!AM47)</f>
        <v>64500</v>
      </c>
      <c r="AO42" s="376">
        <f>IF(ISBLANK('RESUMEN VIGILANCIA'!AN47),"",'RESUMEN VIGILANCIA'!AN47)</f>
        <v>81750</v>
      </c>
      <c r="AP42" s="379">
        <f>IF(ISBLANK('RESUMEN VIGILANCIA'!AO47),"",'RESUMEN VIGILANCIA'!AO47)</f>
        <v>136250</v>
      </c>
      <c r="AQ42" s="380">
        <f>IF(ISBLANK('RESUMEN VIGILANCIA'!AP47),"",'RESUMEN VIGILANCIA'!AP47)</f>
        <v>136250</v>
      </c>
      <c r="AR42" s="375">
        <f>IF(ISBLANK('RESUMEN VIGILANCIA'!AQ47),"",'RESUMEN VIGILANCIA'!AQ47)</f>
        <v>185250</v>
      </c>
      <c r="AS42" s="375">
        <f>IF(ISBLANK('RESUMEN VIGILANCIA'!AR47),"",'RESUMEN VIGILANCIA'!AR47)</f>
        <v>185250</v>
      </c>
      <c r="AT42" s="375">
        <f>IF(ISBLANK('RESUMEN VIGILANCIA'!AS47),"",'RESUMEN VIGILANCIA'!AS47)</f>
        <v>250000</v>
      </c>
      <c r="AU42" s="375">
        <f>IF(ISBLANK('RESUMEN VIGILANCIA'!AT47),"",'RESUMEN VIGILANCIA'!AT47)</f>
        <v>250000</v>
      </c>
      <c r="AV42" s="375" t="str">
        <f>IF(ISBLANK('RESUMEN VIGILANCIA'!AU47),"",'RESUMEN VIGILANCIA'!AU47)</f>
        <v/>
      </c>
      <c r="AW42" s="375" t="str">
        <f>IF(ISBLANK('RESUMEN VIGILANCIA'!AV47),"",'RESUMEN VIGILANCIA'!AV47)</f>
        <v/>
      </c>
      <c r="AX42" s="375" t="str">
        <f>IF(ISBLANK('RESUMEN VIGILANCIA'!AW47),"",'RESUMEN VIGILANCIA'!AW47)</f>
        <v/>
      </c>
      <c r="AY42" s="375" t="str">
        <f>IF(ISBLANK('RESUMEN VIGILANCIA'!AX47),"",'RESUMEN VIGILANCIA'!AX47)</f>
        <v/>
      </c>
      <c r="AZ42" s="375" t="str">
        <f>IF(ISBLANK('RESUMEN VIGILANCIA'!AY47),"",'RESUMEN VIGILANCIA'!AY47)</f>
        <v/>
      </c>
      <c r="BA42" s="376" t="str">
        <f>IF(ISBLANK('RESUMEN VIGILANCIA'!AZ47),"",'RESUMEN VIGILANCIA'!AZ47)</f>
        <v/>
      </c>
      <c r="BB42" s="240">
        <f t="shared" si="2"/>
        <v>262000</v>
      </c>
      <c r="BC42" s="110">
        <v>43525</v>
      </c>
      <c r="BD42" s="110"/>
    </row>
    <row r="43" spans="1:56" s="28" customFormat="1" ht="20.100000000000001" customHeight="1">
      <c r="A43" s="356" t="str">
        <f>'RESUMEN VIGILANCIA'!A48</f>
        <v>Familia Machado Stoppa</v>
      </c>
      <c r="B43" s="357" t="str">
        <f>'RESUMEN VIGILANCIA'!B48</f>
        <v>Calle Guacara Nro. 88-85</v>
      </c>
      <c r="C43" s="428" t="s">
        <v>1358</v>
      </c>
      <c r="D43" s="433" t="s">
        <v>1357</v>
      </c>
      <c r="E43" s="414" t="str">
        <f>IF(ISBLANK('RESUMEN VIGILANCIA'!D48),"",'RESUMEN VIGILANCIA'!D48)</f>
        <v/>
      </c>
      <c r="F43" s="264">
        <f>IF(ISBLANK('RESUMEN VIGILANCIA'!E48),"",'RESUMEN VIGILANCIA'!E48)</f>
        <v>0.15</v>
      </c>
      <c r="G43" s="186">
        <f>IF(ISBLANK('RESUMEN VIGILANCIA'!F48),"",'RESUMEN VIGILANCIA'!F48)</f>
        <v>0.15</v>
      </c>
      <c r="H43" s="186">
        <f>IF(ISBLANK('RESUMEN VIGILANCIA'!G48),"",'RESUMEN VIGILANCIA'!G48)</f>
        <v>0.15</v>
      </c>
      <c r="I43" s="186">
        <f>IF(ISBLANK('RESUMEN VIGILANCIA'!H48),"",'RESUMEN VIGILANCIA'!H48)</f>
        <v>0.22</v>
      </c>
      <c r="J43" s="186">
        <f>IF(ISBLANK('RESUMEN VIGILANCIA'!I48),"",'RESUMEN VIGILANCIA'!I48)</f>
        <v>0.22</v>
      </c>
      <c r="K43" s="186">
        <f>IF(ISBLANK('RESUMEN VIGILANCIA'!J48),"",'RESUMEN VIGILANCIA'!J48)</f>
        <v>0.22</v>
      </c>
      <c r="L43" s="186">
        <f>IF(ISBLANK('RESUMEN VIGILANCIA'!K48),"",'RESUMEN VIGILANCIA'!K48)</f>
        <v>0.25</v>
      </c>
      <c r="M43" s="186">
        <f>IF(ISBLANK('RESUMEN VIGILANCIA'!L48),"",'RESUMEN VIGILANCIA'!L48)</f>
        <v>0.3</v>
      </c>
      <c r="N43" s="186">
        <f>IF(ISBLANK('RESUMEN VIGILANCIA'!M48),"",'RESUMEN VIGILANCIA'!M48)</f>
        <v>0.3</v>
      </c>
      <c r="O43" s="186">
        <f>IF(ISBLANK('RESUMEN VIGILANCIA'!N48),"",'RESUMEN VIGILANCIA'!N48)</f>
        <v>0.3</v>
      </c>
      <c r="P43" s="265">
        <f>IF(ISBLANK('RESUMEN VIGILANCIA'!O48),"",'RESUMEN VIGILANCIA'!O48)</f>
        <v>0.4</v>
      </c>
      <c r="Q43" s="184">
        <f>IF(ISBLANK('RESUMEN VIGILANCIA'!P48),"",'RESUMEN VIGILANCIA'!P48)</f>
        <v>0.4</v>
      </c>
      <c r="R43" s="266">
        <f>IF(ISBLANK('RESUMEN VIGILANCIA'!Q48),"",'RESUMEN VIGILANCIA'!Q48)</f>
        <v>0.7</v>
      </c>
      <c r="S43" s="265">
        <f>IF(ISBLANK('RESUMEN VIGILANCIA'!R48),"",'RESUMEN VIGILANCIA'!R48)</f>
        <v>0.7</v>
      </c>
      <c r="T43" s="265">
        <f>IF(ISBLANK('RESUMEN VIGILANCIA'!S48),"",'RESUMEN VIGILANCIA'!S48)</f>
        <v>0.7</v>
      </c>
      <c r="U43" s="265">
        <f>IF(ISBLANK('RESUMEN VIGILANCIA'!T48),"",'RESUMEN VIGILANCIA'!T48)</f>
        <v>0.7</v>
      </c>
      <c r="V43" s="265">
        <f>IF(ISBLANK('RESUMEN VIGILANCIA'!U48),"",'RESUMEN VIGILANCIA'!U48)</f>
        <v>4</v>
      </c>
      <c r="W43" s="268">
        <f>IF(ISBLANK('RESUMEN VIGILANCIA'!V48),"",'RESUMEN VIGILANCIA'!V48)</f>
        <v>6.25</v>
      </c>
      <c r="X43" s="268">
        <f>IF(ISBLANK('RESUMEN VIGILANCIA'!W48),"",'RESUMEN VIGILANCIA'!W48)</f>
        <v>10</v>
      </c>
      <c r="Y43" s="268">
        <f>IF(ISBLANK('RESUMEN VIGILANCIA'!X48),"",'RESUMEN VIGILANCIA'!X48)</f>
        <v>12</v>
      </c>
      <c r="Z43" s="453">
        <f>IF(ISBLANK('RESUMEN VIGILANCIA'!Y48),"",'RESUMEN VIGILANCIA'!Y48)</f>
        <v>320</v>
      </c>
      <c r="AA43" s="456">
        <f>IF(ISBLANK('RESUMEN VIGILANCIA'!Z48),"",'RESUMEN VIGILANCIA'!Z48)</f>
        <v>350</v>
      </c>
      <c r="AB43" s="456">
        <f>IF(ISBLANK('RESUMEN VIGILANCIA'!AA48),"",'RESUMEN VIGILANCIA'!AA48)</f>
        <v>320</v>
      </c>
      <c r="AC43" s="455">
        <f>IF(ISBLANK('RESUMEN VIGILANCIA'!AB48),"",'RESUMEN VIGILANCIA'!AB48)</f>
        <v>800</v>
      </c>
      <c r="AD43" s="379">
        <f>IF(ISBLANK('RESUMEN VIGILANCIA'!AC48),"",'RESUMEN VIGILANCIA'!AC48)</f>
        <v>3000</v>
      </c>
      <c r="AE43" s="380">
        <f>IF(ISBLANK('RESUMEN VIGILANCIA'!AD48),"",'RESUMEN VIGILANCIA'!AD48)</f>
        <v>3000</v>
      </c>
      <c r="AF43" s="380">
        <f>IF(ISBLANK('RESUMEN VIGILANCIA'!AE48),"",'RESUMEN VIGILANCIA'!AE48)</f>
        <v>3000</v>
      </c>
      <c r="AG43" s="380">
        <f>IF(ISBLANK('RESUMEN VIGILANCIA'!AF48),"",'RESUMEN VIGILANCIA'!AF48)</f>
        <v>5000</v>
      </c>
      <c r="AH43" s="380">
        <f>IF(ISBLANK('RESUMEN VIGILANCIA'!AG48),"",'RESUMEN VIGILANCIA'!AG48)</f>
        <v>8000</v>
      </c>
      <c r="AI43" s="380">
        <f>IF(ISBLANK('RESUMEN VIGILANCIA'!AH48),"",'RESUMEN VIGILANCIA'!AH48)</f>
        <v>8000</v>
      </c>
      <c r="AJ43" s="380">
        <f>IF(ISBLANK('RESUMEN VIGILANCIA'!AI48),"",'RESUMEN VIGILANCIA'!AI48)</f>
        <v>10000</v>
      </c>
      <c r="AK43" s="380">
        <f>IF(ISBLANK('RESUMEN VIGILANCIA'!AJ48),"",'RESUMEN VIGILANCIA'!AJ48)</f>
        <v>10000</v>
      </c>
      <c r="AL43" s="380">
        <f>IF(ISBLANK('RESUMEN VIGILANCIA'!AK48),"",'RESUMEN VIGILANCIA'!AK48)</f>
        <v>20500</v>
      </c>
      <c r="AM43" s="380">
        <f>IF(ISBLANK('RESUMEN VIGILANCIA'!AL48),"",'RESUMEN VIGILANCIA'!AL48)</f>
        <v>47000</v>
      </c>
      <c r="AN43" s="380">
        <f>IF(ISBLANK('RESUMEN VIGILANCIA'!AM48),"",'RESUMEN VIGILANCIA'!AM48)</f>
        <v>56250</v>
      </c>
      <c r="AO43" s="385">
        <f>IF(ISBLANK('RESUMEN VIGILANCIA'!AN48),"",'RESUMEN VIGILANCIA'!AN48)</f>
        <v>105250</v>
      </c>
      <c r="AP43" s="379">
        <f>IF(ISBLANK('RESUMEN VIGILANCIA'!AO48),"",'RESUMEN VIGILANCIA'!AO48)</f>
        <v>136250</v>
      </c>
      <c r="AQ43" s="380">
        <f>IF(ISBLANK('RESUMEN VIGILANCIA'!AP48),"",'RESUMEN VIGILANCIA'!AP48)</f>
        <v>136250</v>
      </c>
      <c r="AR43" s="380">
        <f>IF(ISBLANK('RESUMEN VIGILANCIA'!AQ48),"",'RESUMEN VIGILANCIA'!AQ48)</f>
        <v>185250</v>
      </c>
      <c r="AS43" s="380">
        <f>IF(ISBLANK('RESUMEN VIGILANCIA'!AR48),"",'RESUMEN VIGILANCIA'!AR48)</f>
        <v>186250</v>
      </c>
      <c r="AT43" s="380">
        <f>IF(ISBLANK('RESUMEN VIGILANCIA'!AS48),"",'RESUMEN VIGILANCIA'!AS48)</f>
        <v>250000</v>
      </c>
      <c r="AU43" s="380">
        <f>IF(ISBLANK('RESUMEN VIGILANCIA'!AT48),"",'RESUMEN VIGILANCIA'!AT48)</f>
        <v>250000</v>
      </c>
      <c r="AV43" s="380" t="str">
        <f>IF(ISBLANK('RESUMEN VIGILANCIA'!AU48),"",'RESUMEN VIGILANCIA'!AU48)</f>
        <v/>
      </c>
      <c r="AW43" s="380" t="str">
        <f>IF(ISBLANK('RESUMEN VIGILANCIA'!AV48),"",'RESUMEN VIGILANCIA'!AV48)</f>
        <v/>
      </c>
      <c r="AX43" s="380" t="str">
        <f>IF(ISBLANK('RESUMEN VIGILANCIA'!AW48),"",'RESUMEN VIGILANCIA'!AW48)</f>
        <v/>
      </c>
      <c r="AY43" s="380" t="str">
        <f>IF(ISBLANK('RESUMEN VIGILANCIA'!AX48),"",'RESUMEN VIGILANCIA'!AX48)</f>
        <v/>
      </c>
      <c r="AZ43" s="380" t="str">
        <f>IF(ISBLANK('RESUMEN VIGILANCIA'!AY48),"",'RESUMEN VIGILANCIA'!AY48)</f>
        <v/>
      </c>
      <c r="BA43" s="385" t="str">
        <f>IF(ISBLANK('RESUMEN VIGILANCIA'!AZ48),"",'RESUMEN VIGILANCIA'!AZ48)</f>
        <v/>
      </c>
      <c r="BB43" s="344">
        <f t="shared" si="2"/>
        <v>280828.11</v>
      </c>
      <c r="BC43" s="345"/>
      <c r="BD43" s="345"/>
    </row>
    <row r="44" spans="1:56" s="28" customFormat="1" ht="20.100000000000001" customHeight="1">
      <c r="A44" s="356" t="str">
        <f>'RESUMEN VIGILANCIA'!A49</f>
        <v>Familia Zavarce Barón</v>
      </c>
      <c r="B44" s="357" t="str">
        <f>'RESUMEN VIGILANCIA'!B49</f>
        <v>Calle Guacara Nro. 88-91</v>
      </c>
      <c r="C44" s="428" t="s">
        <v>1358</v>
      </c>
      <c r="D44" s="433" t="s">
        <v>1357</v>
      </c>
      <c r="E44" s="414" t="str">
        <f>IF(ISBLANK('RESUMEN VIGILANCIA'!D49),"",'RESUMEN VIGILANCIA'!D49)</f>
        <v/>
      </c>
      <c r="F44" s="264">
        <f>IF(ISBLANK('RESUMEN VIGILANCIA'!E49),"",'RESUMEN VIGILANCIA'!E49)</f>
        <v>0.1</v>
      </c>
      <c r="G44" s="186">
        <f>IF(ISBLANK('RESUMEN VIGILANCIA'!F49),"",'RESUMEN VIGILANCIA'!F49)</f>
        <v>0.1</v>
      </c>
      <c r="H44" s="186">
        <f>IF(ISBLANK('RESUMEN VIGILANCIA'!G49),"",'RESUMEN VIGILANCIA'!G49)</f>
        <v>0.14000000000000001</v>
      </c>
      <c r="I44" s="186">
        <f>IF(ISBLANK('RESUMEN VIGILANCIA'!H49),"",'RESUMEN VIGILANCIA'!H49)</f>
        <v>0.17</v>
      </c>
      <c r="J44" s="186">
        <f>IF(ISBLANK('RESUMEN VIGILANCIA'!I49),"",'RESUMEN VIGILANCIA'!I49)</f>
        <v>0.1</v>
      </c>
      <c r="K44" s="186">
        <f>IF(ISBLANK('RESUMEN VIGILANCIA'!J49),"",'RESUMEN VIGILANCIA'!J49)</f>
        <v>0.1</v>
      </c>
      <c r="L44" s="186">
        <f>IF(ISBLANK('RESUMEN VIGILANCIA'!K49),"",'RESUMEN VIGILANCIA'!K49)</f>
        <v>0.1</v>
      </c>
      <c r="M44" s="186">
        <f>IF(ISBLANK('RESUMEN VIGILANCIA'!L49),"",'RESUMEN VIGILANCIA'!L49)</f>
        <v>0.1</v>
      </c>
      <c r="N44" s="186" t="str">
        <f>IF(ISBLANK('RESUMEN VIGILANCIA'!M49),"",'RESUMEN VIGILANCIA'!M49)</f>
        <v/>
      </c>
      <c r="O44" s="186" t="str">
        <f>IF(ISBLANK('RESUMEN VIGILANCIA'!N49),"",'RESUMEN VIGILANCIA'!N49)</f>
        <v/>
      </c>
      <c r="P44" s="265" t="str">
        <f>IF(ISBLANK('RESUMEN VIGILANCIA'!O49),"",'RESUMEN VIGILANCIA'!O49)</f>
        <v/>
      </c>
      <c r="Q44" s="184" t="str">
        <f>IF(ISBLANK('RESUMEN VIGILANCIA'!P49),"",'RESUMEN VIGILANCIA'!P49)</f>
        <v/>
      </c>
      <c r="R44" s="266">
        <f>IF(ISBLANK('RESUMEN VIGILANCIA'!Q49),"",'RESUMEN VIGILANCIA'!Q49)</f>
        <v>0.8</v>
      </c>
      <c r="S44" s="265">
        <f>IF(ISBLANK('RESUMEN VIGILANCIA'!R49),"",'RESUMEN VIGILANCIA'!R49)</f>
        <v>0.8</v>
      </c>
      <c r="T44" s="265">
        <f>IF(ISBLANK('RESUMEN VIGILANCIA'!S49),"",'RESUMEN VIGILANCIA'!S49)</f>
        <v>1.4</v>
      </c>
      <c r="U44" s="265">
        <f>IF(ISBLANK('RESUMEN VIGILANCIA'!T49),"",'RESUMEN VIGILANCIA'!T49)</f>
        <v>1.4</v>
      </c>
      <c r="V44" s="265">
        <f>IF(ISBLANK('RESUMEN VIGILANCIA'!U49),"",'RESUMEN VIGILANCIA'!U49)</f>
        <v>4</v>
      </c>
      <c r="W44" s="268">
        <f>IF(ISBLANK('RESUMEN VIGILANCIA'!V49),"",'RESUMEN VIGILANCIA'!V49)</f>
        <v>6.25</v>
      </c>
      <c r="X44" s="268">
        <f>IF(ISBLANK('RESUMEN VIGILANCIA'!W49),"",'RESUMEN VIGILANCIA'!W49)</f>
        <v>10</v>
      </c>
      <c r="Y44" s="268">
        <f>IF(ISBLANK('RESUMEN VIGILANCIA'!X49),"",'RESUMEN VIGILANCIA'!X49)</f>
        <v>12</v>
      </c>
      <c r="Z44" s="453">
        <f>IF(ISBLANK('RESUMEN VIGILANCIA'!Y49),"",'RESUMEN VIGILANCIA'!Y49)</f>
        <v>320</v>
      </c>
      <c r="AA44" s="456">
        <f>IF(ISBLANK('RESUMEN VIGILANCIA'!Z49),"",'RESUMEN VIGILANCIA'!Z49)</f>
        <v>320</v>
      </c>
      <c r="AB44" s="456">
        <f>IF(ISBLANK('RESUMEN VIGILANCIA'!AA49),"",'RESUMEN VIGILANCIA'!AA49)</f>
        <v>320</v>
      </c>
      <c r="AC44" s="455">
        <f>IF(ISBLANK('RESUMEN VIGILANCIA'!AB49),"",'RESUMEN VIGILANCIA'!AB49)</f>
        <v>800</v>
      </c>
      <c r="AD44" s="379">
        <f>IF(ISBLANK('RESUMEN VIGILANCIA'!AC49),"",'RESUMEN VIGILANCIA'!AC49)</f>
        <v>3000</v>
      </c>
      <c r="AE44" s="380">
        <f>IF(ISBLANK('RESUMEN VIGILANCIA'!AD49),"",'RESUMEN VIGILANCIA'!AD49)</f>
        <v>3000</v>
      </c>
      <c r="AF44" s="380">
        <f>IF(ISBLANK('RESUMEN VIGILANCIA'!AE49),"",'RESUMEN VIGILANCIA'!AE49)</f>
        <v>3000</v>
      </c>
      <c r="AG44" s="380">
        <f>IF(ISBLANK('RESUMEN VIGILANCIA'!AF49),"",'RESUMEN VIGILANCIA'!AF49)</f>
        <v>5000</v>
      </c>
      <c r="AH44" s="380">
        <f>IF(ISBLANK('RESUMEN VIGILANCIA'!AG49),"",'RESUMEN VIGILANCIA'!AG49)</f>
        <v>8000</v>
      </c>
      <c r="AI44" s="380">
        <f>IF(ISBLANK('RESUMEN VIGILANCIA'!AH49),"",'RESUMEN VIGILANCIA'!AH49)</f>
        <v>8000</v>
      </c>
      <c r="AJ44" s="380">
        <f>IF(ISBLANK('RESUMEN VIGILANCIA'!AI49),"",'RESUMEN VIGILANCIA'!AI49)</f>
        <v>10000</v>
      </c>
      <c r="AK44" s="380">
        <f>IF(ISBLANK('RESUMEN VIGILANCIA'!AJ49),"",'RESUMEN VIGILANCIA'!AJ49)</f>
        <v>10000</v>
      </c>
      <c r="AL44" s="380">
        <f>IF(ISBLANK('RESUMEN VIGILANCIA'!AK49),"",'RESUMEN VIGILANCIA'!AK49)</f>
        <v>19800</v>
      </c>
      <c r="AM44" s="380">
        <f>IF(ISBLANK('RESUMEN VIGILANCIA'!AL49),"",'RESUMEN VIGILANCIA'!AL49)</f>
        <v>51250</v>
      </c>
      <c r="AN44" s="380">
        <f>IF(ISBLANK('RESUMEN VIGILANCIA'!AM49),"",'RESUMEN VIGILANCIA'!AM49)</f>
        <v>97500</v>
      </c>
      <c r="AO44" s="385">
        <f>IF(ISBLANK('RESUMEN VIGILANCIA'!AN49),"",'RESUMEN VIGILANCIA'!AN49)</f>
        <v>105250</v>
      </c>
      <c r="AP44" s="379">
        <f>IF(ISBLANK('RESUMEN VIGILANCIA'!AO49),"",'RESUMEN VIGILANCIA'!AO49)</f>
        <v>136250</v>
      </c>
      <c r="AQ44" s="380">
        <f>IF(ISBLANK('RESUMEN VIGILANCIA'!AP49),"",'RESUMEN VIGILANCIA'!AP49)</f>
        <v>136200</v>
      </c>
      <c r="AR44" s="380">
        <f>IF(ISBLANK('RESUMEN VIGILANCIA'!AQ49),"",'RESUMEN VIGILANCIA'!AQ49)</f>
        <v>185200</v>
      </c>
      <c r="AS44" s="380">
        <f>IF(ISBLANK('RESUMEN VIGILANCIA'!AR49),"",'RESUMEN VIGILANCIA'!AR49)</f>
        <v>185250</v>
      </c>
      <c r="AT44" s="380">
        <f>IF(ISBLANK('RESUMEN VIGILANCIA'!AS49),"",'RESUMEN VIGILANCIA'!AS49)</f>
        <v>250000</v>
      </c>
      <c r="AU44" s="380">
        <f>IF(ISBLANK('RESUMEN VIGILANCIA'!AT49),"",'RESUMEN VIGILANCIA'!AT49)</f>
        <v>250000</v>
      </c>
      <c r="AV44" s="380" t="str">
        <f>IF(ISBLANK('RESUMEN VIGILANCIA'!AU49),"",'RESUMEN VIGILANCIA'!AU49)</f>
        <v/>
      </c>
      <c r="AW44" s="380" t="str">
        <f>IF(ISBLANK('RESUMEN VIGILANCIA'!AV49),"",'RESUMEN VIGILANCIA'!AV49)</f>
        <v/>
      </c>
      <c r="AX44" s="380" t="str">
        <f>IF(ISBLANK('RESUMEN VIGILANCIA'!AW49),"",'RESUMEN VIGILANCIA'!AW49)</f>
        <v/>
      </c>
      <c r="AY44" s="380" t="str">
        <f>IF(ISBLANK('RESUMEN VIGILANCIA'!AX49),"",'RESUMEN VIGILANCIA'!AX49)</f>
        <v/>
      </c>
      <c r="AZ44" s="380" t="str">
        <f>IF(ISBLANK('RESUMEN VIGILANCIA'!AY49),"",'RESUMEN VIGILANCIA'!AY49)</f>
        <v/>
      </c>
      <c r="BA44" s="385" t="str">
        <f>IF(ISBLANK('RESUMEN VIGILANCIA'!AZ49),"",'RESUMEN VIGILANCIA'!AZ49)</f>
        <v/>
      </c>
      <c r="BB44" s="344">
        <f t="shared" si="2"/>
        <v>325597.56</v>
      </c>
      <c r="BC44" s="345"/>
      <c r="BD44" s="345"/>
    </row>
    <row r="45" spans="1:56" s="28" customFormat="1" ht="20.100000000000001" customHeight="1">
      <c r="A45" s="57" t="str">
        <f>'RESUMEN VIGILANCIA'!A50</f>
        <v>Familia Chávez Moncada</v>
      </c>
      <c r="B45" s="58" t="str">
        <f>'RESUMEN VIGILANCIA'!B50</f>
        <v>Calle Guacara Nro. 88-95</v>
      </c>
      <c r="C45" s="427" t="s">
        <v>1360</v>
      </c>
      <c r="D45" s="434" t="s">
        <v>1357</v>
      </c>
      <c r="E45" s="415" t="str">
        <f>IF(ISBLANK('RESUMEN VIGILANCIA'!D50),"",'RESUMEN VIGILANCIA'!D50)</f>
        <v/>
      </c>
      <c r="F45" s="267" t="str">
        <f>IF(ISBLANK('RESUMEN VIGILANCIA'!E50),"",'RESUMEN VIGILANCIA'!E50)</f>
        <v/>
      </c>
      <c r="G45" s="179" t="str">
        <f>IF(ISBLANK('RESUMEN VIGILANCIA'!F50),"",'RESUMEN VIGILANCIA'!F50)</f>
        <v/>
      </c>
      <c r="H45" s="179" t="str">
        <f>IF(ISBLANK('RESUMEN VIGILANCIA'!G50),"",'RESUMEN VIGILANCIA'!G50)</f>
        <v/>
      </c>
      <c r="I45" s="179" t="str">
        <f>IF(ISBLANK('RESUMEN VIGILANCIA'!H50),"",'RESUMEN VIGILANCIA'!H50)</f>
        <v/>
      </c>
      <c r="J45" s="179" t="str">
        <f>IF(ISBLANK('RESUMEN VIGILANCIA'!I50),"",'RESUMEN VIGILANCIA'!I50)</f>
        <v/>
      </c>
      <c r="K45" s="179" t="str">
        <f>IF(ISBLANK('RESUMEN VIGILANCIA'!J50),"",'RESUMEN VIGILANCIA'!J50)</f>
        <v/>
      </c>
      <c r="L45" s="179" t="str">
        <f>IF(ISBLANK('RESUMEN VIGILANCIA'!K50),"",'RESUMEN VIGILANCIA'!K50)</f>
        <v/>
      </c>
      <c r="M45" s="179" t="str">
        <f>IF(ISBLANK('RESUMEN VIGILANCIA'!L50),"",'RESUMEN VIGILANCIA'!L50)</f>
        <v/>
      </c>
      <c r="N45" s="179" t="str">
        <f>IF(ISBLANK('RESUMEN VIGILANCIA'!M50),"",'RESUMEN VIGILANCIA'!M50)</f>
        <v/>
      </c>
      <c r="O45" s="179" t="str">
        <f>IF(ISBLANK('RESUMEN VIGILANCIA'!N50),"",'RESUMEN VIGILANCIA'!N50)</f>
        <v/>
      </c>
      <c r="P45" s="268" t="str">
        <f>IF(ISBLANK('RESUMEN VIGILANCIA'!O50),"",'RESUMEN VIGILANCIA'!O50)</f>
        <v/>
      </c>
      <c r="Q45" s="177" t="str">
        <f>IF(ISBLANK('RESUMEN VIGILANCIA'!P50),"",'RESUMEN VIGILANCIA'!P50)</f>
        <v/>
      </c>
      <c r="R45" s="269" t="str">
        <f>IF(ISBLANK('RESUMEN VIGILANCIA'!Q50),"",'RESUMEN VIGILANCIA'!Q50)</f>
        <v/>
      </c>
      <c r="S45" s="268" t="str">
        <f>IF(ISBLANK('RESUMEN VIGILANCIA'!R50),"",'RESUMEN VIGILANCIA'!R50)</f>
        <v/>
      </c>
      <c r="T45" s="268" t="str">
        <f>IF(ISBLANK('RESUMEN VIGILANCIA'!S50),"",'RESUMEN VIGILANCIA'!S50)</f>
        <v/>
      </c>
      <c r="U45" s="268" t="str">
        <f>IF(ISBLANK('RESUMEN VIGILANCIA'!T50),"",'RESUMEN VIGILANCIA'!T50)</f>
        <v/>
      </c>
      <c r="V45" s="268" t="str">
        <f>IF(ISBLANK('RESUMEN VIGILANCIA'!U50),"",'RESUMEN VIGILANCIA'!U50)</f>
        <v/>
      </c>
      <c r="W45" s="268" t="str">
        <f>IF(ISBLANK('RESUMEN VIGILANCIA'!V50),"",'RESUMEN VIGILANCIA'!V50)</f>
        <v/>
      </c>
      <c r="X45" s="268" t="str">
        <f>IF(ISBLANK('RESUMEN VIGILANCIA'!W50),"",'RESUMEN VIGILANCIA'!W50)</f>
        <v/>
      </c>
      <c r="Y45" s="268" t="str">
        <f>IF(ISBLANK('RESUMEN VIGILANCIA'!X50),"",'RESUMEN VIGILANCIA'!X50)</f>
        <v/>
      </c>
      <c r="Z45" s="453" t="str">
        <f>IF(ISBLANK('RESUMEN VIGILANCIA'!Y50),"",'RESUMEN VIGILANCIA'!Y50)</f>
        <v/>
      </c>
      <c r="AA45" s="453" t="str">
        <f>IF(ISBLANK('RESUMEN VIGILANCIA'!Z50),"",'RESUMEN VIGILANCIA'!Z50)</f>
        <v/>
      </c>
      <c r="AB45" s="453" t="str">
        <f>IF(ISBLANK('RESUMEN VIGILANCIA'!AA50),"",'RESUMEN VIGILANCIA'!AA50)</f>
        <v/>
      </c>
      <c r="AC45" s="454" t="str">
        <f>IF(ISBLANK('RESUMEN VIGILANCIA'!AB50),"",'RESUMEN VIGILANCIA'!AB50)</f>
        <v/>
      </c>
      <c r="AD45" s="374" t="str">
        <f>IF(ISBLANK('RESUMEN VIGILANCIA'!AC50),"",'RESUMEN VIGILANCIA'!AC50)</f>
        <v/>
      </c>
      <c r="AE45" s="375" t="str">
        <f>IF(ISBLANK('RESUMEN VIGILANCIA'!AD50),"",'RESUMEN VIGILANCIA'!AD50)</f>
        <v/>
      </c>
      <c r="AF45" s="375" t="str">
        <f>IF(ISBLANK('RESUMEN VIGILANCIA'!AE50),"",'RESUMEN VIGILANCIA'!AE50)</f>
        <v/>
      </c>
      <c r="AG45" s="375" t="str">
        <f>IF(ISBLANK('RESUMEN VIGILANCIA'!AF50),"",'RESUMEN VIGILANCIA'!AF50)</f>
        <v/>
      </c>
      <c r="AH45" s="375" t="str">
        <f>IF(ISBLANK('RESUMEN VIGILANCIA'!AG50),"",'RESUMEN VIGILANCIA'!AG50)</f>
        <v/>
      </c>
      <c r="AI45" s="380" t="str">
        <f>IF(ISBLANK('RESUMEN VIGILANCIA'!AH50),"",'RESUMEN VIGILANCIA'!AH50)</f>
        <v/>
      </c>
      <c r="AJ45" s="375" t="str">
        <f>IF(ISBLANK('RESUMEN VIGILANCIA'!AI50),"",'RESUMEN VIGILANCIA'!AI50)</f>
        <v/>
      </c>
      <c r="AK45" s="375" t="str">
        <f>IF(ISBLANK('RESUMEN VIGILANCIA'!AJ50),"",'RESUMEN VIGILANCIA'!AJ50)</f>
        <v/>
      </c>
      <c r="AL45" s="375" t="str">
        <f>IF(ISBLANK('RESUMEN VIGILANCIA'!AK50),"",'RESUMEN VIGILANCIA'!AK50)</f>
        <v/>
      </c>
      <c r="AM45" s="375" t="str">
        <f>IF(ISBLANK('RESUMEN VIGILANCIA'!AL50),"",'RESUMEN VIGILANCIA'!AL50)</f>
        <v/>
      </c>
      <c r="AN45" s="375">
        <f>IF(ISBLANK('RESUMEN VIGILANCIA'!AM50),"",'RESUMEN VIGILANCIA'!AM50)</f>
        <v>2281750</v>
      </c>
      <c r="AO45" s="376">
        <f>IF(ISBLANK('RESUMEN VIGILANCIA'!AN50),"",'RESUMEN VIGILANCIA'!AN50)</f>
        <v>105250</v>
      </c>
      <c r="AP45" s="509" t="str">
        <f>IF(ISBLANK('RESUMEN VIGILANCIA'!AO50),"",'RESUMEN VIGILANCIA'!AO50)</f>
        <v>VENDIDA</v>
      </c>
      <c r="AQ45" s="378" t="str">
        <f>IF(ISBLANK('RESUMEN VIGILANCIA'!AP50),"",'RESUMEN VIGILANCIA'!AP50)</f>
        <v/>
      </c>
      <c r="AR45" s="378" t="str">
        <f>IF(ISBLANK('RESUMEN VIGILANCIA'!AQ50),"",'RESUMEN VIGILANCIA'!AQ50)</f>
        <v/>
      </c>
      <c r="AS45" s="378" t="str">
        <f>IF(ISBLANK('RESUMEN VIGILANCIA'!AR50),"",'RESUMEN VIGILANCIA'!AR50)</f>
        <v/>
      </c>
      <c r="AT45" s="378" t="str">
        <f>IF(ISBLANK('RESUMEN VIGILANCIA'!AS50),"",'RESUMEN VIGILANCIA'!AS50)</f>
        <v/>
      </c>
      <c r="AU45" s="378" t="str">
        <f>IF(ISBLANK('RESUMEN VIGILANCIA'!AT50),"",'RESUMEN VIGILANCIA'!AT50)</f>
        <v/>
      </c>
      <c r="AV45" s="378" t="str">
        <f>IF(ISBLANK('RESUMEN VIGILANCIA'!AU50),"",'RESUMEN VIGILANCIA'!AU50)</f>
        <v/>
      </c>
      <c r="AW45" s="378" t="str">
        <f>IF(ISBLANK('RESUMEN VIGILANCIA'!AV50),"",'RESUMEN VIGILANCIA'!AV50)</f>
        <v/>
      </c>
      <c r="AX45" s="378" t="str">
        <f>IF(ISBLANK('RESUMEN VIGILANCIA'!AW50),"",'RESUMEN VIGILANCIA'!AW50)</f>
        <v/>
      </c>
      <c r="AY45" s="378" t="str">
        <f>IF(ISBLANK('RESUMEN VIGILANCIA'!AX50),"",'RESUMEN VIGILANCIA'!AX50)</f>
        <v/>
      </c>
      <c r="AZ45" s="378" t="str">
        <f>IF(ISBLANK('RESUMEN VIGILANCIA'!AY50),"",'RESUMEN VIGILANCIA'!AY50)</f>
        <v/>
      </c>
      <c r="BA45" s="389" t="str">
        <f>IF(ISBLANK('RESUMEN VIGILANCIA'!AZ50),"",'RESUMEN VIGILANCIA'!AZ50)</f>
        <v/>
      </c>
      <c r="BB45" s="242">
        <f t="shared" si="2"/>
        <v>2387000</v>
      </c>
      <c r="BC45" s="114"/>
      <c r="BD45" s="114">
        <v>43800</v>
      </c>
    </row>
    <row r="46" spans="1:56" s="28" customFormat="1" ht="20.100000000000001" customHeight="1">
      <c r="A46" s="29" t="str">
        <f>'RESUMEN VIGILANCIA'!A51</f>
        <v>Familia Brito Viana</v>
      </c>
      <c r="B46" s="30" t="str">
        <f>'RESUMEN VIGILANCIA'!B51</f>
        <v>Calle Guacara Nro. 88-95</v>
      </c>
      <c r="C46" s="427" t="s">
        <v>1358</v>
      </c>
      <c r="D46" s="434" t="s">
        <v>1357</v>
      </c>
      <c r="E46" s="418" t="str">
        <f>IF(ISBLANK('RESUMEN VIGILANCIA'!D51),"",'RESUMEN VIGILANCIA'!D51)</f>
        <v/>
      </c>
      <c r="F46" s="295" t="str">
        <f>IF(ISBLANK('RESUMEN VIGILANCIA'!E51),"",'RESUMEN VIGILANCIA'!E51)</f>
        <v/>
      </c>
      <c r="G46" s="214" t="str">
        <f>IF(ISBLANK('RESUMEN VIGILANCIA'!F51),"",'RESUMEN VIGILANCIA'!F51)</f>
        <v/>
      </c>
      <c r="H46" s="214" t="str">
        <f>IF(ISBLANK('RESUMEN VIGILANCIA'!G51),"",'RESUMEN VIGILANCIA'!G51)</f>
        <v/>
      </c>
      <c r="I46" s="214" t="str">
        <f>IF(ISBLANK('RESUMEN VIGILANCIA'!H51),"",'RESUMEN VIGILANCIA'!H51)</f>
        <v/>
      </c>
      <c r="J46" s="214" t="str">
        <f>IF(ISBLANK('RESUMEN VIGILANCIA'!I51),"",'RESUMEN VIGILANCIA'!I51)</f>
        <v/>
      </c>
      <c r="K46" s="214" t="str">
        <f>IF(ISBLANK('RESUMEN VIGILANCIA'!J51),"",'RESUMEN VIGILANCIA'!J51)</f>
        <v/>
      </c>
      <c r="L46" s="214" t="str">
        <f>IF(ISBLANK('RESUMEN VIGILANCIA'!K51),"",'RESUMEN VIGILANCIA'!K51)</f>
        <v/>
      </c>
      <c r="M46" s="214" t="str">
        <f>IF(ISBLANK('RESUMEN VIGILANCIA'!L51),"",'RESUMEN VIGILANCIA'!L51)</f>
        <v/>
      </c>
      <c r="N46" s="214" t="str">
        <f>IF(ISBLANK('RESUMEN VIGILANCIA'!M51),"",'RESUMEN VIGILANCIA'!M51)</f>
        <v/>
      </c>
      <c r="O46" s="214" t="str">
        <f>IF(ISBLANK('RESUMEN VIGILANCIA'!N51),"",'RESUMEN VIGILANCIA'!N51)</f>
        <v/>
      </c>
      <c r="P46" s="281" t="str">
        <f>IF(ISBLANK('RESUMEN VIGILANCIA'!O51),"",'RESUMEN VIGILANCIA'!O51)</f>
        <v/>
      </c>
      <c r="Q46" s="212" t="str">
        <f>IF(ISBLANK('RESUMEN VIGILANCIA'!P51),"",'RESUMEN VIGILANCIA'!P51)</f>
        <v/>
      </c>
      <c r="R46" s="282" t="str">
        <f>IF(ISBLANK('RESUMEN VIGILANCIA'!Q51),"",'RESUMEN VIGILANCIA'!Q51)</f>
        <v/>
      </c>
      <c r="S46" s="281" t="str">
        <f>IF(ISBLANK('RESUMEN VIGILANCIA'!R51),"",'RESUMEN VIGILANCIA'!R51)</f>
        <v/>
      </c>
      <c r="T46" s="281" t="str">
        <f>IF(ISBLANK('RESUMEN VIGILANCIA'!S51),"",'RESUMEN VIGILANCIA'!S51)</f>
        <v/>
      </c>
      <c r="U46" s="281" t="str">
        <f>IF(ISBLANK('RESUMEN VIGILANCIA'!T51),"",'RESUMEN VIGILANCIA'!T51)</f>
        <v/>
      </c>
      <c r="V46" s="281" t="str">
        <f>IF(ISBLANK('RESUMEN VIGILANCIA'!U51),"",'RESUMEN VIGILANCIA'!U51)</f>
        <v/>
      </c>
      <c r="W46" s="281" t="str">
        <f>IF(ISBLANK('RESUMEN VIGILANCIA'!V51),"",'RESUMEN VIGILANCIA'!V51)</f>
        <v/>
      </c>
      <c r="X46" s="281" t="str">
        <f>IF(ISBLANK('RESUMEN VIGILANCIA'!W51),"",'RESUMEN VIGILANCIA'!W51)</f>
        <v/>
      </c>
      <c r="Y46" s="281" t="str">
        <f>IF(ISBLANK('RESUMEN VIGILANCIA'!X51),"",'RESUMEN VIGILANCIA'!X51)</f>
        <v/>
      </c>
      <c r="Z46" s="464" t="str">
        <f>IF(ISBLANK('RESUMEN VIGILANCIA'!Y51),"",'RESUMEN VIGILANCIA'!Y51)</f>
        <v/>
      </c>
      <c r="AA46" s="464" t="str">
        <f>IF(ISBLANK('RESUMEN VIGILANCIA'!Z51),"",'RESUMEN VIGILANCIA'!Z51)</f>
        <v/>
      </c>
      <c r="AB46" s="464" t="str">
        <f>IF(ISBLANK('RESUMEN VIGILANCIA'!AA51),"",'RESUMEN VIGILANCIA'!AA51)</f>
        <v/>
      </c>
      <c r="AC46" s="465" t="str">
        <f>IF(ISBLANK('RESUMEN VIGILANCIA'!AB51),"",'RESUMEN VIGILANCIA'!AB51)</f>
        <v/>
      </c>
      <c r="AD46" s="478" t="str">
        <f>IF(ISBLANK('RESUMEN VIGILANCIA'!AC51),"",'RESUMEN VIGILANCIA'!AC51)</f>
        <v/>
      </c>
      <c r="AE46" s="479" t="str">
        <f>IF(ISBLANK('RESUMEN VIGILANCIA'!AD51),"",'RESUMEN VIGILANCIA'!AD51)</f>
        <v/>
      </c>
      <c r="AF46" s="479" t="str">
        <f>IF(ISBLANK('RESUMEN VIGILANCIA'!AE51),"",'RESUMEN VIGILANCIA'!AE51)</f>
        <v/>
      </c>
      <c r="AG46" s="479" t="str">
        <f>IF(ISBLANK('RESUMEN VIGILANCIA'!AF51),"",'RESUMEN VIGILANCIA'!AF51)</f>
        <v/>
      </c>
      <c r="AH46" s="479" t="str">
        <f>IF(ISBLANK('RESUMEN VIGILANCIA'!AG51),"",'RESUMEN VIGILANCIA'!AG51)</f>
        <v/>
      </c>
      <c r="AI46" s="479" t="str">
        <f>IF(ISBLANK('RESUMEN VIGILANCIA'!AH51),"",'RESUMEN VIGILANCIA'!AH51)</f>
        <v/>
      </c>
      <c r="AJ46" s="479" t="str">
        <f>IF(ISBLANK('RESUMEN VIGILANCIA'!AI51),"",'RESUMEN VIGILANCIA'!AI51)</f>
        <v/>
      </c>
      <c r="AK46" s="479" t="str">
        <f>IF(ISBLANK('RESUMEN VIGILANCIA'!AJ51),"",'RESUMEN VIGILANCIA'!AJ51)</f>
        <v/>
      </c>
      <c r="AL46" s="479" t="str">
        <f>IF(ISBLANK('RESUMEN VIGILANCIA'!AK51),"",'RESUMEN VIGILANCIA'!AK51)</f>
        <v/>
      </c>
      <c r="AM46" s="479" t="str">
        <f>IF(ISBLANK('RESUMEN VIGILANCIA'!AL51),"",'RESUMEN VIGILANCIA'!AL51)</f>
        <v/>
      </c>
      <c r="AN46" s="479" t="str">
        <f>IF(ISBLANK('RESUMEN VIGILANCIA'!AM51),"",'RESUMEN VIGILANCIA'!AM51)</f>
        <v/>
      </c>
      <c r="AO46" s="602" t="str">
        <f>IF(ISBLANK('RESUMEN VIGILANCIA'!AN51),"",'RESUMEN VIGILANCIA'!AN51)</f>
        <v/>
      </c>
      <c r="AP46" s="374">
        <f>IF(ISBLANK('RESUMEN VIGILANCIA'!AO51),"",'RESUMEN VIGILANCIA'!AO51)</f>
        <v>136250</v>
      </c>
      <c r="AQ46" s="380">
        <f>IF(ISBLANK('RESUMEN VIGILANCIA'!AP51),"",'RESUMEN VIGILANCIA'!AP51)</f>
        <v>136250</v>
      </c>
      <c r="AR46" s="380">
        <f>IF(ISBLANK('RESUMEN VIGILANCIA'!AQ51),"",'RESUMEN VIGILANCIA'!AQ51)</f>
        <v>186000</v>
      </c>
      <c r="AS46" s="380">
        <f>IF(ISBLANK('RESUMEN VIGILANCIA'!AR51),"",'RESUMEN VIGILANCIA'!AR51)</f>
        <v>186000</v>
      </c>
      <c r="AT46" s="380">
        <f>IF(ISBLANK('RESUMEN VIGILANCIA'!AS51),"",'RESUMEN VIGILANCIA'!AS51)</f>
        <v>250000</v>
      </c>
      <c r="AU46" s="380">
        <f>IF(ISBLANK('RESUMEN VIGILANCIA'!AT51),"",'RESUMEN VIGILANCIA'!AT51)</f>
        <v>250000</v>
      </c>
      <c r="AV46" s="380">
        <f>IF(ISBLANK('RESUMEN VIGILANCIA'!AU51),"",'RESUMEN VIGILANCIA'!AU51)</f>
        <v>320000</v>
      </c>
      <c r="AW46" s="380" t="str">
        <f>IF(ISBLANK('RESUMEN VIGILANCIA'!AV51),"",'RESUMEN VIGILANCIA'!AV51)</f>
        <v/>
      </c>
      <c r="AX46" s="375" t="str">
        <f>IF(ISBLANK('RESUMEN VIGILANCIA'!AW51),"",'RESUMEN VIGILANCIA'!AW51)</f>
        <v/>
      </c>
      <c r="AY46" s="375" t="str">
        <f>IF(ISBLANK('RESUMEN VIGILANCIA'!AX51),"",'RESUMEN VIGILANCIA'!AX51)</f>
        <v/>
      </c>
      <c r="AZ46" s="375" t="str">
        <f>IF(ISBLANK('RESUMEN VIGILANCIA'!AY51),"",'RESUMEN VIGILANCIA'!AY51)</f>
        <v/>
      </c>
      <c r="BA46" s="376" t="str">
        <f>IF(ISBLANK('RESUMEN VIGILANCIA'!AZ51),"",'RESUMEN VIGILANCIA'!AZ51)</f>
        <v/>
      </c>
      <c r="BB46" s="240">
        <f t="shared" ref="BB46" si="4">SUM(E46:AO46)</f>
        <v>0</v>
      </c>
      <c r="BC46" s="110">
        <v>43831</v>
      </c>
      <c r="BD46" s="110"/>
    </row>
    <row r="47" spans="1:56" s="28" customFormat="1" ht="20.100000000000001" customHeight="1">
      <c r="A47" s="29" t="str">
        <f>'RESUMEN VIGILANCIA'!A67</f>
        <v>Familia Zavarce Pérez</v>
      </c>
      <c r="B47" s="30" t="str">
        <f>'RESUMEN VIGILANCIA'!B67</f>
        <v>Calle Guacara Nro. 90-35</v>
      </c>
      <c r="C47" s="427" t="s">
        <v>1358</v>
      </c>
      <c r="D47" s="434" t="s">
        <v>1357</v>
      </c>
      <c r="E47" s="415" t="str">
        <f>IF(ISBLANK('RESUMEN VIGILANCIA'!D67),"",'RESUMEN VIGILANCIA'!D67)</f>
        <v/>
      </c>
      <c r="F47" s="267">
        <f>IF(ISBLANK('RESUMEN VIGILANCIA'!E67),"",'RESUMEN VIGILANCIA'!E67)</f>
        <v>0.17</v>
      </c>
      <c r="G47" s="179">
        <f>IF(ISBLANK('RESUMEN VIGILANCIA'!F67),"",'RESUMEN VIGILANCIA'!F67)</f>
        <v>0.17</v>
      </c>
      <c r="H47" s="179">
        <f>IF(ISBLANK('RESUMEN VIGILANCIA'!G67),"",'RESUMEN VIGILANCIA'!G67)</f>
        <v>0.17</v>
      </c>
      <c r="I47" s="179">
        <f>IF(ISBLANK('RESUMEN VIGILANCIA'!H67),"",'RESUMEN VIGILANCIA'!H67)</f>
        <v>0.17</v>
      </c>
      <c r="J47" s="179">
        <f>IF(ISBLANK('RESUMEN VIGILANCIA'!I67),"",'RESUMEN VIGILANCIA'!I67)</f>
        <v>0.26</v>
      </c>
      <c r="K47" s="179">
        <f>IF(ISBLANK('RESUMEN VIGILANCIA'!J67),"",'RESUMEN VIGILANCIA'!J67)</f>
        <v>0.26</v>
      </c>
      <c r="L47" s="179">
        <f>IF(ISBLANK('RESUMEN VIGILANCIA'!K67),"",'RESUMEN VIGILANCIA'!K67)</f>
        <v>0.35</v>
      </c>
      <c r="M47" s="179">
        <f>IF(ISBLANK('RESUMEN VIGILANCIA'!L67),"",'RESUMEN VIGILANCIA'!L67)</f>
        <v>0.35</v>
      </c>
      <c r="N47" s="179">
        <f>IF(ISBLANK('RESUMEN VIGILANCIA'!M67),"",'RESUMEN VIGILANCIA'!M67)</f>
        <v>0.35</v>
      </c>
      <c r="O47" s="179">
        <f>IF(ISBLANK('RESUMEN VIGILANCIA'!N67),"",'RESUMEN VIGILANCIA'!N67)</f>
        <v>0.35</v>
      </c>
      <c r="P47" s="268">
        <f>IF(ISBLANK('RESUMEN VIGILANCIA'!O67),"",'RESUMEN VIGILANCIA'!O67)</f>
        <v>0.5</v>
      </c>
      <c r="Q47" s="177">
        <f>IF(ISBLANK('RESUMEN VIGILANCIA'!P67),"",'RESUMEN VIGILANCIA'!P67)</f>
        <v>0.5</v>
      </c>
      <c r="R47" s="269">
        <f>IF(ISBLANK('RESUMEN VIGILANCIA'!Q67),"",'RESUMEN VIGILANCIA'!Q67)</f>
        <v>0.8</v>
      </c>
      <c r="S47" s="268">
        <f>IF(ISBLANK('RESUMEN VIGILANCIA'!R67),"",'RESUMEN VIGILANCIA'!R67)</f>
        <v>0.8</v>
      </c>
      <c r="T47" s="268">
        <f>IF(ISBLANK('RESUMEN VIGILANCIA'!S67),"",'RESUMEN VIGILANCIA'!S67)</f>
        <v>1.4</v>
      </c>
      <c r="U47" s="268">
        <f>IF(ISBLANK('RESUMEN VIGILANCIA'!T67),"",'RESUMEN VIGILANCIA'!T67)</f>
        <v>1.4</v>
      </c>
      <c r="V47" s="268">
        <f>IF(ISBLANK('RESUMEN VIGILANCIA'!U67),"",'RESUMEN VIGILANCIA'!U67)</f>
        <v>4</v>
      </c>
      <c r="W47" s="268">
        <f>IF(ISBLANK('RESUMEN VIGILANCIA'!V67),"",'RESUMEN VIGILANCIA'!V67)</f>
        <v>6.25</v>
      </c>
      <c r="X47" s="268">
        <f>IF(ISBLANK('RESUMEN VIGILANCIA'!W67),"",'RESUMEN VIGILANCIA'!W67)</f>
        <v>10</v>
      </c>
      <c r="Y47" s="268">
        <f>IF(ISBLANK('RESUMEN VIGILANCIA'!X67),"",'RESUMEN VIGILANCIA'!X67)</f>
        <v>12</v>
      </c>
      <c r="Z47" s="453">
        <f>IF(ISBLANK('RESUMEN VIGILANCIA'!Y67),"",'RESUMEN VIGILANCIA'!Y67)</f>
        <v>320</v>
      </c>
      <c r="AA47" s="453">
        <f>IF(ISBLANK('RESUMEN VIGILANCIA'!Z67),"",'RESUMEN VIGILANCIA'!Z67)</f>
        <v>320</v>
      </c>
      <c r="AB47" s="453">
        <f>IF(ISBLANK('RESUMEN VIGILANCIA'!AA67),"",'RESUMEN VIGILANCIA'!AA67)</f>
        <v>320</v>
      </c>
      <c r="AC47" s="454">
        <f>IF(ISBLANK('RESUMEN VIGILANCIA'!AB67),"",'RESUMEN VIGILANCIA'!AB67)</f>
        <v>800</v>
      </c>
      <c r="AD47" s="374">
        <f>IF(ISBLANK('RESUMEN VIGILANCIA'!AC67),"",'RESUMEN VIGILANCIA'!AC67)</f>
        <v>3000</v>
      </c>
      <c r="AE47" s="375">
        <f>IF(ISBLANK('RESUMEN VIGILANCIA'!AD67),"",'RESUMEN VIGILANCIA'!AD67)</f>
        <v>3000</v>
      </c>
      <c r="AF47" s="375">
        <f>IF(ISBLANK('RESUMEN VIGILANCIA'!AE67),"",'RESUMEN VIGILANCIA'!AE67)</f>
        <v>3000</v>
      </c>
      <c r="AG47" s="375">
        <f>IF(ISBLANK('RESUMEN VIGILANCIA'!AF67),"",'RESUMEN VIGILANCIA'!AF67)</f>
        <v>5000</v>
      </c>
      <c r="AH47" s="375">
        <f>IF(ISBLANK('RESUMEN VIGILANCIA'!AG67),"",'RESUMEN VIGILANCIA'!AG67)</f>
        <v>8000</v>
      </c>
      <c r="AI47" s="375">
        <f>IF(ISBLANK('RESUMEN VIGILANCIA'!AH67),"",'RESUMEN VIGILANCIA'!AH67)</f>
        <v>8000</v>
      </c>
      <c r="AJ47" s="375">
        <f>IF(ISBLANK('RESUMEN VIGILANCIA'!AI67),"",'RESUMEN VIGILANCIA'!AI67)</f>
        <v>10000</v>
      </c>
      <c r="AK47" s="375">
        <f>IF(ISBLANK('RESUMEN VIGILANCIA'!AJ67),"",'RESUMEN VIGILANCIA'!AJ67)</f>
        <v>10000</v>
      </c>
      <c r="AL47" s="375">
        <f>IF(ISBLANK('RESUMEN VIGILANCIA'!AK67),"",'RESUMEN VIGILANCIA'!AK67)</f>
        <v>23400</v>
      </c>
      <c r="AM47" s="375">
        <f>IF(ISBLANK('RESUMEN VIGILANCIA'!AL67),"",'RESUMEN VIGILANCIA'!AL67)</f>
        <v>21100</v>
      </c>
      <c r="AN47" s="375">
        <f>IF(ISBLANK('RESUMEN VIGILANCIA'!AM67),"",'RESUMEN VIGILANCIA'!AM67)</f>
        <v>56250</v>
      </c>
      <c r="AO47" s="376">
        <f>IF(ISBLANK('RESUMEN VIGILANCIA'!AN67),"",'RESUMEN VIGILANCIA'!AN67)</f>
        <v>105250</v>
      </c>
      <c r="AP47" s="374">
        <f>IF(ISBLANK('RESUMEN VIGILANCIA'!AO67),"",'RESUMEN VIGILANCIA'!AO67)</f>
        <v>105250</v>
      </c>
      <c r="AQ47" s="375">
        <f>IF(ISBLANK('RESUMEN VIGILANCIA'!AP67),"",'RESUMEN VIGILANCIA'!AP67)</f>
        <v>136250</v>
      </c>
      <c r="AR47" s="375">
        <f>IF(ISBLANK('RESUMEN VIGILANCIA'!AQ67),"",'RESUMEN VIGILANCIA'!AQ67)</f>
        <v>200000</v>
      </c>
      <c r="AS47" s="375">
        <f>IF(ISBLANK('RESUMEN VIGILANCIA'!AR67),"",'RESUMEN VIGILANCIA'!AR67)</f>
        <v>185250</v>
      </c>
      <c r="AT47" s="375">
        <f>IF(ISBLANK('RESUMEN VIGILANCIA'!AS67),"",'RESUMEN VIGILANCIA'!AS67)</f>
        <v>250000</v>
      </c>
      <c r="AU47" s="375">
        <f>IF(ISBLANK('RESUMEN VIGILANCIA'!AT67),"",'RESUMEN VIGILANCIA'!AT67)</f>
        <v>250000</v>
      </c>
      <c r="AV47" s="375">
        <f>IF(ISBLANK('RESUMEN VIGILANCIA'!AU67),"",'RESUMEN VIGILANCIA'!AU67)</f>
        <v>320000</v>
      </c>
      <c r="AW47" s="375" t="str">
        <f>IF(ISBLANK('RESUMEN VIGILANCIA'!AV67),"",'RESUMEN VIGILANCIA'!AV67)</f>
        <v/>
      </c>
      <c r="AX47" s="375" t="str">
        <f>IF(ISBLANK('RESUMEN VIGILANCIA'!AW67),"",'RESUMEN VIGILANCIA'!AW67)</f>
        <v/>
      </c>
      <c r="AY47" s="375" t="str">
        <f>IF(ISBLANK('RESUMEN VIGILANCIA'!AX67),"",'RESUMEN VIGILANCIA'!AX67)</f>
        <v/>
      </c>
      <c r="AZ47" s="375" t="str">
        <f>IF(ISBLANK('RESUMEN VIGILANCIA'!AY67),"",'RESUMEN VIGILANCIA'!AY67)</f>
        <v/>
      </c>
      <c r="BA47" s="376" t="str">
        <f>IF(ISBLANK('RESUMEN VIGILANCIA'!AZ67),"",'RESUMEN VIGILANCIA'!AZ67)</f>
        <v/>
      </c>
      <c r="BB47" s="240">
        <f t="shared" si="2"/>
        <v>257800.25</v>
      </c>
      <c r="BC47" s="110"/>
      <c r="BD47" s="110"/>
    </row>
    <row r="48" spans="1:56" s="28" customFormat="1" ht="20.100000000000001" customHeight="1">
      <c r="A48" s="28" t="str">
        <f>'RESUMEN VIGILANCIA'!A68</f>
        <v>Familia Castro Jiménez</v>
      </c>
      <c r="B48" s="30" t="str">
        <f>'RESUMEN VIGILANCIA'!B68</f>
        <v>Calle Guacara Nro. 90-51</v>
      </c>
      <c r="C48" s="427" t="s">
        <v>1358</v>
      </c>
      <c r="D48" s="434" t="s">
        <v>1357</v>
      </c>
      <c r="E48" s="415" t="str">
        <f>IF(ISBLANK('RESUMEN VIGILANCIA'!D68),"",'RESUMEN VIGILANCIA'!D68)</f>
        <v/>
      </c>
      <c r="F48" s="267">
        <f>IF(ISBLANK('RESUMEN VIGILANCIA'!E68),"",'RESUMEN VIGILANCIA'!E68)</f>
        <v>0.16999999999999998</v>
      </c>
      <c r="G48" s="179">
        <f>IF(ISBLANK('RESUMEN VIGILANCIA'!F68),"",'RESUMEN VIGILANCIA'!F68)</f>
        <v>0.17</v>
      </c>
      <c r="H48" s="179">
        <f>IF(ISBLANK('RESUMEN VIGILANCIA'!G68),"",'RESUMEN VIGILANCIA'!G68)</f>
        <v>0.17</v>
      </c>
      <c r="I48" s="179">
        <f>IF(ISBLANK('RESUMEN VIGILANCIA'!H68),"",'RESUMEN VIGILANCIA'!H68)</f>
        <v>0.17</v>
      </c>
      <c r="J48" s="179">
        <f>IF(ISBLANK('RESUMEN VIGILANCIA'!I68),"",'RESUMEN VIGILANCIA'!I68)</f>
        <v>0.26</v>
      </c>
      <c r="K48" s="179">
        <f>IF(ISBLANK('RESUMEN VIGILANCIA'!J68),"",'RESUMEN VIGILANCIA'!J68)</f>
        <v>0.26</v>
      </c>
      <c r="L48" s="179">
        <f>IF(ISBLANK('RESUMEN VIGILANCIA'!K68),"",'RESUMEN VIGILANCIA'!K68)</f>
        <v>0.35</v>
      </c>
      <c r="M48" s="179">
        <f>IF(ISBLANK('RESUMEN VIGILANCIA'!L68),"",'RESUMEN VIGILANCIA'!L68)</f>
        <v>0.35</v>
      </c>
      <c r="N48" s="179">
        <f>IF(ISBLANK('RESUMEN VIGILANCIA'!M68),"",'RESUMEN VIGILANCIA'!M68)</f>
        <v>0.35</v>
      </c>
      <c r="O48" s="179">
        <f>IF(ISBLANK('RESUMEN VIGILANCIA'!N68),"",'RESUMEN VIGILANCIA'!N68)</f>
        <v>0.35</v>
      </c>
      <c r="P48" s="268">
        <f>IF(ISBLANK('RESUMEN VIGILANCIA'!O68),"",'RESUMEN VIGILANCIA'!O68)</f>
        <v>0.5</v>
      </c>
      <c r="Q48" s="177">
        <f>IF(ISBLANK('RESUMEN VIGILANCIA'!P68),"",'RESUMEN VIGILANCIA'!P68)</f>
        <v>0.5</v>
      </c>
      <c r="R48" s="269">
        <f>IF(ISBLANK('RESUMEN VIGILANCIA'!Q68),"",'RESUMEN VIGILANCIA'!Q68)</f>
        <v>0.8</v>
      </c>
      <c r="S48" s="268">
        <f>IF(ISBLANK('RESUMEN VIGILANCIA'!R68),"",'RESUMEN VIGILANCIA'!R68)</f>
        <v>0.8</v>
      </c>
      <c r="T48" s="268">
        <f>IF(ISBLANK('RESUMEN VIGILANCIA'!S68),"",'RESUMEN VIGILANCIA'!S68)</f>
        <v>1.5</v>
      </c>
      <c r="U48" s="268">
        <f>IF(ISBLANK('RESUMEN VIGILANCIA'!T68),"",'RESUMEN VIGILANCIA'!T68)</f>
        <v>1.5</v>
      </c>
      <c r="V48" s="268">
        <f>IF(ISBLANK('RESUMEN VIGILANCIA'!U68),"",'RESUMEN VIGILANCIA'!U68)</f>
        <v>4</v>
      </c>
      <c r="W48" s="268">
        <f>IF(ISBLANK('RESUMEN VIGILANCIA'!V68),"",'RESUMEN VIGILANCIA'!V68)</f>
        <v>6.25</v>
      </c>
      <c r="X48" s="268">
        <f>IF(ISBLANK('RESUMEN VIGILANCIA'!W68),"",'RESUMEN VIGILANCIA'!W68)</f>
        <v>10</v>
      </c>
      <c r="Y48" s="268">
        <f>IF(ISBLANK('RESUMEN VIGILANCIA'!X68),"",'RESUMEN VIGILANCIA'!X68)</f>
        <v>12</v>
      </c>
      <c r="Z48" s="453">
        <f>IF(ISBLANK('RESUMEN VIGILANCIA'!Y68),"",'RESUMEN VIGILANCIA'!Y68)</f>
        <v>320</v>
      </c>
      <c r="AA48" s="453">
        <f>IF(ISBLANK('RESUMEN VIGILANCIA'!Z68),"",'RESUMEN VIGILANCIA'!Z68)</f>
        <v>320</v>
      </c>
      <c r="AB48" s="453">
        <f>IF(ISBLANK('RESUMEN VIGILANCIA'!AA68),"",'RESUMEN VIGILANCIA'!AA68)</f>
        <v>320</v>
      </c>
      <c r="AC48" s="454">
        <f>IF(ISBLANK('RESUMEN VIGILANCIA'!AB68),"",'RESUMEN VIGILANCIA'!AB68)</f>
        <v>800</v>
      </c>
      <c r="AD48" s="374">
        <f>IF(ISBLANK('RESUMEN VIGILANCIA'!AC68),"",'RESUMEN VIGILANCIA'!AC68)</f>
        <v>3000</v>
      </c>
      <c r="AE48" s="375">
        <f>IF(ISBLANK('RESUMEN VIGILANCIA'!AD68),"",'RESUMEN VIGILANCIA'!AD68)</f>
        <v>3000</v>
      </c>
      <c r="AF48" s="375">
        <f>IF(ISBLANK('RESUMEN VIGILANCIA'!AE68),"",'RESUMEN VIGILANCIA'!AE68)</f>
        <v>3000</v>
      </c>
      <c r="AG48" s="375">
        <f>IF(ISBLANK('RESUMEN VIGILANCIA'!AF68),"",'RESUMEN VIGILANCIA'!AF68)</f>
        <v>5000</v>
      </c>
      <c r="AH48" s="375">
        <f>IF(ISBLANK('RESUMEN VIGILANCIA'!AG68),"",'RESUMEN VIGILANCIA'!AG68)</f>
        <v>8000</v>
      </c>
      <c r="AI48" s="375">
        <f>IF(ISBLANK('RESUMEN VIGILANCIA'!AH68),"",'RESUMEN VIGILANCIA'!AH68)</f>
        <v>8000</v>
      </c>
      <c r="AJ48" s="375">
        <f>IF(ISBLANK('RESUMEN VIGILANCIA'!AI68),"",'RESUMEN VIGILANCIA'!AI68)</f>
        <v>10000</v>
      </c>
      <c r="AK48" s="375">
        <f>IF(ISBLANK('RESUMEN VIGILANCIA'!AJ68),"",'RESUMEN VIGILANCIA'!AJ68)</f>
        <v>10000</v>
      </c>
      <c r="AL48" s="375">
        <f>IF(ISBLANK('RESUMEN VIGILANCIA'!AK68),"",'RESUMEN VIGILANCIA'!AK68)</f>
        <v>21000</v>
      </c>
      <c r="AM48" s="375">
        <f>IF(ISBLANK('RESUMEN VIGILANCIA'!AL68),"",'RESUMEN VIGILANCIA'!AL68)</f>
        <v>48365</v>
      </c>
      <c r="AN48" s="375">
        <f>IF(ISBLANK('RESUMEN VIGILANCIA'!AM68),"",'RESUMEN VIGILANCIA'!AM68)</f>
        <v>75000</v>
      </c>
      <c r="AO48" s="376">
        <f>IF(ISBLANK('RESUMEN VIGILANCIA'!AN68),"",'RESUMEN VIGILANCIA'!AN68)</f>
        <v>105250</v>
      </c>
      <c r="AP48" s="374">
        <f>IF(ISBLANK('RESUMEN VIGILANCIA'!AO68),"",'RESUMEN VIGILANCIA'!AO68)</f>
        <v>150000</v>
      </c>
      <c r="AQ48" s="375">
        <f>IF(ISBLANK('RESUMEN VIGILANCIA'!AP68),"",'RESUMEN VIGILANCIA'!AP68)</f>
        <v>150000</v>
      </c>
      <c r="AR48" s="375">
        <f>IF(ISBLANK('RESUMEN VIGILANCIA'!AQ68),"",'RESUMEN VIGILANCIA'!AQ68)</f>
        <v>185250</v>
      </c>
      <c r="AS48" s="375">
        <f>IF(ISBLANK('RESUMEN VIGILANCIA'!AR68),"",'RESUMEN VIGILANCIA'!AR68)</f>
        <v>250000</v>
      </c>
      <c r="AT48" s="375">
        <f>IF(ISBLANK('RESUMEN VIGILANCIA'!AS68),"",'RESUMEN VIGILANCIA'!AS68)</f>
        <v>300000</v>
      </c>
      <c r="AU48" s="375">
        <f>IF(ISBLANK('RESUMEN VIGILANCIA'!AT68),"",'RESUMEN VIGILANCIA'!AT68)</f>
        <v>300000</v>
      </c>
      <c r="AV48" s="375" t="str">
        <f>IF(ISBLANK('RESUMEN VIGILANCIA'!AU68),"",'RESUMEN VIGILANCIA'!AU68)</f>
        <v/>
      </c>
      <c r="AW48" s="375" t="str">
        <f>IF(ISBLANK('RESUMEN VIGILANCIA'!AV68),"",'RESUMEN VIGILANCIA'!AV68)</f>
        <v/>
      </c>
      <c r="AX48" s="375" t="str">
        <f>IF(ISBLANK('RESUMEN VIGILANCIA'!AW68),"",'RESUMEN VIGILANCIA'!AW68)</f>
        <v/>
      </c>
      <c r="AY48" s="375" t="str">
        <f>IF(ISBLANK('RESUMEN VIGILANCIA'!AX68),"",'RESUMEN VIGILANCIA'!AX68)</f>
        <v/>
      </c>
      <c r="AZ48" s="375" t="str">
        <f>IF(ISBLANK('RESUMEN VIGILANCIA'!AY68),"",'RESUMEN VIGILANCIA'!AY68)</f>
        <v/>
      </c>
      <c r="BA48" s="376" t="str">
        <f>IF(ISBLANK('RESUMEN VIGILANCIA'!AZ68),"",'RESUMEN VIGILANCIA'!AZ68)</f>
        <v/>
      </c>
      <c r="BB48" s="240">
        <f t="shared" si="2"/>
        <v>301415.45</v>
      </c>
      <c r="BC48" s="110"/>
      <c r="BD48" s="110"/>
    </row>
    <row r="49" spans="1:56" s="28" customFormat="1" ht="20.100000000000001" customHeight="1">
      <c r="A49" s="32" t="str">
        <f>'RESUMEN VIGILANCIA'!A69</f>
        <v>Familia Triana González</v>
      </c>
      <c r="B49" s="33" t="str">
        <f>'RESUMEN VIGILANCIA'!B69</f>
        <v>Calle Guacara Nro. 90-61</v>
      </c>
      <c r="C49" s="426" t="s">
        <v>1361</v>
      </c>
      <c r="D49" s="435" t="s">
        <v>1357</v>
      </c>
      <c r="E49" s="414" t="str">
        <f>IF(ISBLANK('RESUMEN VIGILANCIA'!D69),"",'RESUMEN VIGILANCIA'!D69)</f>
        <v/>
      </c>
      <c r="F49" s="264">
        <f>IF(ISBLANK('RESUMEN VIGILANCIA'!E69),"",'RESUMEN VIGILANCIA'!E69)</f>
        <v>0.02</v>
      </c>
      <c r="G49" s="186">
        <f>IF(ISBLANK('RESUMEN VIGILANCIA'!F69),"",'RESUMEN VIGILANCIA'!F69)</f>
        <v>0.02</v>
      </c>
      <c r="H49" s="186">
        <f>IF(ISBLANK('RESUMEN VIGILANCIA'!G69),"",'RESUMEN VIGILANCIA'!G69)</f>
        <v>0.02</v>
      </c>
      <c r="I49" s="186">
        <f>IF(ISBLANK('RESUMEN VIGILANCIA'!H69),"",'RESUMEN VIGILANCIA'!H69)</f>
        <v>0.02</v>
      </c>
      <c r="J49" s="186">
        <f>IF(ISBLANK('RESUMEN VIGILANCIA'!I69),"",'RESUMEN VIGILANCIA'!I69)</f>
        <v>0.02</v>
      </c>
      <c r="K49" s="186" t="str">
        <f>IF(ISBLANK('RESUMEN VIGILANCIA'!J69),"",'RESUMEN VIGILANCIA'!J69)</f>
        <v/>
      </c>
      <c r="L49" s="186" t="str">
        <f>IF(ISBLANK('RESUMEN VIGILANCIA'!K69),"",'RESUMEN VIGILANCIA'!K69)</f>
        <v/>
      </c>
      <c r="M49" s="186" t="str">
        <f>IF(ISBLANK('RESUMEN VIGILANCIA'!L69),"",'RESUMEN VIGILANCIA'!L69)</f>
        <v/>
      </c>
      <c r="N49" s="186" t="str">
        <f>IF(ISBLANK('RESUMEN VIGILANCIA'!M69),"",'RESUMEN VIGILANCIA'!M69)</f>
        <v/>
      </c>
      <c r="O49" s="186" t="str">
        <f>IF(ISBLANK('RESUMEN VIGILANCIA'!N69),"",'RESUMEN VIGILANCIA'!N69)</f>
        <v/>
      </c>
      <c r="P49" s="265" t="str">
        <f>IF(ISBLANK('RESUMEN VIGILANCIA'!O69),"",'RESUMEN VIGILANCIA'!O69)</f>
        <v/>
      </c>
      <c r="Q49" s="184" t="str">
        <f>IF(ISBLANK('RESUMEN VIGILANCIA'!P69),"",'RESUMEN VIGILANCIA'!P69)</f>
        <v/>
      </c>
      <c r="R49" s="266" t="str">
        <f>IF(ISBLANK('RESUMEN VIGILANCIA'!Q69),"",'RESUMEN VIGILANCIA'!Q69)</f>
        <v/>
      </c>
      <c r="S49" s="265" t="str">
        <f>IF(ISBLANK('RESUMEN VIGILANCIA'!R69),"",'RESUMEN VIGILANCIA'!R69)</f>
        <v/>
      </c>
      <c r="T49" s="265" t="str">
        <f>IF(ISBLANK('RESUMEN VIGILANCIA'!S69),"",'RESUMEN VIGILANCIA'!S69)</f>
        <v/>
      </c>
      <c r="U49" s="265">
        <f>IF(ISBLANK('RESUMEN VIGILANCIA'!T69),"",'RESUMEN VIGILANCIA'!T69)</f>
        <v>1.4</v>
      </c>
      <c r="V49" s="265">
        <f>IF(ISBLANK('RESUMEN VIGILANCIA'!U69),"",'RESUMEN VIGILANCIA'!U69)</f>
        <v>1</v>
      </c>
      <c r="W49" s="265">
        <f>IF(ISBLANK('RESUMEN VIGILANCIA'!V69),"",'RESUMEN VIGILANCIA'!V69)</f>
        <v>1</v>
      </c>
      <c r="X49" s="265">
        <f>IF(ISBLANK('RESUMEN VIGILANCIA'!W69),"",'RESUMEN VIGILANCIA'!W69)</f>
        <v>2</v>
      </c>
      <c r="Y49" s="265">
        <f>IF(ISBLANK('RESUMEN VIGILANCIA'!X69),"",'RESUMEN VIGILANCIA'!X69)</f>
        <v>12</v>
      </c>
      <c r="Z49" s="457">
        <f>IF(ISBLANK('RESUMEN VIGILANCIA'!Y69),"",'RESUMEN VIGILANCIA'!Y69)</f>
        <v>100</v>
      </c>
      <c r="AA49" s="457">
        <f>IF(ISBLANK('RESUMEN VIGILANCIA'!Z69),"",'RESUMEN VIGILANCIA'!Z69)</f>
        <v>100</v>
      </c>
      <c r="AB49" s="457">
        <f>IF(ISBLANK('RESUMEN VIGILANCIA'!AA69),"",'RESUMEN VIGILANCIA'!AA69)</f>
        <v>320</v>
      </c>
      <c r="AC49" s="458">
        <f>IF(ISBLANK('RESUMEN VIGILANCIA'!AB69),"",'RESUMEN VIGILANCIA'!AB69)</f>
        <v>800</v>
      </c>
      <c r="AD49" s="371">
        <f>IF(ISBLANK('RESUMEN VIGILANCIA'!AC69),"",'RESUMEN VIGILANCIA'!AC69)</f>
        <v>3000</v>
      </c>
      <c r="AE49" s="372">
        <f>IF(ISBLANK('RESUMEN VIGILANCIA'!AD69),"",'RESUMEN VIGILANCIA'!AD69)</f>
        <v>3000</v>
      </c>
      <c r="AF49" s="372">
        <f>IF(ISBLANK('RESUMEN VIGILANCIA'!AE69),"",'RESUMEN VIGILANCIA'!AE69)</f>
        <v>3000</v>
      </c>
      <c r="AG49" s="372">
        <f>IF(ISBLANK('RESUMEN VIGILANCIA'!AF69),"",'RESUMEN VIGILANCIA'!AF69)</f>
        <v>5000</v>
      </c>
      <c r="AH49" s="372">
        <f>IF(ISBLANK('RESUMEN VIGILANCIA'!AG69),"",'RESUMEN VIGILANCIA'!AG69)</f>
        <v>4880</v>
      </c>
      <c r="AI49" s="372">
        <f>IF(ISBLANK('RESUMEN VIGILANCIA'!AH69),"",'RESUMEN VIGILANCIA'!AH69)</f>
        <v>8000</v>
      </c>
      <c r="AJ49" s="372">
        <f>IF(ISBLANK('RESUMEN VIGILANCIA'!AI69),"",'RESUMEN VIGILANCIA'!AI69)</f>
        <v>10000</v>
      </c>
      <c r="AK49" s="372">
        <f>IF(ISBLANK('RESUMEN VIGILANCIA'!AJ69),"",'RESUMEN VIGILANCIA'!AJ69)</f>
        <v>10000</v>
      </c>
      <c r="AL49" s="372">
        <f>IF(ISBLANK('RESUMEN VIGILANCIA'!AK69),"",'RESUMEN VIGILANCIA'!AK69)</f>
        <v>23500</v>
      </c>
      <c r="AM49" s="372">
        <f>IF(ISBLANK('RESUMEN VIGILANCIA'!AL69),"",'RESUMEN VIGILANCIA'!AL69)</f>
        <v>48100</v>
      </c>
      <c r="AN49" s="372">
        <f>IF(ISBLANK('RESUMEN VIGILANCIA'!AM69),"",'RESUMEN VIGILANCIA'!AM69)</f>
        <v>56300</v>
      </c>
      <c r="AO49" s="373">
        <f>IF(ISBLANK('RESUMEN VIGILANCIA'!AN69),"",'RESUMEN VIGILANCIA'!AN69)</f>
        <v>81750</v>
      </c>
      <c r="AP49" s="371">
        <f>IF(ISBLANK('RESUMEN VIGILANCIA'!AO69),"",'RESUMEN VIGILANCIA'!AO69)</f>
        <v>136250</v>
      </c>
      <c r="AQ49" s="372">
        <f>IF(ISBLANK('RESUMEN VIGILANCIA'!AP69),"",'RESUMEN VIGILANCIA'!AP69)</f>
        <v>136250</v>
      </c>
      <c r="AR49" s="372">
        <f>IF(ISBLANK('RESUMEN VIGILANCIA'!AQ69),"",'RESUMEN VIGILANCIA'!AQ69)</f>
        <v>185250</v>
      </c>
      <c r="AS49" s="372">
        <f>IF(ISBLANK('RESUMEN VIGILANCIA'!AR69),"",'RESUMEN VIGILANCIA'!AR69)</f>
        <v>186000</v>
      </c>
      <c r="AT49" s="372">
        <f>IF(ISBLANK('RESUMEN VIGILANCIA'!AS69),"",'RESUMEN VIGILANCIA'!AS69)</f>
        <v>250000</v>
      </c>
      <c r="AU49" s="372">
        <f>IF(ISBLANK('RESUMEN VIGILANCIA'!AT69),"",'RESUMEN VIGILANCIA'!AT69)</f>
        <v>250000</v>
      </c>
      <c r="AV49" s="372">
        <f>IF(ISBLANK('RESUMEN VIGILANCIA'!AU69),"",'RESUMEN VIGILANCIA'!AU69)</f>
        <v>320000</v>
      </c>
      <c r="AW49" s="372" t="str">
        <f>IF(ISBLANK('RESUMEN VIGILANCIA'!AV69),"",'RESUMEN VIGILANCIA'!AV69)</f>
        <v/>
      </c>
      <c r="AX49" s="372" t="str">
        <f>IF(ISBLANK('RESUMEN VIGILANCIA'!AW69),"",'RESUMEN VIGILANCIA'!AW69)</f>
        <v/>
      </c>
      <c r="AY49" s="372" t="str">
        <f>IF(ISBLANK('RESUMEN VIGILANCIA'!AX69),"",'RESUMEN VIGILANCIA'!AX69)</f>
        <v/>
      </c>
      <c r="AZ49" s="372" t="str">
        <f>IF(ISBLANK('RESUMEN VIGILANCIA'!AY69),"",'RESUMEN VIGILANCIA'!AY69)</f>
        <v/>
      </c>
      <c r="BA49" s="373" t="str">
        <f>IF(ISBLANK('RESUMEN VIGILANCIA'!AZ69),"",'RESUMEN VIGILANCIA'!AZ69)</f>
        <v/>
      </c>
      <c r="BB49" s="239">
        <f t="shared" si="2"/>
        <v>257867.5</v>
      </c>
      <c r="BC49" s="109"/>
      <c r="BD49" s="109"/>
    </row>
    <row r="50" spans="1:56" s="28" customFormat="1" ht="20.100000000000001" customHeight="1">
      <c r="A50" s="29" t="str">
        <f>'RESUMEN VIGILANCIA'!A70</f>
        <v>Neira Chacón</v>
      </c>
      <c r="B50" s="30" t="str">
        <f>'RESUMEN VIGILANCIA'!B70</f>
        <v>Calle Guacara Nro. 90-71</v>
      </c>
      <c r="C50" s="427" t="s">
        <v>1360</v>
      </c>
      <c r="D50" s="434" t="s">
        <v>1357</v>
      </c>
      <c r="E50" s="415" t="str">
        <f>IF(ISBLANK('RESUMEN VIGILANCIA'!D70),"",'RESUMEN VIGILANCIA'!D70)</f>
        <v/>
      </c>
      <c r="F50" s="267" t="str">
        <f>IF(ISBLANK('RESUMEN VIGILANCIA'!E70),"",'RESUMEN VIGILANCIA'!E70)</f>
        <v/>
      </c>
      <c r="G50" s="179" t="str">
        <f>IF(ISBLANK('RESUMEN VIGILANCIA'!F70),"",'RESUMEN VIGILANCIA'!F70)</f>
        <v/>
      </c>
      <c r="H50" s="179" t="str">
        <f>IF(ISBLANK('RESUMEN VIGILANCIA'!G70),"",'RESUMEN VIGILANCIA'!G70)</f>
        <v/>
      </c>
      <c r="I50" s="179" t="str">
        <f>IF(ISBLANK('RESUMEN VIGILANCIA'!H70),"",'RESUMEN VIGILANCIA'!H70)</f>
        <v/>
      </c>
      <c r="J50" s="179" t="str">
        <f>IF(ISBLANK('RESUMEN VIGILANCIA'!I70),"",'RESUMEN VIGILANCIA'!I70)</f>
        <v/>
      </c>
      <c r="K50" s="179" t="str">
        <f>IF(ISBLANK('RESUMEN VIGILANCIA'!J70),"",'RESUMEN VIGILANCIA'!J70)</f>
        <v/>
      </c>
      <c r="L50" s="179" t="str">
        <f>IF(ISBLANK('RESUMEN VIGILANCIA'!K70),"",'RESUMEN VIGILANCIA'!K70)</f>
        <v/>
      </c>
      <c r="M50" s="179" t="str">
        <f>IF(ISBLANK('RESUMEN VIGILANCIA'!L70),"",'RESUMEN VIGILANCIA'!L70)</f>
        <v/>
      </c>
      <c r="N50" s="179" t="str">
        <f>IF(ISBLANK('RESUMEN VIGILANCIA'!M70),"",'RESUMEN VIGILANCIA'!M70)</f>
        <v/>
      </c>
      <c r="O50" s="179" t="str">
        <f>IF(ISBLANK('RESUMEN VIGILANCIA'!N70),"",'RESUMEN VIGILANCIA'!N70)</f>
        <v/>
      </c>
      <c r="P50" s="268" t="str">
        <f>IF(ISBLANK('RESUMEN VIGILANCIA'!O70),"",'RESUMEN VIGILANCIA'!O70)</f>
        <v/>
      </c>
      <c r="Q50" s="177" t="str">
        <f>IF(ISBLANK('RESUMEN VIGILANCIA'!P70),"",'RESUMEN VIGILANCIA'!P70)</f>
        <v/>
      </c>
      <c r="R50" s="269" t="str">
        <f>IF(ISBLANK('RESUMEN VIGILANCIA'!Q70),"",'RESUMEN VIGILANCIA'!Q70)</f>
        <v/>
      </c>
      <c r="S50" s="268" t="str">
        <f>IF(ISBLANK('RESUMEN VIGILANCIA'!R70),"",'RESUMEN VIGILANCIA'!R70)</f>
        <v/>
      </c>
      <c r="T50" s="268" t="str">
        <f>IF(ISBLANK('RESUMEN VIGILANCIA'!S70),"",'RESUMEN VIGILANCIA'!S70)</f>
        <v/>
      </c>
      <c r="U50" s="268" t="str">
        <f>IF(ISBLANK('RESUMEN VIGILANCIA'!T70),"",'RESUMEN VIGILANCIA'!T70)</f>
        <v/>
      </c>
      <c r="V50" s="268" t="str">
        <f>IF(ISBLANK('RESUMEN VIGILANCIA'!U70),"",'RESUMEN VIGILANCIA'!U70)</f>
        <v/>
      </c>
      <c r="W50" s="268" t="str">
        <f>IF(ISBLANK('RESUMEN VIGILANCIA'!V70),"",'RESUMEN VIGILANCIA'!V70)</f>
        <v/>
      </c>
      <c r="X50" s="268" t="str">
        <f>IF(ISBLANK('RESUMEN VIGILANCIA'!W70),"",'RESUMEN VIGILANCIA'!W70)</f>
        <v/>
      </c>
      <c r="Y50" s="268" t="str">
        <f>IF(ISBLANK('RESUMEN VIGILANCIA'!X70),"",'RESUMEN VIGILANCIA'!X70)</f>
        <v/>
      </c>
      <c r="Z50" s="453" t="str">
        <f>IF(ISBLANK('RESUMEN VIGILANCIA'!Y70),"",'RESUMEN VIGILANCIA'!Y70)</f>
        <v/>
      </c>
      <c r="AA50" s="453" t="str">
        <f>IF(ISBLANK('RESUMEN VIGILANCIA'!Z70),"",'RESUMEN VIGILANCIA'!Z70)</f>
        <v/>
      </c>
      <c r="AB50" s="453" t="str">
        <f>IF(ISBLANK('RESUMEN VIGILANCIA'!AA70),"",'RESUMEN VIGILANCIA'!AA70)</f>
        <v/>
      </c>
      <c r="AC50" s="454" t="str">
        <f>IF(ISBLANK('RESUMEN VIGILANCIA'!AB70),"",'RESUMEN VIGILANCIA'!AB70)</f>
        <v/>
      </c>
      <c r="AD50" s="374" t="str">
        <f>IF(ISBLANK('RESUMEN VIGILANCIA'!AC70),"",'RESUMEN VIGILANCIA'!AC70)</f>
        <v/>
      </c>
      <c r="AE50" s="375" t="str">
        <f>IF(ISBLANK('RESUMEN VIGILANCIA'!AD70),"",'RESUMEN VIGILANCIA'!AD70)</f>
        <v/>
      </c>
      <c r="AF50" s="375" t="str">
        <f>IF(ISBLANK('RESUMEN VIGILANCIA'!AE70),"",'RESUMEN VIGILANCIA'!AE70)</f>
        <v/>
      </c>
      <c r="AG50" s="375" t="str">
        <f>IF(ISBLANK('RESUMEN VIGILANCIA'!AF70),"",'RESUMEN VIGILANCIA'!AF70)</f>
        <v/>
      </c>
      <c r="AH50" s="375" t="str">
        <f>IF(ISBLANK('RESUMEN VIGILANCIA'!AG70),"",'RESUMEN VIGILANCIA'!AG70)</f>
        <v/>
      </c>
      <c r="AI50" s="375" t="str">
        <f>IF(ISBLANK('RESUMEN VIGILANCIA'!AH70),"",'RESUMEN VIGILANCIA'!AH70)</f>
        <v/>
      </c>
      <c r="AJ50" s="375" t="str">
        <f>IF(ISBLANK('RESUMEN VIGILANCIA'!AI70),"",'RESUMEN VIGILANCIA'!AI70)</f>
        <v/>
      </c>
      <c r="AK50" s="375" t="str">
        <f>IF(ISBLANK('RESUMEN VIGILANCIA'!AJ70),"",'RESUMEN VIGILANCIA'!AJ70)</f>
        <v/>
      </c>
      <c r="AL50" s="375" t="str">
        <f>IF(ISBLANK('RESUMEN VIGILANCIA'!AK70),"",'RESUMEN VIGILANCIA'!AK70)</f>
        <v/>
      </c>
      <c r="AM50" s="375" t="str">
        <f>IF(ISBLANK('RESUMEN VIGILANCIA'!AL70),"",'RESUMEN VIGILANCIA'!AL70)</f>
        <v/>
      </c>
      <c r="AN50" s="375" t="str">
        <f>IF(ISBLANK('RESUMEN VIGILANCIA'!AM70),"",'RESUMEN VIGILANCIA'!AM70)</f>
        <v/>
      </c>
      <c r="AO50" s="376" t="str">
        <f>IF(ISBLANK('RESUMEN VIGILANCIA'!AN70),"",'RESUMEN VIGILANCIA'!AN70)</f>
        <v/>
      </c>
      <c r="AP50" s="374" t="str">
        <f>IF(ISBLANK('RESUMEN VIGILANCIA'!AO70),"",'RESUMEN VIGILANCIA'!AO70)</f>
        <v/>
      </c>
      <c r="AQ50" s="375" t="str">
        <f>IF(ISBLANK('RESUMEN VIGILANCIA'!AP70),"",'RESUMEN VIGILANCIA'!AP70)</f>
        <v/>
      </c>
      <c r="AR50" s="375" t="str">
        <f>IF(ISBLANK('RESUMEN VIGILANCIA'!AQ70),"",'RESUMEN VIGILANCIA'!AQ70)</f>
        <v/>
      </c>
      <c r="AS50" s="375" t="str">
        <f>IF(ISBLANK('RESUMEN VIGILANCIA'!AR70),"",'RESUMEN VIGILANCIA'!AR70)</f>
        <v/>
      </c>
      <c r="AT50" s="375" t="str">
        <f>IF(ISBLANK('RESUMEN VIGILANCIA'!AS70),"",'RESUMEN VIGILANCIA'!AS70)</f>
        <v/>
      </c>
      <c r="AU50" s="375" t="str">
        <f>IF(ISBLANK('RESUMEN VIGILANCIA'!AT70),"",'RESUMEN VIGILANCIA'!AT70)</f>
        <v/>
      </c>
      <c r="AV50" s="375" t="str">
        <f>IF(ISBLANK('RESUMEN VIGILANCIA'!AU70),"",'RESUMEN VIGILANCIA'!AU70)</f>
        <v/>
      </c>
      <c r="AW50" s="375" t="str">
        <f>IF(ISBLANK('RESUMEN VIGILANCIA'!AV70),"",'RESUMEN VIGILANCIA'!AV70)</f>
        <v/>
      </c>
      <c r="AX50" s="375" t="str">
        <f>IF(ISBLANK('RESUMEN VIGILANCIA'!AW70),"",'RESUMEN VIGILANCIA'!AW70)</f>
        <v/>
      </c>
      <c r="AY50" s="375" t="str">
        <f>IF(ISBLANK('RESUMEN VIGILANCIA'!AX70),"",'RESUMEN VIGILANCIA'!AX70)</f>
        <v/>
      </c>
      <c r="AZ50" s="375" t="str">
        <f>IF(ISBLANK('RESUMEN VIGILANCIA'!AY70),"",'RESUMEN VIGILANCIA'!AY70)</f>
        <v/>
      </c>
      <c r="BA50" s="376" t="str">
        <f>IF(ISBLANK('RESUMEN VIGILANCIA'!AZ70),"",'RESUMEN VIGILANCIA'!AZ70)</f>
        <v/>
      </c>
      <c r="BB50" s="240">
        <f t="shared" si="2"/>
        <v>0</v>
      </c>
      <c r="BC50" s="110"/>
      <c r="BD50" s="110"/>
    </row>
    <row r="51" spans="1:56" s="28" customFormat="1" ht="20.100000000000001" customHeight="1">
      <c r="A51" s="32" t="str">
        <f>'RESUMEN VIGILANCIA'!A72</f>
        <v>Familia Santos Carrillo</v>
      </c>
      <c r="B51" s="33" t="str">
        <f>'RESUMEN VIGILANCIA'!B72</f>
        <v>Calle Guacara Nro. 90-93</v>
      </c>
      <c r="C51" s="426" t="s">
        <v>1360</v>
      </c>
      <c r="D51" s="435" t="s">
        <v>1357</v>
      </c>
      <c r="E51" s="414">
        <f>IF(ISBLANK('RESUMEN VIGILANCIA'!D72),"",'RESUMEN VIGILANCIA'!D72)</f>
        <v>0.04</v>
      </c>
      <c r="F51" s="264">
        <f>IF(ISBLANK('RESUMEN VIGILANCIA'!E72),"",'RESUMEN VIGILANCIA'!E72)</f>
        <v>0.03</v>
      </c>
      <c r="G51" s="186">
        <f>IF(ISBLANK('RESUMEN VIGILANCIA'!F72),"",'RESUMEN VIGILANCIA'!F72)</f>
        <v>0.03</v>
      </c>
      <c r="H51" s="186">
        <f>IF(ISBLANK('RESUMEN VIGILANCIA'!G72),"",'RESUMEN VIGILANCIA'!G72)</f>
        <v>0.03</v>
      </c>
      <c r="I51" s="186">
        <f>IF(ISBLANK('RESUMEN VIGILANCIA'!H72),"",'RESUMEN VIGILANCIA'!H72)</f>
        <v>0.03</v>
      </c>
      <c r="J51" s="186">
        <f>IF(ISBLANK('RESUMEN VIGILANCIA'!I72),"",'RESUMEN VIGILANCIA'!I72)</f>
        <v>0.03</v>
      </c>
      <c r="K51" s="186">
        <f>IF(ISBLANK('RESUMEN VIGILANCIA'!J72),"",'RESUMEN VIGILANCIA'!J72)</f>
        <v>0.03</v>
      </c>
      <c r="L51" s="186">
        <f>IF(ISBLANK('RESUMEN VIGILANCIA'!K72),"",'RESUMEN VIGILANCIA'!K72)</f>
        <v>0.06</v>
      </c>
      <c r="M51" s="186">
        <f>IF(ISBLANK('RESUMEN VIGILANCIA'!L72),"",'RESUMEN VIGILANCIA'!L72)</f>
        <v>6.5000000000000002E-2</v>
      </c>
      <c r="N51" s="186">
        <f>IF(ISBLANK('RESUMEN VIGILANCIA'!M72),"",'RESUMEN VIGILANCIA'!M72)</f>
        <v>0.14899999999999999</v>
      </c>
      <c r="O51" s="186">
        <f>IF(ISBLANK('RESUMEN VIGILANCIA'!N72),"",'RESUMEN VIGILANCIA'!N72)</f>
        <v>0.2</v>
      </c>
      <c r="P51" s="265">
        <f>IF(ISBLANK('RESUMEN VIGILANCIA'!O72),"",'RESUMEN VIGILANCIA'!O72)</f>
        <v>0.18</v>
      </c>
      <c r="Q51" s="184">
        <f>IF(ISBLANK('RESUMEN VIGILANCIA'!P72),"",'RESUMEN VIGILANCIA'!P72)</f>
        <v>0.2</v>
      </c>
      <c r="R51" s="266">
        <f>IF(ISBLANK('RESUMEN VIGILANCIA'!Q72),"",'RESUMEN VIGILANCIA'!Q72)</f>
        <v>0.2</v>
      </c>
      <c r="S51" s="265">
        <f>IF(ISBLANK('RESUMEN VIGILANCIA'!R72),"",'RESUMEN VIGILANCIA'!R72)</f>
        <v>0.2</v>
      </c>
      <c r="T51" s="265">
        <f>IF(ISBLANK('RESUMEN VIGILANCIA'!S72),"",'RESUMEN VIGILANCIA'!S72)</f>
        <v>1.4</v>
      </c>
      <c r="U51" s="265">
        <f>IF(ISBLANK('RESUMEN VIGILANCIA'!T72),"",'RESUMEN VIGILANCIA'!T72)</f>
        <v>1.4</v>
      </c>
      <c r="V51" s="265" t="str">
        <f>IF(ISBLANK('RESUMEN VIGILANCIA'!U72),"",'RESUMEN VIGILANCIA'!U72)</f>
        <v/>
      </c>
      <c r="W51" s="265" t="str">
        <f>IF(ISBLANK('RESUMEN VIGILANCIA'!V72),"",'RESUMEN VIGILANCIA'!V72)</f>
        <v/>
      </c>
      <c r="X51" s="265" t="str">
        <f>IF(ISBLANK('RESUMEN VIGILANCIA'!W72),"",'RESUMEN VIGILANCIA'!W72)</f>
        <v/>
      </c>
      <c r="Y51" s="265" t="str">
        <f>IF(ISBLANK('RESUMEN VIGILANCIA'!X72),"",'RESUMEN VIGILANCIA'!X72)</f>
        <v/>
      </c>
      <c r="Z51" s="457" t="str">
        <f>IF(ISBLANK('RESUMEN VIGILANCIA'!Y72),"",'RESUMEN VIGILANCIA'!Y72)</f>
        <v/>
      </c>
      <c r="AA51" s="457" t="str">
        <f>IF(ISBLANK('RESUMEN VIGILANCIA'!Z72),"",'RESUMEN VIGILANCIA'!Z72)</f>
        <v/>
      </c>
      <c r="AB51" s="457" t="str">
        <f>IF(ISBLANK('RESUMEN VIGILANCIA'!AA72),"",'RESUMEN VIGILANCIA'!AA72)</f>
        <v/>
      </c>
      <c r="AC51" s="458" t="str">
        <f>IF(ISBLANK('RESUMEN VIGILANCIA'!AB72),"",'RESUMEN VIGILANCIA'!AB72)</f>
        <v/>
      </c>
      <c r="AD51" s="371" t="str">
        <f>IF(ISBLANK('RESUMEN VIGILANCIA'!AC72),"",'RESUMEN VIGILANCIA'!AC72)</f>
        <v/>
      </c>
      <c r="AE51" s="372" t="str">
        <f>IF(ISBLANK('RESUMEN VIGILANCIA'!AD72),"",'RESUMEN VIGILANCIA'!AD72)</f>
        <v/>
      </c>
      <c r="AF51" s="372" t="str">
        <f>IF(ISBLANK('RESUMEN VIGILANCIA'!AE72),"",'RESUMEN VIGILANCIA'!AE72)</f>
        <v/>
      </c>
      <c r="AG51" s="372" t="str">
        <f>IF(ISBLANK('RESUMEN VIGILANCIA'!AF72),"",'RESUMEN VIGILANCIA'!AF72)</f>
        <v/>
      </c>
      <c r="AH51" s="372" t="str">
        <f>IF(ISBLANK('RESUMEN VIGILANCIA'!AG72),"",'RESUMEN VIGILANCIA'!AG72)</f>
        <v/>
      </c>
      <c r="AI51" s="372" t="str">
        <f>IF(ISBLANK('RESUMEN VIGILANCIA'!AH72),"",'RESUMEN VIGILANCIA'!AH72)</f>
        <v/>
      </c>
      <c r="AJ51" s="372" t="str">
        <f>IF(ISBLANK('RESUMEN VIGILANCIA'!AI72),"",'RESUMEN VIGILANCIA'!AI72)</f>
        <v/>
      </c>
      <c r="AK51" s="372" t="str">
        <f>IF(ISBLANK('RESUMEN VIGILANCIA'!AJ72),"",'RESUMEN VIGILANCIA'!AJ72)</f>
        <v/>
      </c>
      <c r="AL51" s="372" t="str">
        <f>IF(ISBLANK('RESUMEN VIGILANCIA'!AK72),"",'RESUMEN VIGILANCIA'!AK72)</f>
        <v/>
      </c>
      <c r="AM51" s="372" t="str">
        <f>IF(ISBLANK('RESUMEN VIGILANCIA'!AL72),"",'RESUMEN VIGILANCIA'!AL72)</f>
        <v/>
      </c>
      <c r="AN51" s="372" t="str">
        <f>IF(ISBLANK('RESUMEN VIGILANCIA'!AM72),"",'RESUMEN VIGILANCIA'!AM72)</f>
        <v/>
      </c>
      <c r="AO51" s="373" t="str">
        <f>IF(ISBLANK('RESUMEN VIGILANCIA'!AN72),"",'RESUMEN VIGILANCIA'!AN72)</f>
        <v/>
      </c>
      <c r="AP51" s="371" t="str">
        <f>IF(ISBLANK('RESUMEN VIGILANCIA'!AO72),"",'RESUMEN VIGILANCIA'!AO72)</f>
        <v/>
      </c>
      <c r="AQ51" s="372" t="str">
        <f>IF(ISBLANK('RESUMEN VIGILANCIA'!AP72),"",'RESUMEN VIGILANCIA'!AP72)</f>
        <v/>
      </c>
      <c r="AR51" s="372" t="str">
        <f>IF(ISBLANK('RESUMEN VIGILANCIA'!AQ72),"",'RESUMEN VIGILANCIA'!AQ72)</f>
        <v/>
      </c>
      <c r="AS51" s="372" t="str">
        <f>IF(ISBLANK('RESUMEN VIGILANCIA'!AR72),"",'RESUMEN VIGILANCIA'!AR72)</f>
        <v/>
      </c>
      <c r="AT51" s="372" t="str">
        <f>IF(ISBLANK('RESUMEN VIGILANCIA'!AS72),"",'RESUMEN VIGILANCIA'!AS72)</f>
        <v/>
      </c>
      <c r="AU51" s="372" t="str">
        <f>IF(ISBLANK('RESUMEN VIGILANCIA'!AT72),"",'RESUMEN VIGILANCIA'!AT72)</f>
        <v/>
      </c>
      <c r="AV51" s="372" t="str">
        <f>IF(ISBLANK('RESUMEN VIGILANCIA'!AU72),"",'RESUMEN VIGILANCIA'!AU72)</f>
        <v/>
      </c>
      <c r="AW51" s="372" t="str">
        <f>IF(ISBLANK('RESUMEN VIGILANCIA'!AV72),"",'RESUMEN VIGILANCIA'!AV72)</f>
        <v/>
      </c>
      <c r="AX51" s="372" t="str">
        <f>IF(ISBLANK('RESUMEN VIGILANCIA'!AW72),"",'RESUMEN VIGILANCIA'!AW72)</f>
        <v/>
      </c>
      <c r="AY51" s="372" t="str">
        <f>IF(ISBLANK('RESUMEN VIGILANCIA'!AX72),"",'RESUMEN VIGILANCIA'!AX72)</f>
        <v/>
      </c>
      <c r="AZ51" s="372" t="str">
        <f>IF(ISBLANK('RESUMEN VIGILANCIA'!AY72),"",'RESUMEN VIGILANCIA'!AY72)</f>
        <v/>
      </c>
      <c r="BA51" s="373" t="str">
        <f>IF(ISBLANK('RESUMEN VIGILANCIA'!AZ72),"",'RESUMEN VIGILANCIA'!AZ72)</f>
        <v/>
      </c>
      <c r="BB51" s="239">
        <f t="shared" si="2"/>
        <v>4.2739999999999991</v>
      </c>
      <c r="BC51" s="109"/>
      <c r="BD51" s="109"/>
    </row>
    <row r="52" spans="1:56" s="28" customFormat="1" ht="20.100000000000001" customHeight="1">
      <c r="A52" s="29" t="str">
        <f>'RESUMEN VIGILANCIA'!A71</f>
        <v>Wu Hung Fung</v>
      </c>
      <c r="B52" s="30" t="str">
        <f>'RESUMEN VIGILANCIA'!B71</f>
        <v>Calle Guacara Nro. 90-81</v>
      </c>
      <c r="C52" s="427" t="s">
        <v>1358</v>
      </c>
      <c r="D52" s="434" t="s">
        <v>17</v>
      </c>
      <c r="E52" s="415" t="str">
        <f>IF(ISBLANK('RESUMEN VIGILANCIA'!D71),"",'RESUMEN VIGILANCIA'!D71)</f>
        <v/>
      </c>
      <c r="F52" s="267">
        <f>IF(ISBLANK('RESUMEN VIGILANCIA'!E71),"",'RESUMEN VIGILANCIA'!E71)</f>
        <v>0.17</v>
      </c>
      <c r="G52" s="179">
        <f>IF(ISBLANK('RESUMEN VIGILANCIA'!F71),"",'RESUMEN VIGILANCIA'!F71)</f>
        <v>0.17</v>
      </c>
      <c r="H52" s="179">
        <f>IF(ISBLANK('RESUMEN VIGILANCIA'!G71),"",'RESUMEN VIGILANCIA'!G71)</f>
        <v>0.19</v>
      </c>
      <c r="I52" s="179">
        <f>IF(ISBLANK('RESUMEN VIGILANCIA'!H71),"",'RESUMEN VIGILANCIA'!H71)</f>
        <v>0.17</v>
      </c>
      <c r="J52" s="179">
        <f>IF(ISBLANK('RESUMEN VIGILANCIA'!I71),"",'RESUMEN VIGILANCIA'!I71)</f>
        <v>0.26</v>
      </c>
      <c r="K52" s="179">
        <f>IF(ISBLANK('RESUMEN VIGILANCIA'!J71),"",'RESUMEN VIGILANCIA'!J71)</f>
        <v>0.26</v>
      </c>
      <c r="L52" s="179">
        <f>IF(ISBLANK('RESUMEN VIGILANCIA'!K71),"",'RESUMEN VIGILANCIA'!K71)</f>
        <v>0.35</v>
      </c>
      <c r="M52" s="179">
        <f>IF(ISBLANK('RESUMEN VIGILANCIA'!L71),"",'RESUMEN VIGILANCIA'!L71)</f>
        <v>0.35</v>
      </c>
      <c r="N52" s="179">
        <f>IF(ISBLANK('RESUMEN VIGILANCIA'!M71),"",'RESUMEN VIGILANCIA'!M71)</f>
        <v>0.35</v>
      </c>
      <c r="O52" s="179">
        <f>IF(ISBLANK('RESUMEN VIGILANCIA'!N71),"",'RESUMEN VIGILANCIA'!N71)</f>
        <v>0.35</v>
      </c>
      <c r="P52" s="268">
        <f>IF(ISBLANK('RESUMEN VIGILANCIA'!O71),"",'RESUMEN VIGILANCIA'!O71)</f>
        <v>0.5</v>
      </c>
      <c r="Q52" s="177">
        <f>IF(ISBLANK('RESUMEN VIGILANCIA'!P71),"",'RESUMEN VIGILANCIA'!P71)</f>
        <v>0.5</v>
      </c>
      <c r="R52" s="269">
        <f>IF(ISBLANK('RESUMEN VIGILANCIA'!Q71),"",'RESUMEN VIGILANCIA'!Q71)</f>
        <v>0.8</v>
      </c>
      <c r="S52" s="268">
        <f>IF(ISBLANK('RESUMEN VIGILANCIA'!R71),"",'RESUMEN VIGILANCIA'!R71)</f>
        <v>1</v>
      </c>
      <c r="T52" s="268">
        <f>IF(ISBLANK('RESUMEN VIGILANCIA'!S71),"",'RESUMEN VIGILANCIA'!S71)</f>
        <v>1.4</v>
      </c>
      <c r="U52" s="268">
        <f>IF(ISBLANK('RESUMEN VIGILANCIA'!T71),"",'RESUMEN VIGILANCIA'!T71)</f>
        <v>1.4</v>
      </c>
      <c r="V52" s="268">
        <f>IF(ISBLANK('RESUMEN VIGILANCIA'!U71),"",'RESUMEN VIGILANCIA'!U71)</f>
        <v>4</v>
      </c>
      <c r="W52" s="268">
        <f>IF(ISBLANK('RESUMEN VIGILANCIA'!V71),"",'RESUMEN VIGILANCIA'!V71)</f>
        <v>6.25</v>
      </c>
      <c r="X52" s="268">
        <f>IF(ISBLANK('RESUMEN VIGILANCIA'!W71),"",'RESUMEN VIGILANCIA'!W71)</f>
        <v>10</v>
      </c>
      <c r="Y52" s="268">
        <f>IF(ISBLANK('RESUMEN VIGILANCIA'!X71),"",'RESUMEN VIGILANCIA'!X71)</f>
        <v>12</v>
      </c>
      <c r="Z52" s="453">
        <f>IF(ISBLANK('RESUMEN VIGILANCIA'!Y71),"",'RESUMEN VIGILANCIA'!Y71)</f>
        <v>320</v>
      </c>
      <c r="AA52" s="453">
        <f>IF(ISBLANK('RESUMEN VIGILANCIA'!Z71),"",'RESUMEN VIGILANCIA'!Z71)</f>
        <v>320.5</v>
      </c>
      <c r="AB52" s="453">
        <f>IF(ISBLANK('RESUMEN VIGILANCIA'!AA71),"",'RESUMEN VIGILANCIA'!AA71)</f>
        <v>320</v>
      </c>
      <c r="AC52" s="454">
        <f>IF(ISBLANK('RESUMEN VIGILANCIA'!AB71),"",'RESUMEN VIGILANCIA'!AB71)</f>
        <v>800</v>
      </c>
      <c r="AD52" s="374">
        <f>IF(ISBLANK('RESUMEN VIGILANCIA'!AC71),"",'RESUMEN VIGILANCIA'!AC71)</f>
        <v>3000</v>
      </c>
      <c r="AE52" s="375">
        <f>IF(ISBLANK('RESUMEN VIGILANCIA'!AD71),"",'RESUMEN VIGILANCIA'!AD71)</f>
        <v>5000</v>
      </c>
      <c r="AF52" s="375">
        <f>IF(ISBLANK('RESUMEN VIGILANCIA'!AE71),"",'RESUMEN VIGILANCIA'!AE71)</f>
        <v>5000</v>
      </c>
      <c r="AG52" s="375">
        <f>IF(ISBLANK('RESUMEN VIGILANCIA'!AF71),"",'RESUMEN VIGILANCIA'!AF71)</f>
        <v>5000</v>
      </c>
      <c r="AH52" s="375">
        <f>IF(ISBLANK('RESUMEN VIGILANCIA'!AG71),"",'RESUMEN VIGILANCIA'!AG71)</f>
        <v>8000</v>
      </c>
      <c r="AI52" s="375">
        <f>IF(ISBLANK('RESUMEN VIGILANCIA'!AH71),"",'RESUMEN VIGILANCIA'!AH71)</f>
        <v>8000</v>
      </c>
      <c r="AJ52" s="375">
        <f>IF(ISBLANK('RESUMEN VIGILANCIA'!AI71),"",'RESUMEN VIGILANCIA'!AI71)</f>
        <v>15000</v>
      </c>
      <c r="AK52" s="375">
        <f>IF(ISBLANK('RESUMEN VIGILANCIA'!AJ71),"",'RESUMEN VIGILANCIA'!AJ71)</f>
        <v>15000</v>
      </c>
      <c r="AL52" s="375">
        <f>IF(ISBLANK('RESUMEN VIGILANCIA'!AK71),"",'RESUMEN VIGILANCIA'!AK71)</f>
        <v>19800</v>
      </c>
      <c r="AM52" s="375">
        <f>IF(ISBLANK('RESUMEN VIGILANCIA'!AL71),"",'RESUMEN VIGILANCIA'!AL71)</f>
        <v>60000</v>
      </c>
      <c r="AN52" s="375">
        <f>IF(ISBLANK('RESUMEN VIGILANCIA'!AM71),"",'RESUMEN VIGILANCIA'!AM71)</f>
        <v>100000</v>
      </c>
      <c r="AO52" s="376">
        <f>IF(ISBLANK('RESUMEN VIGILANCIA'!AN71),"",'RESUMEN VIGILANCIA'!AN71)</f>
        <v>150000</v>
      </c>
      <c r="AP52" s="374">
        <f>IF(ISBLANK('RESUMEN VIGILANCIA'!AO71),"",'RESUMEN VIGILANCIA'!AO71)</f>
        <v>150000</v>
      </c>
      <c r="AQ52" s="375">
        <f>IF(ISBLANK('RESUMEN VIGILANCIA'!AP71),"",'RESUMEN VIGILANCIA'!AP71)</f>
        <v>150000</v>
      </c>
      <c r="AR52" s="375">
        <f>IF(ISBLANK('RESUMEN VIGILANCIA'!AQ71),"",'RESUMEN VIGILANCIA'!AQ71)</f>
        <v>200000</v>
      </c>
      <c r="AS52" s="375">
        <f>IF(ISBLANK('RESUMEN VIGILANCIA'!AR71),"",'RESUMEN VIGILANCIA'!AR71)</f>
        <v>200000</v>
      </c>
      <c r="AT52" s="375">
        <f>IF(ISBLANK('RESUMEN VIGILANCIA'!AS71),"",'RESUMEN VIGILANCIA'!AS71)</f>
        <v>250000</v>
      </c>
      <c r="AU52" s="375">
        <f>IF(ISBLANK('RESUMEN VIGILANCIA'!AT71),"",'RESUMEN VIGILANCIA'!AT71)</f>
        <v>400000</v>
      </c>
      <c r="AV52" s="375" t="str">
        <f>IF(ISBLANK('RESUMEN VIGILANCIA'!AU71),"",'RESUMEN VIGILANCIA'!AU71)</f>
        <v/>
      </c>
      <c r="AW52" s="375" t="str">
        <f>IF(ISBLANK('RESUMEN VIGILANCIA'!AV71),"",'RESUMEN VIGILANCIA'!AV71)</f>
        <v/>
      </c>
      <c r="AX52" s="375" t="str">
        <f>IF(ISBLANK('RESUMEN VIGILANCIA'!AW71),"",'RESUMEN VIGILANCIA'!AW71)</f>
        <v/>
      </c>
      <c r="AY52" s="375" t="str">
        <f>IF(ISBLANK('RESUMEN VIGILANCIA'!AX71),"",'RESUMEN VIGILANCIA'!AX71)</f>
        <v/>
      </c>
      <c r="AZ52" s="375" t="str">
        <f>IF(ISBLANK('RESUMEN VIGILANCIA'!AY71),"",'RESUMEN VIGILANCIA'!AY71)</f>
        <v/>
      </c>
      <c r="BA52" s="376" t="str">
        <f>IF(ISBLANK('RESUMEN VIGILANCIA'!AZ71),"",'RESUMEN VIGILANCIA'!AZ71)</f>
        <v/>
      </c>
      <c r="BB52" s="240">
        <f t="shared" si="2"/>
        <v>395600.97</v>
      </c>
      <c r="BC52" s="110"/>
      <c r="BD52" s="110"/>
    </row>
    <row r="53" spans="1:56" s="28" customFormat="1" ht="20.100000000000001" customHeight="1">
      <c r="A53" s="29" t="str">
        <f>'RESUMEN VIGILANCIA'!A65</f>
        <v>Beatriz Lara</v>
      </c>
      <c r="B53" s="30" t="str">
        <f>'RESUMEN VIGILANCIA'!B65</f>
        <v>Calle Guacara Nro. 89-130</v>
      </c>
      <c r="C53" s="427" t="s">
        <v>1358</v>
      </c>
      <c r="D53" s="434" t="s">
        <v>1357</v>
      </c>
      <c r="E53" s="415" t="str">
        <f>IF(ISBLANK('RESUMEN VIGILANCIA'!D65),"",'RESUMEN VIGILANCIA'!D65)</f>
        <v/>
      </c>
      <c r="F53" s="267">
        <f>IF(ISBLANK('RESUMEN VIGILANCIA'!E65),"",'RESUMEN VIGILANCIA'!E65)</f>
        <v>0.17</v>
      </c>
      <c r="G53" s="179">
        <f>IF(ISBLANK('RESUMEN VIGILANCIA'!F65),"",'RESUMEN VIGILANCIA'!F65)</f>
        <v>0.17</v>
      </c>
      <c r="H53" s="179">
        <f>IF(ISBLANK('RESUMEN VIGILANCIA'!G65),"",'RESUMEN VIGILANCIA'!G65)</f>
        <v>0.17</v>
      </c>
      <c r="I53" s="179">
        <f>IF(ISBLANK('RESUMEN VIGILANCIA'!H65),"",'RESUMEN VIGILANCIA'!H65)</f>
        <v>0.17</v>
      </c>
      <c r="J53" s="179">
        <f>IF(ISBLANK('RESUMEN VIGILANCIA'!I65),"",'RESUMEN VIGILANCIA'!I65)</f>
        <v>0.26</v>
      </c>
      <c r="K53" s="179">
        <f>IF(ISBLANK('RESUMEN VIGILANCIA'!J65),"",'RESUMEN VIGILANCIA'!J65)</f>
        <v>0.26</v>
      </c>
      <c r="L53" s="179">
        <f>IF(ISBLANK('RESUMEN VIGILANCIA'!K65),"",'RESUMEN VIGILANCIA'!K65)</f>
        <v>0.35</v>
      </c>
      <c r="M53" s="179">
        <f>IF(ISBLANK('RESUMEN VIGILANCIA'!L65),"",'RESUMEN VIGILANCIA'!L65)</f>
        <v>0.35</v>
      </c>
      <c r="N53" s="179">
        <f>IF(ISBLANK('RESUMEN VIGILANCIA'!M65),"",'RESUMEN VIGILANCIA'!M65)</f>
        <v>0.35</v>
      </c>
      <c r="O53" s="179">
        <f>IF(ISBLANK('RESUMEN VIGILANCIA'!N65),"",'RESUMEN VIGILANCIA'!N65)</f>
        <v>0.35</v>
      </c>
      <c r="P53" s="268">
        <f>IF(ISBLANK('RESUMEN VIGILANCIA'!O65),"",'RESUMEN VIGILANCIA'!O65)</f>
        <v>0.5</v>
      </c>
      <c r="Q53" s="177">
        <f>IF(ISBLANK('RESUMEN VIGILANCIA'!P65),"",'RESUMEN VIGILANCIA'!P65)</f>
        <v>0.5</v>
      </c>
      <c r="R53" s="269">
        <f>IF(ISBLANK('RESUMEN VIGILANCIA'!Q65),"",'RESUMEN VIGILANCIA'!Q65)</f>
        <v>0.8</v>
      </c>
      <c r="S53" s="268">
        <f>IF(ISBLANK('RESUMEN VIGILANCIA'!R65),"",'RESUMEN VIGILANCIA'!R65)</f>
        <v>0.8</v>
      </c>
      <c r="T53" s="268">
        <f>IF(ISBLANK('RESUMEN VIGILANCIA'!S65),"",'RESUMEN VIGILANCIA'!S65)</f>
        <v>1.4</v>
      </c>
      <c r="U53" s="268">
        <f>IF(ISBLANK('RESUMEN VIGILANCIA'!T65),"",'RESUMEN VIGILANCIA'!T65)</f>
        <v>1.4</v>
      </c>
      <c r="V53" s="268">
        <f>IF(ISBLANK('RESUMEN VIGILANCIA'!U65),"",'RESUMEN VIGILANCIA'!U65)</f>
        <v>4</v>
      </c>
      <c r="W53" s="268">
        <f>IF(ISBLANK('RESUMEN VIGILANCIA'!V65),"",'RESUMEN VIGILANCIA'!V65)</f>
        <v>6.5</v>
      </c>
      <c r="X53" s="268">
        <f>IF(ISBLANK('RESUMEN VIGILANCIA'!W65),"",'RESUMEN VIGILANCIA'!W65)</f>
        <v>10</v>
      </c>
      <c r="Y53" s="268">
        <f>IF(ISBLANK('RESUMEN VIGILANCIA'!X65),"",'RESUMEN VIGILANCIA'!X65)</f>
        <v>12</v>
      </c>
      <c r="Z53" s="453">
        <f>IF(ISBLANK('RESUMEN VIGILANCIA'!Y65),"",'RESUMEN VIGILANCIA'!Y65)</f>
        <v>320</v>
      </c>
      <c r="AA53" s="453">
        <f>IF(ISBLANK('RESUMEN VIGILANCIA'!Z65),"",'RESUMEN VIGILANCIA'!Z65)</f>
        <v>320</v>
      </c>
      <c r="AB53" s="453">
        <f>IF(ISBLANK('RESUMEN VIGILANCIA'!AA65),"",'RESUMEN VIGILANCIA'!AA65)</f>
        <v>320</v>
      </c>
      <c r="AC53" s="454">
        <f>IF(ISBLANK('RESUMEN VIGILANCIA'!AB65),"",'RESUMEN VIGILANCIA'!AB65)</f>
        <v>800</v>
      </c>
      <c r="AD53" s="374">
        <f>IF(ISBLANK('RESUMEN VIGILANCIA'!AC65),"",'RESUMEN VIGILANCIA'!AC65)</f>
        <v>3000</v>
      </c>
      <c r="AE53" s="375">
        <f>IF(ISBLANK('RESUMEN VIGILANCIA'!AD65),"",'RESUMEN VIGILANCIA'!AD65)</f>
        <v>3000</v>
      </c>
      <c r="AF53" s="375">
        <f>IF(ISBLANK('RESUMEN VIGILANCIA'!AE65),"",'RESUMEN VIGILANCIA'!AE65)</f>
        <v>3000</v>
      </c>
      <c r="AG53" s="375">
        <f>IF(ISBLANK('RESUMEN VIGILANCIA'!AF65),"",'RESUMEN VIGILANCIA'!AF65)</f>
        <v>5000</v>
      </c>
      <c r="AH53" s="375">
        <f>IF(ISBLANK('RESUMEN VIGILANCIA'!AG65),"",'RESUMEN VIGILANCIA'!AG65)</f>
        <v>8000</v>
      </c>
      <c r="AI53" s="375">
        <f>IF(ISBLANK('RESUMEN VIGILANCIA'!AH65),"",'RESUMEN VIGILANCIA'!AH65)</f>
        <v>8000</v>
      </c>
      <c r="AJ53" s="375">
        <f>IF(ISBLANK('RESUMEN VIGILANCIA'!AI65),"",'RESUMEN VIGILANCIA'!AI65)</f>
        <v>10000</v>
      </c>
      <c r="AK53" s="375">
        <f>IF(ISBLANK('RESUMEN VIGILANCIA'!AJ65),"",'RESUMEN VIGILANCIA'!AJ65)</f>
        <v>10000</v>
      </c>
      <c r="AL53" s="375">
        <f>IF(ISBLANK('RESUMEN VIGILANCIA'!AK65),"",'RESUMEN VIGILANCIA'!AK65)</f>
        <v>20500</v>
      </c>
      <c r="AM53" s="375">
        <f>IF(ISBLANK('RESUMEN VIGILANCIA'!AL65),"",'RESUMEN VIGILANCIA'!AL65)</f>
        <v>47000</v>
      </c>
      <c r="AN53" s="375">
        <f>IF(ISBLANK('RESUMEN VIGILANCIA'!AM65),"",'RESUMEN VIGILANCIA'!AM65)</f>
        <v>64500</v>
      </c>
      <c r="AO53" s="376">
        <f>IF(ISBLANK('RESUMEN VIGILANCIA'!AN65),"",'RESUMEN VIGILANCIA'!AN65)</f>
        <v>97500</v>
      </c>
      <c r="AP53" s="374">
        <f>IF(ISBLANK('RESUMEN VIGILANCIA'!AO65),"",'RESUMEN VIGILANCIA'!AO65)</f>
        <v>136250</v>
      </c>
      <c r="AQ53" s="375">
        <f>IF(ISBLANK('RESUMEN VIGILANCIA'!AP65),"",'RESUMEN VIGILANCIA'!AP65)</f>
        <v>136250</v>
      </c>
      <c r="AR53" s="375">
        <f>IF(ISBLANK('RESUMEN VIGILANCIA'!AQ65),"",'RESUMEN VIGILANCIA'!AQ65)</f>
        <v>186000</v>
      </c>
      <c r="AS53" s="375">
        <f>IF(ISBLANK('RESUMEN VIGILANCIA'!AR65),"",'RESUMEN VIGILANCIA'!AR65)</f>
        <v>186000</v>
      </c>
      <c r="AT53" s="375">
        <f>IF(ISBLANK('RESUMEN VIGILANCIA'!AS65),"",'RESUMEN VIGILANCIA'!AS65)</f>
        <v>250000</v>
      </c>
      <c r="AU53" s="619" t="str">
        <f>IF(ISBLANK('RESUMEN VIGILANCIA'!AT65),"",'RESUMEN VIGILANCIA'!AT65)</f>
        <v>VENDIDA</v>
      </c>
      <c r="AV53" s="375" t="str">
        <f>IF(ISBLANK('RESUMEN VIGILANCIA'!AU65),"",'RESUMEN VIGILANCIA'!AU65)</f>
        <v/>
      </c>
      <c r="AW53" s="375" t="str">
        <f>IF(ISBLANK('RESUMEN VIGILANCIA'!AV65),"",'RESUMEN VIGILANCIA'!AV65)</f>
        <v/>
      </c>
      <c r="AX53" s="375" t="str">
        <f>IF(ISBLANK('RESUMEN VIGILANCIA'!AW65),"",'RESUMEN VIGILANCIA'!AW65)</f>
        <v/>
      </c>
      <c r="AY53" s="375" t="str">
        <f>IF(ISBLANK('RESUMEN VIGILANCIA'!AX65),"",'RESUMEN VIGILANCIA'!AX65)</f>
        <v/>
      </c>
      <c r="AZ53" s="375" t="str">
        <f>IF(ISBLANK('RESUMEN VIGILANCIA'!AY65),"",'RESUMEN VIGILANCIA'!AY65)</f>
        <v/>
      </c>
      <c r="BA53" s="376" t="str">
        <f>IF(ISBLANK('RESUMEN VIGILANCIA'!AZ65),"",'RESUMEN VIGILANCIA'!AZ65)</f>
        <v/>
      </c>
      <c r="BB53" s="240">
        <f t="shared" si="2"/>
        <v>281300.5</v>
      </c>
      <c r="BC53" s="110"/>
      <c r="BD53" s="110">
        <v>43982</v>
      </c>
    </row>
    <row r="54" spans="1:56" s="28" customFormat="1" ht="20.100000000000001" customHeight="1">
      <c r="A54" s="29" t="str">
        <f>'RESUMEN VIGILANCIA'!A66</f>
        <v>Familia Saade Gómez</v>
      </c>
      <c r="B54" s="30" t="str">
        <f>'RESUMEN VIGILANCIA'!B66</f>
        <v>Calle Guacara Nro. 89-130</v>
      </c>
      <c r="C54" s="427" t="s">
        <v>1358</v>
      </c>
      <c r="D54" s="434" t="s">
        <v>1357</v>
      </c>
      <c r="E54" s="415" t="str">
        <f>IF(ISBLANK('RESUMEN VIGILANCIA'!D66),"",'RESUMEN VIGILANCIA'!D66)</f>
        <v/>
      </c>
      <c r="F54" s="267" t="str">
        <f>IF(ISBLANK('RESUMEN VIGILANCIA'!E66),"",'RESUMEN VIGILANCIA'!E66)</f>
        <v/>
      </c>
      <c r="G54" s="179" t="str">
        <f>IF(ISBLANK('RESUMEN VIGILANCIA'!F66),"",'RESUMEN VIGILANCIA'!F66)</f>
        <v/>
      </c>
      <c r="H54" s="179" t="str">
        <f>IF(ISBLANK('RESUMEN VIGILANCIA'!G66),"",'RESUMEN VIGILANCIA'!G66)</f>
        <v/>
      </c>
      <c r="I54" s="179" t="str">
        <f>IF(ISBLANK('RESUMEN VIGILANCIA'!H66),"",'RESUMEN VIGILANCIA'!H66)</f>
        <v/>
      </c>
      <c r="J54" s="179" t="str">
        <f>IF(ISBLANK('RESUMEN VIGILANCIA'!I66),"",'RESUMEN VIGILANCIA'!I66)</f>
        <v/>
      </c>
      <c r="K54" s="179" t="str">
        <f>IF(ISBLANK('RESUMEN VIGILANCIA'!J66),"",'RESUMEN VIGILANCIA'!J66)</f>
        <v/>
      </c>
      <c r="L54" s="179" t="str">
        <f>IF(ISBLANK('RESUMEN VIGILANCIA'!K66),"",'RESUMEN VIGILANCIA'!K66)</f>
        <v/>
      </c>
      <c r="M54" s="179" t="str">
        <f>IF(ISBLANK('RESUMEN VIGILANCIA'!L66),"",'RESUMEN VIGILANCIA'!L66)</f>
        <v/>
      </c>
      <c r="N54" s="179" t="str">
        <f>IF(ISBLANK('RESUMEN VIGILANCIA'!M66),"",'RESUMEN VIGILANCIA'!M66)</f>
        <v/>
      </c>
      <c r="O54" s="179" t="str">
        <f>IF(ISBLANK('RESUMEN VIGILANCIA'!N66),"",'RESUMEN VIGILANCIA'!N66)</f>
        <v/>
      </c>
      <c r="P54" s="268" t="str">
        <f>IF(ISBLANK('RESUMEN VIGILANCIA'!O66),"",'RESUMEN VIGILANCIA'!O66)</f>
        <v/>
      </c>
      <c r="Q54" s="177" t="str">
        <f>IF(ISBLANK('RESUMEN VIGILANCIA'!P66),"",'RESUMEN VIGILANCIA'!P66)</f>
        <v/>
      </c>
      <c r="R54" s="269" t="str">
        <f>IF(ISBLANK('RESUMEN VIGILANCIA'!Q66),"",'RESUMEN VIGILANCIA'!Q66)</f>
        <v/>
      </c>
      <c r="S54" s="268" t="str">
        <f>IF(ISBLANK('RESUMEN VIGILANCIA'!R66),"",'RESUMEN VIGILANCIA'!R66)</f>
        <v/>
      </c>
      <c r="T54" s="268" t="str">
        <f>IF(ISBLANK('RESUMEN VIGILANCIA'!S66),"",'RESUMEN VIGILANCIA'!S66)</f>
        <v/>
      </c>
      <c r="U54" s="268" t="str">
        <f>IF(ISBLANK('RESUMEN VIGILANCIA'!T66),"",'RESUMEN VIGILANCIA'!T66)</f>
        <v/>
      </c>
      <c r="V54" s="268" t="str">
        <f>IF(ISBLANK('RESUMEN VIGILANCIA'!U66),"",'RESUMEN VIGILANCIA'!U66)</f>
        <v/>
      </c>
      <c r="W54" s="268" t="str">
        <f>IF(ISBLANK('RESUMEN VIGILANCIA'!V66),"",'RESUMEN VIGILANCIA'!V66)</f>
        <v/>
      </c>
      <c r="X54" s="268" t="str">
        <f>IF(ISBLANK('RESUMEN VIGILANCIA'!W66),"",'RESUMEN VIGILANCIA'!W66)</f>
        <v/>
      </c>
      <c r="Y54" s="268" t="str">
        <f>IF(ISBLANK('RESUMEN VIGILANCIA'!X66),"",'RESUMEN VIGILANCIA'!X66)</f>
        <v/>
      </c>
      <c r="Z54" s="453" t="str">
        <f>IF(ISBLANK('RESUMEN VIGILANCIA'!Y66),"",'RESUMEN VIGILANCIA'!Y66)</f>
        <v/>
      </c>
      <c r="AA54" s="453" t="str">
        <f>IF(ISBLANK('RESUMEN VIGILANCIA'!Z66),"",'RESUMEN VIGILANCIA'!Z66)</f>
        <v/>
      </c>
      <c r="AB54" s="453" t="str">
        <f>IF(ISBLANK('RESUMEN VIGILANCIA'!AA66),"",'RESUMEN VIGILANCIA'!AA66)</f>
        <v/>
      </c>
      <c r="AC54" s="454" t="str">
        <f>IF(ISBLANK('RESUMEN VIGILANCIA'!AB66),"",'RESUMEN VIGILANCIA'!AB66)</f>
        <v/>
      </c>
      <c r="AD54" s="374" t="str">
        <f>IF(ISBLANK('RESUMEN VIGILANCIA'!AC66),"",'RESUMEN VIGILANCIA'!AC66)</f>
        <v/>
      </c>
      <c r="AE54" s="375" t="str">
        <f>IF(ISBLANK('RESUMEN VIGILANCIA'!AD66),"",'RESUMEN VIGILANCIA'!AD66)</f>
        <v/>
      </c>
      <c r="AF54" s="375" t="str">
        <f>IF(ISBLANK('RESUMEN VIGILANCIA'!AE66),"",'RESUMEN VIGILANCIA'!AE66)</f>
        <v/>
      </c>
      <c r="AG54" s="375" t="str">
        <f>IF(ISBLANK('RESUMEN VIGILANCIA'!AF66),"",'RESUMEN VIGILANCIA'!AF66)</f>
        <v/>
      </c>
      <c r="AH54" s="375" t="str">
        <f>IF(ISBLANK('RESUMEN VIGILANCIA'!AG66),"",'RESUMEN VIGILANCIA'!AG66)</f>
        <v/>
      </c>
      <c r="AI54" s="375" t="str">
        <f>IF(ISBLANK('RESUMEN VIGILANCIA'!AH66),"",'RESUMEN VIGILANCIA'!AH66)</f>
        <v/>
      </c>
      <c r="AJ54" s="375" t="str">
        <f>IF(ISBLANK('RESUMEN VIGILANCIA'!AI66),"",'RESUMEN VIGILANCIA'!AI66)</f>
        <v/>
      </c>
      <c r="AK54" s="375" t="str">
        <f>IF(ISBLANK('RESUMEN VIGILANCIA'!AJ66),"",'RESUMEN VIGILANCIA'!AJ66)</f>
        <v/>
      </c>
      <c r="AL54" s="375" t="str">
        <f>IF(ISBLANK('RESUMEN VIGILANCIA'!AK66),"",'RESUMEN VIGILANCIA'!AK66)</f>
        <v/>
      </c>
      <c r="AM54" s="375" t="str">
        <f>IF(ISBLANK('RESUMEN VIGILANCIA'!AL66),"",'RESUMEN VIGILANCIA'!AL66)</f>
        <v/>
      </c>
      <c r="AN54" s="375" t="str">
        <f>IF(ISBLANK('RESUMEN VIGILANCIA'!AM66),"",'RESUMEN VIGILANCIA'!AM66)</f>
        <v/>
      </c>
      <c r="AO54" s="376" t="str">
        <f>IF(ISBLANK('RESUMEN VIGILANCIA'!AN66),"",'RESUMEN VIGILANCIA'!AN66)</f>
        <v/>
      </c>
      <c r="AP54" s="374" t="str">
        <f>IF(ISBLANK('RESUMEN VIGILANCIA'!AO66),"",'RESUMEN VIGILANCIA'!AO66)</f>
        <v/>
      </c>
      <c r="AQ54" s="375" t="str">
        <f>IF(ISBLANK('RESUMEN VIGILANCIA'!AP66),"",'RESUMEN VIGILANCIA'!AP66)</f>
        <v/>
      </c>
      <c r="AR54" s="375" t="str">
        <f>IF(ISBLANK('RESUMEN VIGILANCIA'!AQ66),"",'RESUMEN VIGILANCIA'!AQ66)</f>
        <v/>
      </c>
      <c r="AS54" s="375" t="str">
        <f>IF(ISBLANK('RESUMEN VIGILANCIA'!AR66),"",'RESUMEN VIGILANCIA'!AR66)</f>
        <v/>
      </c>
      <c r="AT54" s="375" t="str">
        <f>IF(ISBLANK('RESUMEN VIGILANCIA'!AS66),"",'RESUMEN VIGILANCIA'!AS66)</f>
        <v/>
      </c>
      <c r="AU54" s="375">
        <f>IF(ISBLANK('RESUMEN VIGILANCIA'!AT66),"",'RESUMEN VIGILANCIA'!AT66)</f>
        <v>250000</v>
      </c>
      <c r="AV54" s="375" t="str">
        <f>IF(ISBLANK('RESUMEN VIGILANCIA'!AU66),"",'RESUMEN VIGILANCIA'!AU66)</f>
        <v/>
      </c>
      <c r="AW54" s="375" t="str">
        <f>IF(ISBLANK('RESUMEN VIGILANCIA'!AV66),"",'RESUMEN VIGILANCIA'!AV66)</f>
        <v/>
      </c>
      <c r="AX54" s="375" t="str">
        <f>IF(ISBLANK('RESUMEN VIGILANCIA'!AW66),"",'RESUMEN VIGILANCIA'!AW66)</f>
        <v/>
      </c>
      <c r="AY54" s="375" t="str">
        <f>IF(ISBLANK('RESUMEN VIGILANCIA'!AX66),"",'RESUMEN VIGILANCIA'!AX66)</f>
        <v/>
      </c>
      <c r="AZ54" s="375" t="str">
        <f>IF(ISBLANK('RESUMEN VIGILANCIA'!AY66),"",'RESUMEN VIGILANCIA'!AY66)</f>
        <v/>
      </c>
      <c r="BA54" s="376" t="str">
        <f>IF(ISBLANK('RESUMEN VIGILANCIA'!AZ66),"",'RESUMEN VIGILANCIA'!AZ66)</f>
        <v/>
      </c>
      <c r="BB54" s="240">
        <f t="shared" ref="BB54" si="5">SUM(E54:AO54)</f>
        <v>0</v>
      </c>
      <c r="BC54" s="110">
        <v>43983</v>
      </c>
      <c r="BD54" s="110"/>
    </row>
    <row r="55" spans="1:56" s="28" customFormat="1" ht="20.100000000000001" customHeight="1">
      <c r="A55" s="29" t="str">
        <f>'RESUMEN VIGILANCIA'!A75</f>
        <v>Familia Ledezma Hernández</v>
      </c>
      <c r="B55" s="30" t="str">
        <f>'RESUMEN VIGILANCIA'!B75</f>
        <v>Calle Guacara Nro. 145-30</v>
      </c>
      <c r="C55" s="427" t="s">
        <v>1360</v>
      </c>
      <c r="D55" s="434" t="s">
        <v>1357</v>
      </c>
      <c r="E55" s="415" t="str">
        <f>IF(ISBLANK('RESUMEN VIGILANCIA'!D75),"",'RESUMEN VIGILANCIA'!D75)</f>
        <v/>
      </c>
      <c r="F55" s="267" t="str">
        <f>IF(ISBLANK('RESUMEN VIGILANCIA'!E75),"",'RESUMEN VIGILANCIA'!E75)</f>
        <v/>
      </c>
      <c r="G55" s="179" t="str">
        <f>IF(ISBLANK('RESUMEN VIGILANCIA'!F75),"",'RESUMEN VIGILANCIA'!F75)</f>
        <v/>
      </c>
      <c r="H55" s="179" t="str">
        <f>IF(ISBLANK('RESUMEN VIGILANCIA'!G75),"",'RESUMEN VIGILANCIA'!G75)</f>
        <v/>
      </c>
      <c r="I55" s="179" t="str">
        <f>IF(ISBLANK('RESUMEN VIGILANCIA'!H75),"",'RESUMEN VIGILANCIA'!H75)</f>
        <v/>
      </c>
      <c r="J55" s="179" t="str">
        <f>IF(ISBLANK('RESUMEN VIGILANCIA'!I75),"",'RESUMEN VIGILANCIA'!I75)</f>
        <v/>
      </c>
      <c r="K55" s="179" t="str">
        <f>IF(ISBLANK('RESUMEN VIGILANCIA'!J75),"",'RESUMEN VIGILANCIA'!J75)</f>
        <v/>
      </c>
      <c r="L55" s="179" t="str">
        <f>IF(ISBLANK('RESUMEN VIGILANCIA'!K75),"",'RESUMEN VIGILANCIA'!K75)</f>
        <v/>
      </c>
      <c r="M55" s="179" t="str">
        <f>IF(ISBLANK('RESUMEN VIGILANCIA'!L75),"",'RESUMEN VIGILANCIA'!L75)</f>
        <v/>
      </c>
      <c r="N55" s="179" t="str">
        <f>IF(ISBLANK('RESUMEN VIGILANCIA'!M75),"",'RESUMEN VIGILANCIA'!M75)</f>
        <v/>
      </c>
      <c r="O55" s="179" t="str">
        <f>IF(ISBLANK('RESUMEN VIGILANCIA'!N75),"",'RESUMEN VIGILANCIA'!N75)</f>
        <v/>
      </c>
      <c r="P55" s="268" t="str">
        <f>IF(ISBLANK('RESUMEN VIGILANCIA'!O75),"",'RESUMEN VIGILANCIA'!O75)</f>
        <v/>
      </c>
      <c r="Q55" s="177" t="str">
        <f>IF(ISBLANK('RESUMEN VIGILANCIA'!P75),"",'RESUMEN VIGILANCIA'!P75)</f>
        <v/>
      </c>
      <c r="R55" s="269" t="str">
        <f>IF(ISBLANK('RESUMEN VIGILANCIA'!Q75),"",'RESUMEN VIGILANCIA'!Q75)</f>
        <v/>
      </c>
      <c r="S55" s="268" t="str">
        <f>IF(ISBLANK('RESUMEN VIGILANCIA'!R75),"",'RESUMEN VIGILANCIA'!R75)</f>
        <v/>
      </c>
      <c r="T55" s="268" t="str">
        <f>IF(ISBLANK('RESUMEN VIGILANCIA'!S75),"",'RESUMEN VIGILANCIA'!S75)</f>
        <v/>
      </c>
      <c r="U55" s="268" t="str">
        <f>IF(ISBLANK('RESUMEN VIGILANCIA'!T75),"",'RESUMEN VIGILANCIA'!T75)</f>
        <v/>
      </c>
      <c r="V55" s="268" t="str">
        <f>IF(ISBLANK('RESUMEN VIGILANCIA'!U75),"",'RESUMEN VIGILANCIA'!U75)</f>
        <v/>
      </c>
      <c r="W55" s="268" t="str">
        <f>IF(ISBLANK('RESUMEN VIGILANCIA'!V75),"",'RESUMEN VIGILANCIA'!V75)</f>
        <v/>
      </c>
      <c r="X55" s="268" t="str">
        <f>IF(ISBLANK('RESUMEN VIGILANCIA'!W75),"",'RESUMEN VIGILANCIA'!W75)</f>
        <v/>
      </c>
      <c r="Y55" s="268" t="str">
        <f>IF(ISBLANK('RESUMEN VIGILANCIA'!X75),"",'RESUMEN VIGILANCIA'!X75)</f>
        <v/>
      </c>
      <c r="Z55" s="453" t="str">
        <f>IF(ISBLANK('RESUMEN VIGILANCIA'!Y75),"",'RESUMEN VIGILANCIA'!Y75)</f>
        <v/>
      </c>
      <c r="AA55" s="453" t="str">
        <f>IF(ISBLANK('RESUMEN VIGILANCIA'!Z75),"",'RESUMEN VIGILANCIA'!Z75)</f>
        <v/>
      </c>
      <c r="AB55" s="453" t="str">
        <f>IF(ISBLANK('RESUMEN VIGILANCIA'!AA75),"",'RESUMEN VIGILANCIA'!AA75)</f>
        <v/>
      </c>
      <c r="AC55" s="454" t="str">
        <f>IF(ISBLANK('RESUMEN VIGILANCIA'!AB75),"",'RESUMEN VIGILANCIA'!AB75)</f>
        <v/>
      </c>
      <c r="AD55" s="374" t="str">
        <f>IF(ISBLANK('RESUMEN VIGILANCIA'!AC75),"",'RESUMEN VIGILANCIA'!AC75)</f>
        <v/>
      </c>
      <c r="AE55" s="375" t="str">
        <f>IF(ISBLANK('RESUMEN VIGILANCIA'!AD75),"",'RESUMEN VIGILANCIA'!AD75)</f>
        <v/>
      </c>
      <c r="AF55" s="375" t="str">
        <f>IF(ISBLANK('RESUMEN VIGILANCIA'!AE75),"",'RESUMEN VIGILANCIA'!AE75)</f>
        <v/>
      </c>
      <c r="AG55" s="375" t="str">
        <f>IF(ISBLANK('RESUMEN VIGILANCIA'!AF75),"",'RESUMEN VIGILANCIA'!AF75)</f>
        <v/>
      </c>
      <c r="AH55" s="375" t="str">
        <f>IF(ISBLANK('RESUMEN VIGILANCIA'!AG75),"",'RESUMEN VIGILANCIA'!AG75)</f>
        <v/>
      </c>
      <c r="AI55" s="375" t="str">
        <f>IF(ISBLANK('RESUMEN VIGILANCIA'!AH75),"",'RESUMEN VIGILANCIA'!AH75)</f>
        <v/>
      </c>
      <c r="AJ55" s="375" t="str">
        <f>IF(ISBLANK('RESUMEN VIGILANCIA'!AI75),"",'RESUMEN VIGILANCIA'!AI75)</f>
        <v/>
      </c>
      <c r="AK55" s="375" t="str">
        <f>IF(ISBLANK('RESUMEN VIGILANCIA'!AJ75),"",'RESUMEN VIGILANCIA'!AJ75)</f>
        <v/>
      </c>
      <c r="AL55" s="375" t="str">
        <f>IF(ISBLANK('RESUMEN VIGILANCIA'!AK75),"",'RESUMEN VIGILANCIA'!AK75)</f>
        <v/>
      </c>
      <c r="AM55" s="375" t="str">
        <f>IF(ISBLANK('RESUMEN VIGILANCIA'!AL75),"",'RESUMEN VIGILANCIA'!AL75)</f>
        <v/>
      </c>
      <c r="AN55" s="375" t="str">
        <f>IF(ISBLANK('RESUMEN VIGILANCIA'!AM75),"",'RESUMEN VIGILANCIA'!AM75)</f>
        <v/>
      </c>
      <c r="AO55" s="376" t="str">
        <f>IF(ISBLANK('RESUMEN VIGILANCIA'!AN75),"",'RESUMEN VIGILANCIA'!AN75)</f>
        <v/>
      </c>
      <c r="AP55" s="374" t="str">
        <f>IF(ISBLANK('RESUMEN VIGILANCIA'!AO75),"",'RESUMEN VIGILANCIA'!AO75)</f>
        <v/>
      </c>
      <c r="AQ55" s="375" t="str">
        <f>IF(ISBLANK('RESUMEN VIGILANCIA'!AP75),"",'RESUMEN VIGILANCIA'!AP75)</f>
        <v/>
      </c>
      <c r="AR55" s="375" t="str">
        <f>IF(ISBLANK('RESUMEN VIGILANCIA'!AQ75),"",'RESUMEN VIGILANCIA'!AQ75)</f>
        <v/>
      </c>
      <c r="AS55" s="375" t="str">
        <f>IF(ISBLANK('RESUMEN VIGILANCIA'!AR75),"",'RESUMEN VIGILANCIA'!AR75)</f>
        <v/>
      </c>
      <c r="AT55" s="375" t="str">
        <f>IF(ISBLANK('RESUMEN VIGILANCIA'!AS75),"",'RESUMEN VIGILANCIA'!AS75)</f>
        <v/>
      </c>
      <c r="AU55" s="375" t="str">
        <f>IF(ISBLANK('RESUMEN VIGILANCIA'!AT75),"",'RESUMEN VIGILANCIA'!AT75)</f>
        <v/>
      </c>
      <c r="AV55" s="375" t="str">
        <f>IF(ISBLANK('RESUMEN VIGILANCIA'!AU75),"",'RESUMEN VIGILANCIA'!AU75)</f>
        <v/>
      </c>
      <c r="AW55" s="375" t="str">
        <f>IF(ISBLANK('RESUMEN VIGILANCIA'!AV75),"",'RESUMEN VIGILANCIA'!AV75)</f>
        <v/>
      </c>
      <c r="AX55" s="375" t="str">
        <f>IF(ISBLANK('RESUMEN VIGILANCIA'!AW75),"",'RESUMEN VIGILANCIA'!AW75)</f>
        <v/>
      </c>
      <c r="AY55" s="375" t="str">
        <f>IF(ISBLANK('RESUMEN VIGILANCIA'!AX75),"",'RESUMEN VIGILANCIA'!AX75)</f>
        <v/>
      </c>
      <c r="AZ55" s="375" t="str">
        <f>IF(ISBLANK('RESUMEN VIGILANCIA'!AY75),"",'RESUMEN VIGILANCIA'!AY75)</f>
        <v/>
      </c>
      <c r="BA55" s="376" t="str">
        <f>IF(ISBLANK('RESUMEN VIGILANCIA'!AZ75),"",'RESUMEN VIGILANCIA'!AZ75)</f>
        <v/>
      </c>
      <c r="BB55" s="240">
        <f t="shared" si="2"/>
        <v>0</v>
      </c>
      <c r="BC55" s="110"/>
      <c r="BD55" s="110"/>
    </row>
    <row r="56" spans="1:56" s="28" customFormat="1" ht="20.100000000000001" customHeight="1">
      <c r="A56" s="29" t="str">
        <f>'RESUMEN VIGILANCIA'!A64</f>
        <v>Familia Aparicio. Anexo</v>
      </c>
      <c r="B56" s="30" t="str">
        <f>'RESUMEN VIGILANCIA'!B64</f>
        <v>Calle Guacara Nro. 89-129</v>
      </c>
      <c r="C56" s="427" t="s">
        <v>1359</v>
      </c>
      <c r="D56" s="434" t="s">
        <v>1357</v>
      </c>
      <c r="E56" s="415" t="str">
        <f>IF(ISBLANK('RESUMEN VIGILANCIA'!D64),"",'RESUMEN VIGILANCIA'!D64)</f>
        <v/>
      </c>
      <c r="F56" s="267" t="str">
        <f>IF(ISBLANK('RESUMEN VIGILANCIA'!E64),"",'RESUMEN VIGILANCIA'!E64)</f>
        <v/>
      </c>
      <c r="G56" s="179" t="str">
        <f>IF(ISBLANK('RESUMEN VIGILANCIA'!F64),"",'RESUMEN VIGILANCIA'!F64)</f>
        <v/>
      </c>
      <c r="H56" s="179" t="str">
        <f>IF(ISBLANK('RESUMEN VIGILANCIA'!G64),"",'RESUMEN VIGILANCIA'!G64)</f>
        <v/>
      </c>
      <c r="I56" s="179" t="str">
        <f>IF(ISBLANK('RESUMEN VIGILANCIA'!H64),"",'RESUMEN VIGILANCIA'!H64)</f>
        <v/>
      </c>
      <c r="J56" s="179" t="str">
        <f>IF(ISBLANK('RESUMEN VIGILANCIA'!I64),"",'RESUMEN VIGILANCIA'!I64)</f>
        <v/>
      </c>
      <c r="K56" s="179" t="str">
        <f>IF(ISBLANK('RESUMEN VIGILANCIA'!J64),"",'RESUMEN VIGILANCIA'!J64)</f>
        <v/>
      </c>
      <c r="L56" s="179" t="str">
        <f>IF(ISBLANK('RESUMEN VIGILANCIA'!K64),"",'RESUMEN VIGILANCIA'!K64)</f>
        <v/>
      </c>
      <c r="M56" s="179" t="str">
        <f>IF(ISBLANK('RESUMEN VIGILANCIA'!L64),"",'RESUMEN VIGILANCIA'!L64)</f>
        <v/>
      </c>
      <c r="N56" s="179" t="str">
        <f>IF(ISBLANK('RESUMEN VIGILANCIA'!M64),"",'RESUMEN VIGILANCIA'!M64)</f>
        <v/>
      </c>
      <c r="O56" s="179" t="str">
        <f>IF(ISBLANK('RESUMEN VIGILANCIA'!N64),"",'RESUMEN VIGILANCIA'!N64)</f>
        <v/>
      </c>
      <c r="P56" s="268" t="str">
        <f>IF(ISBLANK('RESUMEN VIGILANCIA'!O64),"",'RESUMEN VIGILANCIA'!O64)</f>
        <v/>
      </c>
      <c r="Q56" s="177" t="str">
        <f>IF(ISBLANK('RESUMEN VIGILANCIA'!P64),"",'RESUMEN VIGILANCIA'!P64)</f>
        <v/>
      </c>
      <c r="R56" s="269" t="str">
        <f>IF(ISBLANK('RESUMEN VIGILANCIA'!Q64),"",'RESUMEN VIGILANCIA'!Q64)</f>
        <v/>
      </c>
      <c r="S56" s="268" t="str">
        <f>IF(ISBLANK('RESUMEN VIGILANCIA'!R64),"",'RESUMEN VIGILANCIA'!R64)</f>
        <v/>
      </c>
      <c r="T56" s="268" t="str">
        <f>IF(ISBLANK('RESUMEN VIGILANCIA'!S64),"",'RESUMEN VIGILANCIA'!S64)</f>
        <v/>
      </c>
      <c r="U56" s="268" t="str">
        <f>IF(ISBLANK('RESUMEN VIGILANCIA'!T64),"",'RESUMEN VIGILANCIA'!T64)</f>
        <v/>
      </c>
      <c r="V56" s="268" t="str">
        <f>IF(ISBLANK('RESUMEN VIGILANCIA'!U64),"",'RESUMEN VIGILANCIA'!U64)</f>
        <v/>
      </c>
      <c r="W56" s="268" t="str">
        <f>IF(ISBLANK('RESUMEN VIGILANCIA'!V64),"",'RESUMEN VIGILANCIA'!V64)</f>
        <v/>
      </c>
      <c r="X56" s="268" t="str">
        <f>IF(ISBLANK('RESUMEN VIGILANCIA'!W64),"",'RESUMEN VIGILANCIA'!W64)</f>
        <v/>
      </c>
      <c r="Y56" s="268" t="str">
        <f>IF(ISBLANK('RESUMEN VIGILANCIA'!X64),"",'RESUMEN VIGILANCIA'!X64)</f>
        <v/>
      </c>
      <c r="Z56" s="453" t="str">
        <f>IF(ISBLANK('RESUMEN VIGILANCIA'!Y64),"",'RESUMEN VIGILANCIA'!Y64)</f>
        <v/>
      </c>
      <c r="AA56" s="453" t="str">
        <f>IF(ISBLANK('RESUMEN VIGILANCIA'!Z64),"",'RESUMEN VIGILANCIA'!Z64)</f>
        <v/>
      </c>
      <c r="AB56" s="453" t="str">
        <f>IF(ISBLANK('RESUMEN VIGILANCIA'!AA64),"",'RESUMEN VIGILANCIA'!AA64)</f>
        <v/>
      </c>
      <c r="AC56" s="454" t="str">
        <f>IF(ISBLANK('RESUMEN VIGILANCIA'!AB64),"",'RESUMEN VIGILANCIA'!AB64)</f>
        <v/>
      </c>
      <c r="AD56" s="374" t="str">
        <f>IF(ISBLANK('RESUMEN VIGILANCIA'!AC64),"",'RESUMEN VIGILANCIA'!AC64)</f>
        <v/>
      </c>
      <c r="AE56" s="375" t="str">
        <f>IF(ISBLANK('RESUMEN VIGILANCIA'!AD64),"",'RESUMEN VIGILANCIA'!AD64)</f>
        <v/>
      </c>
      <c r="AF56" s="375" t="str">
        <f>IF(ISBLANK('RESUMEN VIGILANCIA'!AE64),"",'RESUMEN VIGILANCIA'!AE64)</f>
        <v/>
      </c>
      <c r="AG56" s="375" t="str">
        <f>IF(ISBLANK('RESUMEN VIGILANCIA'!AF64),"",'RESUMEN VIGILANCIA'!AF64)</f>
        <v/>
      </c>
      <c r="AH56" s="375" t="str">
        <f>IF(ISBLANK('RESUMEN VIGILANCIA'!AG64),"",'RESUMEN VIGILANCIA'!AG64)</f>
        <v/>
      </c>
      <c r="AI56" s="375" t="str">
        <f>IF(ISBLANK('RESUMEN VIGILANCIA'!AH64),"",'RESUMEN VIGILANCIA'!AH64)</f>
        <v/>
      </c>
      <c r="AJ56" s="375" t="str">
        <f>IF(ISBLANK('RESUMEN VIGILANCIA'!AI64),"",'RESUMEN VIGILANCIA'!AI64)</f>
        <v/>
      </c>
      <c r="AK56" s="375" t="str">
        <f>IF(ISBLANK('RESUMEN VIGILANCIA'!AJ64),"",'RESUMEN VIGILANCIA'!AJ64)</f>
        <v/>
      </c>
      <c r="AL56" s="375" t="str">
        <f>IF(ISBLANK('RESUMEN VIGILANCIA'!AK64),"",'RESUMEN VIGILANCIA'!AK64)</f>
        <v/>
      </c>
      <c r="AM56" s="375" t="str">
        <f>IF(ISBLANK('RESUMEN VIGILANCIA'!AL64),"",'RESUMEN VIGILANCIA'!AL64)</f>
        <v/>
      </c>
      <c r="AN56" s="375" t="str">
        <f>IF(ISBLANK('RESUMEN VIGILANCIA'!AM64),"",'RESUMEN VIGILANCIA'!AM64)</f>
        <v/>
      </c>
      <c r="AO56" s="376" t="str">
        <f>IF(ISBLANK('RESUMEN VIGILANCIA'!AN64),"",'RESUMEN VIGILANCIA'!AN64)</f>
        <v/>
      </c>
      <c r="AP56" s="374" t="str">
        <f>IF(ISBLANK('RESUMEN VIGILANCIA'!AO64),"",'RESUMEN VIGILANCIA'!AO64)</f>
        <v/>
      </c>
      <c r="AQ56" s="375" t="str">
        <f>IF(ISBLANK('RESUMEN VIGILANCIA'!AP64),"",'RESUMEN VIGILANCIA'!AP64)</f>
        <v/>
      </c>
      <c r="AR56" s="375" t="str">
        <f>IF(ISBLANK('RESUMEN VIGILANCIA'!AQ64),"",'RESUMEN VIGILANCIA'!AQ64)</f>
        <v/>
      </c>
      <c r="AS56" s="375" t="str">
        <f>IF(ISBLANK('RESUMEN VIGILANCIA'!AR64),"",'RESUMEN VIGILANCIA'!AR64)</f>
        <v/>
      </c>
      <c r="AT56" s="375" t="str">
        <f>IF(ISBLANK('RESUMEN VIGILANCIA'!AS64),"",'RESUMEN VIGILANCIA'!AS64)</f>
        <v/>
      </c>
      <c r="AU56" s="375" t="str">
        <f>IF(ISBLANK('RESUMEN VIGILANCIA'!AT64),"",'RESUMEN VIGILANCIA'!AT64)</f>
        <v/>
      </c>
      <c r="AV56" s="375" t="str">
        <f>IF(ISBLANK('RESUMEN VIGILANCIA'!AU64),"",'RESUMEN VIGILANCIA'!AU64)</f>
        <v/>
      </c>
      <c r="AW56" s="375" t="str">
        <f>IF(ISBLANK('RESUMEN VIGILANCIA'!AV64),"",'RESUMEN VIGILANCIA'!AV64)</f>
        <v/>
      </c>
      <c r="AX56" s="375" t="str">
        <f>IF(ISBLANK('RESUMEN VIGILANCIA'!AW64),"",'RESUMEN VIGILANCIA'!AW64)</f>
        <v/>
      </c>
      <c r="AY56" s="375" t="str">
        <f>IF(ISBLANK('RESUMEN VIGILANCIA'!AX64),"",'RESUMEN VIGILANCIA'!AX64)</f>
        <v/>
      </c>
      <c r="AZ56" s="375" t="str">
        <f>IF(ISBLANK('RESUMEN VIGILANCIA'!AY64),"",'RESUMEN VIGILANCIA'!AY64)</f>
        <v/>
      </c>
      <c r="BA56" s="376" t="str">
        <f>IF(ISBLANK('RESUMEN VIGILANCIA'!AZ64),"",'RESUMEN VIGILANCIA'!AZ64)</f>
        <v/>
      </c>
      <c r="BB56" s="240">
        <f t="shared" si="2"/>
        <v>0</v>
      </c>
      <c r="BC56" s="110"/>
      <c r="BD56" s="110"/>
    </row>
    <row r="57" spans="1:56" s="28" customFormat="1" ht="20.100000000000001" customHeight="1">
      <c r="A57" s="29" t="str">
        <f>'RESUMEN VIGILANCIA'!A19</f>
        <v>Familia Aponte . Anexo</v>
      </c>
      <c r="B57" s="30" t="str">
        <f>'RESUMEN VIGILANCIA'!B19</f>
        <v>Calle Guacara Nro. 87-05</v>
      </c>
      <c r="C57" s="427" t="s">
        <v>1359</v>
      </c>
      <c r="D57" s="434" t="s">
        <v>1357</v>
      </c>
      <c r="E57" s="415" t="str">
        <f>IF(ISBLANK('RESUMEN VIGILANCIA'!D19),"",'RESUMEN VIGILANCIA'!D19)</f>
        <v/>
      </c>
      <c r="F57" s="267" t="str">
        <f>IF(ISBLANK('RESUMEN VIGILANCIA'!E19),"",'RESUMEN VIGILANCIA'!E19)</f>
        <v/>
      </c>
      <c r="G57" s="179" t="str">
        <f>IF(ISBLANK('RESUMEN VIGILANCIA'!F19),"",'RESUMEN VIGILANCIA'!F19)</f>
        <v/>
      </c>
      <c r="H57" s="179" t="str">
        <f>IF(ISBLANK('RESUMEN VIGILANCIA'!G19),"",'RESUMEN VIGILANCIA'!G19)</f>
        <v/>
      </c>
      <c r="I57" s="179" t="str">
        <f>IF(ISBLANK('RESUMEN VIGILANCIA'!H19),"",'RESUMEN VIGILANCIA'!H19)</f>
        <v/>
      </c>
      <c r="J57" s="179" t="str">
        <f>IF(ISBLANK('RESUMEN VIGILANCIA'!I19),"",'RESUMEN VIGILANCIA'!I19)</f>
        <v/>
      </c>
      <c r="K57" s="179" t="str">
        <f>IF(ISBLANK('RESUMEN VIGILANCIA'!J19),"",'RESUMEN VIGILANCIA'!J19)</f>
        <v/>
      </c>
      <c r="L57" s="179" t="str">
        <f>IF(ISBLANK('RESUMEN VIGILANCIA'!K19),"",'RESUMEN VIGILANCIA'!K19)</f>
        <v/>
      </c>
      <c r="M57" s="179" t="str">
        <f>IF(ISBLANK('RESUMEN VIGILANCIA'!L19),"",'RESUMEN VIGILANCIA'!L19)</f>
        <v/>
      </c>
      <c r="N57" s="179" t="str">
        <f>IF(ISBLANK('RESUMEN VIGILANCIA'!M19),"",'RESUMEN VIGILANCIA'!M19)</f>
        <v/>
      </c>
      <c r="O57" s="179" t="str">
        <f>IF(ISBLANK('RESUMEN VIGILANCIA'!N19),"",'RESUMEN VIGILANCIA'!N19)</f>
        <v/>
      </c>
      <c r="P57" s="268" t="str">
        <f>IF(ISBLANK('RESUMEN VIGILANCIA'!O19),"",'RESUMEN VIGILANCIA'!O19)</f>
        <v/>
      </c>
      <c r="Q57" s="177" t="str">
        <f>IF(ISBLANK('RESUMEN VIGILANCIA'!P19),"",'RESUMEN VIGILANCIA'!P19)</f>
        <v/>
      </c>
      <c r="R57" s="269" t="str">
        <f>IF(ISBLANK('RESUMEN VIGILANCIA'!Q19),"",'RESUMEN VIGILANCIA'!Q19)</f>
        <v/>
      </c>
      <c r="S57" s="268" t="str">
        <f>IF(ISBLANK('RESUMEN VIGILANCIA'!R19),"",'RESUMEN VIGILANCIA'!R19)</f>
        <v/>
      </c>
      <c r="T57" s="268" t="str">
        <f>IF(ISBLANK('RESUMEN VIGILANCIA'!S19),"",'RESUMEN VIGILANCIA'!S19)</f>
        <v/>
      </c>
      <c r="U57" s="268" t="str">
        <f>IF(ISBLANK('RESUMEN VIGILANCIA'!T19),"",'RESUMEN VIGILANCIA'!T19)</f>
        <v/>
      </c>
      <c r="V57" s="268" t="str">
        <f>IF(ISBLANK('RESUMEN VIGILANCIA'!U19),"",'RESUMEN VIGILANCIA'!U19)</f>
        <v/>
      </c>
      <c r="W57" s="268" t="str">
        <f>IF(ISBLANK('RESUMEN VIGILANCIA'!V19),"",'RESUMEN VIGILANCIA'!V19)</f>
        <v/>
      </c>
      <c r="X57" s="268" t="str">
        <f>IF(ISBLANK('RESUMEN VIGILANCIA'!W19),"",'RESUMEN VIGILANCIA'!W19)</f>
        <v/>
      </c>
      <c r="Y57" s="268" t="str">
        <f>IF(ISBLANK('RESUMEN VIGILANCIA'!X19),"",'RESUMEN VIGILANCIA'!X19)</f>
        <v/>
      </c>
      <c r="Z57" s="453" t="str">
        <f>IF(ISBLANK('RESUMEN VIGILANCIA'!Y19),"",'RESUMEN VIGILANCIA'!Y19)</f>
        <v/>
      </c>
      <c r="AA57" s="453" t="str">
        <f>IF(ISBLANK('RESUMEN VIGILANCIA'!Z19),"",'RESUMEN VIGILANCIA'!Z19)</f>
        <v/>
      </c>
      <c r="AB57" s="453" t="str">
        <f>IF(ISBLANK('RESUMEN VIGILANCIA'!AA19),"",'RESUMEN VIGILANCIA'!AA19)</f>
        <v/>
      </c>
      <c r="AC57" s="454" t="str">
        <f>IF(ISBLANK('RESUMEN VIGILANCIA'!AB19),"",'RESUMEN VIGILANCIA'!AB19)</f>
        <v/>
      </c>
      <c r="AD57" s="374" t="str">
        <f>IF(ISBLANK('RESUMEN VIGILANCIA'!AC19),"",'RESUMEN VIGILANCIA'!AC19)</f>
        <v/>
      </c>
      <c r="AE57" s="375" t="str">
        <f>IF(ISBLANK('RESUMEN VIGILANCIA'!AD19),"",'RESUMEN VIGILANCIA'!AD19)</f>
        <v/>
      </c>
      <c r="AF57" s="375" t="str">
        <f>IF(ISBLANK('RESUMEN VIGILANCIA'!AE19),"",'RESUMEN VIGILANCIA'!AE19)</f>
        <v/>
      </c>
      <c r="AG57" s="375" t="str">
        <f>IF(ISBLANK('RESUMEN VIGILANCIA'!AF19),"",'RESUMEN VIGILANCIA'!AF19)</f>
        <v/>
      </c>
      <c r="AH57" s="375" t="str">
        <f>IF(ISBLANK('RESUMEN VIGILANCIA'!AG19),"",'RESUMEN VIGILANCIA'!AG19)</f>
        <v/>
      </c>
      <c r="AI57" s="375" t="str">
        <f>IF(ISBLANK('RESUMEN VIGILANCIA'!AH19),"",'RESUMEN VIGILANCIA'!AH19)</f>
        <v/>
      </c>
      <c r="AJ57" s="375" t="str">
        <f>IF(ISBLANK('RESUMEN VIGILANCIA'!AI19),"",'RESUMEN VIGILANCIA'!AI19)</f>
        <v/>
      </c>
      <c r="AK57" s="375" t="str">
        <f>IF(ISBLANK('RESUMEN VIGILANCIA'!AJ19),"",'RESUMEN VIGILANCIA'!AJ19)</f>
        <v/>
      </c>
      <c r="AL57" s="375" t="str">
        <f>IF(ISBLANK('RESUMEN VIGILANCIA'!AK19),"",'RESUMEN VIGILANCIA'!AK19)</f>
        <v/>
      </c>
      <c r="AM57" s="375" t="str">
        <f>IF(ISBLANK('RESUMEN VIGILANCIA'!AL19),"",'RESUMEN VIGILANCIA'!AL19)</f>
        <v/>
      </c>
      <c r="AN57" s="375" t="str">
        <f>IF(ISBLANK('RESUMEN VIGILANCIA'!AM19),"",'RESUMEN VIGILANCIA'!AM19)</f>
        <v/>
      </c>
      <c r="AO57" s="376" t="str">
        <f>IF(ISBLANK('RESUMEN VIGILANCIA'!AN19),"",'RESUMEN VIGILANCIA'!AN19)</f>
        <v/>
      </c>
      <c r="AP57" s="374" t="str">
        <f>IF(ISBLANK('RESUMEN VIGILANCIA'!AO19),"",'RESUMEN VIGILANCIA'!AO19)</f>
        <v/>
      </c>
      <c r="AQ57" s="375" t="str">
        <f>IF(ISBLANK('RESUMEN VIGILANCIA'!AP19),"",'RESUMEN VIGILANCIA'!AP19)</f>
        <v/>
      </c>
      <c r="AR57" s="375" t="str">
        <f>IF(ISBLANK('RESUMEN VIGILANCIA'!AQ19),"",'RESUMEN VIGILANCIA'!AQ19)</f>
        <v/>
      </c>
      <c r="AS57" s="375" t="str">
        <f>IF(ISBLANK('RESUMEN VIGILANCIA'!AR19),"",'RESUMEN VIGILANCIA'!AR19)</f>
        <v/>
      </c>
      <c r="AT57" s="375" t="str">
        <f>IF(ISBLANK('RESUMEN VIGILANCIA'!AS19),"",'RESUMEN VIGILANCIA'!AS19)</f>
        <v/>
      </c>
      <c r="AU57" s="375" t="str">
        <f>IF(ISBLANK('RESUMEN VIGILANCIA'!AT19),"",'RESUMEN VIGILANCIA'!AT19)</f>
        <v/>
      </c>
      <c r="AV57" s="375" t="str">
        <f>IF(ISBLANK('RESUMEN VIGILANCIA'!AU19),"",'RESUMEN VIGILANCIA'!AU19)</f>
        <v/>
      </c>
      <c r="AW57" s="375" t="str">
        <f>IF(ISBLANK('RESUMEN VIGILANCIA'!AV19),"",'RESUMEN VIGILANCIA'!AV19)</f>
        <v/>
      </c>
      <c r="AX57" s="375" t="str">
        <f>IF(ISBLANK('RESUMEN VIGILANCIA'!AW19),"",'RESUMEN VIGILANCIA'!AW19)</f>
        <v/>
      </c>
      <c r="AY57" s="375" t="str">
        <f>IF(ISBLANK('RESUMEN VIGILANCIA'!AX19),"",'RESUMEN VIGILANCIA'!AX19)</f>
        <v/>
      </c>
      <c r="AZ57" s="375" t="str">
        <f>IF(ISBLANK('RESUMEN VIGILANCIA'!AY19),"",'RESUMEN VIGILANCIA'!AY19)</f>
        <v/>
      </c>
      <c r="BA57" s="376" t="str">
        <f>IF(ISBLANK('RESUMEN VIGILANCIA'!AZ19),"",'RESUMEN VIGILANCIA'!AZ19)</f>
        <v/>
      </c>
      <c r="BB57" s="240">
        <f t="shared" si="2"/>
        <v>0</v>
      </c>
      <c r="BC57" s="110"/>
      <c r="BD57" s="110"/>
    </row>
    <row r="58" spans="1:56" s="28" customFormat="1" ht="20.100000000000001" customHeight="1">
      <c r="A58" s="57" t="str">
        <f>'RESUMEN VIGILANCIA'!A52</f>
        <v>Familia Zampini Scaccia</v>
      </c>
      <c r="B58" s="58" t="str">
        <f>'RESUMEN VIGILANCIA'!B52</f>
        <v>Calle Guacara Nro. 88-A-10</v>
      </c>
      <c r="C58" s="427" t="s">
        <v>1358</v>
      </c>
      <c r="D58" s="434" t="s">
        <v>1357</v>
      </c>
      <c r="E58" s="415" t="str">
        <f>IF(ISBLANK('RESUMEN VIGILANCIA'!D52),"",'RESUMEN VIGILANCIA'!D52)</f>
        <v/>
      </c>
      <c r="F58" s="267" t="str">
        <f>IF(ISBLANK('RESUMEN VIGILANCIA'!E52),"",'RESUMEN VIGILANCIA'!E52)</f>
        <v/>
      </c>
      <c r="G58" s="179" t="str">
        <f>IF(ISBLANK('RESUMEN VIGILANCIA'!F52),"",'RESUMEN VIGILANCIA'!F52)</f>
        <v/>
      </c>
      <c r="H58" s="179" t="str">
        <f>IF(ISBLANK('RESUMEN VIGILANCIA'!G52),"",'RESUMEN VIGILANCIA'!G52)</f>
        <v/>
      </c>
      <c r="I58" s="179" t="str">
        <f>IF(ISBLANK('RESUMEN VIGILANCIA'!H52),"",'RESUMEN VIGILANCIA'!H52)</f>
        <v/>
      </c>
      <c r="J58" s="179" t="str">
        <f>IF(ISBLANK('RESUMEN VIGILANCIA'!I52),"",'RESUMEN VIGILANCIA'!I52)</f>
        <v/>
      </c>
      <c r="K58" s="179" t="str">
        <f>IF(ISBLANK('RESUMEN VIGILANCIA'!J52),"",'RESUMEN VIGILANCIA'!J52)</f>
        <v/>
      </c>
      <c r="L58" s="179" t="str">
        <f>IF(ISBLANK('RESUMEN VIGILANCIA'!K52),"",'RESUMEN VIGILANCIA'!K52)</f>
        <v/>
      </c>
      <c r="M58" s="179" t="str">
        <f>IF(ISBLANK('RESUMEN VIGILANCIA'!L52),"",'RESUMEN VIGILANCIA'!L52)</f>
        <v/>
      </c>
      <c r="N58" s="179" t="str">
        <f>IF(ISBLANK('RESUMEN VIGILANCIA'!M52),"",'RESUMEN VIGILANCIA'!M52)</f>
        <v/>
      </c>
      <c r="O58" s="179" t="str">
        <f>IF(ISBLANK('RESUMEN VIGILANCIA'!N52),"",'RESUMEN VIGILANCIA'!N52)</f>
        <v/>
      </c>
      <c r="P58" s="268" t="str">
        <f>IF(ISBLANK('RESUMEN VIGILANCIA'!O52),"",'RESUMEN VIGILANCIA'!O52)</f>
        <v/>
      </c>
      <c r="Q58" s="177" t="str">
        <f>IF(ISBLANK('RESUMEN VIGILANCIA'!P52),"",'RESUMEN VIGILANCIA'!P52)</f>
        <v/>
      </c>
      <c r="R58" s="269" t="str">
        <f>IF(ISBLANK('RESUMEN VIGILANCIA'!Q52),"",'RESUMEN VIGILANCIA'!Q52)</f>
        <v/>
      </c>
      <c r="S58" s="268" t="str">
        <f>IF(ISBLANK('RESUMEN VIGILANCIA'!R52),"",'RESUMEN VIGILANCIA'!R52)</f>
        <v/>
      </c>
      <c r="T58" s="268" t="str">
        <f>IF(ISBLANK('RESUMEN VIGILANCIA'!S52),"",'RESUMEN VIGILANCIA'!S52)</f>
        <v/>
      </c>
      <c r="U58" s="268" t="str">
        <f>IF(ISBLANK('RESUMEN VIGILANCIA'!T52),"",'RESUMEN VIGILANCIA'!T52)</f>
        <v/>
      </c>
      <c r="V58" s="268" t="str">
        <f>IF(ISBLANK('RESUMEN VIGILANCIA'!U52),"",'RESUMEN VIGILANCIA'!U52)</f>
        <v/>
      </c>
      <c r="W58" s="268" t="str">
        <f>IF(ISBLANK('RESUMEN VIGILANCIA'!V52),"",'RESUMEN VIGILANCIA'!V52)</f>
        <v/>
      </c>
      <c r="X58" s="272" t="str">
        <f>IF(ISBLANK('RESUMEN VIGILANCIA'!W52),"",'RESUMEN VIGILANCIA'!W52)</f>
        <v>VENDIDA</v>
      </c>
      <c r="Y58" s="279" t="str">
        <f>IF(ISBLANK('RESUMEN VIGILANCIA'!X52),"",'RESUMEN VIGILANCIA'!X52)</f>
        <v/>
      </c>
      <c r="Z58" s="462" t="str">
        <f>IF(ISBLANK('RESUMEN VIGILANCIA'!Y52),"",'RESUMEN VIGILANCIA'!Y52)</f>
        <v/>
      </c>
      <c r="AA58" s="462" t="str">
        <f>IF(ISBLANK('RESUMEN VIGILANCIA'!Z52),"",'RESUMEN VIGILANCIA'!Z52)</f>
        <v/>
      </c>
      <c r="AB58" s="462" t="str">
        <f>IF(ISBLANK('RESUMEN VIGILANCIA'!AA52),"",'RESUMEN VIGILANCIA'!AA52)</f>
        <v/>
      </c>
      <c r="AC58" s="463" t="str">
        <f>IF(ISBLANK('RESUMEN VIGILANCIA'!AB52),"",'RESUMEN VIGILANCIA'!AB52)</f>
        <v/>
      </c>
      <c r="AD58" s="388" t="str">
        <f>IF(ISBLANK('RESUMEN VIGILANCIA'!AC52),"",'RESUMEN VIGILANCIA'!AC52)</f>
        <v/>
      </c>
      <c r="AE58" s="378" t="str">
        <f>IF(ISBLANK('RESUMEN VIGILANCIA'!AD52),"",'RESUMEN VIGILANCIA'!AD52)</f>
        <v/>
      </c>
      <c r="AF58" s="378" t="str">
        <f>IF(ISBLANK('RESUMEN VIGILANCIA'!AE52),"",'RESUMEN VIGILANCIA'!AE52)</f>
        <v/>
      </c>
      <c r="AG58" s="378" t="str">
        <f>IF(ISBLANK('RESUMEN VIGILANCIA'!AF52),"",'RESUMEN VIGILANCIA'!AF52)</f>
        <v/>
      </c>
      <c r="AH58" s="378" t="str">
        <f>IF(ISBLANK('RESUMEN VIGILANCIA'!AG52),"",'RESUMEN VIGILANCIA'!AG52)</f>
        <v/>
      </c>
      <c r="AI58" s="378" t="str">
        <f>IF(ISBLANK('RESUMEN VIGILANCIA'!AH52),"",'RESUMEN VIGILANCIA'!AH52)</f>
        <v/>
      </c>
      <c r="AJ58" s="378" t="str">
        <f>IF(ISBLANK('RESUMEN VIGILANCIA'!AI52),"",'RESUMEN VIGILANCIA'!AI52)</f>
        <v/>
      </c>
      <c r="AK58" s="378" t="str">
        <f>IF(ISBLANK('RESUMEN VIGILANCIA'!AJ52),"",'RESUMEN VIGILANCIA'!AJ52)</f>
        <v/>
      </c>
      <c r="AL58" s="378" t="str">
        <f>IF(ISBLANK('RESUMEN VIGILANCIA'!AK52),"",'RESUMEN VIGILANCIA'!AK52)</f>
        <v/>
      </c>
      <c r="AM58" s="378" t="str">
        <f>IF(ISBLANK('RESUMEN VIGILANCIA'!AL52),"",'RESUMEN VIGILANCIA'!AL52)</f>
        <v/>
      </c>
      <c r="AN58" s="378" t="str">
        <f>IF(ISBLANK('RESUMEN VIGILANCIA'!AM52),"",'RESUMEN VIGILANCIA'!AM52)</f>
        <v/>
      </c>
      <c r="AO58" s="389" t="str">
        <f>IF(ISBLANK('RESUMEN VIGILANCIA'!AN52),"",'RESUMEN VIGILANCIA'!AN52)</f>
        <v/>
      </c>
      <c r="AP58" s="388" t="str">
        <f>IF(ISBLANK('RESUMEN VIGILANCIA'!AO52),"",'RESUMEN VIGILANCIA'!AO52)</f>
        <v/>
      </c>
      <c r="AQ58" s="378" t="str">
        <f>IF(ISBLANK('RESUMEN VIGILANCIA'!AP52),"",'RESUMEN VIGILANCIA'!AP52)</f>
        <v/>
      </c>
      <c r="AR58" s="378" t="str">
        <f>IF(ISBLANK('RESUMEN VIGILANCIA'!AQ52),"",'RESUMEN VIGILANCIA'!AQ52)</f>
        <v/>
      </c>
      <c r="AS58" s="378" t="str">
        <f>IF(ISBLANK('RESUMEN VIGILANCIA'!AR52),"",'RESUMEN VIGILANCIA'!AR52)</f>
        <v/>
      </c>
      <c r="AT58" s="378" t="str">
        <f>IF(ISBLANK('RESUMEN VIGILANCIA'!AS52),"",'RESUMEN VIGILANCIA'!AS52)</f>
        <v/>
      </c>
      <c r="AU58" s="378" t="str">
        <f>IF(ISBLANK('RESUMEN VIGILANCIA'!AT52),"",'RESUMEN VIGILANCIA'!AT52)</f>
        <v/>
      </c>
      <c r="AV58" s="378" t="str">
        <f>IF(ISBLANK('RESUMEN VIGILANCIA'!AU52),"",'RESUMEN VIGILANCIA'!AU52)</f>
        <v/>
      </c>
      <c r="AW58" s="378" t="str">
        <f>IF(ISBLANK('RESUMEN VIGILANCIA'!AV52),"",'RESUMEN VIGILANCIA'!AV52)</f>
        <v/>
      </c>
      <c r="AX58" s="378" t="str">
        <f>IF(ISBLANK('RESUMEN VIGILANCIA'!AW52),"",'RESUMEN VIGILANCIA'!AW52)</f>
        <v/>
      </c>
      <c r="AY58" s="378" t="str">
        <f>IF(ISBLANK('RESUMEN VIGILANCIA'!AX52),"",'RESUMEN VIGILANCIA'!AX52)</f>
        <v/>
      </c>
      <c r="AZ58" s="378" t="str">
        <f>IF(ISBLANK('RESUMEN VIGILANCIA'!AY52),"",'RESUMEN VIGILANCIA'!AY52)</f>
        <v/>
      </c>
      <c r="BA58" s="389" t="str">
        <f>IF(ISBLANK('RESUMEN VIGILANCIA'!AZ52),"",'RESUMEN VIGILANCIA'!AZ52)</f>
        <v/>
      </c>
      <c r="BB58" s="240">
        <f t="shared" si="2"/>
        <v>0</v>
      </c>
      <c r="BC58" s="110"/>
      <c r="BD58" s="110">
        <v>43252</v>
      </c>
    </row>
    <row r="59" spans="1:56" s="28" customFormat="1" ht="20.100000000000001" customHeight="1">
      <c r="A59" s="29" t="str">
        <f>'RESUMEN VIGILANCIA'!A53</f>
        <v>Familia Wu Acevedo</v>
      </c>
      <c r="B59" s="30" t="str">
        <f>'RESUMEN VIGILANCIA'!B53</f>
        <v>Calle Guacara Nro. 88-A-10</v>
      </c>
      <c r="C59" s="427" t="s">
        <v>1358</v>
      </c>
      <c r="D59" s="434" t="s">
        <v>17</v>
      </c>
      <c r="E59" s="417" t="str">
        <f>IF(ISBLANK('RESUMEN VIGILANCIA'!D53),"",'RESUMEN VIGILANCIA'!D53)</f>
        <v/>
      </c>
      <c r="F59" s="280" t="str">
        <f>IF(ISBLANK('RESUMEN VIGILANCIA'!E53),"",'RESUMEN VIGILANCIA'!E53)</f>
        <v/>
      </c>
      <c r="G59" s="207" t="str">
        <f>IF(ISBLANK('RESUMEN VIGILANCIA'!F53),"",'RESUMEN VIGILANCIA'!F53)</f>
        <v/>
      </c>
      <c r="H59" s="207" t="str">
        <f>IF(ISBLANK('RESUMEN VIGILANCIA'!G53),"",'RESUMEN VIGILANCIA'!G53)</f>
        <v/>
      </c>
      <c r="I59" s="214" t="str">
        <f>IF(ISBLANK('RESUMEN VIGILANCIA'!H53),"",'RESUMEN VIGILANCIA'!H53)</f>
        <v/>
      </c>
      <c r="J59" s="214" t="str">
        <f>IF(ISBLANK('RESUMEN VIGILANCIA'!I53),"",'RESUMEN VIGILANCIA'!I53)</f>
        <v/>
      </c>
      <c r="K59" s="214" t="str">
        <f>IF(ISBLANK('RESUMEN VIGILANCIA'!J53),"",'RESUMEN VIGILANCIA'!J53)</f>
        <v/>
      </c>
      <c r="L59" s="214" t="str">
        <f>IF(ISBLANK('RESUMEN VIGILANCIA'!K53),"",'RESUMEN VIGILANCIA'!K53)</f>
        <v/>
      </c>
      <c r="M59" s="214" t="str">
        <f>IF(ISBLANK('RESUMEN VIGILANCIA'!L53),"",'RESUMEN VIGILANCIA'!L53)</f>
        <v/>
      </c>
      <c r="N59" s="214" t="str">
        <f>IF(ISBLANK('RESUMEN VIGILANCIA'!M53),"",'RESUMEN VIGILANCIA'!M53)</f>
        <v/>
      </c>
      <c r="O59" s="214" t="str">
        <f>IF(ISBLANK('RESUMEN VIGILANCIA'!N53),"",'RESUMEN VIGILANCIA'!N53)</f>
        <v/>
      </c>
      <c r="P59" s="281" t="str">
        <f>IF(ISBLANK('RESUMEN VIGILANCIA'!O53),"",'RESUMEN VIGILANCIA'!O53)</f>
        <v/>
      </c>
      <c r="Q59" s="212" t="str">
        <f>IF(ISBLANK('RESUMEN VIGILANCIA'!P53),"",'RESUMEN VIGILANCIA'!P53)</f>
        <v/>
      </c>
      <c r="R59" s="282" t="str">
        <f>IF(ISBLANK('RESUMEN VIGILANCIA'!Q53),"",'RESUMEN VIGILANCIA'!Q53)</f>
        <v/>
      </c>
      <c r="S59" s="281" t="str">
        <f>IF(ISBLANK('RESUMEN VIGILANCIA'!R53),"",'RESUMEN VIGILANCIA'!R53)</f>
        <v/>
      </c>
      <c r="T59" s="281" t="str">
        <f>IF(ISBLANK('RESUMEN VIGILANCIA'!S53),"",'RESUMEN VIGILANCIA'!S53)</f>
        <v/>
      </c>
      <c r="U59" s="281" t="str">
        <f>IF(ISBLANK('RESUMEN VIGILANCIA'!T53),"",'RESUMEN VIGILANCIA'!T53)</f>
        <v/>
      </c>
      <c r="V59" s="281" t="str">
        <f>IF(ISBLANK('RESUMEN VIGILANCIA'!U53),"",'RESUMEN VIGILANCIA'!U53)</f>
        <v/>
      </c>
      <c r="W59" s="281" t="str">
        <f>IF(ISBLANK('RESUMEN VIGILANCIA'!V53),"",'RESUMEN VIGILANCIA'!V53)</f>
        <v/>
      </c>
      <c r="X59" s="268">
        <f>IF(ISBLANK('RESUMEN VIGILANCIA'!W53),"",'RESUMEN VIGILANCIA'!W53)</f>
        <v>10</v>
      </c>
      <c r="Y59" s="268">
        <f>IF(ISBLANK('RESUMEN VIGILANCIA'!X53),"",'RESUMEN VIGILANCIA'!X53)</f>
        <v>12</v>
      </c>
      <c r="Z59" s="453">
        <f>IF(ISBLANK('RESUMEN VIGILANCIA'!Y53),"",'RESUMEN VIGILANCIA'!Y53)</f>
        <v>320</v>
      </c>
      <c r="AA59" s="453">
        <f>IF(ISBLANK('RESUMEN VIGILANCIA'!Z53),"",'RESUMEN VIGILANCIA'!Z53)</f>
        <v>320</v>
      </c>
      <c r="AB59" s="453">
        <f>IF(ISBLANK('RESUMEN VIGILANCIA'!AA53),"",'RESUMEN VIGILANCIA'!AA53)</f>
        <v>320</v>
      </c>
      <c r="AC59" s="454">
        <f>IF(ISBLANK('RESUMEN VIGILANCIA'!AB53),"",'RESUMEN VIGILANCIA'!AB53)</f>
        <v>1000</v>
      </c>
      <c r="AD59" s="374">
        <f>IF(ISBLANK('RESUMEN VIGILANCIA'!AC53),"",'RESUMEN VIGILANCIA'!AC53)</f>
        <v>3000</v>
      </c>
      <c r="AE59" s="375">
        <f>IF(ISBLANK('RESUMEN VIGILANCIA'!AD53),"",'RESUMEN VIGILANCIA'!AD53)</f>
        <v>3000</v>
      </c>
      <c r="AF59" s="375">
        <f>IF(ISBLANK('RESUMEN VIGILANCIA'!AE53),"",'RESUMEN VIGILANCIA'!AE53)</f>
        <v>3000</v>
      </c>
      <c r="AG59" s="375">
        <f>IF(ISBLANK('RESUMEN VIGILANCIA'!AF53),"",'RESUMEN VIGILANCIA'!AF53)</f>
        <v>5000</v>
      </c>
      <c r="AH59" s="375">
        <f>IF(ISBLANK('RESUMEN VIGILANCIA'!AG53),"",'RESUMEN VIGILANCIA'!AG53)</f>
        <v>10000</v>
      </c>
      <c r="AI59" s="375">
        <f>IF(ISBLANK('RESUMEN VIGILANCIA'!AH53),"",'RESUMEN VIGILANCIA'!AH53)</f>
        <v>10000</v>
      </c>
      <c r="AJ59" s="375">
        <f>IF(ISBLANK('RESUMEN VIGILANCIA'!AI53),"",'RESUMEN VIGILANCIA'!AI53)</f>
        <v>10000</v>
      </c>
      <c r="AK59" s="375">
        <f>IF(ISBLANK('RESUMEN VIGILANCIA'!AJ53),"",'RESUMEN VIGILANCIA'!AJ53)</f>
        <v>10000</v>
      </c>
      <c r="AL59" s="375">
        <f>IF(ISBLANK('RESUMEN VIGILANCIA'!AK53),"",'RESUMEN VIGILANCIA'!AK53)</f>
        <v>21600</v>
      </c>
      <c r="AM59" s="375">
        <f>IF(ISBLANK('RESUMEN VIGILANCIA'!AL53),"",'RESUMEN VIGILANCIA'!AL53)</f>
        <v>47000</v>
      </c>
      <c r="AN59" s="375">
        <f>IF(ISBLANK('RESUMEN VIGILANCIA'!AM53),"",'RESUMEN VIGILANCIA'!AM53)</f>
        <v>51250</v>
      </c>
      <c r="AO59" s="376">
        <f>IF(ISBLANK('RESUMEN VIGILANCIA'!AN53),"",'RESUMEN VIGILANCIA'!AN53)</f>
        <v>81750</v>
      </c>
      <c r="AP59" s="374">
        <f>IF(ISBLANK('RESUMEN VIGILANCIA'!AO53),"",'RESUMEN VIGILANCIA'!AO53)</f>
        <v>136250</v>
      </c>
      <c r="AQ59" s="375">
        <f>IF(ISBLANK('RESUMEN VIGILANCIA'!AP53),"",'RESUMEN VIGILANCIA'!AP53)</f>
        <v>185250</v>
      </c>
      <c r="AR59" s="375">
        <f>IF(ISBLANK('RESUMEN VIGILANCIA'!AQ53),"",'RESUMEN VIGILANCIA'!AQ53)</f>
        <v>185250</v>
      </c>
      <c r="AS59" s="375">
        <f>IF(ISBLANK('RESUMEN VIGILANCIA'!AR53),"",'RESUMEN VIGILANCIA'!AR53)</f>
        <v>186155.8</v>
      </c>
      <c r="AT59" s="375">
        <f>IF(ISBLANK('RESUMEN VIGILANCIA'!AS53),"",'RESUMEN VIGILANCIA'!AS53)</f>
        <v>250000</v>
      </c>
      <c r="AU59" s="375">
        <f>IF(ISBLANK('RESUMEN VIGILANCIA'!AT53),"",'RESUMEN VIGILANCIA'!AT53)</f>
        <v>250000</v>
      </c>
      <c r="AV59" s="375">
        <f>IF(ISBLANK('RESUMEN VIGILANCIA'!AU53),"",'RESUMEN VIGILANCIA'!AU53)</f>
        <v>320000</v>
      </c>
      <c r="AW59" s="375" t="str">
        <f>IF(ISBLANK('RESUMEN VIGILANCIA'!AV53),"",'RESUMEN VIGILANCIA'!AV53)</f>
        <v/>
      </c>
      <c r="AX59" s="375" t="str">
        <f>IF(ISBLANK('RESUMEN VIGILANCIA'!AW53),"",'RESUMEN VIGILANCIA'!AW53)</f>
        <v/>
      </c>
      <c r="AY59" s="375" t="str">
        <f>IF(ISBLANK('RESUMEN VIGILANCIA'!AX53),"",'RESUMEN VIGILANCIA'!AX53)</f>
        <v/>
      </c>
      <c r="AZ59" s="375" t="str">
        <f>IF(ISBLANK('RESUMEN VIGILANCIA'!AY53),"",'RESUMEN VIGILANCIA'!AY53)</f>
        <v/>
      </c>
      <c r="BA59" s="376" t="str">
        <f>IF(ISBLANK('RESUMEN VIGILANCIA'!AZ53),"",'RESUMEN VIGILANCIA'!AZ53)</f>
        <v/>
      </c>
      <c r="BB59" s="240">
        <f t="shared" si="2"/>
        <v>257582</v>
      </c>
      <c r="BC59" s="110">
        <v>43282</v>
      </c>
      <c r="BD59" s="110"/>
    </row>
    <row r="60" spans="1:56" s="28" customFormat="1" ht="20.100000000000001" customHeight="1">
      <c r="A60" s="356" t="str">
        <f>'RESUMEN VIGILANCIA'!A8</f>
        <v>Familia Flores Montagne</v>
      </c>
      <c r="B60" s="357" t="str">
        <f>'RESUMEN VIGILANCIA'!B8</f>
        <v>Av. "M" Nro. 146-20</v>
      </c>
      <c r="C60" s="428" t="s">
        <v>1358</v>
      </c>
      <c r="D60" s="433" t="s">
        <v>1357</v>
      </c>
      <c r="E60" s="414" t="str">
        <f>IF(ISBLANK('RESUMEN VIGILANCIA'!D8),"",'RESUMEN VIGILANCIA'!D8)</f>
        <v/>
      </c>
      <c r="F60" s="264">
        <f>IF(ISBLANK('RESUMEN VIGILANCIA'!E8),"",'RESUMEN VIGILANCIA'!E8)</f>
        <v>0.02</v>
      </c>
      <c r="G60" s="186">
        <f>IF(ISBLANK('RESUMEN VIGILANCIA'!F8),"",'RESUMEN VIGILANCIA'!F8)</f>
        <v>0.02</v>
      </c>
      <c r="H60" s="186">
        <f>IF(ISBLANK('RESUMEN VIGILANCIA'!G8),"",'RESUMEN VIGILANCIA'!G8)</f>
        <v>0.03</v>
      </c>
      <c r="I60" s="186">
        <f>IF(ISBLANK('RESUMEN VIGILANCIA'!H8),"",'RESUMEN VIGILANCIA'!H8)</f>
        <v>0.03</v>
      </c>
      <c r="J60" s="186">
        <f>IF(ISBLANK('RESUMEN VIGILANCIA'!I8),"",'RESUMEN VIGILANCIA'!I8)</f>
        <v>0.04</v>
      </c>
      <c r="K60" s="186">
        <f>IF(ISBLANK('RESUMEN VIGILANCIA'!J8),"",'RESUMEN VIGILANCIA'!J8)</f>
        <v>0.04</v>
      </c>
      <c r="L60" s="186">
        <f>IF(ISBLANK('RESUMEN VIGILANCIA'!K8),"",'RESUMEN VIGILANCIA'!K8)</f>
        <v>0.04</v>
      </c>
      <c r="M60" s="186">
        <f>IF(ISBLANK('RESUMEN VIGILANCIA'!L8),"",'RESUMEN VIGILANCIA'!L8)</f>
        <v>0.04</v>
      </c>
      <c r="N60" s="186">
        <f>IF(ISBLANK('RESUMEN VIGILANCIA'!M8),"",'RESUMEN VIGILANCIA'!M8)</f>
        <v>0.03</v>
      </c>
      <c r="O60" s="186">
        <f>IF(ISBLANK('RESUMEN VIGILANCIA'!N8),"",'RESUMEN VIGILANCIA'!N8)</f>
        <v>0.05</v>
      </c>
      <c r="P60" s="265" t="str">
        <f>IF(ISBLANK('RESUMEN VIGILANCIA'!O8),"",'RESUMEN VIGILANCIA'!O8)</f>
        <v>- - -</v>
      </c>
      <c r="Q60" s="184" t="str">
        <f>IF(ISBLANK('RESUMEN VIGILANCIA'!P8),"",'RESUMEN VIGILANCIA'!P8)</f>
        <v>- - -</v>
      </c>
      <c r="R60" s="269">
        <f>IF(ISBLANK('RESUMEN VIGILANCIA'!Q8),"",'RESUMEN VIGILANCIA'!Q8)</f>
        <v>0.8</v>
      </c>
      <c r="S60" s="268">
        <f>IF(ISBLANK('RESUMEN VIGILANCIA'!R8),"",'RESUMEN VIGILANCIA'!R8)</f>
        <v>0.8</v>
      </c>
      <c r="T60" s="268">
        <f>IF(ISBLANK('RESUMEN VIGILANCIA'!S8),"",'RESUMEN VIGILANCIA'!S8)</f>
        <v>1.4</v>
      </c>
      <c r="U60" s="268">
        <f>IF(ISBLANK('RESUMEN VIGILANCIA'!T8),"",'RESUMEN VIGILANCIA'!T8)</f>
        <v>1.4</v>
      </c>
      <c r="V60" s="268">
        <f>IF(ISBLANK('RESUMEN VIGILANCIA'!U8),"",'RESUMEN VIGILANCIA'!U8)</f>
        <v>4</v>
      </c>
      <c r="W60" s="268">
        <f>IF(ISBLANK('RESUMEN VIGILANCIA'!V8),"",'RESUMEN VIGILANCIA'!V8)</f>
        <v>6.25</v>
      </c>
      <c r="X60" s="268">
        <f>IF(ISBLANK('RESUMEN VIGILANCIA'!W8),"",'RESUMEN VIGILANCIA'!W8)</f>
        <v>10</v>
      </c>
      <c r="Y60" s="268">
        <f>IF(ISBLANK('RESUMEN VIGILANCIA'!X8),"",'RESUMEN VIGILANCIA'!X8)</f>
        <v>12</v>
      </c>
      <c r="Z60" s="453">
        <f>IF(ISBLANK('RESUMEN VIGILANCIA'!Y8),"",'RESUMEN VIGILANCIA'!Y8)</f>
        <v>320</v>
      </c>
      <c r="AA60" s="453">
        <f>IF(ISBLANK('RESUMEN VIGILANCIA'!Z8),"",'RESUMEN VIGILANCIA'!Z8)</f>
        <v>320</v>
      </c>
      <c r="AB60" s="453">
        <f>IF(ISBLANK('RESUMEN VIGILANCIA'!AA8),"",'RESUMEN VIGILANCIA'!AA8)</f>
        <v>320</v>
      </c>
      <c r="AC60" s="454">
        <f>IF(ISBLANK('RESUMEN VIGILANCIA'!AB8),"",'RESUMEN VIGILANCIA'!AB8)</f>
        <v>800</v>
      </c>
      <c r="AD60" s="374">
        <f>IF(ISBLANK('RESUMEN VIGILANCIA'!AC8),"",'RESUMEN VIGILANCIA'!AC8)</f>
        <v>3000</v>
      </c>
      <c r="AE60" s="375">
        <f>IF(ISBLANK('RESUMEN VIGILANCIA'!AD8),"",'RESUMEN VIGILANCIA'!AD8)</f>
        <v>3000</v>
      </c>
      <c r="AF60" s="375">
        <f>IF(ISBLANK('RESUMEN VIGILANCIA'!AE8),"",'RESUMEN VIGILANCIA'!AE8)</f>
        <v>3000</v>
      </c>
      <c r="AG60" s="375">
        <f>IF(ISBLANK('RESUMEN VIGILANCIA'!AF8),"",'RESUMEN VIGILANCIA'!AF8)</f>
        <v>5000</v>
      </c>
      <c r="AH60" s="375">
        <f>IF(ISBLANK('RESUMEN VIGILANCIA'!AG8),"",'RESUMEN VIGILANCIA'!AG8)</f>
        <v>8000</v>
      </c>
      <c r="AI60" s="375">
        <f>IF(ISBLANK('RESUMEN VIGILANCIA'!AH8),"",'RESUMEN VIGILANCIA'!AH8)</f>
        <v>8000</v>
      </c>
      <c r="AJ60" s="375">
        <f>IF(ISBLANK('RESUMEN VIGILANCIA'!AI8),"",'RESUMEN VIGILANCIA'!AI8)</f>
        <v>10000</v>
      </c>
      <c r="AK60" s="375">
        <f>IF(ISBLANK('RESUMEN VIGILANCIA'!AJ8),"",'RESUMEN VIGILANCIA'!AJ8)</f>
        <v>10000</v>
      </c>
      <c r="AL60" s="375">
        <f>IF(ISBLANK('RESUMEN VIGILANCIA'!AK8),"",'RESUMEN VIGILANCIA'!AK8)</f>
        <v>19800</v>
      </c>
      <c r="AM60" s="375">
        <f>IF(ISBLANK('RESUMEN VIGILANCIA'!AL8),"",'RESUMEN VIGILANCIA'!AL8)</f>
        <v>51250</v>
      </c>
      <c r="AN60" s="375">
        <f>IF(ISBLANK('RESUMEN VIGILANCIA'!AM8),"",'RESUMEN VIGILANCIA'!AM8)</f>
        <v>81750</v>
      </c>
      <c r="AO60" s="376">
        <f>IF(ISBLANK('RESUMEN VIGILANCIA'!AN8),"",'RESUMEN VIGILANCIA'!AN8)</f>
        <v>105250</v>
      </c>
      <c r="AP60" s="374">
        <f>IF(ISBLANK('RESUMEN VIGILANCIA'!AO8),"",'RESUMEN VIGILANCIA'!AO8)</f>
        <v>136250</v>
      </c>
      <c r="AQ60" s="375">
        <f>IF(ISBLANK('RESUMEN VIGILANCIA'!AP8),"",'RESUMEN VIGILANCIA'!AP8)</f>
        <v>185250</v>
      </c>
      <c r="AR60" s="375">
        <f>IF(ISBLANK('RESUMEN VIGILANCIA'!AQ8),"",'RESUMEN VIGILANCIA'!AQ8)</f>
        <v>185250</v>
      </c>
      <c r="AS60" s="375">
        <f>IF(ISBLANK('RESUMEN VIGILANCIA'!AR8),"",'RESUMEN VIGILANCIA'!AR8)</f>
        <v>185250</v>
      </c>
      <c r="AT60" s="375">
        <f>IF(ISBLANK('RESUMEN VIGILANCIA'!AS8),"",'RESUMEN VIGILANCIA'!AS8)</f>
        <v>250000</v>
      </c>
      <c r="AU60" s="375">
        <f>IF(ISBLANK('RESUMEN VIGILANCIA'!AT8),"",'RESUMEN VIGILANCIA'!AT8)</f>
        <v>250000</v>
      </c>
      <c r="AV60" s="375" t="str">
        <f>IF(ISBLANK('RESUMEN VIGILANCIA'!AU8),"",'RESUMEN VIGILANCIA'!AU8)</f>
        <v/>
      </c>
      <c r="AW60" s="375" t="str">
        <f>IF(ISBLANK('RESUMEN VIGILANCIA'!AV8),"",'RESUMEN VIGILANCIA'!AV8)</f>
        <v/>
      </c>
      <c r="AX60" s="375" t="str">
        <f>IF(ISBLANK('RESUMEN VIGILANCIA'!AW8),"",'RESUMEN VIGILANCIA'!AW8)</f>
        <v/>
      </c>
      <c r="AY60" s="375" t="str">
        <f>IF(ISBLANK('RESUMEN VIGILANCIA'!AX8),"",'RESUMEN VIGILANCIA'!AX8)</f>
        <v/>
      </c>
      <c r="AZ60" s="375" t="str">
        <f>IF(ISBLANK('RESUMEN VIGILANCIA'!AY8),"",'RESUMEN VIGILANCIA'!AY8)</f>
        <v/>
      </c>
      <c r="BA60" s="376" t="str">
        <f>IF(ISBLANK('RESUMEN VIGILANCIA'!AZ8),"",'RESUMEN VIGILANCIA'!AZ8)</f>
        <v/>
      </c>
      <c r="BB60" s="240">
        <f t="shared" si="2"/>
        <v>309846.99</v>
      </c>
      <c r="BC60" s="110"/>
      <c r="BD60" s="110"/>
    </row>
    <row r="61" spans="1:56" s="28" customFormat="1" ht="20.100000000000001" customHeight="1">
      <c r="A61" s="356" t="str">
        <f>'RESUMEN VIGILANCIA'!A16</f>
        <v>Familia Hurtado</v>
      </c>
      <c r="B61" s="357" t="str">
        <f>'RESUMEN VIGILANCIA'!B16</f>
        <v>Av. "O" Nro. 146-11</v>
      </c>
      <c r="C61" s="428" t="s">
        <v>1358</v>
      </c>
      <c r="D61" s="433" t="s">
        <v>1357</v>
      </c>
      <c r="E61" s="414" t="str">
        <f>IF(ISBLANK('RESUMEN VIGILANCIA'!D16),"",'RESUMEN VIGILANCIA'!D16)</f>
        <v/>
      </c>
      <c r="F61" s="264">
        <f>IF(ISBLANK('RESUMEN VIGILANCIA'!E16),"",'RESUMEN VIGILANCIA'!E16)</f>
        <v>0.105</v>
      </c>
      <c r="G61" s="186">
        <f>IF(ISBLANK('RESUMEN VIGILANCIA'!F16),"",'RESUMEN VIGILANCIA'!F16)</f>
        <v>0.16999999999999998</v>
      </c>
      <c r="H61" s="186">
        <f>IF(ISBLANK('RESUMEN VIGILANCIA'!G16),"",'RESUMEN VIGILANCIA'!G16)</f>
        <v>0.105</v>
      </c>
      <c r="I61" s="186">
        <f>IF(ISBLANK('RESUMEN VIGILANCIA'!H16),"",'RESUMEN VIGILANCIA'!H16)</f>
        <v>0.17</v>
      </c>
      <c r="J61" s="186">
        <f>IF(ISBLANK('RESUMEN VIGILANCIA'!I16),"",'RESUMEN VIGILANCIA'!I16)</f>
        <v>0.26</v>
      </c>
      <c r="K61" s="186">
        <f>IF(ISBLANK('RESUMEN VIGILANCIA'!J16),"",'RESUMEN VIGILANCIA'!J16)</f>
        <v>0.26</v>
      </c>
      <c r="L61" s="186">
        <f>IF(ISBLANK('RESUMEN VIGILANCIA'!K16),"",'RESUMEN VIGILANCIA'!K16)</f>
        <v>0.35</v>
      </c>
      <c r="M61" s="179">
        <f>IF(ISBLANK('RESUMEN VIGILANCIA'!L16),"",'RESUMEN VIGILANCIA'!L16)</f>
        <v>0.35</v>
      </c>
      <c r="N61" s="179">
        <f>IF(ISBLANK('RESUMEN VIGILANCIA'!M16),"",'RESUMEN VIGILANCIA'!M16)</f>
        <v>0.35</v>
      </c>
      <c r="O61" s="179">
        <f>IF(ISBLANK('RESUMEN VIGILANCIA'!N16),"",'RESUMEN VIGILANCIA'!N16)</f>
        <v>0.35</v>
      </c>
      <c r="P61" s="268">
        <f>IF(ISBLANK('RESUMEN VIGILANCIA'!O16),"",'RESUMEN VIGILANCIA'!O16)</f>
        <v>0.5</v>
      </c>
      <c r="Q61" s="177">
        <f>IF(ISBLANK('RESUMEN VIGILANCIA'!P16),"",'RESUMEN VIGILANCIA'!P16)</f>
        <v>0.5</v>
      </c>
      <c r="R61" s="269">
        <f>IF(ISBLANK('RESUMEN VIGILANCIA'!Q16),"",'RESUMEN VIGILANCIA'!Q16)</f>
        <v>0.8</v>
      </c>
      <c r="S61" s="268">
        <f>IF(ISBLANK('RESUMEN VIGILANCIA'!R16),"",'RESUMEN VIGILANCIA'!R16)</f>
        <v>0.8</v>
      </c>
      <c r="T61" s="268">
        <f>IF(ISBLANK('RESUMEN VIGILANCIA'!S16),"",'RESUMEN VIGILANCIA'!S16)</f>
        <v>1.4</v>
      </c>
      <c r="U61" s="268">
        <f>IF(ISBLANK('RESUMEN VIGILANCIA'!T16),"",'RESUMEN VIGILANCIA'!T16)</f>
        <v>1.4</v>
      </c>
      <c r="V61" s="268">
        <f>IF(ISBLANK('RESUMEN VIGILANCIA'!U16),"",'RESUMEN VIGILANCIA'!U16)</f>
        <v>4</v>
      </c>
      <c r="W61" s="268">
        <f>IF(ISBLANK('RESUMEN VIGILANCIA'!V16),"",'RESUMEN VIGILANCIA'!V16)</f>
        <v>6.25</v>
      </c>
      <c r="X61" s="268">
        <f>IF(ISBLANK('RESUMEN VIGILANCIA'!W16),"",'RESUMEN VIGILANCIA'!W16)</f>
        <v>10</v>
      </c>
      <c r="Y61" s="268">
        <f>IF(ISBLANK('RESUMEN VIGILANCIA'!X16),"",'RESUMEN VIGILANCIA'!X16)</f>
        <v>12</v>
      </c>
      <c r="Z61" s="453">
        <f>IF(ISBLANK('RESUMEN VIGILANCIA'!Y16),"",'RESUMEN VIGILANCIA'!Y16)</f>
        <v>320</v>
      </c>
      <c r="AA61" s="453">
        <f>IF(ISBLANK('RESUMEN VIGILANCIA'!Z16),"",'RESUMEN VIGILANCIA'!Z16)</f>
        <v>320</v>
      </c>
      <c r="AB61" s="453">
        <f>IF(ISBLANK('RESUMEN VIGILANCIA'!AA16),"",'RESUMEN VIGILANCIA'!AA16)</f>
        <v>320</v>
      </c>
      <c r="AC61" s="454">
        <f>IF(ISBLANK('RESUMEN VIGILANCIA'!AB16),"",'RESUMEN VIGILANCIA'!AB16)</f>
        <v>800</v>
      </c>
      <c r="AD61" s="374">
        <f>IF(ISBLANK('RESUMEN VIGILANCIA'!AC16),"",'RESUMEN VIGILANCIA'!AC16)</f>
        <v>3000</v>
      </c>
      <c r="AE61" s="375">
        <f>IF(ISBLANK('RESUMEN VIGILANCIA'!AD16),"",'RESUMEN VIGILANCIA'!AD16)</f>
        <v>3000</v>
      </c>
      <c r="AF61" s="375">
        <f>IF(ISBLANK('RESUMEN VIGILANCIA'!AE16),"",'RESUMEN VIGILANCIA'!AE16)</f>
        <v>3000</v>
      </c>
      <c r="AG61" s="375">
        <f>IF(ISBLANK('RESUMEN VIGILANCIA'!AF16),"",'RESUMEN VIGILANCIA'!AF16)</f>
        <v>5000</v>
      </c>
      <c r="AH61" s="375">
        <f>IF(ISBLANK('RESUMEN VIGILANCIA'!AG16),"",'RESUMEN VIGILANCIA'!AG16)</f>
        <v>8000</v>
      </c>
      <c r="AI61" s="375">
        <f>IF(ISBLANK('RESUMEN VIGILANCIA'!AH16),"",'RESUMEN VIGILANCIA'!AH16)</f>
        <v>8000</v>
      </c>
      <c r="AJ61" s="375">
        <f>IF(ISBLANK('RESUMEN VIGILANCIA'!AI16),"",'RESUMEN VIGILANCIA'!AI16)</f>
        <v>10000</v>
      </c>
      <c r="AK61" s="375">
        <f>IF(ISBLANK('RESUMEN VIGILANCIA'!AJ16),"",'RESUMEN VIGILANCIA'!AJ16)</f>
        <v>10000</v>
      </c>
      <c r="AL61" s="375">
        <f>IF(ISBLANK('RESUMEN VIGILANCIA'!AK16),"",'RESUMEN VIGILANCIA'!AK16)</f>
        <v>20300</v>
      </c>
      <c r="AM61" s="375">
        <f>IF(ISBLANK('RESUMEN VIGILANCIA'!AL16),"",'RESUMEN VIGILANCIA'!AL16)</f>
        <v>64500</v>
      </c>
      <c r="AN61" s="375">
        <f>IF(ISBLANK('RESUMEN VIGILANCIA'!AM16),"",'RESUMEN VIGILANCIA'!AM16)</f>
        <v>105250</v>
      </c>
      <c r="AO61" s="376">
        <f>IF(ISBLANK('RESUMEN VIGILANCIA'!AN16),"",'RESUMEN VIGILANCIA'!AN16)</f>
        <v>105250</v>
      </c>
      <c r="AP61" s="374">
        <f>IF(ISBLANK('RESUMEN VIGILANCIA'!AO16),"",'RESUMEN VIGILANCIA'!AO16)</f>
        <v>136250</v>
      </c>
      <c r="AQ61" s="375">
        <f>IF(ISBLANK('RESUMEN VIGILANCIA'!AP16),"",'RESUMEN VIGILANCIA'!AP16)</f>
        <v>185250</v>
      </c>
      <c r="AR61" s="375">
        <f>IF(ISBLANK('RESUMEN VIGILANCIA'!AQ16),"",'RESUMEN VIGILANCIA'!AQ16)</f>
        <v>185250</v>
      </c>
      <c r="AS61" s="375">
        <f>IF(ISBLANK('RESUMEN VIGILANCIA'!AR16),"",'RESUMEN VIGILANCIA'!AR16)</f>
        <v>250000</v>
      </c>
      <c r="AT61" s="375">
        <f>IF(ISBLANK('RESUMEN VIGILANCIA'!AS16),"",'RESUMEN VIGILANCIA'!AS16)</f>
        <v>250000</v>
      </c>
      <c r="AU61" s="375" t="str">
        <f>IF(ISBLANK('RESUMEN VIGILANCIA'!AT16),"",'RESUMEN VIGILANCIA'!AT16)</f>
        <v/>
      </c>
      <c r="AV61" s="375" t="str">
        <f>IF(ISBLANK('RESUMEN VIGILANCIA'!AU16),"",'RESUMEN VIGILANCIA'!AU16)</f>
        <v/>
      </c>
      <c r="AW61" s="375" t="str">
        <f>IF(ISBLANK('RESUMEN VIGILANCIA'!AV16),"",'RESUMEN VIGILANCIA'!AV16)</f>
        <v/>
      </c>
      <c r="AX61" s="375" t="str">
        <f>IF(ISBLANK('RESUMEN VIGILANCIA'!AW16),"",'RESUMEN VIGILANCIA'!AW16)</f>
        <v/>
      </c>
      <c r="AY61" s="375" t="str">
        <f>IF(ISBLANK('RESUMEN VIGILANCIA'!AX16),"",'RESUMEN VIGILANCIA'!AX16)</f>
        <v/>
      </c>
      <c r="AZ61" s="375" t="str">
        <f>IF(ISBLANK('RESUMEN VIGILANCIA'!AY16),"",'RESUMEN VIGILANCIA'!AY16)</f>
        <v/>
      </c>
      <c r="BA61" s="376" t="str">
        <f>IF(ISBLANK('RESUMEN VIGILANCIA'!AZ16),"",'RESUMEN VIGILANCIA'!AZ16)</f>
        <v/>
      </c>
      <c r="BB61" s="240">
        <f t="shared" si="2"/>
        <v>347100.12</v>
      </c>
      <c r="BC61" s="110"/>
      <c r="BD61" s="110"/>
    </row>
    <row r="62" spans="1:56" s="28" customFormat="1" ht="20.100000000000001" customHeight="1">
      <c r="A62" s="29" t="str">
        <f>'RESUMEN VIGILANCIA'!A9</f>
        <v>Judith Lazo</v>
      </c>
      <c r="B62" s="30" t="str">
        <f>'RESUMEN VIGILANCIA'!B9</f>
        <v>Av. "M" Nro. 146-25</v>
      </c>
      <c r="C62" s="427" t="s">
        <v>1360</v>
      </c>
      <c r="D62" s="434"/>
      <c r="E62" s="415" t="str">
        <f>IF(ISBLANK('RESUMEN VIGILANCIA'!D9),"",'RESUMEN VIGILANCIA'!D9)</f>
        <v/>
      </c>
      <c r="F62" s="267" t="str">
        <f>IF(ISBLANK('RESUMEN VIGILANCIA'!E9),"",'RESUMEN VIGILANCIA'!E9)</f>
        <v/>
      </c>
      <c r="G62" s="179" t="str">
        <f>IF(ISBLANK('RESUMEN VIGILANCIA'!F9),"",'RESUMEN VIGILANCIA'!F9)</f>
        <v/>
      </c>
      <c r="H62" s="179" t="str">
        <f>IF(ISBLANK('RESUMEN VIGILANCIA'!G9),"",'RESUMEN VIGILANCIA'!G9)</f>
        <v/>
      </c>
      <c r="I62" s="179" t="str">
        <f>IF(ISBLANK('RESUMEN VIGILANCIA'!H9),"",'RESUMEN VIGILANCIA'!H9)</f>
        <v/>
      </c>
      <c r="J62" s="179" t="str">
        <f>IF(ISBLANK('RESUMEN VIGILANCIA'!I9),"",'RESUMEN VIGILANCIA'!I9)</f>
        <v/>
      </c>
      <c r="K62" s="179" t="str">
        <f>IF(ISBLANK('RESUMEN VIGILANCIA'!J9),"",'RESUMEN VIGILANCIA'!J9)</f>
        <v/>
      </c>
      <c r="L62" s="179" t="str">
        <f>IF(ISBLANK('RESUMEN VIGILANCIA'!K9),"",'RESUMEN VIGILANCIA'!K9)</f>
        <v/>
      </c>
      <c r="M62" s="179" t="str">
        <f>IF(ISBLANK('RESUMEN VIGILANCIA'!L9),"",'RESUMEN VIGILANCIA'!L9)</f>
        <v/>
      </c>
      <c r="N62" s="179" t="str">
        <f>IF(ISBLANK('RESUMEN VIGILANCIA'!M9),"",'RESUMEN VIGILANCIA'!M9)</f>
        <v/>
      </c>
      <c r="O62" s="179" t="str">
        <f>IF(ISBLANK('RESUMEN VIGILANCIA'!N9),"",'RESUMEN VIGILANCIA'!N9)</f>
        <v/>
      </c>
      <c r="P62" s="268" t="str">
        <f>IF(ISBLANK('RESUMEN VIGILANCIA'!O9),"",'RESUMEN VIGILANCIA'!O9)</f>
        <v/>
      </c>
      <c r="Q62" s="177" t="str">
        <f>IF(ISBLANK('RESUMEN VIGILANCIA'!P9),"",'RESUMEN VIGILANCIA'!P9)</f>
        <v/>
      </c>
      <c r="R62" s="269" t="str">
        <f>IF(ISBLANK('RESUMEN VIGILANCIA'!Q9),"",'RESUMEN VIGILANCIA'!Q9)</f>
        <v/>
      </c>
      <c r="S62" s="268" t="str">
        <f>IF(ISBLANK('RESUMEN VIGILANCIA'!R9),"",'RESUMEN VIGILANCIA'!R9)</f>
        <v/>
      </c>
      <c r="T62" s="268" t="str">
        <f>IF(ISBLANK('RESUMEN VIGILANCIA'!S9),"",'RESUMEN VIGILANCIA'!S9)</f>
        <v/>
      </c>
      <c r="U62" s="268" t="str">
        <f>IF(ISBLANK('RESUMEN VIGILANCIA'!T9),"",'RESUMEN VIGILANCIA'!T9)</f>
        <v/>
      </c>
      <c r="V62" s="268" t="str">
        <f>IF(ISBLANK('RESUMEN VIGILANCIA'!U9),"",'RESUMEN VIGILANCIA'!U9)</f>
        <v/>
      </c>
      <c r="W62" s="268" t="str">
        <f>IF(ISBLANK('RESUMEN VIGILANCIA'!V9),"",'RESUMEN VIGILANCIA'!V9)</f>
        <v/>
      </c>
      <c r="X62" s="268" t="str">
        <f>IF(ISBLANK('RESUMEN VIGILANCIA'!W9),"",'RESUMEN VIGILANCIA'!W9)</f>
        <v/>
      </c>
      <c r="Y62" s="268" t="str">
        <f>IF(ISBLANK('RESUMEN VIGILANCIA'!X9),"",'RESUMEN VIGILANCIA'!X9)</f>
        <v/>
      </c>
      <c r="Z62" s="453" t="str">
        <f>IF(ISBLANK('RESUMEN VIGILANCIA'!Y9),"",'RESUMEN VIGILANCIA'!Y9)</f>
        <v/>
      </c>
      <c r="AA62" s="453" t="str">
        <f>IF(ISBLANK('RESUMEN VIGILANCIA'!Z9),"",'RESUMEN VIGILANCIA'!Z9)</f>
        <v/>
      </c>
      <c r="AB62" s="453" t="str">
        <f>IF(ISBLANK('RESUMEN VIGILANCIA'!AA9),"",'RESUMEN VIGILANCIA'!AA9)</f>
        <v/>
      </c>
      <c r="AC62" s="454" t="str">
        <f>IF(ISBLANK('RESUMEN VIGILANCIA'!AB9),"",'RESUMEN VIGILANCIA'!AB9)</f>
        <v/>
      </c>
      <c r="AD62" s="374" t="str">
        <f>IF(ISBLANK('RESUMEN VIGILANCIA'!AC9),"",'RESUMEN VIGILANCIA'!AC9)</f>
        <v/>
      </c>
      <c r="AE62" s="375" t="str">
        <f>IF(ISBLANK('RESUMEN VIGILANCIA'!AD9),"",'RESUMEN VIGILANCIA'!AD9)</f>
        <v/>
      </c>
      <c r="AF62" s="375" t="str">
        <f>IF(ISBLANK('RESUMEN VIGILANCIA'!AE9),"",'RESUMEN VIGILANCIA'!AE9)</f>
        <v/>
      </c>
      <c r="AG62" s="375" t="str">
        <f>IF(ISBLANK('RESUMEN VIGILANCIA'!AF9),"",'RESUMEN VIGILANCIA'!AF9)</f>
        <v/>
      </c>
      <c r="AH62" s="375" t="str">
        <f>IF(ISBLANK('RESUMEN VIGILANCIA'!AG9),"",'RESUMEN VIGILANCIA'!AG9)</f>
        <v/>
      </c>
      <c r="AI62" s="375" t="str">
        <f>IF(ISBLANK('RESUMEN VIGILANCIA'!AH9),"",'RESUMEN VIGILANCIA'!AH9)</f>
        <v/>
      </c>
      <c r="AJ62" s="375" t="str">
        <f>IF(ISBLANK('RESUMEN VIGILANCIA'!AI9),"",'RESUMEN VIGILANCIA'!AI9)</f>
        <v/>
      </c>
      <c r="AK62" s="375" t="str">
        <f>IF(ISBLANK('RESUMEN VIGILANCIA'!AJ9),"",'RESUMEN VIGILANCIA'!AJ9)</f>
        <v/>
      </c>
      <c r="AL62" s="375" t="str">
        <f>IF(ISBLANK('RESUMEN VIGILANCIA'!AK9),"",'RESUMEN VIGILANCIA'!AK9)</f>
        <v/>
      </c>
      <c r="AM62" s="375" t="str">
        <f>IF(ISBLANK('RESUMEN VIGILANCIA'!AL9),"",'RESUMEN VIGILANCIA'!AL9)</f>
        <v/>
      </c>
      <c r="AN62" s="375" t="str">
        <f>IF(ISBLANK('RESUMEN VIGILANCIA'!AM9),"",'RESUMEN VIGILANCIA'!AM9)</f>
        <v/>
      </c>
      <c r="AO62" s="376" t="str">
        <f>IF(ISBLANK('RESUMEN VIGILANCIA'!AN9),"",'RESUMEN VIGILANCIA'!AN9)</f>
        <v/>
      </c>
      <c r="AP62" s="374" t="str">
        <f>IF(ISBLANK('RESUMEN VIGILANCIA'!AO9),"",'RESUMEN VIGILANCIA'!AO9)</f>
        <v/>
      </c>
      <c r="AQ62" s="375" t="str">
        <f>IF(ISBLANK('RESUMEN VIGILANCIA'!AP9),"",'RESUMEN VIGILANCIA'!AP9)</f>
        <v/>
      </c>
      <c r="AR62" s="375" t="str">
        <f>IF(ISBLANK('RESUMEN VIGILANCIA'!AQ9),"",'RESUMEN VIGILANCIA'!AQ9)</f>
        <v/>
      </c>
      <c r="AS62" s="375" t="str">
        <f>IF(ISBLANK('RESUMEN VIGILANCIA'!AR9),"",'RESUMEN VIGILANCIA'!AR9)</f>
        <v/>
      </c>
      <c r="AT62" s="375" t="str">
        <f>IF(ISBLANK('RESUMEN VIGILANCIA'!AS9),"",'RESUMEN VIGILANCIA'!AS9)</f>
        <v/>
      </c>
      <c r="AU62" s="375" t="str">
        <f>IF(ISBLANK('RESUMEN VIGILANCIA'!AT9),"",'RESUMEN VIGILANCIA'!AT9)</f>
        <v/>
      </c>
      <c r="AV62" s="375" t="str">
        <f>IF(ISBLANK('RESUMEN VIGILANCIA'!AU9),"",'RESUMEN VIGILANCIA'!AU9)</f>
        <v/>
      </c>
      <c r="AW62" s="375" t="str">
        <f>IF(ISBLANK('RESUMEN VIGILANCIA'!AV9),"",'RESUMEN VIGILANCIA'!AV9)</f>
        <v/>
      </c>
      <c r="AX62" s="375" t="str">
        <f>IF(ISBLANK('RESUMEN VIGILANCIA'!AW9),"",'RESUMEN VIGILANCIA'!AW9)</f>
        <v/>
      </c>
      <c r="AY62" s="375" t="str">
        <f>IF(ISBLANK('RESUMEN VIGILANCIA'!AX9),"",'RESUMEN VIGILANCIA'!AX9)</f>
        <v/>
      </c>
      <c r="AZ62" s="375" t="str">
        <f>IF(ISBLANK('RESUMEN VIGILANCIA'!AY9),"",'RESUMEN VIGILANCIA'!AY9)</f>
        <v/>
      </c>
      <c r="BA62" s="376" t="str">
        <f>IF(ISBLANK('RESUMEN VIGILANCIA'!AZ9),"",'RESUMEN VIGILANCIA'!AZ9)</f>
        <v/>
      </c>
      <c r="BB62" s="240">
        <f t="shared" si="2"/>
        <v>0</v>
      </c>
      <c r="BC62" s="110"/>
      <c r="BD62" s="110"/>
    </row>
    <row r="63" spans="1:56" s="28" customFormat="1" ht="20.100000000000001" customHeight="1">
      <c r="A63" s="29" t="str">
        <f>'RESUMEN VIGILANCIA'!A7</f>
        <v>Familia Barreto Pérez</v>
      </c>
      <c r="B63" s="30" t="str">
        <f>'RESUMEN VIGILANCIA'!B7</f>
        <v>Av. "M" Nro. 146-15</v>
      </c>
      <c r="C63" s="427" t="s">
        <v>1358</v>
      </c>
      <c r="D63" s="434" t="s">
        <v>1357</v>
      </c>
      <c r="E63" s="415" t="str">
        <f>IF(ISBLANK('RESUMEN VIGILANCIA'!D7),"",'RESUMEN VIGILANCIA'!D7)</f>
        <v/>
      </c>
      <c r="F63" s="267">
        <f>IF(ISBLANK('RESUMEN VIGILANCIA'!E7),"",'RESUMEN VIGILANCIA'!E7)</f>
        <v>0.16999999999999998</v>
      </c>
      <c r="G63" s="179">
        <f>IF(ISBLANK('RESUMEN VIGILANCIA'!F7),"",'RESUMEN VIGILANCIA'!F7)</f>
        <v>0.17</v>
      </c>
      <c r="H63" s="179">
        <f>IF(ISBLANK('RESUMEN VIGILANCIA'!G7),"",'RESUMEN VIGILANCIA'!G7)</f>
        <v>0.17</v>
      </c>
      <c r="I63" s="179">
        <f>IF(ISBLANK('RESUMEN VIGILANCIA'!H7),"",'RESUMEN VIGILANCIA'!H7)</f>
        <v>0.17</v>
      </c>
      <c r="J63" s="179">
        <f>IF(ISBLANK('RESUMEN VIGILANCIA'!I7),"",'RESUMEN VIGILANCIA'!I7)</f>
        <v>0.26</v>
      </c>
      <c r="K63" s="179">
        <f>IF(ISBLANK('RESUMEN VIGILANCIA'!J7),"",'RESUMEN VIGILANCIA'!J7)</f>
        <v>0.26</v>
      </c>
      <c r="L63" s="179">
        <f>IF(ISBLANK('RESUMEN VIGILANCIA'!K7),"",'RESUMEN VIGILANCIA'!K7)</f>
        <v>0.35</v>
      </c>
      <c r="M63" s="179">
        <f>IF(ISBLANK('RESUMEN VIGILANCIA'!L7),"",'RESUMEN VIGILANCIA'!L7)</f>
        <v>0.35</v>
      </c>
      <c r="N63" s="179">
        <f>IF(ISBLANK('RESUMEN VIGILANCIA'!M7),"",'RESUMEN VIGILANCIA'!M7)</f>
        <v>0.35</v>
      </c>
      <c r="O63" s="179">
        <f>IF(ISBLANK('RESUMEN VIGILANCIA'!N7),"",'RESUMEN VIGILANCIA'!N7)</f>
        <v>0.35</v>
      </c>
      <c r="P63" s="268">
        <f>IF(ISBLANK('RESUMEN VIGILANCIA'!O7),"",'RESUMEN VIGILANCIA'!O7)</f>
        <v>0.5</v>
      </c>
      <c r="Q63" s="177">
        <f>IF(ISBLANK('RESUMEN VIGILANCIA'!P7),"",'RESUMEN VIGILANCIA'!P7)</f>
        <v>0.5</v>
      </c>
      <c r="R63" s="269">
        <f>IF(ISBLANK('RESUMEN VIGILANCIA'!Q7),"",'RESUMEN VIGILANCIA'!Q7)</f>
        <v>0.8</v>
      </c>
      <c r="S63" s="268">
        <f>IF(ISBLANK('RESUMEN VIGILANCIA'!R7),"",'RESUMEN VIGILANCIA'!R7)</f>
        <v>0.8</v>
      </c>
      <c r="T63" s="268">
        <f>IF(ISBLANK('RESUMEN VIGILANCIA'!S7),"",'RESUMEN VIGILANCIA'!S7)</f>
        <v>1.4</v>
      </c>
      <c r="U63" s="268">
        <f>IF(ISBLANK('RESUMEN VIGILANCIA'!T7),"",'RESUMEN VIGILANCIA'!T7)</f>
        <v>1.4</v>
      </c>
      <c r="V63" s="268">
        <f>IF(ISBLANK('RESUMEN VIGILANCIA'!U7),"",'RESUMEN VIGILANCIA'!U7)</f>
        <v>4</v>
      </c>
      <c r="W63" s="268">
        <f>IF(ISBLANK('RESUMEN VIGILANCIA'!V7),"",'RESUMEN VIGILANCIA'!V7)</f>
        <v>6.25</v>
      </c>
      <c r="X63" s="268">
        <f>IF(ISBLANK('RESUMEN VIGILANCIA'!W7),"",'RESUMEN VIGILANCIA'!W7)</f>
        <v>10</v>
      </c>
      <c r="Y63" s="268">
        <f>IF(ISBLANK('RESUMEN VIGILANCIA'!X7),"",'RESUMEN VIGILANCIA'!X7)</f>
        <v>12</v>
      </c>
      <c r="Z63" s="453">
        <f>IF(ISBLANK('RESUMEN VIGILANCIA'!Y7),"",'RESUMEN VIGILANCIA'!Y7)</f>
        <v>320</v>
      </c>
      <c r="AA63" s="453">
        <f>IF(ISBLANK('RESUMEN VIGILANCIA'!Z7),"",'RESUMEN VIGILANCIA'!Z7)</f>
        <v>320</v>
      </c>
      <c r="AB63" s="453">
        <f>IF(ISBLANK('RESUMEN VIGILANCIA'!AA7),"",'RESUMEN VIGILANCIA'!AA7)</f>
        <v>320</v>
      </c>
      <c r="AC63" s="454">
        <f>IF(ISBLANK('RESUMEN VIGILANCIA'!AB7),"",'RESUMEN VIGILANCIA'!AB7)</f>
        <v>800</v>
      </c>
      <c r="AD63" s="374">
        <f>IF(ISBLANK('RESUMEN VIGILANCIA'!AC7),"",'RESUMEN VIGILANCIA'!AC7)</f>
        <v>3000</v>
      </c>
      <c r="AE63" s="375">
        <f>IF(ISBLANK('RESUMEN VIGILANCIA'!AD7),"",'RESUMEN VIGILANCIA'!AD7)</f>
        <v>3000</v>
      </c>
      <c r="AF63" s="375">
        <f>IF(ISBLANK('RESUMEN VIGILANCIA'!AE7),"",'RESUMEN VIGILANCIA'!AE7)</f>
        <v>3000</v>
      </c>
      <c r="AG63" s="375">
        <f>IF(ISBLANK('RESUMEN VIGILANCIA'!AF7),"",'RESUMEN VIGILANCIA'!AF7)</f>
        <v>5000</v>
      </c>
      <c r="AH63" s="375">
        <f>IF(ISBLANK('RESUMEN VIGILANCIA'!AG7),"",'RESUMEN VIGILANCIA'!AG7)</f>
        <v>8000</v>
      </c>
      <c r="AI63" s="375">
        <f>IF(ISBLANK('RESUMEN VIGILANCIA'!AH7),"",'RESUMEN VIGILANCIA'!AH7)</f>
        <v>8000</v>
      </c>
      <c r="AJ63" s="375">
        <f>IF(ISBLANK('RESUMEN VIGILANCIA'!AI7),"",'RESUMEN VIGILANCIA'!AI7)</f>
        <v>10000</v>
      </c>
      <c r="AK63" s="375">
        <f>IF(ISBLANK('RESUMEN VIGILANCIA'!AJ7),"",'RESUMEN VIGILANCIA'!AJ7)</f>
        <v>10000</v>
      </c>
      <c r="AL63" s="375">
        <f>IF(ISBLANK('RESUMEN VIGILANCIA'!AK7),"",'RESUMEN VIGILANCIA'!AK7)</f>
        <v>22000</v>
      </c>
      <c r="AM63" s="375">
        <f>IF(ISBLANK('RESUMEN VIGILANCIA'!AL7),"",'RESUMEN VIGILANCIA'!AL7)</f>
        <v>47000</v>
      </c>
      <c r="AN63" s="375">
        <f>IF(ISBLANK('RESUMEN VIGILANCIA'!AM7),"",'RESUMEN VIGILANCIA'!AM7)</f>
        <v>51250</v>
      </c>
      <c r="AO63" s="376">
        <f>IF(ISBLANK('RESUMEN VIGILANCIA'!AN7),"",'RESUMEN VIGILANCIA'!AN7)</f>
        <v>81750</v>
      </c>
      <c r="AP63" s="374">
        <f>IF(ISBLANK('RESUMEN VIGILANCIA'!AO7),"",'RESUMEN VIGILANCIA'!AO7)</f>
        <v>136250</v>
      </c>
      <c r="AQ63" s="375">
        <f>IF(ISBLANK('RESUMEN VIGILANCIA'!AP7),"",'RESUMEN VIGILANCIA'!AP7)</f>
        <v>136250</v>
      </c>
      <c r="AR63" s="375">
        <f>IF(ISBLANK('RESUMEN VIGILANCIA'!AQ7),"",'RESUMEN VIGILANCIA'!AQ7)</f>
        <v>185250</v>
      </c>
      <c r="AS63" s="375">
        <f>IF(ISBLANK('RESUMEN VIGILANCIA'!AR7),"",'RESUMEN VIGILANCIA'!AR7)</f>
        <v>186250</v>
      </c>
      <c r="AT63" s="375">
        <f>IF(ISBLANK('RESUMEN VIGILANCIA'!AS7),"",'RESUMEN VIGILANCIA'!AS7)</f>
        <v>250000</v>
      </c>
      <c r="AU63" s="375">
        <f>IF(ISBLANK('RESUMEN VIGILANCIA'!AT7),"",'RESUMEN VIGILANCIA'!AT7)</f>
        <v>250000</v>
      </c>
      <c r="AV63" s="375" t="str">
        <f>IF(ISBLANK('RESUMEN VIGILANCIA'!AU7),"",'RESUMEN VIGILANCIA'!AU7)</f>
        <v/>
      </c>
      <c r="AW63" s="375" t="str">
        <f>IF(ISBLANK('RESUMEN VIGILANCIA'!AV7),"",'RESUMEN VIGILANCIA'!AV7)</f>
        <v/>
      </c>
      <c r="AX63" s="375" t="str">
        <f>IF(ISBLANK('RESUMEN VIGILANCIA'!AW7),"",'RESUMEN VIGILANCIA'!AW7)</f>
        <v/>
      </c>
      <c r="AY63" s="375" t="str">
        <f>IF(ISBLANK('RESUMEN VIGILANCIA'!AX7),"",'RESUMEN VIGILANCIA'!AX7)</f>
        <v/>
      </c>
      <c r="AZ63" s="375" t="str">
        <f>IF(ISBLANK('RESUMEN VIGILANCIA'!AY7),"",'RESUMEN VIGILANCIA'!AY7)</f>
        <v/>
      </c>
      <c r="BA63" s="376" t="str">
        <f>IF(ISBLANK('RESUMEN VIGILANCIA'!AZ7),"",'RESUMEN VIGILANCIA'!AZ7)</f>
        <v/>
      </c>
      <c r="BB63" s="240">
        <f t="shared" si="2"/>
        <v>253800.25</v>
      </c>
      <c r="BC63" s="110"/>
      <c r="BD63" s="110"/>
    </row>
    <row r="64" spans="1:56" s="28" customFormat="1" ht="20.100000000000001" customHeight="1">
      <c r="A64" s="29" t="str">
        <f>'RESUMEN VIGILANCIA'!A15</f>
        <v>Familia Coronel</v>
      </c>
      <c r="B64" s="30" t="str">
        <f>'RESUMEN VIGILANCIA'!B15</f>
        <v>Av. "O" Nro. 146-10</v>
      </c>
      <c r="C64" s="427" t="s">
        <v>1360</v>
      </c>
      <c r="D64" s="434"/>
      <c r="E64" s="415" t="str">
        <f>IF(ISBLANK('RESUMEN VIGILANCIA'!D15),"",'RESUMEN VIGILANCIA'!D15)</f>
        <v/>
      </c>
      <c r="F64" s="267" t="str">
        <f>IF(ISBLANK('RESUMEN VIGILANCIA'!E15),"",'RESUMEN VIGILANCIA'!E15)</f>
        <v/>
      </c>
      <c r="G64" s="179" t="str">
        <f>IF(ISBLANK('RESUMEN VIGILANCIA'!F15),"",'RESUMEN VIGILANCIA'!F15)</f>
        <v/>
      </c>
      <c r="H64" s="179" t="str">
        <f>IF(ISBLANK('RESUMEN VIGILANCIA'!G15),"",'RESUMEN VIGILANCIA'!G15)</f>
        <v/>
      </c>
      <c r="I64" s="179" t="str">
        <f>IF(ISBLANK('RESUMEN VIGILANCIA'!H15),"",'RESUMEN VIGILANCIA'!H15)</f>
        <v/>
      </c>
      <c r="J64" s="179" t="str">
        <f>IF(ISBLANK('RESUMEN VIGILANCIA'!I15),"",'RESUMEN VIGILANCIA'!I15)</f>
        <v/>
      </c>
      <c r="K64" s="179" t="str">
        <f>IF(ISBLANK('RESUMEN VIGILANCIA'!J15),"",'RESUMEN VIGILANCIA'!J15)</f>
        <v/>
      </c>
      <c r="L64" s="179" t="str">
        <f>IF(ISBLANK('RESUMEN VIGILANCIA'!K15),"",'RESUMEN VIGILANCIA'!K15)</f>
        <v/>
      </c>
      <c r="M64" s="179" t="str">
        <f>IF(ISBLANK('RESUMEN VIGILANCIA'!L15),"",'RESUMEN VIGILANCIA'!L15)</f>
        <v/>
      </c>
      <c r="N64" s="179" t="str">
        <f>IF(ISBLANK('RESUMEN VIGILANCIA'!M15),"",'RESUMEN VIGILANCIA'!M15)</f>
        <v/>
      </c>
      <c r="O64" s="179" t="str">
        <f>IF(ISBLANK('RESUMEN VIGILANCIA'!N15),"",'RESUMEN VIGILANCIA'!N15)</f>
        <v/>
      </c>
      <c r="P64" s="268" t="str">
        <f>IF(ISBLANK('RESUMEN VIGILANCIA'!O15),"",'RESUMEN VIGILANCIA'!O15)</f>
        <v/>
      </c>
      <c r="Q64" s="177" t="str">
        <f>IF(ISBLANK('RESUMEN VIGILANCIA'!P15),"",'RESUMEN VIGILANCIA'!P15)</f>
        <v/>
      </c>
      <c r="R64" s="269" t="str">
        <f>IF(ISBLANK('RESUMEN VIGILANCIA'!Q15),"",'RESUMEN VIGILANCIA'!Q15)</f>
        <v/>
      </c>
      <c r="S64" s="268" t="str">
        <f>IF(ISBLANK('RESUMEN VIGILANCIA'!R15),"",'RESUMEN VIGILANCIA'!R15)</f>
        <v/>
      </c>
      <c r="T64" s="268" t="str">
        <f>IF(ISBLANK('RESUMEN VIGILANCIA'!S15),"",'RESUMEN VIGILANCIA'!S15)</f>
        <v/>
      </c>
      <c r="U64" s="268" t="str">
        <f>IF(ISBLANK('RESUMEN VIGILANCIA'!T15),"",'RESUMEN VIGILANCIA'!T15)</f>
        <v/>
      </c>
      <c r="V64" s="268" t="str">
        <f>IF(ISBLANK('RESUMEN VIGILANCIA'!U15),"",'RESUMEN VIGILANCIA'!U15)</f>
        <v/>
      </c>
      <c r="W64" s="268" t="str">
        <f>IF(ISBLANK('RESUMEN VIGILANCIA'!V15),"",'RESUMEN VIGILANCIA'!V15)</f>
        <v/>
      </c>
      <c r="X64" s="268" t="str">
        <f>IF(ISBLANK('RESUMEN VIGILANCIA'!W15),"",'RESUMEN VIGILANCIA'!W15)</f>
        <v/>
      </c>
      <c r="Y64" s="268" t="str">
        <f>IF(ISBLANK('RESUMEN VIGILANCIA'!X15),"",'RESUMEN VIGILANCIA'!X15)</f>
        <v/>
      </c>
      <c r="Z64" s="453" t="str">
        <f>IF(ISBLANK('RESUMEN VIGILANCIA'!Y15),"",'RESUMEN VIGILANCIA'!Y15)</f>
        <v/>
      </c>
      <c r="AA64" s="453" t="str">
        <f>IF(ISBLANK('RESUMEN VIGILANCIA'!Z15),"",'RESUMEN VIGILANCIA'!Z15)</f>
        <v/>
      </c>
      <c r="AB64" s="453" t="str">
        <f>IF(ISBLANK('RESUMEN VIGILANCIA'!AA15),"",'RESUMEN VIGILANCIA'!AA15)</f>
        <v/>
      </c>
      <c r="AC64" s="454" t="str">
        <f>IF(ISBLANK('RESUMEN VIGILANCIA'!AB15),"",'RESUMEN VIGILANCIA'!AB15)</f>
        <v/>
      </c>
      <c r="AD64" s="374" t="str">
        <f>IF(ISBLANK('RESUMEN VIGILANCIA'!AC15),"",'RESUMEN VIGILANCIA'!AC15)</f>
        <v/>
      </c>
      <c r="AE64" s="375" t="str">
        <f>IF(ISBLANK('RESUMEN VIGILANCIA'!AD15),"",'RESUMEN VIGILANCIA'!AD15)</f>
        <v/>
      </c>
      <c r="AF64" s="375" t="str">
        <f>IF(ISBLANK('RESUMEN VIGILANCIA'!AE15),"",'RESUMEN VIGILANCIA'!AE15)</f>
        <v/>
      </c>
      <c r="AG64" s="375" t="str">
        <f>IF(ISBLANK('RESUMEN VIGILANCIA'!AF15),"",'RESUMEN VIGILANCIA'!AF15)</f>
        <v/>
      </c>
      <c r="AH64" s="375" t="str">
        <f>IF(ISBLANK('RESUMEN VIGILANCIA'!AG15),"",'RESUMEN VIGILANCIA'!AG15)</f>
        <v/>
      </c>
      <c r="AI64" s="375" t="str">
        <f>IF(ISBLANK('RESUMEN VIGILANCIA'!AH15),"",'RESUMEN VIGILANCIA'!AH15)</f>
        <v/>
      </c>
      <c r="AJ64" s="375" t="str">
        <f>IF(ISBLANK('RESUMEN VIGILANCIA'!AI15),"",'RESUMEN VIGILANCIA'!AI15)</f>
        <v/>
      </c>
      <c r="AK64" s="375" t="str">
        <f>IF(ISBLANK('RESUMEN VIGILANCIA'!AJ15),"",'RESUMEN VIGILANCIA'!AJ15)</f>
        <v/>
      </c>
      <c r="AL64" s="375" t="str">
        <f>IF(ISBLANK('RESUMEN VIGILANCIA'!AK15),"",'RESUMEN VIGILANCIA'!AK15)</f>
        <v/>
      </c>
      <c r="AM64" s="375" t="str">
        <f>IF(ISBLANK('RESUMEN VIGILANCIA'!AL15),"",'RESUMEN VIGILANCIA'!AL15)</f>
        <v/>
      </c>
      <c r="AN64" s="375" t="str">
        <f>IF(ISBLANK('RESUMEN VIGILANCIA'!AM15),"",'RESUMEN VIGILANCIA'!AM15)</f>
        <v/>
      </c>
      <c r="AO64" s="376" t="str">
        <f>IF(ISBLANK('RESUMEN VIGILANCIA'!AN15),"",'RESUMEN VIGILANCIA'!AN15)</f>
        <v/>
      </c>
      <c r="AP64" s="374" t="str">
        <f>IF(ISBLANK('RESUMEN VIGILANCIA'!AO15),"",'RESUMEN VIGILANCIA'!AO15)</f>
        <v/>
      </c>
      <c r="AQ64" s="375" t="str">
        <f>IF(ISBLANK('RESUMEN VIGILANCIA'!AP15),"",'RESUMEN VIGILANCIA'!AP15)</f>
        <v/>
      </c>
      <c r="AR64" s="375" t="str">
        <f>IF(ISBLANK('RESUMEN VIGILANCIA'!AQ15),"",'RESUMEN VIGILANCIA'!AQ15)</f>
        <v/>
      </c>
      <c r="AS64" s="375" t="str">
        <f>IF(ISBLANK('RESUMEN VIGILANCIA'!AR15),"",'RESUMEN VIGILANCIA'!AR15)</f>
        <v/>
      </c>
      <c r="AT64" s="375" t="str">
        <f>IF(ISBLANK('RESUMEN VIGILANCIA'!AS15),"",'RESUMEN VIGILANCIA'!AS15)</f>
        <v/>
      </c>
      <c r="AU64" s="375" t="str">
        <f>IF(ISBLANK('RESUMEN VIGILANCIA'!AT15),"",'RESUMEN VIGILANCIA'!AT15)</f>
        <v/>
      </c>
      <c r="AV64" s="375" t="str">
        <f>IF(ISBLANK('RESUMEN VIGILANCIA'!AU15),"",'RESUMEN VIGILANCIA'!AU15)</f>
        <v/>
      </c>
      <c r="AW64" s="375" t="str">
        <f>IF(ISBLANK('RESUMEN VIGILANCIA'!AV15),"",'RESUMEN VIGILANCIA'!AV15)</f>
        <v/>
      </c>
      <c r="AX64" s="375" t="str">
        <f>IF(ISBLANK('RESUMEN VIGILANCIA'!AW15),"",'RESUMEN VIGILANCIA'!AW15)</f>
        <v/>
      </c>
      <c r="AY64" s="375" t="str">
        <f>IF(ISBLANK('RESUMEN VIGILANCIA'!AX15),"",'RESUMEN VIGILANCIA'!AX15)</f>
        <v/>
      </c>
      <c r="AZ64" s="375" t="str">
        <f>IF(ISBLANK('RESUMEN VIGILANCIA'!AY15),"",'RESUMEN VIGILANCIA'!AY15)</f>
        <v/>
      </c>
      <c r="BA64" s="376" t="str">
        <f>IF(ISBLANK('RESUMEN VIGILANCIA'!AZ15),"",'RESUMEN VIGILANCIA'!AZ15)</f>
        <v/>
      </c>
      <c r="BB64" s="240">
        <f t="shared" si="2"/>
        <v>0</v>
      </c>
      <c r="BC64" s="110"/>
      <c r="BD64" s="110"/>
    </row>
    <row r="65" spans="1:56" s="28" customFormat="1" ht="20.100000000000001" customHeight="1">
      <c r="A65" s="29" t="str">
        <f>'RESUMEN VIGILANCIA'!A2</f>
        <v>Familia Scabuzzo Gómez</v>
      </c>
      <c r="B65" s="30" t="str">
        <f>'RESUMEN VIGILANCIA'!B2</f>
        <v>Av. "I" Nro. 146-20</v>
      </c>
      <c r="C65" s="427" t="s">
        <v>1358</v>
      </c>
      <c r="D65" s="434"/>
      <c r="E65" s="415" t="str">
        <f>IF(ISBLANK('RESUMEN VIGILANCIA'!D2),"",'RESUMEN VIGILANCIA'!D2)</f>
        <v/>
      </c>
      <c r="F65" s="267">
        <f>IF(ISBLANK('RESUMEN VIGILANCIA'!E2),"",'RESUMEN VIGILANCIA'!E2)</f>
        <v>0.17</v>
      </c>
      <c r="G65" s="179">
        <f>IF(ISBLANK('RESUMEN VIGILANCIA'!F2),"",'RESUMEN VIGILANCIA'!F2)</f>
        <v>0.17</v>
      </c>
      <c r="H65" s="179">
        <f>IF(ISBLANK('RESUMEN VIGILANCIA'!G2),"",'RESUMEN VIGILANCIA'!G2)</f>
        <v>0.17</v>
      </c>
      <c r="I65" s="179">
        <f>IF(ISBLANK('RESUMEN VIGILANCIA'!H2),"",'RESUMEN VIGILANCIA'!H2)</f>
        <v>0.17</v>
      </c>
      <c r="J65" s="180">
        <f>IF(ISBLANK('RESUMEN VIGILANCIA'!I2),"",'RESUMEN VIGILANCIA'!I2)</f>
        <v>0.17</v>
      </c>
      <c r="K65" s="179">
        <f>IF(ISBLANK('RESUMEN VIGILANCIA'!J2),"",'RESUMEN VIGILANCIA'!J2)</f>
        <v>0.26</v>
      </c>
      <c r="L65" s="179">
        <f>IF(ISBLANK('RESUMEN VIGILANCIA'!K2),"",'RESUMEN VIGILANCIA'!K2)</f>
        <v>0.35</v>
      </c>
      <c r="M65" s="179">
        <f>IF(ISBLANK('RESUMEN VIGILANCIA'!L2),"",'RESUMEN VIGILANCIA'!L2)</f>
        <v>0.35</v>
      </c>
      <c r="N65" s="179">
        <f>IF(ISBLANK('RESUMEN VIGILANCIA'!M2),"",'RESUMEN VIGILANCIA'!M2)</f>
        <v>0.35</v>
      </c>
      <c r="O65" s="179">
        <f>IF(ISBLANK('RESUMEN VIGILANCIA'!N2),"",'RESUMEN VIGILANCIA'!N2)</f>
        <v>0.35</v>
      </c>
      <c r="P65" s="268">
        <f>IF(ISBLANK('RESUMEN VIGILANCIA'!O2),"",'RESUMEN VIGILANCIA'!O2)</f>
        <v>0.5</v>
      </c>
      <c r="Q65" s="177">
        <f>IF(ISBLANK('RESUMEN VIGILANCIA'!P2),"",'RESUMEN VIGILANCIA'!P2)</f>
        <v>0.5</v>
      </c>
      <c r="R65" s="269">
        <f>IF(ISBLANK('RESUMEN VIGILANCIA'!Q2),"",'RESUMEN VIGILANCIA'!Q2)</f>
        <v>0.8</v>
      </c>
      <c r="S65" s="268">
        <f>IF(ISBLANK('RESUMEN VIGILANCIA'!R2),"",'RESUMEN VIGILANCIA'!R2)</f>
        <v>0.8</v>
      </c>
      <c r="T65" s="268">
        <f>IF(ISBLANK('RESUMEN VIGILANCIA'!S2),"",'RESUMEN VIGILANCIA'!S2)</f>
        <v>1.4</v>
      </c>
      <c r="U65" s="268">
        <f>IF(ISBLANK('RESUMEN VIGILANCIA'!T2),"",'RESUMEN VIGILANCIA'!T2)</f>
        <v>1.4</v>
      </c>
      <c r="V65" s="268">
        <f>IF(ISBLANK('RESUMEN VIGILANCIA'!U2),"",'RESUMEN VIGILANCIA'!U2)</f>
        <v>4</v>
      </c>
      <c r="W65" s="268">
        <f>IF(ISBLANK('RESUMEN VIGILANCIA'!V2),"",'RESUMEN VIGILANCIA'!V2)</f>
        <v>6.25</v>
      </c>
      <c r="X65" s="268">
        <f>IF(ISBLANK('RESUMEN VIGILANCIA'!W2),"",'RESUMEN VIGILANCIA'!W2)</f>
        <v>10</v>
      </c>
      <c r="Y65" s="268">
        <f>IF(ISBLANK('RESUMEN VIGILANCIA'!X2),"",'RESUMEN VIGILANCIA'!X2)</f>
        <v>12</v>
      </c>
      <c r="Z65" s="453">
        <f>IF(ISBLANK('RESUMEN VIGILANCIA'!Y2),"",'RESUMEN VIGILANCIA'!Y2)</f>
        <v>320</v>
      </c>
      <c r="AA65" s="453">
        <f>IF(ISBLANK('RESUMEN VIGILANCIA'!Z2),"",'RESUMEN VIGILANCIA'!Z2)</f>
        <v>320</v>
      </c>
      <c r="AB65" s="453">
        <f>IF(ISBLANK('RESUMEN VIGILANCIA'!AA2),"",'RESUMEN VIGILANCIA'!AA2)</f>
        <v>350</v>
      </c>
      <c r="AC65" s="454">
        <f>IF(ISBLANK('RESUMEN VIGILANCIA'!AB2),"",'RESUMEN VIGILANCIA'!AB2)</f>
        <v>800</v>
      </c>
      <c r="AD65" s="374">
        <f>IF(ISBLANK('RESUMEN VIGILANCIA'!AC2),"",'RESUMEN VIGILANCIA'!AC2)</f>
        <v>3000</v>
      </c>
      <c r="AE65" s="375">
        <f>IF(ISBLANK('RESUMEN VIGILANCIA'!AD2),"",'RESUMEN VIGILANCIA'!AD2)</f>
        <v>3000</v>
      </c>
      <c r="AF65" s="375">
        <f>IF(ISBLANK('RESUMEN VIGILANCIA'!AE2),"",'RESUMEN VIGILANCIA'!AE2)</f>
        <v>3000</v>
      </c>
      <c r="AG65" s="375">
        <f>IF(ISBLANK('RESUMEN VIGILANCIA'!AF2),"",'RESUMEN VIGILANCIA'!AF2)</f>
        <v>5000</v>
      </c>
      <c r="AH65" s="375">
        <f>IF(ISBLANK('RESUMEN VIGILANCIA'!AG2),"",'RESUMEN VIGILANCIA'!AG2)</f>
        <v>8000</v>
      </c>
      <c r="AI65" s="375">
        <f>IF(ISBLANK('RESUMEN VIGILANCIA'!AH2),"",'RESUMEN VIGILANCIA'!AH2)</f>
        <v>8000</v>
      </c>
      <c r="AJ65" s="375">
        <f>IF(ISBLANK('RESUMEN VIGILANCIA'!AI2),"",'RESUMEN VIGILANCIA'!AI2)</f>
        <v>10000</v>
      </c>
      <c r="AK65" s="375">
        <f>IF(ISBLANK('RESUMEN VIGILANCIA'!AJ2),"",'RESUMEN VIGILANCIA'!AJ2)</f>
        <v>10000</v>
      </c>
      <c r="AL65" s="375">
        <f>IF(ISBLANK('RESUMEN VIGILANCIA'!AK2),"",'RESUMEN VIGILANCIA'!AK2)</f>
        <v>21100</v>
      </c>
      <c r="AM65" s="375">
        <f>IF(ISBLANK('RESUMEN VIGILANCIA'!AL2),"",'RESUMEN VIGILANCIA'!AL2)</f>
        <v>51250</v>
      </c>
      <c r="AN65" s="375">
        <f>IF(ISBLANK('RESUMEN VIGILANCIA'!AM2),"",'RESUMEN VIGILANCIA'!AM2)</f>
        <v>73500</v>
      </c>
      <c r="AO65" s="376">
        <f>IF(ISBLANK('RESUMEN VIGILANCIA'!AN2),"",'RESUMEN VIGILANCIA'!AN2)</f>
        <v>185250</v>
      </c>
      <c r="AP65" s="374">
        <f>IF(ISBLANK('RESUMEN VIGILANCIA'!AO2),"",'RESUMEN VIGILANCIA'!AO2)</f>
        <v>185250</v>
      </c>
      <c r="AQ65" s="375">
        <f>IF(ISBLANK('RESUMEN VIGILANCIA'!AP2),"",'RESUMEN VIGILANCIA'!AP2)</f>
        <v>185250</v>
      </c>
      <c r="AR65" s="375">
        <f>IF(ISBLANK('RESUMEN VIGILANCIA'!AQ2),"",'RESUMEN VIGILANCIA'!AQ2)</f>
        <v>185250</v>
      </c>
      <c r="AS65" s="375">
        <f>IF(ISBLANK('RESUMEN VIGILANCIA'!AR2),"",'RESUMEN VIGILANCIA'!AR2)</f>
        <v>250000</v>
      </c>
      <c r="AT65" s="375">
        <f>IF(ISBLANK('RESUMEN VIGILANCIA'!AS2),"",'RESUMEN VIGILANCIA'!AS2)</f>
        <v>250000</v>
      </c>
      <c r="AU65" s="375" t="str">
        <f>IF(ISBLANK('RESUMEN VIGILANCIA'!AT2),"",'RESUMEN VIGILANCIA'!AT2)</f>
        <v/>
      </c>
      <c r="AV65" s="375" t="str">
        <f>IF(ISBLANK('RESUMEN VIGILANCIA'!AU2),"",'RESUMEN VIGILANCIA'!AU2)</f>
        <v/>
      </c>
      <c r="AW65" s="375" t="str">
        <f>IF(ISBLANK('RESUMEN VIGILANCIA'!AV2),"",'RESUMEN VIGILANCIA'!AV2)</f>
        <v/>
      </c>
      <c r="AX65" s="375" t="str">
        <f>IF(ISBLANK('RESUMEN VIGILANCIA'!AW2),"",'RESUMEN VIGILANCIA'!AW2)</f>
        <v/>
      </c>
      <c r="AY65" s="375" t="str">
        <f>IF(ISBLANK('RESUMEN VIGILANCIA'!AX2),"",'RESUMEN VIGILANCIA'!AX2)</f>
        <v/>
      </c>
      <c r="AZ65" s="375" t="str">
        <f>IF(ISBLANK('RESUMEN VIGILANCIA'!AY2),"",'RESUMEN VIGILANCIA'!AY2)</f>
        <v/>
      </c>
      <c r="BA65" s="376" t="str">
        <f>IF(ISBLANK('RESUMEN VIGILANCIA'!AZ2),"",'RESUMEN VIGILANCIA'!AZ2)</f>
        <v/>
      </c>
      <c r="BB65" s="238">
        <f t="shared" si="2"/>
        <v>382930.16000000003</v>
      </c>
      <c r="BC65" s="112"/>
      <c r="BD65" s="112"/>
    </row>
    <row r="66" spans="1:56" s="28" customFormat="1" ht="20.100000000000001" customHeight="1">
      <c r="A66" s="32" t="str">
        <f>'RESUMEN VIGILANCIA'!A3</f>
        <v>Familia Hoyte Rafmari</v>
      </c>
      <c r="B66" s="33" t="str">
        <f>'RESUMEN VIGILANCIA'!B3</f>
        <v>Av. "I" Nro. 146-30</v>
      </c>
      <c r="C66" s="426" t="s">
        <v>1360</v>
      </c>
      <c r="D66" s="435" t="s">
        <v>1357</v>
      </c>
      <c r="E66" s="414" t="str">
        <f>IF(ISBLANK('RESUMEN VIGILANCIA'!D3),"",'RESUMEN VIGILANCIA'!D3)</f>
        <v/>
      </c>
      <c r="F66" s="264">
        <f>IF(ISBLANK('RESUMEN VIGILANCIA'!E3),"",'RESUMEN VIGILANCIA'!E3)</f>
        <v>0.105</v>
      </c>
      <c r="G66" s="186">
        <f>IF(ISBLANK('RESUMEN VIGILANCIA'!F3),"",'RESUMEN VIGILANCIA'!F3)</f>
        <v>0.105</v>
      </c>
      <c r="H66" s="186">
        <f>IF(ISBLANK('RESUMEN VIGILANCIA'!G3),"",'RESUMEN VIGILANCIA'!G3)</f>
        <v>0.105</v>
      </c>
      <c r="I66" s="186" t="str">
        <f>IF(ISBLANK('RESUMEN VIGILANCIA'!H3),"",'RESUMEN VIGILANCIA'!H3)</f>
        <v/>
      </c>
      <c r="J66" s="186" t="str">
        <f>IF(ISBLANK('RESUMEN VIGILANCIA'!I3),"",'RESUMEN VIGILANCIA'!I3)</f>
        <v/>
      </c>
      <c r="K66" s="186" t="str">
        <f>IF(ISBLANK('RESUMEN VIGILANCIA'!J3),"",'RESUMEN VIGILANCIA'!J3)</f>
        <v/>
      </c>
      <c r="L66" s="186" t="str">
        <f>IF(ISBLANK('RESUMEN VIGILANCIA'!K3),"",'RESUMEN VIGILANCIA'!K3)</f>
        <v/>
      </c>
      <c r="M66" s="186" t="str">
        <f>IF(ISBLANK('RESUMEN VIGILANCIA'!L3),"",'RESUMEN VIGILANCIA'!L3)</f>
        <v/>
      </c>
      <c r="N66" s="186" t="str">
        <f>IF(ISBLANK('RESUMEN VIGILANCIA'!M3),"",'RESUMEN VIGILANCIA'!M3)</f>
        <v/>
      </c>
      <c r="O66" s="186" t="str">
        <f>IF(ISBLANK('RESUMEN VIGILANCIA'!N3),"",'RESUMEN VIGILANCIA'!N3)</f>
        <v/>
      </c>
      <c r="P66" s="265" t="str">
        <f>IF(ISBLANK('RESUMEN VIGILANCIA'!O3),"",'RESUMEN VIGILANCIA'!O3)</f>
        <v/>
      </c>
      <c r="Q66" s="184" t="str">
        <f>IF(ISBLANK('RESUMEN VIGILANCIA'!P3),"",'RESUMEN VIGILANCIA'!P3)</f>
        <v/>
      </c>
      <c r="R66" s="266" t="str">
        <f>IF(ISBLANK('RESUMEN VIGILANCIA'!Q3),"",'RESUMEN VIGILANCIA'!Q3)</f>
        <v/>
      </c>
      <c r="S66" s="265" t="str">
        <f>IF(ISBLANK('RESUMEN VIGILANCIA'!R3),"",'RESUMEN VIGILANCIA'!R3)</f>
        <v/>
      </c>
      <c r="T66" s="265" t="str">
        <f>IF(ISBLANK('RESUMEN VIGILANCIA'!S3),"",'RESUMEN VIGILANCIA'!S3)</f>
        <v/>
      </c>
      <c r="U66" s="265" t="str">
        <f>IF(ISBLANK('RESUMEN VIGILANCIA'!T3),"",'RESUMEN VIGILANCIA'!T3)</f>
        <v/>
      </c>
      <c r="V66" s="265" t="str">
        <f>IF(ISBLANK('RESUMEN VIGILANCIA'!U3),"",'RESUMEN VIGILANCIA'!U3)</f>
        <v/>
      </c>
      <c r="W66" s="265" t="str">
        <f>IF(ISBLANK('RESUMEN VIGILANCIA'!V3),"",'RESUMEN VIGILANCIA'!V3)</f>
        <v/>
      </c>
      <c r="X66" s="265" t="str">
        <f>IF(ISBLANK('RESUMEN VIGILANCIA'!W3),"",'RESUMEN VIGILANCIA'!W3)</f>
        <v/>
      </c>
      <c r="Y66" s="265" t="str">
        <f>IF(ISBLANK('RESUMEN VIGILANCIA'!X3),"",'RESUMEN VIGILANCIA'!X3)</f>
        <v/>
      </c>
      <c r="Z66" s="457" t="str">
        <f>IF(ISBLANK('RESUMEN VIGILANCIA'!Y3),"",'RESUMEN VIGILANCIA'!Y3)</f>
        <v/>
      </c>
      <c r="AA66" s="457" t="str">
        <f>IF(ISBLANK('RESUMEN VIGILANCIA'!Z3),"",'RESUMEN VIGILANCIA'!Z3)</f>
        <v/>
      </c>
      <c r="AB66" s="457" t="str">
        <f>IF(ISBLANK('RESUMEN VIGILANCIA'!AA3),"",'RESUMEN VIGILANCIA'!AA3)</f>
        <v/>
      </c>
      <c r="AC66" s="458" t="str">
        <f>IF(ISBLANK('RESUMEN VIGILANCIA'!AB3),"",'RESUMEN VIGILANCIA'!AB3)</f>
        <v/>
      </c>
      <c r="AD66" s="371" t="str">
        <f>IF(ISBLANK('RESUMEN VIGILANCIA'!AC3),"",'RESUMEN VIGILANCIA'!AC3)</f>
        <v/>
      </c>
      <c r="AE66" s="372" t="str">
        <f>IF(ISBLANK('RESUMEN VIGILANCIA'!AD3),"",'RESUMEN VIGILANCIA'!AD3)</f>
        <v/>
      </c>
      <c r="AF66" s="372" t="str">
        <f>IF(ISBLANK('RESUMEN VIGILANCIA'!AE3),"",'RESUMEN VIGILANCIA'!AE3)</f>
        <v/>
      </c>
      <c r="AG66" s="372" t="str">
        <f>IF(ISBLANK('RESUMEN VIGILANCIA'!AF3),"",'RESUMEN VIGILANCIA'!AF3)</f>
        <v/>
      </c>
      <c r="AH66" s="372" t="str">
        <f>IF(ISBLANK('RESUMEN VIGILANCIA'!AG3),"",'RESUMEN VIGILANCIA'!AG3)</f>
        <v/>
      </c>
      <c r="AI66" s="372" t="str">
        <f>IF(ISBLANK('RESUMEN VIGILANCIA'!AH3),"",'RESUMEN VIGILANCIA'!AH3)</f>
        <v/>
      </c>
      <c r="AJ66" s="372" t="str">
        <f>IF(ISBLANK('RESUMEN VIGILANCIA'!AI3),"",'RESUMEN VIGILANCIA'!AI3)</f>
        <v/>
      </c>
      <c r="AK66" s="372" t="str">
        <f>IF(ISBLANK('RESUMEN VIGILANCIA'!AJ3),"",'RESUMEN VIGILANCIA'!AJ3)</f>
        <v/>
      </c>
      <c r="AL66" s="372" t="str">
        <f>IF(ISBLANK('RESUMEN VIGILANCIA'!AK3),"",'RESUMEN VIGILANCIA'!AK3)</f>
        <v/>
      </c>
      <c r="AM66" s="372" t="str">
        <f>IF(ISBLANK('RESUMEN VIGILANCIA'!AL3),"",'RESUMEN VIGILANCIA'!AL3)</f>
        <v/>
      </c>
      <c r="AN66" s="372" t="str">
        <f>IF(ISBLANK('RESUMEN VIGILANCIA'!AM3),"",'RESUMEN VIGILANCIA'!AM3)</f>
        <v/>
      </c>
      <c r="AO66" s="373" t="str">
        <f>IF(ISBLANK('RESUMEN VIGILANCIA'!AN3),"",'RESUMEN VIGILANCIA'!AN3)</f>
        <v/>
      </c>
      <c r="AP66" s="371" t="str">
        <f>IF(ISBLANK('RESUMEN VIGILANCIA'!AO3),"",'RESUMEN VIGILANCIA'!AO3)</f>
        <v/>
      </c>
      <c r="AQ66" s="372" t="str">
        <f>IF(ISBLANK('RESUMEN VIGILANCIA'!AP3),"",'RESUMEN VIGILANCIA'!AP3)</f>
        <v/>
      </c>
      <c r="AR66" s="372" t="str">
        <f>IF(ISBLANK('RESUMEN VIGILANCIA'!AQ3),"",'RESUMEN VIGILANCIA'!AQ3)</f>
        <v/>
      </c>
      <c r="AS66" s="372" t="str">
        <f>IF(ISBLANK('RESUMEN VIGILANCIA'!AR3),"",'RESUMEN VIGILANCIA'!AR3)</f>
        <v/>
      </c>
      <c r="AT66" s="372" t="str">
        <f>IF(ISBLANK('RESUMEN VIGILANCIA'!AS3),"",'RESUMEN VIGILANCIA'!AS3)</f>
        <v/>
      </c>
      <c r="AU66" s="372" t="str">
        <f>IF(ISBLANK('RESUMEN VIGILANCIA'!AT3),"",'RESUMEN VIGILANCIA'!AT3)</f>
        <v/>
      </c>
      <c r="AV66" s="372" t="str">
        <f>IF(ISBLANK('RESUMEN VIGILANCIA'!AU3),"",'RESUMEN VIGILANCIA'!AU3)</f>
        <v/>
      </c>
      <c r="AW66" s="372" t="str">
        <f>IF(ISBLANK('RESUMEN VIGILANCIA'!AV3),"",'RESUMEN VIGILANCIA'!AV3)</f>
        <v/>
      </c>
      <c r="AX66" s="372" t="str">
        <f>IF(ISBLANK('RESUMEN VIGILANCIA'!AW3),"",'RESUMEN VIGILANCIA'!AW3)</f>
        <v/>
      </c>
      <c r="AY66" s="372" t="str">
        <f>IF(ISBLANK('RESUMEN VIGILANCIA'!AX3),"",'RESUMEN VIGILANCIA'!AX3)</f>
        <v/>
      </c>
      <c r="AZ66" s="372" t="str">
        <f>IF(ISBLANK('RESUMEN VIGILANCIA'!AY3),"",'RESUMEN VIGILANCIA'!AY3)</f>
        <v/>
      </c>
      <c r="BA66" s="373" t="str">
        <f>IF(ISBLANK('RESUMEN VIGILANCIA'!AZ3),"",'RESUMEN VIGILANCIA'!AZ3)</f>
        <v/>
      </c>
      <c r="BB66" s="239">
        <f t="shared" si="2"/>
        <v>0.315</v>
      </c>
      <c r="BC66" s="109"/>
      <c r="BD66" s="109"/>
    </row>
    <row r="67" spans="1:56" s="28" customFormat="1" ht="20.100000000000001" customHeight="1">
      <c r="A67" s="29" t="str">
        <f>'RESUMEN VIGILANCIA'!A4</f>
        <v>Familia Il Grande Franceschi</v>
      </c>
      <c r="B67" s="30" t="str">
        <f>'RESUMEN VIGILANCIA'!B4</f>
        <v>Av. "I" Nro. 146-40</v>
      </c>
      <c r="C67" s="427" t="s">
        <v>1358</v>
      </c>
      <c r="D67" s="434" t="s">
        <v>17</v>
      </c>
      <c r="E67" s="415" t="str">
        <f>IF(ISBLANK('RESUMEN VIGILANCIA'!D4),"",'RESUMEN VIGILANCIA'!D4)</f>
        <v/>
      </c>
      <c r="F67" s="267">
        <f>IF(ISBLANK('RESUMEN VIGILANCIA'!E4),"",'RESUMEN VIGILANCIA'!E4)</f>
        <v>0.17</v>
      </c>
      <c r="G67" s="179">
        <f>IF(ISBLANK('RESUMEN VIGILANCIA'!F4),"",'RESUMEN VIGILANCIA'!F4)</f>
        <v>0.17</v>
      </c>
      <c r="H67" s="179">
        <f>IF(ISBLANK('RESUMEN VIGILANCIA'!G4),"",'RESUMEN VIGILANCIA'!G4)</f>
        <v>0.17</v>
      </c>
      <c r="I67" s="179">
        <f>IF(ISBLANK('RESUMEN VIGILANCIA'!H4),"",'RESUMEN VIGILANCIA'!H4)</f>
        <v>0.17</v>
      </c>
      <c r="J67" s="179">
        <f>IF(ISBLANK('RESUMEN VIGILANCIA'!I4),"",'RESUMEN VIGILANCIA'!I4)</f>
        <v>0.26</v>
      </c>
      <c r="K67" s="179">
        <f>IF(ISBLANK('RESUMEN VIGILANCIA'!J4),"",'RESUMEN VIGILANCIA'!J4)</f>
        <v>0.26</v>
      </c>
      <c r="L67" s="179">
        <f>IF(ISBLANK('RESUMEN VIGILANCIA'!K4),"",'RESUMEN VIGILANCIA'!K4)</f>
        <v>0.35</v>
      </c>
      <c r="M67" s="179">
        <f>IF(ISBLANK('RESUMEN VIGILANCIA'!L4),"",'RESUMEN VIGILANCIA'!L4)</f>
        <v>0.35000000000000003</v>
      </c>
      <c r="N67" s="179">
        <f>IF(ISBLANK('RESUMEN VIGILANCIA'!M4),"",'RESUMEN VIGILANCIA'!M4)</f>
        <v>0.35000000000000003</v>
      </c>
      <c r="O67" s="179">
        <f>IF(ISBLANK('RESUMEN VIGILANCIA'!N4),"",'RESUMEN VIGILANCIA'!N4)</f>
        <v>0.35</v>
      </c>
      <c r="P67" s="268">
        <f>IF(ISBLANK('RESUMEN VIGILANCIA'!O4),"",'RESUMEN VIGILANCIA'!O4)</f>
        <v>0.5</v>
      </c>
      <c r="Q67" s="177">
        <f>IF(ISBLANK('RESUMEN VIGILANCIA'!P4),"",'RESUMEN VIGILANCIA'!P4)</f>
        <v>0.5</v>
      </c>
      <c r="R67" s="269">
        <f>IF(ISBLANK('RESUMEN VIGILANCIA'!Q4),"",'RESUMEN VIGILANCIA'!Q4)</f>
        <v>0.8</v>
      </c>
      <c r="S67" s="268">
        <f>IF(ISBLANK('RESUMEN VIGILANCIA'!R4),"",'RESUMEN VIGILANCIA'!R4)</f>
        <v>0.8</v>
      </c>
      <c r="T67" s="268">
        <f>IF(ISBLANK('RESUMEN VIGILANCIA'!S4),"",'RESUMEN VIGILANCIA'!S4)</f>
        <v>1.4</v>
      </c>
      <c r="U67" s="268">
        <f>IF(ISBLANK('RESUMEN VIGILANCIA'!T4),"",'RESUMEN VIGILANCIA'!T4)</f>
        <v>1.4</v>
      </c>
      <c r="V67" s="268">
        <f>IF(ISBLANK('RESUMEN VIGILANCIA'!U4),"",'RESUMEN VIGILANCIA'!U4)</f>
        <v>4</v>
      </c>
      <c r="W67" s="268">
        <f>IF(ISBLANK('RESUMEN VIGILANCIA'!V4),"",'RESUMEN VIGILANCIA'!V4)</f>
        <v>6.25</v>
      </c>
      <c r="X67" s="268">
        <f>IF(ISBLANK('RESUMEN VIGILANCIA'!W4),"",'RESUMEN VIGILANCIA'!W4)</f>
        <v>10</v>
      </c>
      <c r="Y67" s="268">
        <f>IF(ISBLANK('RESUMEN VIGILANCIA'!X4),"",'RESUMEN VIGILANCIA'!X4)</f>
        <v>12</v>
      </c>
      <c r="Z67" s="453">
        <f>IF(ISBLANK('RESUMEN VIGILANCIA'!Y4),"",'RESUMEN VIGILANCIA'!Y4)</f>
        <v>320.01</v>
      </c>
      <c r="AA67" s="453">
        <f>IF(ISBLANK('RESUMEN VIGILANCIA'!Z4),"",'RESUMEN VIGILANCIA'!Z4)</f>
        <v>320</v>
      </c>
      <c r="AB67" s="453">
        <f>IF(ISBLANK('RESUMEN VIGILANCIA'!AA4),"",'RESUMEN VIGILANCIA'!AA4)</f>
        <v>320</v>
      </c>
      <c r="AC67" s="454">
        <f>IF(ISBLANK('RESUMEN VIGILANCIA'!AB4),"",'RESUMEN VIGILANCIA'!AB4)</f>
        <v>800</v>
      </c>
      <c r="AD67" s="374">
        <f>IF(ISBLANK('RESUMEN VIGILANCIA'!AC4),"",'RESUMEN VIGILANCIA'!AC4)</f>
        <v>3000</v>
      </c>
      <c r="AE67" s="375">
        <f>IF(ISBLANK('RESUMEN VIGILANCIA'!AD4),"",'RESUMEN VIGILANCIA'!AD4)</f>
        <v>3000</v>
      </c>
      <c r="AF67" s="375">
        <f>IF(ISBLANK('RESUMEN VIGILANCIA'!AE4),"",'RESUMEN VIGILANCIA'!AE4)</f>
        <v>3000</v>
      </c>
      <c r="AG67" s="375">
        <f>IF(ISBLANK('RESUMEN VIGILANCIA'!AF4),"",'RESUMEN VIGILANCIA'!AF4)</f>
        <v>5000</v>
      </c>
      <c r="AH67" s="375">
        <f>IF(ISBLANK('RESUMEN VIGILANCIA'!AG4),"",'RESUMEN VIGILANCIA'!AG4)</f>
        <v>8000</v>
      </c>
      <c r="AI67" s="375">
        <f>IF(ISBLANK('RESUMEN VIGILANCIA'!AH4),"",'RESUMEN VIGILANCIA'!AH4)</f>
        <v>8000</v>
      </c>
      <c r="AJ67" s="375">
        <f>IF(ISBLANK('RESUMEN VIGILANCIA'!AI4),"",'RESUMEN VIGILANCIA'!AI4)</f>
        <v>10000</v>
      </c>
      <c r="AK67" s="375">
        <f>IF(ISBLANK('RESUMEN VIGILANCIA'!AJ4),"",'RESUMEN VIGILANCIA'!AJ4)</f>
        <v>10000</v>
      </c>
      <c r="AL67" s="375">
        <f>IF(ISBLANK('RESUMEN VIGILANCIA'!AK4),"",'RESUMEN VIGILANCIA'!AK4)</f>
        <v>20482.22</v>
      </c>
      <c r="AM67" s="375">
        <f>IF(ISBLANK('RESUMEN VIGILANCIA'!AL4),"",'RESUMEN VIGILANCIA'!AL4)</f>
        <v>51250</v>
      </c>
      <c r="AN67" s="375">
        <f>IF(ISBLANK('RESUMEN VIGILANCIA'!AM4),"",'RESUMEN VIGILANCIA'!AM4)</f>
        <v>105250</v>
      </c>
      <c r="AO67" s="376">
        <f>IF(ISBLANK('RESUMEN VIGILANCIA'!AN4),"",'RESUMEN VIGILANCIA'!AN4)</f>
        <v>136250</v>
      </c>
      <c r="AP67" s="374">
        <f>IF(ISBLANK('RESUMEN VIGILANCIA'!AO4),"",'RESUMEN VIGILANCIA'!AO4)</f>
        <v>136250</v>
      </c>
      <c r="AQ67" s="375">
        <f>IF(ISBLANK('RESUMEN VIGILANCIA'!AP4),"",'RESUMEN VIGILANCIA'!AP4)</f>
        <v>136250</v>
      </c>
      <c r="AR67" s="375">
        <f>IF(ISBLANK('RESUMEN VIGILANCIA'!AQ4),"",'RESUMEN VIGILANCIA'!AQ4)</f>
        <v>185750</v>
      </c>
      <c r="AS67" s="375">
        <f>IF(ISBLANK('RESUMEN VIGILANCIA'!AR4),"",'RESUMEN VIGILANCIA'!AR4)</f>
        <v>185250</v>
      </c>
      <c r="AT67" s="375">
        <f>IF(ISBLANK('RESUMEN VIGILANCIA'!AS4),"",'RESUMEN VIGILANCIA'!AS4)</f>
        <v>250000</v>
      </c>
      <c r="AU67" s="375">
        <f>IF(ISBLANK('RESUMEN VIGILANCIA'!AT4),"",'RESUMEN VIGILANCIA'!AT4)</f>
        <v>250000</v>
      </c>
      <c r="AV67" s="375" t="str">
        <f>IF(ISBLANK('RESUMEN VIGILANCIA'!AU4),"",'RESUMEN VIGILANCIA'!AU4)</f>
        <v/>
      </c>
      <c r="AW67" s="375" t="str">
        <f>IF(ISBLANK('RESUMEN VIGILANCIA'!AV4),"",'RESUMEN VIGILANCIA'!AV4)</f>
        <v/>
      </c>
      <c r="AX67" s="375" t="str">
        <f>IF(ISBLANK('RESUMEN VIGILANCIA'!AW4),"",'RESUMEN VIGILANCIA'!AW4)</f>
        <v/>
      </c>
      <c r="AY67" s="375" t="str">
        <f>IF(ISBLANK('RESUMEN VIGILANCIA'!AX4),"",'RESUMEN VIGILANCIA'!AX4)</f>
        <v/>
      </c>
      <c r="AZ67" s="375" t="str">
        <f>IF(ISBLANK('RESUMEN VIGILANCIA'!AY4),"",'RESUMEN VIGILANCIA'!AY4)</f>
        <v/>
      </c>
      <c r="BA67" s="376" t="str">
        <f>IF(ISBLANK('RESUMEN VIGILANCIA'!AZ4),"",'RESUMEN VIGILANCIA'!AZ4)</f>
        <v/>
      </c>
      <c r="BB67" s="240">
        <f t="shared" si="2"/>
        <v>365032.48</v>
      </c>
      <c r="BC67" s="110"/>
      <c r="BD67" s="110"/>
    </row>
    <row r="68" spans="1:56" s="28" customFormat="1" ht="20.100000000000001" customHeight="1">
      <c r="A68" s="29" t="str">
        <f>'RESUMEN VIGILANCIA'!A14</f>
        <v>Familia González López</v>
      </c>
      <c r="B68" s="30" t="str">
        <f>'RESUMEN VIGILANCIA'!B14</f>
        <v>Av. "Ñ" Nro. 145-27</v>
      </c>
      <c r="C68" s="427" t="s">
        <v>1360</v>
      </c>
      <c r="D68" s="434" t="s">
        <v>1357</v>
      </c>
      <c r="E68" s="415" t="str">
        <f>IF(ISBLANK('RESUMEN VIGILANCIA'!D14),"",'RESUMEN VIGILANCIA'!D14)</f>
        <v/>
      </c>
      <c r="F68" s="267" t="str">
        <f>IF(ISBLANK('RESUMEN VIGILANCIA'!E14),"",'RESUMEN VIGILANCIA'!E14)</f>
        <v/>
      </c>
      <c r="G68" s="179" t="str">
        <f>IF(ISBLANK('RESUMEN VIGILANCIA'!F14),"",'RESUMEN VIGILANCIA'!F14)</f>
        <v/>
      </c>
      <c r="H68" s="179" t="str">
        <f>IF(ISBLANK('RESUMEN VIGILANCIA'!G14),"",'RESUMEN VIGILANCIA'!G14)</f>
        <v/>
      </c>
      <c r="I68" s="179" t="str">
        <f>IF(ISBLANK('RESUMEN VIGILANCIA'!H14),"",'RESUMEN VIGILANCIA'!H14)</f>
        <v/>
      </c>
      <c r="J68" s="179" t="str">
        <f>IF(ISBLANK('RESUMEN VIGILANCIA'!I14),"",'RESUMEN VIGILANCIA'!I14)</f>
        <v/>
      </c>
      <c r="K68" s="179" t="str">
        <f>IF(ISBLANK('RESUMEN VIGILANCIA'!J14),"",'RESUMEN VIGILANCIA'!J14)</f>
        <v/>
      </c>
      <c r="L68" s="179" t="str">
        <f>IF(ISBLANK('RESUMEN VIGILANCIA'!K14),"",'RESUMEN VIGILANCIA'!K14)</f>
        <v/>
      </c>
      <c r="M68" s="179" t="str">
        <f>IF(ISBLANK('RESUMEN VIGILANCIA'!L14),"",'RESUMEN VIGILANCIA'!L14)</f>
        <v/>
      </c>
      <c r="N68" s="179" t="str">
        <f>IF(ISBLANK('RESUMEN VIGILANCIA'!M14),"",'RESUMEN VIGILANCIA'!M14)</f>
        <v/>
      </c>
      <c r="O68" s="179" t="str">
        <f>IF(ISBLANK('RESUMEN VIGILANCIA'!N14),"",'RESUMEN VIGILANCIA'!N14)</f>
        <v/>
      </c>
      <c r="P68" s="268" t="str">
        <f>IF(ISBLANK('RESUMEN VIGILANCIA'!O14),"",'RESUMEN VIGILANCIA'!O14)</f>
        <v/>
      </c>
      <c r="Q68" s="177" t="str">
        <f>IF(ISBLANK('RESUMEN VIGILANCIA'!P14),"",'RESUMEN VIGILANCIA'!P14)</f>
        <v/>
      </c>
      <c r="R68" s="269" t="str">
        <f>IF(ISBLANK('RESUMEN VIGILANCIA'!Q14),"",'RESUMEN VIGILANCIA'!Q14)</f>
        <v/>
      </c>
      <c r="S68" s="268" t="str">
        <f>IF(ISBLANK('RESUMEN VIGILANCIA'!R14),"",'RESUMEN VIGILANCIA'!R14)</f>
        <v/>
      </c>
      <c r="T68" s="268" t="str">
        <f>IF(ISBLANK('RESUMEN VIGILANCIA'!S14),"",'RESUMEN VIGILANCIA'!S14)</f>
        <v/>
      </c>
      <c r="U68" s="268" t="str">
        <f>IF(ISBLANK('RESUMEN VIGILANCIA'!T14),"",'RESUMEN VIGILANCIA'!T14)</f>
        <v/>
      </c>
      <c r="V68" s="268" t="str">
        <f>IF(ISBLANK('RESUMEN VIGILANCIA'!U14),"",'RESUMEN VIGILANCIA'!U14)</f>
        <v/>
      </c>
      <c r="W68" s="268" t="str">
        <f>IF(ISBLANK('RESUMEN VIGILANCIA'!V14),"",'RESUMEN VIGILANCIA'!V14)</f>
        <v/>
      </c>
      <c r="X68" s="268" t="str">
        <f>IF(ISBLANK('RESUMEN VIGILANCIA'!W14),"",'RESUMEN VIGILANCIA'!W14)</f>
        <v/>
      </c>
      <c r="Y68" s="268" t="str">
        <f>IF(ISBLANK('RESUMEN VIGILANCIA'!X14),"",'RESUMEN VIGILANCIA'!X14)</f>
        <v/>
      </c>
      <c r="Z68" s="453" t="str">
        <f>IF(ISBLANK('RESUMEN VIGILANCIA'!Y14),"",'RESUMEN VIGILANCIA'!Y14)</f>
        <v/>
      </c>
      <c r="AA68" s="453" t="str">
        <f>IF(ISBLANK('RESUMEN VIGILANCIA'!Z14),"",'RESUMEN VIGILANCIA'!Z14)</f>
        <v/>
      </c>
      <c r="AB68" s="453" t="str">
        <f>IF(ISBLANK('RESUMEN VIGILANCIA'!AA14),"",'RESUMEN VIGILANCIA'!AA14)</f>
        <v/>
      </c>
      <c r="AC68" s="454" t="str">
        <f>IF(ISBLANK('RESUMEN VIGILANCIA'!AB14),"",'RESUMEN VIGILANCIA'!AB14)</f>
        <v/>
      </c>
      <c r="AD68" s="374" t="str">
        <f>IF(ISBLANK('RESUMEN VIGILANCIA'!AC14),"",'RESUMEN VIGILANCIA'!AC14)</f>
        <v/>
      </c>
      <c r="AE68" s="375" t="str">
        <f>IF(ISBLANK('RESUMEN VIGILANCIA'!AD14),"",'RESUMEN VIGILANCIA'!AD14)</f>
        <v/>
      </c>
      <c r="AF68" s="375" t="str">
        <f>IF(ISBLANK('RESUMEN VIGILANCIA'!AE14),"",'RESUMEN VIGILANCIA'!AE14)</f>
        <v/>
      </c>
      <c r="AG68" s="375" t="str">
        <f>IF(ISBLANK('RESUMEN VIGILANCIA'!AF14),"",'RESUMEN VIGILANCIA'!AF14)</f>
        <v/>
      </c>
      <c r="AH68" s="375" t="str">
        <f>IF(ISBLANK('RESUMEN VIGILANCIA'!AG14),"",'RESUMEN VIGILANCIA'!AG14)</f>
        <v/>
      </c>
      <c r="AI68" s="375" t="str">
        <f>IF(ISBLANK('RESUMEN VIGILANCIA'!AH14),"",'RESUMEN VIGILANCIA'!AH14)</f>
        <v/>
      </c>
      <c r="AJ68" s="375" t="str">
        <f>IF(ISBLANK('RESUMEN VIGILANCIA'!AI14),"",'RESUMEN VIGILANCIA'!AI14)</f>
        <v/>
      </c>
      <c r="AK68" s="375" t="str">
        <f>IF(ISBLANK('RESUMEN VIGILANCIA'!AJ14),"",'RESUMEN VIGILANCIA'!AJ14)</f>
        <v/>
      </c>
      <c r="AL68" s="375" t="str">
        <f>IF(ISBLANK('RESUMEN VIGILANCIA'!AK14),"",'RESUMEN VIGILANCIA'!AK14)</f>
        <v/>
      </c>
      <c r="AM68" s="375" t="str">
        <f>IF(ISBLANK('RESUMEN VIGILANCIA'!AL14),"",'RESUMEN VIGILANCIA'!AL14)</f>
        <v/>
      </c>
      <c r="AN68" s="375" t="str">
        <f>IF(ISBLANK('RESUMEN VIGILANCIA'!AM14),"",'RESUMEN VIGILANCIA'!AM14)</f>
        <v/>
      </c>
      <c r="AO68" s="376" t="str">
        <f>IF(ISBLANK('RESUMEN VIGILANCIA'!AN14),"",'RESUMEN VIGILANCIA'!AN14)</f>
        <v/>
      </c>
      <c r="AP68" s="374" t="str">
        <f>IF(ISBLANK('RESUMEN VIGILANCIA'!AO14),"",'RESUMEN VIGILANCIA'!AO14)</f>
        <v/>
      </c>
      <c r="AQ68" s="375" t="str">
        <f>IF(ISBLANK('RESUMEN VIGILANCIA'!AP14),"",'RESUMEN VIGILANCIA'!AP14)</f>
        <v/>
      </c>
      <c r="AR68" s="375" t="str">
        <f>IF(ISBLANK('RESUMEN VIGILANCIA'!AQ14),"",'RESUMEN VIGILANCIA'!AQ14)</f>
        <v/>
      </c>
      <c r="AS68" s="375" t="str">
        <f>IF(ISBLANK('RESUMEN VIGILANCIA'!AR14),"",'RESUMEN VIGILANCIA'!AR14)</f>
        <v/>
      </c>
      <c r="AT68" s="375" t="str">
        <f>IF(ISBLANK('RESUMEN VIGILANCIA'!AS14),"",'RESUMEN VIGILANCIA'!AS14)</f>
        <v/>
      </c>
      <c r="AU68" s="375" t="str">
        <f>IF(ISBLANK('RESUMEN VIGILANCIA'!AT14),"",'RESUMEN VIGILANCIA'!AT14)</f>
        <v/>
      </c>
      <c r="AV68" s="375" t="str">
        <f>IF(ISBLANK('RESUMEN VIGILANCIA'!AU14),"",'RESUMEN VIGILANCIA'!AU14)</f>
        <v/>
      </c>
      <c r="AW68" s="375" t="str">
        <f>IF(ISBLANK('RESUMEN VIGILANCIA'!AV14),"",'RESUMEN VIGILANCIA'!AV14)</f>
        <v/>
      </c>
      <c r="AX68" s="375" t="str">
        <f>IF(ISBLANK('RESUMEN VIGILANCIA'!AW14),"",'RESUMEN VIGILANCIA'!AW14)</f>
        <v/>
      </c>
      <c r="AY68" s="375" t="str">
        <f>IF(ISBLANK('RESUMEN VIGILANCIA'!AX14),"",'RESUMEN VIGILANCIA'!AX14)</f>
        <v/>
      </c>
      <c r="AZ68" s="375" t="str">
        <f>IF(ISBLANK('RESUMEN VIGILANCIA'!AY14),"",'RESUMEN VIGILANCIA'!AY14)</f>
        <v/>
      </c>
      <c r="BA68" s="376" t="str">
        <f>IF(ISBLANK('RESUMEN VIGILANCIA'!AZ14),"",'RESUMEN VIGILANCIA'!AZ14)</f>
        <v/>
      </c>
      <c r="BB68" s="240">
        <f t="shared" si="2"/>
        <v>0</v>
      </c>
      <c r="BC68" s="110"/>
      <c r="BD68" s="110"/>
    </row>
    <row r="69" spans="1:56" s="28" customFormat="1" ht="20.100000000000001" customHeight="1">
      <c r="A69" s="57" t="str">
        <f>'RESUMEN VIGILANCIA'!A10</f>
        <v>La Casita Encantada</v>
      </c>
      <c r="B69" s="58" t="str">
        <f>'RESUMEN VIGILANCIA'!B10</f>
        <v>Av. "M" Nro. 146-30</v>
      </c>
      <c r="C69" s="427" t="s">
        <v>1358</v>
      </c>
      <c r="D69" s="434" t="s">
        <v>1357</v>
      </c>
      <c r="E69" s="415" t="str">
        <f>IF(ISBLANK('RESUMEN VIGILANCIA'!D10),"",'RESUMEN VIGILANCIA'!D10)</f>
        <v/>
      </c>
      <c r="F69" s="271">
        <f>IF(ISBLANK('RESUMEN VIGILANCIA'!E10),"",'RESUMEN VIGILANCIA'!E10)</f>
        <v>0.12</v>
      </c>
      <c r="G69" s="179">
        <f>IF(ISBLANK('RESUMEN VIGILANCIA'!F10),"",'RESUMEN VIGILANCIA'!F10)</f>
        <v>0.2</v>
      </c>
      <c r="H69" s="179">
        <f>IF(ISBLANK('RESUMEN VIGILANCIA'!G10),"",'RESUMEN VIGILANCIA'!G10)</f>
        <v>0.2</v>
      </c>
      <c r="I69" s="179">
        <f>IF(ISBLANK('RESUMEN VIGILANCIA'!H10),"",'RESUMEN VIGILANCIA'!H10)</f>
        <v>0.2</v>
      </c>
      <c r="J69" s="179">
        <f>IF(ISBLANK('RESUMEN VIGILANCIA'!I10),"",'RESUMEN VIGILANCIA'!I10)</f>
        <v>0.3</v>
      </c>
      <c r="K69" s="179">
        <f>IF(ISBLANK('RESUMEN VIGILANCIA'!J10),"",'RESUMEN VIGILANCIA'!J10)</f>
        <v>0.3</v>
      </c>
      <c r="L69" s="179">
        <f>IF(ISBLANK('RESUMEN VIGILANCIA'!K10),"",'RESUMEN VIGILANCIA'!K10)</f>
        <v>0.4</v>
      </c>
      <c r="M69" s="179">
        <f>IF(ISBLANK('RESUMEN VIGILANCIA'!L10),"",'RESUMEN VIGILANCIA'!L10)</f>
        <v>0.4</v>
      </c>
      <c r="N69" s="179">
        <f>IF(ISBLANK('RESUMEN VIGILANCIA'!M10),"",'RESUMEN VIGILANCIA'!M10)</f>
        <v>0.4</v>
      </c>
      <c r="O69" s="179">
        <f>IF(ISBLANK('RESUMEN VIGILANCIA'!N10),"",'RESUMEN VIGILANCIA'!N10)</f>
        <v>0.4</v>
      </c>
      <c r="P69" s="268">
        <f>IF(ISBLANK('RESUMEN VIGILANCIA'!O10),"",'RESUMEN VIGILANCIA'!O10)</f>
        <v>0.54</v>
      </c>
      <c r="Q69" s="177">
        <f>IF(ISBLANK('RESUMEN VIGILANCIA'!P10),"",'RESUMEN VIGILANCIA'!P10)</f>
        <v>0.54</v>
      </c>
      <c r="R69" s="269">
        <f>IF(ISBLANK('RESUMEN VIGILANCIA'!Q10),"",'RESUMEN VIGILANCIA'!Q10)</f>
        <v>0.86399999999999999</v>
      </c>
      <c r="S69" s="268">
        <f>IF(ISBLANK('RESUMEN VIGILANCIA'!R10),"",'RESUMEN VIGILANCIA'!R10)</f>
        <v>0.86399999999999999</v>
      </c>
      <c r="T69" s="268">
        <f>IF(ISBLANK('RESUMEN VIGILANCIA'!S10),"",'RESUMEN VIGILANCIA'!S10)</f>
        <v>1.55</v>
      </c>
      <c r="U69" s="268">
        <f>IF(ISBLANK('RESUMEN VIGILANCIA'!T10),"",'RESUMEN VIGILANCIA'!T10)</f>
        <v>1.55</v>
      </c>
      <c r="V69" s="268">
        <f>IF(ISBLANK('RESUMEN VIGILANCIA'!U10),"",'RESUMEN VIGILANCIA'!U10)</f>
        <v>4</v>
      </c>
      <c r="W69" s="268">
        <f>IF(ISBLANK('RESUMEN VIGILANCIA'!V10),"",'RESUMEN VIGILANCIA'!V10)</f>
        <v>6.9</v>
      </c>
      <c r="X69" s="268">
        <f>IF(ISBLANK('RESUMEN VIGILANCIA'!W10),"",'RESUMEN VIGILANCIA'!W10)</f>
        <v>11</v>
      </c>
      <c r="Y69" s="268">
        <f>IF(ISBLANK('RESUMEN VIGILANCIA'!X10),"",'RESUMEN VIGILANCIA'!X10)</f>
        <v>13.2</v>
      </c>
      <c r="Z69" s="453">
        <f>IF(ISBLANK('RESUMEN VIGILANCIA'!Y10),"",'RESUMEN VIGILANCIA'!Y10)</f>
        <v>320</v>
      </c>
      <c r="AA69" s="453">
        <f>IF(ISBLANK('RESUMEN VIGILANCIA'!Z10),"",'RESUMEN VIGILANCIA'!Z10)</f>
        <v>355</v>
      </c>
      <c r="AB69" s="453">
        <f>IF(ISBLANK('RESUMEN VIGILANCIA'!AA10),"",'RESUMEN VIGILANCIA'!AA10)</f>
        <v>355</v>
      </c>
      <c r="AC69" s="454">
        <f>IF(ISBLANK('RESUMEN VIGILANCIA'!AB10),"",'RESUMEN VIGILANCIA'!AB10)</f>
        <v>800</v>
      </c>
      <c r="AD69" s="377" t="str">
        <f>IF(ISBLANK('RESUMEN VIGILANCIA'!AC10),"",'RESUMEN VIGILANCIA'!AC10)</f>
        <v>CESE DE OPERACIONES</v>
      </c>
      <c r="AE69" s="378" t="str">
        <f>IF(ISBLANK('RESUMEN VIGILANCIA'!AD10),"",'RESUMEN VIGILANCIA'!AD10)</f>
        <v/>
      </c>
      <c r="AF69" s="378" t="str">
        <f>IF(ISBLANK('RESUMEN VIGILANCIA'!AE10),"",'RESUMEN VIGILANCIA'!AE10)</f>
        <v/>
      </c>
      <c r="AG69" s="378" t="str">
        <f>IF(ISBLANK('RESUMEN VIGILANCIA'!AF10),"",'RESUMEN VIGILANCIA'!AF10)</f>
        <v/>
      </c>
      <c r="AH69" s="378" t="str">
        <f>IF(ISBLANK('RESUMEN VIGILANCIA'!AG10),"",'RESUMEN VIGILANCIA'!AG10)</f>
        <v/>
      </c>
      <c r="AI69" s="378" t="str">
        <f>IF(ISBLANK('RESUMEN VIGILANCIA'!AH10),"",'RESUMEN VIGILANCIA'!AH10)</f>
        <v/>
      </c>
      <c r="AJ69" s="378" t="str">
        <f>IF(ISBLANK('RESUMEN VIGILANCIA'!AI10),"",'RESUMEN VIGILANCIA'!AI10)</f>
        <v/>
      </c>
      <c r="AK69" s="378" t="str">
        <f>IF(ISBLANK('RESUMEN VIGILANCIA'!AJ10),"",'RESUMEN VIGILANCIA'!AJ10)</f>
        <v/>
      </c>
      <c r="AL69" s="378" t="str">
        <f>IF(ISBLANK('RESUMEN VIGILANCIA'!AK10),"",'RESUMEN VIGILANCIA'!AK10)</f>
        <v/>
      </c>
      <c r="AM69" s="378" t="str">
        <f>IF(ISBLANK('RESUMEN VIGILANCIA'!AL10),"",'RESUMEN VIGILANCIA'!AL10)</f>
        <v/>
      </c>
      <c r="AN69" s="378" t="str">
        <f>IF(ISBLANK('RESUMEN VIGILANCIA'!AM10),"",'RESUMEN VIGILANCIA'!AM10)</f>
        <v/>
      </c>
      <c r="AO69" s="389" t="str">
        <f>IF(ISBLANK('RESUMEN VIGILANCIA'!AN10),"",'RESUMEN VIGILANCIA'!AN10)</f>
        <v/>
      </c>
      <c r="AP69" s="377" t="str">
        <f>IF(ISBLANK('RESUMEN VIGILANCIA'!AO10),"",'RESUMEN VIGILANCIA'!AO10)</f>
        <v/>
      </c>
      <c r="AQ69" s="378" t="str">
        <f>IF(ISBLANK('RESUMEN VIGILANCIA'!AP10),"",'RESUMEN VIGILANCIA'!AP10)</f>
        <v/>
      </c>
      <c r="AR69" s="378" t="str">
        <f>IF(ISBLANK('RESUMEN VIGILANCIA'!AQ10),"",'RESUMEN VIGILANCIA'!AQ10)</f>
        <v/>
      </c>
      <c r="AS69" s="378" t="str">
        <f>IF(ISBLANK('RESUMEN VIGILANCIA'!AR10),"",'RESUMEN VIGILANCIA'!AR10)</f>
        <v/>
      </c>
      <c r="AT69" s="378" t="str">
        <f>IF(ISBLANK('RESUMEN VIGILANCIA'!AS10),"",'RESUMEN VIGILANCIA'!AS10)</f>
        <v/>
      </c>
      <c r="AU69" s="378" t="str">
        <f>IF(ISBLANK('RESUMEN VIGILANCIA'!AT10),"",'RESUMEN VIGILANCIA'!AT10)</f>
        <v/>
      </c>
      <c r="AV69" s="378" t="str">
        <f>IF(ISBLANK('RESUMEN VIGILANCIA'!AU10),"",'RESUMEN VIGILANCIA'!AU10)</f>
        <v/>
      </c>
      <c r="AW69" s="378" t="str">
        <f>IF(ISBLANK('RESUMEN VIGILANCIA'!AV10),"",'RESUMEN VIGILANCIA'!AV10)</f>
        <v/>
      </c>
      <c r="AX69" s="378" t="str">
        <f>IF(ISBLANK('RESUMEN VIGILANCIA'!AW10),"",'RESUMEN VIGILANCIA'!AW10)</f>
        <v/>
      </c>
      <c r="AY69" s="378" t="str">
        <f>IF(ISBLANK('RESUMEN VIGILANCIA'!AX10),"",'RESUMEN VIGILANCIA'!AX10)</f>
        <v/>
      </c>
      <c r="AZ69" s="378" t="str">
        <f>IF(ISBLANK('RESUMEN VIGILANCIA'!AY10),"",'RESUMEN VIGILANCIA'!AY10)</f>
        <v/>
      </c>
      <c r="BA69" s="389" t="str">
        <f>IF(ISBLANK('RESUMEN VIGILANCIA'!AZ10),"",'RESUMEN VIGILANCIA'!AZ10)</f>
        <v/>
      </c>
      <c r="BB69" s="240">
        <f t="shared" si="2"/>
        <v>1873.9279999999999</v>
      </c>
      <c r="BC69" s="110"/>
      <c r="BD69" s="110">
        <v>43465</v>
      </c>
    </row>
    <row r="70" spans="1:56" s="28" customFormat="1" ht="20.100000000000001" customHeight="1">
      <c r="A70" s="519" t="str">
        <f>'RESUMEN VIGILANCIA'!A11</f>
        <v>Familia Calzadilla Trujillo</v>
      </c>
      <c r="B70" s="520" t="str">
        <f>'RESUMEN VIGILANCIA'!B11</f>
        <v>Av. "M" Nro. 146-30</v>
      </c>
      <c r="C70" s="427" t="s">
        <v>1358</v>
      </c>
      <c r="D70" s="434" t="s">
        <v>1357</v>
      </c>
      <c r="E70" s="418" t="str">
        <f>IF(ISBLANK('RESUMEN VIGILANCIA'!D11),"",'RESUMEN VIGILANCIA'!D11)</f>
        <v/>
      </c>
      <c r="F70" s="295" t="str">
        <f>IF(ISBLANK('RESUMEN VIGILANCIA'!E11),"",'RESUMEN VIGILANCIA'!E11)</f>
        <v/>
      </c>
      <c r="G70" s="214" t="str">
        <f>IF(ISBLANK('RESUMEN VIGILANCIA'!F11),"",'RESUMEN VIGILANCIA'!F11)</f>
        <v/>
      </c>
      <c r="H70" s="214" t="str">
        <f>IF(ISBLANK('RESUMEN VIGILANCIA'!G11),"",'RESUMEN VIGILANCIA'!G11)</f>
        <v/>
      </c>
      <c r="I70" s="214" t="str">
        <f>IF(ISBLANK('RESUMEN VIGILANCIA'!H11),"",'RESUMEN VIGILANCIA'!H11)</f>
        <v/>
      </c>
      <c r="J70" s="214" t="str">
        <f>IF(ISBLANK('RESUMEN VIGILANCIA'!I11),"",'RESUMEN VIGILANCIA'!I11)</f>
        <v/>
      </c>
      <c r="K70" s="214" t="str">
        <f>IF(ISBLANK('RESUMEN VIGILANCIA'!J11),"",'RESUMEN VIGILANCIA'!J11)</f>
        <v/>
      </c>
      <c r="L70" s="214" t="str">
        <f>IF(ISBLANK('RESUMEN VIGILANCIA'!K11),"",'RESUMEN VIGILANCIA'!K11)</f>
        <v/>
      </c>
      <c r="M70" s="214" t="str">
        <f>IF(ISBLANK('RESUMEN VIGILANCIA'!L11),"",'RESUMEN VIGILANCIA'!L11)</f>
        <v/>
      </c>
      <c r="N70" s="214" t="str">
        <f>IF(ISBLANK('RESUMEN VIGILANCIA'!M11),"",'RESUMEN VIGILANCIA'!M11)</f>
        <v/>
      </c>
      <c r="O70" s="214" t="str">
        <f>IF(ISBLANK('RESUMEN VIGILANCIA'!N11),"",'RESUMEN VIGILANCIA'!N11)</f>
        <v/>
      </c>
      <c r="P70" s="281" t="str">
        <f>IF(ISBLANK('RESUMEN VIGILANCIA'!O11),"",'RESUMEN VIGILANCIA'!O11)</f>
        <v/>
      </c>
      <c r="Q70" s="212" t="str">
        <f>IF(ISBLANK('RESUMEN VIGILANCIA'!P11),"",'RESUMEN VIGILANCIA'!P11)</f>
        <v/>
      </c>
      <c r="R70" s="282" t="str">
        <f>IF(ISBLANK('RESUMEN VIGILANCIA'!Q11),"",'RESUMEN VIGILANCIA'!Q11)</f>
        <v/>
      </c>
      <c r="S70" s="281" t="str">
        <f>IF(ISBLANK('RESUMEN VIGILANCIA'!R11),"",'RESUMEN VIGILANCIA'!R11)</f>
        <v/>
      </c>
      <c r="T70" s="281" t="str">
        <f>IF(ISBLANK('RESUMEN VIGILANCIA'!S11),"",'RESUMEN VIGILANCIA'!S11)</f>
        <v/>
      </c>
      <c r="U70" s="281" t="str">
        <f>IF(ISBLANK('RESUMEN VIGILANCIA'!T11),"",'RESUMEN VIGILANCIA'!T11)</f>
        <v/>
      </c>
      <c r="V70" s="281" t="str">
        <f>IF(ISBLANK('RESUMEN VIGILANCIA'!U11),"",'RESUMEN VIGILANCIA'!U11)</f>
        <v/>
      </c>
      <c r="W70" s="281" t="str">
        <f>IF(ISBLANK('RESUMEN VIGILANCIA'!V11),"",'RESUMEN VIGILANCIA'!V11)</f>
        <v/>
      </c>
      <c r="X70" s="281" t="str">
        <f>IF(ISBLANK('RESUMEN VIGILANCIA'!W11),"",'RESUMEN VIGILANCIA'!W11)</f>
        <v/>
      </c>
      <c r="Y70" s="281" t="str">
        <f>IF(ISBLANK('RESUMEN VIGILANCIA'!X11),"",'RESUMEN VIGILANCIA'!X11)</f>
        <v/>
      </c>
      <c r="Z70" s="464" t="str">
        <f>IF(ISBLANK('RESUMEN VIGILANCIA'!Y11),"",'RESUMEN VIGILANCIA'!Y11)</f>
        <v/>
      </c>
      <c r="AA70" s="464" t="str">
        <f>IF(ISBLANK('RESUMEN VIGILANCIA'!Z11),"",'RESUMEN VIGILANCIA'!Z11)</f>
        <v/>
      </c>
      <c r="AB70" s="464" t="str">
        <f>IF(ISBLANK('RESUMEN VIGILANCIA'!AA11),"",'RESUMEN VIGILANCIA'!AA11)</f>
        <v/>
      </c>
      <c r="AC70" s="465" t="str">
        <f>IF(ISBLANK('RESUMEN VIGILANCIA'!AB11),"",'RESUMEN VIGILANCIA'!AB11)</f>
        <v/>
      </c>
      <c r="AD70" s="374">
        <f>IF(ISBLANK('RESUMEN VIGILANCIA'!AC11),"",'RESUMEN VIGILANCIA'!AC11)</f>
        <v>3000</v>
      </c>
      <c r="AE70" s="375">
        <f>IF(ISBLANK('RESUMEN VIGILANCIA'!AD11),"",'RESUMEN VIGILANCIA'!AD11)</f>
        <v>3000</v>
      </c>
      <c r="AF70" s="375">
        <f>IF(ISBLANK('RESUMEN VIGILANCIA'!AE11),"",'RESUMEN VIGILANCIA'!AE11)</f>
        <v>3000</v>
      </c>
      <c r="AG70" s="375">
        <f>IF(ISBLANK('RESUMEN VIGILANCIA'!AF11),"",'RESUMEN VIGILANCIA'!AF11)</f>
        <v>5000</v>
      </c>
      <c r="AH70" s="375">
        <f>IF(ISBLANK('RESUMEN VIGILANCIA'!AG11),"",'RESUMEN VIGILANCIA'!AG11)</f>
        <v>8000</v>
      </c>
      <c r="AI70" s="375">
        <f>IF(ISBLANK('RESUMEN VIGILANCIA'!AH11),"",'RESUMEN VIGILANCIA'!AH11)</f>
        <v>8000</v>
      </c>
      <c r="AJ70" s="508" t="str">
        <f>IF(ISBLANK('RESUMEN VIGILANCIA'!AI11),"",'RESUMEN VIGILANCIA'!AI11)</f>
        <v>VENDIDA</v>
      </c>
      <c r="AK70" s="378" t="str">
        <f>IF(ISBLANK('RESUMEN VIGILANCIA'!AJ11),"",'RESUMEN VIGILANCIA'!AJ11)</f>
        <v/>
      </c>
      <c r="AL70" s="378" t="str">
        <f>IF(ISBLANK('RESUMEN VIGILANCIA'!AK11),"",'RESUMEN VIGILANCIA'!AK11)</f>
        <v/>
      </c>
      <c r="AM70" s="378" t="str">
        <f>IF(ISBLANK('RESUMEN VIGILANCIA'!AL11),"",'RESUMEN VIGILANCIA'!AL11)</f>
        <v/>
      </c>
      <c r="AN70" s="378" t="str">
        <f>IF(ISBLANK('RESUMEN VIGILANCIA'!AM11),"",'RESUMEN VIGILANCIA'!AM11)</f>
        <v/>
      </c>
      <c r="AO70" s="389" t="str">
        <f>IF(ISBLANK('RESUMEN VIGILANCIA'!AN11),"",'RESUMEN VIGILANCIA'!AN11)</f>
        <v/>
      </c>
      <c r="AP70" s="377" t="str">
        <f>IF(ISBLANK('RESUMEN VIGILANCIA'!AO11),"",'RESUMEN VIGILANCIA'!AO11)</f>
        <v/>
      </c>
      <c r="AQ70" s="378" t="str">
        <f>IF(ISBLANK('RESUMEN VIGILANCIA'!AP11),"",'RESUMEN VIGILANCIA'!AP11)</f>
        <v/>
      </c>
      <c r="AR70" s="378" t="str">
        <f>IF(ISBLANK('RESUMEN VIGILANCIA'!AQ11),"",'RESUMEN VIGILANCIA'!AQ11)</f>
        <v/>
      </c>
      <c r="AS70" s="378" t="str">
        <f>IF(ISBLANK('RESUMEN VIGILANCIA'!AR11),"",'RESUMEN VIGILANCIA'!AR11)</f>
        <v/>
      </c>
      <c r="AT70" s="378" t="str">
        <f>IF(ISBLANK('RESUMEN VIGILANCIA'!AS11),"",'RESUMEN VIGILANCIA'!AS11)</f>
        <v/>
      </c>
      <c r="AU70" s="378" t="str">
        <f>IF(ISBLANK('RESUMEN VIGILANCIA'!AT11),"",'RESUMEN VIGILANCIA'!AT11)</f>
        <v/>
      </c>
      <c r="AV70" s="508" t="str">
        <f>IF(ISBLANK('RESUMEN VIGILANCIA'!AU11),"",'RESUMEN VIGILANCIA'!AU11)</f>
        <v/>
      </c>
      <c r="AW70" s="378" t="str">
        <f>IF(ISBLANK('RESUMEN VIGILANCIA'!AV11),"",'RESUMEN VIGILANCIA'!AV11)</f>
        <v/>
      </c>
      <c r="AX70" s="378" t="str">
        <f>IF(ISBLANK('RESUMEN VIGILANCIA'!AW11),"",'RESUMEN VIGILANCIA'!AW11)</f>
        <v/>
      </c>
      <c r="AY70" s="378" t="str">
        <f>IF(ISBLANK('RESUMEN VIGILANCIA'!AX11),"",'RESUMEN VIGILANCIA'!AX11)</f>
        <v/>
      </c>
      <c r="AZ70" s="378" t="str">
        <f>IF(ISBLANK('RESUMEN VIGILANCIA'!AY11),"",'RESUMEN VIGILANCIA'!AY11)</f>
        <v/>
      </c>
      <c r="BA70" s="389" t="str">
        <f>IF(ISBLANK('RESUMEN VIGILANCIA'!AZ11),"",'RESUMEN VIGILANCIA'!AZ11)</f>
        <v/>
      </c>
      <c r="BB70" s="240">
        <f t="shared" ref="BB70:BB104" si="6">SUM(E70:AO70)</f>
        <v>30000</v>
      </c>
      <c r="BC70" s="110">
        <v>43466</v>
      </c>
      <c r="BD70" s="110">
        <v>43617</v>
      </c>
    </row>
    <row r="71" spans="1:56" s="28" customFormat="1" ht="20.100000000000001" customHeight="1">
      <c r="A71" s="359" t="str">
        <f>'RESUMEN VIGILANCIA'!A12</f>
        <v>Santiago Varela</v>
      </c>
      <c r="B71" s="360" t="str">
        <f>'RESUMEN VIGILANCIA'!B12</f>
        <v>Av. "M" Nro. 146-30</v>
      </c>
      <c r="C71" s="427" t="s">
        <v>1358</v>
      </c>
      <c r="D71" s="434" t="s">
        <v>1357</v>
      </c>
      <c r="E71" s="418" t="str">
        <f>IF(ISBLANK('RESUMEN VIGILANCIA'!D12),"",'RESUMEN VIGILANCIA'!D12)</f>
        <v/>
      </c>
      <c r="F71" s="295" t="str">
        <f>IF(ISBLANK('RESUMEN VIGILANCIA'!E12),"",'RESUMEN VIGILANCIA'!E12)</f>
        <v/>
      </c>
      <c r="G71" s="214" t="str">
        <f>IF(ISBLANK('RESUMEN VIGILANCIA'!F12),"",'RESUMEN VIGILANCIA'!F12)</f>
        <v/>
      </c>
      <c r="H71" s="214" t="str">
        <f>IF(ISBLANK('RESUMEN VIGILANCIA'!G12),"",'RESUMEN VIGILANCIA'!G12)</f>
        <v/>
      </c>
      <c r="I71" s="214" t="str">
        <f>IF(ISBLANK('RESUMEN VIGILANCIA'!H12),"",'RESUMEN VIGILANCIA'!H12)</f>
        <v/>
      </c>
      <c r="J71" s="214" t="str">
        <f>IF(ISBLANK('RESUMEN VIGILANCIA'!I12),"",'RESUMEN VIGILANCIA'!I12)</f>
        <v/>
      </c>
      <c r="K71" s="214" t="str">
        <f>IF(ISBLANK('RESUMEN VIGILANCIA'!J12),"",'RESUMEN VIGILANCIA'!J12)</f>
        <v/>
      </c>
      <c r="L71" s="214" t="str">
        <f>IF(ISBLANK('RESUMEN VIGILANCIA'!K12),"",'RESUMEN VIGILANCIA'!K12)</f>
        <v/>
      </c>
      <c r="M71" s="214" t="str">
        <f>IF(ISBLANK('RESUMEN VIGILANCIA'!L12),"",'RESUMEN VIGILANCIA'!L12)</f>
        <v/>
      </c>
      <c r="N71" s="214" t="str">
        <f>IF(ISBLANK('RESUMEN VIGILANCIA'!M12),"",'RESUMEN VIGILANCIA'!M12)</f>
        <v/>
      </c>
      <c r="O71" s="214" t="str">
        <f>IF(ISBLANK('RESUMEN VIGILANCIA'!N12),"",'RESUMEN VIGILANCIA'!N12)</f>
        <v/>
      </c>
      <c r="P71" s="281" t="str">
        <f>IF(ISBLANK('RESUMEN VIGILANCIA'!O12),"",'RESUMEN VIGILANCIA'!O12)</f>
        <v/>
      </c>
      <c r="Q71" s="212" t="str">
        <f>IF(ISBLANK('RESUMEN VIGILANCIA'!P12),"",'RESUMEN VIGILANCIA'!P12)</f>
        <v/>
      </c>
      <c r="R71" s="282" t="str">
        <f>IF(ISBLANK('RESUMEN VIGILANCIA'!Q12),"",'RESUMEN VIGILANCIA'!Q12)</f>
        <v/>
      </c>
      <c r="S71" s="281" t="str">
        <f>IF(ISBLANK('RESUMEN VIGILANCIA'!R12),"",'RESUMEN VIGILANCIA'!R12)</f>
        <v/>
      </c>
      <c r="T71" s="281" t="str">
        <f>IF(ISBLANK('RESUMEN VIGILANCIA'!S12),"",'RESUMEN VIGILANCIA'!S12)</f>
        <v/>
      </c>
      <c r="U71" s="281" t="str">
        <f>IF(ISBLANK('RESUMEN VIGILANCIA'!T12),"",'RESUMEN VIGILANCIA'!T12)</f>
        <v/>
      </c>
      <c r="V71" s="281" t="str">
        <f>IF(ISBLANK('RESUMEN VIGILANCIA'!U12),"",'RESUMEN VIGILANCIA'!U12)</f>
        <v/>
      </c>
      <c r="W71" s="281" t="str">
        <f>IF(ISBLANK('RESUMEN VIGILANCIA'!V12),"",'RESUMEN VIGILANCIA'!V12)</f>
        <v/>
      </c>
      <c r="X71" s="281" t="str">
        <f>IF(ISBLANK('RESUMEN VIGILANCIA'!W12),"",'RESUMEN VIGILANCIA'!W12)</f>
        <v/>
      </c>
      <c r="Y71" s="281" t="str">
        <f>IF(ISBLANK('RESUMEN VIGILANCIA'!X12),"",'RESUMEN VIGILANCIA'!X12)</f>
        <v/>
      </c>
      <c r="Z71" s="464" t="str">
        <f>IF(ISBLANK('RESUMEN VIGILANCIA'!Y12),"",'RESUMEN VIGILANCIA'!Y12)</f>
        <v/>
      </c>
      <c r="AA71" s="464" t="str">
        <f>IF(ISBLANK('RESUMEN VIGILANCIA'!Z12),"",'RESUMEN VIGILANCIA'!Z12)</f>
        <v/>
      </c>
      <c r="AB71" s="464" t="str">
        <f>IF(ISBLANK('RESUMEN VIGILANCIA'!AA12),"",'RESUMEN VIGILANCIA'!AA12)</f>
        <v/>
      </c>
      <c r="AC71" s="465" t="str">
        <f>IF(ISBLANK('RESUMEN VIGILANCIA'!AB12),"",'RESUMEN VIGILANCIA'!AB12)</f>
        <v/>
      </c>
      <c r="AD71" s="478" t="str">
        <f>IF(ISBLANK('RESUMEN VIGILANCIA'!AC12),"",'RESUMEN VIGILANCIA'!AC12)</f>
        <v/>
      </c>
      <c r="AE71" s="479" t="str">
        <f>IF(ISBLANK('RESUMEN VIGILANCIA'!AD12),"",'RESUMEN VIGILANCIA'!AD12)</f>
        <v/>
      </c>
      <c r="AF71" s="479" t="str">
        <f>IF(ISBLANK('RESUMEN VIGILANCIA'!AE12),"",'RESUMEN VIGILANCIA'!AE12)</f>
        <v/>
      </c>
      <c r="AG71" s="479" t="str">
        <f>IF(ISBLANK('RESUMEN VIGILANCIA'!AF12),"",'RESUMEN VIGILANCIA'!AF12)</f>
        <v/>
      </c>
      <c r="AH71" s="479" t="str">
        <f>IF(ISBLANK('RESUMEN VIGILANCIA'!AG12),"",'RESUMEN VIGILANCIA'!AG12)</f>
        <v/>
      </c>
      <c r="AI71" s="479" t="str">
        <f>IF(ISBLANK('RESUMEN VIGILANCIA'!AH12),"",'RESUMEN VIGILANCIA'!AH12)</f>
        <v/>
      </c>
      <c r="AJ71" s="375">
        <f>IF(ISBLANK('RESUMEN VIGILANCIA'!AI12),"",'RESUMEN VIGILANCIA'!AI12)</f>
        <v>10000</v>
      </c>
      <c r="AK71" s="375">
        <f>IF(ISBLANK('RESUMEN VIGILANCIA'!AJ12),"",'RESUMEN VIGILANCIA'!AJ12)</f>
        <v>10000</v>
      </c>
      <c r="AL71" s="375">
        <f>IF(ISBLANK('RESUMEN VIGILANCIA'!AK12),"",'RESUMEN VIGILANCIA'!AK12)</f>
        <v>19800</v>
      </c>
      <c r="AM71" s="375">
        <f>IF(ISBLANK('RESUMEN VIGILANCIA'!AL12),"",'RESUMEN VIGILANCIA'!AL12)</f>
        <v>51250</v>
      </c>
      <c r="AN71" s="375">
        <f>IF(ISBLANK('RESUMEN VIGILANCIA'!AM12),"",'RESUMEN VIGILANCIA'!AM12)</f>
        <v>81750</v>
      </c>
      <c r="AO71" s="376">
        <f>IF(ISBLANK('RESUMEN VIGILANCIA'!AN12),"",'RESUMEN VIGILANCIA'!AN12)</f>
        <v>81750</v>
      </c>
      <c r="AP71" s="374">
        <f>IF(ISBLANK('RESUMEN VIGILANCIA'!AO12),"",'RESUMEN VIGILANCIA'!AO12)</f>
        <v>136250</v>
      </c>
      <c r="AQ71" s="375">
        <f>IF(ISBLANK('RESUMEN VIGILANCIA'!AP12),"",'RESUMEN VIGILANCIA'!AP12)</f>
        <v>136250</v>
      </c>
      <c r="AR71" s="375">
        <f>IF(ISBLANK('RESUMEN VIGILANCIA'!AQ12),"",'RESUMEN VIGILANCIA'!AQ12)</f>
        <v>185000</v>
      </c>
      <c r="AS71" s="375">
        <f>IF(ISBLANK('RESUMEN VIGILANCIA'!AR12),"",'RESUMEN VIGILANCIA'!AR12)</f>
        <v>185250</v>
      </c>
      <c r="AT71" s="375">
        <f>IF(ISBLANK('RESUMEN VIGILANCIA'!AS12),"",'RESUMEN VIGILANCIA'!AS12)</f>
        <v>250000</v>
      </c>
      <c r="AU71" s="375" t="str">
        <f>IF(ISBLANK('RESUMEN VIGILANCIA'!AT12),"",'RESUMEN VIGILANCIA'!AT12)</f>
        <v/>
      </c>
      <c r="AV71" s="375" t="str">
        <f>IF(ISBLANK('RESUMEN VIGILANCIA'!AU12),"",'RESUMEN VIGILANCIA'!AU12)</f>
        <v/>
      </c>
      <c r="AW71" s="375" t="str">
        <f>IF(ISBLANK('RESUMEN VIGILANCIA'!AV12),"",'RESUMEN VIGILANCIA'!AV12)</f>
        <v/>
      </c>
      <c r="AX71" s="375" t="str">
        <f>IF(ISBLANK('RESUMEN VIGILANCIA'!AW12),"",'RESUMEN VIGILANCIA'!AW12)</f>
        <v/>
      </c>
      <c r="AY71" s="375" t="str">
        <f>IF(ISBLANK('RESUMEN VIGILANCIA'!AX12),"",'RESUMEN VIGILANCIA'!AX12)</f>
        <v/>
      </c>
      <c r="AZ71" s="375" t="str">
        <f>IF(ISBLANK('RESUMEN VIGILANCIA'!AY12),"",'RESUMEN VIGILANCIA'!AY12)</f>
        <v/>
      </c>
      <c r="BA71" s="376" t="str">
        <f>IF(ISBLANK('RESUMEN VIGILANCIA'!AZ12),"",'RESUMEN VIGILANCIA'!AZ12)</f>
        <v/>
      </c>
      <c r="BB71" s="240">
        <f t="shared" ref="BB71" si="7">SUM(E71:AO71)</f>
        <v>254550</v>
      </c>
      <c r="BC71" s="110">
        <v>43647</v>
      </c>
      <c r="BD71" s="110"/>
    </row>
    <row r="72" spans="1:56" s="28" customFormat="1" ht="20.100000000000001" customHeight="1">
      <c r="A72" s="29" t="str">
        <f>'RESUMEN VIGILANCIA'!A6</f>
        <v>Sra. Reina Meléndez</v>
      </c>
      <c r="B72" s="30" t="str">
        <f>'RESUMEN VIGILANCIA'!B6</f>
        <v>Av. "M" Nro. 145-10</v>
      </c>
      <c r="C72" s="427" t="s">
        <v>1358</v>
      </c>
      <c r="D72" s="434" t="s">
        <v>1357</v>
      </c>
      <c r="E72" s="415" t="str">
        <f>IF(ISBLANK('RESUMEN VIGILANCIA'!D6),"",'RESUMEN VIGILANCIA'!D6)</f>
        <v/>
      </c>
      <c r="F72" s="267">
        <f>IF(ISBLANK('RESUMEN VIGILANCIA'!E6),"",'RESUMEN VIGILANCIA'!E6)</f>
        <v>0.17</v>
      </c>
      <c r="G72" s="179">
        <f>IF(ISBLANK('RESUMEN VIGILANCIA'!F6),"",'RESUMEN VIGILANCIA'!F6)</f>
        <v>0.17</v>
      </c>
      <c r="H72" s="179">
        <f>IF(ISBLANK('RESUMEN VIGILANCIA'!G6),"",'RESUMEN VIGILANCIA'!G6)</f>
        <v>0.17</v>
      </c>
      <c r="I72" s="179">
        <f>IF(ISBLANK('RESUMEN VIGILANCIA'!H6),"",'RESUMEN VIGILANCIA'!H6)</f>
        <v>0.17</v>
      </c>
      <c r="J72" s="179">
        <f>IF(ISBLANK('RESUMEN VIGILANCIA'!I6),"",'RESUMEN VIGILANCIA'!I6)</f>
        <v>0.26</v>
      </c>
      <c r="K72" s="179">
        <f>IF(ISBLANK('RESUMEN VIGILANCIA'!J6),"",'RESUMEN VIGILANCIA'!J6)</f>
        <v>0.26</v>
      </c>
      <c r="L72" s="179">
        <f>IF(ISBLANK('RESUMEN VIGILANCIA'!K6),"",'RESUMEN VIGILANCIA'!K6)</f>
        <v>0.35</v>
      </c>
      <c r="M72" s="179">
        <f>IF(ISBLANK('RESUMEN VIGILANCIA'!L6),"",'RESUMEN VIGILANCIA'!L6)</f>
        <v>0.35</v>
      </c>
      <c r="N72" s="179">
        <f>IF(ISBLANK('RESUMEN VIGILANCIA'!M6),"",'RESUMEN VIGILANCIA'!M6)</f>
        <v>0.35</v>
      </c>
      <c r="O72" s="179">
        <f>IF(ISBLANK('RESUMEN VIGILANCIA'!N6),"",'RESUMEN VIGILANCIA'!N6)</f>
        <v>0.35</v>
      </c>
      <c r="P72" s="268">
        <f>IF(ISBLANK('RESUMEN VIGILANCIA'!O6),"",'RESUMEN VIGILANCIA'!O6)</f>
        <v>0.5</v>
      </c>
      <c r="Q72" s="177">
        <f>IF(ISBLANK('RESUMEN VIGILANCIA'!P6),"",'RESUMEN VIGILANCIA'!P6)</f>
        <v>0.5</v>
      </c>
      <c r="R72" s="269">
        <f>IF(ISBLANK('RESUMEN VIGILANCIA'!Q6),"",'RESUMEN VIGILANCIA'!Q6)</f>
        <v>0.8</v>
      </c>
      <c r="S72" s="268">
        <f>IF(ISBLANK('RESUMEN VIGILANCIA'!R6),"",'RESUMEN VIGILANCIA'!R6)</f>
        <v>0.8</v>
      </c>
      <c r="T72" s="268">
        <f>IF(ISBLANK('RESUMEN VIGILANCIA'!S6),"",'RESUMEN VIGILANCIA'!S6)</f>
        <v>1.4</v>
      </c>
      <c r="U72" s="268">
        <f>IF(ISBLANK('RESUMEN VIGILANCIA'!T6),"",'RESUMEN VIGILANCIA'!T6)</f>
        <v>1.4</v>
      </c>
      <c r="V72" s="268">
        <f>IF(ISBLANK('RESUMEN VIGILANCIA'!U6),"",'RESUMEN VIGILANCIA'!U6)</f>
        <v>4</v>
      </c>
      <c r="W72" s="268">
        <f>IF(ISBLANK('RESUMEN VIGILANCIA'!V6),"",'RESUMEN VIGILANCIA'!V6)</f>
        <v>6.25</v>
      </c>
      <c r="X72" s="268">
        <f>IF(ISBLANK('RESUMEN VIGILANCIA'!W6),"",'RESUMEN VIGILANCIA'!W6)</f>
        <v>10</v>
      </c>
      <c r="Y72" s="268">
        <f>IF(ISBLANK('RESUMEN VIGILANCIA'!X6),"",'RESUMEN VIGILANCIA'!X6)</f>
        <v>12</v>
      </c>
      <c r="Z72" s="453">
        <f>IF(ISBLANK('RESUMEN VIGILANCIA'!Y6),"",'RESUMEN VIGILANCIA'!Y6)</f>
        <v>320</v>
      </c>
      <c r="AA72" s="453">
        <f>IF(ISBLANK('RESUMEN VIGILANCIA'!Z6),"",'RESUMEN VIGILANCIA'!Z6)</f>
        <v>320</v>
      </c>
      <c r="AB72" s="453">
        <f>IF(ISBLANK('RESUMEN VIGILANCIA'!AA6),"",'RESUMEN VIGILANCIA'!AA6)</f>
        <v>320</v>
      </c>
      <c r="AC72" s="454">
        <f>IF(ISBLANK('RESUMEN VIGILANCIA'!AB6),"",'RESUMEN VIGILANCIA'!AB6)</f>
        <v>800</v>
      </c>
      <c r="AD72" s="374">
        <f>IF(ISBLANK('RESUMEN VIGILANCIA'!AC6),"",'RESUMEN VIGILANCIA'!AC6)</f>
        <v>3000</v>
      </c>
      <c r="AE72" s="375">
        <f>IF(ISBLANK('RESUMEN VIGILANCIA'!AD6),"",'RESUMEN VIGILANCIA'!AD6)</f>
        <v>3000</v>
      </c>
      <c r="AF72" s="375">
        <f>IF(ISBLANK('RESUMEN VIGILANCIA'!AE6),"",'RESUMEN VIGILANCIA'!AE6)</f>
        <v>3000</v>
      </c>
      <c r="AG72" s="375">
        <f>IF(ISBLANK('RESUMEN VIGILANCIA'!AF6),"",'RESUMEN VIGILANCIA'!AF6)</f>
        <v>5000</v>
      </c>
      <c r="AH72" s="375">
        <f>IF(ISBLANK('RESUMEN VIGILANCIA'!AG6),"",'RESUMEN VIGILANCIA'!AG6)</f>
        <v>8000</v>
      </c>
      <c r="AI72" s="375">
        <f>IF(ISBLANK('RESUMEN VIGILANCIA'!AH6),"",'RESUMEN VIGILANCIA'!AH6)</f>
        <v>8000</v>
      </c>
      <c r="AJ72" s="375">
        <f>IF(ISBLANK('RESUMEN VIGILANCIA'!AI6),"",'RESUMEN VIGILANCIA'!AI6)</f>
        <v>10000</v>
      </c>
      <c r="AK72" s="375">
        <f>IF(ISBLANK('RESUMEN VIGILANCIA'!AJ6),"",'RESUMEN VIGILANCIA'!AJ6)</f>
        <v>10000</v>
      </c>
      <c r="AL72" s="375">
        <f>IF(ISBLANK('RESUMEN VIGILANCIA'!AK6),"",'RESUMEN VIGILANCIA'!AK6)</f>
        <v>22000</v>
      </c>
      <c r="AM72" s="375">
        <f>IF(ISBLANK('RESUMEN VIGILANCIA'!AL6),"",'RESUMEN VIGILANCIA'!AL6)</f>
        <v>47000</v>
      </c>
      <c r="AN72" s="375">
        <f>IF(ISBLANK('RESUMEN VIGILANCIA'!AM6),"",'RESUMEN VIGILANCIA'!AM6)</f>
        <v>56250</v>
      </c>
      <c r="AO72" s="376">
        <f>IF(ISBLANK('RESUMEN VIGILANCIA'!AN6),"",'RESUMEN VIGILANCIA'!AN6)</f>
        <v>97500</v>
      </c>
      <c r="AP72" s="374">
        <f>IF(ISBLANK('RESUMEN VIGILANCIA'!AO6),"",'RESUMEN VIGILANCIA'!AO6)</f>
        <v>136250</v>
      </c>
      <c r="AQ72" s="375">
        <f>IF(ISBLANK('RESUMEN VIGILANCIA'!AP6),"",'RESUMEN VIGILANCIA'!AP6)</f>
        <v>136250</v>
      </c>
      <c r="AR72" s="375">
        <f>IF(ISBLANK('RESUMEN VIGILANCIA'!AQ6),"",'RESUMEN VIGILANCIA'!AQ6)</f>
        <v>185250</v>
      </c>
      <c r="AS72" s="375">
        <f>IF(ISBLANK('RESUMEN VIGILANCIA'!AR6),"",'RESUMEN VIGILANCIA'!AR6)</f>
        <v>186250</v>
      </c>
      <c r="AT72" s="375">
        <f>IF(ISBLANK('RESUMEN VIGILANCIA'!AS6),"",'RESUMEN VIGILANCIA'!AS6)</f>
        <v>250000</v>
      </c>
      <c r="AU72" s="375">
        <f>IF(ISBLANK('RESUMEN VIGILANCIA'!AT6),"",'RESUMEN VIGILANCIA'!AT6)</f>
        <v>250000</v>
      </c>
      <c r="AV72" s="375" t="str">
        <f>IF(ISBLANK('RESUMEN VIGILANCIA'!AU6),"",'RESUMEN VIGILANCIA'!AU6)</f>
        <v/>
      </c>
      <c r="AW72" s="375" t="str">
        <f>IF(ISBLANK('RESUMEN VIGILANCIA'!AV6),"",'RESUMEN VIGILANCIA'!AV6)</f>
        <v/>
      </c>
      <c r="AX72" s="375" t="str">
        <f>IF(ISBLANK('RESUMEN VIGILANCIA'!AW6),"",'RESUMEN VIGILANCIA'!AW6)</f>
        <v/>
      </c>
      <c r="AY72" s="375" t="str">
        <f>IF(ISBLANK('RESUMEN VIGILANCIA'!AX6),"",'RESUMEN VIGILANCIA'!AX6)</f>
        <v/>
      </c>
      <c r="AZ72" s="375" t="str">
        <f>IF(ISBLANK('RESUMEN VIGILANCIA'!AY6),"",'RESUMEN VIGILANCIA'!AY6)</f>
        <v/>
      </c>
      <c r="BA72" s="376" t="str">
        <f>IF(ISBLANK('RESUMEN VIGILANCIA'!AZ6),"",'RESUMEN VIGILANCIA'!AZ6)</f>
        <v/>
      </c>
      <c r="BB72" s="240">
        <f t="shared" si="6"/>
        <v>274550.25</v>
      </c>
      <c r="BC72" s="110"/>
      <c r="BD72" s="110"/>
    </row>
    <row r="73" spans="1:56" s="28" customFormat="1" ht="20.100000000000001" customHeight="1">
      <c r="A73" s="29" t="str">
        <f>'RESUMEN VIGILANCIA'!A17</f>
        <v>Ana de González</v>
      </c>
      <c r="B73" s="30" t="str">
        <f>'RESUMEN VIGILANCIA'!B17</f>
        <v>Av. "O" Nro. 146-17</v>
      </c>
      <c r="C73" s="427" t="s">
        <v>1358</v>
      </c>
      <c r="D73" s="434" t="s">
        <v>1357</v>
      </c>
      <c r="E73" s="415" t="str">
        <f>IF(ISBLANK('RESUMEN VIGILANCIA'!D17),"",'RESUMEN VIGILANCIA'!D17)</f>
        <v/>
      </c>
      <c r="F73" s="267">
        <f>IF(ISBLANK('RESUMEN VIGILANCIA'!E17),"",'RESUMEN VIGILANCIA'!E17)</f>
        <v>0.17</v>
      </c>
      <c r="G73" s="179">
        <f>IF(ISBLANK('RESUMEN VIGILANCIA'!F17),"",'RESUMEN VIGILANCIA'!F17)</f>
        <v>0.17</v>
      </c>
      <c r="H73" s="179">
        <f>IF(ISBLANK('RESUMEN VIGILANCIA'!G17),"",'RESUMEN VIGILANCIA'!G17)</f>
        <v>0.17</v>
      </c>
      <c r="I73" s="179">
        <f>IF(ISBLANK('RESUMEN VIGILANCIA'!H17),"",'RESUMEN VIGILANCIA'!H17)</f>
        <v>0.17</v>
      </c>
      <c r="J73" s="179">
        <f>IF(ISBLANK('RESUMEN VIGILANCIA'!I17),"",'RESUMEN VIGILANCIA'!I17)</f>
        <v>0.26</v>
      </c>
      <c r="K73" s="179">
        <f>IF(ISBLANK('RESUMEN VIGILANCIA'!J17),"",'RESUMEN VIGILANCIA'!J17)</f>
        <v>0.26</v>
      </c>
      <c r="L73" s="179">
        <f>IF(ISBLANK('RESUMEN VIGILANCIA'!K17),"",'RESUMEN VIGILANCIA'!K17)</f>
        <v>0.35</v>
      </c>
      <c r="M73" s="179">
        <f>IF(ISBLANK('RESUMEN VIGILANCIA'!L17),"",'RESUMEN VIGILANCIA'!L17)</f>
        <v>0.35</v>
      </c>
      <c r="N73" s="179">
        <f>IF(ISBLANK('RESUMEN VIGILANCIA'!M17),"",'RESUMEN VIGILANCIA'!M17)</f>
        <v>0.35</v>
      </c>
      <c r="O73" s="179">
        <f>IF(ISBLANK('RESUMEN VIGILANCIA'!N17),"",'RESUMEN VIGILANCIA'!N17)</f>
        <v>0.35</v>
      </c>
      <c r="P73" s="268">
        <f>IF(ISBLANK('RESUMEN VIGILANCIA'!O17),"",'RESUMEN VIGILANCIA'!O17)</f>
        <v>0.5</v>
      </c>
      <c r="Q73" s="177">
        <f>IF(ISBLANK('RESUMEN VIGILANCIA'!P17),"",'RESUMEN VIGILANCIA'!P17)</f>
        <v>0.5</v>
      </c>
      <c r="R73" s="269">
        <f>IF(ISBLANK('RESUMEN VIGILANCIA'!Q17),"",'RESUMEN VIGILANCIA'!Q17)</f>
        <v>0.8</v>
      </c>
      <c r="S73" s="268">
        <f>IF(ISBLANK('RESUMEN VIGILANCIA'!R17),"",'RESUMEN VIGILANCIA'!R17)</f>
        <v>0.8</v>
      </c>
      <c r="T73" s="268">
        <f>IF(ISBLANK('RESUMEN VIGILANCIA'!S17),"",'RESUMEN VIGILANCIA'!S17)</f>
        <v>1.4</v>
      </c>
      <c r="U73" s="268">
        <f>IF(ISBLANK('RESUMEN VIGILANCIA'!T17),"",'RESUMEN VIGILANCIA'!T17)</f>
        <v>1.4</v>
      </c>
      <c r="V73" s="268">
        <f>IF(ISBLANK('RESUMEN VIGILANCIA'!U17),"",'RESUMEN VIGILANCIA'!U17)</f>
        <v>4</v>
      </c>
      <c r="W73" s="268">
        <f>IF(ISBLANK('RESUMEN VIGILANCIA'!V17),"",'RESUMEN VIGILANCIA'!V17)</f>
        <v>6.25</v>
      </c>
      <c r="X73" s="268">
        <f>IF(ISBLANK('RESUMEN VIGILANCIA'!W17),"",'RESUMEN VIGILANCIA'!W17)</f>
        <v>10</v>
      </c>
      <c r="Y73" s="268">
        <f>IF(ISBLANK('RESUMEN VIGILANCIA'!X17),"",'RESUMEN VIGILANCIA'!X17)</f>
        <v>12</v>
      </c>
      <c r="Z73" s="453">
        <f>IF(ISBLANK('RESUMEN VIGILANCIA'!Y17),"",'RESUMEN VIGILANCIA'!Y17)</f>
        <v>320</v>
      </c>
      <c r="AA73" s="453">
        <f>IF(ISBLANK('RESUMEN VIGILANCIA'!Z17),"",'RESUMEN VIGILANCIA'!Z17)</f>
        <v>320</v>
      </c>
      <c r="AB73" s="453">
        <f>IF(ISBLANK('RESUMEN VIGILANCIA'!AA17),"",'RESUMEN VIGILANCIA'!AA17)</f>
        <v>320</v>
      </c>
      <c r="AC73" s="454">
        <f>IF(ISBLANK('RESUMEN VIGILANCIA'!AB17),"",'RESUMEN VIGILANCIA'!AB17)</f>
        <v>800</v>
      </c>
      <c r="AD73" s="374">
        <f>IF(ISBLANK('RESUMEN VIGILANCIA'!AC17),"",'RESUMEN VIGILANCIA'!AC17)</f>
        <v>3000</v>
      </c>
      <c r="AE73" s="375">
        <f>IF(ISBLANK('RESUMEN VIGILANCIA'!AD17),"",'RESUMEN VIGILANCIA'!AD17)</f>
        <v>3000</v>
      </c>
      <c r="AF73" s="375">
        <f>IF(ISBLANK('RESUMEN VIGILANCIA'!AE17),"",'RESUMEN VIGILANCIA'!AE17)</f>
        <v>3000</v>
      </c>
      <c r="AG73" s="375">
        <f>IF(ISBLANK('RESUMEN VIGILANCIA'!AF17),"",'RESUMEN VIGILANCIA'!AF17)</f>
        <v>5000</v>
      </c>
      <c r="AH73" s="375">
        <f>IF(ISBLANK('RESUMEN VIGILANCIA'!AG17),"",'RESUMEN VIGILANCIA'!AG17)</f>
        <v>8000</v>
      </c>
      <c r="AI73" s="375">
        <f>IF(ISBLANK('RESUMEN VIGILANCIA'!AH17),"",'RESUMEN VIGILANCIA'!AH17)</f>
        <v>2000</v>
      </c>
      <c r="AJ73" s="375">
        <f>IF(ISBLANK('RESUMEN VIGILANCIA'!AI17),"",'RESUMEN VIGILANCIA'!AI17)</f>
        <v>10000</v>
      </c>
      <c r="AK73" s="375">
        <f>IF(ISBLANK('RESUMEN VIGILANCIA'!AJ17),"",'RESUMEN VIGILANCIA'!AJ17)</f>
        <v>10000</v>
      </c>
      <c r="AL73" s="375">
        <f>IF(ISBLANK('RESUMEN VIGILANCIA'!AK17),"",'RESUMEN VIGILANCIA'!AK17)</f>
        <v>21600</v>
      </c>
      <c r="AM73" s="375">
        <f>IF(ISBLANK('RESUMEN VIGILANCIA'!AL17),"",'RESUMEN VIGILANCIA'!AL17)</f>
        <v>51250</v>
      </c>
      <c r="AN73" s="375">
        <f>IF(ISBLANK('RESUMEN VIGILANCIA'!AM17),"",'RESUMEN VIGILANCIA'!AM17)</f>
        <v>73500</v>
      </c>
      <c r="AO73" s="376">
        <f>IF(ISBLANK('RESUMEN VIGILANCIA'!AN17),"",'RESUMEN VIGILANCIA'!AN17)</f>
        <v>136250</v>
      </c>
      <c r="AP73" s="374">
        <f>IF(ISBLANK('RESUMEN VIGILANCIA'!AO17),"",'RESUMEN VIGILANCIA'!AO17)</f>
        <v>136250</v>
      </c>
      <c r="AQ73" s="375">
        <f>IF(ISBLANK('RESUMEN VIGILANCIA'!AP17),"",'RESUMEN VIGILANCIA'!AP17)</f>
        <v>136250</v>
      </c>
      <c r="AR73" s="375">
        <f>IF(ISBLANK('RESUMEN VIGILANCIA'!AQ17),"",'RESUMEN VIGILANCIA'!AQ17)</f>
        <v>185250</v>
      </c>
      <c r="AS73" s="375">
        <f>IF(ISBLANK('RESUMEN VIGILANCIA'!AR17),"",'RESUMEN VIGILANCIA'!AR17)</f>
        <v>186000</v>
      </c>
      <c r="AT73" s="375">
        <f>IF(ISBLANK('RESUMEN VIGILANCIA'!AS17),"",'RESUMEN VIGILANCIA'!AS17)</f>
        <v>250000</v>
      </c>
      <c r="AU73" s="375">
        <f>IF(ISBLANK('RESUMEN VIGILANCIA'!AT17),"",'RESUMEN VIGILANCIA'!AT17)</f>
        <v>250000</v>
      </c>
      <c r="AV73" s="375">
        <f>IF(ISBLANK('RESUMEN VIGILANCIA'!AU17),"",'RESUMEN VIGILANCIA'!AU17)</f>
        <v>320000</v>
      </c>
      <c r="AW73" s="375" t="str">
        <f>IF(ISBLANK('RESUMEN VIGILANCIA'!AV17),"",'RESUMEN VIGILANCIA'!AV17)</f>
        <v/>
      </c>
      <c r="AX73" s="375" t="str">
        <f>IF(ISBLANK('RESUMEN VIGILANCIA'!AW17),"",'RESUMEN VIGILANCIA'!AW17)</f>
        <v/>
      </c>
      <c r="AY73" s="375" t="str">
        <f>IF(ISBLANK('RESUMEN VIGILANCIA'!AX17),"",'RESUMEN VIGILANCIA'!AX17)</f>
        <v/>
      </c>
      <c r="AZ73" s="375" t="str">
        <f>IF(ISBLANK('RESUMEN VIGILANCIA'!AY17),"",'RESUMEN VIGILANCIA'!AY17)</f>
        <v/>
      </c>
      <c r="BA73" s="376" t="str">
        <f>IF(ISBLANK('RESUMEN VIGILANCIA'!AZ17),"",'RESUMEN VIGILANCIA'!AZ17)</f>
        <v/>
      </c>
      <c r="BB73" s="240">
        <f t="shared" si="6"/>
        <v>328400.25</v>
      </c>
      <c r="BC73" s="110"/>
      <c r="BD73" s="110"/>
    </row>
    <row r="74" spans="1:56" s="28" customFormat="1" ht="20.100000000000001" customHeight="1">
      <c r="A74" s="29" t="str">
        <f>'RESUMEN VIGILANCIA'!A13</f>
        <v>Ely Saúl Rivero Gómez</v>
      </c>
      <c r="B74" s="30" t="str">
        <f>'RESUMEN VIGILANCIA'!B13</f>
        <v>Av. "Ñ" Nro. 145-25</v>
      </c>
      <c r="C74" s="427" t="s">
        <v>1358</v>
      </c>
      <c r="D74" s="434" t="s">
        <v>1357</v>
      </c>
      <c r="E74" s="415" t="str">
        <f>IF(ISBLANK('RESUMEN VIGILANCIA'!D13),"",'RESUMEN VIGILANCIA'!D13)</f>
        <v/>
      </c>
      <c r="F74" s="267">
        <f>IF(ISBLANK('RESUMEN VIGILANCIA'!E13),"",'RESUMEN VIGILANCIA'!E13)</f>
        <v>0.17</v>
      </c>
      <c r="G74" s="179">
        <f>IF(ISBLANK('RESUMEN VIGILANCIA'!F13),"",'RESUMEN VIGILANCIA'!F13)</f>
        <v>0.17</v>
      </c>
      <c r="H74" s="179">
        <f>IF(ISBLANK('RESUMEN VIGILANCIA'!G13),"",'RESUMEN VIGILANCIA'!G13)</f>
        <v>0.17</v>
      </c>
      <c r="I74" s="179">
        <f>IF(ISBLANK('RESUMEN VIGILANCIA'!H13),"",'RESUMEN VIGILANCIA'!H13)</f>
        <v>0.17</v>
      </c>
      <c r="J74" s="179">
        <f>IF(ISBLANK('RESUMEN VIGILANCIA'!I13),"",'RESUMEN VIGILANCIA'!I13)</f>
        <v>0.26</v>
      </c>
      <c r="K74" s="179">
        <f>IF(ISBLANK('RESUMEN VIGILANCIA'!J13),"",'RESUMEN VIGILANCIA'!J13)</f>
        <v>0.26</v>
      </c>
      <c r="L74" s="179">
        <f>IF(ISBLANK('RESUMEN VIGILANCIA'!K13),"",'RESUMEN VIGILANCIA'!K13)</f>
        <v>0.35</v>
      </c>
      <c r="M74" s="179">
        <f>IF(ISBLANK('RESUMEN VIGILANCIA'!L13),"",'RESUMEN VIGILANCIA'!L13)</f>
        <v>0.35</v>
      </c>
      <c r="N74" s="179">
        <f>IF(ISBLANK('RESUMEN VIGILANCIA'!M13),"",'RESUMEN VIGILANCIA'!M13)</f>
        <v>0.35</v>
      </c>
      <c r="O74" s="179">
        <f>IF(ISBLANK('RESUMEN VIGILANCIA'!N13),"",'RESUMEN VIGILANCIA'!N13)</f>
        <v>0.35</v>
      </c>
      <c r="P74" s="268">
        <f>IF(ISBLANK('RESUMEN VIGILANCIA'!O13),"",'RESUMEN VIGILANCIA'!O13)</f>
        <v>0.5</v>
      </c>
      <c r="Q74" s="177">
        <f>IF(ISBLANK('RESUMEN VIGILANCIA'!P13),"",'RESUMEN VIGILANCIA'!P13)</f>
        <v>0.5</v>
      </c>
      <c r="R74" s="269">
        <f>IF(ISBLANK('RESUMEN VIGILANCIA'!Q13),"",'RESUMEN VIGILANCIA'!Q13)</f>
        <v>0.8</v>
      </c>
      <c r="S74" s="268">
        <f>IF(ISBLANK('RESUMEN VIGILANCIA'!R13),"",'RESUMEN VIGILANCIA'!R13)</f>
        <v>0.8</v>
      </c>
      <c r="T74" s="268">
        <f>IF(ISBLANK('RESUMEN VIGILANCIA'!S13),"",'RESUMEN VIGILANCIA'!S13)</f>
        <v>1.4</v>
      </c>
      <c r="U74" s="268">
        <f>IF(ISBLANK('RESUMEN VIGILANCIA'!T13),"",'RESUMEN VIGILANCIA'!T13)</f>
        <v>1.4</v>
      </c>
      <c r="V74" s="268">
        <f>IF(ISBLANK('RESUMEN VIGILANCIA'!U13),"",'RESUMEN VIGILANCIA'!U13)</f>
        <v>4</v>
      </c>
      <c r="W74" s="268">
        <f>IF(ISBLANK('RESUMEN VIGILANCIA'!V13),"",'RESUMEN VIGILANCIA'!V13)</f>
        <v>6.25</v>
      </c>
      <c r="X74" s="268">
        <f>IF(ISBLANK('RESUMEN VIGILANCIA'!W13),"",'RESUMEN VIGILANCIA'!W13)</f>
        <v>10</v>
      </c>
      <c r="Y74" s="268">
        <f>IF(ISBLANK('RESUMEN VIGILANCIA'!X13),"",'RESUMEN VIGILANCIA'!X13)</f>
        <v>12</v>
      </c>
      <c r="Z74" s="453">
        <f>IF(ISBLANK('RESUMEN VIGILANCIA'!Y13),"",'RESUMEN VIGILANCIA'!Y13)</f>
        <v>320</v>
      </c>
      <c r="AA74" s="453">
        <f>IF(ISBLANK('RESUMEN VIGILANCIA'!Z13),"",'RESUMEN VIGILANCIA'!Z13)</f>
        <v>320</v>
      </c>
      <c r="AB74" s="453">
        <f>IF(ISBLANK('RESUMEN VIGILANCIA'!AA13),"",'RESUMEN VIGILANCIA'!AA13)</f>
        <v>320</v>
      </c>
      <c r="AC74" s="454">
        <f>IF(ISBLANK('RESUMEN VIGILANCIA'!AB13),"",'RESUMEN VIGILANCIA'!AB13)</f>
        <v>800</v>
      </c>
      <c r="AD74" s="374">
        <f>IF(ISBLANK('RESUMEN VIGILANCIA'!AC13),"",'RESUMEN VIGILANCIA'!AC13)</f>
        <v>3000</v>
      </c>
      <c r="AE74" s="375">
        <f>IF(ISBLANK('RESUMEN VIGILANCIA'!AD13),"",'RESUMEN VIGILANCIA'!AD13)</f>
        <v>3000</v>
      </c>
      <c r="AF74" s="375">
        <f>IF(ISBLANK('RESUMEN VIGILANCIA'!AE13),"",'RESUMEN VIGILANCIA'!AE13)</f>
        <v>3000</v>
      </c>
      <c r="AG74" s="375">
        <f>IF(ISBLANK('RESUMEN VIGILANCIA'!AF13),"",'RESUMEN VIGILANCIA'!AF13)</f>
        <v>5000</v>
      </c>
      <c r="AH74" s="375">
        <f>IF(ISBLANK('RESUMEN VIGILANCIA'!AG13),"",'RESUMEN VIGILANCIA'!AG13)</f>
        <v>8000</v>
      </c>
      <c r="AI74" s="375">
        <f>IF(ISBLANK('RESUMEN VIGILANCIA'!AH13),"",'RESUMEN VIGILANCIA'!AH13)</f>
        <v>8000</v>
      </c>
      <c r="AJ74" s="375">
        <f>IF(ISBLANK('RESUMEN VIGILANCIA'!AI13),"",'RESUMEN VIGILANCIA'!AI13)</f>
        <v>10000</v>
      </c>
      <c r="AK74" s="375">
        <f>IF(ISBLANK('RESUMEN VIGILANCIA'!AJ13),"",'RESUMEN VIGILANCIA'!AJ13)</f>
        <v>10000</v>
      </c>
      <c r="AL74" s="375">
        <f>IF(ISBLANK('RESUMEN VIGILANCIA'!AK13),"",'RESUMEN VIGILANCIA'!AK13)</f>
        <v>23400</v>
      </c>
      <c r="AM74" s="375">
        <f>IF(ISBLANK('RESUMEN VIGILANCIA'!AL13),"",'RESUMEN VIGILANCIA'!AL13)</f>
        <v>47000</v>
      </c>
      <c r="AN74" s="375">
        <f>IF(ISBLANK('RESUMEN VIGILANCIA'!AM13),"",'RESUMEN VIGILANCIA'!AM13)</f>
        <v>73500</v>
      </c>
      <c r="AO74" s="376">
        <f>IF(ISBLANK('RESUMEN VIGILANCIA'!AN13),"",'RESUMEN VIGILANCIA'!AN13)</f>
        <v>105250</v>
      </c>
      <c r="AP74" s="374">
        <f>IF(ISBLANK('RESUMEN VIGILANCIA'!AO13),"",'RESUMEN VIGILANCIA'!AO13)</f>
        <v>136250</v>
      </c>
      <c r="AQ74" s="375">
        <f>IF(ISBLANK('RESUMEN VIGILANCIA'!AP13),"",'RESUMEN VIGILANCIA'!AP13)</f>
        <v>136250</v>
      </c>
      <c r="AR74" s="375">
        <f>IF(ISBLANK('RESUMEN VIGILANCIA'!AQ13),"",'RESUMEN VIGILANCIA'!AQ13)</f>
        <v>185250</v>
      </c>
      <c r="AS74" s="375">
        <f>IF(ISBLANK('RESUMEN VIGILANCIA'!AR13),"",'RESUMEN VIGILANCIA'!AR13)</f>
        <v>185250</v>
      </c>
      <c r="AT74" s="375">
        <f>IF(ISBLANK('RESUMEN VIGILANCIA'!AS13),"",'RESUMEN VIGILANCIA'!AS13)</f>
        <v>250000</v>
      </c>
      <c r="AU74" s="375" t="str">
        <f>IF(ISBLANK('RESUMEN VIGILANCIA'!AT13),"",'RESUMEN VIGILANCIA'!AT13)</f>
        <v/>
      </c>
      <c r="AV74" s="375" t="str">
        <f>IF(ISBLANK('RESUMEN VIGILANCIA'!AU13),"",'RESUMEN VIGILANCIA'!AU13)</f>
        <v/>
      </c>
      <c r="AW74" s="375" t="str">
        <f>IF(ISBLANK('RESUMEN VIGILANCIA'!AV13),"",'RESUMEN VIGILANCIA'!AV13)</f>
        <v/>
      </c>
      <c r="AX74" s="375" t="str">
        <f>IF(ISBLANK('RESUMEN VIGILANCIA'!AW13),"",'RESUMEN VIGILANCIA'!AW13)</f>
        <v/>
      </c>
      <c r="AY74" s="375" t="str">
        <f>IF(ISBLANK('RESUMEN VIGILANCIA'!AX13),"",'RESUMEN VIGILANCIA'!AX13)</f>
        <v/>
      </c>
      <c r="AZ74" s="375" t="str">
        <f>IF(ISBLANK('RESUMEN VIGILANCIA'!AY13),"",'RESUMEN VIGILANCIA'!AY13)</f>
        <v/>
      </c>
      <c r="BA74" s="376" t="str">
        <f>IF(ISBLANK('RESUMEN VIGILANCIA'!AZ13),"",'RESUMEN VIGILANCIA'!AZ13)</f>
        <v/>
      </c>
      <c r="BB74" s="240">
        <f t="shared" si="6"/>
        <v>300950.25</v>
      </c>
      <c r="BC74" s="110"/>
      <c r="BD74" s="110"/>
    </row>
    <row r="75" spans="1:56" s="28" customFormat="1" ht="20.100000000000001" customHeight="1">
      <c r="A75" s="29" t="str">
        <f>'RESUMEN VIGILANCIA'!A5</f>
        <v>Jocsan Orta Correa</v>
      </c>
      <c r="B75" s="30" t="str">
        <f>'RESUMEN VIGILANCIA'!B5</f>
        <v>Av. "L" anexo de Los Tronquitos</v>
      </c>
      <c r="C75" s="427" t="s">
        <v>1358</v>
      </c>
      <c r="D75" s="434"/>
      <c r="E75" s="418" t="str">
        <f>IF(ISBLANK('RESUMEN VIGILANCIA'!D5),"",'RESUMEN VIGILANCIA'!D5)</f>
        <v/>
      </c>
      <c r="F75" s="295" t="str">
        <f>IF(ISBLANK('RESUMEN VIGILANCIA'!E5),"",'RESUMEN VIGILANCIA'!E5)</f>
        <v/>
      </c>
      <c r="G75" s="214" t="str">
        <f>IF(ISBLANK('RESUMEN VIGILANCIA'!F5),"",'RESUMEN VIGILANCIA'!F5)</f>
        <v/>
      </c>
      <c r="H75" s="214" t="str">
        <f>IF(ISBLANK('RESUMEN VIGILANCIA'!G5),"",'RESUMEN VIGILANCIA'!G5)</f>
        <v/>
      </c>
      <c r="I75" s="214" t="str">
        <f>IF(ISBLANK('RESUMEN VIGILANCIA'!H5),"",'RESUMEN VIGILANCIA'!H5)</f>
        <v/>
      </c>
      <c r="J75" s="214" t="str">
        <f>IF(ISBLANK('RESUMEN VIGILANCIA'!I5),"",'RESUMEN VIGILANCIA'!I5)</f>
        <v/>
      </c>
      <c r="K75" s="214" t="str">
        <f>IF(ISBLANK('RESUMEN VIGILANCIA'!J5),"",'RESUMEN VIGILANCIA'!J5)</f>
        <v/>
      </c>
      <c r="L75" s="214" t="str">
        <f>IF(ISBLANK('RESUMEN VIGILANCIA'!K5),"",'RESUMEN VIGILANCIA'!K5)</f>
        <v/>
      </c>
      <c r="M75" s="214" t="str">
        <f>IF(ISBLANK('RESUMEN VIGILANCIA'!L5),"",'RESUMEN VIGILANCIA'!L5)</f>
        <v/>
      </c>
      <c r="N75" s="214" t="str">
        <f>IF(ISBLANK('RESUMEN VIGILANCIA'!M5),"",'RESUMEN VIGILANCIA'!M5)</f>
        <v/>
      </c>
      <c r="O75" s="214" t="str">
        <f>IF(ISBLANK('RESUMEN VIGILANCIA'!N5),"",'RESUMEN VIGILANCIA'!N5)</f>
        <v/>
      </c>
      <c r="P75" s="281" t="str">
        <f>IF(ISBLANK('RESUMEN VIGILANCIA'!O5),"",'RESUMEN VIGILANCIA'!O5)</f>
        <v/>
      </c>
      <c r="Q75" s="212" t="str">
        <f>IF(ISBLANK('RESUMEN VIGILANCIA'!P5),"",'RESUMEN VIGILANCIA'!P5)</f>
        <v/>
      </c>
      <c r="R75" s="282" t="str">
        <f>IF(ISBLANK('RESUMEN VIGILANCIA'!Q5),"",'RESUMEN VIGILANCIA'!Q5)</f>
        <v/>
      </c>
      <c r="S75" s="281" t="str">
        <f>IF(ISBLANK('RESUMEN VIGILANCIA'!R5),"",'RESUMEN VIGILANCIA'!R5)</f>
        <v/>
      </c>
      <c r="T75" s="281" t="str">
        <f>IF(ISBLANK('RESUMEN VIGILANCIA'!S5),"",'RESUMEN VIGILANCIA'!S5)</f>
        <v/>
      </c>
      <c r="U75" s="281" t="str">
        <f>IF(ISBLANK('RESUMEN VIGILANCIA'!T5),"",'RESUMEN VIGILANCIA'!T5)</f>
        <v/>
      </c>
      <c r="V75" s="281" t="str">
        <f>IF(ISBLANK('RESUMEN VIGILANCIA'!U5),"",'RESUMEN VIGILANCIA'!U5)</f>
        <v/>
      </c>
      <c r="W75" s="281" t="str">
        <f>IF(ISBLANK('RESUMEN VIGILANCIA'!V5),"",'RESUMEN VIGILANCIA'!V5)</f>
        <v/>
      </c>
      <c r="X75" s="281" t="str">
        <f>IF(ISBLANK('RESUMEN VIGILANCIA'!W5),"",'RESUMEN VIGILANCIA'!W5)</f>
        <v/>
      </c>
      <c r="Y75" s="281" t="str">
        <f>IF(ISBLANK('RESUMEN VIGILANCIA'!X5),"",'RESUMEN VIGILANCIA'!X5)</f>
        <v/>
      </c>
      <c r="Z75" s="464" t="str">
        <f>IF(ISBLANK('RESUMEN VIGILANCIA'!Y5),"",'RESUMEN VIGILANCIA'!Y5)</f>
        <v/>
      </c>
      <c r="AA75" s="464" t="str">
        <f>IF(ISBLANK('RESUMEN VIGILANCIA'!Z5),"",'RESUMEN VIGILANCIA'!Z5)</f>
        <v/>
      </c>
      <c r="AB75" s="464" t="str">
        <f>IF(ISBLANK('RESUMEN VIGILANCIA'!AA5),"",'RESUMEN VIGILANCIA'!AA5)</f>
        <v/>
      </c>
      <c r="AC75" s="465" t="str">
        <f>IF(ISBLANK('RESUMEN VIGILANCIA'!AB5),"",'RESUMEN VIGILANCIA'!AB5)</f>
        <v/>
      </c>
      <c r="AD75" s="478" t="str">
        <f>IF(ISBLANK('RESUMEN VIGILANCIA'!AC5),"",'RESUMEN VIGILANCIA'!AC5)</f>
        <v/>
      </c>
      <c r="AE75" s="479" t="str">
        <f>IF(ISBLANK('RESUMEN VIGILANCIA'!AD5),"",'RESUMEN VIGILANCIA'!AD5)</f>
        <v/>
      </c>
      <c r="AF75" s="479" t="str">
        <f>IF(ISBLANK('RESUMEN VIGILANCIA'!AE5),"",'RESUMEN VIGILANCIA'!AE5)</f>
        <v/>
      </c>
      <c r="AG75" s="479" t="str">
        <f>IF(ISBLANK('RESUMEN VIGILANCIA'!AF5),"",'RESUMEN VIGILANCIA'!AF5)</f>
        <v/>
      </c>
      <c r="AH75" s="375">
        <f>IF(ISBLANK('RESUMEN VIGILANCIA'!AG5),"",'RESUMEN VIGILANCIA'!AG5)</f>
        <v>8000</v>
      </c>
      <c r="AI75" s="375">
        <f>IF(ISBLANK('RESUMEN VIGILANCIA'!AH5),"",'RESUMEN VIGILANCIA'!AH5)</f>
        <v>8000</v>
      </c>
      <c r="AJ75" s="375">
        <f>IF(ISBLANK('RESUMEN VIGILANCIA'!AI5),"",'RESUMEN VIGILANCIA'!AI5)</f>
        <v>10000</v>
      </c>
      <c r="AK75" s="375">
        <f>IF(ISBLANK('RESUMEN VIGILANCIA'!AJ5),"",'RESUMEN VIGILANCIA'!AJ5)</f>
        <v>10000</v>
      </c>
      <c r="AL75" s="375">
        <f>IF(ISBLANK('RESUMEN VIGILANCIA'!AK5),"",'RESUMEN VIGILANCIA'!AK5)</f>
        <v>19800</v>
      </c>
      <c r="AM75" s="375">
        <f>IF(ISBLANK('RESUMEN VIGILANCIA'!AL5),"",'RESUMEN VIGILANCIA'!AL5)</f>
        <v>51300</v>
      </c>
      <c r="AN75" s="375">
        <f>IF(ISBLANK('RESUMEN VIGILANCIA'!AM5),"",'RESUMEN VIGILANCIA'!AM5)</f>
        <v>73500</v>
      </c>
      <c r="AO75" s="376">
        <f>IF(ISBLANK('RESUMEN VIGILANCIA'!AN5),"",'RESUMEN VIGILANCIA'!AN5)</f>
        <v>97500</v>
      </c>
      <c r="AP75" s="374">
        <f>IF(ISBLANK('RESUMEN VIGILANCIA'!AO5),"",'RESUMEN VIGILANCIA'!AO5)</f>
        <v>136250</v>
      </c>
      <c r="AQ75" s="375">
        <f>IF(ISBLANK('RESUMEN VIGILANCIA'!AP5),"",'RESUMEN VIGILANCIA'!AP5)</f>
        <v>136250</v>
      </c>
      <c r="AR75" s="375">
        <f>IF(ISBLANK('RESUMEN VIGILANCIA'!AQ5),"",'RESUMEN VIGILANCIA'!AQ5)</f>
        <v>185250</v>
      </c>
      <c r="AS75" s="375">
        <f>IF(ISBLANK('RESUMEN VIGILANCIA'!AR5),"",'RESUMEN VIGILANCIA'!AR5)</f>
        <v>185250</v>
      </c>
      <c r="AT75" s="375" t="str">
        <f>IF(ISBLANK('RESUMEN VIGILANCIA'!AS5),"",'RESUMEN VIGILANCIA'!AS5)</f>
        <v/>
      </c>
      <c r="AU75" s="375" t="str">
        <f>IF(ISBLANK('RESUMEN VIGILANCIA'!AT5),"",'RESUMEN VIGILANCIA'!AT5)</f>
        <v/>
      </c>
      <c r="AV75" s="375" t="str">
        <f>IF(ISBLANK('RESUMEN VIGILANCIA'!AU5),"",'RESUMEN VIGILANCIA'!AU5)</f>
        <v/>
      </c>
      <c r="AW75" s="375" t="str">
        <f>IF(ISBLANK('RESUMEN VIGILANCIA'!AV5),"",'RESUMEN VIGILANCIA'!AV5)</f>
        <v/>
      </c>
      <c r="AX75" s="375" t="str">
        <f>IF(ISBLANK('RESUMEN VIGILANCIA'!AW5),"",'RESUMEN VIGILANCIA'!AW5)</f>
        <v/>
      </c>
      <c r="AY75" s="375" t="str">
        <f>IF(ISBLANK('RESUMEN VIGILANCIA'!AX5),"",'RESUMEN VIGILANCIA'!AX5)</f>
        <v/>
      </c>
      <c r="AZ75" s="375" t="str">
        <f>IF(ISBLANK('RESUMEN VIGILANCIA'!AY5),"",'RESUMEN VIGILANCIA'!AY5)</f>
        <v/>
      </c>
      <c r="BA75" s="376" t="str">
        <f>IF(ISBLANK('RESUMEN VIGILANCIA'!AZ5),"",'RESUMEN VIGILANCIA'!AZ5)</f>
        <v/>
      </c>
      <c r="BB75" s="240">
        <f t="shared" ref="BB75" si="8">SUM(E75:AO75)</f>
        <v>278100</v>
      </c>
      <c r="BC75" s="110">
        <v>43586</v>
      </c>
      <c r="BD75" s="110"/>
    </row>
    <row r="76" spans="1:56" s="28" customFormat="1" ht="20.100000000000001" customHeight="1">
      <c r="A76" s="29" t="str">
        <f>'RESUMEN VIGILANCIA'!A143</f>
        <v>Alexander Pena</v>
      </c>
      <c r="B76" s="30" t="str">
        <f>'RESUMEN VIGILANCIA'!B143</f>
        <v>Calle Güigüe Nro. 89-126</v>
      </c>
      <c r="C76" s="427" t="s">
        <v>1360</v>
      </c>
      <c r="D76" s="434" t="s">
        <v>1357</v>
      </c>
      <c r="E76" s="415" t="str">
        <f>IF(ISBLANK('RESUMEN VIGILANCIA'!D143),"",'RESUMEN VIGILANCIA'!D143)</f>
        <v/>
      </c>
      <c r="F76" s="267" t="str">
        <f>IF(ISBLANK('RESUMEN VIGILANCIA'!E143),"",'RESUMEN VIGILANCIA'!E143)</f>
        <v/>
      </c>
      <c r="G76" s="179" t="str">
        <f>IF(ISBLANK('RESUMEN VIGILANCIA'!F143),"",'RESUMEN VIGILANCIA'!F143)</f>
        <v/>
      </c>
      <c r="H76" s="179" t="str">
        <f>IF(ISBLANK('RESUMEN VIGILANCIA'!G143),"",'RESUMEN VIGILANCIA'!G143)</f>
        <v/>
      </c>
      <c r="I76" s="179" t="str">
        <f>IF(ISBLANK('RESUMEN VIGILANCIA'!H143),"",'RESUMEN VIGILANCIA'!H143)</f>
        <v/>
      </c>
      <c r="J76" s="179" t="str">
        <f>IF(ISBLANK('RESUMEN VIGILANCIA'!I143),"",'RESUMEN VIGILANCIA'!I143)</f>
        <v/>
      </c>
      <c r="K76" s="179" t="str">
        <f>IF(ISBLANK('RESUMEN VIGILANCIA'!J143),"",'RESUMEN VIGILANCIA'!J143)</f>
        <v/>
      </c>
      <c r="L76" s="179" t="str">
        <f>IF(ISBLANK('RESUMEN VIGILANCIA'!K143),"",'RESUMEN VIGILANCIA'!K143)</f>
        <v/>
      </c>
      <c r="M76" s="179" t="str">
        <f>IF(ISBLANK('RESUMEN VIGILANCIA'!L143),"",'RESUMEN VIGILANCIA'!L143)</f>
        <v/>
      </c>
      <c r="N76" s="179" t="str">
        <f>IF(ISBLANK('RESUMEN VIGILANCIA'!M143),"",'RESUMEN VIGILANCIA'!M143)</f>
        <v/>
      </c>
      <c r="O76" s="179" t="str">
        <f>IF(ISBLANK('RESUMEN VIGILANCIA'!N143),"",'RESUMEN VIGILANCIA'!N143)</f>
        <v/>
      </c>
      <c r="P76" s="268" t="str">
        <f>IF(ISBLANK('RESUMEN VIGILANCIA'!O143),"",'RESUMEN VIGILANCIA'!O143)</f>
        <v/>
      </c>
      <c r="Q76" s="177" t="str">
        <f>IF(ISBLANK('RESUMEN VIGILANCIA'!P143),"",'RESUMEN VIGILANCIA'!P143)</f>
        <v/>
      </c>
      <c r="R76" s="269" t="str">
        <f>IF(ISBLANK('RESUMEN VIGILANCIA'!Q143),"",'RESUMEN VIGILANCIA'!Q143)</f>
        <v/>
      </c>
      <c r="S76" s="268" t="str">
        <f>IF(ISBLANK('RESUMEN VIGILANCIA'!R143),"",'RESUMEN VIGILANCIA'!R143)</f>
        <v/>
      </c>
      <c r="T76" s="268" t="str">
        <f>IF(ISBLANK('RESUMEN VIGILANCIA'!S143),"",'RESUMEN VIGILANCIA'!S143)</f>
        <v/>
      </c>
      <c r="U76" s="268" t="str">
        <f>IF(ISBLANK('RESUMEN VIGILANCIA'!T143),"",'RESUMEN VIGILANCIA'!T143)</f>
        <v/>
      </c>
      <c r="V76" s="268" t="str">
        <f>IF(ISBLANK('RESUMEN VIGILANCIA'!U143),"",'RESUMEN VIGILANCIA'!U143)</f>
        <v/>
      </c>
      <c r="W76" s="268" t="str">
        <f>IF(ISBLANK('RESUMEN VIGILANCIA'!V143),"",'RESUMEN VIGILANCIA'!V143)</f>
        <v/>
      </c>
      <c r="X76" s="268" t="str">
        <f>IF(ISBLANK('RESUMEN VIGILANCIA'!W143),"",'RESUMEN VIGILANCIA'!W143)</f>
        <v/>
      </c>
      <c r="Y76" s="268" t="str">
        <f>IF(ISBLANK('RESUMEN VIGILANCIA'!X143),"",'RESUMEN VIGILANCIA'!X143)</f>
        <v/>
      </c>
      <c r="Z76" s="453" t="str">
        <f>IF(ISBLANK('RESUMEN VIGILANCIA'!Y143),"",'RESUMEN VIGILANCIA'!Y143)</f>
        <v/>
      </c>
      <c r="AA76" s="453" t="str">
        <f>IF(ISBLANK('RESUMEN VIGILANCIA'!Z143),"",'RESUMEN VIGILANCIA'!Z143)</f>
        <v/>
      </c>
      <c r="AB76" s="453" t="str">
        <f>IF(ISBLANK('RESUMEN VIGILANCIA'!AA143),"",'RESUMEN VIGILANCIA'!AA143)</f>
        <v/>
      </c>
      <c r="AC76" s="454" t="str">
        <f>IF(ISBLANK('RESUMEN VIGILANCIA'!AB143),"",'RESUMEN VIGILANCIA'!AB143)</f>
        <v/>
      </c>
      <c r="AD76" s="374" t="str">
        <f>IF(ISBLANK('RESUMEN VIGILANCIA'!AC143),"",'RESUMEN VIGILANCIA'!AC143)</f>
        <v/>
      </c>
      <c r="AE76" s="375" t="str">
        <f>IF(ISBLANK('RESUMEN VIGILANCIA'!AD143),"",'RESUMEN VIGILANCIA'!AD143)</f>
        <v/>
      </c>
      <c r="AF76" s="375" t="str">
        <f>IF(ISBLANK('RESUMEN VIGILANCIA'!AE143),"",'RESUMEN VIGILANCIA'!AE143)</f>
        <v/>
      </c>
      <c r="AG76" s="375" t="str">
        <f>IF(ISBLANK('RESUMEN VIGILANCIA'!AF143),"",'RESUMEN VIGILANCIA'!AF143)</f>
        <v/>
      </c>
      <c r="AH76" s="375" t="str">
        <f>IF(ISBLANK('RESUMEN VIGILANCIA'!AG143),"",'RESUMEN VIGILANCIA'!AG143)</f>
        <v/>
      </c>
      <c r="AI76" s="375" t="str">
        <f>IF(ISBLANK('RESUMEN VIGILANCIA'!AH143),"",'RESUMEN VIGILANCIA'!AH143)</f>
        <v/>
      </c>
      <c r="AJ76" s="375" t="str">
        <f>IF(ISBLANK('RESUMEN VIGILANCIA'!AI143),"",'RESUMEN VIGILANCIA'!AI143)</f>
        <v/>
      </c>
      <c r="AK76" s="375" t="str">
        <f>IF(ISBLANK('RESUMEN VIGILANCIA'!AJ143),"",'RESUMEN VIGILANCIA'!AJ143)</f>
        <v/>
      </c>
      <c r="AL76" s="375" t="str">
        <f>IF(ISBLANK('RESUMEN VIGILANCIA'!AK143),"",'RESUMEN VIGILANCIA'!AK143)</f>
        <v/>
      </c>
      <c r="AM76" s="375" t="str">
        <f>IF(ISBLANK('RESUMEN VIGILANCIA'!AL143),"",'RESUMEN VIGILANCIA'!AL143)</f>
        <v/>
      </c>
      <c r="AN76" s="375" t="str">
        <f>IF(ISBLANK('RESUMEN VIGILANCIA'!AM143),"",'RESUMEN VIGILANCIA'!AM143)</f>
        <v/>
      </c>
      <c r="AO76" s="376" t="str">
        <f>IF(ISBLANK('RESUMEN VIGILANCIA'!AN143),"",'RESUMEN VIGILANCIA'!AN143)</f>
        <v/>
      </c>
      <c r="AP76" s="374" t="str">
        <f>IF(ISBLANK('RESUMEN VIGILANCIA'!AO143),"",'RESUMEN VIGILANCIA'!AO143)</f>
        <v/>
      </c>
      <c r="AQ76" s="375" t="str">
        <f>IF(ISBLANK('RESUMEN VIGILANCIA'!AP143),"",'RESUMEN VIGILANCIA'!AP143)</f>
        <v/>
      </c>
      <c r="AR76" s="375" t="str">
        <f>IF(ISBLANK('RESUMEN VIGILANCIA'!AQ143),"",'RESUMEN VIGILANCIA'!AQ143)</f>
        <v/>
      </c>
      <c r="AS76" s="375" t="str">
        <f>IF(ISBLANK('RESUMEN VIGILANCIA'!AR143),"",'RESUMEN VIGILANCIA'!AR143)</f>
        <v/>
      </c>
      <c r="AT76" s="375" t="str">
        <f>IF(ISBLANK('RESUMEN VIGILANCIA'!AS143),"",'RESUMEN VIGILANCIA'!AS143)</f>
        <v/>
      </c>
      <c r="AU76" s="375" t="str">
        <f>IF(ISBLANK('RESUMEN VIGILANCIA'!AT143),"",'RESUMEN VIGILANCIA'!AT143)</f>
        <v/>
      </c>
      <c r="AV76" s="375" t="str">
        <f>IF(ISBLANK('RESUMEN VIGILANCIA'!AU143),"",'RESUMEN VIGILANCIA'!AU143)</f>
        <v/>
      </c>
      <c r="AW76" s="375" t="str">
        <f>IF(ISBLANK('RESUMEN VIGILANCIA'!AV143),"",'RESUMEN VIGILANCIA'!AV143)</f>
        <v/>
      </c>
      <c r="AX76" s="375" t="str">
        <f>IF(ISBLANK('RESUMEN VIGILANCIA'!AW143),"",'RESUMEN VIGILANCIA'!AW143)</f>
        <v/>
      </c>
      <c r="AY76" s="375" t="str">
        <f>IF(ISBLANK('RESUMEN VIGILANCIA'!AX143),"",'RESUMEN VIGILANCIA'!AX143)</f>
        <v/>
      </c>
      <c r="AZ76" s="375" t="str">
        <f>IF(ISBLANK('RESUMEN VIGILANCIA'!AY143),"",'RESUMEN VIGILANCIA'!AY143)</f>
        <v/>
      </c>
      <c r="BA76" s="376" t="str">
        <f>IF(ISBLANK('RESUMEN VIGILANCIA'!AZ143),"",'RESUMEN VIGILANCIA'!AZ143)</f>
        <v/>
      </c>
      <c r="BB76" s="240">
        <f t="shared" si="6"/>
        <v>0</v>
      </c>
      <c r="BC76" s="110"/>
      <c r="BD76" s="110"/>
    </row>
    <row r="77" spans="1:56" s="28" customFormat="1" ht="20.100000000000001" customHeight="1">
      <c r="A77" s="28" t="str">
        <f>'RESUMEN VIGILANCIA'!A76</f>
        <v>Familia Narváez Caldera</v>
      </c>
      <c r="B77" s="30" t="str">
        <f>'RESUMEN VIGILANCIA'!B76</f>
        <v>Calle Güigüe Nro. 87-A-11</v>
      </c>
      <c r="C77" s="427" t="s">
        <v>1358</v>
      </c>
      <c r="D77" s="434" t="s">
        <v>1357</v>
      </c>
      <c r="E77" s="415" t="str">
        <f>IF(ISBLANK('RESUMEN VIGILANCIA'!D76),"",'RESUMEN VIGILANCIA'!D76)</f>
        <v/>
      </c>
      <c r="F77" s="267">
        <f>IF(ISBLANK('RESUMEN VIGILANCIA'!E76),"",'RESUMEN VIGILANCIA'!E76)</f>
        <v>0.17</v>
      </c>
      <c r="G77" s="179">
        <f>IF(ISBLANK('RESUMEN VIGILANCIA'!F76),"",'RESUMEN VIGILANCIA'!F76)</f>
        <v>0.17</v>
      </c>
      <c r="H77" s="179">
        <f>IF(ISBLANK('RESUMEN VIGILANCIA'!G76),"",'RESUMEN VIGILANCIA'!G76)</f>
        <v>0.17</v>
      </c>
      <c r="I77" s="179">
        <f>IF(ISBLANK('RESUMEN VIGILANCIA'!H76),"",'RESUMEN VIGILANCIA'!H76)</f>
        <v>0.17</v>
      </c>
      <c r="J77" s="179">
        <f>IF(ISBLANK('RESUMEN VIGILANCIA'!I76),"",'RESUMEN VIGILANCIA'!I76)</f>
        <v>0.26</v>
      </c>
      <c r="K77" s="179">
        <f>IF(ISBLANK('RESUMEN VIGILANCIA'!J76),"",'RESUMEN VIGILANCIA'!J76)</f>
        <v>0.26</v>
      </c>
      <c r="L77" s="179">
        <f>IF(ISBLANK('RESUMEN VIGILANCIA'!K76),"",'RESUMEN VIGILANCIA'!K76)</f>
        <v>0.35</v>
      </c>
      <c r="M77" s="179">
        <f>IF(ISBLANK('RESUMEN VIGILANCIA'!L76),"",'RESUMEN VIGILANCIA'!L76)</f>
        <v>0.35</v>
      </c>
      <c r="N77" s="179">
        <f>IF(ISBLANK('RESUMEN VIGILANCIA'!M76),"",'RESUMEN VIGILANCIA'!M76)</f>
        <v>0.35</v>
      </c>
      <c r="O77" s="179">
        <f>IF(ISBLANK('RESUMEN VIGILANCIA'!N76),"",'RESUMEN VIGILANCIA'!N76)</f>
        <v>0.35</v>
      </c>
      <c r="P77" s="268">
        <f>IF(ISBLANK('RESUMEN VIGILANCIA'!O76),"",'RESUMEN VIGILANCIA'!O76)</f>
        <v>0.5</v>
      </c>
      <c r="Q77" s="177">
        <f>IF(ISBLANK('RESUMEN VIGILANCIA'!P76),"",'RESUMEN VIGILANCIA'!P76)</f>
        <v>0.5</v>
      </c>
      <c r="R77" s="269">
        <f>IF(ISBLANK('RESUMEN VIGILANCIA'!Q76),"",'RESUMEN VIGILANCIA'!Q76)</f>
        <v>0.8</v>
      </c>
      <c r="S77" s="268">
        <f>IF(ISBLANK('RESUMEN VIGILANCIA'!R76),"",'RESUMEN VIGILANCIA'!R76)</f>
        <v>0.8</v>
      </c>
      <c r="T77" s="268">
        <f>IF(ISBLANK('RESUMEN VIGILANCIA'!S76),"",'RESUMEN VIGILANCIA'!S76)</f>
        <v>1.4</v>
      </c>
      <c r="U77" s="268">
        <f>IF(ISBLANK('RESUMEN VIGILANCIA'!T76),"",'RESUMEN VIGILANCIA'!T76)</f>
        <v>1.4</v>
      </c>
      <c r="V77" s="268">
        <f>IF(ISBLANK('RESUMEN VIGILANCIA'!U76),"",'RESUMEN VIGILANCIA'!U76)</f>
        <v>4</v>
      </c>
      <c r="W77" s="268">
        <f>IF(ISBLANK('RESUMEN VIGILANCIA'!V76),"",'RESUMEN VIGILANCIA'!V76)</f>
        <v>6.25</v>
      </c>
      <c r="X77" s="268">
        <f>IF(ISBLANK('RESUMEN VIGILANCIA'!W76),"",'RESUMEN VIGILANCIA'!W76)</f>
        <v>10</v>
      </c>
      <c r="Y77" s="268">
        <f>IF(ISBLANK('RESUMEN VIGILANCIA'!X76),"",'RESUMEN VIGILANCIA'!X76)</f>
        <v>12</v>
      </c>
      <c r="Z77" s="453">
        <f>IF(ISBLANK('RESUMEN VIGILANCIA'!Y76),"",'RESUMEN VIGILANCIA'!Y76)</f>
        <v>320</v>
      </c>
      <c r="AA77" s="453">
        <v>320</v>
      </c>
      <c r="AB77" s="453">
        <f>IF(ISBLANK('RESUMEN VIGILANCIA'!AA76),"",'RESUMEN VIGILANCIA'!AA76)</f>
        <v>320</v>
      </c>
      <c r="AC77" s="454">
        <f>IF(ISBLANK('RESUMEN VIGILANCIA'!AB76),"",'RESUMEN VIGILANCIA'!AB76)</f>
        <v>800</v>
      </c>
      <c r="AD77" s="374">
        <f>IF(ISBLANK('RESUMEN VIGILANCIA'!AC76),"",'RESUMEN VIGILANCIA'!AC76)</f>
        <v>3000</v>
      </c>
      <c r="AE77" s="375">
        <f>IF(ISBLANK('RESUMEN VIGILANCIA'!AD76),"",'RESUMEN VIGILANCIA'!AD76)</f>
        <v>3000</v>
      </c>
      <c r="AF77" s="375">
        <f>IF(ISBLANK('RESUMEN VIGILANCIA'!AE76),"",'RESUMEN VIGILANCIA'!AE76)</f>
        <v>3000</v>
      </c>
      <c r="AG77" s="375">
        <f>IF(ISBLANK('RESUMEN VIGILANCIA'!AF76),"",'RESUMEN VIGILANCIA'!AF76)</f>
        <v>5000</v>
      </c>
      <c r="AH77" s="375">
        <f>IF(ISBLANK('RESUMEN VIGILANCIA'!AG76),"",'RESUMEN VIGILANCIA'!AG76)</f>
        <v>8000</v>
      </c>
      <c r="AI77" s="375">
        <f>IF(ISBLANK('RESUMEN VIGILANCIA'!AH76),"",'RESUMEN VIGILANCIA'!AH76)</f>
        <v>8000</v>
      </c>
      <c r="AJ77" s="375">
        <f>IF(ISBLANK('RESUMEN VIGILANCIA'!AI76),"",'RESUMEN VIGILANCIA'!AI76)</f>
        <v>10000</v>
      </c>
      <c r="AK77" s="375">
        <f>IF(ISBLANK('RESUMEN VIGILANCIA'!AJ76),"",'RESUMEN VIGILANCIA'!AJ76)</f>
        <v>10000</v>
      </c>
      <c r="AL77" s="375">
        <f>IF(ISBLANK('RESUMEN VIGILANCIA'!AK76),"",'RESUMEN VIGILANCIA'!AK76)</f>
        <v>23400</v>
      </c>
      <c r="AM77" s="375">
        <f>IF(ISBLANK('RESUMEN VIGILANCIA'!AL76),"",'RESUMEN VIGILANCIA'!AL76)</f>
        <v>51250</v>
      </c>
      <c r="AN77" s="375">
        <f>IF(ISBLANK('RESUMEN VIGILANCIA'!AM76),"",'RESUMEN VIGILANCIA'!AM76)</f>
        <v>56250</v>
      </c>
      <c r="AO77" s="376">
        <f>IF(ISBLANK('RESUMEN VIGILANCIA'!AN76),"",'RESUMEN VIGILANCIA'!AN76)</f>
        <v>136250</v>
      </c>
      <c r="AP77" s="374">
        <f>IF(ISBLANK('RESUMEN VIGILANCIA'!AO76),"",'RESUMEN VIGILANCIA'!AO76)</f>
        <v>136250</v>
      </c>
      <c r="AQ77" s="375">
        <f>IF(ISBLANK('RESUMEN VIGILANCIA'!AP76),"",'RESUMEN VIGILANCIA'!AP76)</f>
        <v>136250</v>
      </c>
      <c r="AR77" s="375">
        <f>IF(ISBLANK('RESUMEN VIGILANCIA'!AQ76),"",'RESUMEN VIGILANCIA'!AQ76)</f>
        <v>185250</v>
      </c>
      <c r="AS77" s="375">
        <f>IF(ISBLANK('RESUMEN VIGILANCIA'!AR76),"",'RESUMEN VIGILANCIA'!AR76)</f>
        <v>300000</v>
      </c>
      <c r="AT77" s="375">
        <f>IF(ISBLANK('RESUMEN VIGILANCIA'!AS76),"",'RESUMEN VIGILANCIA'!AS76)</f>
        <v>250000</v>
      </c>
      <c r="AU77" s="375">
        <f>IF(ISBLANK('RESUMEN VIGILANCIA'!AT76),"",'RESUMEN VIGILANCIA'!AT76)</f>
        <v>250000</v>
      </c>
      <c r="AV77" s="375" t="str">
        <f>IF(ISBLANK('RESUMEN VIGILANCIA'!AU76),"",'RESUMEN VIGILANCIA'!AU76)</f>
        <v/>
      </c>
      <c r="AW77" s="375" t="str">
        <f>IF(ISBLANK('RESUMEN VIGILANCIA'!AV76),"",'RESUMEN VIGILANCIA'!AV76)</f>
        <v/>
      </c>
      <c r="AX77" s="375" t="str">
        <f>IF(ISBLANK('RESUMEN VIGILANCIA'!AW76),"",'RESUMEN VIGILANCIA'!AW76)</f>
        <v/>
      </c>
      <c r="AY77" s="375" t="str">
        <f>IF(ISBLANK('RESUMEN VIGILANCIA'!AX76),"",'RESUMEN VIGILANCIA'!AX76)</f>
        <v/>
      </c>
      <c r="AZ77" s="375" t="str">
        <f>IF(ISBLANK('RESUMEN VIGILANCIA'!AY76),"",'RESUMEN VIGILANCIA'!AY76)</f>
        <v/>
      </c>
      <c r="BA77" s="376" t="str">
        <f>IF(ISBLANK('RESUMEN VIGILANCIA'!AZ76),"",'RESUMEN VIGILANCIA'!AZ76)</f>
        <v/>
      </c>
      <c r="BB77" s="240">
        <f t="shared" si="6"/>
        <v>318950.25</v>
      </c>
      <c r="BC77" s="110"/>
      <c r="BD77" s="110"/>
    </row>
    <row r="78" spans="1:56" s="28" customFormat="1" ht="20.100000000000001" customHeight="1">
      <c r="A78" s="57" t="str">
        <f>'RESUMEN VIGILANCIA'!A77</f>
        <v>Claudia González</v>
      </c>
      <c r="B78" s="58" t="str">
        <f>'RESUMEN VIGILANCIA'!B77</f>
        <v>Calle Güigüe Nro. 88-06</v>
      </c>
      <c r="C78" s="427"/>
      <c r="D78" s="434" t="s">
        <v>1357</v>
      </c>
      <c r="E78" s="415" t="str">
        <f>IF(ISBLANK('RESUMEN VIGILANCIA'!D77),"",'RESUMEN VIGILANCIA'!D77)</f>
        <v/>
      </c>
      <c r="F78" s="267" t="str">
        <f>IF(ISBLANK('RESUMEN VIGILANCIA'!E77),"",'RESUMEN VIGILANCIA'!E77)</f>
        <v/>
      </c>
      <c r="G78" s="179" t="str">
        <f>IF(ISBLANK('RESUMEN VIGILANCIA'!F77),"",'RESUMEN VIGILANCIA'!F77)</f>
        <v/>
      </c>
      <c r="H78" s="179" t="str">
        <f>IF(ISBLANK('RESUMEN VIGILANCIA'!G77),"",'RESUMEN VIGILANCIA'!G77)</f>
        <v/>
      </c>
      <c r="I78" s="179" t="str">
        <f>IF(ISBLANK('RESUMEN VIGILANCIA'!H77),"",'RESUMEN VIGILANCIA'!H77)</f>
        <v/>
      </c>
      <c r="J78" s="179" t="str">
        <f>IF(ISBLANK('RESUMEN VIGILANCIA'!I77),"",'RESUMEN VIGILANCIA'!I77)</f>
        <v/>
      </c>
      <c r="K78" s="179" t="str">
        <f>IF(ISBLANK('RESUMEN VIGILANCIA'!J77),"",'RESUMEN VIGILANCIA'!J77)</f>
        <v/>
      </c>
      <c r="L78" s="179" t="str">
        <f>IF(ISBLANK('RESUMEN VIGILANCIA'!K77),"",'RESUMEN VIGILANCIA'!K77)</f>
        <v/>
      </c>
      <c r="M78" s="179" t="str">
        <f>IF(ISBLANK('RESUMEN VIGILANCIA'!L77),"",'RESUMEN VIGILANCIA'!L77)</f>
        <v/>
      </c>
      <c r="N78" s="179" t="str">
        <f>IF(ISBLANK('RESUMEN VIGILANCIA'!M77),"",'RESUMEN VIGILANCIA'!M77)</f>
        <v/>
      </c>
      <c r="O78" s="179" t="str">
        <f>IF(ISBLANK('RESUMEN VIGILANCIA'!N77),"",'RESUMEN VIGILANCIA'!N77)</f>
        <v/>
      </c>
      <c r="P78" s="272" t="str">
        <f>IF(ISBLANK('RESUMEN VIGILANCIA'!O77),"",'RESUMEN VIGILANCIA'!O77)</f>
        <v>VENDIDA</v>
      </c>
      <c r="Q78" s="283" t="str">
        <f>IF(ISBLANK('RESUMEN VIGILANCIA'!P77),"",'RESUMEN VIGILANCIA'!P77)</f>
        <v/>
      </c>
      <c r="R78" s="284" t="str">
        <f>IF(ISBLANK('RESUMEN VIGILANCIA'!Q77),"",'RESUMEN VIGILANCIA'!Q77)</f>
        <v/>
      </c>
      <c r="S78" s="272" t="str">
        <f>IF(ISBLANK('RESUMEN VIGILANCIA'!R77),"",'RESUMEN VIGILANCIA'!R77)</f>
        <v/>
      </c>
      <c r="T78" s="272" t="str">
        <f>IF(ISBLANK('RESUMEN VIGILANCIA'!S77),"",'RESUMEN VIGILANCIA'!S77)</f>
        <v/>
      </c>
      <c r="U78" s="272" t="str">
        <f>IF(ISBLANK('RESUMEN VIGILANCIA'!T77),"",'RESUMEN VIGILANCIA'!T77)</f>
        <v/>
      </c>
      <c r="V78" s="272" t="str">
        <f>IF(ISBLANK('RESUMEN VIGILANCIA'!U77),"",'RESUMEN VIGILANCIA'!U77)</f>
        <v/>
      </c>
      <c r="W78" s="272" t="str">
        <f>IF(ISBLANK('RESUMEN VIGILANCIA'!V77),"",'RESUMEN VIGILANCIA'!V77)</f>
        <v/>
      </c>
      <c r="X78" s="272" t="str">
        <f>IF(ISBLANK('RESUMEN VIGILANCIA'!W77),"",'RESUMEN VIGILANCIA'!W77)</f>
        <v/>
      </c>
      <c r="Y78" s="272" t="str">
        <f>IF(ISBLANK('RESUMEN VIGILANCIA'!X77),"",'RESUMEN VIGILANCIA'!X77)</f>
        <v/>
      </c>
      <c r="Z78" s="466" t="str">
        <f>IF(ISBLANK('RESUMEN VIGILANCIA'!Y77),"",'RESUMEN VIGILANCIA'!Y77)</f>
        <v/>
      </c>
      <c r="AA78" s="466" t="str">
        <f>IF(ISBLANK('RESUMEN VIGILANCIA'!Z77),"",'RESUMEN VIGILANCIA'!Z77)</f>
        <v/>
      </c>
      <c r="AB78" s="466" t="str">
        <f>IF(ISBLANK('RESUMEN VIGILANCIA'!AA77),"",'RESUMEN VIGILANCIA'!AA77)</f>
        <v/>
      </c>
      <c r="AC78" s="467" t="str">
        <f>IF(ISBLANK('RESUMEN VIGILANCIA'!AB77),"",'RESUMEN VIGILANCIA'!AB77)</f>
        <v/>
      </c>
      <c r="AD78" s="468" t="str">
        <f>IF(ISBLANK('RESUMEN VIGILANCIA'!AC77),"",'RESUMEN VIGILANCIA'!AC77)</f>
        <v/>
      </c>
      <c r="AE78" s="469" t="str">
        <f>IF(ISBLANK('RESUMEN VIGILANCIA'!AD77),"",'RESUMEN VIGILANCIA'!AD77)</f>
        <v/>
      </c>
      <c r="AF78" s="469" t="str">
        <f>IF(ISBLANK('RESUMEN VIGILANCIA'!AE77),"",'RESUMEN VIGILANCIA'!AE77)</f>
        <v/>
      </c>
      <c r="AG78" s="469" t="str">
        <f>IF(ISBLANK('RESUMEN VIGILANCIA'!AF77),"",'RESUMEN VIGILANCIA'!AF77)</f>
        <v/>
      </c>
      <c r="AH78" s="469" t="str">
        <f>IF(ISBLANK('RESUMEN VIGILANCIA'!AG77),"",'RESUMEN VIGILANCIA'!AG77)</f>
        <v/>
      </c>
      <c r="AI78" s="469" t="str">
        <f>IF(ISBLANK('RESUMEN VIGILANCIA'!AH77),"",'RESUMEN VIGILANCIA'!AH77)</f>
        <v/>
      </c>
      <c r="AJ78" s="469" t="str">
        <f>IF(ISBLANK('RESUMEN VIGILANCIA'!AI77),"",'RESUMEN VIGILANCIA'!AI77)</f>
        <v/>
      </c>
      <c r="AK78" s="469" t="str">
        <f>IF(ISBLANK('RESUMEN VIGILANCIA'!AJ77),"",'RESUMEN VIGILANCIA'!AJ77)</f>
        <v/>
      </c>
      <c r="AL78" s="469" t="str">
        <f>IF(ISBLANK('RESUMEN VIGILANCIA'!AK77),"",'RESUMEN VIGILANCIA'!AK77)</f>
        <v/>
      </c>
      <c r="AM78" s="469" t="str">
        <f>IF(ISBLANK('RESUMEN VIGILANCIA'!AL77),"",'RESUMEN VIGILANCIA'!AL77)</f>
        <v/>
      </c>
      <c r="AN78" s="469" t="str">
        <f>IF(ISBLANK('RESUMEN VIGILANCIA'!AM77),"",'RESUMEN VIGILANCIA'!AM77)</f>
        <v/>
      </c>
      <c r="AO78" s="470" t="str">
        <f>IF(ISBLANK('RESUMEN VIGILANCIA'!AN77),"",'RESUMEN VIGILANCIA'!AN77)</f>
        <v/>
      </c>
      <c r="AP78" s="468" t="str">
        <f>IF(ISBLANK('RESUMEN VIGILANCIA'!AO77),"",'RESUMEN VIGILANCIA'!AO77)</f>
        <v/>
      </c>
      <c r="AQ78" s="469" t="str">
        <f>IF(ISBLANK('RESUMEN VIGILANCIA'!AP77),"",'RESUMEN VIGILANCIA'!AP77)</f>
        <v/>
      </c>
      <c r="AR78" s="469" t="str">
        <f>IF(ISBLANK('RESUMEN VIGILANCIA'!AQ77),"",'RESUMEN VIGILANCIA'!AQ77)</f>
        <v/>
      </c>
      <c r="AS78" s="469" t="str">
        <f>IF(ISBLANK('RESUMEN VIGILANCIA'!AR77),"",'RESUMEN VIGILANCIA'!AR77)</f>
        <v/>
      </c>
      <c r="AT78" s="469" t="str">
        <f>IF(ISBLANK('RESUMEN VIGILANCIA'!AS77),"",'RESUMEN VIGILANCIA'!AS77)</f>
        <v/>
      </c>
      <c r="AU78" s="469" t="str">
        <f>IF(ISBLANK('RESUMEN VIGILANCIA'!AT77),"",'RESUMEN VIGILANCIA'!AT77)</f>
        <v/>
      </c>
      <c r="AV78" s="469" t="str">
        <f>IF(ISBLANK('RESUMEN VIGILANCIA'!AU77),"",'RESUMEN VIGILANCIA'!AU77)</f>
        <v/>
      </c>
      <c r="AW78" s="469" t="str">
        <f>IF(ISBLANK('RESUMEN VIGILANCIA'!AV77),"",'RESUMEN VIGILANCIA'!AV77)</f>
        <v/>
      </c>
      <c r="AX78" s="469" t="str">
        <f>IF(ISBLANK('RESUMEN VIGILANCIA'!AW77),"",'RESUMEN VIGILANCIA'!AW77)</f>
        <v/>
      </c>
      <c r="AY78" s="469" t="str">
        <f>IF(ISBLANK('RESUMEN VIGILANCIA'!AX77),"",'RESUMEN VIGILANCIA'!AX77)</f>
        <v/>
      </c>
      <c r="AZ78" s="469" t="str">
        <f>IF(ISBLANK('RESUMEN VIGILANCIA'!AY77),"",'RESUMEN VIGILANCIA'!AY77)</f>
        <v/>
      </c>
      <c r="BA78" s="470" t="str">
        <f>IF(ISBLANK('RESUMEN VIGILANCIA'!AZ77),"",'RESUMEN VIGILANCIA'!AZ77)</f>
        <v/>
      </c>
      <c r="BB78" s="240">
        <f t="shared" si="6"/>
        <v>0</v>
      </c>
      <c r="BC78" s="110"/>
      <c r="BD78" s="110">
        <v>43009</v>
      </c>
    </row>
    <row r="79" spans="1:56" s="28" customFormat="1" ht="20.100000000000001" customHeight="1">
      <c r="A79" s="29" t="str">
        <f>'RESUMEN VIGILANCIA'!A78</f>
        <v>Familia Ozar Rivero</v>
      </c>
      <c r="B79" s="30" t="str">
        <f>'RESUMEN VIGILANCIA'!B78</f>
        <v>Calle Güigüe Nro. 88-06</v>
      </c>
      <c r="C79" s="427" t="s">
        <v>1358</v>
      </c>
      <c r="D79" s="434" t="s">
        <v>1357</v>
      </c>
      <c r="E79" s="417" t="str">
        <f>IF(ISBLANK('RESUMEN VIGILANCIA'!D78),"",'RESUMEN VIGILANCIA'!D78)</f>
        <v/>
      </c>
      <c r="F79" s="280" t="str">
        <f>IF(ISBLANK('RESUMEN VIGILANCIA'!E78),"",'RESUMEN VIGILANCIA'!E78)</f>
        <v/>
      </c>
      <c r="G79" s="207" t="str">
        <f>IF(ISBLANK('RESUMEN VIGILANCIA'!F78),"",'RESUMEN VIGILANCIA'!F78)</f>
        <v/>
      </c>
      <c r="H79" s="207" t="str">
        <f>IF(ISBLANK('RESUMEN VIGILANCIA'!G78),"",'RESUMEN VIGILANCIA'!G78)</f>
        <v/>
      </c>
      <c r="I79" s="207" t="str">
        <f>IF(ISBLANK('RESUMEN VIGILANCIA'!H78),"",'RESUMEN VIGILANCIA'!H78)</f>
        <v/>
      </c>
      <c r="J79" s="207" t="str">
        <f>IF(ISBLANK('RESUMEN VIGILANCIA'!I78),"",'RESUMEN VIGILANCIA'!I78)</f>
        <v/>
      </c>
      <c r="K79" s="207" t="str">
        <f>IF(ISBLANK('RESUMEN VIGILANCIA'!J78),"",'RESUMEN VIGILANCIA'!J78)</f>
        <v/>
      </c>
      <c r="L79" s="207" t="str">
        <f>IF(ISBLANK('RESUMEN VIGILANCIA'!K78),"",'RESUMEN VIGILANCIA'!K78)</f>
        <v/>
      </c>
      <c r="M79" s="207" t="str">
        <f>IF(ISBLANK('RESUMEN VIGILANCIA'!L78),"",'RESUMEN VIGILANCIA'!L78)</f>
        <v/>
      </c>
      <c r="N79" s="207" t="str">
        <f>IF(ISBLANK('RESUMEN VIGILANCIA'!M78),"",'RESUMEN VIGILANCIA'!M78)</f>
        <v/>
      </c>
      <c r="O79" s="207">
        <f>IF(ISBLANK('RESUMEN VIGILANCIA'!N78),"",'RESUMEN VIGILANCIA'!N78)</f>
        <v>0.35</v>
      </c>
      <c r="P79" s="268">
        <f>IF(ISBLANK('RESUMEN VIGILANCIA'!O78),"",'RESUMEN VIGILANCIA'!O78)</f>
        <v>0.5</v>
      </c>
      <c r="Q79" s="177">
        <f>IF(ISBLANK('RESUMEN VIGILANCIA'!P78),"",'RESUMEN VIGILANCIA'!P78)</f>
        <v>0.5</v>
      </c>
      <c r="R79" s="269">
        <f>IF(ISBLANK('RESUMEN VIGILANCIA'!Q78),"",'RESUMEN VIGILANCIA'!Q78)</f>
        <v>0.8</v>
      </c>
      <c r="S79" s="268">
        <f>IF(ISBLANK('RESUMEN VIGILANCIA'!R78),"",'RESUMEN VIGILANCIA'!R78)</f>
        <v>0.65</v>
      </c>
      <c r="T79" s="268">
        <f>IF(ISBLANK('RESUMEN VIGILANCIA'!S78),"",'RESUMEN VIGILANCIA'!S78)</f>
        <v>1.4</v>
      </c>
      <c r="U79" s="268">
        <f>IF(ISBLANK('RESUMEN VIGILANCIA'!T78),"",'RESUMEN VIGILANCIA'!T78)</f>
        <v>1.4</v>
      </c>
      <c r="V79" s="268">
        <f>IF(ISBLANK('RESUMEN VIGILANCIA'!U78),"",'RESUMEN VIGILANCIA'!U78)</f>
        <v>4</v>
      </c>
      <c r="W79" s="268">
        <f>IF(ISBLANK('RESUMEN VIGILANCIA'!V78),"",'RESUMEN VIGILANCIA'!V78)</f>
        <v>6.25</v>
      </c>
      <c r="X79" s="268">
        <f>IF(ISBLANK('RESUMEN VIGILANCIA'!W78),"",'RESUMEN VIGILANCIA'!W78)</f>
        <v>10</v>
      </c>
      <c r="Y79" s="268">
        <f>IF(ISBLANK('RESUMEN VIGILANCIA'!X78),"",'RESUMEN VIGILANCIA'!X78)</f>
        <v>12</v>
      </c>
      <c r="Z79" s="453">
        <f>IF(ISBLANK('RESUMEN VIGILANCIA'!Y78),"",'RESUMEN VIGILANCIA'!Y78)</f>
        <v>320</v>
      </c>
      <c r="AA79" s="453">
        <f>IF(ISBLANK('RESUMEN VIGILANCIA'!Z78),"",'RESUMEN VIGILANCIA'!Z78)</f>
        <v>320</v>
      </c>
      <c r="AB79" s="453">
        <f>IF(ISBLANK('RESUMEN VIGILANCIA'!AA78),"",'RESUMEN VIGILANCIA'!AA78)</f>
        <v>320</v>
      </c>
      <c r="AC79" s="454">
        <f>IF(ISBLANK('RESUMEN VIGILANCIA'!AB78),"",'RESUMEN VIGILANCIA'!AB78)</f>
        <v>800</v>
      </c>
      <c r="AD79" s="374">
        <f>IF(ISBLANK('RESUMEN VIGILANCIA'!AC78),"",'RESUMEN VIGILANCIA'!AC78)</f>
        <v>3000</v>
      </c>
      <c r="AE79" s="375">
        <f>IF(ISBLANK('RESUMEN VIGILANCIA'!AD78),"",'RESUMEN VIGILANCIA'!AD78)</f>
        <v>3000</v>
      </c>
      <c r="AF79" s="375">
        <f>IF(ISBLANK('RESUMEN VIGILANCIA'!AE78),"",'RESUMEN VIGILANCIA'!AE78)</f>
        <v>3000</v>
      </c>
      <c r="AG79" s="375">
        <f>IF(ISBLANK('RESUMEN VIGILANCIA'!AF78),"",'RESUMEN VIGILANCIA'!AF78)</f>
        <v>5000</v>
      </c>
      <c r="AH79" s="375">
        <f>IF(ISBLANK('RESUMEN VIGILANCIA'!AG78),"",'RESUMEN VIGILANCIA'!AG78)</f>
        <v>8000</v>
      </c>
      <c r="AI79" s="375">
        <f>IF(ISBLANK('RESUMEN VIGILANCIA'!AH78),"",'RESUMEN VIGILANCIA'!AH78)</f>
        <v>8000</v>
      </c>
      <c r="AJ79" s="375">
        <f>IF(ISBLANK('RESUMEN VIGILANCIA'!AI78),"",'RESUMEN VIGILANCIA'!AI78)</f>
        <v>10000</v>
      </c>
      <c r="AK79" s="375">
        <f>IF(ISBLANK('RESUMEN VIGILANCIA'!AJ78),"",'RESUMEN VIGILANCIA'!AJ78)</f>
        <v>10000</v>
      </c>
      <c r="AL79" s="375">
        <f>IF(ISBLANK('RESUMEN VIGILANCIA'!AK78),"",'RESUMEN VIGILANCIA'!AK78)</f>
        <v>22000</v>
      </c>
      <c r="AM79" s="375">
        <f>IF(ISBLANK('RESUMEN VIGILANCIA'!AL78),"",'RESUMEN VIGILANCIA'!AL78)</f>
        <v>51250</v>
      </c>
      <c r="AN79" s="375">
        <f>IF(ISBLANK('RESUMEN VIGILANCIA'!AM78),"",'RESUMEN VIGILANCIA'!AM78)</f>
        <v>73500</v>
      </c>
      <c r="AO79" s="376">
        <f>IF(ISBLANK('RESUMEN VIGILANCIA'!AN78),"",'RESUMEN VIGILANCIA'!AN78)</f>
        <v>136250</v>
      </c>
      <c r="AP79" s="374">
        <f>IF(ISBLANK('RESUMEN VIGILANCIA'!AO78),"",'RESUMEN VIGILANCIA'!AO78)</f>
        <v>136250</v>
      </c>
      <c r="AQ79" s="375">
        <f>IF(ISBLANK('RESUMEN VIGILANCIA'!AP78),"",'RESUMEN VIGILANCIA'!AP78)</f>
        <v>136250</v>
      </c>
      <c r="AR79" s="375">
        <f>IF(ISBLANK('RESUMEN VIGILANCIA'!AQ78),"",'RESUMEN VIGILANCIA'!AQ78)</f>
        <v>185250</v>
      </c>
      <c r="AS79" s="375">
        <f>IF(ISBLANK('RESUMEN VIGILANCIA'!AR78),"",'RESUMEN VIGILANCIA'!AR78)</f>
        <v>185250</v>
      </c>
      <c r="AT79" s="375">
        <f>IF(ISBLANK('RESUMEN VIGILANCIA'!AS78),"",'RESUMEN VIGILANCIA'!AS78)</f>
        <v>250000</v>
      </c>
      <c r="AU79" s="375">
        <f>IF(ISBLANK('RESUMEN VIGILANCIA'!AT78),"",'RESUMEN VIGILANCIA'!AT78)</f>
        <v>250000</v>
      </c>
      <c r="AV79" s="375" t="str">
        <f>IF(ISBLANK('RESUMEN VIGILANCIA'!AU78),"",'RESUMEN VIGILANCIA'!AU78)</f>
        <v/>
      </c>
      <c r="AW79" s="375" t="str">
        <f>IF(ISBLANK('RESUMEN VIGILANCIA'!AV78),"",'RESUMEN VIGILANCIA'!AV78)</f>
        <v/>
      </c>
      <c r="AX79" s="375" t="str">
        <f>IF(ISBLANK('RESUMEN VIGILANCIA'!AW78),"",'RESUMEN VIGILANCIA'!AW78)</f>
        <v/>
      </c>
      <c r="AY79" s="375" t="str">
        <f>IF(ISBLANK('RESUMEN VIGILANCIA'!AX78),"",'RESUMEN VIGILANCIA'!AX78)</f>
        <v/>
      </c>
      <c r="AZ79" s="375" t="str">
        <f>IF(ISBLANK('RESUMEN VIGILANCIA'!AY78),"",'RESUMEN VIGILANCIA'!AY78)</f>
        <v/>
      </c>
      <c r="BA79" s="376" t="str">
        <f>IF(ISBLANK('RESUMEN VIGILANCIA'!AZ78),"",'RESUMEN VIGILANCIA'!AZ78)</f>
        <v/>
      </c>
      <c r="BB79" s="240">
        <f t="shared" si="6"/>
        <v>334797.84999999998</v>
      </c>
      <c r="BC79" s="110">
        <v>43040</v>
      </c>
      <c r="BD79" s="110"/>
    </row>
    <row r="80" spans="1:56" s="28" customFormat="1" ht="20.100000000000001" customHeight="1">
      <c r="A80" s="29" t="str">
        <f>'RESUMEN VIGILANCIA'!A79</f>
        <v>Familia Delgado Hidalgo</v>
      </c>
      <c r="B80" s="30" t="str">
        <f>'RESUMEN VIGILANCIA'!B79</f>
        <v>Calle Güigüe Nro. 88-10</v>
      </c>
      <c r="C80" s="427" t="s">
        <v>1358</v>
      </c>
      <c r="D80" s="434" t="s">
        <v>1357</v>
      </c>
      <c r="E80" s="415" t="str">
        <f>IF(ISBLANK('RESUMEN VIGILANCIA'!D79),"",'RESUMEN VIGILANCIA'!D79)</f>
        <v/>
      </c>
      <c r="F80" s="267">
        <f>IF(ISBLANK('RESUMEN VIGILANCIA'!E79),"",'RESUMEN VIGILANCIA'!E79)</f>
        <v>0.17</v>
      </c>
      <c r="G80" s="179">
        <f>IF(ISBLANK('RESUMEN VIGILANCIA'!F79),"",'RESUMEN VIGILANCIA'!F79)</f>
        <v>0.17</v>
      </c>
      <c r="H80" s="179">
        <f>IF(ISBLANK('RESUMEN VIGILANCIA'!G79),"",'RESUMEN VIGILANCIA'!G79)</f>
        <v>0.17</v>
      </c>
      <c r="I80" s="179">
        <f>IF(ISBLANK('RESUMEN VIGILANCIA'!H79),"",'RESUMEN VIGILANCIA'!H79)</f>
        <v>0.17</v>
      </c>
      <c r="J80" s="179">
        <f>IF(ISBLANK('RESUMEN VIGILANCIA'!I79),"",'RESUMEN VIGILANCIA'!I79)</f>
        <v>0.26</v>
      </c>
      <c r="K80" s="179">
        <f>IF(ISBLANK('RESUMEN VIGILANCIA'!J79),"",'RESUMEN VIGILANCIA'!J79)</f>
        <v>0.26</v>
      </c>
      <c r="L80" s="179">
        <f>IF(ISBLANK('RESUMEN VIGILANCIA'!K79),"",'RESUMEN VIGILANCIA'!K79)</f>
        <v>0.35</v>
      </c>
      <c r="M80" s="179">
        <f>IF(ISBLANK('RESUMEN VIGILANCIA'!L79),"",'RESUMEN VIGILANCIA'!L79)</f>
        <v>0.35</v>
      </c>
      <c r="N80" s="179">
        <f>IF(ISBLANK('RESUMEN VIGILANCIA'!M79),"",'RESUMEN VIGILANCIA'!M79)</f>
        <v>0.35</v>
      </c>
      <c r="O80" s="179">
        <f>IF(ISBLANK('RESUMEN VIGILANCIA'!N79),"",'RESUMEN VIGILANCIA'!N79)</f>
        <v>0.35</v>
      </c>
      <c r="P80" s="268">
        <f>IF(ISBLANK('RESUMEN VIGILANCIA'!O79),"",'RESUMEN VIGILANCIA'!O79)</f>
        <v>0.5</v>
      </c>
      <c r="Q80" s="177">
        <f>IF(ISBLANK('RESUMEN VIGILANCIA'!P79),"",'RESUMEN VIGILANCIA'!P79)</f>
        <v>0.5</v>
      </c>
      <c r="R80" s="269">
        <f>IF(ISBLANK('RESUMEN VIGILANCIA'!Q79),"",'RESUMEN VIGILANCIA'!Q79)</f>
        <v>0.8</v>
      </c>
      <c r="S80" s="268">
        <f>IF(ISBLANK('RESUMEN VIGILANCIA'!R79),"",'RESUMEN VIGILANCIA'!R79)</f>
        <v>0.8</v>
      </c>
      <c r="T80" s="268">
        <f>IF(ISBLANK('RESUMEN VIGILANCIA'!S79),"",'RESUMEN VIGILANCIA'!S79)</f>
        <v>1.4</v>
      </c>
      <c r="U80" s="268">
        <f>IF(ISBLANK('RESUMEN VIGILANCIA'!T79),"",'RESUMEN VIGILANCIA'!T79)</f>
        <v>1.4</v>
      </c>
      <c r="V80" s="268">
        <f>IF(ISBLANK('RESUMEN VIGILANCIA'!U79),"",'RESUMEN VIGILANCIA'!U79)</f>
        <v>4</v>
      </c>
      <c r="W80" s="268">
        <f>IF(ISBLANK('RESUMEN VIGILANCIA'!V79),"",'RESUMEN VIGILANCIA'!V79)</f>
        <v>6.25</v>
      </c>
      <c r="X80" s="268">
        <f>IF(ISBLANK('RESUMEN VIGILANCIA'!W79),"",'RESUMEN VIGILANCIA'!W79)</f>
        <v>10</v>
      </c>
      <c r="Y80" s="268">
        <f>IF(ISBLANK('RESUMEN VIGILANCIA'!X79),"",'RESUMEN VIGILANCIA'!X79)</f>
        <v>12</v>
      </c>
      <c r="Z80" s="453">
        <f>IF(ISBLANK('RESUMEN VIGILANCIA'!Y79),"",'RESUMEN VIGILANCIA'!Y79)</f>
        <v>320</v>
      </c>
      <c r="AA80" s="453">
        <f>IF(ISBLANK('RESUMEN VIGILANCIA'!Z79),"",'RESUMEN VIGILANCIA'!Z79)</f>
        <v>320</v>
      </c>
      <c r="AB80" s="453">
        <f>IF(ISBLANK('RESUMEN VIGILANCIA'!AA79),"",'RESUMEN VIGILANCIA'!AA79)</f>
        <v>320</v>
      </c>
      <c r="AC80" s="454">
        <f>IF(ISBLANK('RESUMEN VIGILANCIA'!AB79),"",'RESUMEN VIGILANCIA'!AB79)</f>
        <v>800</v>
      </c>
      <c r="AD80" s="374">
        <f>IF(ISBLANK('RESUMEN VIGILANCIA'!AC79),"",'RESUMEN VIGILANCIA'!AC79)</f>
        <v>3000</v>
      </c>
      <c r="AE80" s="375">
        <f>IF(ISBLANK('RESUMEN VIGILANCIA'!AD79),"",'RESUMEN VIGILANCIA'!AD79)</f>
        <v>3000</v>
      </c>
      <c r="AF80" s="375">
        <f>IF(ISBLANK('RESUMEN VIGILANCIA'!AE79),"",'RESUMEN VIGILANCIA'!AE79)</f>
        <v>3000</v>
      </c>
      <c r="AG80" s="375">
        <f>IF(ISBLANK('RESUMEN VIGILANCIA'!AF79),"",'RESUMEN VIGILANCIA'!AF79)</f>
        <v>5000</v>
      </c>
      <c r="AH80" s="375">
        <f>IF(ISBLANK('RESUMEN VIGILANCIA'!AG79),"",'RESUMEN VIGILANCIA'!AG79)</f>
        <v>8000</v>
      </c>
      <c r="AI80" s="375">
        <f>IF(ISBLANK('RESUMEN VIGILANCIA'!AH79),"",'RESUMEN VIGILANCIA'!AH79)</f>
        <v>8000</v>
      </c>
      <c r="AJ80" s="375">
        <f>IF(ISBLANK('RESUMEN VIGILANCIA'!AI79),"",'RESUMEN VIGILANCIA'!AI79)</f>
        <v>10000</v>
      </c>
      <c r="AK80" s="375">
        <f>IF(ISBLANK('RESUMEN VIGILANCIA'!AJ79),"",'RESUMEN VIGILANCIA'!AJ79)</f>
        <v>10000</v>
      </c>
      <c r="AL80" s="375">
        <f>IF(ISBLANK('RESUMEN VIGILANCIA'!AK79),"",'RESUMEN VIGILANCIA'!AK79)</f>
        <v>20500</v>
      </c>
      <c r="AM80" s="375">
        <f>IF(ISBLANK('RESUMEN VIGILANCIA'!AL79),"",'RESUMEN VIGILANCIA'!AL79)</f>
        <v>56260</v>
      </c>
      <c r="AN80" s="375">
        <f>IF(ISBLANK('RESUMEN VIGILANCIA'!AM79),"",'RESUMEN VIGILANCIA'!AM79)</f>
        <v>56250</v>
      </c>
      <c r="AO80" s="376">
        <f>IF(ISBLANK('RESUMEN VIGILANCIA'!AN79),"",'RESUMEN VIGILANCIA'!AN79)</f>
        <v>81750</v>
      </c>
      <c r="AP80" s="374">
        <f>IF(ISBLANK('RESUMEN VIGILANCIA'!AO79),"",'RESUMEN VIGILANCIA'!AO79)</f>
        <v>136250</v>
      </c>
      <c r="AQ80" s="375">
        <f>IF(ISBLANK('RESUMEN VIGILANCIA'!AP79),"",'RESUMEN VIGILANCIA'!AP79)</f>
        <v>136250</v>
      </c>
      <c r="AR80" s="375">
        <f>IF(ISBLANK('RESUMEN VIGILANCIA'!AQ79),"",'RESUMEN VIGILANCIA'!AQ79)</f>
        <v>185250</v>
      </c>
      <c r="AS80" s="375">
        <f>IF(ISBLANK('RESUMEN VIGILANCIA'!AR79),"",'RESUMEN VIGILANCIA'!AR79)</f>
        <v>185250</v>
      </c>
      <c r="AT80" s="375">
        <f>IF(ISBLANK('RESUMEN VIGILANCIA'!AS79),"",'RESUMEN VIGILANCIA'!AS79)</f>
        <v>250000</v>
      </c>
      <c r="AU80" s="375">
        <f>IF(ISBLANK('RESUMEN VIGILANCIA'!AT79),"",'RESUMEN VIGILANCIA'!AT79)</f>
        <v>250000</v>
      </c>
      <c r="AV80" s="375" t="str">
        <f>IF(ISBLANK('RESUMEN VIGILANCIA'!AU79),"",'RESUMEN VIGILANCIA'!AU79)</f>
        <v/>
      </c>
      <c r="AW80" s="375" t="str">
        <f>IF(ISBLANK('RESUMEN VIGILANCIA'!AV79),"",'RESUMEN VIGILANCIA'!AV79)</f>
        <v/>
      </c>
      <c r="AX80" s="375" t="str">
        <f>IF(ISBLANK('RESUMEN VIGILANCIA'!AW79),"",'RESUMEN VIGILANCIA'!AW79)</f>
        <v/>
      </c>
      <c r="AY80" s="375" t="str">
        <f>IF(ISBLANK('RESUMEN VIGILANCIA'!AX79),"",'RESUMEN VIGILANCIA'!AX79)</f>
        <v/>
      </c>
      <c r="AZ80" s="375" t="str">
        <f>IF(ISBLANK('RESUMEN VIGILANCIA'!AY79),"",'RESUMEN VIGILANCIA'!AY79)</f>
        <v/>
      </c>
      <c r="BA80" s="376" t="str">
        <f>IF(ISBLANK('RESUMEN VIGILANCIA'!AZ79),"",'RESUMEN VIGILANCIA'!AZ79)</f>
        <v/>
      </c>
      <c r="BB80" s="240">
        <f t="shared" si="6"/>
        <v>266560.25</v>
      </c>
      <c r="BC80" s="110"/>
      <c r="BD80" s="110"/>
    </row>
    <row r="81" spans="1:56" s="28" customFormat="1" ht="20.100000000000001" customHeight="1">
      <c r="A81" s="29" t="str">
        <f>'RESUMEN VIGILANCIA'!A99</f>
        <v>Familia Castillo Mena</v>
      </c>
      <c r="B81" s="30" t="str">
        <f>'RESUMEN VIGILANCIA'!B99</f>
        <v>Calle Güigüe Nro. 88-101</v>
      </c>
      <c r="C81" s="427" t="s">
        <v>1358</v>
      </c>
      <c r="D81" s="434" t="s">
        <v>1357</v>
      </c>
      <c r="E81" s="415" t="str">
        <f>IF(ISBLANK('RESUMEN VIGILANCIA'!D99),"",'RESUMEN VIGILANCIA'!D99)</f>
        <v/>
      </c>
      <c r="F81" s="267">
        <f>IF(ISBLANK('RESUMEN VIGILANCIA'!E99),"",'RESUMEN VIGILANCIA'!E99)</f>
        <v>0.17</v>
      </c>
      <c r="G81" s="179">
        <f>IF(ISBLANK('RESUMEN VIGILANCIA'!F99),"",'RESUMEN VIGILANCIA'!F99)</f>
        <v>0.17</v>
      </c>
      <c r="H81" s="179">
        <f>IF(ISBLANK('RESUMEN VIGILANCIA'!G99),"",'RESUMEN VIGILANCIA'!G99)</f>
        <v>0.17</v>
      </c>
      <c r="I81" s="179">
        <f>IF(ISBLANK('RESUMEN VIGILANCIA'!H99),"",'RESUMEN VIGILANCIA'!H99)</f>
        <v>0.17</v>
      </c>
      <c r="J81" s="179">
        <f>IF(ISBLANK('RESUMEN VIGILANCIA'!I99),"",'RESUMEN VIGILANCIA'!I99)</f>
        <v>0.26</v>
      </c>
      <c r="K81" s="179">
        <f>IF(ISBLANK('RESUMEN VIGILANCIA'!J99),"",'RESUMEN VIGILANCIA'!J99)</f>
        <v>0.26</v>
      </c>
      <c r="L81" s="179">
        <f>IF(ISBLANK('RESUMEN VIGILANCIA'!K99),"",'RESUMEN VIGILANCIA'!K99)</f>
        <v>0.35</v>
      </c>
      <c r="M81" s="179">
        <f>IF(ISBLANK('RESUMEN VIGILANCIA'!L99),"",'RESUMEN VIGILANCIA'!L99)</f>
        <v>0.35</v>
      </c>
      <c r="N81" s="179">
        <f>IF(ISBLANK('RESUMEN VIGILANCIA'!M99),"",'RESUMEN VIGILANCIA'!M99)</f>
        <v>0.35</v>
      </c>
      <c r="O81" s="179">
        <f>IF(ISBLANK('RESUMEN VIGILANCIA'!N99),"",'RESUMEN VIGILANCIA'!N99)</f>
        <v>0.35</v>
      </c>
      <c r="P81" s="268">
        <f>IF(ISBLANK('RESUMEN VIGILANCIA'!O99),"",'RESUMEN VIGILANCIA'!O99)</f>
        <v>0.5</v>
      </c>
      <c r="Q81" s="177">
        <f>IF(ISBLANK('RESUMEN VIGILANCIA'!P99),"",'RESUMEN VIGILANCIA'!P99)</f>
        <v>0.5</v>
      </c>
      <c r="R81" s="269">
        <f>IF(ISBLANK('RESUMEN VIGILANCIA'!Q99),"",'RESUMEN VIGILANCIA'!Q99)</f>
        <v>0.8</v>
      </c>
      <c r="S81" s="268">
        <f>IF(ISBLANK('RESUMEN VIGILANCIA'!R99),"",'RESUMEN VIGILANCIA'!R99)</f>
        <v>0.8</v>
      </c>
      <c r="T81" s="268">
        <f>IF(ISBLANK('RESUMEN VIGILANCIA'!S99),"",'RESUMEN VIGILANCIA'!S99)</f>
        <v>1.4</v>
      </c>
      <c r="U81" s="268">
        <f>IF(ISBLANK('RESUMEN VIGILANCIA'!T99),"",'RESUMEN VIGILANCIA'!T99)</f>
        <v>1.4</v>
      </c>
      <c r="V81" s="268">
        <f>IF(ISBLANK('RESUMEN VIGILANCIA'!U99),"",'RESUMEN VIGILANCIA'!U99)</f>
        <v>4</v>
      </c>
      <c r="W81" s="268">
        <f>IF(ISBLANK('RESUMEN VIGILANCIA'!V99),"",'RESUMEN VIGILANCIA'!V99)</f>
        <v>6.25</v>
      </c>
      <c r="X81" s="268">
        <f>IF(ISBLANK('RESUMEN VIGILANCIA'!W99),"",'RESUMEN VIGILANCIA'!W99)</f>
        <v>10</v>
      </c>
      <c r="Y81" s="268">
        <f>IF(ISBLANK('RESUMEN VIGILANCIA'!X99),"",'RESUMEN VIGILANCIA'!X99)</f>
        <v>12</v>
      </c>
      <c r="Z81" s="453">
        <f>IF(ISBLANK('RESUMEN VIGILANCIA'!Y99),"",'RESUMEN VIGILANCIA'!Y99)</f>
        <v>320</v>
      </c>
      <c r="AA81" s="453">
        <f>IF(ISBLANK('RESUMEN VIGILANCIA'!Z99),"",'RESUMEN VIGILANCIA'!Z99)</f>
        <v>320</v>
      </c>
      <c r="AB81" s="453">
        <f>IF(ISBLANK('RESUMEN VIGILANCIA'!AA99),"",'RESUMEN VIGILANCIA'!AA99)</f>
        <v>320</v>
      </c>
      <c r="AC81" s="454">
        <f>IF(ISBLANK('RESUMEN VIGILANCIA'!AB99),"",'RESUMEN VIGILANCIA'!AB99)</f>
        <v>800</v>
      </c>
      <c r="AD81" s="374">
        <f>IF(ISBLANK('RESUMEN VIGILANCIA'!AC99),"",'RESUMEN VIGILANCIA'!AC99)</f>
        <v>3000</v>
      </c>
      <c r="AE81" s="375">
        <f>IF(ISBLANK('RESUMEN VIGILANCIA'!AD99),"",'RESUMEN VIGILANCIA'!AD99)</f>
        <v>3000</v>
      </c>
      <c r="AF81" s="375">
        <f>IF(ISBLANK('RESUMEN VIGILANCIA'!AE99),"",'RESUMEN VIGILANCIA'!AE99)</f>
        <v>3000</v>
      </c>
      <c r="AG81" s="375">
        <f>IF(ISBLANK('RESUMEN VIGILANCIA'!AF99),"",'RESUMEN VIGILANCIA'!AF99)</f>
        <v>5000</v>
      </c>
      <c r="AH81" s="375">
        <f>IF(ISBLANK('RESUMEN VIGILANCIA'!AG99),"",'RESUMEN VIGILANCIA'!AG99)</f>
        <v>8000</v>
      </c>
      <c r="AI81" s="375">
        <f>IF(ISBLANK('RESUMEN VIGILANCIA'!AH99),"",'RESUMEN VIGILANCIA'!AH99)</f>
        <v>8000</v>
      </c>
      <c r="AJ81" s="375">
        <f>IF(ISBLANK('RESUMEN VIGILANCIA'!AI99),"",'RESUMEN VIGILANCIA'!AI99)</f>
        <v>10000</v>
      </c>
      <c r="AK81" s="375">
        <f>IF(ISBLANK('RESUMEN VIGILANCIA'!AJ99),"",'RESUMEN VIGILANCIA'!AJ99)</f>
        <v>10000</v>
      </c>
      <c r="AL81" s="375">
        <f>IF(ISBLANK('RESUMEN VIGILANCIA'!AK99),"",'RESUMEN VIGILANCIA'!AK99)</f>
        <v>21100</v>
      </c>
      <c r="AM81" s="375">
        <f>IF(ISBLANK('RESUMEN VIGILANCIA'!AL99),"",'RESUMEN VIGILANCIA'!AL99)</f>
        <v>51250</v>
      </c>
      <c r="AN81" s="375">
        <f>IF(ISBLANK('RESUMEN VIGILANCIA'!AM99),"",'RESUMEN VIGILANCIA'!AM99)</f>
        <v>81750</v>
      </c>
      <c r="AO81" s="376">
        <f>IF(ISBLANK('RESUMEN VIGILANCIA'!AN99),"",'RESUMEN VIGILANCIA'!AN99)</f>
        <v>105250</v>
      </c>
      <c r="AP81" s="374">
        <f>IF(ISBLANK('RESUMEN VIGILANCIA'!AO99),"",'RESUMEN VIGILANCIA'!AO99)</f>
        <v>136250</v>
      </c>
      <c r="AQ81" s="375">
        <f>IF(ISBLANK('RESUMEN VIGILANCIA'!AP99),"",'RESUMEN VIGILANCIA'!AP99)</f>
        <v>136250</v>
      </c>
      <c r="AR81" s="375">
        <f>IF(ISBLANK('RESUMEN VIGILANCIA'!AQ99),"",'RESUMEN VIGILANCIA'!AQ99)</f>
        <v>185250</v>
      </c>
      <c r="AS81" s="375">
        <f>IF(ISBLANK('RESUMEN VIGILANCIA'!AR99),"",'RESUMEN VIGILANCIA'!AR99)</f>
        <v>185250</v>
      </c>
      <c r="AT81" s="375">
        <f>IF(ISBLANK('RESUMEN VIGILANCIA'!AS99),"",'RESUMEN VIGILANCIA'!AS99)</f>
        <v>250000</v>
      </c>
      <c r="AU81" s="375">
        <f>IF(ISBLANK('RESUMEN VIGILANCIA'!AT99),"",'RESUMEN VIGILANCIA'!AT99)</f>
        <v>250000</v>
      </c>
      <c r="AV81" s="375" t="str">
        <f>IF(ISBLANK('RESUMEN VIGILANCIA'!AU99),"",'RESUMEN VIGILANCIA'!AU99)</f>
        <v/>
      </c>
      <c r="AW81" s="375" t="str">
        <f>IF(ISBLANK('RESUMEN VIGILANCIA'!AV99),"",'RESUMEN VIGILANCIA'!AV99)</f>
        <v/>
      </c>
      <c r="AX81" s="375" t="str">
        <f>IF(ISBLANK('RESUMEN VIGILANCIA'!AW99),"",'RESUMEN VIGILANCIA'!AW99)</f>
        <v/>
      </c>
      <c r="AY81" s="375" t="str">
        <f>IF(ISBLANK('RESUMEN VIGILANCIA'!AX99),"",'RESUMEN VIGILANCIA'!AX99)</f>
        <v/>
      </c>
      <c r="AZ81" s="375" t="str">
        <f>IF(ISBLANK('RESUMEN VIGILANCIA'!AY99),"",'RESUMEN VIGILANCIA'!AY99)</f>
        <v/>
      </c>
      <c r="BA81" s="376" t="str">
        <f>IF(ISBLANK('RESUMEN VIGILANCIA'!AZ99),"",'RESUMEN VIGILANCIA'!AZ99)</f>
        <v/>
      </c>
      <c r="BB81" s="240">
        <f t="shared" si="6"/>
        <v>311150.25</v>
      </c>
      <c r="BC81" s="110"/>
      <c r="BD81" s="110"/>
    </row>
    <row r="82" spans="1:56" s="28" customFormat="1" ht="20.100000000000001" customHeight="1">
      <c r="A82" s="29" t="str">
        <f>'RESUMEN VIGILANCIA'!A100</f>
        <v>Familia Centeno Rizzo</v>
      </c>
      <c r="B82" s="30" t="str">
        <f>'RESUMEN VIGILANCIA'!B100</f>
        <v>Calle Güigüe Nro. 88-102</v>
      </c>
      <c r="C82" s="427" t="s">
        <v>1360</v>
      </c>
      <c r="D82" s="434" t="s">
        <v>1357</v>
      </c>
      <c r="E82" s="415" t="str">
        <f>IF(ISBLANK('RESUMEN VIGILANCIA'!D100),"",'RESUMEN VIGILANCIA'!D100)</f>
        <v/>
      </c>
      <c r="F82" s="267" t="str">
        <f>IF(ISBLANK('RESUMEN VIGILANCIA'!E100),"",'RESUMEN VIGILANCIA'!E100)</f>
        <v/>
      </c>
      <c r="G82" s="179" t="str">
        <f>IF(ISBLANK('RESUMEN VIGILANCIA'!F100),"",'RESUMEN VIGILANCIA'!F100)</f>
        <v/>
      </c>
      <c r="H82" s="179" t="str">
        <f>IF(ISBLANK('RESUMEN VIGILANCIA'!G100),"",'RESUMEN VIGILANCIA'!G100)</f>
        <v/>
      </c>
      <c r="I82" s="179" t="str">
        <f>IF(ISBLANK('RESUMEN VIGILANCIA'!H100),"",'RESUMEN VIGILANCIA'!H100)</f>
        <v/>
      </c>
      <c r="J82" s="179" t="str">
        <f>IF(ISBLANK('RESUMEN VIGILANCIA'!I100),"",'RESUMEN VIGILANCIA'!I100)</f>
        <v/>
      </c>
      <c r="K82" s="179" t="str">
        <f>IF(ISBLANK('RESUMEN VIGILANCIA'!J100),"",'RESUMEN VIGILANCIA'!J100)</f>
        <v/>
      </c>
      <c r="L82" s="179" t="str">
        <f>IF(ISBLANK('RESUMEN VIGILANCIA'!K100),"",'RESUMEN VIGILANCIA'!K100)</f>
        <v/>
      </c>
      <c r="M82" s="179" t="str">
        <f>IF(ISBLANK('RESUMEN VIGILANCIA'!L100),"",'RESUMEN VIGILANCIA'!L100)</f>
        <v/>
      </c>
      <c r="N82" s="179" t="str">
        <f>IF(ISBLANK('RESUMEN VIGILANCIA'!M100),"",'RESUMEN VIGILANCIA'!M100)</f>
        <v/>
      </c>
      <c r="O82" s="179" t="str">
        <f>IF(ISBLANK('RESUMEN VIGILANCIA'!N100),"",'RESUMEN VIGILANCIA'!N100)</f>
        <v/>
      </c>
      <c r="P82" s="268" t="str">
        <f>IF(ISBLANK('RESUMEN VIGILANCIA'!O100),"",'RESUMEN VIGILANCIA'!O100)</f>
        <v/>
      </c>
      <c r="Q82" s="177" t="str">
        <f>IF(ISBLANK('RESUMEN VIGILANCIA'!P100),"",'RESUMEN VIGILANCIA'!P100)</f>
        <v/>
      </c>
      <c r="R82" s="269" t="str">
        <f>IF(ISBLANK('RESUMEN VIGILANCIA'!Q100),"",'RESUMEN VIGILANCIA'!Q100)</f>
        <v/>
      </c>
      <c r="S82" s="268" t="str">
        <f>IF(ISBLANK('RESUMEN VIGILANCIA'!R100),"",'RESUMEN VIGILANCIA'!R100)</f>
        <v/>
      </c>
      <c r="T82" s="268" t="str">
        <f>IF(ISBLANK('RESUMEN VIGILANCIA'!S100),"",'RESUMEN VIGILANCIA'!S100)</f>
        <v/>
      </c>
      <c r="U82" s="268" t="str">
        <f>IF(ISBLANK('RESUMEN VIGILANCIA'!T100),"",'RESUMEN VIGILANCIA'!T100)</f>
        <v/>
      </c>
      <c r="V82" s="268" t="str">
        <f>IF(ISBLANK('RESUMEN VIGILANCIA'!U100),"",'RESUMEN VIGILANCIA'!U100)</f>
        <v/>
      </c>
      <c r="W82" s="268" t="str">
        <f>IF(ISBLANK('RESUMEN VIGILANCIA'!V100),"",'RESUMEN VIGILANCIA'!V100)</f>
        <v/>
      </c>
      <c r="X82" s="268" t="str">
        <f>IF(ISBLANK('RESUMEN VIGILANCIA'!W100),"",'RESUMEN VIGILANCIA'!W100)</f>
        <v/>
      </c>
      <c r="Y82" s="268" t="str">
        <f>IF(ISBLANK('RESUMEN VIGILANCIA'!X100),"",'RESUMEN VIGILANCIA'!X100)</f>
        <v/>
      </c>
      <c r="Z82" s="453" t="str">
        <f>IF(ISBLANK('RESUMEN VIGILANCIA'!Y100),"",'RESUMEN VIGILANCIA'!Y100)</f>
        <v/>
      </c>
      <c r="AA82" s="453" t="str">
        <f>IF(ISBLANK('RESUMEN VIGILANCIA'!Z100),"",'RESUMEN VIGILANCIA'!Z100)</f>
        <v/>
      </c>
      <c r="AB82" s="453" t="str">
        <f>IF(ISBLANK('RESUMEN VIGILANCIA'!AA100),"",'RESUMEN VIGILANCIA'!AA100)</f>
        <v/>
      </c>
      <c r="AC82" s="454" t="str">
        <f>IF(ISBLANK('RESUMEN VIGILANCIA'!AB100),"",'RESUMEN VIGILANCIA'!AB100)</f>
        <v/>
      </c>
      <c r="AD82" s="374" t="str">
        <f>IF(ISBLANK('RESUMEN VIGILANCIA'!AC100),"",'RESUMEN VIGILANCIA'!AC100)</f>
        <v/>
      </c>
      <c r="AE82" s="375" t="str">
        <f>IF(ISBLANK('RESUMEN VIGILANCIA'!AD100),"",'RESUMEN VIGILANCIA'!AD100)</f>
        <v/>
      </c>
      <c r="AF82" s="375" t="str">
        <f>IF(ISBLANK('RESUMEN VIGILANCIA'!AE100),"",'RESUMEN VIGILANCIA'!AE100)</f>
        <v/>
      </c>
      <c r="AG82" s="375" t="str">
        <f>IF(ISBLANK('RESUMEN VIGILANCIA'!AF100),"",'RESUMEN VIGILANCIA'!AF100)</f>
        <v/>
      </c>
      <c r="AH82" s="375" t="str">
        <f>IF(ISBLANK('RESUMEN VIGILANCIA'!AG100),"",'RESUMEN VIGILANCIA'!AG100)</f>
        <v/>
      </c>
      <c r="AI82" s="375" t="str">
        <f>IF(ISBLANK('RESUMEN VIGILANCIA'!AH100),"",'RESUMEN VIGILANCIA'!AH100)</f>
        <v/>
      </c>
      <c r="AJ82" s="375" t="str">
        <f>IF(ISBLANK('RESUMEN VIGILANCIA'!AI100),"",'RESUMEN VIGILANCIA'!AI100)</f>
        <v/>
      </c>
      <c r="AK82" s="375" t="str">
        <f>IF(ISBLANK('RESUMEN VIGILANCIA'!AJ100),"",'RESUMEN VIGILANCIA'!AJ100)</f>
        <v/>
      </c>
      <c r="AL82" s="375" t="str">
        <f>IF(ISBLANK('RESUMEN VIGILANCIA'!AK100),"",'RESUMEN VIGILANCIA'!AK100)</f>
        <v/>
      </c>
      <c r="AM82" s="375" t="str">
        <f>IF(ISBLANK('RESUMEN VIGILANCIA'!AL100),"",'RESUMEN VIGILANCIA'!AL100)</f>
        <v/>
      </c>
      <c r="AN82" s="375" t="str">
        <f>IF(ISBLANK('RESUMEN VIGILANCIA'!AM100),"",'RESUMEN VIGILANCIA'!AM100)</f>
        <v/>
      </c>
      <c r="AO82" s="376" t="str">
        <f>IF(ISBLANK('RESUMEN VIGILANCIA'!AN100),"",'RESUMEN VIGILANCIA'!AN100)</f>
        <v/>
      </c>
      <c r="AP82" s="374" t="str">
        <f>IF(ISBLANK('RESUMEN VIGILANCIA'!AO100),"",'RESUMEN VIGILANCIA'!AO100)</f>
        <v/>
      </c>
      <c r="AQ82" s="375" t="str">
        <f>IF(ISBLANK('RESUMEN VIGILANCIA'!AP100),"",'RESUMEN VIGILANCIA'!AP100)</f>
        <v/>
      </c>
      <c r="AR82" s="375" t="str">
        <f>IF(ISBLANK('RESUMEN VIGILANCIA'!AQ100),"",'RESUMEN VIGILANCIA'!AQ100)</f>
        <v/>
      </c>
      <c r="AS82" s="375" t="str">
        <f>IF(ISBLANK('RESUMEN VIGILANCIA'!AR100),"",'RESUMEN VIGILANCIA'!AR100)</f>
        <v/>
      </c>
      <c r="AT82" s="375" t="str">
        <f>IF(ISBLANK('RESUMEN VIGILANCIA'!AS100),"",'RESUMEN VIGILANCIA'!AS100)</f>
        <v/>
      </c>
      <c r="AU82" s="375" t="str">
        <f>IF(ISBLANK('RESUMEN VIGILANCIA'!AT100),"",'RESUMEN VIGILANCIA'!AT100)</f>
        <v/>
      </c>
      <c r="AV82" s="375" t="str">
        <f>IF(ISBLANK('RESUMEN VIGILANCIA'!AU100),"",'RESUMEN VIGILANCIA'!AU100)</f>
        <v/>
      </c>
      <c r="AW82" s="375" t="str">
        <f>IF(ISBLANK('RESUMEN VIGILANCIA'!AV100),"",'RESUMEN VIGILANCIA'!AV100)</f>
        <v/>
      </c>
      <c r="AX82" s="375" t="str">
        <f>IF(ISBLANK('RESUMEN VIGILANCIA'!AW100),"",'RESUMEN VIGILANCIA'!AW100)</f>
        <v/>
      </c>
      <c r="AY82" s="375" t="str">
        <f>IF(ISBLANK('RESUMEN VIGILANCIA'!AX100),"",'RESUMEN VIGILANCIA'!AX100)</f>
        <v/>
      </c>
      <c r="AZ82" s="375" t="str">
        <f>IF(ISBLANK('RESUMEN VIGILANCIA'!AY100),"",'RESUMEN VIGILANCIA'!AY100)</f>
        <v/>
      </c>
      <c r="BA82" s="376" t="str">
        <f>IF(ISBLANK('RESUMEN VIGILANCIA'!AZ100),"",'RESUMEN VIGILANCIA'!AZ100)</f>
        <v/>
      </c>
      <c r="BB82" s="240">
        <f t="shared" si="6"/>
        <v>0</v>
      </c>
      <c r="BC82" s="110"/>
      <c r="BD82" s="110"/>
    </row>
    <row r="83" spans="1:56" s="28" customFormat="1" ht="20.100000000000001" customHeight="1">
      <c r="A83" s="32" t="str">
        <f>'RESUMEN VIGILANCIA'!A101</f>
        <v>Familia Pérez Malpica</v>
      </c>
      <c r="B83" s="33" t="str">
        <f>'RESUMEN VIGILANCIA'!B101</f>
        <v>Calle Güigüe Nro. 88-110</v>
      </c>
      <c r="C83" s="426" t="s">
        <v>1360</v>
      </c>
      <c r="D83" s="435" t="s">
        <v>1357</v>
      </c>
      <c r="E83" s="414" t="str">
        <f>IF(ISBLANK('RESUMEN VIGILANCIA'!D101),"",'RESUMEN VIGILANCIA'!D101)</f>
        <v/>
      </c>
      <c r="F83" s="264">
        <f>IF(ISBLANK('RESUMEN VIGILANCIA'!E101),"",'RESUMEN VIGILANCIA'!E101)</f>
        <v>0.02</v>
      </c>
      <c r="G83" s="186" t="str">
        <f>IF(ISBLANK('RESUMEN VIGILANCIA'!F101),"",'RESUMEN VIGILANCIA'!F101)</f>
        <v/>
      </c>
      <c r="H83" s="186" t="str">
        <f>IF(ISBLANK('RESUMEN VIGILANCIA'!G101),"",'RESUMEN VIGILANCIA'!G101)</f>
        <v/>
      </c>
      <c r="I83" s="186" t="str">
        <f>IF(ISBLANK('RESUMEN VIGILANCIA'!H101),"",'RESUMEN VIGILANCIA'!H101)</f>
        <v/>
      </c>
      <c r="J83" s="186" t="str">
        <f>IF(ISBLANK('RESUMEN VIGILANCIA'!I101),"",'RESUMEN VIGILANCIA'!I101)</f>
        <v/>
      </c>
      <c r="K83" s="186" t="str">
        <f>IF(ISBLANK('RESUMEN VIGILANCIA'!J101),"",'RESUMEN VIGILANCIA'!J101)</f>
        <v/>
      </c>
      <c r="L83" s="186" t="str">
        <f>IF(ISBLANK('RESUMEN VIGILANCIA'!K101),"",'RESUMEN VIGILANCIA'!K101)</f>
        <v/>
      </c>
      <c r="M83" s="186" t="str">
        <f>IF(ISBLANK('RESUMEN VIGILANCIA'!L101),"",'RESUMEN VIGILANCIA'!L101)</f>
        <v/>
      </c>
      <c r="N83" s="186" t="str">
        <f>IF(ISBLANK('RESUMEN VIGILANCIA'!M101),"",'RESUMEN VIGILANCIA'!M101)</f>
        <v/>
      </c>
      <c r="O83" s="186" t="str">
        <f>IF(ISBLANK('RESUMEN VIGILANCIA'!N101),"",'RESUMEN VIGILANCIA'!N101)</f>
        <v/>
      </c>
      <c r="P83" s="265" t="str">
        <f>IF(ISBLANK('RESUMEN VIGILANCIA'!O101),"",'RESUMEN VIGILANCIA'!O101)</f>
        <v/>
      </c>
      <c r="Q83" s="184" t="str">
        <f>IF(ISBLANK('RESUMEN VIGILANCIA'!P101),"",'RESUMEN VIGILANCIA'!P101)</f>
        <v/>
      </c>
      <c r="R83" s="266" t="str">
        <f>IF(ISBLANK('RESUMEN VIGILANCIA'!Q101),"",'RESUMEN VIGILANCIA'!Q101)</f>
        <v/>
      </c>
      <c r="S83" s="265" t="str">
        <f>IF(ISBLANK('RESUMEN VIGILANCIA'!R101),"",'RESUMEN VIGILANCIA'!R101)</f>
        <v/>
      </c>
      <c r="T83" s="265" t="str">
        <f>IF(ISBLANK('RESUMEN VIGILANCIA'!S101),"",'RESUMEN VIGILANCIA'!S101)</f>
        <v/>
      </c>
      <c r="U83" s="265" t="str">
        <f>IF(ISBLANK('RESUMEN VIGILANCIA'!T101),"",'RESUMEN VIGILANCIA'!T101)</f>
        <v/>
      </c>
      <c r="V83" s="265" t="str">
        <f>IF(ISBLANK('RESUMEN VIGILANCIA'!U101),"",'RESUMEN VIGILANCIA'!U101)</f>
        <v/>
      </c>
      <c r="W83" s="265" t="str">
        <f>IF(ISBLANK('RESUMEN VIGILANCIA'!V101),"",'RESUMEN VIGILANCIA'!V101)</f>
        <v/>
      </c>
      <c r="X83" s="265" t="str">
        <f>IF(ISBLANK('RESUMEN VIGILANCIA'!W101),"",'RESUMEN VIGILANCIA'!W101)</f>
        <v/>
      </c>
      <c r="Y83" s="265" t="str">
        <f>IF(ISBLANK('RESUMEN VIGILANCIA'!X101),"",'RESUMEN VIGILANCIA'!X101)</f>
        <v/>
      </c>
      <c r="Z83" s="457" t="str">
        <f>IF(ISBLANK('RESUMEN VIGILANCIA'!Y101),"",'RESUMEN VIGILANCIA'!Y101)</f>
        <v/>
      </c>
      <c r="AA83" s="457" t="str">
        <f>IF(ISBLANK('RESUMEN VIGILANCIA'!Z101),"",'RESUMEN VIGILANCIA'!Z101)</f>
        <v/>
      </c>
      <c r="AB83" s="457" t="str">
        <f>IF(ISBLANK('RESUMEN VIGILANCIA'!AA101),"",'RESUMEN VIGILANCIA'!AA101)</f>
        <v/>
      </c>
      <c r="AC83" s="458" t="str">
        <f>IF(ISBLANK('RESUMEN VIGILANCIA'!AB101),"",'RESUMEN VIGILANCIA'!AB101)</f>
        <v/>
      </c>
      <c r="AD83" s="371" t="str">
        <f>IF(ISBLANK('RESUMEN VIGILANCIA'!AC101),"",'RESUMEN VIGILANCIA'!AC101)</f>
        <v/>
      </c>
      <c r="AE83" s="372" t="str">
        <f>IF(ISBLANK('RESUMEN VIGILANCIA'!AD101),"",'RESUMEN VIGILANCIA'!AD101)</f>
        <v/>
      </c>
      <c r="AF83" s="372" t="str">
        <f>IF(ISBLANK('RESUMEN VIGILANCIA'!AE101),"",'RESUMEN VIGILANCIA'!AE101)</f>
        <v/>
      </c>
      <c r="AG83" s="372" t="str">
        <f>IF(ISBLANK('RESUMEN VIGILANCIA'!AF101),"",'RESUMEN VIGILANCIA'!AF101)</f>
        <v/>
      </c>
      <c r="AH83" s="372" t="str">
        <f>IF(ISBLANK('RESUMEN VIGILANCIA'!AG101),"",'RESUMEN VIGILANCIA'!AG101)</f>
        <v/>
      </c>
      <c r="AI83" s="372" t="str">
        <f>IF(ISBLANK('RESUMEN VIGILANCIA'!AH101),"",'RESUMEN VIGILANCIA'!AH101)</f>
        <v/>
      </c>
      <c r="AJ83" s="372" t="str">
        <f>IF(ISBLANK('RESUMEN VIGILANCIA'!AI101),"",'RESUMEN VIGILANCIA'!AI101)</f>
        <v/>
      </c>
      <c r="AK83" s="372" t="str">
        <f>IF(ISBLANK('RESUMEN VIGILANCIA'!AJ101),"",'RESUMEN VIGILANCIA'!AJ101)</f>
        <v/>
      </c>
      <c r="AL83" s="372" t="str">
        <f>IF(ISBLANK('RESUMEN VIGILANCIA'!AK101),"",'RESUMEN VIGILANCIA'!AK101)</f>
        <v/>
      </c>
      <c r="AM83" s="372" t="str">
        <f>IF(ISBLANK('RESUMEN VIGILANCIA'!AL101),"",'RESUMEN VIGILANCIA'!AL101)</f>
        <v/>
      </c>
      <c r="AN83" s="372" t="str">
        <f>IF(ISBLANK('RESUMEN VIGILANCIA'!AM101),"",'RESUMEN VIGILANCIA'!AM101)</f>
        <v/>
      </c>
      <c r="AO83" s="373" t="str">
        <f>IF(ISBLANK('RESUMEN VIGILANCIA'!AN101),"",'RESUMEN VIGILANCIA'!AN101)</f>
        <v/>
      </c>
      <c r="AP83" s="371" t="str">
        <f>IF(ISBLANK('RESUMEN VIGILANCIA'!AO101),"",'RESUMEN VIGILANCIA'!AO101)</f>
        <v/>
      </c>
      <c r="AQ83" s="372" t="str">
        <f>IF(ISBLANK('RESUMEN VIGILANCIA'!AP101),"",'RESUMEN VIGILANCIA'!AP101)</f>
        <v/>
      </c>
      <c r="AR83" s="372" t="str">
        <f>IF(ISBLANK('RESUMEN VIGILANCIA'!AQ101),"",'RESUMEN VIGILANCIA'!AQ101)</f>
        <v/>
      </c>
      <c r="AS83" s="372" t="str">
        <f>IF(ISBLANK('RESUMEN VIGILANCIA'!AR101),"",'RESUMEN VIGILANCIA'!AR101)</f>
        <v/>
      </c>
      <c r="AT83" s="372" t="str">
        <f>IF(ISBLANK('RESUMEN VIGILANCIA'!AS101),"",'RESUMEN VIGILANCIA'!AS101)</f>
        <v/>
      </c>
      <c r="AU83" s="372" t="str">
        <f>IF(ISBLANK('RESUMEN VIGILANCIA'!AT101),"",'RESUMEN VIGILANCIA'!AT101)</f>
        <v/>
      </c>
      <c r="AV83" s="372" t="str">
        <f>IF(ISBLANK('RESUMEN VIGILANCIA'!AU101),"",'RESUMEN VIGILANCIA'!AU101)</f>
        <v/>
      </c>
      <c r="AW83" s="372" t="str">
        <f>IF(ISBLANK('RESUMEN VIGILANCIA'!AV101),"",'RESUMEN VIGILANCIA'!AV101)</f>
        <v/>
      </c>
      <c r="AX83" s="372" t="str">
        <f>IF(ISBLANK('RESUMEN VIGILANCIA'!AW101),"",'RESUMEN VIGILANCIA'!AW101)</f>
        <v/>
      </c>
      <c r="AY83" s="372" t="str">
        <f>IF(ISBLANK('RESUMEN VIGILANCIA'!AX101),"",'RESUMEN VIGILANCIA'!AX101)</f>
        <v/>
      </c>
      <c r="AZ83" s="372" t="str">
        <f>IF(ISBLANK('RESUMEN VIGILANCIA'!AY101),"",'RESUMEN VIGILANCIA'!AY101)</f>
        <v/>
      </c>
      <c r="BA83" s="373" t="str">
        <f>IF(ISBLANK('RESUMEN VIGILANCIA'!AZ101),"",'RESUMEN VIGILANCIA'!AZ101)</f>
        <v/>
      </c>
      <c r="BB83" s="239">
        <f t="shared" si="6"/>
        <v>0.02</v>
      </c>
      <c r="BC83" s="109"/>
      <c r="BD83" s="109"/>
    </row>
    <row r="84" spans="1:56" s="28" customFormat="1" ht="20.100000000000001" customHeight="1">
      <c r="A84" s="29" t="str">
        <f>'RESUMEN VIGILANCIA'!A102</f>
        <v>Familia Astor Zamora</v>
      </c>
      <c r="B84" s="30" t="str">
        <f>'RESUMEN VIGILANCIA'!B102</f>
        <v>Calle Güigüe Nro. 88-111</v>
      </c>
      <c r="C84" s="427" t="s">
        <v>1360</v>
      </c>
      <c r="D84" s="434" t="s">
        <v>1357</v>
      </c>
      <c r="E84" s="415" t="str">
        <f>IF(ISBLANK('RESUMEN VIGILANCIA'!D102),"",'RESUMEN VIGILANCIA'!D102)</f>
        <v/>
      </c>
      <c r="F84" s="267">
        <f>IF(ISBLANK('RESUMEN VIGILANCIA'!E102),"",'RESUMEN VIGILANCIA'!E102)</f>
        <v>0.17</v>
      </c>
      <c r="G84" s="179">
        <f>IF(ISBLANK('RESUMEN VIGILANCIA'!F102),"",'RESUMEN VIGILANCIA'!F102)</f>
        <v>0.17</v>
      </c>
      <c r="H84" s="179">
        <f>IF(ISBLANK('RESUMEN VIGILANCIA'!G102),"",'RESUMEN VIGILANCIA'!G102)</f>
        <v>0.17</v>
      </c>
      <c r="I84" s="179">
        <f>IF(ISBLANK('RESUMEN VIGILANCIA'!H102),"",'RESUMEN VIGILANCIA'!H102)</f>
        <v>0.17</v>
      </c>
      <c r="J84" s="179">
        <f>IF(ISBLANK('RESUMEN VIGILANCIA'!I102),"",'RESUMEN VIGILANCIA'!I102)</f>
        <v>0.26</v>
      </c>
      <c r="K84" s="179">
        <f>IF(ISBLANK('RESUMEN VIGILANCIA'!J102),"",'RESUMEN VIGILANCIA'!J102)</f>
        <v>0.26</v>
      </c>
      <c r="L84" s="179">
        <f>IF(ISBLANK('RESUMEN VIGILANCIA'!K102),"",'RESUMEN VIGILANCIA'!K102)</f>
        <v>0.35</v>
      </c>
      <c r="M84" s="179">
        <f>IF(ISBLANK('RESUMEN VIGILANCIA'!L102),"",'RESUMEN VIGILANCIA'!L102)</f>
        <v>0.35</v>
      </c>
      <c r="N84" s="179" t="str">
        <f>IF(ISBLANK('RESUMEN VIGILANCIA'!M102),"",'RESUMEN VIGILANCIA'!M102)</f>
        <v/>
      </c>
      <c r="O84" s="179" t="str">
        <f>IF(ISBLANK('RESUMEN VIGILANCIA'!N102),"",'RESUMEN VIGILANCIA'!N102)</f>
        <v/>
      </c>
      <c r="P84" s="268" t="str">
        <f>IF(ISBLANK('RESUMEN VIGILANCIA'!O102),"",'RESUMEN VIGILANCIA'!O102)</f>
        <v/>
      </c>
      <c r="Q84" s="177" t="str">
        <f>IF(ISBLANK('RESUMEN VIGILANCIA'!P102),"",'RESUMEN VIGILANCIA'!P102)</f>
        <v/>
      </c>
      <c r="R84" s="269">
        <f>IF(ISBLANK('RESUMEN VIGILANCIA'!Q102),"",'RESUMEN VIGILANCIA'!Q102)</f>
        <v>0.8</v>
      </c>
      <c r="S84" s="268">
        <f>IF(ISBLANK('RESUMEN VIGILANCIA'!R102),"",'RESUMEN VIGILANCIA'!R102)</f>
        <v>0.8</v>
      </c>
      <c r="T84" s="268">
        <f>IF(ISBLANK('RESUMEN VIGILANCIA'!S102),"",'RESUMEN VIGILANCIA'!S102)</f>
        <v>1.4</v>
      </c>
      <c r="U84" s="268">
        <f>IF(ISBLANK('RESUMEN VIGILANCIA'!T102),"",'RESUMEN VIGILANCIA'!T102)</f>
        <v>1.4</v>
      </c>
      <c r="V84" s="268">
        <f>IF(ISBLANK('RESUMEN VIGILANCIA'!U102),"",'RESUMEN VIGILANCIA'!U102)</f>
        <v>4</v>
      </c>
      <c r="W84" s="268">
        <f>IF(ISBLANK('RESUMEN VIGILANCIA'!V102),"",'RESUMEN VIGILANCIA'!V102)</f>
        <v>3.25</v>
      </c>
      <c r="X84" s="268">
        <f>IF(ISBLANK('RESUMEN VIGILANCIA'!W102),"",'RESUMEN VIGILANCIA'!W102)</f>
        <v>10</v>
      </c>
      <c r="Y84" s="268">
        <f>IF(ISBLANK('RESUMEN VIGILANCIA'!X102),"",'RESUMEN VIGILANCIA'!X102)</f>
        <v>12</v>
      </c>
      <c r="Z84" s="453">
        <f>IF(ISBLANK('RESUMEN VIGILANCIA'!Y102),"",'RESUMEN VIGILANCIA'!Y102)</f>
        <v>320</v>
      </c>
      <c r="AA84" s="453">
        <f>IF(ISBLANK('RESUMEN VIGILANCIA'!Z102),"",'RESUMEN VIGILANCIA'!Z102)</f>
        <v>320</v>
      </c>
      <c r="AB84" s="453">
        <f>IF(ISBLANK('RESUMEN VIGILANCIA'!AA102),"",'RESUMEN VIGILANCIA'!AA102)</f>
        <v>320</v>
      </c>
      <c r="AC84" s="454">
        <f>IF(ISBLANK('RESUMEN VIGILANCIA'!AB102),"",'RESUMEN VIGILANCIA'!AB102)</f>
        <v>800</v>
      </c>
      <c r="AD84" s="374">
        <f>IF(ISBLANK('RESUMEN VIGILANCIA'!AC102),"",'RESUMEN VIGILANCIA'!AC102)</f>
        <v>3000</v>
      </c>
      <c r="AE84" s="375">
        <f>IF(ISBLANK('RESUMEN VIGILANCIA'!AD102),"",'RESUMEN VIGILANCIA'!AD102)</f>
        <v>3000</v>
      </c>
      <c r="AF84" s="375">
        <f>IF(ISBLANK('RESUMEN VIGILANCIA'!AE102),"",'RESUMEN VIGILANCIA'!AE102)</f>
        <v>3000</v>
      </c>
      <c r="AG84" s="375">
        <f>IF(ISBLANK('RESUMEN VIGILANCIA'!AF102),"",'RESUMEN VIGILANCIA'!AF102)</f>
        <v>5000</v>
      </c>
      <c r="AH84" s="375">
        <f>IF(ISBLANK('RESUMEN VIGILANCIA'!AG102),"",'RESUMEN VIGILANCIA'!AG102)</f>
        <v>8000</v>
      </c>
      <c r="AI84" s="375">
        <f>IF(ISBLANK('RESUMEN VIGILANCIA'!AH102),"",'RESUMEN VIGILANCIA'!AH102)</f>
        <v>8000</v>
      </c>
      <c r="AJ84" s="375">
        <f>IF(ISBLANK('RESUMEN VIGILANCIA'!AI102),"",'RESUMEN VIGILANCIA'!AI102)</f>
        <v>10000</v>
      </c>
      <c r="AK84" s="375">
        <f>IF(ISBLANK('RESUMEN VIGILANCIA'!AJ102),"",'RESUMEN VIGILANCIA'!AJ102)</f>
        <v>10000</v>
      </c>
      <c r="AL84" s="375">
        <f>IF(ISBLANK('RESUMEN VIGILANCIA'!AK102),"",'RESUMEN VIGILANCIA'!AK102)</f>
        <v>19800</v>
      </c>
      <c r="AM84" s="375">
        <f>IF(ISBLANK('RESUMEN VIGILANCIA'!AL102),"",'RESUMEN VIGILANCIA'!AL102)</f>
        <v>56250</v>
      </c>
      <c r="AN84" s="375" t="str">
        <f>IF(ISBLANK('RESUMEN VIGILANCIA'!AM102),"",'RESUMEN VIGILANCIA'!AM102)</f>
        <v/>
      </c>
      <c r="AO84" s="376" t="str">
        <f>IF(ISBLANK('RESUMEN VIGILANCIA'!AN102),"",'RESUMEN VIGILANCIA'!AN102)</f>
        <v/>
      </c>
      <c r="AP84" s="374" t="str">
        <f>IF(ISBLANK('RESUMEN VIGILANCIA'!AO102),"",'RESUMEN VIGILANCIA'!AO102)</f>
        <v/>
      </c>
      <c r="AQ84" s="375" t="str">
        <f>IF(ISBLANK('RESUMEN VIGILANCIA'!AP102),"",'RESUMEN VIGILANCIA'!AP102)</f>
        <v/>
      </c>
      <c r="AR84" s="375" t="str">
        <f>IF(ISBLANK('RESUMEN VIGILANCIA'!AQ102),"",'RESUMEN VIGILANCIA'!AQ102)</f>
        <v/>
      </c>
      <c r="AS84" s="375" t="str">
        <f>IF(ISBLANK('RESUMEN VIGILANCIA'!AR102),"",'RESUMEN VIGILANCIA'!AR102)</f>
        <v/>
      </c>
      <c r="AT84" s="375" t="str">
        <f>IF(ISBLANK('RESUMEN VIGILANCIA'!AS102),"",'RESUMEN VIGILANCIA'!AS102)</f>
        <v/>
      </c>
      <c r="AU84" s="375" t="str">
        <f>IF(ISBLANK('RESUMEN VIGILANCIA'!AT102),"",'RESUMEN VIGILANCIA'!AT102)</f>
        <v/>
      </c>
      <c r="AV84" s="375" t="str">
        <f>IF(ISBLANK('RESUMEN VIGILANCIA'!AU102),"",'RESUMEN VIGILANCIA'!AU102)</f>
        <v/>
      </c>
      <c r="AW84" s="375" t="str">
        <f>IF(ISBLANK('RESUMEN VIGILANCIA'!AV102),"",'RESUMEN VIGILANCIA'!AV102)</f>
        <v/>
      </c>
      <c r="AX84" s="375" t="str">
        <f>IF(ISBLANK('RESUMEN VIGILANCIA'!AW102),"",'RESUMEN VIGILANCIA'!AW102)</f>
        <v/>
      </c>
      <c r="AY84" s="375" t="str">
        <f>IF(ISBLANK('RESUMEN VIGILANCIA'!AX102),"",'RESUMEN VIGILANCIA'!AX102)</f>
        <v/>
      </c>
      <c r="AZ84" s="375" t="str">
        <f>IF(ISBLANK('RESUMEN VIGILANCIA'!AY102),"",'RESUMEN VIGILANCIA'!AY102)</f>
        <v/>
      </c>
      <c r="BA84" s="376" t="str">
        <f>IF(ISBLANK('RESUMEN VIGILANCIA'!AZ102),"",'RESUMEN VIGILANCIA'!AZ102)</f>
        <v/>
      </c>
      <c r="BB84" s="240">
        <f t="shared" si="6"/>
        <v>127845.55</v>
      </c>
      <c r="BC84" s="110"/>
      <c r="BD84" s="110"/>
    </row>
    <row r="85" spans="1:56" s="28" customFormat="1" ht="20.100000000000001" customHeight="1">
      <c r="A85" s="29" t="str">
        <f>'RESUMEN VIGILANCIA'!A103</f>
        <v>Familia Díaz González</v>
      </c>
      <c r="B85" s="30" t="str">
        <f>'RESUMEN VIGILANCIA'!B103</f>
        <v>Calle Güigüe Nro. 88-116</v>
      </c>
      <c r="C85" s="427" t="s">
        <v>1358</v>
      </c>
      <c r="D85" s="434" t="s">
        <v>1357</v>
      </c>
      <c r="E85" s="415" t="str">
        <f>IF(ISBLANK('RESUMEN VIGILANCIA'!D103),"",'RESUMEN VIGILANCIA'!D103)</f>
        <v/>
      </c>
      <c r="F85" s="267">
        <f>IF(ISBLANK('RESUMEN VIGILANCIA'!E103),"",'RESUMEN VIGILANCIA'!E103)</f>
        <v>0.17</v>
      </c>
      <c r="G85" s="179">
        <f>IF(ISBLANK('RESUMEN VIGILANCIA'!F103),"",'RESUMEN VIGILANCIA'!F103)</f>
        <v>0.17</v>
      </c>
      <c r="H85" s="179">
        <f>IF(ISBLANK('RESUMEN VIGILANCIA'!G103),"",'RESUMEN VIGILANCIA'!G103)</f>
        <v>0.17</v>
      </c>
      <c r="I85" s="179">
        <f>IF(ISBLANK('RESUMEN VIGILANCIA'!H103),"",'RESUMEN VIGILANCIA'!H103)</f>
        <v>0.17</v>
      </c>
      <c r="J85" s="179">
        <f>IF(ISBLANK('RESUMEN VIGILANCIA'!I103),"",'RESUMEN VIGILANCIA'!I103)</f>
        <v>0.26</v>
      </c>
      <c r="K85" s="179">
        <f>IF(ISBLANK('RESUMEN VIGILANCIA'!J103),"",'RESUMEN VIGILANCIA'!J103)</f>
        <v>0.26</v>
      </c>
      <c r="L85" s="179">
        <f>IF(ISBLANK('RESUMEN VIGILANCIA'!K103),"",'RESUMEN VIGILANCIA'!K103)</f>
        <v>0.35</v>
      </c>
      <c r="M85" s="179">
        <f>IF(ISBLANK('RESUMEN VIGILANCIA'!L103),"",'RESUMEN VIGILANCIA'!L103)</f>
        <v>0.35</v>
      </c>
      <c r="N85" s="179">
        <f>IF(ISBLANK('RESUMEN VIGILANCIA'!M103),"",'RESUMEN VIGILANCIA'!M103)</f>
        <v>0.35</v>
      </c>
      <c r="O85" s="179">
        <f>IF(ISBLANK('RESUMEN VIGILANCIA'!N103),"",'RESUMEN VIGILANCIA'!N103)</f>
        <v>0.35</v>
      </c>
      <c r="P85" s="268">
        <f>IF(ISBLANK('RESUMEN VIGILANCIA'!O103),"",'RESUMEN VIGILANCIA'!O103)</f>
        <v>0.5</v>
      </c>
      <c r="Q85" s="177">
        <f>IF(ISBLANK('RESUMEN VIGILANCIA'!P103),"",'RESUMEN VIGILANCIA'!P103)</f>
        <v>0.5</v>
      </c>
      <c r="R85" s="269">
        <f>IF(ISBLANK('RESUMEN VIGILANCIA'!Q103),"",'RESUMEN VIGILANCIA'!Q103)</f>
        <v>0.8</v>
      </c>
      <c r="S85" s="268">
        <f>IF(ISBLANK('RESUMEN VIGILANCIA'!R103),"",'RESUMEN VIGILANCIA'!R103)</f>
        <v>0.8</v>
      </c>
      <c r="T85" s="268">
        <f>IF(ISBLANK('RESUMEN VIGILANCIA'!S103),"",'RESUMEN VIGILANCIA'!S103)</f>
        <v>1.4</v>
      </c>
      <c r="U85" s="268">
        <f>IF(ISBLANK('RESUMEN VIGILANCIA'!T103),"",'RESUMEN VIGILANCIA'!T103)</f>
        <v>1.4</v>
      </c>
      <c r="V85" s="268">
        <f>IF(ISBLANK('RESUMEN VIGILANCIA'!U103),"",'RESUMEN VIGILANCIA'!U103)</f>
        <v>4</v>
      </c>
      <c r="W85" s="268">
        <f>IF(ISBLANK('RESUMEN VIGILANCIA'!V103),"",'RESUMEN VIGILANCIA'!V103)</f>
        <v>6.25</v>
      </c>
      <c r="X85" s="268">
        <f>IF(ISBLANK('RESUMEN VIGILANCIA'!W103),"",'RESUMEN VIGILANCIA'!W103)</f>
        <v>10</v>
      </c>
      <c r="Y85" s="268">
        <f>IF(ISBLANK('RESUMEN VIGILANCIA'!X103),"",'RESUMEN VIGILANCIA'!X103)</f>
        <v>12</v>
      </c>
      <c r="Z85" s="453">
        <f>IF(ISBLANK('RESUMEN VIGILANCIA'!Y103),"",'RESUMEN VIGILANCIA'!Y103)</f>
        <v>320</v>
      </c>
      <c r="AA85" s="453">
        <f>IF(ISBLANK('RESUMEN VIGILANCIA'!Z103),"",'RESUMEN VIGILANCIA'!Z103)</f>
        <v>320</v>
      </c>
      <c r="AB85" s="453">
        <f>IF(ISBLANK('RESUMEN VIGILANCIA'!AA103),"",'RESUMEN VIGILANCIA'!AA103)</f>
        <v>320</v>
      </c>
      <c r="AC85" s="454">
        <f>IF(ISBLANK('RESUMEN VIGILANCIA'!AB103),"",'RESUMEN VIGILANCIA'!AB103)</f>
        <v>800</v>
      </c>
      <c r="AD85" s="374">
        <f>IF(ISBLANK('RESUMEN VIGILANCIA'!AC103),"",'RESUMEN VIGILANCIA'!AC103)</f>
        <v>3000</v>
      </c>
      <c r="AE85" s="375">
        <f>IF(ISBLANK('RESUMEN VIGILANCIA'!AD103),"",'RESUMEN VIGILANCIA'!AD103)</f>
        <v>3000</v>
      </c>
      <c r="AF85" s="375">
        <f>IF(ISBLANK('RESUMEN VIGILANCIA'!AE103),"",'RESUMEN VIGILANCIA'!AE103)</f>
        <v>3000</v>
      </c>
      <c r="AG85" s="375">
        <f>IF(ISBLANK('RESUMEN VIGILANCIA'!AF103),"",'RESUMEN VIGILANCIA'!AF103)</f>
        <v>5000</v>
      </c>
      <c r="AH85" s="375">
        <f>IF(ISBLANK('RESUMEN VIGILANCIA'!AG103),"",'RESUMEN VIGILANCIA'!AG103)</f>
        <v>8000</v>
      </c>
      <c r="AI85" s="375">
        <f>IF(ISBLANK('RESUMEN VIGILANCIA'!AH103),"",'RESUMEN VIGILANCIA'!AH103)</f>
        <v>8000</v>
      </c>
      <c r="AJ85" s="375">
        <f>IF(ISBLANK('RESUMEN VIGILANCIA'!AI103),"",'RESUMEN VIGILANCIA'!AI103)</f>
        <v>10000</v>
      </c>
      <c r="AK85" s="375">
        <f>IF(ISBLANK('RESUMEN VIGILANCIA'!AJ103),"",'RESUMEN VIGILANCIA'!AJ103)</f>
        <v>10000</v>
      </c>
      <c r="AL85" s="375">
        <f>IF(ISBLANK('RESUMEN VIGILANCIA'!AK103),"",'RESUMEN VIGILANCIA'!AK103)</f>
        <v>19800</v>
      </c>
      <c r="AM85" s="375">
        <f>IF(ISBLANK('RESUMEN VIGILANCIA'!AL103),"",'RESUMEN VIGILANCIA'!AL103)</f>
        <v>47000</v>
      </c>
      <c r="AN85" s="375">
        <f>IF(ISBLANK('RESUMEN VIGILANCIA'!AM103),"",'RESUMEN VIGILANCIA'!AM103)</f>
        <v>64500</v>
      </c>
      <c r="AO85" s="376">
        <f>IF(ISBLANK('RESUMEN VIGILANCIA'!AN103),"",'RESUMEN VIGILANCIA'!AN103)</f>
        <v>64500</v>
      </c>
      <c r="AP85" s="374">
        <f>IF(ISBLANK('RESUMEN VIGILANCIA'!AO103),"",'RESUMEN VIGILANCIA'!AO103)</f>
        <v>136250</v>
      </c>
      <c r="AQ85" s="375">
        <f>IF(ISBLANK('RESUMEN VIGILANCIA'!AP103),"",'RESUMEN VIGILANCIA'!AP103)</f>
        <v>136250</v>
      </c>
      <c r="AR85" s="375">
        <f>IF(ISBLANK('RESUMEN VIGILANCIA'!AQ103),"",'RESUMEN VIGILANCIA'!AQ103)</f>
        <v>185250</v>
      </c>
      <c r="AS85" s="375">
        <f>IF(ISBLANK('RESUMEN VIGILANCIA'!AR103),"",'RESUMEN VIGILANCIA'!AR103)</f>
        <v>185250</v>
      </c>
      <c r="AT85" s="375">
        <f>IF(ISBLANK('RESUMEN VIGILANCIA'!AS103),"",'RESUMEN VIGILANCIA'!AS103)</f>
        <v>250000</v>
      </c>
      <c r="AU85" s="375">
        <f>IF(ISBLANK('RESUMEN VIGILANCIA'!AT103),"",'RESUMEN VIGILANCIA'!AT103)</f>
        <v>250000</v>
      </c>
      <c r="AV85" s="375" t="str">
        <f>IF(ISBLANK('RESUMEN VIGILANCIA'!AU103),"",'RESUMEN VIGILANCIA'!AU103)</f>
        <v/>
      </c>
      <c r="AW85" s="375" t="str">
        <f>IF(ISBLANK('RESUMEN VIGILANCIA'!AV103),"",'RESUMEN VIGILANCIA'!AV103)</f>
        <v/>
      </c>
      <c r="AX85" s="375" t="str">
        <f>IF(ISBLANK('RESUMEN VIGILANCIA'!AW103),"",'RESUMEN VIGILANCIA'!AW103)</f>
        <v/>
      </c>
      <c r="AY85" s="375" t="str">
        <f>IF(ISBLANK('RESUMEN VIGILANCIA'!AX103),"",'RESUMEN VIGILANCIA'!AX103)</f>
        <v/>
      </c>
      <c r="AZ85" s="375" t="str">
        <f>IF(ISBLANK('RESUMEN VIGILANCIA'!AY103),"",'RESUMEN VIGILANCIA'!AY103)</f>
        <v/>
      </c>
      <c r="BA85" s="376" t="str">
        <f>IF(ISBLANK('RESUMEN VIGILANCIA'!AZ103),"",'RESUMEN VIGILANCIA'!AZ103)</f>
        <v/>
      </c>
      <c r="BB85" s="240">
        <f t="shared" si="6"/>
        <v>247600.25</v>
      </c>
      <c r="BC85" s="110"/>
      <c r="BD85" s="110"/>
    </row>
    <row r="86" spans="1:56" s="28" customFormat="1" ht="20.100000000000001" customHeight="1">
      <c r="A86" s="29" t="str">
        <f>'RESUMEN VIGILANCIA'!A104</f>
        <v>Familia Loponte Arteaga</v>
      </c>
      <c r="B86" s="30" t="str">
        <f>'RESUMEN VIGILANCIA'!B104</f>
        <v>Calle Güigüe Nro. 88-120</v>
      </c>
      <c r="C86" s="427" t="s">
        <v>1358</v>
      </c>
      <c r="D86" s="434"/>
      <c r="E86" s="415" t="str">
        <f>IF(ISBLANK('RESUMEN VIGILANCIA'!D104),"",'RESUMEN VIGILANCIA'!D104)</f>
        <v/>
      </c>
      <c r="F86" s="271">
        <f>IF(ISBLANK('RESUMEN VIGILANCIA'!E104),"",'RESUMEN VIGILANCIA'!E104)</f>
        <v>0.105</v>
      </c>
      <c r="G86" s="179">
        <f>IF(ISBLANK('RESUMEN VIGILANCIA'!F104),"",'RESUMEN VIGILANCIA'!F104)</f>
        <v>0.17</v>
      </c>
      <c r="H86" s="179">
        <f>IF(ISBLANK('RESUMEN VIGILANCIA'!G104),"",'RESUMEN VIGILANCIA'!G104)</f>
        <v>0.17</v>
      </c>
      <c r="I86" s="179">
        <f>IF(ISBLANK('RESUMEN VIGILANCIA'!H104),"",'RESUMEN VIGILANCIA'!H104)</f>
        <v>0.17</v>
      </c>
      <c r="J86" s="179">
        <f>IF(ISBLANK('RESUMEN VIGILANCIA'!I104),"",'RESUMEN VIGILANCIA'!I104)</f>
        <v>0.26</v>
      </c>
      <c r="K86" s="179">
        <f>IF(ISBLANK('RESUMEN VIGILANCIA'!J104),"",'RESUMEN VIGILANCIA'!J104)</f>
        <v>0.26</v>
      </c>
      <c r="L86" s="224">
        <f>IF(ISBLANK('RESUMEN VIGILANCIA'!K104),"",'RESUMEN VIGILANCIA'!K104)</f>
        <v>0.26</v>
      </c>
      <c r="M86" s="179">
        <f>IF(ISBLANK('RESUMEN VIGILANCIA'!L104),"",'RESUMEN VIGILANCIA'!L104)</f>
        <v>0.35</v>
      </c>
      <c r="N86" s="179">
        <f>IF(ISBLANK('RESUMEN VIGILANCIA'!M104),"",'RESUMEN VIGILANCIA'!M104)</f>
        <v>0.35</v>
      </c>
      <c r="O86" s="179">
        <f>IF(ISBLANK('RESUMEN VIGILANCIA'!N104),"",'RESUMEN VIGILANCIA'!N104)</f>
        <v>0.35</v>
      </c>
      <c r="P86" s="268">
        <f>IF(ISBLANK('RESUMEN VIGILANCIA'!O104),"",'RESUMEN VIGILANCIA'!O104)</f>
        <v>0.5</v>
      </c>
      <c r="Q86" s="177">
        <f>IF(ISBLANK('RESUMEN VIGILANCIA'!P104),"",'RESUMEN VIGILANCIA'!P104)</f>
        <v>0.5</v>
      </c>
      <c r="R86" s="269">
        <f>IF(ISBLANK('RESUMEN VIGILANCIA'!Q104),"",'RESUMEN VIGILANCIA'!Q104)</f>
        <v>0.8</v>
      </c>
      <c r="S86" s="268">
        <f>IF(ISBLANK('RESUMEN VIGILANCIA'!R104),"",'RESUMEN VIGILANCIA'!R104)</f>
        <v>0.8</v>
      </c>
      <c r="T86" s="268">
        <f>IF(ISBLANK('RESUMEN VIGILANCIA'!S104),"",'RESUMEN VIGILANCIA'!S104)</f>
        <v>1.4</v>
      </c>
      <c r="U86" s="268">
        <f>IF(ISBLANK('RESUMEN VIGILANCIA'!T104),"",'RESUMEN VIGILANCIA'!T104)</f>
        <v>1.4</v>
      </c>
      <c r="V86" s="268">
        <f>IF(ISBLANK('RESUMEN VIGILANCIA'!U104),"",'RESUMEN VIGILANCIA'!U104)</f>
        <v>4</v>
      </c>
      <c r="W86" s="268">
        <f>IF(ISBLANK('RESUMEN VIGILANCIA'!V104),"",'RESUMEN VIGILANCIA'!V104)</f>
        <v>6.25</v>
      </c>
      <c r="X86" s="268">
        <f>IF(ISBLANK('RESUMEN VIGILANCIA'!W104),"",'RESUMEN VIGILANCIA'!W104)</f>
        <v>10</v>
      </c>
      <c r="Y86" s="268">
        <f>IF(ISBLANK('RESUMEN VIGILANCIA'!X104),"",'RESUMEN VIGILANCIA'!X104)</f>
        <v>12</v>
      </c>
      <c r="Z86" s="453">
        <f>IF(ISBLANK('RESUMEN VIGILANCIA'!Y104),"",'RESUMEN VIGILANCIA'!Y104)</f>
        <v>320</v>
      </c>
      <c r="AA86" s="453">
        <f>IF(ISBLANK('RESUMEN VIGILANCIA'!Z104),"",'RESUMEN VIGILANCIA'!Z104)</f>
        <v>320</v>
      </c>
      <c r="AB86" s="453">
        <f>IF(ISBLANK('RESUMEN VIGILANCIA'!AA104),"",'RESUMEN VIGILANCIA'!AA104)</f>
        <v>320</v>
      </c>
      <c r="AC86" s="454">
        <f>IF(ISBLANK('RESUMEN VIGILANCIA'!AB104),"",'RESUMEN VIGILANCIA'!AB104)</f>
        <v>500</v>
      </c>
      <c r="AD86" s="374">
        <f>IF(ISBLANK('RESUMEN VIGILANCIA'!AC104),"",'RESUMEN VIGILANCIA'!AC104)</f>
        <v>3000</v>
      </c>
      <c r="AE86" s="375">
        <f>IF(ISBLANK('RESUMEN VIGILANCIA'!AD104),"",'RESUMEN VIGILANCIA'!AD104)</f>
        <v>3000</v>
      </c>
      <c r="AF86" s="375">
        <f>IF(ISBLANK('RESUMEN VIGILANCIA'!AE104),"",'RESUMEN VIGILANCIA'!AE104)</f>
        <v>3000</v>
      </c>
      <c r="AG86" s="375">
        <f>IF(ISBLANK('RESUMEN VIGILANCIA'!AF104),"",'RESUMEN VIGILANCIA'!AF104)</f>
        <v>5000</v>
      </c>
      <c r="AH86" s="375">
        <f>IF(ISBLANK('RESUMEN VIGILANCIA'!AG104),"",'RESUMEN VIGILANCIA'!AG104)</f>
        <v>8000</v>
      </c>
      <c r="AI86" s="375">
        <f>IF(ISBLANK('RESUMEN VIGILANCIA'!AH104),"",'RESUMEN VIGILANCIA'!AH104)</f>
        <v>8000</v>
      </c>
      <c r="AJ86" s="375">
        <f>IF(ISBLANK('RESUMEN VIGILANCIA'!AI104),"",'RESUMEN VIGILANCIA'!AI104)</f>
        <v>10000</v>
      </c>
      <c r="AK86" s="375">
        <f>IF(ISBLANK('RESUMEN VIGILANCIA'!AJ104),"",'RESUMEN VIGILANCIA'!AJ104)</f>
        <v>10000</v>
      </c>
      <c r="AL86" s="375">
        <f>IF(ISBLANK('RESUMEN VIGILANCIA'!AK104),"",'RESUMEN VIGILANCIA'!AK104)</f>
        <v>20000</v>
      </c>
      <c r="AM86" s="375">
        <f>IF(ISBLANK('RESUMEN VIGILANCIA'!AL104),"",'RESUMEN VIGILANCIA'!AL104)</f>
        <v>47000</v>
      </c>
      <c r="AN86" s="375">
        <f>IF(ISBLANK('RESUMEN VIGILANCIA'!AM104),"",'RESUMEN VIGILANCIA'!AM104)</f>
        <v>56250</v>
      </c>
      <c r="AO86" s="376">
        <f>IF(ISBLANK('RESUMEN VIGILANCIA'!AN104),"",'RESUMEN VIGILANCIA'!AN104)</f>
        <v>97500</v>
      </c>
      <c r="AP86" s="374">
        <f>IF(ISBLANK('RESUMEN VIGILANCIA'!AO104),"",'RESUMEN VIGILANCIA'!AO104)</f>
        <v>136250</v>
      </c>
      <c r="AQ86" s="375">
        <f>IF(ISBLANK('RESUMEN VIGILANCIA'!AP104),"",'RESUMEN VIGILANCIA'!AP104)</f>
        <v>136250</v>
      </c>
      <c r="AR86" s="375">
        <f>IF(ISBLANK('RESUMEN VIGILANCIA'!AQ104),"",'RESUMEN VIGILANCIA'!AQ104)</f>
        <v>185250</v>
      </c>
      <c r="AS86" s="375">
        <f>IF(ISBLANK('RESUMEN VIGILANCIA'!AR104),"",'RESUMEN VIGILANCIA'!AR104)</f>
        <v>186250</v>
      </c>
      <c r="AT86" s="375">
        <f>IF(ISBLANK('RESUMEN VIGILANCIA'!AS104),"",'RESUMEN VIGILANCIA'!AS104)</f>
        <v>250000</v>
      </c>
      <c r="AU86" s="375">
        <f>IF(ISBLANK('RESUMEN VIGILANCIA'!AT104),"",'RESUMEN VIGILANCIA'!AT104)</f>
        <v>250000</v>
      </c>
      <c r="AV86" s="375" t="str">
        <f>IF(ISBLANK('RESUMEN VIGILANCIA'!AU104),"",'RESUMEN VIGILANCIA'!AU104)</f>
        <v/>
      </c>
      <c r="AW86" s="375" t="str">
        <f>IF(ISBLANK('RESUMEN VIGILANCIA'!AV104),"",'RESUMEN VIGILANCIA'!AV104)</f>
        <v/>
      </c>
      <c r="AX86" s="375" t="str">
        <f>IF(ISBLANK('RESUMEN VIGILANCIA'!AW104),"",'RESUMEN VIGILANCIA'!AW104)</f>
        <v/>
      </c>
      <c r="AY86" s="375" t="str">
        <f>IF(ISBLANK('RESUMEN VIGILANCIA'!AX104),"",'RESUMEN VIGILANCIA'!AX104)</f>
        <v/>
      </c>
      <c r="AZ86" s="375" t="str">
        <f>IF(ISBLANK('RESUMEN VIGILANCIA'!AY104),"",'RESUMEN VIGILANCIA'!AY104)</f>
        <v/>
      </c>
      <c r="BA86" s="376" t="str">
        <f>IF(ISBLANK('RESUMEN VIGILANCIA'!AZ104),"",'RESUMEN VIGILANCIA'!AZ104)</f>
        <v/>
      </c>
      <c r="BB86" s="240">
        <f t="shared" si="6"/>
        <v>272250.09499999997</v>
      </c>
      <c r="BC86" s="110"/>
      <c r="BD86" s="110"/>
    </row>
    <row r="87" spans="1:56" s="28" customFormat="1" ht="20.100000000000001" customHeight="1">
      <c r="A87" s="32" t="str">
        <f>'RESUMEN VIGILANCIA'!A105</f>
        <v>Zoraida Arteaga</v>
      </c>
      <c r="B87" s="33" t="str">
        <f>'RESUMEN VIGILANCIA'!B105</f>
        <v>Calle Güigüe Nro. 88-120</v>
      </c>
      <c r="C87" s="426" t="s">
        <v>1362</v>
      </c>
      <c r="D87" s="435" t="s">
        <v>17</v>
      </c>
      <c r="E87" s="414" t="str">
        <f>IF(ISBLANK('RESUMEN VIGILANCIA'!D105),"",'RESUMEN VIGILANCIA'!D105)</f>
        <v/>
      </c>
      <c r="F87" s="264" t="str">
        <f>IF(ISBLANK('RESUMEN VIGILANCIA'!E105),"",'RESUMEN VIGILANCIA'!E105)</f>
        <v/>
      </c>
      <c r="G87" s="186" t="str">
        <f>IF(ISBLANK('RESUMEN VIGILANCIA'!F105),"",'RESUMEN VIGILANCIA'!F105)</f>
        <v/>
      </c>
      <c r="H87" s="186" t="str">
        <f>IF(ISBLANK('RESUMEN VIGILANCIA'!G105),"",'RESUMEN VIGILANCIA'!G105)</f>
        <v/>
      </c>
      <c r="I87" s="186" t="str">
        <f>IF(ISBLANK('RESUMEN VIGILANCIA'!H105),"",'RESUMEN VIGILANCIA'!H105)</f>
        <v/>
      </c>
      <c r="J87" s="186" t="str">
        <f>IF(ISBLANK('RESUMEN VIGILANCIA'!I105),"",'RESUMEN VIGILANCIA'!I105)</f>
        <v/>
      </c>
      <c r="K87" s="186" t="str">
        <f>IF(ISBLANK('RESUMEN VIGILANCIA'!J105),"",'RESUMEN VIGILANCIA'!J105)</f>
        <v/>
      </c>
      <c r="L87" s="186" t="str">
        <f>IF(ISBLANK('RESUMEN VIGILANCIA'!K105),"",'RESUMEN VIGILANCIA'!K105)</f>
        <v/>
      </c>
      <c r="M87" s="186" t="str">
        <f>IF(ISBLANK('RESUMEN VIGILANCIA'!L105),"",'RESUMEN VIGILANCIA'!L105)</f>
        <v/>
      </c>
      <c r="N87" s="186" t="str">
        <f>IF(ISBLANK('RESUMEN VIGILANCIA'!M105),"",'RESUMEN VIGILANCIA'!M105)</f>
        <v/>
      </c>
      <c r="O87" s="186" t="str">
        <f>IF(ISBLANK('RESUMEN VIGILANCIA'!N105),"",'RESUMEN VIGILANCIA'!N105)</f>
        <v/>
      </c>
      <c r="P87" s="265" t="str">
        <f>IF(ISBLANK('RESUMEN VIGILANCIA'!O105),"",'RESUMEN VIGILANCIA'!O105)</f>
        <v/>
      </c>
      <c r="Q87" s="184" t="str">
        <f>IF(ISBLANK('RESUMEN VIGILANCIA'!P105),"",'RESUMEN VIGILANCIA'!P105)</f>
        <v/>
      </c>
      <c r="R87" s="266" t="str">
        <f>IF(ISBLANK('RESUMEN VIGILANCIA'!Q105),"",'RESUMEN VIGILANCIA'!Q105)</f>
        <v/>
      </c>
      <c r="S87" s="265" t="str">
        <f>IF(ISBLANK('RESUMEN VIGILANCIA'!R105),"",'RESUMEN VIGILANCIA'!R105)</f>
        <v/>
      </c>
      <c r="T87" s="265" t="str">
        <f>IF(ISBLANK('RESUMEN VIGILANCIA'!S105),"",'RESUMEN VIGILANCIA'!S105)</f>
        <v/>
      </c>
      <c r="U87" s="265" t="str">
        <f>IF(ISBLANK('RESUMEN VIGILANCIA'!T105),"",'RESUMEN VIGILANCIA'!T105)</f>
        <v/>
      </c>
      <c r="V87" s="265" t="str">
        <f>IF(ISBLANK('RESUMEN VIGILANCIA'!U105),"",'RESUMEN VIGILANCIA'!U105)</f>
        <v/>
      </c>
      <c r="W87" s="265" t="str">
        <f>IF(ISBLANK('RESUMEN VIGILANCIA'!V105),"",'RESUMEN VIGILANCIA'!V105)</f>
        <v/>
      </c>
      <c r="X87" s="265" t="str">
        <f>IF(ISBLANK('RESUMEN VIGILANCIA'!W105),"",'RESUMEN VIGILANCIA'!W105)</f>
        <v/>
      </c>
      <c r="Y87" s="265" t="str">
        <f>IF(ISBLANK('RESUMEN VIGILANCIA'!X105),"",'RESUMEN VIGILANCIA'!X105)</f>
        <v/>
      </c>
      <c r="Z87" s="457" t="str">
        <f>IF(ISBLANK('RESUMEN VIGILANCIA'!Y105),"",'RESUMEN VIGILANCIA'!Y105)</f>
        <v/>
      </c>
      <c r="AA87" s="457" t="str">
        <f>IF(ISBLANK('RESUMEN VIGILANCIA'!Z105),"",'RESUMEN VIGILANCIA'!Z105)</f>
        <v/>
      </c>
      <c r="AB87" s="457" t="str">
        <f>IF(ISBLANK('RESUMEN VIGILANCIA'!AA105),"",'RESUMEN VIGILANCIA'!AA105)</f>
        <v/>
      </c>
      <c r="AC87" s="458" t="str">
        <f>IF(ISBLANK('RESUMEN VIGILANCIA'!AB105),"",'RESUMEN VIGILANCIA'!AB105)</f>
        <v/>
      </c>
      <c r="AD87" s="371" t="str">
        <f>IF(ISBLANK('RESUMEN VIGILANCIA'!AC105),"",'RESUMEN VIGILANCIA'!AC105)</f>
        <v/>
      </c>
      <c r="AE87" s="372" t="str">
        <f>IF(ISBLANK('RESUMEN VIGILANCIA'!AD105),"",'RESUMEN VIGILANCIA'!AD105)</f>
        <v/>
      </c>
      <c r="AF87" s="372" t="str">
        <f>IF(ISBLANK('RESUMEN VIGILANCIA'!AE105),"",'RESUMEN VIGILANCIA'!AE105)</f>
        <v/>
      </c>
      <c r="AG87" s="372" t="str">
        <f>IF(ISBLANK('RESUMEN VIGILANCIA'!AF105),"",'RESUMEN VIGILANCIA'!AF105)</f>
        <v/>
      </c>
      <c r="AH87" s="372" t="str">
        <f>IF(ISBLANK('RESUMEN VIGILANCIA'!AG105),"",'RESUMEN VIGILANCIA'!AG105)</f>
        <v/>
      </c>
      <c r="AI87" s="372" t="str">
        <f>IF(ISBLANK('RESUMEN VIGILANCIA'!AH105),"",'RESUMEN VIGILANCIA'!AH105)</f>
        <v/>
      </c>
      <c r="AJ87" s="372" t="str">
        <f>IF(ISBLANK('RESUMEN VIGILANCIA'!AI105),"",'RESUMEN VIGILANCIA'!AI105)</f>
        <v/>
      </c>
      <c r="AK87" s="372" t="str">
        <f>IF(ISBLANK('RESUMEN VIGILANCIA'!AJ105),"",'RESUMEN VIGILANCIA'!AJ105)</f>
        <v/>
      </c>
      <c r="AL87" s="372" t="str">
        <f>IF(ISBLANK('RESUMEN VIGILANCIA'!AK105),"",'RESUMEN VIGILANCIA'!AK105)</f>
        <v/>
      </c>
      <c r="AM87" s="372" t="str">
        <f>IF(ISBLANK('RESUMEN VIGILANCIA'!AL105),"",'RESUMEN VIGILANCIA'!AL105)</f>
        <v/>
      </c>
      <c r="AN87" s="372" t="str">
        <f>IF(ISBLANK('RESUMEN VIGILANCIA'!AM105),"",'RESUMEN VIGILANCIA'!AM105)</f>
        <v/>
      </c>
      <c r="AO87" s="373" t="str">
        <f>IF(ISBLANK('RESUMEN VIGILANCIA'!AN105),"",'RESUMEN VIGILANCIA'!AN105)</f>
        <v/>
      </c>
      <c r="AP87" s="371" t="str">
        <f>IF(ISBLANK('RESUMEN VIGILANCIA'!AO105),"",'RESUMEN VIGILANCIA'!AO105)</f>
        <v/>
      </c>
      <c r="AQ87" s="372" t="str">
        <f>IF(ISBLANK('RESUMEN VIGILANCIA'!AP105),"",'RESUMEN VIGILANCIA'!AP105)</f>
        <v/>
      </c>
      <c r="AR87" s="372" t="str">
        <f>IF(ISBLANK('RESUMEN VIGILANCIA'!AQ105),"",'RESUMEN VIGILANCIA'!AQ105)</f>
        <v/>
      </c>
      <c r="AS87" s="372" t="str">
        <f>IF(ISBLANK('RESUMEN VIGILANCIA'!AR105),"",'RESUMEN VIGILANCIA'!AR105)</f>
        <v/>
      </c>
      <c r="AT87" s="372" t="str">
        <f>IF(ISBLANK('RESUMEN VIGILANCIA'!AS105),"",'RESUMEN VIGILANCIA'!AS105)</f>
        <v/>
      </c>
      <c r="AU87" s="372" t="str">
        <f>IF(ISBLANK('RESUMEN VIGILANCIA'!AT105),"",'RESUMEN VIGILANCIA'!AT105)</f>
        <v/>
      </c>
      <c r="AV87" s="372" t="str">
        <f>IF(ISBLANK('RESUMEN VIGILANCIA'!AU105),"",'RESUMEN VIGILANCIA'!AU105)</f>
        <v/>
      </c>
      <c r="AW87" s="372" t="str">
        <f>IF(ISBLANK('RESUMEN VIGILANCIA'!AV105),"",'RESUMEN VIGILANCIA'!AV105)</f>
        <v/>
      </c>
      <c r="AX87" s="372" t="str">
        <f>IF(ISBLANK('RESUMEN VIGILANCIA'!AW105),"",'RESUMEN VIGILANCIA'!AW105)</f>
        <v/>
      </c>
      <c r="AY87" s="372" t="str">
        <f>IF(ISBLANK('RESUMEN VIGILANCIA'!AX105),"",'RESUMEN VIGILANCIA'!AX105)</f>
        <v/>
      </c>
      <c r="AZ87" s="372" t="str">
        <f>IF(ISBLANK('RESUMEN VIGILANCIA'!AY105),"",'RESUMEN VIGILANCIA'!AY105)</f>
        <v/>
      </c>
      <c r="BA87" s="373" t="str">
        <f>IF(ISBLANK('RESUMEN VIGILANCIA'!AZ105),"",'RESUMEN VIGILANCIA'!AZ105)</f>
        <v/>
      </c>
      <c r="BB87" s="239">
        <f t="shared" ref="BB87" si="9">SUM(E87:AO87)</f>
        <v>0</v>
      </c>
      <c r="BC87" s="109"/>
      <c r="BD87" s="109"/>
    </row>
    <row r="88" spans="1:56" s="28" customFormat="1" ht="20.100000000000001" customHeight="1">
      <c r="A88" s="32" t="str">
        <f>'RESUMEN VIGILANCIA'!A81</f>
        <v>Familia Chávez Hernández</v>
      </c>
      <c r="B88" s="33" t="str">
        <f>'RESUMEN VIGILANCIA'!B81</f>
        <v>Calle Güigüe Nro. 88-20</v>
      </c>
      <c r="C88" s="426" t="s">
        <v>1361</v>
      </c>
      <c r="D88" s="435" t="s">
        <v>1357</v>
      </c>
      <c r="E88" s="414">
        <f>IF(ISBLANK('RESUMEN VIGILANCIA'!D81),"",'RESUMEN VIGILANCIA'!D81)</f>
        <v>0.06</v>
      </c>
      <c r="F88" s="264">
        <f>IF(ISBLANK('RESUMEN VIGILANCIA'!E81),"",'RESUMEN VIGILANCIA'!E81)</f>
        <v>0.03</v>
      </c>
      <c r="G88" s="186">
        <f>IF(ISBLANK('RESUMEN VIGILANCIA'!F81),"",'RESUMEN VIGILANCIA'!F81)</f>
        <v>0.03</v>
      </c>
      <c r="H88" s="186">
        <f>IF(ISBLANK('RESUMEN VIGILANCIA'!G81),"",'RESUMEN VIGILANCIA'!G81)</f>
        <v>0.03</v>
      </c>
      <c r="I88" s="186">
        <f>IF(ISBLANK('RESUMEN VIGILANCIA'!H81),"",'RESUMEN VIGILANCIA'!H81)</f>
        <v>0.03</v>
      </c>
      <c r="J88" s="186">
        <f>IF(ISBLANK('RESUMEN VIGILANCIA'!I81),"",'RESUMEN VIGILANCIA'!I81)</f>
        <v>0.03</v>
      </c>
      <c r="K88" s="186">
        <f>IF(ISBLANK('RESUMEN VIGILANCIA'!J81),"",'RESUMEN VIGILANCIA'!J81)</f>
        <v>0.03</v>
      </c>
      <c r="L88" s="186">
        <f>IF(ISBLANK('RESUMEN VIGILANCIA'!K81),"",'RESUMEN VIGILANCIA'!K81)</f>
        <v>0.03</v>
      </c>
      <c r="M88" s="186">
        <f>IF(ISBLANK('RESUMEN VIGILANCIA'!L81),"",'RESUMEN VIGILANCIA'!L81)</f>
        <v>0.03</v>
      </c>
      <c r="N88" s="186">
        <f>IF(ISBLANK('RESUMEN VIGILANCIA'!M81),"",'RESUMEN VIGILANCIA'!M81)</f>
        <v>0.03</v>
      </c>
      <c r="O88" s="186">
        <f>IF(ISBLANK('RESUMEN VIGILANCIA'!N81),"",'RESUMEN VIGILANCIA'!N81)</f>
        <v>0.03</v>
      </c>
      <c r="P88" s="265">
        <f>IF(ISBLANK('RESUMEN VIGILANCIA'!O81),"",'RESUMEN VIGILANCIA'!O81)</f>
        <v>0.1</v>
      </c>
      <c r="Q88" s="184">
        <f>IF(ISBLANK('RESUMEN VIGILANCIA'!P81),"",'RESUMEN VIGILANCIA'!P81)</f>
        <v>0.1</v>
      </c>
      <c r="R88" s="266">
        <f>IF(ISBLANK('RESUMEN VIGILANCIA'!Q81),"",'RESUMEN VIGILANCIA'!Q81)</f>
        <v>0.1</v>
      </c>
      <c r="S88" s="265">
        <f>IF(ISBLANK('RESUMEN VIGILANCIA'!R81),"",'RESUMEN VIGILANCIA'!R81)</f>
        <v>0.1</v>
      </c>
      <c r="T88" s="265">
        <f>IF(ISBLANK('RESUMEN VIGILANCIA'!S81),"",'RESUMEN VIGILANCIA'!S81)</f>
        <v>0.3</v>
      </c>
      <c r="U88" s="265">
        <f>IF(ISBLANK('RESUMEN VIGILANCIA'!T81),"",'RESUMEN VIGILANCIA'!T81)</f>
        <v>0.3</v>
      </c>
      <c r="V88" s="265">
        <f>IF(ISBLANK('RESUMEN VIGILANCIA'!U81),"",'RESUMEN VIGILANCIA'!U81)</f>
        <v>0.5</v>
      </c>
      <c r="W88" s="265">
        <f>IF(ISBLANK('RESUMEN VIGILANCIA'!V81),"",'RESUMEN VIGILANCIA'!V81)</f>
        <v>0.5</v>
      </c>
      <c r="X88" s="265">
        <f>IF(ISBLANK('RESUMEN VIGILANCIA'!W81),"",'RESUMEN VIGILANCIA'!W81)</f>
        <v>1</v>
      </c>
      <c r="Y88" s="265">
        <f>IF(ISBLANK('RESUMEN VIGILANCIA'!X81),"",'RESUMEN VIGILANCIA'!X81)</f>
        <v>12</v>
      </c>
      <c r="Z88" s="457">
        <f>IF(ISBLANK('RESUMEN VIGILANCIA'!Y81),"",'RESUMEN VIGILANCIA'!Y81)</f>
        <v>100</v>
      </c>
      <c r="AA88" s="457">
        <f>IF(ISBLANK('RESUMEN VIGILANCIA'!Z81),"",'RESUMEN VIGILANCIA'!Z81)</f>
        <v>100</v>
      </c>
      <c r="AB88" s="457">
        <f>IF(ISBLANK('RESUMEN VIGILANCIA'!AA81),"",'RESUMEN VIGILANCIA'!AA81)</f>
        <v>100</v>
      </c>
      <c r="AC88" s="458">
        <f>IF(ISBLANK('RESUMEN VIGILANCIA'!AB81),"",'RESUMEN VIGILANCIA'!AB81)</f>
        <v>100</v>
      </c>
      <c r="AD88" s="371">
        <f>IF(ISBLANK('RESUMEN VIGILANCIA'!AC81),"",'RESUMEN VIGILANCIA'!AC81)</f>
        <v>300</v>
      </c>
      <c r="AE88" s="372">
        <f>IF(ISBLANK('RESUMEN VIGILANCIA'!AD81),"",'RESUMEN VIGILANCIA'!AD81)</f>
        <v>300</v>
      </c>
      <c r="AF88" s="372">
        <f>IF(ISBLANK('RESUMEN VIGILANCIA'!AE81),"",'RESUMEN VIGILANCIA'!AE81)</f>
        <v>300</v>
      </c>
      <c r="AG88" s="372">
        <f>IF(ISBLANK('RESUMEN VIGILANCIA'!AF81),"",'RESUMEN VIGILANCIA'!AF81)</f>
        <v>300</v>
      </c>
      <c r="AH88" s="372">
        <f>IF(ISBLANK('RESUMEN VIGILANCIA'!AG81),"",'RESUMEN VIGILANCIA'!AG81)</f>
        <v>1000</v>
      </c>
      <c r="AI88" s="372">
        <f>IF(ISBLANK('RESUMEN VIGILANCIA'!AH81),"",'RESUMEN VIGILANCIA'!AH81)</f>
        <v>3000</v>
      </c>
      <c r="AJ88" s="372">
        <f>IF(ISBLANK('RESUMEN VIGILANCIA'!AI81),"",'RESUMEN VIGILANCIA'!AI81)</f>
        <v>6000</v>
      </c>
      <c r="AK88" s="372">
        <f>IF(ISBLANK('RESUMEN VIGILANCIA'!AJ81),"",'RESUMEN VIGILANCIA'!AJ81)</f>
        <v>5000</v>
      </c>
      <c r="AL88" s="372">
        <f>IF(ISBLANK('RESUMEN VIGILANCIA'!AK81),"",'RESUMEN VIGILANCIA'!AK81)</f>
        <v>10000</v>
      </c>
      <c r="AM88" s="372">
        <f>IF(ISBLANK('RESUMEN VIGILANCIA'!AL81),"",'RESUMEN VIGILANCIA'!AL81)</f>
        <v>10000</v>
      </c>
      <c r="AN88" s="372">
        <f>IF(ISBLANK('RESUMEN VIGILANCIA'!AM81),"",'RESUMEN VIGILANCIA'!AM81)</f>
        <v>20000</v>
      </c>
      <c r="AO88" s="373">
        <f>IF(ISBLANK('RESUMEN VIGILANCIA'!AN81),"",'RESUMEN VIGILANCIA'!AN81)</f>
        <v>20000</v>
      </c>
      <c r="AP88" s="371">
        <f>IF(ISBLANK('RESUMEN VIGILANCIA'!AO81),"",'RESUMEN VIGILANCIA'!AO81)</f>
        <v>30000</v>
      </c>
      <c r="AQ88" s="372">
        <f>IF(ISBLANK('RESUMEN VIGILANCIA'!AP81),"",'RESUMEN VIGILANCIA'!AP81)</f>
        <v>40000</v>
      </c>
      <c r="AR88" s="372">
        <f>IF(ISBLANK('RESUMEN VIGILANCIA'!AQ81),"",'RESUMEN VIGILANCIA'!AQ81)</f>
        <v>70000</v>
      </c>
      <c r="AS88" s="372">
        <f>IF(ISBLANK('RESUMEN VIGILANCIA'!AR81),"",'RESUMEN VIGILANCIA'!AR81)</f>
        <v>70000</v>
      </c>
      <c r="AT88" s="372">
        <f>IF(ISBLANK('RESUMEN VIGILANCIA'!AS81),"",'RESUMEN VIGILANCIA'!AS81)</f>
        <v>70000</v>
      </c>
      <c r="AU88" s="372">
        <f>IF(ISBLANK('RESUMEN VIGILANCIA'!AT81),"",'RESUMEN VIGILANCIA'!AT81)</f>
        <v>70000</v>
      </c>
      <c r="AV88" s="372" t="str">
        <f>IF(ISBLANK('RESUMEN VIGILANCIA'!AU81),"",'RESUMEN VIGILANCIA'!AU81)</f>
        <v/>
      </c>
      <c r="AW88" s="372" t="str">
        <f>IF(ISBLANK('RESUMEN VIGILANCIA'!AV81),"",'RESUMEN VIGILANCIA'!AV81)</f>
        <v/>
      </c>
      <c r="AX88" s="372" t="str">
        <f>IF(ISBLANK('RESUMEN VIGILANCIA'!AW81),"",'RESUMEN VIGILANCIA'!AW81)</f>
        <v/>
      </c>
      <c r="AY88" s="372" t="str">
        <f>IF(ISBLANK('RESUMEN VIGILANCIA'!AX81),"",'RESUMEN VIGILANCIA'!AX81)</f>
        <v/>
      </c>
      <c r="AZ88" s="372" t="str">
        <f>IF(ISBLANK('RESUMEN VIGILANCIA'!AY81),"",'RESUMEN VIGILANCIA'!AY81)</f>
        <v/>
      </c>
      <c r="BA88" s="373" t="str">
        <f>IF(ISBLANK('RESUMEN VIGILANCIA'!AZ81),"",'RESUMEN VIGILANCIA'!AZ81)</f>
        <v/>
      </c>
      <c r="BB88" s="239">
        <f t="shared" si="6"/>
        <v>76615.360000000001</v>
      </c>
      <c r="BC88" s="109"/>
      <c r="BD88" s="109"/>
    </row>
    <row r="89" spans="1:56" s="28" customFormat="1" ht="20.100000000000001" customHeight="1">
      <c r="A89" s="32" t="str">
        <f>'RESUMEN VIGILANCIA'!A82</f>
        <v>Ma. de Jesus Alonso</v>
      </c>
      <c r="B89" s="33" t="str">
        <f>'RESUMEN VIGILANCIA'!B82</f>
        <v>Calle Güigüe Nro. 88-30</v>
      </c>
      <c r="C89" s="428" t="s">
        <v>1360</v>
      </c>
      <c r="D89" s="433" t="s">
        <v>1357</v>
      </c>
      <c r="E89" s="419" t="str">
        <f>IF(ISBLANK('RESUMEN VIGILANCIA'!D82),"",'RESUMEN VIGILANCIA'!D82)</f>
        <v/>
      </c>
      <c r="F89" s="343">
        <f>IF(ISBLANK('RESUMEN VIGILANCIA'!E82),"",'RESUMEN VIGILANCIA'!E82)</f>
        <v>0.03</v>
      </c>
      <c r="G89" s="302">
        <f>IF(ISBLANK('RESUMEN VIGILANCIA'!F82),"",'RESUMEN VIGILANCIA'!F82)</f>
        <v>0.03</v>
      </c>
      <c r="H89" s="302">
        <f>IF(ISBLANK('RESUMEN VIGILANCIA'!G82),"",'RESUMEN VIGILANCIA'!G82)</f>
        <v>0.04</v>
      </c>
      <c r="I89" s="302">
        <f>IF(ISBLANK('RESUMEN VIGILANCIA'!H82),"",'RESUMEN VIGILANCIA'!H82)</f>
        <v>0.03</v>
      </c>
      <c r="J89" s="302">
        <f>IF(ISBLANK('RESUMEN VIGILANCIA'!I82),"",'RESUMEN VIGILANCIA'!I82)</f>
        <v>0.03</v>
      </c>
      <c r="K89" s="302">
        <f>IF(ISBLANK('RESUMEN VIGILANCIA'!J82),"",'RESUMEN VIGILANCIA'!J82)</f>
        <v>0.03</v>
      </c>
      <c r="L89" s="302">
        <f>IF(ISBLANK('RESUMEN VIGILANCIA'!K82),"",'RESUMEN VIGILANCIA'!K82)</f>
        <v>0.05</v>
      </c>
      <c r="M89" s="302">
        <f>IF(ISBLANK('RESUMEN VIGILANCIA'!L82),"",'RESUMEN VIGILANCIA'!L82)</f>
        <v>0.05</v>
      </c>
      <c r="N89" s="302">
        <f>IF(ISBLANK('RESUMEN VIGILANCIA'!M82),"",'RESUMEN VIGILANCIA'!M82)</f>
        <v>0.1</v>
      </c>
      <c r="O89" s="302">
        <f>IF(ISBLANK('RESUMEN VIGILANCIA'!N82),"",'RESUMEN VIGILANCIA'!N82)</f>
        <v>0.1</v>
      </c>
      <c r="P89" s="270">
        <f>IF(ISBLANK('RESUMEN VIGILANCIA'!O82),"",'RESUMEN VIGILANCIA'!O82)</f>
        <v>0.1</v>
      </c>
      <c r="Q89" s="342">
        <f>IF(ISBLANK('RESUMEN VIGILANCIA'!P82),"",'RESUMEN VIGILANCIA'!P82)</f>
        <v>0.1</v>
      </c>
      <c r="R89" s="334">
        <f>IF(ISBLANK('RESUMEN VIGILANCIA'!Q82),"",'RESUMEN VIGILANCIA'!Q82)</f>
        <v>0.1</v>
      </c>
      <c r="S89" s="270">
        <f>IF(ISBLANK('RESUMEN VIGILANCIA'!R82),"",'RESUMEN VIGILANCIA'!R82)</f>
        <v>0.30000000000000004</v>
      </c>
      <c r="T89" s="270">
        <f>IF(ISBLANK('RESUMEN VIGILANCIA'!S82),"",'RESUMEN VIGILANCIA'!S82)</f>
        <v>1.4</v>
      </c>
      <c r="U89" s="270">
        <f>IF(ISBLANK('RESUMEN VIGILANCIA'!T82),"",'RESUMEN VIGILANCIA'!T82)</f>
        <v>1.4</v>
      </c>
      <c r="V89" s="270">
        <f>IF(ISBLANK('RESUMEN VIGILANCIA'!U82),"",'RESUMEN VIGILANCIA'!U82)</f>
        <v>4</v>
      </c>
      <c r="W89" s="270">
        <f>IF(ISBLANK('RESUMEN VIGILANCIA'!V82),"",'RESUMEN VIGILANCIA'!V82)</f>
        <v>6.25</v>
      </c>
      <c r="X89" s="270">
        <f>IF(ISBLANK('RESUMEN VIGILANCIA'!W82),"",'RESUMEN VIGILANCIA'!W82)</f>
        <v>10</v>
      </c>
      <c r="Y89" s="270">
        <f>IF(ISBLANK('RESUMEN VIGILANCIA'!X82),"",'RESUMEN VIGILANCIA'!X82)</f>
        <v>12</v>
      </c>
      <c r="Z89" s="456">
        <f>IF(ISBLANK('RESUMEN VIGILANCIA'!Y82),"",'RESUMEN VIGILANCIA'!Y82)</f>
        <v>320</v>
      </c>
      <c r="AA89" s="456">
        <f>IF(ISBLANK('RESUMEN VIGILANCIA'!Z82),"",'RESUMEN VIGILANCIA'!Z82)</f>
        <v>320</v>
      </c>
      <c r="AB89" s="456">
        <f>IF(ISBLANK('RESUMEN VIGILANCIA'!AA82),"",'RESUMEN VIGILANCIA'!AA82)</f>
        <v>400</v>
      </c>
      <c r="AC89" s="455">
        <f>IF(ISBLANK('RESUMEN VIGILANCIA'!AB82),"",'RESUMEN VIGILANCIA'!AB82)</f>
        <v>800</v>
      </c>
      <c r="AD89" s="379">
        <f>IF(ISBLANK('RESUMEN VIGILANCIA'!AC82),"",'RESUMEN VIGILANCIA'!AC82)</f>
        <v>3000</v>
      </c>
      <c r="AE89" s="380">
        <f>IF(ISBLANK('RESUMEN VIGILANCIA'!AD82),"",'RESUMEN VIGILANCIA'!AD82)</f>
        <v>3000</v>
      </c>
      <c r="AF89" s="380">
        <f>IF(ISBLANK('RESUMEN VIGILANCIA'!AE82),"",'RESUMEN VIGILANCIA'!AE82)</f>
        <v>3000</v>
      </c>
      <c r="AG89" s="380">
        <f>IF(ISBLANK('RESUMEN VIGILANCIA'!AF82),"",'RESUMEN VIGILANCIA'!AF82)</f>
        <v>5000</v>
      </c>
      <c r="AH89" s="380">
        <f>IF(ISBLANK('RESUMEN VIGILANCIA'!AG82),"",'RESUMEN VIGILANCIA'!AG82)</f>
        <v>8000</v>
      </c>
      <c r="AI89" s="380">
        <f>IF(ISBLANK('RESUMEN VIGILANCIA'!AH82),"",'RESUMEN VIGILANCIA'!AH82)</f>
        <v>8000</v>
      </c>
      <c r="AJ89" s="380">
        <f>IF(ISBLANK('RESUMEN VIGILANCIA'!AI82),"",'RESUMEN VIGILANCIA'!AI82)</f>
        <v>10000</v>
      </c>
      <c r="AK89" s="380">
        <f>IF(ISBLANK('RESUMEN VIGILANCIA'!AJ82),"",'RESUMEN VIGILANCIA'!AJ82)</f>
        <v>10000</v>
      </c>
      <c r="AL89" s="380">
        <f>IF(ISBLANK('RESUMEN VIGILANCIA'!AK82),"",'RESUMEN VIGILANCIA'!AK82)</f>
        <v>20720</v>
      </c>
      <c r="AM89" s="380">
        <f>IF(ISBLANK('RESUMEN VIGILANCIA'!AL82),"",'RESUMEN VIGILANCIA'!AL82)</f>
        <v>50250</v>
      </c>
      <c r="AN89" s="380">
        <f>IF(ISBLANK('RESUMEN VIGILANCIA'!AM82),"",'RESUMEN VIGILANCIA'!AM82)</f>
        <v>29030</v>
      </c>
      <c r="AO89" s="385" t="str">
        <f>IF(ISBLANK('RESUMEN VIGILANCIA'!AN82),"",'RESUMEN VIGILANCIA'!AN82)</f>
        <v/>
      </c>
      <c r="AP89" s="379" t="str">
        <f>IF(ISBLANK('RESUMEN VIGILANCIA'!AO82),"",'RESUMEN VIGILANCIA'!AO82)</f>
        <v/>
      </c>
      <c r="AQ89" s="380" t="str">
        <f>IF(ISBLANK('RESUMEN VIGILANCIA'!AP82),"",'RESUMEN VIGILANCIA'!AP82)</f>
        <v/>
      </c>
      <c r="AR89" s="380" t="str">
        <f>IF(ISBLANK('RESUMEN VIGILANCIA'!AQ82),"",'RESUMEN VIGILANCIA'!AQ82)</f>
        <v/>
      </c>
      <c r="AS89" s="380" t="str">
        <f>IF(ISBLANK('RESUMEN VIGILANCIA'!AR82),"",'RESUMEN VIGILANCIA'!AR82)</f>
        <v/>
      </c>
      <c r="AT89" s="380">
        <f>IF(ISBLANK('RESUMEN VIGILANCIA'!AS82),"",'RESUMEN VIGILANCIA'!AS82)</f>
        <v>250000</v>
      </c>
      <c r="AU89" s="380">
        <f>IF(ISBLANK('RESUMEN VIGILANCIA'!AT82),"",'RESUMEN VIGILANCIA'!AT82)</f>
        <v>250000</v>
      </c>
      <c r="AV89" s="380" t="str">
        <f>IF(ISBLANK('RESUMEN VIGILANCIA'!AU82),"",'RESUMEN VIGILANCIA'!AU82)</f>
        <v/>
      </c>
      <c r="AW89" s="380" t="str">
        <f>IF(ISBLANK('RESUMEN VIGILANCIA'!AV82),"",'RESUMEN VIGILANCIA'!AV82)</f>
        <v/>
      </c>
      <c r="AX89" s="380" t="str">
        <f>IF(ISBLANK('RESUMEN VIGILANCIA'!AW82),"",'RESUMEN VIGILANCIA'!AW82)</f>
        <v/>
      </c>
      <c r="AY89" s="380" t="str">
        <f>IF(ISBLANK('RESUMEN VIGILANCIA'!AX82),"",'RESUMEN VIGILANCIA'!AX82)</f>
        <v/>
      </c>
      <c r="AZ89" s="380" t="str">
        <f>IF(ISBLANK('RESUMEN VIGILANCIA'!AY82),"",'RESUMEN VIGILANCIA'!AY82)</f>
        <v/>
      </c>
      <c r="BA89" s="385" t="str">
        <f>IF(ISBLANK('RESUMEN VIGILANCIA'!AZ82),"",'RESUMEN VIGILANCIA'!AZ82)</f>
        <v/>
      </c>
      <c r="BB89" s="344">
        <f t="shared" si="6"/>
        <v>151876.14000000001</v>
      </c>
      <c r="BC89" s="345"/>
      <c r="BD89" s="345"/>
    </row>
    <row r="90" spans="1:56" s="28" customFormat="1" ht="20.100000000000001" customHeight="1">
      <c r="A90" s="32" t="str">
        <f>'RESUMEN VIGILANCIA'!A83</f>
        <v>Familia Moyetones</v>
      </c>
      <c r="B90" s="33" t="str">
        <f>'RESUMEN VIGILANCIA'!B83</f>
        <v>Calle Güigüe Nro. 88-36</v>
      </c>
      <c r="C90" s="426" t="s">
        <v>1360</v>
      </c>
      <c r="D90" s="435" t="s">
        <v>1357</v>
      </c>
      <c r="E90" s="414" t="str">
        <f>IF(ISBLANK('RESUMEN VIGILANCIA'!D83),"",'RESUMEN VIGILANCIA'!D83)</f>
        <v/>
      </c>
      <c r="F90" s="264" t="str">
        <f>IF(ISBLANK('RESUMEN VIGILANCIA'!E83),"",'RESUMEN VIGILANCIA'!E83)</f>
        <v/>
      </c>
      <c r="G90" s="186" t="str">
        <f>IF(ISBLANK('RESUMEN VIGILANCIA'!F83),"",'RESUMEN VIGILANCIA'!F83)</f>
        <v/>
      </c>
      <c r="H90" s="186" t="str">
        <f>IF(ISBLANK('RESUMEN VIGILANCIA'!G83),"",'RESUMEN VIGILANCIA'!G83)</f>
        <v/>
      </c>
      <c r="I90" s="186" t="str">
        <f>IF(ISBLANK('RESUMEN VIGILANCIA'!H83),"",'RESUMEN VIGILANCIA'!H83)</f>
        <v/>
      </c>
      <c r="J90" s="186" t="str">
        <f>IF(ISBLANK('RESUMEN VIGILANCIA'!I83),"",'RESUMEN VIGILANCIA'!I83)</f>
        <v/>
      </c>
      <c r="K90" s="186" t="str">
        <f>IF(ISBLANK('RESUMEN VIGILANCIA'!J83),"",'RESUMEN VIGILANCIA'!J83)</f>
        <v/>
      </c>
      <c r="L90" s="186" t="str">
        <f>IF(ISBLANK('RESUMEN VIGILANCIA'!K83),"",'RESUMEN VIGILANCIA'!K83)</f>
        <v/>
      </c>
      <c r="M90" s="186" t="str">
        <f>IF(ISBLANK('RESUMEN VIGILANCIA'!L83),"",'RESUMEN VIGILANCIA'!L83)</f>
        <v/>
      </c>
      <c r="N90" s="186" t="str">
        <f>IF(ISBLANK('RESUMEN VIGILANCIA'!M83),"",'RESUMEN VIGILANCIA'!M83)</f>
        <v/>
      </c>
      <c r="O90" s="186" t="str">
        <f>IF(ISBLANK('RESUMEN VIGILANCIA'!N83),"",'RESUMEN VIGILANCIA'!N83)</f>
        <v/>
      </c>
      <c r="P90" s="265" t="str">
        <f>IF(ISBLANK('RESUMEN VIGILANCIA'!O83),"",'RESUMEN VIGILANCIA'!O83)</f>
        <v/>
      </c>
      <c r="Q90" s="184" t="str">
        <f>IF(ISBLANK('RESUMEN VIGILANCIA'!P83),"",'RESUMEN VIGILANCIA'!P83)</f>
        <v/>
      </c>
      <c r="R90" s="266" t="str">
        <f>IF(ISBLANK('RESUMEN VIGILANCIA'!Q83),"",'RESUMEN VIGILANCIA'!Q83)</f>
        <v/>
      </c>
      <c r="S90" s="265" t="str">
        <f>IF(ISBLANK('RESUMEN VIGILANCIA'!R83),"",'RESUMEN VIGILANCIA'!R83)</f>
        <v/>
      </c>
      <c r="T90" s="265" t="str">
        <f>IF(ISBLANK('RESUMEN VIGILANCIA'!S83),"",'RESUMEN VIGILANCIA'!S83)</f>
        <v/>
      </c>
      <c r="U90" s="265" t="str">
        <f>IF(ISBLANK('RESUMEN VIGILANCIA'!T83),"",'RESUMEN VIGILANCIA'!T83)</f>
        <v/>
      </c>
      <c r="V90" s="265" t="str">
        <f>IF(ISBLANK('RESUMEN VIGILANCIA'!U83),"",'RESUMEN VIGILANCIA'!U83)</f>
        <v/>
      </c>
      <c r="W90" s="265" t="str">
        <f>IF(ISBLANK('RESUMEN VIGILANCIA'!V83),"",'RESUMEN VIGILANCIA'!V83)</f>
        <v/>
      </c>
      <c r="X90" s="265" t="str">
        <f>IF(ISBLANK('RESUMEN VIGILANCIA'!W83),"",'RESUMEN VIGILANCIA'!W83)</f>
        <v/>
      </c>
      <c r="Y90" s="265" t="str">
        <f>IF(ISBLANK('RESUMEN VIGILANCIA'!X83),"",'RESUMEN VIGILANCIA'!X83)</f>
        <v/>
      </c>
      <c r="Z90" s="457" t="str">
        <f>IF(ISBLANK('RESUMEN VIGILANCIA'!Y83),"",'RESUMEN VIGILANCIA'!Y83)</f>
        <v/>
      </c>
      <c r="AA90" s="457" t="str">
        <f>IF(ISBLANK('RESUMEN VIGILANCIA'!Z83),"",'RESUMEN VIGILANCIA'!Z83)</f>
        <v/>
      </c>
      <c r="AB90" s="457" t="str">
        <f>IF(ISBLANK('RESUMEN VIGILANCIA'!AA83),"",'RESUMEN VIGILANCIA'!AA83)</f>
        <v/>
      </c>
      <c r="AC90" s="458" t="str">
        <f>IF(ISBLANK('RESUMEN VIGILANCIA'!AB83),"",'RESUMEN VIGILANCIA'!AB83)</f>
        <v/>
      </c>
      <c r="AD90" s="371" t="str">
        <f>IF(ISBLANK('RESUMEN VIGILANCIA'!AC83),"",'RESUMEN VIGILANCIA'!AC83)</f>
        <v/>
      </c>
      <c r="AE90" s="372" t="str">
        <f>IF(ISBLANK('RESUMEN VIGILANCIA'!AD83),"",'RESUMEN VIGILANCIA'!AD83)</f>
        <v/>
      </c>
      <c r="AF90" s="372" t="str">
        <f>IF(ISBLANK('RESUMEN VIGILANCIA'!AE83),"",'RESUMEN VIGILANCIA'!AE83)</f>
        <v/>
      </c>
      <c r="AG90" s="372" t="str">
        <f>IF(ISBLANK('RESUMEN VIGILANCIA'!AF83),"",'RESUMEN VIGILANCIA'!AF83)</f>
        <v/>
      </c>
      <c r="AH90" s="372" t="str">
        <f>IF(ISBLANK('RESUMEN VIGILANCIA'!AG83),"",'RESUMEN VIGILANCIA'!AG83)</f>
        <v/>
      </c>
      <c r="AI90" s="372" t="str">
        <f>IF(ISBLANK('RESUMEN VIGILANCIA'!AH83),"",'RESUMEN VIGILANCIA'!AH83)</f>
        <v/>
      </c>
      <c r="AJ90" s="372" t="str">
        <f>IF(ISBLANK('RESUMEN VIGILANCIA'!AI83),"",'RESUMEN VIGILANCIA'!AI83)</f>
        <v/>
      </c>
      <c r="AK90" s="372" t="str">
        <f>IF(ISBLANK('RESUMEN VIGILANCIA'!AJ83),"",'RESUMEN VIGILANCIA'!AJ83)</f>
        <v/>
      </c>
      <c r="AL90" s="372" t="str">
        <f>IF(ISBLANK('RESUMEN VIGILANCIA'!AK83),"",'RESUMEN VIGILANCIA'!AK83)</f>
        <v/>
      </c>
      <c r="AM90" s="372" t="str">
        <f>IF(ISBLANK('RESUMEN VIGILANCIA'!AL83),"",'RESUMEN VIGILANCIA'!AL83)</f>
        <v/>
      </c>
      <c r="AN90" s="372" t="str">
        <f>IF(ISBLANK('RESUMEN VIGILANCIA'!AM83),"",'RESUMEN VIGILANCIA'!AM83)</f>
        <v/>
      </c>
      <c r="AO90" s="373" t="str">
        <f>IF(ISBLANK('RESUMEN VIGILANCIA'!AN83),"",'RESUMEN VIGILANCIA'!AN83)</f>
        <v/>
      </c>
      <c r="AP90" s="371" t="str">
        <f>IF(ISBLANK('RESUMEN VIGILANCIA'!AO83),"",'RESUMEN VIGILANCIA'!AO83)</f>
        <v/>
      </c>
      <c r="AQ90" s="372" t="str">
        <f>IF(ISBLANK('RESUMEN VIGILANCIA'!AP83),"",'RESUMEN VIGILANCIA'!AP83)</f>
        <v/>
      </c>
      <c r="AR90" s="372" t="str">
        <f>IF(ISBLANK('RESUMEN VIGILANCIA'!AQ83),"",'RESUMEN VIGILANCIA'!AQ83)</f>
        <v/>
      </c>
      <c r="AS90" s="372" t="str">
        <f>IF(ISBLANK('RESUMEN VIGILANCIA'!AR83),"",'RESUMEN VIGILANCIA'!AR83)</f>
        <v/>
      </c>
      <c r="AT90" s="372" t="str">
        <f>IF(ISBLANK('RESUMEN VIGILANCIA'!AS83),"",'RESUMEN VIGILANCIA'!AS83)</f>
        <v/>
      </c>
      <c r="AU90" s="372" t="str">
        <f>IF(ISBLANK('RESUMEN VIGILANCIA'!AT83),"",'RESUMEN VIGILANCIA'!AT83)</f>
        <v/>
      </c>
      <c r="AV90" s="372" t="str">
        <f>IF(ISBLANK('RESUMEN VIGILANCIA'!AU83),"",'RESUMEN VIGILANCIA'!AU83)</f>
        <v/>
      </c>
      <c r="AW90" s="372" t="str">
        <f>IF(ISBLANK('RESUMEN VIGILANCIA'!AV83),"",'RESUMEN VIGILANCIA'!AV83)</f>
        <v/>
      </c>
      <c r="AX90" s="372" t="str">
        <f>IF(ISBLANK('RESUMEN VIGILANCIA'!AW83),"",'RESUMEN VIGILANCIA'!AW83)</f>
        <v/>
      </c>
      <c r="AY90" s="372" t="str">
        <f>IF(ISBLANK('RESUMEN VIGILANCIA'!AX83),"",'RESUMEN VIGILANCIA'!AX83)</f>
        <v/>
      </c>
      <c r="AZ90" s="372" t="str">
        <f>IF(ISBLANK('RESUMEN VIGILANCIA'!AY83),"",'RESUMEN VIGILANCIA'!AY83)</f>
        <v/>
      </c>
      <c r="BA90" s="373" t="str">
        <f>IF(ISBLANK('RESUMEN VIGILANCIA'!AZ83),"",'RESUMEN VIGILANCIA'!AZ83)</f>
        <v/>
      </c>
      <c r="BB90" s="239">
        <f t="shared" si="6"/>
        <v>0</v>
      </c>
      <c r="BC90" s="109"/>
      <c r="BD90" s="109"/>
    </row>
    <row r="91" spans="1:56" s="28" customFormat="1" ht="20.100000000000001" customHeight="1">
      <c r="A91" s="32" t="str">
        <f>'RESUMEN VIGILANCIA'!A84</f>
        <v>Familia Rivero</v>
      </c>
      <c r="B91" s="33" t="str">
        <f>'RESUMEN VIGILANCIA'!B84</f>
        <v>Calle Güigüe Nro. 88-40</v>
      </c>
      <c r="C91" s="426" t="s">
        <v>1362</v>
      </c>
      <c r="D91" s="443" t="s">
        <v>17</v>
      </c>
      <c r="E91" s="414" t="str">
        <f>IF(ISBLANK('RESUMEN VIGILANCIA'!D84),"",'RESUMEN VIGILANCIA'!D84)</f>
        <v/>
      </c>
      <c r="F91" s="264">
        <f>IF(ISBLANK('RESUMEN VIGILANCIA'!E84),"",'RESUMEN VIGILANCIA'!E84)</f>
        <v>0.03</v>
      </c>
      <c r="G91" s="186">
        <f>IF(ISBLANK('RESUMEN VIGILANCIA'!F84),"",'RESUMEN VIGILANCIA'!F84)</f>
        <v>0.03</v>
      </c>
      <c r="H91" s="186">
        <f>IF(ISBLANK('RESUMEN VIGILANCIA'!G84),"",'RESUMEN VIGILANCIA'!G84)</f>
        <v>0.03</v>
      </c>
      <c r="I91" s="186">
        <f>IF(ISBLANK('RESUMEN VIGILANCIA'!H84),"",'RESUMEN VIGILANCIA'!H84)</f>
        <v>0.03</v>
      </c>
      <c r="J91" s="186">
        <f>IF(ISBLANK('RESUMEN VIGILANCIA'!I84),"",'RESUMEN VIGILANCIA'!I84)</f>
        <v>0.05</v>
      </c>
      <c r="K91" s="186">
        <f>IF(ISBLANK('RESUMEN VIGILANCIA'!J84),"",'RESUMEN VIGILANCIA'!J84)</f>
        <v>0.05</v>
      </c>
      <c r="L91" s="186">
        <f>IF(ISBLANK('RESUMEN VIGILANCIA'!K84),"",'RESUMEN VIGILANCIA'!K84)</f>
        <v>0.05</v>
      </c>
      <c r="M91" s="186">
        <f>IF(ISBLANK('RESUMEN VIGILANCIA'!L84),"",'RESUMEN VIGILANCIA'!L84)</f>
        <v>0.1</v>
      </c>
      <c r="N91" s="186">
        <f>IF(ISBLANK('RESUMEN VIGILANCIA'!M84),"",'RESUMEN VIGILANCIA'!M84)</f>
        <v>0.2</v>
      </c>
      <c r="O91" s="186">
        <f>IF(ISBLANK('RESUMEN VIGILANCIA'!N84),"",'RESUMEN VIGILANCIA'!N84)</f>
        <v>0.2</v>
      </c>
      <c r="P91" s="265">
        <f>IF(ISBLANK('RESUMEN VIGILANCIA'!O84),"",'RESUMEN VIGILANCIA'!O84)</f>
        <v>0.25</v>
      </c>
      <c r="Q91" s="184">
        <f>IF(ISBLANK('RESUMEN VIGILANCIA'!P84),"",'RESUMEN VIGILANCIA'!P84)</f>
        <v>0.3</v>
      </c>
      <c r="R91" s="266">
        <f>IF(ISBLANK('RESUMEN VIGILANCIA'!Q84),"",'RESUMEN VIGILANCIA'!Q84)</f>
        <v>0.3</v>
      </c>
      <c r="S91" s="265">
        <f>IF(ISBLANK('RESUMEN VIGILANCIA'!R84),"",'RESUMEN VIGILANCIA'!R84)</f>
        <v>0.3</v>
      </c>
      <c r="T91" s="265">
        <f>IF(ISBLANK('RESUMEN VIGILANCIA'!S84),"",'RESUMEN VIGILANCIA'!S84)</f>
        <v>0.3</v>
      </c>
      <c r="U91" s="265">
        <f>IF(ISBLANK('RESUMEN VIGILANCIA'!T84),"",'RESUMEN VIGILANCIA'!T84)</f>
        <v>0.3</v>
      </c>
      <c r="V91" s="265">
        <f>IF(ISBLANK('RESUMEN VIGILANCIA'!U84),"",'RESUMEN VIGILANCIA'!U84)</f>
        <v>0.3</v>
      </c>
      <c r="W91" s="265">
        <f>IF(ISBLANK('RESUMEN VIGILANCIA'!V84),"",'RESUMEN VIGILANCIA'!V84)</f>
        <v>0.4</v>
      </c>
      <c r="X91" s="265">
        <f>IF(ISBLANK('RESUMEN VIGILANCIA'!W84),"",'RESUMEN VIGILANCIA'!W84)</f>
        <v>10</v>
      </c>
      <c r="Y91" s="265">
        <f>IF(ISBLANK('RESUMEN VIGILANCIA'!X84),"",'RESUMEN VIGILANCIA'!X84)</f>
        <v>12</v>
      </c>
      <c r="Z91" s="457">
        <f>IF(ISBLANK('RESUMEN VIGILANCIA'!Y84),"",'RESUMEN VIGILANCIA'!Y84)</f>
        <v>78</v>
      </c>
      <c r="AA91" s="457" t="str">
        <f>IF(ISBLANK('RESUMEN VIGILANCIA'!Z84),"",'RESUMEN VIGILANCIA'!Z84)</f>
        <v/>
      </c>
      <c r="AB91" s="457" t="str">
        <f>IF(ISBLANK('RESUMEN VIGILANCIA'!AA84),"",'RESUMEN VIGILANCIA'!AA84)</f>
        <v/>
      </c>
      <c r="AC91" s="458" t="str">
        <f>IF(ISBLANK('RESUMEN VIGILANCIA'!AB84),"",'RESUMEN VIGILANCIA'!AB84)</f>
        <v/>
      </c>
      <c r="AD91" s="371" t="str">
        <f>IF(ISBLANK('RESUMEN VIGILANCIA'!AC84),"",'RESUMEN VIGILANCIA'!AC84)</f>
        <v/>
      </c>
      <c r="AE91" s="372" t="str">
        <f>IF(ISBLANK('RESUMEN VIGILANCIA'!AD84),"",'RESUMEN VIGILANCIA'!AD84)</f>
        <v/>
      </c>
      <c r="AF91" s="372" t="str">
        <f>IF(ISBLANK('RESUMEN VIGILANCIA'!AE84),"",'RESUMEN VIGILANCIA'!AE84)</f>
        <v/>
      </c>
      <c r="AG91" s="372" t="str">
        <f>IF(ISBLANK('RESUMEN VIGILANCIA'!AF84),"",'RESUMEN VIGILANCIA'!AF84)</f>
        <v/>
      </c>
      <c r="AH91" s="372" t="str">
        <f>IF(ISBLANK('RESUMEN VIGILANCIA'!AG84),"",'RESUMEN VIGILANCIA'!AG84)</f>
        <v/>
      </c>
      <c r="AI91" s="372" t="str">
        <f>IF(ISBLANK('RESUMEN VIGILANCIA'!AH84),"",'RESUMEN VIGILANCIA'!AH84)</f>
        <v/>
      </c>
      <c r="AJ91" s="372" t="str">
        <f>IF(ISBLANK('RESUMEN VIGILANCIA'!AI84),"",'RESUMEN VIGILANCIA'!AI84)</f>
        <v/>
      </c>
      <c r="AK91" s="372" t="str">
        <f>IF(ISBLANK('RESUMEN VIGILANCIA'!AJ84),"",'RESUMEN VIGILANCIA'!AJ84)</f>
        <v/>
      </c>
      <c r="AL91" s="372" t="str">
        <f>IF(ISBLANK('RESUMEN VIGILANCIA'!AK84),"",'RESUMEN VIGILANCIA'!AK84)</f>
        <v/>
      </c>
      <c r="AM91" s="372" t="str">
        <f>IF(ISBLANK('RESUMEN VIGILANCIA'!AL84),"",'RESUMEN VIGILANCIA'!AL84)</f>
        <v/>
      </c>
      <c r="AN91" s="372">
        <f>IF(ISBLANK('RESUMEN VIGILANCIA'!AM84),"",'RESUMEN VIGILANCIA'!AM84)</f>
        <v>20000</v>
      </c>
      <c r="AO91" s="373" t="str">
        <f>IF(ISBLANK('RESUMEN VIGILANCIA'!AN84),"",'RESUMEN VIGILANCIA'!AN84)</f>
        <v/>
      </c>
      <c r="AP91" s="371" t="str">
        <f>IF(ISBLANK('RESUMEN VIGILANCIA'!AO84),"",'RESUMEN VIGILANCIA'!AO84)</f>
        <v/>
      </c>
      <c r="AQ91" s="372" t="str">
        <f>IF(ISBLANK('RESUMEN VIGILANCIA'!AP84),"",'RESUMEN VIGILANCIA'!AP84)</f>
        <v/>
      </c>
      <c r="AR91" s="372" t="str">
        <f>IF(ISBLANK('RESUMEN VIGILANCIA'!AQ84),"",'RESUMEN VIGILANCIA'!AQ84)</f>
        <v/>
      </c>
      <c r="AS91" s="372" t="str">
        <f>IF(ISBLANK('RESUMEN VIGILANCIA'!AR84),"",'RESUMEN VIGILANCIA'!AR84)</f>
        <v/>
      </c>
      <c r="AT91" s="372" t="str">
        <f>IF(ISBLANK('RESUMEN VIGILANCIA'!AS84),"",'RESUMEN VIGILANCIA'!AS84)</f>
        <v/>
      </c>
      <c r="AU91" s="372" t="str">
        <f>IF(ISBLANK('RESUMEN VIGILANCIA'!AT84),"",'RESUMEN VIGILANCIA'!AT84)</f>
        <v/>
      </c>
      <c r="AV91" s="372" t="str">
        <f>IF(ISBLANK('RESUMEN VIGILANCIA'!AU84),"",'RESUMEN VIGILANCIA'!AU84)</f>
        <v/>
      </c>
      <c r="AW91" s="372" t="str">
        <f>IF(ISBLANK('RESUMEN VIGILANCIA'!AV84),"",'RESUMEN VIGILANCIA'!AV84)</f>
        <v/>
      </c>
      <c r="AX91" s="372" t="str">
        <f>IF(ISBLANK('RESUMEN VIGILANCIA'!AW84),"",'RESUMEN VIGILANCIA'!AW84)</f>
        <v/>
      </c>
      <c r="AY91" s="372" t="str">
        <f>IF(ISBLANK('RESUMEN VIGILANCIA'!AX84),"",'RESUMEN VIGILANCIA'!AX84)</f>
        <v/>
      </c>
      <c r="AZ91" s="372" t="str">
        <f>IF(ISBLANK('RESUMEN VIGILANCIA'!AY84),"",'RESUMEN VIGILANCIA'!AY84)</f>
        <v/>
      </c>
      <c r="BA91" s="373" t="str">
        <f>IF(ISBLANK('RESUMEN VIGILANCIA'!AZ84),"",'RESUMEN VIGILANCIA'!AZ84)</f>
        <v/>
      </c>
      <c r="BB91" s="239">
        <f t="shared" si="6"/>
        <v>20103.22</v>
      </c>
      <c r="BC91" s="109"/>
      <c r="BD91" s="109"/>
    </row>
    <row r="92" spans="1:56" s="28" customFormat="1" ht="20.100000000000001" customHeight="1">
      <c r="A92" s="32" t="str">
        <f>'RESUMEN VIGILANCIA'!A88</f>
        <v>Dra. Lilia Magallanes</v>
      </c>
      <c r="B92" s="33" t="str">
        <f>'RESUMEN VIGILANCIA'!B88</f>
        <v>Calle Güigüe Nro. 88-51</v>
      </c>
      <c r="C92" s="428" t="s">
        <v>1358</v>
      </c>
      <c r="D92" s="433" t="s">
        <v>1357</v>
      </c>
      <c r="E92" s="419" t="str">
        <f>IF(ISBLANK('RESUMEN VIGILANCIA'!D88),"",'RESUMEN VIGILANCIA'!D88)</f>
        <v/>
      </c>
      <c r="F92" s="343">
        <f>IF(ISBLANK('RESUMEN VIGILANCIA'!E88),"",'RESUMEN VIGILANCIA'!E88)</f>
        <v>0.05</v>
      </c>
      <c r="G92" s="302">
        <f>IF(ISBLANK('RESUMEN VIGILANCIA'!F88),"",'RESUMEN VIGILANCIA'!F88)</f>
        <v>0.05</v>
      </c>
      <c r="H92" s="302">
        <f>IF(ISBLANK('RESUMEN VIGILANCIA'!G88),"",'RESUMEN VIGILANCIA'!G88)</f>
        <v>7.0000000000000007E-2</v>
      </c>
      <c r="I92" s="302">
        <f>IF(ISBLANK('RESUMEN VIGILANCIA'!H88),"",'RESUMEN VIGILANCIA'!H88)</f>
        <v>0.1</v>
      </c>
      <c r="J92" s="302">
        <f>IF(ISBLANK('RESUMEN VIGILANCIA'!I88),"",'RESUMEN VIGILANCIA'!I88)</f>
        <v>0.2</v>
      </c>
      <c r="K92" s="302">
        <f>IF(ISBLANK('RESUMEN VIGILANCIA'!J88),"",'RESUMEN VIGILANCIA'!J88)</f>
        <v>0.2</v>
      </c>
      <c r="L92" s="302">
        <f>IF(ISBLANK('RESUMEN VIGILANCIA'!K88),"",'RESUMEN VIGILANCIA'!K88)</f>
        <v>0.3</v>
      </c>
      <c r="M92" s="302">
        <f>IF(ISBLANK('RESUMEN VIGILANCIA'!L88),"",'RESUMEN VIGILANCIA'!L88)</f>
        <v>0.35</v>
      </c>
      <c r="N92" s="302">
        <f>IF(ISBLANK('RESUMEN VIGILANCIA'!M88),"",'RESUMEN VIGILANCIA'!M88)</f>
        <v>0.35</v>
      </c>
      <c r="O92" s="302">
        <f>IF(ISBLANK('RESUMEN VIGILANCIA'!N88),"",'RESUMEN VIGILANCIA'!N88)</f>
        <v>0.35</v>
      </c>
      <c r="P92" s="270">
        <f>IF(ISBLANK('RESUMEN VIGILANCIA'!O88),"",'RESUMEN VIGILANCIA'!O88)</f>
        <v>0.5</v>
      </c>
      <c r="Q92" s="342">
        <f>IF(ISBLANK('RESUMEN VIGILANCIA'!P88),"",'RESUMEN VIGILANCIA'!P88)</f>
        <v>0.5</v>
      </c>
      <c r="R92" s="334">
        <f>IF(ISBLANK('RESUMEN VIGILANCIA'!Q88),"",'RESUMEN VIGILANCIA'!Q88)</f>
        <v>0.8</v>
      </c>
      <c r="S92" s="270">
        <f>IF(ISBLANK('RESUMEN VIGILANCIA'!R88),"",'RESUMEN VIGILANCIA'!R88)</f>
        <v>0.8</v>
      </c>
      <c r="T92" s="270">
        <f>IF(ISBLANK('RESUMEN VIGILANCIA'!S88),"",'RESUMEN VIGILANCIA'!S88)</f>
        <v>1.4</v>
      </c>
      <c r="U92" s="270">
        <f>IF(ISBLANK('RESUMEN VIGILANCIA'!T88),"",'RESUMEN VIGILANCIA'!T88)</f>
        <v>1.4</v>
      </c>
      <c r="V92" s="270">
        <f>IF(ISBLANK('RESUMEN VIGILANCIA'!U88),"",'RESUMEN VIGILANCIA'!U88)</f>
        <v>4</v>
      </c>
      <c r="W92" s="270">
        <f>IF(ISBLANK('RESUMEN VIGILANCIA'!V88),"",'RESUMEN VIGILANCIA'!V88)</f>
        <v>6.25</v>
      </c>
      <c r="X92" s="270">
        <f>IF(ISBLANK('RESUMEN VIGILANCIA'!W88),"",'RESUMEN VIGILANCIA'!W88)</f>
        <v>10</v>
      </c>
      <c r="Y92" s="270">
        <f>IF(ISBLANK('RESUMEN VIGILANCIA'!X88),"",'RESUMEN VIGILANCIA'!X88)</f>
        <v>12</v>
      </c>
      <c r="Z92" s="456">
        <f>IF(ISBLANK('RESUMEN VIGILANCIA'!Y88),"",'RESUMEN VIGILANCIA'!Y88)</f>
        <v>320.05</v>
      </c>
      <c r="AA92" s="456">
        <f>IF(ISBLANK('RESUMEN VIGILANCIA'!Z88),"",'RESUMEN VIGILANCIA'!Z88)</f>
        <v>320</v>
      </c>
      <c r="AB92" s="456">
        <f>IF(ISBLANK('RESUMEN VIGILANCIA'!AA88),"",'RESUMEN VIGILANCIA'!AA88)</f>
        <v>320</v>
      </c>
      <c r="AC92" s="455">
        <f>IF(ISBLANK('RESUMEN VIGILANCIA'!AB88),"",'RESUMEN VIGILANCIA'!AB88)</f>
        <v>800</v>
      </c>
      <c r="AD92" s="379">
        <f>IF(ISBLANK('RESUMEN VIGILANCIA'!AC88),"",'RESUMEN VIGILANCIA'!AC88)</f>
        <v>3000</v>
      </c>
      <c r="AE92" s="380">
        <f>IF(ISBLANK('RESUMEN VIGILANCIA'!AD88),"",'RESUMEN VIGILANCIA'!AD88)</f>
        <v>3000</v>
      </c>
      <c r="AF92" s="380">
        <f>IF(ISBLANK('RESUMEN VIGILANCIA'!AE88),"",'RESUMEN VIGILANCIA'!AE88)</f>
        <v>3000</v>
      </c>
      <c r="AG92" s="380">
        <f>IF(ISBLANK('RESUMEN VIGILANCIA'!AF88),"",'RESUMEN VIGILANCIA'!AF88)</f>
        <v>5000</v>
      </c>
      <c r="AH92" s="380">
        <f>IF(ISBLANK('RESUMEN VIGILANCIA'!AG88),"",'RESUMEN VIGILANCIA'!AG88)</f>
        <v>8000</v>
      </c>
      <c r="AI92" s="380">
        <f>IF(ISBLANK('RESUMEN VIGILANCIA'!AH88),"",'RESUMEN VIGILANCIA'!AH88)</f>
        <v>8000</v>
      </c>
      <c r="AJ92" s="380">
        <f>IF(ISBLANK('RESUMEN VIGILANCIA'!AI88),"",'RESUMEN VIGILANCIA'!AI88)</f>
        <v>10000</v>
      </c>
      <c r="AK92" s="380">
        <f>IF(ISBLANK('RESUMEN VIGILANCIA'!AJ88),"",'RESUMEN VIGILANCIA'!AJ88)</f>
        <v>10000</v>
      </c>
      <c r="AL92" s="380">
        <f>IF(ISBLANK('RESUMEN VIGILANCIA'!AK88),"",'RESUMEN VIGILANCIA'!AK88)</f>
        <v>23400</v>
      </c>
      <c r="AM92" s="380">
        <f>IF(ISBLANK('RESUMEN VIGILANCIA'!AL88),"",'RESUMEN VIGILANCIA'!AL88)</f>
        <v>51265</v>
      </c>
      <c r="AN92" s="380">
        <f>IF(ISBLANK('RESUMEN VIGILANCIA'!AM88),"",'RESUMEN VIGILANCIA'!AM88)</f>
        <v>56250</v>
      </c>
      <c r="AO92" s="385">
        <f>IF(ISBLANK('RESUMEN VIGILANCIA'!AN88),"",'RESUMEN VIGILANCIA'!AN88)</f>
        <v>97500</v>
      </c>
      <c r="AP92" s="379">
        <f>IF(ISBLANK('RESUMEN VIGILANCIA'!AO88),"",'RESUMEN VIGILANCIA'!AO88)</f>
        <v>136250</v>
      </c>
      <c r="AQ92" s="380">
        <f>IF(ISBLANK('RESUMEN VIGILANCIA'!AP88),"",'RESUMEN VIGILANCIA'!AP88)</f>
        <v>136250</v>
      </c>
      <c r="AR92" s="380">
        <f>IF(ISBLANK('RESUMEN VIGILANCIA'!AQ88),"",'RESUMEN VIGILANCIA'!AQ88)</f>
        <v>185250</v>
      </c>
      <c r="AS92" s="380">
        <f>IF(ISBLANK('RESUMEN VIGILANCIA'!AR88),"",'RESUMEN VIGILANCIA'!AR88)</f>
        <v>186250</v>
      </c>
      <c r="AT92" s="380">
        <f>IF(ISBLANK('RESUMEN VIGILANCIA'!AS88),"",'RESUMEN VIGILANCIA'!AS88)</f>
        <v>250000</v>
      </c>
      <c r="AU92" s="380">
        <f>IF(ISBLANK('RESUMEN VIGILANCIA'!AT88),"",'RESUMEN VIGILANCIA'!AT88)</f>
        <v>250000</v>
      </c>
      <c r="AV92" s="380" t="str">
        <f>IF(ISBLANK('RESUMEN VIGILANCIA'!AU88),"",'RESUMEN VIGILANCIA'!AU88)</f>
        <v/>
      </c>
      <c r="AW92" s="380" t="str">
        <f>IF(ISBLANK('RESUMEN VIGILANCIA'!AV88),"",'RESUMEN VIGILANCIA'!AV88)</f>
        <v/>
      </c>
      <c r="AX92" s="380" t="str">
        <f>IF(ISBLANK('RESUMEN VIGILANCIA'!AW88),"",'RESUMEN VIGILANCIA'!AW88)</f>
        <v/>
      </c>
      <c r="AY92" s="380" t="str">
        <f>IF(ISBLANK('RESUMEN VIGILANCIA'!AX88),"",'RESUMEN VIGILANCIA'!AX88)</f>
        <v/>
      </c>
      <c r="AZ92" s="380" t="str">
        <f>IF(ISBLANK('RESUMEN VIGILANCIA'!AY88),"",'RESUMEN VIGILANCIA'!AY88)</f>
        <v/>
      </c>
      <c r="BA92" s="385" t="str">
        <f>IF(ISBLANK('RESUMEN VIGILANCIA'!AZ88),"",'RESUMEN VIGILANCIA'!AZ88)</f>
        <v/>
      </c>
      <c r="BB92" s="344">
        <f t="shared" si="6"/>
        <v>280214.71999999997</v>
      </c>
      <c r="BC92" s="345"/>
      <c r="BD92" s="345"/>
    </row>
    <row r="93" spans="1:56" s="28" customFormat="1" ht="20.100000000000001" customHeight="1">
      <c r="A93" s="32" t="str">
        <f>'RESUMEN VIGILANCIA'!A85</f>
        <v>Thanya Albornoz</v>
      </c>
      <c r="B93" s="33" t="str">
        <f>'RESUMEN VIGILANCIA'!B85</f>
        <v>Calle Güigüe Nro. 88-42</v>
      </c>
      <c r="C93" s="426" t="s">
        <v>1360</v>
      </c>
      <c r="D93" s="435" t="s">
        <v>1357</v>
      </c>
      <c r="E93" s="414" t="str">
        <f>IF(ISBLANK('RESUMEN VIGILANCIA'!D85),"",'RESUMEN VIGILANCIA'!D85)</f>
        <v/>
      </c>
      <c r="F93" s="264" t="str">
        <f>IF(ISBLANK('RESUMEN VIGILANCIA'!E85),"",'RESUMEN VIGILANCIA'!E85)</f>
        <v/>
      </c>
      <c r="G93" s="186" t="str">
        <f>IF(ISBLANK('RESUMEN VIGILANCIA'!F85),"",'RESUMEN VIGILANCIA'!F85)</f>
        <v/>
      </c>
      <c r="H93" s="186" t="str">
        <f>IF(ISBLANK('RESUMEN VIGILANCIA'!G85),"",'RESUMEN VIGILANCIA'!G85)</f>
        <v/>
      </c>
      <c r="I93" s="186" t="str">
        <f>IF(ISBLANK('RESUMEN VIGILANCIA'!H85),"",'RESUMEN VIGILANCIA'!H85)</f>
        <v/>
      </c>
      <c r="J93" s="186" t="str">
        <f>IF(ISBLANK('RESUMEN VIGILANCIA'!I85),"",'RESUMEN VIGILANCIA'!I85)</f>
        <v/>
      </c>
      <c r="K93" s="186" t="str">
        <f>IF(ISBLANK('RESUMEN VIGILANCIA'!J85),"",'RESUMEN VIGILANCIA'!J85)</f>
        <v/>
      </c>
      <c r="L93" s="186" t="str">
        <f>IF(ISBLANK('RESUMEN VIGILANCIA'!K85),"",'RESUMEN VIGILANCIA'!K85)</f>
        <v/>
      </c>
      <c r="M93" s="186" t="str">
        <f>IF(ISBLANK('RESUMEN VIGILANCIA'!L85),"",'RESUMEN VIGILANCIA'!L85)</f>
        <v/>
      </c>
      <c r="N93" s="186" t="str">
        <f>IF(ISBLANK('RESUMEN VIGILANCIA'!M85),"",'RESUMEN VIGILANCIA'!M85)</f>
        <v/>
      </c>
      <c r="O93" s="186" t="str">
        <f>IF(ISBLANK('RESUMEN VIGILANCIA'!N85),"",'RESUMEN VIGILANCIA'!N85)</f>
        <v/>
      </c>
      <c r="P93" s="265" t="str">
        <f>IF(ISBLANK('RESUMEN VIGILANCIA'!O85),"",'RESUMEN VIGILANCIA'!O85)</f>
        <v/>
      </c>
      <c r="Q93" s="184" t="str">
        <f>IF(ISBLANK('RESUMEN VIGILANCIA'!P85),"",'RESUMEN VIGILANCIA'!P85)</f>
        <v/>
      </c>
      <c r="R93" s="266" t="str">
        <f>IF(ISBLANK('RESUMEN VIGILANCIA'!Q85),"",'RESUMEN VIGILANCIA'!Q85)</f>
        <v/>
      </c>
      <c r="S93" s="265" t="str">
        <f>IF(ISBLANK('RESUMEN VIGILANCIA'!R85),"",'RESUMEN VIGILANCIA'!R85)</f>
        <v/>
      </c>
      <c r="T93" s="265" t="str">
        <f>IF(ISBLANK('RESUMEN VIGILANCIA'!S85),"",'RESUMEN VIGILANCIA'!S85)</f>
        <v/>
      </c>
      <c r="U93" s="265" t="str">
        <f>IF(ISBLANK('RESUMEN VIGILANCIA'!T85),"",'RESUMEN VIGILANCIA'!T85)</f>
        <v/>
      </c>
      <c r="V93" s="265" t="str">
        <f>IF(ISBLANK('RESUMEN VIGILANCIA'!U85),"",'RESUMEN VIGILANCIA'!U85)</f>
        <v/>
      </c>
      <c r="W93" s="265" t="str">
        <f>IF(ISBLANK('RESUMEN VIGILANCIA'!V85),"",'RESUMEN VIGILANCIA'!V85)</f>
        <v/>
      </c>
      <c r="X93" s="265" t="str">
        <f>IF(ISBLANK('RESUMEN VIGILANCIA'!W85),"",'RESUMEN VIGILANCIA'!W85)</f>
        <v/>
      </c>
      <c r="Y93" s="265" t="str">
        <f>IF(ISBLANK('RESUMEN VIGILANCIA'!X85),"",'RESUMEN VIGILANCIA'!X85)</f>
        <v/>
      </c>
      <c r="Z93" s="457" t="str">
        <f>IF(ISBLANK('RESUMEN VIGILANCIA'!Y85),"",'RESUMEN VIGILANCIA'!Y85)</f>
        <v/>
      </c>
      <c r="AA93" s="457" t="str">
        <f>IF(ISBLANK('RESUMEN VIGILANCIA'!Z85),"",'RESUMEN VIGILANCIA'!Z85)</f>
        <v/>
      </c>
      <c r="AB93" s="457" t="str">
        <f>IF(ISBLANK('RESUMEN VIGILANCIA'!AA85),"",'RESUMEN VIGILANCIA'!AA85)</f>
        <v/>
      </c>
      <c r="AC93" s="458" t="str">
        <f>IF(ISBLANK('RESUMEN VIGILANCIA'!AB85),"",'RESUMEN VIGILANCIA'!AB85)</f>
        <v/>
      </c>
      <c r="AD93" s="371" t="str">
        <f>IF(ISBLANK('RESUMEN VIGILANCIA'!AC85),"",'RESUMEN VIGILANCIA'!AC85)</f>
        <v/>
      </c>
      <c r="AE93" s="372" t="str">
        <f>IF(ISBLANK('RESUMEN VIGILANCIA'!AD85),"",'RESUMEN VIGILANCIA'!AD85)</f>
        <v/>
      </c>
      <c r="AF93" s="372" t="str">
        <f>IF(ISBLANK('RESUMEN VIGILANCIA'!AE85),"",'RESUMEN VIGILANCIA'!AE85)</f>
        <v/>
      </c>
      <c r="AG93" s="372" t="str">
        <f>IF(ISBLANK('RESUMEN VIGILANCIA'!AF85),"",'RESUMEN VIGILANCIA'!AF85)</f>
        <v/>
      </c>
      <c r="AH93" s="372" t="str">
        <f>IF(ISBLANK('RESUMEN VIGILANCIA'!AG85),"",'RESUMEN VIGILANCIA'!AG85)</f>
        <v/>
      </c>
      <c r="AI93" s="372" t="str">
        <f>IF(ISBLANK('RESUMEN VIGILANCIA'!AH85),"",'RESUMEN VIGILANCIA'!AH85)</f>
        <v/>
      </c>
      <c r="AJ93" s="372" t="str">
        <f>IF(ISBLANK('RESUMEN VIGILANCIA'!AI85),"",'RESUMEN VIGILANCIA'!AI85)</f>
        <v/>
      </c>
      <c r="AK93" s="372" t="str">
        <f>IF(ISBLANK('RESUMEN VIGILANCIA'!AJ85),"",'RESUMEN VIGILANCIA'!AJ85)</f>
        <v/>
      </c>
      <c r="AL93" s="372" t="str">
        <f>IF(ISBLANK('RESUMEN VIGILANCIA'!AK85),"",'RESUMEN VIGILANCIA'!AK85)</f>
        <v/>
      </c>
      <c r="AM93" s="372" t="str">
        <f>IF(ISBLANK('RESUMEN VIGILANCIA'!AL85),"",'RESUMEN VIGILANCIA'!AL85)</f>
        <v/>
      </c>
      <c r="AN93" s="372" t="str">
        <f>IF(ISBLANK('RESUMEN VIGILANCIA'!AM85),"",'RESUMEN VIGILANCIA'!AM85)</f>
        <v/>
      </c>
      <c r="AO93" s="373" t="str">
        <f>IF(ISBLANK('RESUMEN VIGILANCIA'!AN85),"",'RESUMEN VIGILANCIA'!AN85)</f>
        <v/>
      </c>
      <c r="AP93" s="371" t="str">
        <f>IF(ISBLANK('RESUMEN VIGILANCIA'!AO85),"",'RESUMEN VIGILANCIA'!AO85)</f>
        <v/>
      </c>
      <c r="AQ93" s="372" t="str">
        <f>IF(ISBLANK('RESUMEN VIGILANCIA'!AP85),"",'RESUMEN VIGILANCIA'!AP85)</f>
        <v/>
      </c>
      <c r="AR93" s="372" t="str">
        <f>IF(ISBLANK('RESUMEN VIGILANCIA'!AQ85),"",'RESUMEN VIGILANCIA'!AQ85)</f>
        <v/>
      </c>
      <c r="AS93" s="372" t="str">
        <f>IF(ISBLANK('RESUMEN VIGILANCIA'!AR85),"",'RESUMEN VIGILANCIA'!AR85)</f>
        <v/>
      </c>
      <c r="AT93" s="372" t="str">
        <f>IF(ISBLANK('RESUMEN VIGILANCIA'!AS85),"",'RESUMEN VIGILANCIA'!AS85)</f>
        <v/>
      </c>
      <c r="AU93" s="372" t="str">
        <f>IF(ISBLANK('RESUMEN VIGILANCIA'!AT85),"",'RESUMEN VIGILANCIA'!AT85)</f>
        <v/>
      </c>
      <c r="AV93" s="372" t="str">
        <f>IF(ISBLANK('RESUMEN VIGILANCIA'!AU85),"",'RESUMEN VIGILANCIA'!AU85)</f>
        <v/>
      </c>
      <c r="AW93" s="372" t="str">
        <f>IF(ISBLANK('RESUMEN VIGILANCIA'!AV85),"",'RESUMEN VIGILANCIA'!AV85)</f>
        <v/>
      </c>
      <c r="AX93" s="372" t="str">
        <f>IF(ISBLANK('RESUMEN VIGILANCIA'!AW85),"",'RESUMEN VIGILANCIA'!AW85)</f>
        <v/>
      </c>
      <c r="AY93" s="372" t="str">
        <f>IF(ISBLANK('RESUMEN VIGILANCIA'!AX85),"",'RESUMEN VIGILANCIA'!AX85)</f>
        <v/>
      </c>
      <c r="AZ93" s="372" t="str">
        <f>IF(ISBLANK('RESUMEN VIGILANCIA'!AY85),"",'RESUMEN VIGILANCIA'!AY85)</f>
        <v/>
      </c>
      <c r="BA93" s="373" t="str">
        <f>IF(ISBLANK('RESUMEN VIGILANCIA'!AZ85),"",'RESUMEN VIGILANCIA'!AZ85)</f>
        <v/>
      </c>
      <c r="BB93" s="239">
        <f t="shared" si="6"/>
        <v>0</v>
      </c>
      <c r="BC93" s="109"/>
      <c r="BD93" s="109"/>
    </row>
    <row r="94" spans="1:56" s="28" customFormat="1" ht="20.100000000000001" customHeight="1">
      <c r="A94" s="29" t="str">
        <f>'RESUMEN VIGILANCIA'!A86</f>
        <v>Familia Colosso Delgado</v>
      </c>
      <c r="B94" s="30" t="str">
        <f>'RESUMEN VIGILANCIA'!B86</f>
        <v>Calle Güigüe Nro. 88-44</v>
      </c>
      <c r="C94" s="427" t="s">
        <v>1358</v>
      </c>
      <c r="D94" s="434" t="s">
        <v>17</v>
      </c>
      <c r="E94" s="415" t="str">
        <f>IF(ISBLANK('RESUMEN VIGILANCIA'!D86),"",'RESUMEN VIGILANCIA'!D86)</f>
        <v/>
      </c>
      <c r="F94" s="267">
        <f>IF(ISBLANK('RESUMEN VIGILANCIA'!E86),"",'RESUMEN VIGILANCIA'!E86)</f>
        <v>0.16999999999999998</v>
      </c>
      <c r="G94" s="179">
        <f>IF(ISBLANK('RESUMEN VIGILANCIA'!F86),"",'RESUMEN VIGILANCIA'!F86)</f>
        <v>0.17</v>
      </c>
      <c r="H94" s="179">
        <f>IF(ISBLANK('RESUMEN VIGILANCIA'!G86),"",'RESUMEN VIGILANCIA'!G86)</f>
        <v>0.17</v>
      </c>
      <c r="I94" s="179">
        <f>IF(ISBLANK('RESUMEN VIGILANCIA'!H86),"",'RESUMEN VIGILANCIA'!H86)</f>
        <v>0.17</v>
      </c>
      <c r="J94" s="179">
        <f>IF(ISBLANK('RESUMEN VIGILANCIA'!I86),"",'RESUMEN VIGILANCIA'!I86)</f>
        <v>0.26</v>
      </c>
      <c r="K94" s="179">
        <f>IF(ISBLANK('RESUMEN VIGILANCIA'!J86),"",'RESUMEN VIGILANCIA'!J86)</f>
        <v>0.26</v>
      </c>
      <c r="L94" s="179">
        <f>IF(ISBLANK('RESUMEN VIGILANCIA'!K86),"",'RESUMEN VIGILANCIA'!K86)</f>
        <v>0.35</v>
      </c>
      <c r="M94" s="179">
        <f>IF(ISBLANK('RESUMEN VIGILANCIA'!L86),"",'RESUMEN VIGILANCIA'!L86)</f>
        <v>0.35</v>
      </c>
      <c r="N94" s="179">
        <f>IF(ISBLANK('RESUMEN VIGILANCIA'!M86),"",'RESUMEN VIGILANCIA'!M86)</f>
        <v>0.35</v>
      </c>
      <c r="O94" s="179">
        <f>IF(ISBLANK('RESUMEN VIGILANCIA'!N86),"",'RESUMEN VIGILANCIA'!N86)</f>
        <v>0.35</v>
      </c>
      <c r="P94" s="268">
        <f>IF(ISBLANK('RESUMEN VIGILANCIA'!O86),"",'RESUMEN VIGILANCIA'!O86)</f>
        <v>0.5</v>
      </c>
      <c r="Q94" s="177">
        <f>IF(ISBLANK('RESUMEN VIGILANCIA'!P86),"",'RESUMEN VIGILANCIA'!P86)</f>
        <v>0.5</v>
      </c>
      <c r="R94" s="269">
        <f>IF(ISBLANK('RESUMEN VIGILANCIA'!Q86),"",'RESUMEN VIGILANCIA'!Q86)</f>
        <v>0.8</v>
      </c>
      <c r="S94" s="268">
        <f>IF(ISBLANK('RESUMEN VIGILANCIA'!R86),"",'RESUMEN VIGILANCIA'!R86)</f>
        <v>0.8</v>
      </c>
      <c r="T94" s="268">
        <f>IF(ISBLANK('RESUMEN VIGILANCIA'!S86),"",'RESUMEN VIGILANCIA'!S86)</f>
        <v>1.4</v>
      </c>
      <c r="U94" s="268">
        <f>IF(ISBLANK('RESUMEN VIGILANCIA'!T86),"",'RESUMEN VIGILANCIA'!T86)</f>
        <v>1.4</v>
      </c>
      <c r="V94" s="268">
        <f>IF(ISBLANK('RESUMEN VIGILANCIA'!U86),"",'RESUMEN VIGILANCIA'!U86)</f>
        <v>4</v>
      </c>
      <c r="W94" s="268">
        <f>IF(ISBLANK('RESUMEN VIGILANCIA'!V86),"",'RESUMEN VIGILANCIA'!V86)</f>
        <v>6.25</v>
      </c>
      <c r="X94" s="268">
        <f>IF(ISBLANK('RESUMEN VIGILANCIA'!W86),"",'RESUMEN VIGILANCIA'!W86)</f>
        <v>10</v>
      </c>
      <c r="Y94" s="268">
        <f>IF(ISBLANK('RESUMEN VIGILANCIA'!X86),"",'RESUMEN VIGILANCIA'!X86)</f>
        <v>12</v>
      </c>
      <c r="Z94" s="453">
        <f>IF(ISBLANK('RESUMEN VIGILANCIA'!Y86),"",'RESUMEN VIGILANCIA'!Y86)</f>
        <v>320</v>
      </c>
      <c r="AA94" s="453">
        <f>IF(ISBLANK('RESUMEN VIGILANCIA'!Z86),"",'RESUMEN VIGILANCIA'!Z86)</f>
        <v>320</v>
      </c>
      <c r="AB94" s="453">
        <f>IF(ISBLANK('RESUMEN VIGILANCIA'!AA86),"",'RESUMEN VIGILANCIA'!AA86)</f>
        <v>320</v>
      </c>
      <c r="AC94" s="454">
        <f>IF(ISBLANK('RESUMEN VIGILANCIA'!AB86),"",'RESUMEN VIGILANCIA'!AB86)</f>
        <v>800</v>
      </c>
      <c r="AD94" s="374">
        <f>IF(ISBLANK('RESUMEN VIGILANCIA'!AC86),"",'RESUMEN VIGILANCIA'!AC86)</f>
        <v>3000</v>
      </c>
      <c r="AE94" s="375">
        <f>IF(ISBLANK('RESUMEN VIGILANCIA'!AD86),"",'RESUMEN VIGILANCIA'!AD86)</f>
        <v>3000</v>
      </c>
      <c r="AF94" s="375">
        <f>IF(ISBLANK('RESUMEN VIGILANCIA'!AE86),"",'RESUMEN VIGILANCIA'!AE86)</f>
        <v>3000</v>
      </c>
      <c r="AG94" s="375">
        <f>IF(ISBLANK('RESUMEN VIGILANCIA'!AF86),"",'RESUMEN VIGILANCIA'!AF86)</f>
        <v>5000</v>
      </c>
      <c r="AH94" s="375">
        <f>IF(ISBLANK('RESUMEN VIGILANCIA'!AG86),"",'RESUMEN VIGILANCIA'!AG86)</f>
        <v>8000</v>
      </c>
      <c r="AI94" s="375">
        <f>IF(ISBLANK('RESUMEN VIGILANCIA'!AH86),"",'RESUMEN VIGILANCIA'!AH86)</f>
        <v>8000</v>
      </c>
      <c r="AJ94" s="375">
        <f>IF(ISBLANK('RESUMEN VIGILANCIA'!AI86),"",'RESUMEN VIGILANCIA'!AI86)</f>
        <v>10000</v>
      </c>
      <c r="AK94" s="375">
        <f>IF(ISBLANK('RESUMEN VIGILANCIA'!AJ86),"",'RESUMEN VIGILANCIA'!AJ86)</f>
        <v>10000</v>
      </c>
      <c r="AL94" s="375">
        <f>IF(ISBLANK('RESUMEN VIGILANCIA'!AK86),"",'RESUMEN VIGILANCIA'!AK86)</f>
        <v>23400</v>
      </c>
      <c r="AM94" s="375">
        <f>IF(ISBLANK('RESUMEN VIGILANCIA'!AL86),"",'RESUMEN VIGILANCIA'!AL86)</f>
        <v>47000</v>
      </c>
      <c r="AN94" s="375">
        <f>IF(ISBLANK('RESUMEN VIGILANCIA'!AM86),"",'RESUMEN VIGILANCIA'!AM86)</f>
        <v>51250</v>
      </c>
      <c r="AO94" s="376">
        <f>IF(ISBLANK('RESUMEN VIGILANCIA'!AN86),"",'RESUMEN VIGILANCIA'!AN86)</f>
        <v>81750</v>
      </c>
      <c r="AP94" s="374">
        <f>IF(ISBLANK('RESUMEN VIGILANCIA'!AO86),"",'RESUMEN VIGILANCIA'!AO86)</f>
        <v>136250</v>
      </c>
      <c r="AQ94" s="375">
        <f>IF(ISBLANK('RESUMEN VIGILANCIA'!AP86),"",'RESUMEN VIGILANCIA'!AP86)</f>
        <v>136250</v>
      </c>
      <c r="AR94" s="375">
        <f>IF(ISBLANK('RESUMEN VIGILANCIA'!AQ86),"",'RESUMEN VIGILANCIA'!AQ86)</f>
        <v>185250</v>
      </c>
      <c r="AS94" s="375">
        <f>IF(ISBLANK('RESUMEN VIGILANCIA'!AR86),"",'RESUMEN VIGILANCIA'!AR86)</f>
        <v>185250</v>
      </c>
      <c r="AT94" s="375">
        <f>IF(ISBLANK('RESUMEN VIGILANCIA'!AS86),"",'RESUMEN VIGILANCIA'!AS86)</f>
        <v>250000</v>
      </c>
      <c r="AU94" s="375">
        <f>IF(ISBLANK('RESUMEN VIGILANCIA'!AT86),"",'RESUMEN VIGILANCIA'!AT86)</f>
        <v>250000</v>
      </c>
      <c r="AV94" s="375">
        <f>IF(ISBLANK('RESUMEN VIGILANCIA'!AU86),"",'RESUMEN VIGILANCIA'!AU86)</f>
        <v>320000</v>
      </c>
      <c r="AW94" s="375" t="str">
        <f>IF(ISBLANK('RESUMEN VIGILANCIA'!AV86),"",'RESUMEN VIGILANCIA'!AV86)</f>
        <v/>
      </c>
      <c r="AX94" s="375" t="str">
        <f>IF(ISBLANK('RESUMEN VIGILANCIA'!AW86),"",'RESUMEN VIGILANCIA'!AW86)</f>
        <v/>
      </c>
      <c r="AY94" s="375" t="str">
        <f>IF(ISBLANK('RESUMEN VIGILANCIA'!AX86),"",'RESUMEN VIGILANCIA'!AX86)</f>
        <v/>
      </c>
      <c r="AZ94" s="375" t="str">
        <f>IF(ISBLANK('RESUMEN VIGILANCIA'!AY86),"",'RESUMEN VIGILANCIA'!AY86)</f>
        <v/>
      </c>
      <c r="BA94" s="376" t="str">
        <f>IF(ISBLANK('RESUMEN VIGILANCIA'!AZ86),"",'RESUMEN VIGILANCIA'!AZ86)</f>
        <v/>
      </c>
      <c r="BB94" s="240">
        <f t="shared" si="6"/>
        <v>255200.25</v>
      </c>
      <c r="BC94" s="110"/>
      <c r="BD94" s="110"/>
    </row>
    <row r="95" spans="1:56" s="28" customFormat="1" ht="20.100000000000001" customHeight="1">
      <c r="A95" s="29" t="str">
        <f>'RESUMEN VIGILANCIA'!A87</f>
        <v>Familia Jiménez Navarro</v>
      </c>
      <c r="B95" s="30" t="str">
        <f>'RESUMEN VIGILANCIA'!B87</f>
        <v>Calle Güigüe Nro. 88-50</v>
      </c>
      <c r="C95" s="427" t="s">
        <v>1358</v>
      </c>
      <c r="D95" s="434" t="s">
        <v>17</v>
      </c>
      <c r="E95" s="415" t="str">
        <f>IF(ISBLANK('RESUMEN VIGILANCIA'!D87),"",'RESUMEN VIGILANCIA'!D87)</f>
        <v/>
      </c>
      <c r="F95" s="267">
        <f>IF(ISBLANK('RESUMEN VIGILANCIA'!E87),"",'RESUMEN VIGILANCIA'!E87)</f>
        <v>0.17</v>
      </c>
      <c r="G95" s="179">
        <f>IF(ISBLANK('RESUMEN VIGILANCIA'!F87),"",'RESUMEN VIGILANCIA'!F87)</f>
        <v>0.17</v>
      </c>
      <c r="H95" s="179">
        <f>IF(ISBLANK('RESUMEN VIGILANCIA'!G87),"",'RESUMEN VIGILANCIA'!G87)</f>
        <v>0.17</v>
      </c>
      <c r="I95" s="179">
        <f>IF(ISBLANK('RESUMEN VIGILANCIA'!H87),"",'RESUMEN VIGILANCIA'!H87)</f>
        <v>0.17</v>
      </c>
      <c r="J95" s="179">
        <f>IF(ISBLANK('RESUMEN VIGILANCIA'!I87),"",'RESUMEN VIGILANCIA'!I87)</f>
        <v>0.26</v>
      </c>
      <c r="K95" s="223" t="str">
        <f>IF(ISBLANK('RESUMEN VIGILANCIA'!J87),"",'RESUMEN VIGILANCIA'!J87)</f>
        <v/>
      </c>
      <c r="L95" s="179">
        <f>IF(ISBLANK('RESUMEN VIGILANCIA'!K87),"",'RESUMEN VIGILANCIA'!K87)</f>
        <v>0.35</v>
      </c>
      <c r="M95" s="179">
        <f>IF(ISBLANK('RESUMEN VIGILANCIA'!L87),"",'RESUMEN VIGILANCIA'!L87)</f>
        <v>0.35</v>
      </c>
      <c r="N95" s="179">
        <f>IF(ISBLANK('RESUMEN VIGILANCIA'!M87),"",'RESUMEN VIGILANCIA'!M87)</f>
        <v>0.35</v>
      </c>
      <c r="O95" s="179">
        <f>IF(ISBLANK('RESUMEN VIGILANCIA'!N87),"",'RESUMEN VIGILANCIA'!N87)</f>
        <v>0.35</v>
      </c>
      <c r="P95" s="268">
        <f>IF(ISBLANK('RESUMEN VIGILANCIA'!O87),"",'RESUMEN VIGILANCIA'!O87)</f>
        <v>0.5</v>
      </c>
      <c r="Q95" s="177">
        <f>IF(ISBLANK('RESUMEN VIGILANCIA'!P87),"",'RESUMEN VIGILANCIA'!P87)</f>
        <v>0.5</v>
      </c>
      <c r="R95" s="269">
        <f>IF(ISBLANK('RESUMEN VIGILANCIA'!Q87),"",'RESUMEN VIGILANCIA'!Q87)</f>
        <v>0.8</v>
      </c>
      <c r="S95" s="268">
        <f>IF(ISBLANK('RESUMEN VIGILANCIA'!R87),"",'RESUMEN VIGILANCIA'!R87)</f>
        <v>0.8</v>
      </c>
      <c r="T95" s="268">
        <f>IF(ISBLANK('RESUMEN VIGILANCIA'!S87),"",'RESUMEN VIGILANCIA'!S87)</f>
        <v>1.4</v>
      </c>
      <c r="U95" s="268">
        <f>IF(ISBLANK('RESUMEN VIGILANCIA'!T87),"",'RESUMEN VIGILANCIA'!T87)</f>
        <v>3</v>
      </c>
      <c r="V95" s="268">
        <f>IF(ISBLANK('RESUMEN VIGILANCIA'!U87),"",'RESUMEN VIGILANCIA'!U87)</f>
        <v>4</v>
      </c>
      <c r="W95" s="268">
        <f>IF(ISBLANK('RESUMEN VIGILANCIA'!V87),"",'RESUMEN VIGILANCIA'!V87)</f>
        <v>10</v>
      </c>
      <c r="X95" s="268">
        <f>IF(ISBLANK('RESUMEN VIGILANCIA'!W87),"",'RESUMEN VIGILANCIA'!W87)</f>
        <v>10</v>
      </c>
      <c r="Y95" s="268">
        <f>IF(ISBLANK('RESUMEN VIGILANCIA'!X87),"",'RESUMEN VIGILANCIA'!X87)</f>
        <v>12</v>
      </c>
      <c r="Z95" s="453">
        <f>IF(ISBLANK('RESUMEN VIGILANCIA'!Y87),"",'RESUMEN VIGILANCIA'!Y87)</f>
        <v>320</v>
      </c>
      <c r="AA95" s="453">
        <f>IF(ISBLANK('RESUMEN VIGILANCIA'!Z87),"",'RESUMEN VIGILANCIA'!Z87)</f>
        <v>320</v>
      </c>
      <c r="AB95" s="453">
        <f>IF(ISBLANK('RESUMEN VIGILANCIA'!AA87),"",'RESUMEN VIGILANCIA'!AA87)</f>
        <v>320</v>
      </c>
      <c r="AC95" s="454">
        <f>IF(ISBLANK('RESUMEN VIGILANCIA'!AB87),"",'RESUMEN VIGILANCIA'!AB87)</f>
        <v>800</v>
      </c>
      <c r="AD95" s="374">
        <f>IF(ISBLANK('RESUMEN VIGILANCIA'!AC87),"",'RESUMEN VIGILANCIA'!AC87)</f>
        <v>3000</v>
      </c>
      <c r="AE95" s="375">
        <f>IF(ISBLANK('RESUMEN VIGILANCIA'!AD87),"",'RESUMEN VIGILANCIA'!AD87)</f>
        <v>3000</v>
      </c>
      <c r="AF95" s="375">
        <f>IF(ISBLANK('RESUMEN VIGILANCIA'!AE87),"",'RESUMEN VIGILANCIA'!AE87)</f>
        <v>3000</v>
      </c>
      <c r="AG95" s="375">
        <f>IF(ISBLANK('RESUMEN VIGILANCIA'!AF87),"",'RESUMEN VIGILANCIA'!AF87)</f>
        <v>5000</v>
      </c>
      <c r="AH95" s="375">
        <f>IF(ISBLANK('RESUMEN VIGILANCIA'!AG87),"",'RESUMEN VIGILANCIA'!AG87)</f>
        <v>8000</v>
      </c>
      <c r="AI95" s="375">
        <f>IF(ISBLANK('RESUMEN VIGILANCIA'!AH87),"",'RESUMEN VIGILANCIA'!AH87)</f>
        <v>8000</v>
      </c>
      <c r="AJ95" s="375">
        <f>IF(ISBLANK('RESUMEN VIGILANCIA'!AI87),"",'RESUMEN VIGILANCIA'!AI87)</f>
        <v>10000</v>
      </c>
      <c r="AK95" s="375">
        <f>IF(ISBLANK('RESUMEN VIGILANCIA'!AJ87),"",'RESUMEN VIGILANCIA'!AJ87)</f>
        <v>10000</v>
      </c>
      <c r="AL95" s="375">
        <f>IF(ISBLANK('RESUMEN VIGILANCIA'!AK87),"",'RESUMEN VIGILANCIA'!AK87)</f>
        <v>24000</v>
      </c>
      <c r="AM95" s="375">
        <f>IF(ISBLANK('RESUMEN VIGILANCIA'!AL87),"",'RESUMEN VIGILANCIA'!AL87)</f>
        <v>47000</v>
      </c>
      <c r="AN95" s="375">
        <f>IF(ISBLANK('RESUMEN VIGILANCIA'!AM87),"",'RESUMEN VIGILANCIA'!AM87)</f>
        <v>81750</v>
      </c>
      <c r="AO95" s="376">
        <f>IF(ISBLANK('RESUMEN VIGILANCIA'!AN87),"",'RESUMEN VIGILANCIA'!AN87)</f>
        <v>136500</v>
      </c>
      <c r="AP95" s="374">
        <f>IF(ISBLANK('RESUMEN VIGILANCIA'!AO87),"",'RESUMEN VIGILANCIA'!AO87)</f>
        <v>136500</v>
      </c>
      <c r="AQ95" s="375">
        <f>IF(ISBLANK('RESUMEN VIGILANCIA'!AP87),"",'RESUMEN VIGILANCIA'!AP87)</f>
        <v>190000</v>
      </c>
      <c r="AR95" s="375">
        <f>IF(ISBLANK('RESUMEN VIGILANCIA'!AQ87),"",'RESUMEN VIGILANCIA'!AQ87)</f>
        <v>185250</v>
      </c>
      <c r="AS95" s="375">
        <f>IF(ISBLANK('RESUMEN VIGILANCIA'!AR87),"",'RESUMEN VIGILANCIA'!AR87)</f>
        <v>185250</v>
      </c>
      <c r="AT95" s="375">
        <f>IF(ISBLANK('RESUMEN VIGILANCIA'!AS87),"",'RESUMEN VIGILANCIA'!AS87)</f>
        <v>250000</v>
      </c>
      <c r="AU95" s="375">
        <f>IF(ISBLANK('RESUMEN VIGILANCIA'!AT87),"",'RESUMEN VIGILANCIA'!AT87)</f>
        <v>250000</v>
      </c>
      <c r="AV95" s="375" t="str">
        <f>IF(ISBLANK('RESUMEN VIGILANCIA'!AU87),"",'RESUMEN VIGILANCIA'!AU87)</f>
        <v/>
      </c>
      <c r="AW95" s="375" t="str">
        <f>IF(ISBLANK('RESUMEN VIGILANCIA'!AV87),"",'RESUMEN VIGILANCIA'!AV87)</f>
        <v/>
      </c>
      <c r="AX95" s="375" t="str">
        <f>IF(ISBLANK('RESUMEN VIGILANCIA'!AW87),"",'RESUMEN VIGILANCIA'!AW87)</f>
        <v/>
      </c>
      <c r="AY95" s="375" t="str">
        <f>IF(ISBLANK('RESUMEN VIGILANCIA'!AX87),"",'RESUMEN VIGILANCIA'!AX87)</f>
        <v/>
      </c>
      <c r="AZ95" s="375" t="str">
        <f>IF(ISBLANK('RESUMEN VIGILANCIA'!AY87),"",'RESUMEN VIGILANCIA'!AY87)</f>
        <v/>
      </c>
      <c r="BA95" s="376" t="str">
        <f>IF(ISBLANK('RESUMEN VIGILANCIA'!AZ87),"",'RESUMEN VIGILANCIA'!AZ87)</f>
        <v/>
      </c>
      <c r="BB95" s="240">
        <f t="shared" si="6"/>
        <v>341055.33999999997</v>
      </c>
      <c r="BC95" s="110"/>
      <c r="BD95" s="110"/>
    </row>
    <row r="96" spans="1:56" s="28" customFormat="1" ht="20.100000000000001" customHeight="1">
      <c r="A96" s="29" t="str">
        <f>'RESUMEN VIGILANCIA'!A89</f>
        <v>Familia Navarro Assing</v>
      </c>
      <c r="B96" s="30" t="str">
        <f>'RESUMEN VIGILANCIA'!B89</f>
        <v>Calle Güigüe Nro. 88-54</v>
      </c>
      <c r="C96" s="427" t="s">
        <v>1358</v>
      </c>
      <c r="D96" s="434" t="s">
        <v>17</v>
      </c>
      <c r="E96" s="415" t="str">
        <f>IF(ISBLANK('RESUMEN VIGILANCIA'!D89),"",'RESUMEN VIGILANCIA'!D89)</f>
        <v/>
      </c>
      <c r="F96" s="267">
        <f>IF(ISBLANK('RESUMEN VIGILANCIA'!E89),"",'RESUMEN VIGILANCIA'!E89)</f>
        <v>0.17</v>
      </c>
      <c r="G96" s="179">
        <f>IF(ISBLANK('RESUMEN VIGILANCIA'!F89),"",'RESUMEN VIGILANCIA'!F89)</f>
        <v>0.17</v>
      </c>
      <c r="H96" s="179">
        <f>IF(ISBLANK('RESUMEN VIGILANCIA'!G89),"",'RESUMEN VIGILANCIA'!G89)</f>
        <v>0.17</v>
      </c>
      <c r="I96" s="179">
        <f>IF(ISBLANK('RESUMEN VIGILANCIA'!H89),"",'RESUMEN VIGILANCIA'!H89)</f>
        <v>0.17</v>
      </c>
      <c r="J96" s="179">
        <f>IF(ISBLANK('RESUMEN VIGILANCIA'!I89),"",'RESUMEN VIGILANCIA'!I89)</f>
        <v>0.26</v>
      </c>
      <c r="K96" s="179">
        <f>IF(ISBLANK('RESUMEN VIGILANCIA'!J89),"",'RESUMEN VIGILANCIA'!J89)</f>
        <v>0.26</v>
      </c>
      <c r="L96" s="179">
        <f>IF(ISBLANK('RESUMEN VIGILANCIA'!K89),"",'RESUMEN VIGILANCIA'!K89)</f>
        <v>0.35</v>
      </c>
      <c r="M96" s="179">
        <f>IF(ISBLANK('RESUMEN VIGILANCIA'!L89),"",'RESUMEN VIGILANCIA'!L89)</f>
        <v>0.35</v>
      </c>
      <c r="N96" s="179">
        <f>IF(ISBLANK('RESUMEN VIGILANCIA'!M89),"",'RESUMEN VIGILANCIA'!M89)</f>
        <v>0.35</v>
      </c>
      <c r="O96" s="179">
        <f>IF(ISBLANK('RESUMEN VIGILANCIA'!N89),"",'RESUMEN VIGILANCIA'!N89)</f>
        <v>0.35</v>
      </c>
      <c r="P96" s="268">
        <f>IF(ISBLANK('RESUMEN VIGILANCIA'!O89),"",'RESUMEN VIGILANCIA'!O89)</f>
        <v>0.5</v>
      </c>
      <c r="Q96" s="177">
        <f>IF(ISBLANK('RESUMEN VIGILANCIA'!P89),"",'RESUMEN VIGILANCIA'!P89)</f>
        <v>0.5</v>
      </c>
      <c r="R96" s="269">
        <f>IF(ISBLANK('RESUMEN VIGILANCIA'!Q89),"",'RESUMEN VIGILANCIA'!Q89)</f>
        <v>0.8</v>
      </c>
      <c r="S96" s="268">
        <f>IF(ISBLANK('RESUMEN VIGILANCIA'!R89),"",'RESUMEN VIGILANCIA'!R89)</f>
        <v>0.8</v>
      </c>
      <c r="T96" s="268">
        <f>IF(ISBLANK('RESUMEN VIGILANCIA'!S89),"",'RESUMEN VIGILANCIA'!S89)</f>
        <v>1.4</v>
      </c>
      <c r="U96" s="268">
        <f>IF(ISBLANK('RESUMEN VIGILANCIA'!T89),"",'RESUMEN VIGILANCIA'!T89)</f>
        <v>1.4</v>
      </c>
      <c r="V96" s="268">
        <f>IF(ISBLANK('RESUMEN VIGILANCIA'!U89),"",'RESUMEN VIGILANCIA'!U89)</f>
        <v>4</v>
      </c>
      <c r="W96" s="268">
        <f>IF(ISBLANK('RESUMEN VIGILANCIA'!V89),"",'RESUMEN VIGILANCIA'!V89)</f>
        <v>6.5</v>
      </c>
      <c r="X96" s="268">
        <f>IF(ISBLANK('RESUMEN VIGILANCIA'!W89),"",'RESUMEN VIGILANCIA'!W89)</f>
        <v>10</v>
      </c>
      <c r="Y96" s="268">
        <f>IF(ISBLANK('RESUMEN VIGILANCIA'!X89),"",'RESUMEN VIGILANCIA'!X89)</f>
        <v>12</v>
      </c>
      <c r="Z96" s="453">
        <f>IF(ISBLANK('RESUMEN VIGILANCIA'!Y89),"",'RESUMEN VIGILANCIA'!Y89)</f>
        <v>320</v>
      </c>
      <c r="AA96" s="453">
        <f>IF(ISBLANK('RESUMEN VIGILANCIA'!Z89),"",'RESUMEN VIGILANCIA'!Z89)</f>
        <v>320</v>
      </c>
      <c r="AB96" s="453">
        <f>IF(ISBLANK('RESUMEN VIGILANCIA'!AA89),"",'RESUMEN VIGILANCIA'!AA89)</f>
        <v>320</v>
      </c>
      <c r="AC96" s="454">
        <f>IF(ISBLANK('RESUMEN VIGILANCIA'!AB89),"",'RESUMEN VIGILANCIA'!AB89)</f>
        <v>800</v>
      </c>
      <c r="AD96" s="374">
        <f>IF(ISBLANK('RESUMEN VIGILANCIA'!AC89),"",'RESUMEN VIGILANCIA'!AC89)</f>
        <v>3000</v>
      </c>
      <c r="AE96" s="375">
        <f>IF(ISBLANK('RESUMEN VIGILANCIA'!AD89),"",'RESUMEN VIGILANCIA'!AD89)</f>
        <v>3000</v>
      </c>
      <c r="AF96" s="375">
        <f>IF(ISBLANK('RESUMEN VIGILANCIA'!AE89),"",'RESUMEN VIGILANCIA'!AE89)</f>
        <v>3000</v>
      </c>
      <c r="AG96" s="375">
        <f>IF(ISBLANK('RESUMEN VIGILANCIA'!AF89),"",'RESUMEN VIGILANCIA'!AF89)</f>
        <v>5000</v>
      </c>
      <c r="AH96" s="375">
        <f>IF(ISBLANK('RESUMEN VIGILANCIA'!AG89),"",'RESUMEN VIGILANCIA'!AG89)</f>
        <v>8000</v>
      </c>
      <c r="AI96" s="375">
        <f>IF(ISBLANK('RESUMEN VIGILANCIA'!AH89),"",'RESUMEN VIGILANCIA'!AH89)</f>
        <v>8000</v>
      </c>
      <c r="AJ96" s="375">
        <f>IF(ISBLANK('RESUMEN VIGILANCIA'!AI89),"",'RESUMEN VIGILANCIA'!AI89)</f>
        <v>10000</v>
      </c>
      <c r="AK96" s="375">
        <f>IF(ISBLANK('RESUMEN VIGILANCIA'!AJ89),"",'RESUMEN VIGILANCIA'!AJ89)</f>
        <v>10000</v>
      </c>
      <c r="AL96" s="375">
        <f>IF(ISBLANK('RESUMEN VIGILANCIA'!AK89),"",'RESUMEN VIGILANCIA'!AK89)</f>
        <v>21600</v>
      </c>
      <c r="AM96" s="375">
        <f>IF(ISBLANK('RESUMEN VIGILANCIA'!AL89),"",'RESUMEN VIGILANCIA'!AL89)</f>
        <v>51250</v>
      </c>
      <c r="AN96" s="375">
        <f>IF(ISBLANK('RESUMEN VIGILANCIA'!AM89),"",'RESUMEN VIGILANCIA'!AM89)</f>
        <v>64550</v>
      </c>
      <c r="AO96" s="376">
        <f>IF(ISBLANK('RESUMEN VIGILANCIA'!AN89),"",'RESUMEN VIGILANCIA'!AN89)</f>
        <v>105500</v>
      </c>
      <c r="AP96" s="374">
        <f>IF(ISBLANK('RESUMEN VIGILANCIA'!AO89),"",'RESUMEN VIGILANCIA'!AO89)</f>
        <v>136250</v>
      </c>
      <c r="AQ96" s="375">
        <f>IF(ISBLANK('RESUMEN VIGILANCIA'!AP89),"",'RESUMEN VIGILANCIA'!AP89)</f>
        <v>136450</v>
      </c>
      <c r="AR96" s="375">
        <f>IF(ISBLANK('RESUMEN VIGILANCIA'!AQ89),"",'RESUMEN VIGILANCIA'!AQ89)</f>
        <v>185250</v>
      </c>
      <c r="AS96" s="375">
        <f>IF(ISBLANK('RESUMEN VIGILANCIA'!AR89),"",'RESUMEN VIGILANCIA'!AR89)</f>
        <v>185250</v>
      </c>
      <c r="AT96" s="375">
        <f>IF(ISBLANK('RESUMEN VIGILANCIA'!AS89),"",'RESUMEN VIGILANCIA'!AS89)</f>
        <v>250000</v>
      </c>
      <c r="AU96" s="375">
        <f>IF(ISBLANK('RESUMEN VIGILANCIA'!AT89),"",'RESUMEN VIGILANCIA'!AT89)</f>
        <v>250000</v>
      </c>
      <c r="AV96" s="375">
        <f>IF(ISBLANK('RESUMEN VIGILANCIA'!AU89),"",'RESUMEN VIGILANCIA'!AU89)</f>
        <v>320000</v>
      </c>
      <c r="AW96" s="375" t="str">
        <f>IF(ISBLANK('RESUMEN VIGILANCIA'!AV89),"",'RESUMEN VIGILANCIA'!AV89)</f>
        <v/>
      </c>
      <c r="AX96" s="375" t="str">
        <f>IF(ISBLANK('RESUMEN VIGILANCIA'!AW89),"",'RESUMEN VIGILANCIA'!AW89)</f>
        <v/>
      </c>
      <c r="AY96" s="375" t="str">
        <f>IF(ISBLANK('RESUMEN VIGILANCIA'!AX89),"",'RESUMEN VIGILANCIA'!AX89)</f>
        <v/>
      </c>
      <c r="AZ96" s="375" t="str">
        <f>IF(ISBLANK('RESUMEN VIGILANCIA'!AY89),"",'RESUMEN VIGILANCIA'!AY89)</f>
        <v/>
      </c>
      <c r="BA96" s="376" t="str">
        <f>IF(ISBLANK('RESUMEN VIGILANCIA'!AZ89),"",'RESUMEN VIGILANCIA'!AZ89)</f>
        <v/>
      </c>
      <c r="BB96" s="240">
        <f t="shared" si="6"/>
        <v>294700.5</v>
      </c>
      <c r="BC96" s="110"/>
      <c r="BD96" s="110"/>
    </row>
    <row r="97" spans="1:56" s="28" customFormat="1" ht="20.100000000000001" customHeight="1">
      <c r="A97" s="29" t="str">
        <f>'RESUMEN VIGILANCIA'!A91</f>
        <v>Familia Ramírez</v>
      </c>
      <c r="B97" s="30" t="str">
        <f>'RESUMEN VIGILANCIA'!B91</f>
        <v>Calle Güigüe Nro. 88-61</v>
      </c>
      <c r="C97" s="427" t="s">
        <v>1362</v>
      </c>
      <c r="D97" s="442" t="s">
        <v>17</v>
      </c>
      <c r="E97" s="415" t="str">
        <f>IF(ISBLANK('RESUMEN VIGILANCIA'!D91),"",'RESUMEN VIGILANCIA'!D91)</f>
        <v/>
      </c>
      <c r="F97" s="267" t="str">
        <f>IF(ISBLANK('RESUMEN VIGILANCIA'!E91),"",'RESUMEN VIGILANCIA'!E91)</f>
        <v/>
      </c>
      <c r="G97" s="179" t="str">
        <f>IF(ISBLANK('RESUMEN VIGILANCIA'!F91),"",'RESUMEN VIGILANCIA'!F91)</f>
        <v/>
      </c>
      <c r="H97" s="179" t="str">
        <f>IF(ISBLANK('RESUMEN VIGILANCIA'!G91),"",'RESUMEN VIGILANCIA'!G91)</f>
        <v/>
      </c>
      <c r="I97" s="179" t="str">
        <f>IF(ISBLANK('RESUMEN VIGILANCIA'!H91),"",'RESUMEN VIGILANCIA'!H91)</f>
        <v/>
      </c>
      <c r="J97" s="179" t="str">
        <f>IF(ISBLANK('RESUMEN VIGILANCIA'!I91),"",'RESUMEN VIGILANCIA'!I91)</f>
        <v/>
      </c>
      <c r="K97" s="179" t="str">
        <f>IF(ISBLANK('RESUMEN VIGILANCIA'!J91),"",'RESUMEN VIGILANCIA'!J91)</f>
        <v/>
      </c>
      <c r="L97" s="179" t="str">
        <f>IF(ISBLANK('RESUMEN VIGILANCIA'!K91),"",'RESUMEN VIGILANCIA'!K91)</f>
        <v/>
      </c>
      <c r="M97" s="179" t="str">
        <f>IF(ISBLANK('RESUMEN VIGILANCIA'!L91),"",'RESUMEN VIGILANCIA'!L91)</f>
        <v/>
      </c>
      <c r="N97" s="179" t="str">
        <f>IF(ISBLANK('RESUMEN VIGILANCIA'!M91),"",'RESUMEN VIGILANCIA'!M91)</f>
        <v/>
      </c>
      <c r="O97" s="179" t="str">
        <f>IF(ISBLANK('RESUMEN VIGILANCIA'!N91),"",'RESUMEN VIGILANCIA'!N91)</f>
        <v/>
      </c>
      <c r="P97" s="268" t="str">
        <f>IF(ISBLANK('RESUMEN VIGILANCIA'!O91),"",'RESUMEN VIGILANCIA'!O91)</f>
        <v/>
      </c>
      <c r="Q97" s="177" t="str">
        <f>IF(ISBLANK('RESUMEN VIGILANCIA'!P91),"",'RESUMEN VIGILANCIA'!P91)</f>
        <v/>
      </c>
      <c r="R97" s="269" t="str">
        <f>IF(ISBLANK('RESUMEN VIGILANCIA'!Q91),"",'RESUMEN VIGILANCIA'!Q91)</f>
        <v/>
      </c>
      <c r="S97" s="268" t="str">
        <f>IF(ISBLANK('RESUMEN VIGILANCIA'!R91),"",'RESUMEN VIGILANCIA'!R91)</f>
        <v/>
      </c>
      <c r="T97" s="268" t="str">
        <f>IF(ISBLANK('RESUMEN VIGILANCIA'!S91),"",'RESUMEN VIGILANCIA'!S91)</f>
        <v/>
      </c>
      <c r="U97" s="268" t="str">
        <f>IF(ISBLANK('RESUMEN VIGILANCIA'!T91),"",'RESUMEN VIGILANCIA'!T91)</f>
        <v/>
      </c>
      <c r="V97" s="268" t="str">
        <f>IF(ISBLANK('RESUMEN VIGILANCIA'!U91),"",'RESUMEN VIGILANCIA'!U91)</f>
        <v/>
      </c>
      <c r="W97" s="268" t="str">
        <f>IF(ISBLANK('RESUMEN VIGILANCIA'!V91),"",'RESUMEN VIGILANCIA'!V91)</f>
        <v/>
      </c>
      <c r="X97" s="268" t="str">
        <f>IF(ISBLANK('RESUMEN VIGILANCIA'!W91),"",'RESUMEN VIGILANCIA'!W91)</f>
        <v/>
      </c>
      <c r="Y97" s="268" t="str">
        <f>IF(ISBLANK('RESUMEN VIGILANCIA'!X91),"",'RESUMEN VIGILANCIA'!X91)</f>
        <v/>
      </c>
      <c r="Z97" s="453" t="str">
        <f>IF(ISBLANK('RESUMEN VIGILANCIA'!Y91),"",'RESUMEN VIGILANCIA'!Y91)</f>
        <v/>
      </c>
      <c r="AA97" s="453" t="str">
        <f>IF(ISBLANK('RESUMEN VIGILANCIA'!Z91),"",'RESUMEN VIGILANCIA'!Z91)</f>
        <v/>
      </c>
      <c r="AB97" s="453" t="str">
        <f>IF(ISBLANK('RESUMEN VIGILANCIA'!AA91),"",'RESUMEN VIGILANCIA'!AA91)</f>
        <v/>
      </c>
      <c r="AC97" s="454" t="str">
        <f>IF(ISBLANK('RESUMEN VIGILANCIA'!AB91),"",'RESUMEN VIGILANCIA'!AB91)</f>
        <v/>
      </c>
      <c r="AD97" s="374" t="str">
        <f>IF(ISBLANK('RESUMEN VIGILANCIA'!AC91),"",'RESUMEN VIGILANCIA'!AC91)</f>
        <v/>
      </c>
      <c r="AE97" s="375" t="str">
        <f>IF(ISBLANK('RESUMEN VIGILANCIA'!AD91),"",'RESUMEN VIGILANCIA'!AD91)</f>
        <v/>
      </c>
      <c r="AF97" s="375" t="str">
        <f>IF(ISBLANK('RESUMEN VIGILANCIA'!AE91),"",'RESUMEN VIGILANCIA'!AE91)</f>
        <v/>
      </c>
      <c r="AG97" s="375" t="str">
        <f>IF(ISBLANK('RESUMEN VIGILANCIA'!AF91),"",'RESUMEN VIGILANCIA'!AF91)</f>
        <v/>
      </c>
      <c r="AH97" s="375" t="str">
        <f>IF(ISBLANK('RESUMEN VIGILANCIA'!AG91),"",'RESUMEN VIGILANCIA'!AG91)</f>
        <v/>
      </c>
      <c r="AI97" s="375" t="str">
        <f>IF(ISBLANK('RESUMEN VIGILANCIA'!AH91),"",'RESUMEN VIGILANCIA'!AH91)</f>
        <v/>
      </c>
      <c r="AJ97" s="375" t="str">
        <f>IF(ISBLANK('RESUMEN VIGILANCIA'!AI91),"",'RESUMEN VIGILANCIA'!AI91)</f>
        <v/>
      </c>
      <c r="AK97" s="375" t="str">
        <f>IF(ISBLANK('RESUMEN VIGILANCIA'!AJ91),"",'RESUMEN VIGILANCIA'!AJ91)</f>
        <v/>
      </c>
      <c r="AL97" s="375" t="str">
        <f>IF(ISBLANK('RESUMEN VIGILANCIA'!AK91),"",'RESUMEN VIGILANCIA'!AK91)</f>
        <v/>
      </c>
      <c r="AM97" s="375" t="str">
        <f>IF(ISBLANK('RESUMEN VIGILANCIA'!AL91),"",'RESUMEN VIGILANCIA'!AL91)</f>
        <v/>
      </c>
      <c r="AN97" s="375" t="str">
        <f>IF(ISBLANK('RESUMEN VIGILANCIA'!AM91),"",'RESUMEN VIGILANCIA'!AM91)</f>
        <v/>
      </c>
      <c r="AO97" s="376" t="str">
        <f>IF(ISBLANK('RESUMEN VIGILANCIA'!AN91),"",'RESUMEN VIGILANCIA'!AN91)</f>
        <v/>
      </c>
      <c r="AP97" s="374" t="str">
        <f>IF(ISBLANK('RESUMEN VIGILANCIA'!AO91),"",'RESUMEN VIGILANCIA'!AO91)</f>
        <v/>
      </c>
      <c r="AQ97" s="375" t="str">
        <f>IF(ISBLANK('RESUMEN VIGILANCIA'!AP91),"",'RESUMEN VIGILANCIA'!AP91)</f>
        <v/>
      </c>
      <c r="AR97" s="375" t="str">
        <f>IF(ISBLANK('RESUMEN VIGILANCIA'!AQ91),"",'RESUMEN VIGILANCIA'!AQ91)</f>
        <v/>
      </c>
      <c r="AS97" s="375" t="str">
        <f>IF(ISBLANK('RESUMEN VIGILANCIA'!AR91),"",'RESUMEN VIGILANCIA'!AR91)</f>
        <v/>
      </c>
      <c r="AT97" s="375" t="str">
        <f>IF(ISBLANK('RESUMEN VIGILANCIA'!AS91),"",'RESUMEN VIGILANCIA'!AS91)</f>
        <v/>
      </c>
      <c r="AU97" s="375" t="str">
        <f>IF(ISBLANK('RESUMEN VIGILANCIA'!AT91),"",'RESUMEN VIGILANCIA'!AT91)</f>
        <v/>
      </c>
      <c r="AV97" s="375" t="str">
        <f>IF(ISBLANK('RESUMEN VIGILANCIA'!AU91),"",'RESUMEN VIGILANCIA'!AU91)</f>
        <v/>
      </c>
      <c r="AW97" s="375" t="str">
        <f>IF(ISBLANK('RESUMEN VIGILANCIA'!AV91),"",'RESUMEN VIGILANCIA'!AV91)</f>
        <v/>
      </c>
      <c r="AX97" s="375" t="str">
        <f>IF(ISBLANK('RESUMEN VIGILANCIA'!AW91),"",'RESUMEN VIGILANCIA'!AW91)</f>
        <v/>
      </c>
      <c r="AY97" s="375" t="str">
        <f>IF(ISBLANK('RESUMEN VIGILANCIA'!AX91),"",'RESUMEN VIGILANCIA'!AX91)</f>
        <v/>
      </c>
      <c r="AZ97" s="375" t="str">
        <f>IF(ISBLANK('RESUMEN VIGILANCIA'!AY91),"",'RESUMEN VIGILANCIA'!AY91)</f>
        <v/>
      </c>
      <c r="BA97" s="376" t="str">
        <f>IF(ISBLANK('RESUMEN VIGILANCIA'!AZ91),"",'RESUMEN VIGILANCIA'!AZ91)</f>
        <v/>
      </c>
      <c r="BB97" s="240">
        <f t="shared" si="6"/>
        <v>0</v>
      </c>
      <c r="BC97" s="110"/>
      <c r="BD97" s="110"/>
    </row>
    <row r="98" spans="1:56" s="28" customFormat="1" ht="20.100000000000001" customHeight="1">
      <c r="A98" s="29" t="str">
        <f>'RESUMEN VIGILANCIA'!A90</f>
        <v>Familia Rodríguez Aular</v>
      </c>
      <c r="B98" s="30" t="str">
        <f>'RESUMEN VIGILANCIA'!B90</f>
        <v>Calle Güigüe Nro. 88-58</v>
      </c>
      <c r="C98" s="427" t="s">
        <v>1358</v>
      </c>
      <c r="D98" s="434" t="s">
        <v>17</v>
      </c>
      <c r="E98" s="414" t="str">
        <f>IF(ISBLANK('RESUMEN VIGILANCIA'!D90),"",'RESUMEN VIGILANCIA'!D90)</f>
        <v/>
      </c>
      <c r="F98" s="264">
        <f>IF(ISBLANK('RESUMEN VIGILANCIA'!E90),"",'RESUMEN VIGILANCIA'!E90)</f>
        <v>0.105</v>
      </c>
      <c r="G98" s="186">
        <f>IF(ISBLANK('RESUMEN VIGILANCIA'!F90),"",'RESUMEN VIGILANCIA'!F90)</f>
        <v>0.12</v>
      </c>
      <c r="H98" s="186">
        <f>IF(ISBLANK('RESUMEN VIGILANCIA'!G90),"",'RESUMEN VIGILANCIA'!G90)</f>
        <v>0.12</v>
      </c>
      <c r="I98" s="186">
        <f>IF(ISBLANK('RESUMEN VIGILANCIA'!H90),"",'RESUMEN VIGILANCIA'!H90)</f>
        <v>0.12</v>
      </c>
      <c r="J98" s="186">
        <f>IF(ISBLANK('RESUMEN VIGILANCIA'!I90),"",'RESUMEN VIGILANCIA'!I90)</f>
        <v>0.12</v>
      </c>
      <c r="K98" s="186">
        <f>IF(ISBLANK('RESUMEN VIGILANCIA'!J90),"",'RESUMEN VIGILANCIA'!J90)</f>
        <v>0.15</v>
      </c>
      <c r="L98" s="186">
        <f>IF(ISBLANK('RESUMEN VIGILANCIA'!K90),"",'RESUMEN VIGILANCIA'!K90)</f>
        <v>0.15</v>
      </c>
      <c r="M98" s="186">
        <f>IF(ISBLANK('RESUMEN VIGILANCIA'!L90),"",'RESUMEN VIGILANCIA'!L90)</f>
        <v>0.18</v>
      </c>
      <c r="N98" s="186">
        <f>IF(ISBLANK('RESUMEN VIGILANCIA'!M90),"",'RESUMEN VIGILANCIA'!M90)</f>
        <v>0.2</v>
      </c>
      <c r="O98" s="186">
        <f>IF(ISBLANK('RESUMEN VIGILANCIA'!N90),"",'RESUMEN VIGILANCIA'!N90)</f>
        <v>0.2</v>
      </c>
      <c r="P98" s="265">
        <f>IF(ISBLANK('RESUMEN VIGILANCIA'!O90),"",'RESUMEN VIGILANCIA'!O90)</f>
        <v>0.3</v>
      </c>
      <c r="Q98" s="184">
        <f>IF(ISBLANK('RESUMEN VIGILANCIA'!P90),"",'RESUMEN VIGILANCIA'!P90)</f>
        <v>0.4</v>
      </c>
      <c r="R98" s="266">
        <f>IF(ISBLANK('RESUMEN VIGILANCIA'!Q90),"",'RESUMEN VIGILANCIA'!Q90)</f>
        <v>0.4</v>
      </c>
      <c r="S98" s="265">
        <f>IF(ISBLANK('RESUMEN VIGILANCIA'!R90),"",'RESUMEN VIGILANCIA'!R90)</f>
        <v>0.8</v>
      </c>
      <c r="T98" s="265">
        <f>IF(ISBLANK('RESUMEN VIGILANCIA'!S90),"",'RESUMEN VIGILANCIA'!S90)</f>
        <v>1.2</v>
      </c>
      <c r="U98" s="265">
        <f>IF(ISBLANK('RESUMEN VIGILANCIA'!T90),"",'RESUMEN VIGILANCIA'!T90)</f>
        <v>1.4</v>
      </c>
      <c r="V98" s="265">
        <f>IF(ISBLANK('RESUMEN VIGILANCIA'!U90),"",'RESUMEN VIGILANCIA'!U90)</f>
        <v>2</v>
      </c>
      <c r="W98" s="265">
        <f>IF(ISBLANK('RESUMEN VIGILANCIA'!V90),"",'RESUMEN VIGILANCIA'!V90)</f>
        <v>4</v>
      </c>
      <c r="X98" s="268">
        <f>IF(ISBLANK('RESUMEN VIGILANCIA'!W90),"",'RESUMEN VIGILANCIA'!W90)</f>
        <v>10</v>
      </c>
      <c r="Y98" s="268">
        <f>IF(ISBLANK('RESUMEN VIGILANCIA'!X90),"",'RESUMEN VIGILANCIA'!X90)</f>
        <v>12</v>
      </c>
      <c r="Z98" s="471" t="str">
        <f>IF(ISBLANK('RESUMEN VIGILANCIA'!Y90),"",'RESUMEN VIGILANCIA'!Y90)</f>
        <v/>
      </c>
      <c r="AA98" s="456">
        <f>IF(ISBLANK('RESUMEN VIGILANCIA'!Z90),"",'RESUMEN VIGILANCIA'!Z90)</f>
        <v>320</v>
      </c>
      <c r="AB98" s="456">
        <f>IF(ISBLANK('RESUMEN VIGILANCIA'!AA90),"",'RESUMEN VIGILANCIA'!AA90)</f>
        <v>320</v>
      </c>
      <c r="AC98" s="455">
        <f>IF(ISBLANK('RESUMEN VIGILANCIA'!AB90),"",'RESUMEN VIGILANCIA'!AB90)</f>
        <v>800</v>
      </c>
      <c r="AD98" s="379">
        <f>IF(ISBLANK('RESUMEN VIGILANCIA'!AC90),"",'RESUMEN VIGILANCIA'!AC90)</f>
        <v>3000</v>
      </c>
      <c r="AE98" s="380">
        <f>IF(ISBLANK('RESUMEN VIGILANCIA'!AD90),"",'RESUMEN VIGILANCIA'!AD90)</f>
        <v>3000</v>
      </c>
      <c r="AF98" s="380">
        <f>IF(ISBLANK('RESUMEN VIGILANCIA'!AE90),"",'RESUMEN VIGILANCIA'!AE90)</f>
        <v>3000</v>
      </c>
      <c r="AG98" s="380">
        <f>IF(ISBLANK('RESUMEN VIGILANCIA'!AF90),"",'RESUMEN VIGILANCIA'!AF90)</f>
        <v>5000</v>
      </c>
      <c r="AH98" s="380">
        <f>IF(ISBLANK('RESUMEN VIGILANCIA'!AG90),"",'RESUMEN VIGILANCIA'!AG90)</f>
        <v>8000</v>
      </c>
      <c r="AI98" s="380">
        <f>IF(ISBLANK('RESUMEN VIGILANCIA'!AH90),"",'RESUMEN VIGILANCIA'!AH90)</f>
        <v>8000</v>
      </c>
      <c r="AJ98" s="380">
        <f>IF(ISBLANK('RESUMEN VIGILANCIA'!AI90),"",'RESUMEN VIGILANCIA'!AI90)</f>
        <v>10000</v>
      </c>
      <c r="AK98" s="380">
        <f>IF(ISBLANK('RESUMEN VIGILANCIA'!AJ90),"",'RESUMEN VIGILANCIA'!AJ90)</f>
        <v>10000</v>
      </c>
      <c r="AL98" s="380">
        <f>IF(ISBLANK('RESUMEN VIGILANCIA'!AK90),"",'RESUMEN VIGILANCIA'!AK90)</f>
        <v>19800</v>
      </c>
      <c r="AM98" s="380">
        <f>IF(ISBLANK('RESUMEN VIGILANCIA'!AL90),"",'RESUMEN VIGILANCIA'!AL90)</f>
        <v>51250</v>
      </c>
      <c r="AN98" s="380">
        <f>IF(ISBLANK('RESUMEN VIGILANCIA'!AM90),"",'RESUMEN VIGILANCIA'!AM90)</f>
        <v>64500</v>
      </c>
      <c r="AO98" s="385">
        <f>IF(ISBLANK('RESUMEN VIGILANCIA'!AN90),"",'RESUMEN VIGILANCIA'!AN90)</f>
        <v>136250</v>
      </c>
      <c r="AP98" s="379">
        <f>IF(ISBLANK('RESUMEN VIGILANCIA'!AO90),"",'RESUMEN VIGILANCIA'!AO90)</f>
        <v>136250</v>
      </c>
      <c r="AQ98" s="380">
        <f>IF(ISBLANK('RESUMEN VIGILANCIA'!AP90),"",'RESUMEN VIGILANCIA'!AP90)</f>
        <v>136250</v>
      </c>
      <c r="AR98" s="380">
        <f>IF(ISBLANK('RESUMEN VIGILANCIA'!AQ90),"",'RESUMEN VIGILANCIA'!AQ90)</f>
        <v>185250</v>
      </c>
      <c r="AS98" s="380">
        <f>IF(ISBLANK('RESUMEN VIGILANCIA'!AR90),"",'RESUMEN VIGILANCIA'!AR90)</f>
        <v>185250</v>
      </c>
      <c r="AT98" s="380">
        <f>IF(ISBLANK('RESUMEN VIGILANCIA'!AS90),"",'RESUMEN VIGILANCIA'!AS90)</f>
        <v>250000</v>
      </c>
      <c r="AU98" s="380">
        <f>IF(ISBLANK('RESUMEN VIGILANCIA'!AT90),"",'RESUMEN VIGILANCIA'!AT90)</f>
        <v>250000</v>
      </c>
      <c r="AV98" s="380">
        <f>IF(ISBLANK('RESUMEN VIGILANCIA'!AU90),"",'RESUMEN VIGILANCIA'!AU90)</f>
        <v>250000</v>
      </c>
      <c r="AW98" s="380" t="str">
        <f>IF(ISBLANK('RESUMEN VIGILANCIA'!AV90),"",'RESUMEN VIGILANCIA'!AV90)</f>
        <v/>
      </c>
      <c r="AX98" s="380" t="str">
        <f>IF(ISBLANK('RESUMEN VIGILANCIA'!AW90),"",'RESUMEN VIGILANCIA'!AW90)</f>
        <v/>
      </c>
      <c r="AY98" s="380" t="str">
        <f>IF(ISBLANK('RESUMEN VIGILANCIA'!AX90),"",'RESUMEN VIGILANCIA'!AX90)</f>
        <v/>
      </c>
      <c r="AZ98" s="380" t="str">
        <f>IF(ISBLANK('RESUMEN VIGILANCIA'!AY90),"",'RESUMEN VIGILANCIA'!AY90)</f>
        <v/>
      </c>
      <c r="BA98" s="385" t="str">
        <f>IF(ISBLANK('RESUMEN VIGILANCIA'!AZ90),"",'RESUMEN VIGILANCIA'!AZ90)</f>
        <v/>
      </c>
      <c r="BB98" s="344">
        <f t="shared" si="6"/>
        <v>323273.96499999997</v>
      </c>
      <c r="BC98" s="345"/>
      <c r="BD98" s="345"/>
    </row>
    <row r="99" spans="1:56" s="28" customFormat="1" ht="20.100000000000001" customHeight="1">
      <c r="A99" s="29" t="str">
        <f>'RESUMEN VIGILANCIA'!A92</f>
        <v>Familia Martínez Boada</v>
      </c>
      <c r="B99" s="30" t="str">
        <f>'RESUMEN VIGILANCIA'!B92</f>
        <v>Calle Güigüe Nro. 88-62</v>
      </c>
      <c r="C99" s="427" t="s">
        <v>1361</v>
      </c>
      <c r="D99" s="434" t="s">
        <v>1357</v>
      </c>
      <c r="E99" s="415" t="str">
        <f>IF(ISBLANK('RESUMEN VIGILANCIA'!D92),"",'RESUMEN VIGILANCIA'!D92)</f>
        <v/>
      </c>
      <c r="F99" s="267">
        <f>IF(ISBLANK('RESUMEN VIGILANCIA'!E92),"",'RESUMEN VIGILANCIA'!E92)</f>
        <v>0.16999999999999998</v>
      </c>
      <c r="G99" s="179">
        <f>IF(ISBLANK('RESUMEN VIGILANCIA'!F92),"",'RESUMEN VIGILANCIA'!F92)</f>
        <v>0.16999999999999998</v>
      </c>
      <c r="H99" s="179">
        <f>IF(ISBLANK('RESUMEN VIGILANCIA'!G92),"",'RESUMEN VIGILANCIA'!G92)</f>
        <v>0.17</v>
      </c>
      <c r="I99" s="179">
        <f>IF(ISBLANK('RESUMEN VIGILANCIA'!H92),"",'RESUMEN VIGILANCIA'!H92)</f>
        <v>0.17</v>
      </c>
      <c r="J99" s="179">
        <f>IF(ISBLANK('RESUMEN VIGILANCIA'!I92),"",'RESUMEN VIGILANCIA'!I92)</f>
        <v>0.26</v>
      </c>
      <c r="K99" s="179">
        <f>IF(ISBLANK('RESUMEN VIGILANCIA'!J92),"",'RESUMEN VIGILANCIA'!J92)</f>
        <v>0.26</v>
      </c>
      <c r="L99" s="179">
        <f>IF(ISBLANK('RESUMEN VIGILANCIA'!K92),"",'RESUMEN VIGILANCIA'!K92)</f>
        <v>0.35</v>
      </c>
      <c r="M99" s="179">
        <f>IF(ISBLANK('RESUMEN VIGILANCIA'!L92),"",'RESUMEN VIGILANCIA'!L92)</f>
        <v>0.35</v>
      </c>
      <c r="N99" s="179" t="str">
        <f>IF(ISBLANK('RESUMEN VIGILANCIA'!M92),"",'RESUMEN VIGILANCIA'!M92)</f>
        <v>- - -</v>
      </c>
      <c r="O99" s="179" t="str">
        <f>IF(ISBLANK('RESUMEN VIGILANCIA'!N92),"",'RESUMEN VIGILANCIA'!N92)</f>
        <v>- - -</v>
      </c>
      <c r="P99" s="268" t="str">
        <f>IF(ISBLANK('RESUMEN VIGILANCIA'!O92),"",'RESUMEN VIGILANCIA'!O92)</f>
        <v>- - -</v>
      </c>
      <c r="Q99" s="177" t="str">
        <f>IF(ISBLANK('RESUMEN VIGILANCIA'!P92),"",'RESUMEN VIGILANCIA'!P92)</f>
        <v>- - -</v>
      </c>
      <c r="R99" s="269">
        <f>IF(ISBLANK('RESUMEN VIGILANCIA'!Q92),"",'RESUMEN VIGILANCIA'!Q92)</f>
        <v>0.75</v>
      </c>
      <c r="S99" s="268">
        <f>IF(ISBLANK('RESUMEN VIGILANCIA'!R92),"",'RESUMEN VIGILANCIA'!R92)</f>
        <v>0.75</v>
      </c>
      <c r="T99" s="268">
        <f>IF(ISBLANK('RESUMEN VIGILANCIA'!S92),"",'RESUMEN VIGILANCIA'!S92)</f>
        <v>1</v>
      </c>
      <c r="U99" s="268">
        <f>IF(ISBLANK('RESUMEN VIGILANCIA'!T92),"",'RESUMEN VIGILANCIA'!T92)</f>
        <v>1</v>
      </c>
      <c r="V99" s="268">
        <f>IF(ISBLANK('RESUMEN VIGILANCIA'!U92),"",'RESUMEN VIGILANCIA'!U92)</f>
        <v>1</v>
      </c>
      <c r="W99" s="268">
        <f>IF(ISBLANK('RESUMEN VIGILANCIA'!V92),"",'RESUMEN VIGILANCIA'!V92)</f>
        <v>6</v>
      </c>
      <c r="X99" s="268">
        <f>IF(ISBLANK('RESUMEN VIGILANCIA'!W92),"",'RESUMEN VIGILANCIA'!W92)</f>
        <v>6</v>
      </c>
      <c r="Y99" s="268">
        <f>IF(ISBLANK('RESUMEN VIGILANCIA'!X92),"",'RESUMEN VIGILANCIA'!X92)</f>
        <v>12</v>
      </c>
      <c r="Z99" s="453">
        <f>IF(ISBLANK('RESUMEN VIGILANCIA'!Y92),"",'RESUMEN VIGILANCIA'!Y92)</f>
        <v>320</v>
      </c>
      <c r="AA99" s="453">
        <f>IF(ISBLANK('RESUMEN VIGILANCIA'!Z92),"",'RESUMEN VIGILANCIA'!Z92)</f>
        <v>268</v>
      </c>
      <c r="AB99" s="453">
        <f>IF(ISBLANK('RESUMEN VIGILANCIA'!AA92),"",'RESUMEN VIGILANCIA'!AA92)</f>
        <v>320</v>
      </c>
      <c r="AC99" s="454">
        <f>IF(ISBLANK('RESUMEN VIGILANCIA'!AB92),"",'RESUMEN VIGILANCIA'!AB92)</f>
        <v>680</v>
      </c>
      <c r="AD99" s="374">
        <f>IF(ISBLANK('RESUMEN VIGILANCIA'!AC92),"",'RESUMEN VIGILANCIA'!AC92)</f>
        <v>2000</v>
      </c>
      <c r="AE99" s="375">
        <f>IF(ISBLANK('RESUMEN VIGILANCIA'!AD92),"",'RESUMEN VIGILANCIA'!AD92)</f>
        <v>2000</v>
      </c>
      <c r="AF99" s="375">
        <f>IF(ISBLANK('RESUMEN VIGILANCIA'!AE92),"",'RESUMEN VIGILANCIA'!AE92)</f>
        <v>3000</v>
      </c>
      <c r="AG99" s="375">
        <f>IF(ISBLANK('RESUMEN VIGILANCIA'!AF92),"",'RESUMEN VIGILANCIA'!AF92)</f>
        <v>3000</v>
      </c>
      <c r="AH99" s="375">
        <f>IF(ISBLANK('RESUMEN VIGILANCIA'!AG92),"",'RESUMEN VIGILANCIA'!AG92)</f>
        <v>8000</v>
      </c>
      <c r="AI99" s="375">
        <f>IF(ISBLANK('RESUMEN VIGILANCIA'!AH92),"",'RESUMEN VIGILANCIA'!AH92)</f>
        <v>8000</v>
      </c>
      <c r="AJ99" s="375">
        <f>IF(ISBLANK('RESUMEN VIGILANCIA'!AI92),"",'RESUMEN VIGILANCIA'!AI92)</f>
        <v>10000</v>
      </c>
      <c r="AK99" s="375">
        <f>IF(ISBLANK('RESUMEN VIGILANCIA'!AJ92),"",'RESUMEN VIGILANCIA'!AJ92)</f>
        <v>10000</v>
      </c>
      <c r="AL99" s="375">
        <f>IF(ISBLANK('RESUMEN VIGILANCIA'!AK92),"",'RESUMEN VIGILANCIA'!AK92)</f>
        <v>21100</v>
      </c>
      <c r="AM99" s="375">
        <f>IF(ISBLANK('RESUMEN VIGILANCIA'!AL92),"",'RESUMEN VIGILANCIA'!AL92)</f>
        <v>32500</v>
      </c>
      <c r="AN99" s="375">
        <f>IF(ISBLANK('RESUMEN VIGILANCIA'!AM92),"",'RESUMEN VIGILANCIA'!AM92)</f>
        <v>32500</v>
      </c>
      <c r="AO99" s="376">
        <f>IF(ISBLANK('RESUMEN VIGILANCIA'!AN92),"",'RESUMEN VIGILANCIA'!AN92)</f>
        <v>32500</v>
      </c>
      <c r="AP99" s="374">
        <f>IF(ISBLANK('RESUMEN VIGILANCIA'!AO92),"",'RESUMEN VIGILANCIA'!AO92)</f>
        <v>136250</v>
      </c>
      <c r="AQ99" s="375">
        <f>IF(ISBLANK('RESUMEN VIGILANCIA'!AP92),"",'RESUMEN VIGILANCIA'!AP92)</f>
        <v>108750</v>
      </c>
      <c r="AR99" s="375">
        <f>IF(ISBLANK('RESUMEN VIGILANCIA'!AQ92),"",'RESUMEN VIGILANCIA'!AQ92)</f>
        <v>100000</v>
      </c>
      <c r="AS99" s="375">
        <f>IF(ISBLANK('RESUMEN VIGILANCIA'!AR92),"",'RESUMEN VIGILANCIA'!AR92)</f>
        <v>250000</v>
      </c>
      <c r="AT99" s="375" t="str">
        <f>IF(ISBLANK('RESUMEN VIGILANCIA'!AS92),"",'RESUMEN VIGILANCIA'!AS92)</f>
        <v/>
      </c>
      <c r="AU99" s="375" t="str">
        <f>IF(ISBLANK('RESUMEN VIGILANCIA'!AT92),"",'RESUMEN VIGILANCIA'!AT92)</f>
        <v/>
      </c>
      <c r="AV99" s="375" t="str">
        <f>IF(ISBLANK('RESUMEN VIGILANCIA'!AU92),"",'RESUMEN VIGILANCIA'!AU92)</f>
        <v/>
      </c>
      <c r="AW99" s="375" t="str">
        <f>IF(ISBLANK('RESUMEN VIGILANCIA'!AV92),"",'RESUMEN VIGILANCIA'!AV92)</f>
        <v/>
      </c>
      <c r="AX99" s="375" t="str">
        <f>IF(ISBLANK('RESUMEN VIGILANCIA'!AW92),"",'RESUMEN VIGILANCIA'!AW92)</f>
        <v/>
      </c>
      <c r="AY99" s="375" t="str">
        <f>IF(ISBLANK('RESUMEN VIGILANCIA'!AX92),"",'RESUMEN VIGILANCIA'!AX92)</f>
        <v/>
      </c>
      <c r="AZ99" s="375" t="str">
        <f>IF(ISBLANK('RESUMEN VIGILANCIA'!AY92),"",'RESUMEN VIGILANCIA'!AY92)</f>
        <v/>
      </c>
      <c r="BA99" s="376" t="str">
        <f>IF(ISBLANK('RESUMEN VIGILANCIA'!AZ92),"",'RESUMEN VIGILANCIA'!AZ92)</f>
        <v/>
      </c>
      <c r="BB99" s="240">
        <f t="shared" si="6"/>
        <v>166218.4</v>
      </c>
      <c r="BC99" s="110"/>
      <c r="BD99" s="110"/>
    </row>
    <row r="100" spans="1:56" s="28" customFormat="1" ht="20.100000000000001" customHeight="1">
      <c r="A100" s="32" t="str">
        <f>'RESUMEN VIGILANCIA'!A93</f>
        <v>Familia Gascón Domínguez</v>
      </c>
      <c r="B100" s="33" t="str">
        <f>'RESUMEN VIGILANCIA'!B93</f>
        <v>Calle Güigüe Nro. 88-70</v>
      </c>
      <c r="C100" s="428" t="s">
        <v>1358</v>
      </c>
      <c r="D100" s="433" t="s">
        <v>17</v>
      </c>
      <c r="E100" s="419" t="str">
        <f>IF(ISBLANK('RESUMEN VIGILANCIA'!D93),"",'RESUMEN VIGILANCIA'!D93)</f>
        <v/>
      </c>
      <c r="F100" s="343">
        <f>IF(ISBLANK('RESUMEN VIGILANCIA'!E93),"",'RESUMEN VIGILANCIA'!E93)</f>
        <v>0.1</v>
      </c>
      <c r="G100" s="302">
        <f>IF(ISBLANK('RESUMEN VIGILANCIA'!F93),"",'RESUMEN VIGILANCIA'!F93)</f>
        <v>0.1</v>
      </c>
      <c r="H100" s="302">
        <f>IF(ISBLANK('RESUMEN VIGILANCIA'!G93),"",'RESUMEN VIGILANCIA'!G93)</f>
        <v>0.1</v>
      </c>
      <c r="I100" s="302">
        <f>IF(ISBLANK('RESUMEN VIGILANCIA'!H93),"",'RESUMEN VIGILANCIA'!H93)</f>
        <v>0.17</v>
      </c>
      <c r="J100" s="302">
        <f>IF(ISBLANK('RESUMEN VIGILANCIA'!I93),"",'RESUMEN VIGILANCIA'!I93)</f>
        <v>0.26</v>
      </c>
      <c r="K100" s="302">
        <f>IF(ISBLANK('RESUMEN VIGILANCIA'!J93),"",'RESUMEN VIGILANCIA'!J93)</f>
        <v>0.26</v>
      </c>
      <c r="L100" s="302">
        <f>IF(ISBLANK('RESUMEN VIGILANCIA'!K93),"",'RESUMEN VIGILANCIA'!K93)</f>
        <v>0.35</v>
      </c>
      <c r="M100" s="302">
        <f>IF(ISBLANK('RESUMEN VIGILANCIA'!L93),"",'RESUMEN VIGILANCIA'!L93)</f>
        <v>0.35</v>
      </c>
      <c r="N100" s="302">
        <f>IF(ISBLANK('RESUMEN VIGILANCIA'!M93),"",'RESUMEN VIGILANCIA'!M93)</f>
        <v>0.35</v>
      </c>
      <c r="O100" s="302">
        <f>IF(ISBLANK('RESUMEN VIGILANCIA'!N93),"",'RESUMEN VIGILANCIA'!N93)</f>
        <v>0.35</v>
      </c>
      <c r="P100" s="270">
        <f>IF(ISBLANK('RESUMEN VIGILANCIA'!O93),"",'RESUMEN VIGILANCIA'!O93)</f>
        <v>0.5</v>
      </c>
      <c r="Q100" s="342">
        <f>IF(ISBLANK('RESUMEN VIGILANCIA'!P93),"",'RESUMEN VIGILANCIA'!P93)</f>
        <v>0.5</v>
      </c>
      <c r="R100" s="334">
        <f>IF(ISBLANK('RESUMEN VIGILANCIA'!Q93),"",'RESUMEN VIGILANCIA'!Q93)</f>
        <v>0.8</v>
      </c>
      <c r="S100" s="270">
        <f>IF(ISBLANK('RESUMEN VIGILANCIA'!R93),"",'RESUMEN VIGILANCIA'!R93)</f>
        <v>0.8</v>
      </c>
      <c r="T100" s="270">
        <f>IF(ISBLANK('RESUMEN VIGILANCIA'!S93),"",'RESUMEN VIGILANCIA'!S93)</f>
        <v>1.4</v>
      </c>
      <c r="U100" s="270">
        <f>IF(ISBLANK('RESUMEN VIGILANCIA'!T93),"",'RESUMEN VIGILANCIA'!T93)</f>
        <v>1.4</v>
      </c>
      <c r="V100" s="270">
        <f>IF(ISBLANK('RESUMEN VIGILANCIA'!U93),"",'RESUMEN VIGILANCIA'!U93)</f>
        <v>4</v>
      </c>
      <c r="W100" s="270">
        <f>IF(ISBLANK('RESUMEN VIGILANCIA'!V93),"",'RESUMEN VIGILANCIA'!V93)</f>
        <v>6.25</v>
      </c>
      <c r="X100" s="270">
        <f>IF(ISBLANK('RESUMEN VIGILANCIA'!W93),"",'RESUMEN VIGILANCIA'!W93)</f>
        <v>10</v>
      </c>
      <c r="Y100" s="270">
        <f>IF(ISBLANK('RESUMEN VIGILANCIA'!X93),"",'RESUMEN VIGILANCIA'!X93)</f>
        <v>12</v>
      </c>
      <c r="Z100" s="456">
        <f>IF(ISBLANK('RESUMEN VIGILANCIA'!Y93),"",'RESUMEN VIGILANCIA'!Y93)</f>
        <v>320</v>
      </c>
      <c r="AA100" s="456">
        <f>IF(ISBLANK('RESUMEN VIGILANCIA'!Z93),"",'RESUMEN VIGILANCIA'!Z93)</f>
        <v>320</v>
      </c>
      <c r="AB100" s="456">
        <f>IF(ISBLANK('RESUMEN VIGILANCIA'!AA93),"",'RESUMEN VIGILANCIA'!AA93)</f>
        <v>320</v>
      </c>
      <c r="AC100" s="455">
        <f>IF(ISBLANK('RESUMEN VIGILANCIA'!AB93),"",'RESUMEN VIGILANCIA'!AB93)</f>
        <v>800</v>
      </c>
      <c r="AD100" s="379">
        <f>IF(ISBLANK('RESUMEN VIGILANCIA'!AC93),"",'RESUMEN VIGILANCIA'!AC93)</f>
        <v>3000</v>
      </c>
      <c r="AE100" s="380">
        <f>IF(ISBLANK('RESUMEN VIGILANCIA'!AD93),"",'RESUMEN VIGILANCIA'!AD93)</f>
        <v>3000</v>
      </c>
      <c r="AF100" s="380">
        <f>IF(ISBLANK('RESUMEN VIGILANCIA'!AE93),"",'RESUMEN VIGILANCIA'!AE93)</f>
        <v>3000</v>
      </c>
      <c r="AG100" s="380">
        <f>IF(ISBLANK('RESUMEN VIGILANCIA'!AF93),"",'RESUMEN VIGILANCIA'!AF93)</f>
        <v>5000</v>
      </c>
      <c r="AH100" s="380">
        <f>IF(ISBLANK('RESUMEN VIGILANCIA'!AG93),"",'RESUMEN VIGILANCIA'!AG93)</f>
        <v>8000</v>
      </c>
      <c r="AI100" s="380">
        <f>IF(ISBLANK('RESUMEN VIGILANCIA'!AH93),"",'RESUMEN VIGILANCIA'!AH93)</f>
        <v>8000</v>
      </c>
      <c r="AJ100" s="380">
        <f>IF(ISBLANK('RESUMEN VIGILANCIA'!AI93),"",'RESUMEN VIGILANCIA'!AI93)</f>
        <v>10000</v>
      </c>
      <c r="AK100" s="380">
        <f>IF(ISBLANK('RESUMEN VIGILANCIA'!AJ93),"",'RESUMEN VIGILANCIA'!AJ93)</f>
        <v>10000</v>
      </c>
      <c r="AL100" s="380">
        <f>IF(ISBLANK('RESUMEN VIGILANCIA'!AK93),"",'RESUMEN VIGILANCIA'!AK93)</f>
        <v>21600</v>
      </c>
      <c r="AM100" s="380">
        <f>IF(ISBLANK('RESUMEN VIGILANCIA'!AL93),"",'RESUMEN VIGILANCIA'!AL93)</f>
        <v>51250</v>
      </c>
      <c r="AN100" s="380">
        <f>IF(ISBLANK('RESUMEN VIGILANCIA'!AM93),"",'RESUMEN VIGILANCIA'!AM93)</f>
        <v>64500</v>
      </c>
      <c r="AO100" s="385">
        <f>IF(ISBLANK('RESUMEN VIGILANCIA'!AN93),"",'RESUMEN VIGILANCIA'!AN93)</f>
        <v>105250</v>
      </c>
      <c r="AP100" s="379">
        <f>IF(ISBLANK('RESUMEN VIGILANCIA'!AO93),"",'RESUMEN VIGILANCIA'!AO93)</f>
        <v>136250</v>
      </c>
      <c r="AQ100" s="380">
        <f>IF(ISBLANK('RESUMEN VIGILANCIA'!AP93),"",'RESUMEN VIGILANCIA'!AP93)</f>
        <v>136250</v>
      </c>
      <c r="AR100" s="380">
        <f>IF(ISBLANK('RESUMEN VIGILANCIA'!AQ93),"",'RESUMEN VIGILANCIA'!AQ93)</f>
        <v>185250</v>
      </c>
      <c r="AS100" s="380">
        <f>IF(ISBLANK('RESUMEN VIGILANCIA'!AR93),"",'RESUMEN VIGILANCIA'!AR93)</f>
        <v>185250</v>
      </c>
      <c r="AT100" s="380">
        <f>IF(ISBLANK('RESUMEN VIGILANCIA'!AS93),"",'RESUMEN VIGILANCIA'!AS93)</f>
        <v>250000</v>
      </c>
      <c r="AU100" s="380">
        <f>IF(ISBLANK('RESUMEN VIGILANCIA'!AT93),"",'RESUMEN VIGILANCIA'!AT93)</f>
        <v>250000</v>
      </c>
      <c r="AV100" s="380">
        <f>IF(ISBLANK('RESUMEN VIGILANCIA'!AU93),"",'RESUMEN VIGILANCIA'!AU93)</f>
        <v>320000</v>
      </c>
      <c r="AW100" s="380" t="str">
        <f>IF(ISBLANK('RESUMEN VIGILANCIA'!AV93),"",'RESUMEN VIGILANCIA'!AV93)</f>
        <v/>
      </c>
      <c r="AX100" s="380" t="str">
        <f>IF(ISBLANK('RESUMEN VIGILANCIA'!AW93),"",'RESUMEN VIGILANCIA'!AW93)</f>
        <v/>
      </c>
      <c r="AY100" s="380" t="str">
        <f>IF(ISBLANK('RESUMEN VIGILANCIA'!AX93),"",'RESUMEN VIGILANCIA'!AX93)</f>
        <v/>
      </c>
      <c r="AZ100" s="380" t="str">
        <f>IF(ISBLANK('RESUMEN VIGILANCIA'!AY93),"",'RESUMEN VIGILANCIA'!AY93)</f>
        <v/>
      </c>
      <c r="BA100" s="385" t="str">
        <f>IF(ISBLANK('RESUMEN VIGILANCIA'!AZ93),"",'RESUMEN VIGILANCIA'!AZ93)</f>
        <v/>
      </c>
      <c r="BB100" s="344">
        <f t="shared" si="6"/>
        <v>294400.04000000004</v>
      </c>
      <c r="BC100" s="345"/>
      <c r="BD100" s="345"/>
    </row>
    <row r="101" spans="1:56" s="28" customFormat="1" ht="20.100000000000001" customHeight="1">
      <c r="A101" s="32" t="str">
        <f>'RESUMEN VIGILANCIA'!A95</f>
        <v>Zoraida Khair</v>
      </c>
      <c r="B101" s="33" t="str">
        <f>'RESUMEN VIGILANCIA'!B95</f>
        <v>Calle Güigüe Nro. 88-80</v>
      </c>
      <c r="C101" s="426" t="s">
        <v>1361</v>
      </c>
      <c r="D101" s="435" t="s">
        <v>1357</v>
      </c>
      <c r="E101" s="414" t="str">
        <f>IF(ISBLANK('RESUMEN VIGILANCIA'!D95),"",'RESUMEN VIGILANCIA'!D95)</f>
        <v/>
      </c>
      <c r="F101" s="264" t="str">
        <f>IF(ISBLANK('RESUMEN VIGILANCIA'!E95),"",'RESUMEN VIGILANCIA'!E95)</f>
        <v/>
      </c>
      <c r="G101" s="186">
        <f>IF(ISBLANK('RESUMEN VIGILANCIA'!F95),"",'RESUMEN VIGILANCIA'!F95)</f>
        <v>0.06</v>
      </c>
      <c r="H101" s="186" t="str">
        <f>IF(ISBLANK('RESUMEN VIGILANCIA'!G95),"",'RESUMEN VIGILANCIA'!G95)</f>
        <v/>
      </c>
      <c r="I101" s="186" t="str">
        <f>IF(ISBLANK('RESUMEN VIGILANCIA'!H95),"",'RESUMEN VIGILANCIA'!H95)</f>
        <v/>
      </c>
      <c r="J101" s="186">
        <f>IF(ISBLANK('RESUMEN VIGILANCIA'!I95),"",'RESUMEN VIGILANCIA'!I95)</f>
        <v>0.1</v>
      </c>
      <c r="K101" s="186">
        <f>IF(ISBLANK('RESUMEN VIGILANCIA'!J95),"",'RESUMEN VIGILANCIA'!J95)</f>
        <v>0.25</v>
      </c>
      <c r="L101" s="186">
        <f>IF(ISBLANK('RESUMEN VIGILANCIA'!K95),"",'RESUMEN VIGILANCIA'!K95)</f>
        <v>0.25</v>
      </c>
      <c r="M101" s="186">
        <f>IF(ISBLANK('RESUMEN VIGILANCIA'!L95),"",'RESUMEN VIGILANCIA'!L95)</f>
        <v>0.25</v>
      </c>
      <c r="N101" s="186">
        <f>IF(ISBLANK('RESUMEN VIGILANCIA'!M95),"",'RESUMEN VIGILANCIA'!M95)</f>
        <v>0.25</v>
      </c>
      <c r="O101" s="186">
        <f>IF(ISBLANK('RESUMEN VIGILANCIA'!N95),"",'RESUMEN VIGILANCIA'!N95)</f>
        <v>0.4</v>
      </c>
      <c r="P101" s="265">
        <f>IF(ISBLANK('RESUMEN VIGILANCIA'!O95),"",'RESUMEN VIGILANCIA'!O95)</f>
        <v>0.4</v>
      </c>
      <c r="Q101" s="184">
        <f>IF(ISBLANK('RESUMEN VIGILANCIA'!P95),"",'RESUMEN VIGILANCIA'!P95)</f>
        <v>0.4</v>
      </c>
      <c r="R101" s="266">
        <f>IF(ISBLANK('RESUMEN VIGILANCIA'!Q95),"",'RESUMEN VIGILANCIA'!Q95)</f>
        <v>1</v>
      </c>
      <c r="S101" s="265">
        <f>IF(ISBLANK('RESUMEN VIGILANCIA'!R95),"",'RESUMEN VIGILANCIA'!R95)</f>
        <v>1</v>
      </c>
      <c r="T101" s="265">
        <f>IF(ISBLANK('RESUMEN VIGILANCIA'!S95),"",'RESUMEN VIGILANCIA'!S95)</f>
        <v>1</v>
      </c>
      <c r="U101" s="265">
        <f>IF(ISBLANK('RESUMEN VIGILANCIA'!T95),"",'RESUMEN VIGILANCIA'!T95)</f>
        <v>1</v>
      </c>
      <c r="V101" s="265">
        <f>IF(ISBLANK('RESUMEN VIGILANCIA'!U95),"",'RESUMEN VIGILANCIA'!U95)</f>
        <v>4</v>
      </c>
      <c r="W101" s="265">
        <f>IF(ISBLANK('RESUMEN VIGILANCIA'!V95),"",'RESUMEN VIGILANCIA'!V95)</f>
        <v>6.25</v>
      </c>
      <c r="X101" s="265">
        <f>IF(ISBLANK('RESUMEN VIGILANCIA'!W95),"",'RESUMEN VIGILANCIA'!W95)</f>
        <v>10</v>
      </c>
      <c r="Y101" s="265">
        <f>IF(ISBLANK('RESUMEN VIGILANCIA'!X95),"",'RESUMEN VIGILANCIA'!X95)</f>
        <v>12</v>
      </c>
      <c r="Z101" s="457">
        <f>IF(ISBLANK('RESUMEN VIGILANCIA'!Y95),"",'RESUMEN VIGILANCIA'!Y95)</f>
        <v>320</v>
      </c>
      <c r="AA101" s="457">
        <f>IF(ISBLANK('RESUMEN VIGILANCIA'!Z95),"",'RESUMEN VIGILANCIA'!Z95)</f>
        <v>320</v>
      </c>
      <c r="AB101" s="457">
        <f>IF(ISBLANK('RESUMEN VIGILANCIA'!AA95),"",'RESUMEN VIGILANCIA'!AA95)</f>
        <v>320</v>
      </c>
      <c r="AC101" s="458">
        <f>IF(ISBLANK('RESUMEN VIGILANCIA'!AB95),"",'RESUMEN VIGILANCIA'!AB95)</f>
        <v>800</v>
      </c>
      <c r="AD101" s="371">
        <f>IF(ISBLANK('RESUMEN VIGILANCIA'!AC95),"",'RESUMEN VIGILANCIA'!AC95)</f>
        <v>3000</v>
      </c>
      <c r="AE101" s="372">
        <f>IF(ISBLANK('RESUMEN VIGILANCIA'!AD95),"",'RESUMEN VIGILANCIA'!AD95)</f>
        <v>3000</v>
      </c>
      <c r="AF101" s="372">
        <f>IF(ISBLANK('RESUMEN VIGILANCIA'!AE95),"",'RESUMEN VIGILANCIA'!AE95)</f>
        <v>2365.5500000000002</v>
      </c>
      <c r="AG101" s="372">
        <f>IF(ISBLANK('RESUMEN VIGILANCIA'!AF95),"",'RESUMEN VIGILANCIA'!AF95)</f>
        <v>5000</v>
      </c>
      <c r="AH101" s="372">
        <f>IF(ISBLANK('RESUMEN VIGILANCIA'!AG95),"",'RESUMEN VIGILANCIA'!AG95)</f>
        <v>8000</v>
      </c>
      <c r="AI101" s="372">
        <f>IF(ISBLANK('RESUMEN VIGILANCIA'!AH95),"",'RESUMEN VIGILANCIA'!AH95)</f>
        <v>8000</v>
      </c>
      <c r="AJ101" s="372">
        <f>IF(ISBLANK('RESUMEN VIGILANCIA'!AI95),"",'RESUMEN VIGILANCIA'!AI95)</f>
        <v>8000</v>
      </c>
      <c r="AK101" s="372">
        <f>IF(ISBLANK('RESUMEN VIGILANCIA'!AJ95),"",'RESUMEN VIGILANCIA'!AJ95)</f>
        <v>10000</v>
      </c>
      <c r="AL101" s="372">
        <f>IF(ISBLANK('RESUMEN VIGILANCIA'!AK95),"",'RESUMEN VIGILANCIA'!AK95)</f>
        <v>23000</v>
      </c>
      <c r="AM101" s="372">
        <f>IF(ISBLANK('RESUMEN VIGILANCIA'!AL95),"",'RESUMEN VIGILANCIA'!AL95)</f>
        <v>51250</v>
      </c>
      <c r="AN101" s="372">
        <f>IF(ISBLANK('RESUMEN VIGILANCIA'!AM95),"",'RESUMEN VIGILANCIA'!AM95)</f>
        <v>52000</v>
      </c>
      <c r="AO101" s="373">
        <f>IF(ISBLANK('RESUMEN VIGILANCIA'!AN95),"",'RESUMEN VIGILANCIA'!AN95)</f>
        <v>40000</v>
      </c>
      <c r="AP101" s="371">
        <f>IF(ISBLANK('RESUMEN VIGILANCIA'!AO95),"",'RESUMEN VIGILANCIA'!AO95)</f>
        <v>137000</v>
      </c>
      <c r="AQ101" s="372">
        <f>IF(ISBLANK('RESUMEN VIGILANCIA'!AP95),"",'RESUMEN VIGILANCIA'!AP95)</f>
        <v>185250</v>
      </c>
      <c r="AR101" s="372">
        <f>IF(ISBLANK('RESUMEN VIGILANCIA'!AQ95),"",'RESUMEN VIGILANCIA'!AQ95)</f>
        <v>185250</v>
      </c>
      <c r="AS101" s="372">
        <f>IF(ISBLANK('RESUMEN VIGILANCIA'!AR95),"",'RESUMEN VIGILANCIA'!AR95)</f>
        <v>185250</v>
      </c>
      <c r="AT101" s="372">
        <f>IF(ISBLANK('RESUMEN VIGILANCIA'!AS95),"",'RESUMEN VIGILANCIA'!AS95)</f>
        <v>250000</v>
      </c>
      <c r="AU101" s="372">
        <f>IF(ISBLANK('RESUMEN VIGILANCIA'!AT95),"",'RESUMEN VIGILANCIA'!AT95)</f>
        <v>250000</v>
      </c>
      <c r="AV101" s="372" t="str">
        <f>IF(ISBLANK('RESUMEN VIGILANCIA'!AU95),"",'RESUMEN VIGILANCIA'!AU95)</f>
        <v/>
      </c>
      <c r="AW101" s="372" t="str">
        <f>IF(ISBLANK('RESUMEN VIGILANCIA'!AV95),"",'RESUMEN VIGILANCIA'!AV95)</f>
        <v/>
      </c>
      <c r="AX101" s="372" t="str">
        <f>IF(ISBLANK('RESUMEN VIGILANCIA'!AW95),"",'RESUMEN VIGILANCIA'!AW95)</f>
        <v/>
      </c>
      <c r="AY101" s="372" t="str">
        <f>IF(ISBLANK('RESUMEN VIGILANCIA'!AX95),"",'RESUMEN VIGILANCIA'!AX95)</f>
        <v/>
      </c>
      <c r="AZ101" s="372" t="str">
        <f>IF(ISBLANK('RESUMEN VIGILANCIA'!AY95),"",'RESUMEN VIGILANCIA'!AY95)</f>
        <v/>
      </c>
      <c r="BA101" s="373" t="str">
        <f>IF(ISBLANK('RESUMEN VIGILANCIA'!AZ95),"",'RESUMEN VIGILANCIA'!AZ95)</f>
        <v/>
      </c>
      <c r="BB101" s="239">
        <f t="shared" si="6"/>
        <v>215414.16</v>
      </c>
      <c r="BC101" s="109"/>
      <c r="BD101" s="109"/>
    </row>
    <row r="102" spans="1:56" s="28" customFormat="1" ht="20.100000000000001" customHeight="1">
      <c r="A102" s="29" t="str">
        <f>'RESUMEN VIGILANCIA'!A96</f>
        <v>Familia Matta Palomino</v>
      </c>
      <c r="B102" s="30" t="str">
        <f>'RESUMEN VIGILANCIA'!B96</f>
        <v>Calle Güigüe Nro. 88-90</v>
      </c>
      <c r="C102" s="427" t="s">
        <v>1358</v>
      </c>
      <c r="D102" s="434" t="s">
        <v>1357</v>
      </c>
      <c r="E102" s="415" t="str">
        <f>IF(ISBLANK('RESUMEN VIGILANCIA'!D96),"",'RESUMEN VIGILANCIA'!D96)</f>
        <v/>
      </c>
      <c r="F102" s="267">
        <f>IF(ISBLANK('RESUMEN VIGILANCIA'!E96),"",'RESUMEN VIGILANCIA'!E96)</f>
        <v>0.17</v>
      </c>
      <c r="G102" s="179">
        <f>IF(ISBLANK('RESUMEN VIGILANCIA'!F96),"",'RESUMEN VIGILANCIA'!F96)</f>
        <v>0.17</v>
      </c>
      <c r="H102" s="180">
        <f>IF(ISBLANK('RESUMEN VIGILANCIA'!G96),"",'RESUMEN VIGILANCIA'!G96)</f>
        <v>0.16</v>
      </c>
      <c r="I102" s="180">
        <f>IF(ISBLANK('RESUMEN VIGILANCIA'!H96),"",'RESUMEN VIGILANCIA'!H96)</f>
        <v>0.16</v>
      </c>
      <c r="J102" s="179">
        <f>IF(ISBLANK('RESUMEN VIGILANCIA'!I96),"",'RESUMEN VIGILANCIA'!I96)</f>
        <v>0.26</v>
      </c>
      <c r="K102" s="179">
        <f>IF(ISBLANK('RESUMEN VIGILANCIA'!J96),"",'RESUMEN VIGILANCIA'!J96)</f>
        <v>0.26</v>
      </c>
      <c r="L102" s="179">
        <f>IF(ISBLANK('RESUMEN VIGILANCIA'!K96),"",'RESUMEN VIGILANCIA'!K96)</f>
        <v>0.35</v>
      </c>
      <c r="M102" s="179">
        <f>IF(ISBLANK('RESUMEN VIGILANCIA'!L96),"",'RESUMEN VIGILANCIA'!L96)</f>
        <v>0.35</v>
      </c>
      <c r="N102" s="179">
        <f>IF(ISBLANK('RESUMEN VIGILANCIA'!M96),"",'RESUMEN VIGILANCIA'!M96)</f>
        <v>0.35000000000000003</v>
      </c>
      <c r="O102" s="179">
        <f>IF(ISBLANK('RESUMEN VIGILANCIA'!N96),"",'RESUMEN VIGILANCIA'!N96)</f>
        <v>0.35</v>
      </c>
      <c r="P102" s="268">
        <f>IF(ISBLANK('RESUMEN VIGILANCIA'!O96),"",'RESUMEN VIGILANCIA'!O96)</f>
        <v>0.5</v>
      </c>
      <c r="Q102" s="177">
        <f>IF(ISBLANK('RESUMEN VIGILANCIA'!P96),"",'RESUMEN VIGILANCIA'!P96)</f>
        <v>0.5</v>
      </c>
      <c r="R102" s="269">
        <f>IF(ISBLANK('RESUMEN VIGILANCIA'!Q96),"",'RESUMEN VIGILANCIA'!Q96)</f>
        <v>0.8</v>
      </c>
      <c r="S102" s="268">
        <f>IF(ISBLANK('RESUMEN VIGILANCIA'!R96),"",'RESUMEN VIGILANCIA'!R96)</f>
        <v>0.8</v>
      </c>
      <c r="T102" s="268">
        <f>IF(ISBLANK('RESUMEN VIGILANCIA'!S96),"",'RESUMEN VIGILANCIA'!S96)</f>
        <v>1.4</v>
      </c>
      <c r="U102" s="268">
        <f>IF(ISBLANK('RESUMEN VIGILANCIA'!T96),"",'RESUMEN VIGILANCIA'!T96)</f>
        <v>1.4</v>
      </c>
      <c r="V102" s="268">
        <f>IF(ISBLANK('RESUMEN VIGILANCIA'!U96),"",'RESUMEN VIGILANCIA'!U96)</f>
        <v>4</v>
      </c>
      <c r="W102" s="268">
        <f>IF(ISBLANK('RESUMEN VIGILANCIA'!V96),"",'RESUMEN VIGILANCIA'!V96)</f>
        <v>6.25</v>
      </c>
      <c r="X102" s="268">
        <f>IF(ISBLANK('RESUMEN VIGILANCIA'!W96),"",'RESUMEN VIGILANCIA'!W96)</f>
        <v>10</v>
      </c>
      <c r="Y102" s="268">
        <f>IF(ISBLANK('RESUMEN VIGILANCIA'!X96),"",'RESUMEN VIGILANCIA'!X96)</f>
        <v>12</v>
      </c>
      <c r="Z102" s="453">
        <f>IF(ISBLANK('RESUMEN VIGILANCIA'!Y96),"",'RESUMEN VIGILANCIA'!Y96)</f>
        <v>320</v>
      </c>
      <c r="AA102" s="453">
        <f>IF(ISBLANK('RESUMEN VIGILANCIA'!Z96),"",'RESUMEN VIGILANCIA'!Z96)</f>
        <v>320</v>
      </c>
      <c r="AB102" s="453">
        <f>IF(ISBLANK('RESUMEN VIGILANCIA'!AA96),"",'RESUMEN VIGILANCIA'!AA96)</f>
        <v>320</v>
      </c>
      <c r="AC102" s="454">
        <f>IF(ISBLANK('RESUMEN VIGILANCIA'!AB96),"",'RESUMEN VIGILANCIA'!AB96)</f>
        <v>800</v>
      </c>
      <c r="AD102" s="374">
        <f>IF(ISBLANK('RESUMEN VIGILANCIA'!AC96),"",'RESUMEN VIGILANCIA'!AC96)</f>
        <v>3000</v>
      </c>
      <c r="AE102" s="375">
        <f>IF(ISBLANK('RESUMEN VIGILANCIA'!AD96),"",'RESUMEN VIGILANCIA'!AD96)</f>
        <v>3000</v>
      </c>
      <c r="AF102" s="375">
        <f>IF(ISBLANK('RESUMEN VIGILANCIA'!AE96),"",'RESUMEN VIGILANCIA'!AE96)</f>
        <v>3000</v>
      </c>
      <c r="AG102" s="375">
        <f>IF(ISBLANK('RESUMEN VIGILANCIA'!AF96),"",'RESUMEN VIGILANCIA'!AF96)</f>
        <v>5000</v>
      </c>
      <c r="AH102" s="375">
        <f>IF(ISBLANK('RESUMEN VIGILANCIA'!AG96),"",'RESUMEN VIGILANCIA'!AG96)</f>
        <v>8000</v>
      </c>
      <c r="AI102" s="375">
        <f>IF(ISBLANK('RESUMEN VIGILANCIA'!AH96),"",'RESUMEN VIGILANCIA'!AH96)</f>
        <v>8000</v>
      </c>
      <c r="AJ102" s="375">
        <f>IF(ISBLANK('RESUMEN VIGILANCIA'!AI96),"",'RESUMEN VIGILANCIA'!AI96)</f>
        <v>10000</v>
      </c>
      <c r="AK102" s="375">
        <f>IF(ISBLANK('RESUMEN VIGILANCIA'!AJ96),"",'RESUMEN VIGILANCIA'!AJ96)</f>
        <v>10000</v>
      </c>
      <c r="AL102" s="375">
        <f>IF(ISBLANK('RESUMEN VIGILANCIA'!AK96),"",'RESUMEN VIGILANCIA'!AK96)</f>
        <v>21100</v>
      </c>
      <c r="AM102" s="375">
        <f>IF(ISBLANK('RESUMEN VIGILANCIA'!AL96),"",'RESUMEN VIGILANCIA'!AL96)</f>
        <v>59800</v>
      </c>
      <c r="AN102" s="375">
        <f>IF(ISBLANK('RESUMEN VIGILANCIA'!AM96),"",'RESUMEN VIGILANCIA'!AM96)</f>
        <v>97500</v>
      </c>
      <c r="AO102" s="376">
        <f>IF(ISBLANK('RESUMEN VIGILANCIA'!AN96),"",'RESUMEN VIGILANCIA'!AN96)</f>
        <v>136250</v>
      </c>
      <c r="AP102" s="374">
        <f>IF(ISBLANK('RESUMEN VIGILANCIA'!AO96),"",'RESUMEN VIGILANCIA'!AO96)</f>
        <v>136250</v>
      </c>
      <c r="AQ102" s="375">
        <f>IF(ISBLANK('RESUMEN VIGILANCIA'!AP96),"",'RESUMEN VIGILANCIA'!AP96)</f>
        <v>185250</v>
      </c>
      <c r="AR102" s="375">
        <f>IF(ISBLANK('RESUMEN VIGILANCIA'!AQ96),"",'RESUMEN VIGILANCIA'!AQ96)</f>
        <v>185250</v>
      </c>
      <c r="AS102" s="375">
        <f>IF(ISBLANK('RESUMEN VIGILANCIA'!AR96),"",'RESUMEN VIGILANCIA'!AR96)</f>
        <v>185250</v>
      </c>
      <c r="AT102" s="375">
        <f>IF(ISBLANK('RESUMEN VIGILANCIA'!AS96),"",'RESUMEN VIGILANCIA'!AS96)</f>
        <v>250000</v>
      </c>
      <c r="AU102" s="375">
        <f>IF(ISBLANK('RESUMEN VIGILANCIA'!AT96),"",'RESUMEN VIGILANCIA'!AT96)</f>
        <v>250000</v>
      </c>
      <c r="AV102" s="375" t="str">
        <f>IF(ISBLANK('RESUMEN VIGILANCIA'!AU96),"",'RESUMEN VIGILANCIA'!AU96)</f>
        <v/>
      </c>
      <c r="AW102" s="375" t="str">
        <f>IF(ISBLANK('RESUMEN VIGILANCIA'!AV96),"",'RESUMEN VIGILANCIA'!AV96)</f>
        <v/>
      </c>
      <c r="AX102" s="375" t="str">
        <f>IF(ISBLANK('RESUMEN VIGILANCIA'!AW96),"",'RESUMEN VIGILANCIA'!AW96)</f>
        <v/>
      </c>
      <c r="AY102" s="375" t="str">
        <f>IF(ISBLANK('RESUMEN VIGILANCIA'!AX96),"",'RESUMEN VIGILANCIA'!AX96)</f>
        <v/>
      </c>
      <c r="AZ102" s="375" t="str">
        <f>IF(ISBLANK('RESUMEN VIGILANCIA'!AY96),"",'RESUMEN VIGILANCIA'!AY96)</f>
        <v/>
      </c>
      <c r="BA102" s="376" t="str">
        <f>IF(ISBLANK('RESUMEN VIGILANCIA'!AZ96),"",'RESUMEN VIGILANCIA'!AZ96)</f>
        <v/>
      </c>
      <c r="BB102" s="240">
        <f t="shared" si="6"/>
        <v>366450.23</v>
      </c>
      <c r="BC102" s="110"/>
      <c r="BD102" s="110"/>
    </row>
    <row r="103" spans="1:56" s="28" customFormat="1" ht="20.100000000000001" customHeight="1">
      <c r="A103" s="29" t="str">
        <f>'RESUMEN VIGILANCIA'!A98</f>
        <v>Familia Hernández Castillo</v>
      </c>
      <c r="B103" s="30" t="str">
        <f>'RESUMEN VIGILANCIA'!B98</f>
        <v>Calle Güigüe Nro. 88-94</v>
      </c>
      <c r="C103" s="427" t="s">
        <v>1360</v>
      </c>
      <c r="D103" s="434" t="s">
        <v>1357</v>
      </c>
      <c r="E103" s="415" t="str">
        <f>IF(ISBLANK('RESUMEN VIGILANCIA'!D98),"",'RESUMEN VIGILANCIA'!D98)</f>
        <v/>
      </c>
      <c r="F103" s="267" t="str">
        <f>IF(ISBLANK('RESUMEN VIGILANCIA'!E98),"",'RESUMEN VIGILANCIA'!E98)</f>
        <v/>
      </c>
      <c r="G103" s="179" t="str">
        <f>IF(ISBLANK('RESUMEN VIGILANCIA'!F98),"",'RESUMEN VIGILANCIA'!F98)</f>
        <v/>
      </c>
      <c r="H103" s="179" t="str">
        <f>IF(ISBLANK('RESUMEN VIGILANCIA'!G98),"",'RESUMEN VIGILANCIA'!G98)</f>
        <v/>
      </c>
      <c r="I103" s="179" t="str">
        <f>IF(ISBLANK('RESUMEN VIGILANCIA'!H98),"",'RESUMEN VIGILANCIA'!H98)</f>
        <v/>
      </c>
      <c r="J103" s="179" t="str">
        <f>IF(ISBLANK('RESUMEN VIGILANCIA'!I98),"",'RESUMEN VIGILANCIA'!I98)</f>
        <v/>
      </c>
      <c r="K103" s="179" t="str">
        <f>IF(ISBLANK('RESUMEN VIGILANCIA'!J98),"",'RESUMEN VIGILANCIA'!J98)</f>
        <v/>
      </c>
      <c r="L103" s="179" t="str">
        <f>IF(ISBLANK('RESUMEN VIGILANCIA'!K98),"",'RESUMEN VIGILANCIA'!K98)</f>
        <v/>
      </c>
      <c r="M103" s="179" t="str">
        <f>IF(ISBLANK('RESUMEN VIGILANCIA'!L98),"",'RESUMEN VIGILANCIA'!L98)</f>
        <v/>
      </c>
      <c r="N103" s="179" t="str">
        <f>IF(ISBLANK('RESUMEN VIGILANCIA'!M98),"",'RESUMEN VIGILANCIA'!M98)</f>
        <v/>
      </c>
      <c r="O103" s="179" t="str">
        <f>IF(ISBLANK('RESUMEN VIGILANCIA'!N98),"",'RESUMEN VIGILANCIA'!N98)</f>
        <v/>
      </c>
      <c r="P103" s="268" t="str">
        <f>IF(ISBLANK('RESUMEN VIGILANCIA'!O98),"",'RESUMEN VIGILANCIA'!O98)</f>
        <v/>
      </c>
      <c r="Q103" s="177" t="str">
        <f>IF(ISBLANK('RESUMEN VIGILANCIA'!P98),"",'RESUMEN VIGILANCIA'!P98)</f>
        <v/>
      </c>
      <c r="R103" s="269" t="str">
        <f>IF(ISBLANK('RESUMEN VIGILANCIA'!Q98),"",'RESUMEN VIGILANCIA'!Q98)</f>
        <v/>
      </c>
      <c r="S103" s="268" t="str">
        <f>IF(ISBLANK('RESUMEN VIGILANCIA'!R98),"",'RESUMEN VIGILANCIA'!R98)</f>
        <v/>
      </c>
      <c r="T103" s="268" t="str">
        <f>IF(ISBLANK('RESUMEN VIGILANCIA'!S98),"",'RESUMEN VIGILANCIA'!S98)</f>
        <v/>
      </c>
      <c r="U103" s="268" t="str">
        <f>IF(ISBLANK('RESUMEN VIGILANCIA'!T98),"",'RESUMEN VIGILANCIA'!T98)</f>
        <v/>
      </c>
      <c r="V103" s="268" t="str">
        <f>IF(ISBLANK('RESUMEN VIGILANCIA'!U98),"",'RESUMEN VIGILANCIA'!U98)</f>
        <v/>
      </c>
      <c r="W103" s="268" t="str">
        <f>IF(ISBLANK('RESUMEN VIGILANCIA'!V98),"",'RESUMEN VIGILANCIA'!V98)</f>
        <v/>
      </c>
      <c r="X103" s="268" t="str">
        <f>IF(ISBLANK('RESUMEN VIGILANCIA'!W98),"",'RESUMEN VIGILANCIA'!W98)</f>
        <v/>
      </c>
      <c r="Y103" s="268" t="str">
        <f>IF(ISBLANK('RESUMEN VIGILANCIA'!X98),"",'RESUMEN VIGILANCIA'!X98)</f>
        <v/>
      </c>
      <c r="Z103" s="453" t="str">
        <f>IF(ISBLANK('RESUMEN VIGILANCIA'!Y98),"",'RESUMEN VIGILANCIA'!Y98)</f>
        <v/>
      </c>
      <c r="AA103" s="453" t="str">
        <f>IF(ISBLANK('RESUMEN VIGILANCIA'!Z98),"",'RESUMEN VIGILANCIA'!Z98)</f>
        <v/>
      </c>
      <c r="AB103" s="453" t="str">
        <f>IF(ISBLANK('RESUMEN VIGILANCIA'!AA98),"",'RESUMEN VIGILANCIA'!AA98)</f>
        <v/>
      </c>
      <c r="AC103" s="454" t="str">
        <f>IF(ISBLANK('RESUMEN VIGILANCIA'!AB98),"",'RESUMEN VIGILANCIA'!AB98)</f>
        <v/>
      </c>
      <c r="AD103" s="374" t="str">
        <f>IF(ISBLANK('RESUMEN VIGILANCIA'!AC98),"",'RESUMEN VIGILANCIA'!AC98)</f>
        <v/>
      </c>
      <c r="AE103" s="375" t="str">
        <f>IF(ISBLANK('RESUMEN VIGILANCIA'!AD98),"",'RESUMEN VIGILANCIA'!AD98)</f>
        <v/>
      </c>
      <c r="AF103" s="375" t="str">
        <f>IF(ISBLANK('RESUMEN VIGILANCIA'!AE98),"",'RESUMEN VIGILANCIA'!AE98)</f>
        <v/>
      </c>
      <c r="AG103" s="375" t="str">
        <f>IF(ISBLANK('RESUMEN VIGILANCIA'!AF98),"",'RESUMEN VIGILANCIA'!AF98)</f>
        <v/>
      </c>
      <c r="AH103" s="375" t="str">
        <f>IF(ISBLANK('RESUMEN VIGILANCIA'!AG98),"",'RESUMEN VIGILANCIA'!AG98)</f>
        <v/>
      </c>
      <c r="AI103" s="375" t="str">
        <f>IF(ISBLANK('RESUMEN VIGILANCIA'!AH98),"",'RESUMEN VIGILANCIA'!AH98)</f>
        <v/>
      </c>
      <c r="AJ103" s="375" t="str">
        <f>IF(ISBLANK('RESUMEN VIGILANCIA'!AI98),"",'RESUMEN VIGILANCIA'!AI98)</f>
        <v/>
      </c>
      <c r="AK103" s="375" t="str">
        <f>IF(ISBLANK('RESUMEN VIGILANCIA'!AJ98),"",'RESUMEN VIGILANCIA'!AJ98)</f>
        <v/>
      </c>
      <c r="AL103" s="375" t="str">
        <f>IF(ISBLANK('RESUMEN VIGILANCIA'!AK98),"",'RESUMEN VIGILANCIA'!AK98)</f>
        <v/>
      </c>
      <c r="AM103" s="375" t="str">
        <f>IF(ISBLANK('RESUMEN VIGILANCIA'!AL98),"",'RESUMEN VIGILANCIA'!AL98)</f>
        <v/>
      </c>
      <c r="AN103" s="375" t="str">
        <f>IF(ISBLANK('RESUMEN VIGILANCIA'!AM98),"",'RESUMEN VIGILANCIA'!AM98)</f>
        <v/>
      </c>
      <c r="AO103" s="376" t="str">
        <f>IF(ISBLANK('RESUMEN VIGILANCIA'!AN98),"",'RESUMEN VIGILANCIA'!AN98)</f>
        <v/>
      </c>
      <c r="AP103" s="374" t="str">
        <f>IF(ISBLANK('RESUMEN VIGILANCIA'!AO98),"",'RESUMEN VIGILANCIA'!AO98)</f>
        <v/>
      </c>
      <c r="AQ103" s="375" t="str">
        <f>IF(ISBLANK('RESUMEN VIGILANCIA'!AP98),"",'RESUMEN VIGILANCIA'!AP98)</f>
        <v/>
      </c>
      <c r="AR103" s="375" t="str">
        <f>IF(ISBLANK('RESUMEN VIGILANCIA'!AQ98),"",'RESUMEN VIGILANCIA'!AQ98)</f>
        <v/>
      </c>
      <c r="AS103" s="375" t="str">
        <f>IF(ISBLANK('RESUMEN VIGILANCIA'!AR98),"",'RESUMEN VIGILANCIA'!AR98)</f>
        <v/>
      </c>
      <c r="AT103" s="375" t="str">
        <f>IF(ISBLANK('RESUMEN VIGILANCIA'!AS98),"",'RESUMEN VIGILANCIA'!AS98)</f>
        <v/>
      </c>
      <c r="AU103" s="375" t="str">
        <f>IF(ISBLANK('RESUMEN VIGILANCIA'!AT98),"",'RESUMEN VIGILANCIA'!AT98)</f>
        <v/>
      </c>
      <c r="AV103" s="375" t="str">
        <f>IF(ISBLANK('RESUMEN VIGILANCIA'!AU98),"",'RESUMEN VIGILANCIA'!AU98)</f>
        <v/>
      </c>
      <c r="AW103" s="375" t="str">
        <f>IF(ISBLANK('RESUMEN VIGILANCIA'!AV98),"",'RESUMEN VIGILANCIA'!AV98)</f>
        <v/>
      </c>
      <c r="AX103" s="375" t="str">
        <f>IF(ISBLANK('RESUMEN VIGILANCIA'!AW98),"",'RESUMEN VIGILANCIA'!AW98)</f>
        <v/>
      </c>
      <c r="AY103" s="375" t="str">
        <f>IF(ISBLANK('RESUMEN VIGILANCIA'!AX98),"",'RESUMEN VIGILANCIA'!AX98)</f>
        <v/>
      </c>
      <c r="AZ103" s="375" t="str">
        <f>IF(ISBLANK('RESUMEN VIGILANCIA'!AY98),"",'RESUMEN VIGILANCIA'!AY98)</f>
        <v/>
      </c>
      <c r="BA103" s="376" t="str">
        <f>IF(ISBLANK('RESUMEN VIGILANCIA'!AZ98),"",'RESUMEN VIGILANCIA'!AZ98)</f>
        <v/>
      </c>
      <c r="BB103" s="240">
        <f t="shared" si="6"/>
        <v>0</v>
      </c>
      <c r="BC103" s="110"/>
      <c r="BD103" s="110"/>
    </row>
    <row r="104" spans="1:56" s="28" customFormat="1" ht="20.100000000000001" customHeight="1">
      <c r="A104" s="29" t="str">
        <f>'RESUMEN VIGILANCIA'!A108</f>
        <v>Familia Acosta Carpio</v>
      </c>
      <c r="B104" s="30" t="str">
        <f>'RESUMEN VIGILANCIA'!B108</f>
        <v>Calle Güigüe Nro. 89-10</v>
      </c>
      <c r="C104" s="427" t="s">
        <v>1358</v>
      </c>
      <c r="D104" s="434"/>
      <c r="E104" s="415" t="str">
        <f>IF(ISBLANK('RESUMEN VIGILANCIA'!D108),"",'RESUMEN VIGILANCIA'!D108)</f>
        <v/>
      </c>
      <c r="F104" s="267">
        <f>IF(ISBLANK('RESUMEN VIGILANCIA'!E108),"",'RESUMEN VIGILANCIA'!E108)</f>
        <v>0.17</v>
      </c>
      <c r="G104" s="179">
        <f>IF(ISBLANK('RESUMEN VIGILANCIA'!F108),"",'RESUMEN VIGILANCIA'!F108)</f>
        <v>0.17</v>
      </c>
      <c r="H104" s="179">
        <f>IF(ISBLANK('RESUMEN VIGILANCIA'!G108),"",'RESUMEN VIGILANCIA'!G108)</f>
        <v>0.17</v>
      </c>
      <c r="I104" s="179">
        <f>IF(ISBLANK('RESUMEN VIGILANCIA'!H108),"",'RESUMEN VIGILANCIA'!H108)</f>
        <v>0.17</v>
      </c>
      <c r="J104" s="179">
        <f>IF(ISBLANK('RESUMEN VIGILANCIA'!I108),"",'RESUMEN VIGILANCIA'!I108)</f>
        <v>0.26</v>
      </c>
      <c r="K104" s="179">
        <f>IF(ISBLANK('RESUMEN VIGILANCIA'!J108),"",'RESUMEN VIGILANCIA'!J108)</f>
        <v>0.26</v>
      </c>
      <c r="L104" s="179">
        <f>IF(ISBLANK('RESUMEN VIGILANCIA'!K108),"",'RESUMEN VIGILANCIA'!K108)</f>
        <v>0.35</v>
      </c>
      <c r="M104" s="179">
        <f>IF(ISBLANK('RESUMEN VIGILANCIA'!L108),"",'RESUMEN VIGILANCIA'!L108)</f>
        <v>0.35</v>
      </c>
      <c r="N104" s="179">
        <f>IF(ISBLANK('RESUMEN VIGILANCIA'!M108),"",'RESUMEN VIGILANCIA'!M108)</f>
        <v>0.35</v>
      </c>
      <c r="O104" s="179">
        <f>IF(ISBLANK('RESUMEN VIGILANCIA'!N108),"",'RESUMEN VIGILANCIA'!N108)</f>
        <v>0.35</v>
      </c>
      <c r="P104" s="268">
        <f>IF(ISBLANK('RESUMEN VIGILANCIA'!O108),"",'RESUMEN VIGILANCIA'!O108)</f>
        <v>0.5</v>
      </c>
      <c r="Q104" s="177">
        <f>IF(ISBLANK('RESUMEN VIGILANCIA'!P108),"",'RESUMEN VIGILANCIA'!P108)</f>
        <v>0.5</v>
      </c>
      <c r="R104" s="269">
        <f>IF(ISBLANK('RESUMEN VIGILANCIA'!Q108),"",'RESUMEN VIGILANCIA'!Q108)</f>
        <v>0.8</v>
      </c>
      <c r="S104" s="268">
        <f>IF(ISBLANK('RESUMEN VIGILANCIA'!R108),"",'RESUMEN VIGILANCIA'!R108)</f>
        <v>0.8</v>
      </c>
      <c r="T104" s="268">
        <f>IF(ISBLANK('RESUMEN VIGILANCIA'!S108),"",'RESUMEN VIGILANCIA'!S108)</f>
        <v>1.4</v>
      </c>
      <c r="U104" s="268">
        <f>IF(ISBLANK('RESUMEN VIGILANCIA'!T108),"",'RESUMEN VIGILANCIA'!T108)</f>
        <v>1.4</v>
      </c>
      <c r="V104" s="268">
        <f>IF(ISBLANK('RESUMEN VIGILANCIA'!U108),"",'RESUMEN VIGILANCIA'!U108)</f>
        <v>4</v>
      </c>
      <c r="W104" s="268">
        <f>IF(ISBLANK('RESUMEN VIGILANCIA'!V108),"",'RESUMEN VIGILANCIA'!V108)</f>
        <v>6.25</v>
      </c>
      <c r="X104" s="268">
        <f>IF(ISBLANK('RESUMEN VIGILANCIA'!W108),"",'RESUMEN VIGILANCIA'!W108)</f>
        <v>10</v>
      </c>
      <c r="Y104" s="268">
        <f>IF(ISBLANK('RESUMEN VIGILANCIA'!X108),"",'RESUMEN VIGILANCIA'!X108)</f>
        <v>12</v>
      </c>
      <c r="Z104" s="453">
        <f>IF(ISBLANK('RESUMEN VIGILANCIA'!Y108),"",'RESUMEN VIGILANCIA'!Y108)</f>
        <v>320</v>
      </c>
      <c r="AA104" s="453">
        <f>IF(ISBLANK('RESUMEN VIGILANCIA'!Z108),"",'RESUMEN VIGILANCIA'!Z108)</f>
        <v>320</v>
      </c>
      <c r="AB104" s="453" t="str">
        <f>IF(ISBLANK('RESUMEN VIGILANCIA'!AA108),"",'RESUMEN VIGILANCIA'!AA108)</f>
        <v/>
      </c>
      <c r="AC104" s="454">
        <f>IF(ISBLANK('RESUMEN VIGILANCIA'!AB108),"",'RESUMEN VIGILANCIA'!AB108)</f>
        <v>800</v>
      </c>
      <c r="AD104" s="374">
        <f>IF(ISBLANK('RESUMEN VIGILANCIA'!AC108),"",'RESUMEN VIGILANCIA'!AC108)</f>
        <v>3000</v>
      </c>
      <c r="AE104" s="375">
        <f>IF(ISBLANK('RESUMEN VIGILANCIA'!AD108),"",'RESUMEN VIGILANCIA'!AD108)</f>
        <v>3000</v>
      </c>
      <c r="AF104" s="375">
        <f>IF(ISBLANK('RESUMEN VIGILANCIA'!AE108),"",'RESUMEN VIGILANCIA'!AE108)</f>
        <v>3000</v>
      </c>
      <c r="AG104" s="375">
        <f>IF(ISBLANK('RESUMEN VIGILANCIA'!AF108),"",'RESUMEN VIGILANCIA'!AF108)</f>
        <v>5000</v>
      </c>
      <c r="AH104" s="375">
        <f>IF(ISBLANK('RESUMEN VIGILANCIA'!AG108),"",'RESUMEN VIGILANCIA'!AG108)</f>
        <v>8000</v>
      </c>
      <c r="AI104" s="375">
        <f>IF(ISBLANK('RESUMEN VIGILANCIA'!AH108),"",'RESUMEN VIGILANCIA'!AH108)</f>
        <v>8000</v>
      </c>
      <c r="AJ104" s="375">
        <f>IF(ISBLANK('RESUMEN VIGILANCIA'!AI108),"",'RESUMEN VIGILANCIA'!AI108)</f>
        <v>10000</v>
      </c>
      <c r="AK104" s="375">
        <f>IF(ISBLANK('RESUMEN VIGILANCIA'!AJ108),"",'RESUMEN VIGILANCIA'!AJ108)</f>
        <v>10000</v>
      </c>
      <c r="AL104" s="375">
        <f>IF(ISBLANK('RESUMEN VIGILANCIA'!AK108),"",'RESUMEN VIGILANCIA'!AK108)</f>
        <v>19800</v>
      </c>
      <c r="AM104" s="375">
        <f>IF(ISBLANK('RESUMEN VIGILANCIA'!AL108),"",'RESUMEN VIGILANCIA'!AL108)</f>
        <v>52000</v>
      </c>
      <c r="AN104" s="375">
        <f>IF(ISBLANK('RESUMEN VIGILANCIA'!AM108),"",'RESUMEN VIGILANCIA'!AM108)</f>
        <v>64500</v>
      </c>
      <c r="AO104" s="376">
        <f>IF(ISBLANK('RESUMEN VIGILANCIA'!AN108),"",'RESUMEN VIGILANCIA'!AN108)</f>
        <v>105250</v>
      </c>
      <c r="AP104" s="374" t="str">
        <f>IF(ISBLANK('RESUMEN VIGILANCIA'!AO108),"",'RESUMEN VIGILANCIA'!AO108)</f>
        <v/>
      </c>
      <c r="AQ104" s="375" t="str">
        <f>IF(ISBLANK('RESUMEN VIGILANCIA'!AP108),"",'RESUMEN VIGILANCIA'!AP108)</f>
        <v/>
      </c>
      <c r="AR104" s="375" t="str">
        <f>IF(ISBLANK('RESUMEN VIGILANCIA'!AQ108),"",'RESUMEN VIGILANCIA'!AQ108)</f>
        <v/>
      </c>
      <c r="AS104" s="375" t="str">
        <f>IF(ISBLANK('RESUMEN VIGILANCIA'!AR108),"",'RESUMEN VIGILANCIA'!AR108)</f>
        <v/>
      </c>
      <c r="AT104" s="375" t="str">
        <f>IF(ISBLANK('RESUMEN VIGILANCIA'!AS108),"",'RESUMEN VIGILANCIA'!AS108)</f>
        <v/>
      </c>
      <c r="AU104" s="375" t="str">
        <f>IF(ISBLANK('RESUMEN VIGILANCIA'!AT108),"",'RESUMEN VIGILANCIA'!AT108)</f>
        <v/>
      </c>
      <c r="AV104" s="375" t="str">
        <f>IF(ISBLANK('RESUMEN VIGILANCIA'!AU108),"",'RESUMEN VIGILANCIA'!AU108)</f>
        <v/>
      </c>
      <c r="AW104" s="375" t="str">
        <f>IF(ISBLANK('RESUMEN VIGILANCIA'!AV108),"",'RESUMEN VIGILANCIA'!AV108)</f>
        <v/>
      </c>
      <c r="AX104" s="375" t="str">
        <f>IF(ISBLANK('RESUMEN VIGILANCIA'!AW108),"",'RESUMEN VIGILANCIA'!AW108)</f>
        <v/>
      </c>
      <c r="AY104" s="375" t="str">
        <f>IF(ISBLANK('RESUMEN VIGILANCIA'!AX108),"",'RESUMEN VIGILANCIA'!AX108)</f>
        <v/>
      </c>
      <c r="AZ104" s="375" t="str">
        <f>IF(ISBLANK('RESUMEN VIGILANCIA'!AY108),"",'RESUMEN VIGILANCIA'!AY108)</f>
        <v/>
      </c>
      <c r="BA104" s="376" t="str">
        <f>IF(ISBLANK('RESUMEN VIGILANCIA'!AZ108),"",'RESUMEN VIGILANCIA'!AZ108)</f>
        <v/>
      </c>
      <c r="BB104" s="240">
        <f t="shared" si="6"/>
        <v>293030.25</v>
      </c>
      <c r="BC104" s="110"/>
      <c r="BD104" s="110">
        <v>43831</v>
      </c>
    </row>
    <row r="105" spans="1:56" s="28" customFormat="1" ht="20.100000000000001" customHeight="1">
      <c r="A105" s="29" t="str">
        <f>'RESUMEN VIGILANCIA'!A109</f>
        <v>Familia Acosta Saravia</v>
      </c>
      <c r="B105" s="30" t="str">
        <f>'RESUMEN VIGILANCIA'!B109</f>
        <v>Calle Güigüe Nro. 89-10</v>
      </c>
      <c r="C105" s="427" t="s">
        <v>1358</v>
      </c>
      <c r="D105" s="434"/>
      <c r="E105" s="415" t="str">
        <f>IF(ISBLANK('RESUMEN VIGILANCIA'!D109),"",'RESUMEN VIGILANCIA'!D109)</f>
        <v/>
      </c>
      <c r="F105" s="267" t="str">
        <f>IF(ISBLANK('RESUMEN VIGILANCIA'!E109),"",'RESUMEN VIGILANCIA'!E109)</f>
        <v/>
      </c>
      <c r="G105" s="179" t="str">
        <f>IF(ISBLANK('RESUMEN VIGILANCIA'!F109),"",'RESUMEN VIGILANCIA'!F109)</f>
        <v/>
      </c>
      <c r="H105" s="179" t="str">
        <f>IF(ISBLANK('RESUMEN VIGILANCIA'!G109),"",'RESUMEN VIGILANCIA'!G109)</f>
        <v/>
      </c>
      <c r="I105" s="179" t="str">
        <f>IF(ISBLANK('RESUMEN VIGILANCIA'!H109),"",'RESUMEN VIGILANCIA'!H109)</f>
        <v/>
      </c>
      <c r="J105" s="179" t="str">
        <f>IF(ISBLANK('RESUMEN VIGILANCIA'!I109),"",'RESUMEN VIGILANCIA'!I109)</f>
        <v/>
      </c>
      <c r="K105" s="179" t="str">
        <f>IF(ISBLANK('RESUMEN VIGILANCIA'!J109),"",'RESUMEN VIGILANCIA'!J109)</f>
        <v/>
      </c>
      <c r="L105" s="179" t="str">
        <f>IF(ISBLANK('RESUMEN VIGILANCIA'!K109),"",'RESUMEN VIGILANCIA'!K109)</f>
        <v/>
      </c>
      <c r="M105" s="179" t="str">
        <f>IF(ISBLANK('RESUMEN VIGILANCIA'!L109),"",'RESUMEN VIGILANCIA'!L109)</f>
        <v/>
      </c>
      <c r="N105" s="179" t="str">
        <f>IF(ISBLANK('RESUMEN VIGILANCIA'!M109),"",'RESUMEN VIGILANCIA'!M109)</f>
        <v/>
      </c>
      <c r="O105" s="179" t="str">
        <f>IF(ISBLANK('RESUMEN VIGILANCIA'!N109),"",'RESUMEN VIGILANCIA'!N109)</f>
        <v/>
      </c>
      <c r="P105" s="268" t="str">
        <f>IF(ISBLANK('RESUMEN VIGILANCIA'!O109),"",'RESUMEN VIGILANCIA'!O109)</f>
        <v/>
      </c>
      <c r="Q105" s="177" t="str">
        <f>IF(ISBLANK('RESUMEN VIGILANCIA'!P109),"",'RESUMEN VIGILANCIA'!P109)</f>
        <v/>
      </c>
      <c r="R105" s="269" t="str">
        <f>IF(ISBLANK('RESUMEN VIGILANCIA'!Q109),"",'RESUMEN VIGILANCIA'!Q109)</f>
        <v/>
      </c>
      <c r="S105" s="268" t="str">
        <f>IF(ISBLANK('RESUMEN VIGILANCIA'!R109),"",'RESUMEN VIGILANCIA'!R109)</f>
        <v/>
      </c>
      <c r="T105" s="268" t="str">
        <f>IF(ISBLANK('RESUMEN VIGILANCIA'!S109),"",'RESUMEN VIGILANCIA'!S109)</f>
        <v/>
      </c>
      <c r="U105" s="268" t="str">
        <f>IF(ISBLANK('RESUMEN VIGILANCIA'!T109),"",'RESUMEN VIGILANCIA'!T109)</f>
        <v/>
      </c>
      <c r="V105" s="268" t="str">
        <f>IF(ISBLANK('RESUMEN VIGILANCIA'!U109),"",'RESUMEN VIGILANCIA'!U109)</f>
        <v/>
      </c>
      <c r="W105" s="268" t="str">
        <f>IF(ISBLANK('RESUMEN VIGILANCIA'!V109),"",'RESUMEN VIGILANCIA'!V109)</f>
        <v/>
      </c>
      <c r="X105" s="268" t="str">
        <f>IF(ISBLANK('RESUMEN VIGILANCIA'!W109),"",'RESUMEN VIGILANCIA'!W109)</f>
        <v/>
      </c>
      <c r="Y105" s="268" t="str">
        <f>IF(ISBLANK('RESUMEN VIGILANCIA'!X109),"",'RESUMEN VIGILANCIA'!X109)</f>
        <v/>
      </c>
      <c r="Z105" s="453" t="str">
        <f>IF(ISBLANK('RESUMEN VIGILANCIA'!Y109),"",'RESUMEN VIGILANCIA'!Y109)</f>
        <v/>
      </c>
      <c r="AA105" s="453" t="str">
        <f>IF(ISBLANK('RESUMEN VIGILANCIA'!Z109),"",'RESUMEN VIGILANCIA'!Z109)</f>
        <v/>
      </c>
      <c r="AB105" s="453" t="str">
        <f>IF(ISBLANK('RESUMEN VIGILANCIA'!AA109),"",'RESUMEN VIGILANCIA'!AA109)</f>
        <v/>
      </c>
      <c r="AC105" s="454" t="str">
        <f>IF(ISBLANK('RESUMEN VIGILANCIA'!AB109),"",'RESUMEN VIGILANCIA'!AB109)</f>
        <v/>
      </c>
      <c r="AD105" s="374" t="str">
        <f>IF(ISBLANK('RESUMEN VIGILANCIA'!AC109),"",'RESUMEN VIGILANCIA'!AC109)</f>
        <v/>
      </c>
      <c r="AE105" s="375" t="str">
        <f>IF(ISBLANK('RESUMEN VIGILANCIA'!AD109),"",'RESUMEN VIGILANCIA'!AD109)</f>
        <v/>
      </c>
      <c r="AF105" s="375" t="str">
        <f>IF(ISBLANK('RESUMEN VIGILANCIA'!AE109),"",'RESUMEN VIGILANCIA'!AE109)</f>
        <v/>
      </c>
      <c r="AG105" s="375" t="str">
        <f>IF(ISBLANK('RESUMEN VIGILANCIA'!AF109),"",'RESUMEN VIGILANCIA'!AF109)</f>
        <v/>
      </c>
      <c r="AH105" s="375" t="str">
        <f>IF(ISBLANK('RESUMEN VIGILANCIA'!AG109),"",'RESUMEN VIGILANCIA'!AG109)</f>
        <v/>
      </c>
      <c r="AI105" s="375" t="str">
        <f>IF(ISBLANK('RESUMEN VIGILANCIA'!AH109),"",'RESUMEN VIGILANCIA'!AH109)</f>
        <v/>
      </c>
      <c r="AJ105" s="375" t="str">
        <f>IF(ISBLANK('RESUMEN VIGILANCIA'!AI109),"",'RESUMEN VIGILANCIA'!AI109)</f>
        <v/>
      </c>
      <c r="AK105" s="375" t="str">
        <f>IF(ISBLANK('RESUMEN VIGILANCIA'!AJ109),"",'RESUMEN VIGILANCIA'!AJ109)</f>
        <v/>
      </c>
      <c r="AL105" s="375" t="str">
        <f>IF(ISBLANK('RESUMEN VIGILANCIA'!AK109),"",'RESUMEN VIGILANCIA'!AK109)</f>
        <v/>
      </c>
      <c r="AM105" s="375" t="str">
        <f>IF(ISBLANK('RESUMEN VIGILANCIA'!AL109),"",'RESUMEN VIGILANCIA'!AL109)</f>
        <v/>
      </c>
      <c r="AN105" s="375" t="str">
        <f>IF(ISBLANK('RESUMEN VIGILANCIA'!AM109),"",'RESUMEN VIGILANCIA'!AM109)</f>
        <v/>
      </c>
      <c r="AO105" s="376" t="str">
        <f>IF(ISBLANK('RESUMEN VIGILANCIA'!AN109),"",'RESUMEN VIGILANCIA'!AN109)</f>
        <v/>
      </c>
      <c r="AP105" s="374" t="str">
        <f>IF(ISBLANK('RESUMEN VIGILANCIA'!AO109),"",'RESUMEN VIGILANCIA'!AO109)</f>
        <v/>
      </c>
      <c r="AQ105" s="375">
        <f>IF(ISBLANK('RESUMEN VIGILANCIA'!AP109),"",'RESUMEN VIGILANCIA'!AP109)</f>
        <v>186000</v>
      </c>
      <c r="AR105" s="375">
        <f>IF(ISBLANK('RESUMEN VIGILANCIA'!AQ109),"",'RESUMEN VIGILANCIA'!AQ109)</f>
        <v>186000</v>
      </c>
      <c r="AS105" s="375">
        <f>IF(ISBLANK('RESUMEN VIGILANCIA'!AR109),"",'RESUMEN VIGILANCIA'!AR109)</f>
        <v>200000</v>
      </c>
      <c r="AT105" s="375">
        <f>IF(ISBLANK('RESUMEN VIGILANCIA'!AS109),"",'RESUMEN VIGILANCIA'!AS109)</f>
        <v>250000</v>
      </c>
      <c r="AU105" s="375">
        <f>IF(ISBLANK('RESUMEN VIGILANCIA'!AT109),"",'RESUMEN VIGILANCIA'!AT109)</f>
        <v>250000</v>
      </c>
      <c r="AV105" s="375" t="str">
        <f>IF(ISBLANK('RESUMEN VIGILANCIA'!AU109),"",'RESUMEN VIGILANCIA'!AU109)</f>
        <v/>
      </c>
      <c r="AW105" s="375" t="str">
        <f>IF(ISBLANK('RESUMEN VIGILANCIA'!AV109),"",'RESUMEN VIGILANCIA'!AV109)</f>
        <v/>
      </c>
      <c r="AX105" s="375" t="str">
        <f>IF(ISBLANK('RESUMEN VIGILANCIA'!AW109),"",'RESUMEN VIGILANCIA'!AW109)</f>
        <v/>
      </c>
      <c r="AY105" s="375" t="str">
        <f>IF(ISBLANK('RESUMEN VIGILANCIA'!AX109),"",'RESUMEN VIGILANCIA'!AX109)</f>
        <v/>
      </c>
      <c r="AZ105" s="375" t="str">
        <f>IF(ISBLANK('RESUMEN VIGILANCIA'!AY109),"",'RESUMEN VIGILANCIA'!AY109)</f>
        <v/>
      </c>
      <c r="BA105" s="376" t="str">
        <f>IF(ISBLANK('RESUMEN VIGILANCIA'!AZ109),"",'RESUMEN VIGILANCIA'!AZ109)</f>
        <v/>
      </c>
      <c r="BB105" s="240">
        <f t="shared" ref="BB105" si="10">SUM(E105:AO105)</f>
        <v>0</v>
      </c>
      <c r="BC105" s="110">
        <v>43862</v>
      </c>
      <c r="BD105" s="110"/>
    </row>
    <row r="106" spans="1:56" s="28" customFormat="1" ht="20.100000000000001" customHeight="1">
      <c r="A106" s="32" t="str">
        <f>'RESUMEN VIGILANCIA'!A110</f>
        <v>Silvia Power</v>
      </c>
      <c r="B106" s="33" t="str">
        <f>'RESUMEN VIGILANCIA'!B110</f>
        <v>Calle Güigüe Nro. 89-16</v>
      </c>
      <c r="C106" s="426" t="s">
        <v>1361</v>
      </c>
      <c r="D106" s="443" t="s">
        <v>17</v>
      </c>
      <c r="E106" s="414" t="str">
        <f>IF(ISBLANK('RESUMEN VIGILANCIA'!D110),"",'RESUMEN VIGILANCIA'!D110)</f>
        <v/>
      </c>
      <c r="F106" s="264">
        <f>IF(ISBLANK('RESUMEN VIGILANCIA'!E110),"",'RESUMEN VIGILANCIA'!E110)</f>
        <v>1.4999999999999999E-2</v>
      </c>
      <c r="G106" s="186">
        <f>IF(ISBLANK('RESUMEN VIGILANCIA'!F110),"",'RESUMEN VIGILANCIA'!F110)</f>
        <v>1.4999999999999999E-2</v>
      </c>
      <c r="H106" s="225" t="str">
        <f>IF(ISBLANK('RESUMEN VIGILANCIA'!G110),"",'RESUMEN VIGILANCIA'!G110)</f>
        <v>ü</v>
      </c>
      <c r="I106" s="225" t="str">
        <f>IF(ISBLANK('RESUMEN VIGILANCIA'!H110),"",'RESUMEN VIGILANCIA'!H110)</f>
        <v>ü</v>
      </c>
      <c r="J106" s="225" t="str">
        <f>IF(ISBLANK('RESUMEN VIGILANCIA'!I110),"",'RESUMEN VIGILANCIA'!I110)</f>
        <v>ü</v>
      </c>
      <c r="K106" s="225" t="str">
        <f>IF(ISBLANK('RESUMEN VIGILANCIA'!J110),"",'RESUMEN VIGILANCIA'!J110)</f>
        <v>ü</v>
      </c>
      <c r="L106" s="225" t="str">
        <f>IF(ISBLANK('RESUMEN VIGILANCIA'!K110),"",'RESUMEN VIGILANCIA'!K110)</f>
        <v>ü</v>
      </c>
      <c r="M106" s="225" t="str">
        <f>IF(ISBLANK('RESUMEN VIGILANCIA'!L110),"",'RESUMEN VIGILANCIA'!L110)</f>
        <v>ü</v>
      </c>
      <c r="N106" s="225" t="str">
        <f>IF(ISBLANK('RESUMEN VIGILANCIA'!M110),"",'RESUMEN VIGILANCIA'!M110)</f>
        <v>ü</v>
      </c>
      <c r="O106" s="225" t="str">
        <f>IF(ISBLANK('RESUMEN VIGILANCIA'!N110),"",'RESUMEN VIGILANCIA'!N110)</f>
        <v>ü</v>
      </c>
      <c r="P106" s="285" t="str">
        <f>IF(ISBLANK('RESUMEN VIGILANCIA'!O110),"",'RESUMEN VIGILANCIA'!O110)</f>
        <v>ü</v>
      </c>
      <c r="Q106" s="226" t="str">
        <f>IF(ISBLANK('RESUMEN VIGILANCIA'!P110),"",'RESUMEN VIGILANCIA'!P110)</f>
        <v>ü</v>
      </c>
      <c r="R106" s="286" t="str">
        <f>IF(ISBLANK('RESUMEN VIGILANCIA'!Q110),"",'RESUMEN VIGILANCIA'!Q110)</f>
        <v>ü</v>
      </c>
      <c r="S106" s="265">
        <f>IF(ISBLANK('RESUMEN VIGILANCIA'!R110),"",'RESUMEN VIGILANCIA'!R110)</f>
        <v>0.8</v>
      </c>
      <c r="T106" s="265">
        <f>IF(ISBLANK('RESUMEN VIGILANCIA'!S110),"",'RESUMEN VIGILANCIA'!S110)</f>
        <v>1.4</v>
      </c>
      <c r="U106" s="265">
        <f>IF(ISBLANK('RESUMEN VIGILANCIA'!T110),"",'RESUMEN VIGILANCIA'!T110)</f>
        <v>1.4</v>
      </c>
      <c r="V106" s="265">
        <f>IF(ISBLANK('RESUMEN VIGILANCIA'!U110),"",'RESUMEN VIGILANCIA'!U110)</f>
        <v>2</v>
      </c>
      <c r="W106" s="265">
        <f>IF(ISBLANK('RESUMEN VIGILANCIA'!V110),"",'RESUMEN VIGILANCIA'!V110)</f>
        <v>4.25</v>
      </c>
      <c r="X106" s="265">
        <f>IF(ISBLANK('RESUMEN VIGILANCIA'!W110),"",'RESUMEN VIGILANCIA'!W110)</f>
        <v>10</v>
      </c>
      <c r="Y106" s="265" t="str">
        <f>IF(ISBLANK('RESUMEN VIGILANCIA'!X110),"",'RESUMEN VIGILANCIA'!X110)</f>
        <v/>
      </c>
      <c r="Z106" s="457" t="str">
        <f>IF(ISBLANK('RESUMEN VIGILANCIA'!Y110),"",'RESUMEN VIGILANCIA'!Y110)</f>
        <v/>
      </c>
      <c r="AA106" s="457" t="str">
        <f>IF(ISBLANK('RESUMEN VIGILANCIA'!Z110),"",'RESUMEN VIGILANCIA'!Z110)</f>
        <v/>
      </c>
      <c r="AB106" s="457" t="str">
        <f>IF(ISBLANK('RESUMEN VIGILANCIA'!AA110),"",'RESUMEN VIGILANCIA'!AA110)</f>
        <v/>
      </c>
      <c r="AC106" s="458" t="str">
        <f>IF(ISBLANK('RESUMEN VIGILANCIA'!AB110),"",'RESUMEN VIGILANCIA'!AB110)</f>
        <v/>
      </c>
      <c r="AD106" s="371" t="str">
        <f>IF(ISBLANK('RESUMEN VIGILANCIA'!AC110),"",'RESUMEN VIGILANCIA'!AC110)</f>
        <v/>
      </c>
      <c r="AE106" s="372" t="str">
        <f>IF(ISBLANK('RESUMEN VIGILANCIA'!AD110),"",'RESUMEN VIGILANCIA'!AD110)</f>
        <v/>
      </c>
      <c r="AF106" s="372" t="str">
        <f>IF(ISBLANK('RESUMEN VIGILANCIA'!AE110),"",'RESUMEN VIGILANCIA'!AE110)</f>
        <v/>
      </c>
      <c r="AG106" s="372">
        <f>IF(ISBLANK('RESUMEN VIGILANCIA'!AF110),"",'RESUMEN VIGILANCIA'!AF110)</f>
        <v>5000</v>
      </c>
      <c r="AH106" s="372">
        <f>IF(ISBLANK('RESUMEN VIGILANCIA'!AG110),"",'RESUMEN VIGILANCIA'!AG110)</f>
        <v>5000</v>
      </c>
      <c r="AI106" s="372">
        <f>IF(ISBLANK('RESUMEN VIGILANCIA'!AH110),"",'RESUMEN VIGILANCIA'!AH110)</f>
        <v>5000</v>
      </c>
      <c r="AJ106" s="372">
        <f>IF(ISBLANK('RESUMEN VIGILANCIA'!AI110),"",'RESUMEN VIGILANCIA'!AI110)</f>
        <v>5000</v>
      </c>
      <c r="AK106" s="372">
        <f>IF(ISBLANK('RESUMEN VIGILANCIA'!AJ110),"",'RESUMEN VIGILANCIA'!AJ110)</f>
        <v>5000</v>
      </c>
      <c r="AL106" s="372">
        <f>IF(ISBLANK('RESUMEN VIGILANCIA'!AK110),"",'RESUMEN VIGILANCIA'!AK110)</f>
        <v>3500</v>
      </c>
      <c r="AM106" s="372">
        <f>IF(ISBLANK('RESUMEN VIGILANCIA'!AL110),"",'RESUMEN VIGILANCIA'!AL110)</f>
        <v>16000</v>
      </c>
      <c r="AN106" s="372">
        <f>IF(ISBLANK('RESUMEN VIGILANCIA'!AM110),"",'RESUMEN VIGILANCIA'!AM110)</f>
        <v>17000</v>
      </c>
      <c r="AO106" s="373">
        <f>IF(ISBLANK('RESUMEN VIGILANCIA'!AN110),"",'RESUMEN VIGILANCIA'!AN110)</f>
        <v>17000</v>
      </c>
      <c r="AP106" s="371">
        <f>IF(ISBLANK('RESUMEN VIGILANCIA'!AO110),"",'RESUMEN VIGILANCIA'!AO110)</f>
        <v>91400</v>
      </c>
      <c r="AQ106" s="372">
        <f>IF(ISBLANK('RESUMEN VIGILANCIA'!AP110),"",'RESUMEN VIGILANCIA'!AP110)</f>
        <v>91400</v>
      </c>
      <c r="AR106" s="372" t="str">
        <f>IF(ISBLANK('RESUMEN VIGILANCIA'!AQ110),"",'RESUMEN VIGILANCIA'!AQ110)</f>
        <v/>
      </c>
      <c r="AS106" s="372" t="str">
        <f>IF(ISBLANK('RESUMEN VIGILANCIA'!AR110),"",'RESUMEN VIGILANCIA'!AR110)</f>
        <v/>
      </c>
      <c r="AT106" s="372" t="str">
        <f>IF(ISBLANK('RESUMEN VIGILANCIA'!AS110),"",'RESUMEN VIGILANCIA'!AS110)</f>
        <v/>
      </c>
      <c r="AU106" s="372" t="str">
        <f>IF(ISBLANK('RESUMEN VIGILANCIA'!AT110),"",'RESUMEN VIGILANCIA'!AT110)</f>
        <v/>
      </c>
      <c r="AV106" s="372" t="str">
        <f>IF(ISBLANK('RESUMEN VIGILANCIA'!AU110),"",'RESUMEN VIGILANCIA'!AU110)</f>
        <v/>
      </c>
      <c r="AW106" s="372" t="str">
        <f>IF(ISBLANK('RESUMEN VIGILANCIA'!AV110),"",'RESUMEN VIGILANCIA'!AV110)</f>
        <v/>
      </c>
      <c r="AX106" s="372" t="str">
        <f>IF(ISBLANK('RESUMEN VIGILANCIA'!AW110),"",'RESUMEN VIGILANCIA'!AW110)</f>
        <v/>
      </c>
      <c r="AY106" s="372" t="str">
        <f>IF(ISBLANK('RESUMEN VIGILANCIA'!AX110),"",'RESUMEN VIGILANCIA'!AX110)</f>
        <v/>
      </c>
      <c r="AZ106" s="372" t="str">
        <f>IF(ISBLANK('RESUMEN VIGILANCIA'!AY110),"",'RESUMEN VIGILANCIA'!AY110)</f>
        <v/>
      </c>
      <c r="BA106" s="373" t="str">
        <f>IF(ISBLANK('RESUMEN VIGILANCIA'!AZ110),"",'RESUMEN VIGILANCIA'!AZ110)</f>
        <v/>
      </c>
      <c r="BB106" s="239">
        <f t="shared" ref="BB106:BB140" si="11">SUM(E106:AO106)</f>
        <v>78519.88</v>
      </c>
      <c r="BC106" s="109"/>
      <c r="BD106" s="109"/>
    </row>
    <row r="107" spans="1:56" s="28" customFormat="1" ht="20.100000000000001" customHeight="1">
      <c r="A107" s="32" t="str">
        <f>'RESUMEN VIGILANCIA'!A111</f>
        <v>Mibzar Cárdenas</v>
      </c>
      <c r="B107" s="33" t="str">
        <f>'RESUMEN VIGILANCIA'!B111</f>
        <v>Calle Güigüe Nro. 89-16</v>
      </c>
      <c r="C107" s="426" t="s">
        <v>1362</v>
      </c>
      <c r="D107" s="443" t="s">
        <v>17</v>
      </c>
      <c r="E107" s="414" t="str">
        <f>IF(ISBLANK('RESUMEN VIGILANCIA'!D111),"",'RESUMEN VIGILANCIA'!D111)</f>
        <v/>
      </c>
      <c r="F107" s="264" t="str">
        <f>IF(ISBLANK('RESUMEN VIGILANCIA'!E111),"",'RESUMEN VIGILANCIA'!E111)</f>
        <v/>
      </c>
      <c r="G107" s="186" t="str">
        <f>IF(ISBLANK('RESUMEN VIGILANCIA'!F111),"",'RESUMEN VIGILANCIA'!F111)</f>
        <v/>
      </c>
      <c r="H107" s="225" t="str">
        <f>IF(ISBLANK('RESUMEN VIGILANCIA'!G111),"",'RESUMEN VIGILANCIA'!G111)</f>
        <v/>
      </c>
      <c r="I107" s="225" t="str">
        <f>IF(ISBLANK('RESUMEN VIGILANCIA'!H111),"",'RESUMEN VIGILANCIA'!H111)</f>
        <v/>
      </c>
      <c r="J107" s="225" t="str">
        <f>IF(ISBLANK('RESUMEN VIGILANCIA'!I111),"",'RESUMEN VIGILANCIA'!I111)</f>
        <v/>
      </c>
      <c r="K107" s="225" t="str">
        <f>IF(ISBLANK('RESUMEN VIGILANCIA'!J111),"",'RESUMEN VIGILANCIA'!J111)</f>
        <v/>
      </c>
      <c r="L107" s="225" t="str">
        <f>IF(ISBLANK('RESUMEN VIGILANCIA'!K111),"",'RESUMEN VIGILANCIA'!K111)</f>
        <v/>
      </c>
      <c r="M107" s="225" t="str">
        <f>IF(ISBLANK('RESUMEN VIGILANCIA'!L111),"",'RESUMEN VIGILANCIA'!L111)</f>
        <v/>
      </c>
      <c r="N107" s="225" t="str">
        <f>IF(ISBLANK('RESUMEN VIGILANCIA'!M111),"",'RESUMEN VIGILANCIA'!M111)</f>
        <v/>
      </c>
      <c r="O107" s="225" t="str">
        <f>IF(ISBLANK('RESUMEN VIGILANCIA'!N111),"",'RESUMEN VIGILANCIA'!N111)</f>
        <v/>
      </c>
      <c r="P107" s="285" t="str">
        <f>IF(ISBLANK('RESUMEN VIGILANCIA'!O111),"",'RESUMEN VIGILANCIA'!O111)</f>
        <v/>
      </c>
      <c r="Q107" s="226" t="str">
        <f>IF(ISBLANK('RESUMEN VIGILANCIA'!P111),"",'RESUMEN VIGILANCIA'!P111)</f>
        <v/>
      </c>
      <c r="R107" s="286" t="str">
        <f>IF(ISBLANK('RESUMEN VIGILANCIA'!Q111),"",'RESUMEN VIGILANCIA'!Q111)</f>
        <v/>
      </c>
      <c r="S107" s="265" t="str">
        <f>IF(ISBLANK('RESUMEN VIGILANCIA'!R111),"",'RESUMEN VIGILANCIA'!R111)</f>
        <v/>
      </c>
      <c r="T107" s="265" t="str">
        <f>IF(ISBLANK('RESUMEN VIGILANCIA'!S111),"",'RESUMEN VIGILANCIA'!S111)</f>
        <v/>
      </c>
      <c r="U107" s="265" t="str">
        <f>IF(ISBLANK('RESUMEN VIGILANCIA'!T111),"",'RESUMEN VIGILANCIA'!T111)</f>
        <v/>
      </c>
      <c r="V107" s="265" t="str">
        <f>IF(ISBLANK('RESUMEN VIGILANCIA'!U111),"",'RESUMEN VIGILANCIA'!U111)</f>
        <v/>
      </c>
      <c r="W107" s="265" t="str">
        <f>IF(ISBLANK('RESUMEN VIGILANCIA'!V111),"",'RESUMEN VIGILANCIA'!V111)</f>
        <v/>
      </c>
      <c r="X107" s="265" t="str">
        <f>IF(ISBLANK('RESUMEN VIGILANCIA'!W111),"",'RESUMEN VIGILANCIA'!W111)</f>
        <v/>
      </c>
      <c r="Y107" s="265" t="str">
        <f>IF(ISBLANK('RESUMEN VIGILANCIA'!X111),"",'RESUMEN VIGILANCIA'!X111)</f>
        <v/>
      </c>
      <c r="Z107" s="457" t="str">
        <f>IF(ISBLANK('RESUMEN VIGILANCIA'!Y111),"",'RESUMEN VIGILANCIA'!Y111)</f>
        <v/>
      </c>
      <c r="AA107" s="457" t="str">
        <f>IF(ISBLANK('RESUMEN VIGILANCIA'!Z111),"",'RESUMEN VIGILANCIA'!Z111)</f>
        <v/>
      </c>
      <c r="AB107" s="457" t="str">
        <f>IF(ISBLANK('RESUMEN VIGILANCIA'!AA111),"",'RESUMEN VIGILANCIA'!AA111)</f>
        <v/>
      </c>
      <c r="AC107" s="458" t="str">
        <f>IF(ISBLANK('RESUMEN VIGILANCIA'!AB111),"",'RESUMEN VIGILANCIA'!AB111)</f>
        <v/>
      </c>
      <c r="AD107" s="371" t="str">
        <f>IF(ISBLANK('RESUMEN VIGILANCIA'!AC111),"",'RESUMEN VIGILANCIA'!AC111)</f>
        <v/>
      </c>
      <c r="AE107" s="372" t="str">
        <f>IF(ISBLANK('RESUMEN VIGILANCIA'!AD111),"",'RESUMEN VIGILANCIA'!AD111)</f>
        <v/>
      </c>
      <c r="AF107" s="372" t="str">
        <f>IF(ISBLANK('RESUMEN VIGILANCIA'!AE111),"",'RESUMEN VIGILANCIA'!AE111)</f>
        <v/>
      </c>
      <c r="AG107" s="372" t="str">
        <f>IF(ISBLANK('RESUMEN VIGILANCIA'!AF111),"",'RESUMEN VIGILANCIA'!AF111)</f>
        <v/>
      </c>
      <c r="AH107" s="372" t="str">
        <f>IF(ISBLANK('RESUMEN VIGILANCIA'!AG111),"",'RESUMEN VIGILANCIA'!AG111)</f>
        <v/>
      </c>
      <c r="AI107" s="372" t="str">
        <f>IF(ISBLANK('RESUMEN VIGILANCIA'!AH111),"",'RESUMEN VIGILANCIA'!AH111)</f>
        <v/>
      </c>
      <c r="AJ107" s="372" t="str">
        <f>IF(ISBLANK('RESUMEN VIGILANCIA'!AI111),"",'RESUMEN VIGILANCIA'!AI111)</f>
        <v/>
      </c>
      <c r="AK107" s="372" t="str">
        <f>IF(ISBLANK('RESUMEN VIGILANCIA'!AJ111),"",'RESUMEN VIGILANCIA'!AJ111)</f>
        <v/>
      </c>
      <c r="AL107" s="372" t="str">
        <f>IF(ISBLANK('RESUMEN VIGILANCIA'!AK111),"",'RESUMEN VIGILANCIA'!AK111)</f>
        <v/>
      </c>
      <c r="AM107" s="372" t="str">
        <f>IF(ISBLANK('RESUMEN VIGILANCIA'!AL111),"",'RESUMEN VIGILANCIA'!AL111)</f>
        <v/>
      </c>
      <c r="AN107" s="372" t="str">
        <f>IF(ISBLANK('RESUMEN VIGILANCIA'!AM111),"",'RESUMEN VIGILANCIA'!AM111)</f>
        <v/>
      </c>
      <c r="AO107" s="373" t="str">
        <f>IF(ISBLANK('RESUMEN VIGILANCIA'!AN111),"",'RESUMEN VIGILANCIA'!AN111)</f>
        <v/>
      </c>
      <c r="AP107" s="371" t="str">
        <f>IF(ISBLANK('RESUMEN VIGILANCIA'!AO111),"",'RESUMEN VIGILANCIA'!AO111)</f>
        <v/>
      </c>
      <c r="AQ107" s="372" t="str">
        <f>IF(ISBLANK('RESUMEN VIGILANCIA'!AP111),"",'RESUMEN VIGILANCIA'!AP111)</f>
        <v/>
      </c>
      <c r="AR107" s="372" t="str">
        <f>IF(ISBLANK('RESUMEN VIGILANCIA'!AQ111),"",'RESUMEN VIGILANCIA'!AQ111)</f>
        <v/>
      </c>
      <c r="AS107" s="372" t="str">
        <f>IF(ISBLANK('RESUMEN VIGILANCIA'!AR111),"",'RESUMEN VIGILANCIA'!AR111)</f>
        <v/>
      </c>
      <c r="AT107" s="372" t="str">
        <f>IF(ISBLANK('RESUMEN VIGILANCIA'!AS111),"",'RESUMEN VIGILANCIA'!AS111)</f>
        <v/>
      </c>
      <c r="AU107" s="372" t="str">
        <f>IF(ISBLANK('RESUMEN VIGILANCIA'!AT111),"",'RESUMEN VIGILANCIA'!AT111)</f>
        <v/>
      </c>
      <c r="AV107" s="372" t="str">
        <f>IF(ISBLANK('RESUMEN VIGILANCIA'!AU111),"",'RESUMEN VIGILANCIA'!AU111)</f>
        <v/>
      </c>
      <c r="AW107" s="372" t="str">
        <f>IF(ISBLANK('RESUMEN VIGILANCIA'!AV111),"",'RESUMEN VIGILANCIA'!AV111)</f>
        <v/>
      </c>
      <c r="AX107" s="372" t="str">
        <f>IF(ISBLANK('RESUMEN VIGILANCIA'!AW111),"",'RESUMEN VIGILANCIA'!AW111)</f>
        <v/>
      </c>
      <c r="AY107" s="372" t="str">
        <f>IF(ISBLANK('RESUMEN VIGILANCIA'!AX111),"",'RESUMEN VIGILANCIA'!AX111)</f>
        <v/>
      </c>
      <c r="AZ107" s="372" t="str">
        <f>IF(ISBLANK('RESUMEN VIGILANCIA'!AY111),"",'RESUMEN VIGILANCIA'!AY111)</f>
        <v/>
      </c>
      <c r="BA107" s="373" t="str">
        <f>IF(ISBLANK('RESUMEN VIGILANCIA'!AZ111),"",'RESUMEN VIGILANCIA'!AZ111)</f>
        <v/>
      </c>
      <c r="BB107" s="239">
        <f t="shared" ref="BB107" si="12">SUM(E107:AO107)</f>
        <v>0</v>
      </c>
      <c r="BC107" s="444"/>
      <c r="BD107" s="109"/>
    </row>
    <row r="108" spans="1:56" s="28" customFormat="1" ht="20.100000000000001" customHeight="1">
      <c r="A108" s="29" t="str">
        <f>'RESUMEN VIGILANCIA'!A116</f>
        <v>Familia Molina Estopiñán</v>
      </c>
      <c r="B108" s="30" t="str">
        <f>'RESUMEN VIGILANCIA'!B116</f>
        <v>Calle Güigüe Nro. 89-30</v>
      </c>
      <c r="C108" s="427" t="s">
        <v>1362</v>
      </c>
      <c r="D108" s="442" t="s">
        <v>17</v>
      </c>
      <c r="E108" s="415" t="str">
        <f>IF(ISBLANK('RESUMEN VIGILANCIA'!D116),"",'RESUMEN VIGILANCIA'!D116)</f>
        <v/>
      </c>
      <c r="F108" s="267" t="str">
        <f>IF(ISBLANK('RESUMEN VIGILANCIA'!E116),"",'RESUMEN VIGILANCIA'!E116)</f>
        <v/>
      </c>
      <c r="G108" s="179" t="str">
        <f>IF(ISBLANK('RESUMEN VIGILANCIA'!F116),"",'RESUMEN VIGILANCIA'!F116)</f>
        <v/>
      </c>
      <c r="H108" s="179" t="str">
        <f>IF(ISBLANK('RESUMEN VIGILANCIA'!G116),"",'RESUMEN VIGILANCIA'!G116)</f>
        <v/>
      </c>
      <c r="I108" s="179" t="str">
        <f>IF(ISBLANK('RESUMEN VIGILANCIA'!H116),"",'RESUMEN VIGILANCIA'!H116)</f>
        <v/>
      </c>
      <c r="J108" s="179" t="str">
        <f>IF(ISBLANK('RESUMEN VIGILANCIA'!I116),"",'RESUMEN VIGILANCIA'!I116)</f>
        <v/>
      </c>
      <c r="K108" s="179" t="str">
        <f>IF(ISBLANK('RESUMEN VIGILANCIA'!J116),"",'RESUMEN VIGILANCIA'!J116)</f>
        <v/>
      </c>
      <c r="L108" s="179" t="str">
        <f>IF(ISBLANK('RESUMEN VIGILANCIA'!K116),"",'RESUMEN VIGILANCIA'!K116)</f>
        <v/>
      </c>
      <c r="M108" s="179" t="str">
        <f>IF(ISBLANK('RESUMEN VIGILANCIA'!L116),"",'RESUMEN VIGILANCIA'!L116)</f>
        <v/>
      </c>
      <c r="N108" s="179" t="str">
        <f>IF(ISBLANK('RESUMEN VIGILANCIA'!M116),"",'RESUMEN VIGILANCIA'!M116)</f>
        <v/>
      </c>
      <c r="O108" s="179" t="str">
        <f>IF(ISBLANK('RESUMEN VIGILANCIA'!N116),"",'RESUMEN VIGILANCIA'!N116)</f>
        <v/>
      </c>
      <c r="P108" s="268" t="str">
        <f>IF(ISBLANK('RESUMEN VIGILANCIA'!O116),"",'RESUMEN VIGILANCIA'!O116)</f>
        <v/>
      </c>
      <c r="Q108" s="177" t="str">
        <f>IF(ISBLANK('RESUMEN VIGILANCIA'!P116),"",'RESUMEN VIGILANCIA'!P116)</f>
        <v/>
      </c>
      <c r="R108" s="269" t="str">
        <f>IF(ISBLANK('RESUMEN VIGILANCIA'!Q116),"",'RESUMEN VIGILANCIA'!Q116)</f>
        <v/>
      </c>
      <c r="S108" s="268" t="str">
        <f>IF(ISBLANK('RESUMEN VIGILANCIA'!R116),"",'RESUMEN VIGILANCIA'!R116)</f>
        <v/>
      </c>
      <c r="T108" s="268" t="str">
        <f>IF(ISBLANK('RESUMEN VIGILANCIA'!S116),"",'RESUMEN VIGILANCIA'!S116)</f>
        <v/>
      </c>
      <c r="U108" s="268" t="str">
        <f>IF(ISBLANK('RESUMEN VIGILANCIA'!T116),"",'RESUMEN VIGILANCIA'!T116)</f>
        <v/>
      </c>
      <c r="V108" s="268" t="str">
        <f>IF(ISBLANK('RESUMEN VIGILANCIA'!U116),"",'RESUMEN VIGILANCIA'!U116)</f>
        <v/>
      </c>
      <c r="W108" s="268" t="str">
        <f>IF(ISBLANK('RESUMEN VIGILANCIA'!V116),"",'RESUMEN VIGILANCIA'!V116)</f>
        <v/>
      </c>
      <c r="X108" s="268" t="str">
        <f>IF(ISBLANK('RESUMEN VIGILANCIA'!W116),"",'RESUMEN VIGILANCIA'!W116)</f>
        <v/>
      </c>
      <c r="Y108" s="268" t="str">
        <f>IF(ISBLANK('RESUMEN VIGILANCIA'!X116),"",'RESUMEN VIGILANCIA'!X116)</f>
        <v/>
      </c>
      <c r="Z108" s="453" t="str">
        <f>IF(ISBLANK('RESUMEN VIGILANCIA'!Y116),"",'RESUMEN VIGILANCIA'!Y116)</f>
        <v/>
      </c>
      <c r="AA108" s="453" t="str">
        <f>IF(ISBLANK('RESUMEN VIGILANCIA'!Z116),"",'RESUMEN VIGILANCIA'!Z116)</f>
        <v/>
      </c>
      <c r="AB108" s="453" t="str">
        <f>IF(ISBLANK('RESUMEN VIGILANCIA'!AA116),"",'RESUMEN VIGILANCIA'!AA116)</f>
        <v/>
      </c>
      <c r="AC108" s="454" t="str">
        <f>IF(ISBLANK('RESUMEN VIGILANCIA'!AB116),"",'RESUMEN VIGILANCIA'!AB116)</f>
        <v/>
      </c>
      <c r="AD108" s="374" t="str">
        <f>IF(ISBLANK('RESUMEN VIGILANCIA'!AC116),"",'RESUMEN VIGILANCIA'!AC116)</f>
        <v/>
      </c>
      <c r="AE108" s="375" t="str">
        <f>IF(ISBLANK('RESUMEN VIGILANCIA'!AD116),"",'RESUMEN VIGILANCIA'!AD116)</f>
        <v/>
      </c>
      <c r="AF108" s="375" t="str">
        <f>IF(ISBLANK('RESUMEN VIGILANCIA'!AE116),"",'RESUMEN VIGILANCIA'!AE116)</f>
        <v/>
      </c>
      <c r="AG108" s="375" t="str">
        <f>IF(ISBLANK('RESUMEN VIGILANCIA'!AF116),"",'RESUMEN VIGILANCIA'!AF116)</f>
        <v/>
      </c>
      <c r="AH108" s="375" t="str">
        <f>IF(ISBLANK('RESUMEN VIGILANCIA'!AG116),"",'RESUMEN VIGILANCIA'!AG116)</f>
        <v/>
      </c>
      <c r="AI108" s="375" t="str">
        <f>IF(ISBLANK('RESUMEN VIGILANCIA'!AH116),"",'RESUMEN VIGILANCIA'!AH116)</f>
        <v/>
      </c>
      <c r="AJ108" s="375" t="str">
        <f>IF(ISBLANK('RESUMEN VIGILANCIA'!AI116),"",'RESUMEN VIGILANCIA'!AI116)</f>
        <v/>
      </c>
      <c r="AK108" s="375" t="str">
        <f>IF(ISBLANK('RESUMEN VIGILANCIA'!AJ116),"",'RESUMEN VIGILANCIA'!AJ116)</f>
        <v/>
      </c>
      <c r="AL108" s="375" t="str">
        <f>IF(ISBLANK('RESUMEN VIGILANCIA'!AK116),"",'RESUMEN VIGILANCIA'!AK116)</f>
        <v/>
      </c>
      <c r="AM108" s="375" t="str">
        <f>IF(ISBLANK('RESUMEN VIGILANCIA'!AL116),"",'RESUMEN VIGILANCIA'!AL116)</f>
        <v/>
      </c>
      <c r="AN108" s="375" t="str">
        <f>IF(ISBLANK('RESUMEN VIGILANCIA'!AM116),"",'RESUMEN VIGILANCIA'!AM116)</f>
        <v/>
      </c>
      <c r="AO108" s="376" t="str">
        <f>IF(ISBLANK('RESUMEN VIGILANCIA'!AN116),"",'RESUMEN VIGILANCIA'!AN116)</f>
        <v/>
      </c>
      <c r="AP108" s="374" t="str">
        <f>IF(ISBLANK('RESUMEN VIGILANCIA'!AO116),"",'RESUMEN VIGILANCIA'!AO116)</f>
        <v/>
      </c>
      <c r="AQ108" s="375" t="str">
        <f>IF(ISBLANK('RESUMEN VIGILANCIA'!AP116),"",'RESUMEN VIGILANCIA'!AP116)</f>
        <v/>
      </c>
      <c r="AR108" s="375" t="str">
        <f>IF(ISBLANK('RESUMEN VIGILANCIA'!AQ116),"",'RESUMEN VIGILANCIA'!AQ116)</f>
        <v/>
      </c>
      <c r="AS108" s="375" t="str">
        <f>IF(ISBLANK('RESUMEN VIGILANCIA'!AR116),"",'RESUMEN VIGILANCIA'!AR116)</f>
        <v/>
      </c>
      <c r="AT108" s="375" t="str">
        <f>IF(ISBLANK('RESUMEN VIGILANCIA'!AS116),"",'RESUMEN VIGILANCIA'!AS116)</f>
        <v/>
      </c>
      <c r="AU108" s="375" t="str">
        <f>IF(ISBLANK('RESUMEN VIGILANCIA'!AT116),"",'RESUMEN VIGILANCIA'!AT116)</f>
        <v/>
      </c>
      <c r="AV108" s="375" t="str">
        <f>IF(ISBLANK('RESUMEN VIGILANCIA'!AU116),"",'RESUMEN VIGILANCIA'!AU116)</f>
        <v/>
      </c>
      <c r="AW108" s="375" t="str">
        <f>IF(ISBLANK('RESUMEN VIGILANCIA'!AV116),"",'RESUMEN VIGILANCIA'!AV116)</f>
        <v/>
      </c>
      <c r="AX108" s="375" t="str">
        <f>IF(ISBLANK('RESUMEN VIGILANCIA'!AW116),"",'RESUMEN VIGILANCIA'!AW116)</f>
        <v/>
      </c>
      <c r="AY108" s="375" t="str">
        <f>IF(ISBLANK('RESUMEN VIGILANCIA'!AX116),"",'RESUMEN VIGILANCIA'!AX116)</f>
        <v/>
      </c>
      <c r="AZ108" s="375" t="str">
        <f>IF(ISBLANK('RESUMEN VIGILANCIA'!AY116),"",'RESUMEN VIGILANCIA'!AY116)</f>
        <v/>
      </c>
      <c r="BA108" s="376" t="str">
        <f>IF(ISBLANK('RESUMEN VIGILANCIA'!AZ116),"",'RESUMEN VIGILANCIA'!AZ116)</f>
        <v/>
      </c>
      <c r="BB108" s="240">
        <f t="shared" si="11"/>
        <v>0</v>
      </c>
      <c r="BC108" s="110"/>
      <c r="BD108" s="110"/>
    </row>
    <row r="109" spans="1:56" s="28" customFormat="1" ht="20.100000000000001" customHeight="1">
      <c r="A109" s="32" t="str">
        <f>'RESUMEN VIGILANCIA'!A117</f>
        <v>Familia Sirit Palencia</v>
      </c>
      <c r="B109" s="33" t="str">
        <f>'RESUMEN VIGILANCIA'!B117</f>
        <v>Calle Güigüe Nro. 89-35</v>
      </c>
      <c r="C109" s="426" t="s">
        <v>1361</v>
      </c>
      <c r="D109" s="435" t="s">
        <v>1357</v>
      </c>
      <c r="E109" s="414" t="str">
        <f>IF(ISBLANK('RESUMEN VIGILANCIA'!D117),"",'RESUMEN VIGILANCIA'!D117)</f>
        <v/>
      </c>
      <c r="F109" s="264" t="str">
        <f>IF(ISBLANK('RESUMEN VIGILANCIA'!E117),"",'RESUMEN VIGILANCIA'!E117)</f>
        <v/>
      </c>
      <c r="G109" s="186" t="str">
        <f>IF(ISBLANK('RESUMEN VIGILANCIA'!F117),"",'RESUMEN VIGILANCIA'!F117)</f>
        <v/>
      </c>
      <c r="H109" s="186" t="str">
        <f>IF(ISBLANK('RESUMEN VIGILANCIA'!G117),"",'RESUMEN VIGILANCIA'!G117)</f>
        <v/>
      </c>
      <c r="I109" s="186">
        <f>IF(ISBLANK('RESUMEN VIGILANCIA'!H117),"",'RESUMEN VIGILANCIA'!H117)</f>
        <v>0.05</v>
      </c>
      <c r="J109" s="186" t="str">
        <f>IF(ISBLANK('RESUMEN VIGILANCIA'!I117),"",'RESUMEN VIGILANCIA'!I117)</f>
        <v/>
      </c>
      <c r="K109" s="186" t="str">
        <f>IF(ISBLANK('RESUMEN VIGILANCIA'!J117),"",'RESUMEN VIGILANCIA'!J117)</f>
        <v/>
      </c>
      <c r="L109" s="186" t="str">
        <f>IF(ISBLANK('RESUMEN VIGILANCIA'!K117),"",'RESUMEN VIGILANCIA'!K117)</f>
        <v/>
      </c>
      <c r="M109" s="186">
        <f>IF(ISBLANK('RESUMEN VIGILANCIA'!L117),"",'RESUMEN VIGILANCIA'!L117)</f>
        <v>0.1</v>
      </c>
      <c r="N109" s="186">
        <f>IF(ISBLANK('RESUMEN VIGILANCIA'!M117),"",'RESUMEN VIGILANCIA'!M117)</f>
        <v>0.1</v>
      </c>
      <c r="O109" s="186" t="str">
        <f>IF(ISBLANK('RESUMEN VIGILANCIA'!N117),"",'RESUMEN VIGILANCIA'!N117)</f>
        <v/>
      </c>
      <c r="P109" s="265" t="str">
        <f>IF(ISBLANK('RESUMEN VIGILANCIA'!O117),"",'RESUMEN VIGILANCIA'!O117)</f>
        <v/>
      </c>
      <c r="Q109" s="184" t="str">
        <f>IF(ISBLANK('RESUMEN VIGILANCIA'!P117),"",'RESUMEN VIGILANCIA'!P117)</f>
        <v/>
      </c>
      <c r="R109" s="266" t="str">
        <f>IF(ISBLANK('RESUMEN VIGILANCIA'!Q117),"",'RESUMEN VIGILANCIA'!Q117)</f>
        <v/>
      </c>
      <c r="S109" s="265" t="str">
        <f>IF(ISBLANK('RESUMEN VIGILANCIA'!R117),"",'RESUMEN VIGILANCIA'!R117)</f>
        <v/>
      </c>
      <c r="T109" s="265" t="str">
        <f>IF(ISBLANK('RESUMEN VIGILANCIA'!S117),"",'RESUMEN VIGILANCIA'!S117)</f>
        <v/>
      </c>
      <c r="U109" s="265" t="str">
        <f>IF(ISBLANK('RESUMEN VIGILANCIA'!T117),"",'RESUMEN VIGILANCIA'!T117)</f>
        <v/>
      </c>
      <c r="V109" s="265" t="str">
        <f>IF(ISBLANK('RESUMEN VIGILANCIA'!U117),"",'RESUMEN VIGILANCIA'!U117)</f>
        <v/>
      </c>
      <c r="W109" s="265" t="str">
        <f>IF(ISBLANK('RESUMEN VIGILANCIA'!V117),"",'RESUMEN VIGILANCIA'!V117)</f>
        <v/>
      </c>
      <c r="X109" s="265">
        <f>IF(ISBLANK('RESUMEN VIGILANCIA'!W117),"",'RESUMEN VIGILANCIA'!W117)</f>
        <v>5</v>
      </c>
      <c r="Y109" s="265" t="str">
        <f>IF(ISBLANK('RESUMEN VIGILANCIA'!X117),"",'RESUMEN VIGILANCIA'!X117)</f>
        <v/>
      </c>
      <c r="Z109" s="457" t="str">
        <f>IF(ISBLANK('RESUMEN VIGILANCIA'!Y117),"",'RESUMEN VIGILANCIA'!Y117)</f>
        <v/>
      </c>
      <c r="AA109" s="457">
        <f>IF(ISBLANK('RESUMEN VIGILANCIA'!Z117),"",'RESUMEN VIGILANCIA'!Z117)</f>
        <v>320</v>
      </c>
      <c r="AB109" s="457">
        <f>IF(ISBLANK('RESUMEN VIGILANCIA'!AA117),"",'RESUMEN VIGILANCIA'!AA117)</f>
        <v>320</v>
      </c>
      <c r="AC109" s="458">
        <f>IF(ISBLANK('RESUMEN VIGILANCIA'!AB117),"",'RESUMEN VIGILANCIA'!AB117)</f>
        <v>800</v>
      </c>
      <c r="AD109" s="371">
        <f>IF(ISBLANK('RESUMEN VIGILANCIA'!AC117),"",'RESUMEN VIGILANCIA'!AC117)</f>
        <v>960</v>
      </c>
      <c r="AE109" s="372">
        <f>IF(ISBLANK('RESUMEN VIGILANCIA'!AD117),"",'RESUMEN VIGILANCIA'!AD117)</f>
        <v>1500</v>
      </c>
      <c r="AF109" s="372">
        <f>IF(ISBLANK('RESUMEN VIGILANCIA'!AE117),"",'RESUMEN VIGILANCIA'!AE117)</f>
        <v>3000</v>
      </c>
      <c r="AG109" s="372">
        <f>IF(ISBLANK('RESUMEN VIGILANCIA'!AF117),"",'RESUMEN VIGILANCIA'!AF117)</f>
        <v>5000</v>
      </c>
      <c r="AH109" s="372">
        <f>IF(ISBLANK('RESUMEN VIGILANCIA'!AG117),"",'RESUMEN VIGILANCIA'!AG117)</f>
        <v>8000</v>
      </c>
      <c r="AI109" s="372">
        <f>IF(ISBLANK('RESUMEN VIGILANCIA'!AH117),"",'RESUMEN VIGILANCIA'!AH117)</f>
        <v>8000</v>
      </c>
      <c r="AJ109" s="372">
        <f>IF(ISBLANK('RESUMEN VIGILANCIA'!AI117),"",'RESUMEN VIGILANCIA'!AI117)</f>
        <v>10000</v>
      </c>
      <c r="AK109" s="372">
        <f>IF(ISBLANK('RESUMEN VIGILANCIA'!AJ117),"",'RESUMEN VIGILANCIA'!AJ117)</f>
        <v>10000</v>
      </c>
      <c r="AL109" s="372">
        <f>IF(ISBLANK('RESUMEN VIGILANCIA'!AK117),"",'RESUMEN VIGILANCIA'!AK117)</f>
        <v>21600</v>
      </c>
      <c r="AM109" s="372">
        <f>IF(ISBLANK('RESUMEN VIGILANCIA'!AL117),"",'RESUMEN VIGILANCIA'!AL117)</f>
        <v>21100</v>
      </c>
      <c r="AN109" s="372">
        <f>IF(ISBLANK('RESUMEN VIGILANCIA'!AM117),"",'RESUMEN VIGILANCIA'!AM117)</f>
        <v>100000</v>
      </c>
      <c r="AO109" s="373">
        <f>IF(ISBLANK('RESUMEN VIGILANCIA'!AN117),"",'RESUMEN VIGILANCIA'!AN117)</f>
        <v>100000</v>
      </c>
      <c r="AP109" s="371">
        <f>IF(ISBLANK('RESUMEN VIGILANCIA'!AO117),"",'RESUMEN VIGILANCIA'!AO117)</f>
        <v>100000</v>
      </c>
      <c r="AQ109" s="372">
        <f>IF(ISBLANK('RESUMEN VIGILANCIA'!AP117),"",'RESUMEN VIGILANCIA'!AP117)</f>
        <v>100000</v>
      </c>
      <c r="AR109" s="372">
        <f>IF(ISBLANK('RESUMEN VIGILANCIA'!AQ117),"",'RESUMEN VIGILANCIA'!AQ117)</f>
        <v>100000</v>
      </c>
      <c r="AS109" s="372">
        <f>IF(ISBLANK('RESUMEN VIGILANCIA'!AR117),"",'RESUMEN VIGILANCIA'!AR117)</f>
        <v>175000</v>
      </c>
      <c r="AT109" s="372">
        <f>IF(ISBLANK('RESUMEN VIGILANCIA'!AS117),"",'RESUMEN VIGILANCIA'!AS117)</f>
        <v>175000</v>
      </c>
      <c r="AU109" s="372" t="str">
        <f>IF(ISBLANK('RESUMEN VIGILANCIA'!AT117),"",'RESUMEN VIGILANCIA'!AT117)</f>
        <v/>
      </c>
      <c r="AV109" s="372" t="str">
        <f>IF(ISBLANK('RESUMEN VIGILANCIA'!AU117),"",'RESUMEN VIGILANCIA'!AU117)</f>
        <v/>
      </c>
      <c r="AW109" s="372" t="str">
        <f>IF(ISBLANK('RESUMEN VIGILANCIA'!AV117),"",'RESUMEN VIGILANCIA'!AV117)</f>
        <v/>
      </c>
      <c r="AX109" s="372" t="str">
        <f>IF(ISBLANK('RESUMEN VIGILANCIA'!AW117),"",'RESUMEN VIGILANCIA'!AW117)</f>
        <v/>
      </c>
      <c r="AY109" s="372" t="str">
        <f>IF(ISBLANK('RESUMEN VIGILANCIA'!AX117),"",'RESUMEN VIGILANCIA'!AX117)</f>
        <v/>
      </c>
      <c r="AZ109" s="372" t="str">
        <f>IF(ISBLANK('RESUMEN VIGILANCIA'!AY117),"",'RESUMEN VIGILANCIA'!AY117)</f>
        <v/>
      </c>
      <c r="BA109" s="373" t="str">
        <f>IF(ISBLANK('RESUMEN VIGILANCIA'!AZ117),"",'RESUMEN VIGILANCIA'!AZ117)</f>
        <v/>
      </c>
      <c r="BB109" s="239">
        <f t="shared" si="11"/>
        <v>290605.25</v>
      </c>
      <c r="BC109" s="109"/>
      <c r="BD109" s="109"/>
    </row>
    <row r="110" spans="1:56" s="28" customFormat="1" ht="20.100000000000001" customHeight="1">
      <c r="A110" s="32" t="str">
        <f>'RESUMEN VIGILANCIA'!A140</f>
        <v>Familia Jiménez de Avila</v>
      </c>
      <c r="B110" s="33" t="str">
        <f>'RESUMEN VIGILANCIA'!B140</f>
        <v>Calle Güigüe Nro. 89-116</v>
      </c>
      <c r="C110" s="426" t="s">
        <v>1359</v>
      </c>
      <c r="D110" s="435" t="s">
        <v>1357</v>
      </c>
      <c r="E110" s="414" t="str">
        <f>IF(ISBLANK('RESUMEN VIGILANCIA'!D140),"",'RESUMEN VIGILANCIA'!D140)</f>
        <v/>
      </c>
      <c r="F110" s="264" t="str">
        <f>IF(ISBLANK('RESUMEN VIGILANCIA'!E140),"",'RESUMEN VIGILANCIA'!E140)</f>
        <v/>
      </c>
      <c r="G110" s="186" t="str">
        <f>IF(ISBLANK('RESUMEN VIGILANCIA'!F140),"",'RESUMEN VIGILANCIA'!F140)</f>
        <v/>
      </c>
      <c r="H110" s="186" t="str">
        <f>IF(ISBLANK('RESUMEN VIGILANCIA'!G140),"",'RESUMEN VIGILANCIA'!G140)</f>
        <v/>
      </c>
      <c r="I110" s="186" t="str">
        <f>IF(ISBLANK('RESUMEN VIGILANCIA'!H140),"",'RESUMEN VIGILANCIA'!H140)</f>
        <v/>
      </c>
      <c r="J110" s="186" t="str">
        <f>IF(ISBLANK('RESUMEN VIGILANCIA'!I140),"",'RESUMEN VIGILANCIA'!I140)</f>
        <v/>
      </c>
      <c r="K110" s="186" t="str">
        <f>IF(ISBLANK('RESUMEN VIGILANCIA'!J140),"",'RESUMEN VIGILANCIA'!J140)</f>
        <v/>
      </c>
      <c r="L110" s="186" t="str">
        <f>IF(ISBLANK('RESUMEN VIGILANCIA'!K140),"",'RESUMEN VIGILANCIA'!K140)</f>
        <v/>
      </c>
      <c r="M110" s="186" t="str">
        <f>IF(ISBLANK('RESUMEN VIGILANCIA'!L140),"",'RESUMEN VIGILANCIA'!L140)</f>
        <v/>
      </c>
      <c r="N110" s="186" t="str">
        <f>IF(ISBLANK('RESUMEN VIGILANCIA'!M140),"",'RESUMEN VIGILANCIA'!M140)</f>
        <v/>
      </c>
      <c r="O110" s="186" t="str">
        <f>IF(ISBLANK('RESUMEN VIGILANCIA'!N140),"",'RESUMEN VIGILANCIA'!N140)</f>
        <v/>
      </c>
      <c r="P110" s="265">
        <f>IF(ISBLANK('RESUMEN VIGILANCIA'!O140),"",'RESUMEN VIGILANCIA'!O140)</f>
        <v>0.3</v>
      </c>
      <c r="Q110" s="184" t="str">
        <f>IF(ISBLANK('RESUMEN VIGILANCIA'!P140),"",'RESUMEN VIGILANCIA'!P140)</f>
        <v>ü</v>
      </c>
      <c r="R110" s="510" t="str">
        <f>IF(ISBLANK('RESUMEN VIGILANCIA'!Q140),"",'RESUMEN VIGILANCIA'!Q140)</f>
        <v>ü</v>
      </c>
      <c r="S110" s="511" t="str">
        <f>IF(ISBLANK('RESUMEN VIGILANCIA'!R140),"",'RESUMEN VIGILANCIA'!R140)</f>
        <v>ü</v>
      </c>
      <c r="T110" s="511" t="str">
        <f>IF(ISBLANK('RESUMEN VIGILANCIA'!S140),"",'RESUMEN VIGILANCIA'!S140)</f>
        <v>ü</v>
      </c>
      <c r="U110" s="511" t="str">
        <f>IF(ISBLANK('RESUMEN VIGILANCIA'!T140),"",'RESUMEN VIGILANCIA'!T140)</f>
        <v>ü</v>
      </c>
      <c r="V110" s="511" t="str">
        <f>IF(ISBLANK('RESUMEN VIGILANCIA'!U140),"",'RESUMEN VIGILANCIA'!U140)</f>
        <v>ü</v>
      </c>
      <c r="W110" s="511" t="str">
        <f>IF(ISBLANK('RESUMEN VIGILANCIA'!V140),"",'RESUMEN VIGILANCIA'!V140)</f>
        <v>ü</v>
      </c>
      <c r="X110" s="511" t="str">
        <f>IF(ISBLANK('RESUMEN VIGILANCIA'!W140),"",'RESUMEN VIGILANCIA'!W140)</f>
        <v>ü</v>
      </c>
      <c r="Y110" s="511" t="str">
        <f>IF(ISBLANK('RESUMEN VIGILANCIA'!X140),"",'RESUMEN VIGILANCIA'!X140)</f>
        <v>ü</v>
      </c>
      <c r="Z110" s="512" t="str">
        <f>IF(ISBLANK('RESUMEN VIGILANCIA'!Y140),"",'RESUMEN VIGILANCIA'!Y140)</f>
        <v>ü</v>
      </c>
      <c r="AA110" s="512" t="str">
        <f>IF(ISBLANK('RESUMEN VIGILANCIA'!Z140),"",'RESUMEN VIGILANCIA'!Z140)</f>
        <v>ü</v>
      </c>
      <c r="AB110" s="457">
        <f>IF(ISBLANK('RESUMEN VIGILANCIA'!AA140),"",'RESUMEN VIGILANCIA'!AA140)</f>
        <v>1350</v>
      </c>
      <c r="AC110" s="513" t="str">
        <f>IF(ISBLANK('RESUMEN VIGILANCIA'!AB140),"",'RESUMEN VIGILANCIA'!AB140)</f>
        <v>ü</v>
      </c>
      <c r="AD110" s="514" t="str">
        <f>IF(ISBLANK('RESUMEN VIGILANCIA'!AC140),"",'RESUMEN VIGILANCIA'!AC140)</f>
        <v>ü</v>
      </c>
      <c r="AE110" s="515" t="str">
        <f>IF(ISBLANK('RESUMEN VIGILANCIA'!AD140),"",'RESUMEN VIGILANCIA'!AD140)</f>
        <v>ü</v>
      </c>
      <c r="AF110" s="515" t="str">
        <f>IF(ISBLANK('RESUMEN VIGILANCIA'!AE140),"",'RESUMEN VIGILANCIA'!AE140)</f>
        <v>ü</v>
      </c>
      <c r="AG110" s="515" t="str">
        <f>IF(ISBLANK('RESUMEN VIGILANCIA'!AF140),"",'RESUMEN VIGILANCIA'!AF140)</f>
        <v>ü</v>
      </c>
      <c r="AH110" s="515" t="str">
        <f>IF(ISBLANK('RESUMEN VIGILANCIA'!AG140),"",'RESUMEN VIGILANCIA'!AG140)</f>
        <v>ü</v>
      </c>
      <c r="AI110" s="515" t="str">
        <f>IF(ISBLANK('RESUMEN VIGILANCIA'!AH140),"",'RESUMEN VIGILANCIA'!AH140)</f>
        <v>ü</v>
      </c>
      <c r="AJ110" s="372">
        <f>IF(ISBLANK('RESUMEN VIGILANCIA'!AI140),"",'RESUMEN VIGILANCIA'!AI140)</f>
        <v>5000</v>
      </c>
      <c r="AK110" s="372">
        <f>IF(ISBLANK('RESUMEN VIGILANCIA'!AJ140),"",'RESUMEN VIGILANCIA'!AJ140)</f>
        <v>5000</v>
      </c>
      <c r="AL110" s="372">
        <f>IF(ISBLANK('RESUMEN VIGILANCIA'!AK140),"",'RESUMEN VIGILANCIA'!AK140)</f>
        <v>5000</v>
      </c>
      <c r="AM110" s="372">
        <f>IF(ISBLANK('RESUMEN VIGILANCIA'!AL140),"",'RESUMEN VIGILANCIA'!AL140)</f>
        <v>5000</v>
      </c>
      <c r="AN110" s="372">
        <f>IF(ISBLANK('RESUMEN VIGILANCIA'!AM140),"",'RESUMEN VIGILANCIA'!AM140)</f>
        <v>5000</v>
      </c>
      <c r="AO110" s="373">
        <f>IF(ISBLANK('RESUMEN VIGILANCIA'!AN140),"",'RESUMEN VIGILANCIA'!AN140)</f>
        <v>5000</v>
      </c>
      <c r="AP110" s="371">
        <f>IF(ISBLANK('RESUMEN VIGILANCIA'!AO140),"",'RESUMEN VIGILANCIA'!AO140)</f>
        <v>70000</v>
      </c>
      <c r="AQ110" s="372">
        <f>IF(ISBLANK('RESUMEN VIGILANCIA'!AP140),"",'RESUMEN VIGILANCIA'!AP140)</f>
        <v>70000</v>
      </c>
      <c r="AR110" s="372">
        <f>IF(ISBLANK('RESUMEN VIGILANCIA'!AQ140),"",'RESUMEN VIGILANCIA'!AQ140)</f>
        <v>70000</v>
      </c>
      <c r="AS110" s="515">
        <f>IF(ISBLANK('RESUMEN VIGILANCIA'!AR140),"",'RESUMEN VIGILANCIA'!AR140)</f>
        <v>100000</v>
      </c>
      <c r="AT110" s="515">
        <f>IF(ISBLANK('RESUMEN VIGILANCIA'!AS140),"",'RESUMEN VIGILANCIA'!AS140)</f>
        <v>100000</v>
      </c>
      <c r="AU110" s="515">
        <f>IF(ISBLANK('RESUMEN VIGILANCIA'!AT140),"",'RESUMEN VIGILANCIA'!AT140)</f>
        <v>100000</v>
      </c>
      <c r="AV110" s="372">
        <f>IF(ISBLANK('RESUMEN VIGILANCIA'!AU140),"",'RESUMEN VIGILANCIA'!AU140)</f>
        <v>100000</v>
      </c>
      <c r="AW110" s="372" t="str">
        <f>IF(ISBLANK('RESUMEN VIGILANCIA'!AV140),"",'RESUMEN VIGILANCIA'!AV140)</f>
        <v/>
      </c>
      <c r="AX110" s="372" t="str">
        <f>IF(ISBLANK('RESUMEN VIGILANCIA'!AW140),"",'RESUMEN VIGILANCIA'!AW140)</f>
        <v/>
      </c>
      <c r="AY110" s="372" t="str">
        <f>IF(ISBLANK('RESUMEN VIGILANCIA'!AX140),"",'RESUMEN VIGILANCIA'!AX140)</f>
        <v/>
      </c>
      <c r="AZ110" s="372" t="str">
        <f>IF(ISBLANK('RESUMEN VIGILANCIA'!AY140),"",'RESUMEN VIGILANCIA'!AY140)</f>
        <v/>
      </c>
      <c r="BA110" s="373" t="str">
        <f>IF(ISBLANK('RESUMEN VIGILANCIA'!AZ140),"",'RESUMEN VIGILANCIA'!AZ140)</f>
        <v/>
      </c>
      <c r="BB110" s="239">
        <f t="shared" si="11"/>
        <v>31350.3</v>
      </c>
      <c r="BC110" s="109"/>
      <c r="BD110" s="109"/>
    </row>
    <row r="111" spans="1:56" s="28" customFormat="1" ht="20.100000000000001" customHeight="1">
      <c r="A111" s="39" t="str">
        <f>'RESUMEN VIGILANCIA'!A144</f>
        <v>Familia Pena Wierman</v>
      </c>
      <c r="B111" s="40" t="str">
        <f>'RESUMEN VIGILANCIA'!B144</f>
        <v>Calle Güigüe Nro. 89-126</v>
      </c>
      <c r="C111" s="429"/>
      <c r="D111" s="436" t="s">
        <v>1357</v>
      </c>
      <c r="E111" s="420" t="str">
        <f>IF(ISBLANK('RESUMEN VIGILANCIA'!D144),"",'RESUMEN VIGILANCIA'!D144)</f>
        <v/>
      </c>
      <c r="F111" s="287" t="str">
        <f>IF(ISBLANK('RESUMEN VIGILANCIA'!E144),"",'RESUMEN VIGILANCIA'!E144)</f>
        <v/>
      </c>
      <c r="G111" s="235" t="str">
        <f>IF(ISBLANK('RESUMEN VIGILANCIA'!F144),"",'RESUMEN VIGILANCIA'!F144)</f>
        <v/>
      </c>
      <c r="H111" s="235" t="str">
        <f>IF(ISBLANK('RESUMEN VIGILANCIA'!G144),"",'RESUMEN VIGILANCIA'!G144)</f>
        <v/>
      </c>
      <c r="I111" s="235" t="str">
        <f>IF(ISBLANK('RESUMEN VIGILANCIA'!H144),"",'RESUMEN VIGILANCIA'!H144)</f>
        <v/>
      </c>
      <c r="J111" s="235" t="str">
        <f>IF(ISBLANK('RESUMEN VIGILANCIA'!I144),"",'RESUMEN VIGILANCIA'!I144)</f>
        <v/>
      </c>
      <c r="K111" s="235" t="str">
        <f>IF(ISBLANK('RESUMEN VIGILANCIA'!J144),"",'RESUMEN VIGILANCIA'!J144)</f>
        <v/>
      </c>
      <c r="L111" s="235" t="str">
        <f>IF(ISBLANK('RESUMEN VIGILANCIA'!K144),"",'RESUMEN VIGILANCIA'!K144)</f>
        <v/>
      </c>
      <c r="M111" s="235" t="str">
        <f>IF(ISBLANK('RESUMEN VIGILANCIA'!L144),"",'RESUMEN VIGILANCIA'!L144)</f>
        <v/>
      </c>
      <c r="N111" s="235" t="str">
        <f>IF(ISBLANK('RESUMEN VIGILANCIA'!M144),"",'RESUMEN VIGILANCIA'!M144)</f>
        <v/>
      </c>
      <c r="O111" s="235" t="str">
        <f>IF(ISBLANK('RESUMEN VIGILANCIA'!N144),"",'RESUMEN VIGILANCIA'!N144)</f>
        <v/>
      </c>
      <c r="P111" s="288" t="str">
        <f>IF(ISBLANK('RESUMEN VIGILANCIA'!O144),"",'RESUMEN VIGILANCIA'!O144)</f>
        <v/>
      </c>
      <c r="Q111" s="233" t="str">
        <f>IF(ISBLANK('RESUMEN VIGILANCIA'!P144),"",'RESUMEN VIGILANCIA'!P144)</f>
        <v/>
      </c>
      <c r="R111" s="289" t="str">
        <f>IF(ISBLANK('RESUMEN VIGILANCIA'!Q144),"",'RESUMEN VIGILANCIA'!Q144)</f>
        <v/>
      </c>
      <c r="S111" s="288" t="str">
        <f>IF(ISBLANK('RESUMEN VIGILANCIA'!R144),"",'RESUMEN VIGILANCIA'!R144)</f>
        <v/>
      </c>
      <c r="T111" s="288" t="str">
        <f>IF(ISBLANK('RESUMEN VIGILANCIA'!S144),"",'RESUMEN VIGILANCIA'!S144)</f>
        <v/>
      </c>
      <c r="U111" s="288" t="str">
        <f>IF(ISBLANK('RESUMEN VIGILANCIA'!T144),"",'RESUMEN VIGILANCIA'!T144)</f>
        <v/>
      </c>
      <c r="V111" s="288" t="str">
        <f>IF(ISBLANK('RESUMEN VIGILANCIA'!U144),"",'RESUMEN VIGILANCIA'!U144)</f>
        <v/>
      </c>
      <c r="W111" s="288" t="str">
        <f>IF(ISBLANK('RESUMEN VIGILANCIA'!V144),"",'RESUMEN VIGILANCIA'!V144)</f>
        <v/>
      </c>
      <c r="X111" s="288" t="str">
        <f>IF(ISBLANK('RESUMEN VIGILANCIA'!W144),"",'RESUMEN VIGILANCIA'!W144)</f>
        <v/>
      </c>
      <c r="Y111" s="288" t="str">
        <f>IF(ISBLANK('RESUMEN VIGILANCIA'!X144),"",'RESUMEN VIGILANCIA'!X144)</f>
        <v/>
      </c>
      <c r="Z111" s="474" t="str">
        <f>IF(ISBLANK('RESUMEN VIGILANCIA'!Y144),"",'RESUMEN VIGILANCIA'!Y144)</f>
        <v/>
      </c>
      <c r="AA111" s="474" t="str">
        <f>IF(ISBLANK('RESUMEN VIGILANCIA'!Z144),"",'RESUMEN VIGILANCIA'!Z144)</f>
        <v/>
      </c>
      <c r="AB111" s="474" t="str">
        <f>IF(ISBLANK('RESUMEN VIGILANCIA'!AA144),"",'RESUMEN VIGILANCIA'!AA144)</f>
        <v/>
      </c>
      <c r="AC111" s="475" t="str">
        <f>IF(ISBLANK('RESUMEN VIGILANCIA'!AB144),"",'RESUMEN VIGILANCIA'!AB144)</f>
        <v/>
      </c>
      <c r="AD111" s="396" t="str">
        <f>IF(ISBLANK('RESUMEN VIGILANCIA'!AC144),"",'RESUMEN VIGILANCIA'!AC144)</f>
        <v/>
      </c>
      <c r="AE111" s="397" t="str">
        <f>IF(ISBLANK('RESUMEN VIGILANCIA'!AD144),"",'RESUMEN VIGILANCIA'!AD144)</f>
        <v/>
      </c>
      <c r="AF111" s="397" t="str">
        <f>IF(ISBLANK('RESUMEN VIGILANCIA'!AE144),"",'RESUMEN VIGILANCIA'!AE144)</f>
        <v/>
      </c>
      <c r="AG111" s="397" t="str">
        <f>IF(ISBLANK('RESUMEN VIGILANCIA'!AF144),"",'RESUMEN VIGILANCIA'!AF144)</f>
        <v/>
      </c>
      <c r="AH111" s="397" t="str">
        <f>IF(ISBLANK('RESUMEN VIGILANCIA'!AG144),"",'RESUMEN VIGILANCIA'!AG144)</f>
        <v/>
      </c>
      <c r="AI111" s="397" t="str">
        <f>IF(ISBLANK('RESUMEN VIGILANCIA'!AH144),"",'RESUMEN VIGILANCIA'!AH144)</f>
        <v/>
      </c>
      <c r="AJ111" s="397" t="str">
        <f>IF(ISBLANK('RESUMEN VIGILANCIA'!AI144),"",'RESUMEN VIGILANCIA'!AI144)</f>
        <v/>
      </c>
      <c r="AK111" s="397" t="str">
        <f>IF(ISBLANK('RESUMEN VIGILANCIA'!AJ144),"",'RESUMEN VIGILANCIA'!AJ144)</f>
        <v/>
      </c>
      <c r="AL111" s="397" t="str">
        <f>IF(ISBLANK('RESUMEN VIGILANCIA'!AK144),"",'RESUMEN VIGILANCIA'!AK144)</f>
        <v/>
      </c>
      <c r="AM111" s="397" t="str">
        <f>IF(ISBLANK('RESUMEN VIGILANCIA'!AL144),"",'RESUMEN VIGILANCIA'!AL144)</f>
        <v/>
      </c>
      <c r="AN111" s="397" t="str">
        <f>IF(ISBLANK('RESUMEN VIGILANCIA'!AM144),"",'RESUMEN VIGILANCIA'!AM144)</f>
        <v/>
      </c>
      <c r="AO111" s="398" t="str">
        <f>IF(ISBLANK('RESUMEN VIGILANCIA'!AN144),"",'RESUMEN VIGILANCIA'!AN144)</f>
        <v/>
      </c>
      <c r="AP111" s="396" t="str">
        <f>IF(ISBLANK('RESUMEN VIGILANCIA'!AO144),"",'RESUMEN VIGILANCIA'!AO144)</f>
        <v/>
      </c>
      <c r="AQ111" s="397" t="str">
        <f>IF(ISBLANK('RESUMEN VIGILANCIA'!AP144),"",'RESUMEN VIGILANCIA'!AP144)</f>
        <v/>
      </c>
      <c r="AR111" s="397" t="str">
        <f>IF(ISBLANK('RESUMEN VIGILANCIA'!AQ144),"",'RESUMEN VIGILANCIA'!AQ144)</f>
        <v/>
      </c>
      <c r="AS111" s="397" t="str">
        <f>IF(ISBLANK('RESUMEN VIGILANCIA'!AR144),"",'RESUMEN VIGILANCIA'!AR144)</f>
        <v/>
      </c>
      <c r="AT111" s="397" t="str">
        <f>IF(ISBLANK('RESUMEN VIGILANCIA'!AS144),"",'RESUMEN VIGILANCIA'!AS144)</f>
        <v/>
      </c>
      <c r="AU111" s="397" t="str">
        <f>IF(ISBLANK('RESUMEN VIGILANCIA'!AT144),"",'RESUMEN VIGILANCIA'!AT144)</f>
        <v/>
      </c>
      <c r="AV111" s="397" t="str">
        <f>IF(ISBLANK('RESUMEN VIGILANCIA'!AU144),"",'RESUMEN VIGILANCIA'!AU144)</f>
        <v/>
      </c>
      <c r="AW111" s="397" t="str">
        <f>IF(ISBLANK('RESUMEN VIGILANCIA'!AV144),"",'RESUMEN VIGILANCIA'!AV144)</f>
        <v/>
      </c>
      <c r="AX111" s="397" t="str">
        <f>IF(ISBLANK('RESUMEN VIGILANCIA'!AW144),"",'RESUMEN VIGILANCIA'!AW144)</f>
        <v/>
      </c>
      <c r="AY111" s="397" t="str">
        <f>IF(ISBLANK('RESUMEN VIGILANCIA'!AX144),"",'RESUMEN VIGILANCIA'!AX144)</f>
        <v/>
      </c>
      <c r="AZ111" s="397" t="str">
        <f>IF(ISBLANK('RESUMEN VIGILANCIA'!AY144),"",'RESUMEN VIGILANCIA'!AY144)</f>
        <v/>
      </c>
      <c r="BA111" s="398" t="str">
        <f>IF(ISBLANK('RESUMEN VIGILANCIA'!AZ144),"",'RESUMEN VIGILANCIA'!AZ144)</f>
        <v/>
      </c>
      <c r="BB111" s="244">
        <f t="shared" si="11"/>
        <v>0</v>
      </c>
      <c r="BC111" s="113"/>
      <c r="BD111" s="113">
        <v>43191</v>
      </c>
    </row>
    <row r="112" spans="1:56" s="28" customFormat="1" ht="20.100000000000001" customHeight="1">
      <c r="A112" s="57" t="str">
        <f>'RESUMEN VIGILANCIA'!A106</f>
        <v>Familia Sayago Peñaranda</v>
      </c>
      <c r="B112" s="58" t="str">
        <f>'RESUMEN VIGILANCIA'!B106</f>
        <v>Calle Güigüe Nro. 89-04</v>
      </c>
      <c r="C112" s="427" t="s">
        <v>1358</v>
      </c>
      <c r="D112" s="434" t="s">
        <v>1357</v>
      </c>
      <c r="E112" s="415" t="str">
        <f>IF(ISBLANK('RESUMEN VIGILANCIA'!D106),"",'RESUMEN VIGILANCIA'!D106)</f>
        <v/>
      </c>
      <c r="F112" s="267">
        <f>IF(ISBLANK('RESUMEN VIGILANCIA'!E106),"",'RESUMEN VIGILANCIA'!E106)</f>
        <v>0.17</v>
      </c>
      <c r="G112" s="179">
        <f>IF(ISBLANK('RESUMEN VIGILANCIA'!F106),"",'RESUMEN VIGILANCIA'!F106)</f>
        <v>0.17</v>
      </c>
      <c r="H112" s="179">
        <f>IF(ISBLANK('RESUMEN VIGILANCIA'!G106),"",'RESUMEN VIGILANCIA'!G106)</f>
        <v>0.17</v>
      </c>
      <c r="I112" s="179">
        <f>IF(ISBLANK('RESUMEN VIGILANCIA'!H106),"",'RESUMEN VIGILANCIA'!H106)</f>
        <v>0.17</v>
      </c>
      <c r="J112" s="179">
        <f>IF(ISBLANK('RESUMEN VIGILANCIA'!I106),"",'RESUMEN VIGILANCIA'!I106)</f>
        <v>0.26</v>
      </c>
      <c r="K112" s="179">
        <f>IF(ISBLANK('RESUMEN VIGILANCIA'!J106),"",'RESUMEN VIGILANCIA'!J106)</f>
        <v>0.26</v>
      </c>
      <c r="L112" s="179">
        <f>IF(ISBLANK('RESUMEN VIGILANCIA'!K106),"",'RESUMEN VIGILANCIA'!K106)</f>
        <v>0.35</v>
      </c>
      <c r="M112" s="179">
        <f>IF(ISBLANK('RESUMEN VIGILANCIA'!L106),"",'RESUMEN VIGILANCIA'!L106)</f>
        <v>0.35</v>
      </c>
      <c r="N112" s="179">
        <f>IF(ISBLANK('RESUMEN VIGILANCIA'!M106),"",'RESUMEN VIGILANCIA'!M106)</f>
        <v>0.35</v>
      </c>
      <c r="O112" s="179">
        <f>IF(ISBLANK('RESUMEN VIGILANCIA'!N106),"",'RESUMEN VIGILANCIA'!N106)</f>
        <v>0.35</v>
      </c>
      <c r="P112" s="268">
        <f>IF(ISBLANK('RESUMEN VIGILANCIA'!O106),"",'RESUMEN VIGILANCIA'!O106)</f>
        <v>0.5</v>
      </c>
      <c r="Q112" s="177">
        <f>IF(ISBLANK('RESUMEN VIGILANCIA'!P106),"",'RESUMEN VIGILANCIA'!P106)</f>
        <v>0.5</v>
      </c>
      <c r="R112" s="269">
        <f>IF(ISBLANK('RESUMEN VIGILANCIA'!Q106),"",'RESUMEN VIGILANCIA'!Q106)</f>
        <v>0.8</v>
      </c>
      <c r="S112" s="268">
        <f>IF(ISBLANK('RESUMEN VIGILANCIA'!R106),"",'RESUMEN VIGILANCIA'!R106)</f>
        <v>0.8</v>
      </c>
      <c r="T112" s="268">
        <f>IF(ISBLANK('RESUMEN VIGILANCIA'!S106),"",'RESUMEN VIGILANCIA'!S106)</f>
        <v>1.4</v>
      </c>
      <c r="U112" s="268">
        <f>IF(ISBLANK('RESUMEN VIGILANCIA'!T106),"",'RESUMEN VIGILANCIA'!T106)</f>
        <v>1.4</v>
      </c>
      <c r="V112" s="272" t="s">
        <v>1256</v>
      </c>
      <c r="W112" s="273" t="str">
        <f>IF(ISBLANK('RESUMEN VIGILANCIA'!V106),"",'RESUMEN VIGILANCIA'!V106)</f>
        <v/>
      </c>
      <c r="X112" s="273" t="str">
        <f>IF(ISBLANK('RESUMEN VIGILANCIA'!W106),"",'RESUMEN VIGILANCIA'!W106)</f>
        <v/>
      </c>
      <c r="Y112" s="273" t="str">
        <f>IF(ISBLANK('RESUMEN VIGILANCIA'!X106),"",'RESUMEN VIGILANCIA'!X106)</f>
        <v/>
      </c>
      <c r="Z112" s="459" t="str">
        <f>IF(ISBLANK('RESUMEN VIGILANCIA'!Y106),"",'RESUMEN VIGILANCIA'!Y106)</f>
        <v/>
      </c>
      <c r="AA112" s="459" t="str">
        <f>IF(ISBLANK('RESUMEN VIGILANCIA'!Z106),"",'RESUMEN VIGILANCIA'!Z106)</f>
        <v/>
      </c>
      <c r="AB112" s="459" t="str">
        <f>IF(ISBLANK('RESUMEN VIGILANCIA'!AA106),"",'RESUMEN VIGILANCIA'!AA106)</f>
        <v/>
      </c>
      <c r="AC112" s="460" t="str">
        <f>IF(ISBLANK('RESUMEN VIGILANCIA'!AB106),"",'RESUMEN VIGILANCIA'!AB106)</f>
        <v/>
      </c>
      <c r="AD112" s="390" t="str">
        <f>IF(ISBLANK('RESUMEN VIGILANCIA'!AC106),"",'RESUMEN VIGILANCIA'!AC106)</f>
        <v/>
      </c>
      <c r="AE112" s="391" t="str">
        <f>IF(ISBLANK('RESUMEN VIGILANCIA'!AD106),"",'RESUMEN VIGILANCIA'!AD106)</f>
        <v/>
      </c>
      <c r="AF112" s="391" t="str">
        <f>IF(ISBLANK('RESUMEN VIGILANCIA'!AE106),"",'RESUMEN VIGILANCIA'!AE106)</f>
        <v/>
      </c>
      <c r="AG112" s="391" t="str">
        <f>IF(ISBLANK('RESUMEN VIGILANCIA'!AF106),"",'RESUMEN VIGILANCIA'!AF106)</f>
        <v/>
      </c>
      <c r="AH112" s="391" t="str">
        <f>IF(ISBLANK('RESUMEN VIGILANCIA'!AG106),"",'RESUMEN VIGILANCIA'!AG106)</f>
        <v/>
      </c>
      <c r="AI112" s="391" t="str">
        <f>IF(ISBLANK('RESUMEN VIGILANCIA'!AH106),"",'RESUMEN VIGILANCIA'!AH106)</f>
        <v/>
      </c>
      <c r="AJ112" s="391" t="str">
        <f>IF(ISBLANK('RESUMEN VIGILANCIA'!AI106),"",'RESUMEN VIGILANCIA'!AI106)</f>
        <v/>
      </c>
      <c r="AK112" s="391" t="str">
        <f>IF(ISBLANK('RESUMEN VIGILANCIA'!AJ106),"",'RESUMEN VIGILANCIA'!AJ106)</f>
        <v/>
      </c>
      <c r="AL112" s="391" t="str">
        <f>IF(ISBLANK('RESUMEN VIGILANCIA'!AK106),"",'RESUMEN VIGILANCIA'!AK106)</f>
        <v/>
      </c>
      <c r="AM112" s="391" t="str">
        <f>IF(ISBLANK('RESUMEN VIGILANCIA'!AL106),"",'RESUMEN VIGILANCIA'!AL106)</f>
        <v/>
      </c>
      <c r="AN112" s="391" t="str">
        <f>IF(ISBLANK('RESUMEN VIGILANCIA'!AM106),"",'RESUMEN VIGILANCIA'!AM106)</f>
        <v/>
      </c>
      <c r="AO112" s="392" t="str">
        <f>IF(ISBLANK('RESUMEN VIGILANCIA'!AN106),"",'RESUMEN VIGILANCIA'!AN106)</f>
        <v/>
      </c>
      <c r="AP112" s="390" t="str">
        <f>IF(ISBLANK('RESUMEN VIGILANCIA'!AO106),"",'RESUMEN VIGILANCIA'!AO106)</f>
        <v/>
      </c>
      <c r="AQ112" s="391" t="str">
        <f>IF(ISBLANK('RESUMEN VIGILANCIA'!AP106),"",'RESUMEN VIGILANCIA'!AP106)</f>
        <v/>
      </c>
      <c r="AR112" s="391" t="str">
        <f>IF(ISBLANK('RESUMEN VIGILANCIA'!AQ106),"",'RESUMEN VIGILANCIA'!AQ106)</f>
        <v/>
      </c>
      <c r="AS112" s="391" t="str">
        <f>IF(ISBLANK('RESUMEN VIGILANCIA'!AR106),"",'RESUMEN VIGILANCIA'!AR106)</f>
        <v/>
      </c>
      <c r="AT112" s="391" t="str">
        <f>IF(ISBLANK('RESUMEN VIGILANCIA'!AS106),"",'RESUMEN VIGILANCIA'!AS106)</f>
        <v/>
      </c>
      <c r="AU112" s="391" t="str">
        <f>IF(ISBLANK('RESUMEN VIGILANCIA'!AT106),"",'RESUMEN VIGILANCIA'!AT106)</f>
        <v/>
      </c>
      <c r="AV112" s="391" t="str">
        <f>IF(ISBLANK('RESUMEN VIGILANCIA'!AU106),"",'RESUMEN VIGILANCIA'!AU106)</f>
        <v/>
      </c>
      <c r="AW112" s="391" t="str">
        <f>IF(ISBLANK('RESUMEN VIGILANCIA'!AV106),"",'RESUMEN VIGILANCIA'!AV106)</f>
        <v/>
      </c>
      <c r="AX112" s="391" t="str">
        <f>IF(ISBLANK('RESUMEN VIGILANCIA'!AW106),"",'RESUMEN VIGILANCIA'!AW106)</f>
        <v/>
      </c>
      <c r="AY112" s="391" t="str">
        <f>IF(ISBLANK('RESUMEN VIGILANCIA'!AX106),"",'RESUMEN VIGILANCIA'!AX106)</f>
        <v/>
      </c>
      <c r="AZ112" s="391" t="str">
        <f>IF(ISBLANK('RESUMEN VIGILANCIA'!AY106),"",'RESUMEN VIGILANCIA'!AY106)</f>
        <v/>
      </c>
      <c r="BA112" s="392" t="str">
        <f>IF(ISBLANK('RESUMEN VIGILANCIA'!AZ106),"",'RESUMEN VIGILANCIA'!AZ106)</f>
        <v/>
      </c>
      <c r="BB112" s="240">
        <f t="shared" si="11"/>
        <v>8</v>
      </c>
      <c r="BC112" s="110"/>
      <c r="BD112" s="110">
        <v>43191</v>
      </c>
    </row>
    <row r="113" spans="1:56" s="28" customFormat="1" ht="20.100000000000001" customHeight="1">
      <c r="A113" s="29" t="str">
        <f>'RESUMEN VIGILANCIA'!A107</f>
        <v>Carmen Moreno</v>
      </c>
      <c r="B113" s="30" t="str">
        <f>'RESUMEN VIGILANCIA'!B107</f>
        <v>Calle Güigüe Nro. 89-04</v>
      </c>
      <c r="C113" s="427" t="s">
        <v>1358</v>
      </c>
      <c r="D113" s="434" t="s">
        <v>17</v>
      </c>
      <c r="E113" s="417" t="str">
        <f>IF(ISBLANK('RESUMEN VIGILANCIA'!D107),"",'RESUMEN VIGILANCIA'!D107)</f>
        <v/>
      </c>
      <c r="F113" s="280" t="str">
        <f>IF(ISBLANK('RESUMEN VIGILANCIA'!E107),"",'RESUMEN VIGILANCIA'!E107)</f>
        <v/>
      </c>
      <c r="G113" s="207" t="str">
        <f>IF(ISBLANK('RESUMEN VIGILANCIA'!F107),"",'RESUMEN VIGILANCIA'!F107)</f>
        <v/>
      </c>
      <c r="H113" s="207" t="str">
        <f>IF(ISBLANK('RESUMEN VIGILANCIA'!G107),"",'RESUMEN VIGILANCIA'!G107)</f>
        <v/>
      </c>
      <c r="I113" s="207" t="str">
        <f>IF(ISBLANK('RESUMEN VIGILANCIA'!H107),"",'RESUMEN VIGILANCIA'!H107)</f>
        <v/>
      </c>
      <c r="J113" s="207" t="str">
        <f>IF(ISBLANK('RESUMEN VIGILANCIA'!I107),"",'RESUMEN VIGILANCIA'!I107)</f>
        <v/>
      </c>
      <c r="K113" s="207" t="str">
        <f>IF(ISBLANK('RESUMEN VIGILANCIA'!J107),"",'RESUMEN VIGILANCIA'!J107)</f>
        <v/>
      </c>
      <c r="L113" s="207" t="str">
        <f>IF(ISBLANK('RESUMEN VIGILANCIA'!K107),"",'RESUMEN VIGILANCIA'!K107)</f>
        <v/>
      </c>
      <c r="M113" s="207" t="str">
        <f>IF(ISBLANK('RESUMEN VIGILANCIA'!L107),"",'RESUMEN VIGILANCIA'!L107)</f>
        <v/>
      </c>
      <c r="N113" s="207" t="str">
        <f>IF(ISBLANK('RESUMEN VIGILANCIA'!M107),"",'RESUMEN VIGILANCIA'!M107)</f>
        <v/>
      </c>
      <c r="O113" s="207" t="str">
        <f>IF(ISBLANK('RESUMEN VIGILANCIA'!N107),"",'RESUMEN VIGILANCIA'!N107)</f>
        <v/>
      </c>
      <c r="P113" s="290" t="str">
        <f>IF(ISBLANK('RESUMEN VIGILANCIA'!O107),"",'RESUMEN VIGILANCIA'!O107)</f>
        <v/>
      </c>
      <c r="Q113" s="205" t="str">
        <f>IF(ISBLANK('RESUMEN VIGILANCIA'!P107),"",'RESUMEN VIGILANCIA'!P107)</f>
        <v/>
      </c>
      <c r="R113" s="291" t="str">
        <f>IF(ISBLANK('RESUMEN VIGILANCIA'!Q107),"",'RESUMEN VIGILANCIA'!Q107)</f>
        <v/>
      </c>
      <c r="S113" s="290" t="str">
        <f>IF(ISBLANK('RESUMEN VIGILANCIA'!R107),"",'RESUMEN VIGILANCIA'!R107)</f>
        <v/>
      </c>
      <c r="T113" s="290" t="str">
        <f>IF(ISBLANK('RESUMEN VIGILANCIA'!S107),"",'RESUMEN VIGILANCIA'!S107)</f>
        <v/>
      </c>
      <c r="U113" s="290" t="str">
        <f>IF(ISBLANK('RESUMEN VIGILANCIA'!T107),"",'RESUMEN VIGILANCIA'!T107)</f>
        <v/>
      </c>
      <c r="V113" s="268">
        <f>IF(ISBLANK('RESUMEN VIGILANCIA'!U107),"",'RESUMEN VIGILANCIA'!U107)</f>
        <v>4</v>
      </c>
      <c r="W113" s="268">
        <f>IF(ISBLANK('RESUMEN VIGILANCIA'!V107),"",'RESUMEN VIGILANCIA'!V107)</f>
        <v>6.25</v>
      </c>
      <c r="X113" s="268">
        <f>IF(ISBLANK('RESUMEN VIGILANCIA'!W107),"",'RESUMEN VIGILANCIA'!W107)</f>
        <v>10</v>
      </c>
      <c r="Y113" s="268">
        <f>IF(ISBLANK('RESUMEN VIGILANCIA'!X107),"",'RESUMEN VIGILANCIA'!X107)</f>
        <v>12</v>
      </c>
      <c r="Z113" s="453">
        <f>IF(ISBLANK('RESUMEN VIGILANCIA'!Y107),"",'RESUMEN VIGILANCIA'!Y107)</f>
        <v>320</v>
      </c>
      <c r="AA113" s="453">
        <f>IF(ISBLANK('RESUMEN VIGILANCIA'!Z107),"",'RESUMEN VIGILANCIA'!Z107)</f>
        <v>320</v>
      </c>
      <c r="AB113" s="453">
        <f>IF(ISBLANK('RESUMEN VIGILANCIA'!AA107),"",'RESUMEN VIGILANCIA'!AA107)</f>
        <v>320</v>
      </c>
      <c r="AC113" s="454">
        <f>IF(ISBLANK('RESUMEN VIGILANCIA'!AB107),"",'RESUMEN VIGILANCIA'!AB107)</f>
        <v>800</v>
      </c>
      <c r="AD113" s="374">
        <f>IF(ISBLANK('RESUMEN VIGILANCIA'!AC107),"",'RESUMEN VIGILANCIA'!AC107)</f>
        <v>3000</v>
      </c>
      <c r="AE113" s="375">
        <f>IF(ISBLANK('RESUMEN VIGILANCIA'!AD107),"",'RESUMEN VIGILANCIA'!AD107)</f>
        <v>3000</v>
      </c>
      <c r="AF113" s="375">
        <f>IF(ISBLANK('RESUMEN VIGILANCIA'!AE107),"",'RESUMEN VIGILANCIA'!AE107)</f>
        <v>3000</v>
      </c>
      <c r="AG113" s="375">
        <f>IF(ISBLANK('RESUMEN VIGILANCIA'!AF107),"",'RESUMEN VIGILANCIA'!AF107)</f>
        <v>5000</v>
      </c>
      <c r="AH113" s="375">
        <f>IF(ISBLANK('RESUMEN VIGILANCIA'!AG107),"",'RESUMEN VIGILANCIA'!AG107)</f>
        <v>8000</v>
      </c>
      <c r="AI113" s="375">
        <f>IF(ISBLANK('RESUMEN VIGILANCIA'!AH107),"",'RESUMEN VIGILANCIA'!AH107)</f>
        <v>8000</v>
      </c>
      <c r="AJ113" s="375">
        <f>IF(ISBLANK('RESUMEN VIGILANCIA'!AI107),"",'RESUMEN VIGILANCIA'!AI107)</f>
        <v>10000</v>
      </c>
      <c r="AK113" s="375">
        <f>IF(ISBLANK('RESUMEN VIGILANCIA'!AJ107),"",'RESUMEN VIGILANCIA'!AJ107)</f>
        <v>10000</v>
      </c>
      <c r="AL113" s="375">
        <f>IF(ISBLANK('RESUMEN VIGILANCIA'!AK107),"",'RESUMEN VIGILANCIA'!AK107)</f>
        <v>23400</v>
      </c>
      <c r="AM113" s="375">
        <f>IF(ISBLANK('RESUMEN VIGILANCIA'!AL107),"",'RESUMEN VIGILANCIA'!AL107)</f>
        <v>47000</v>
      </c>
      <c r="AN113" s="375">
        <f>IF(ISBLANK('RESUMEN VIGILANCIA'!AM107),"",'RESUMEN VIGILANCIA'!AM107)</f>
        <v>73500</v>
      </c>
      <c r="AO113" s="376">
        <f>IF(ISBLANK('RESUMEN VIGILANCIA'!AN107),"",'RESUMEN VIGILANCIA'!AN107)</f>
        <v>97500</v>
      </c>
      <c r="AP113" s="374">
        <f>IF(ISBLANK('RESUMEN VIGILANCIA'!AO107),"",'RESUMEN VIGILANCIA'!AO107)</f>
        <v>136250</v>
      </c>
      <c r="AQ113" s="375">
        <f>IF(ISBLANK('RESUMEN VIGILANCIA'!AP107),"",'RESUMEN VIGILANCIA'!AP107)</f>
        <v>136250</v>
      </c>
      <c r="AR113" s="375">
        <f>IF(ISBLANK('RESUMEN VIGILANCIA'!AQ107),"",'RESUMEN VIGILANCIA'!AQ107)</f>
        <v>185250</v>
      </c>
      <c r="AS113" s="375">
        <f>IF(ISBLANK('RESUMEN VIGILANCIA'!AR107),"",'RESUMEN VIGILANCIA'!AR107)</f>
        <v>185250</v>
      </c>
      <c r="AT113" s="375">
        <f>IF(ISBLANK('RESUMEN VIGILANCIA'!AS107),"",'RESUMEN VIGILANCIA'!AS107)</f>
        <v>250000</v>
      </c>
      <c r="AU113" s="375">
        <f>IF(ISBLANK('RESUMEN VIGILANCIA'!AT107),"",'RESUMEN VIGILANCIA'!AT107)</f>
        <v>250000</v>
      </c>
      <c r="AV113" s="375" t="str">
        <f>IF(ISBLANK('RESUMEN VIGILANCIA'!AU107),"",'RESUMEN VIGILANCIA'!AU107)</f>
        <v/>
      </c>
      <c r="AW113" s="375" t="str">
        <f>IF(ISBLANK('RESUMEN VIGILANCIA'!AV107),"",'RESUMEN VIGILANCIA'!AV107)</f>
        <v/>
      </c>
      <c r="AX113" s="375" t="str">
        <f>IF(ISBLANK('RESUMEN VIGILANCIA'!AW107),"",'RESUMEN VIGILANCIA'!AW107)</f>
        <v/>
      </c>
      <c r="AY113" s="375" t="str">
        <f>IF(ISBLANK('RESUMEN VIGILANCIA'!AX107),"",'RESUMEN VIGILANCIA'!AX107)</f>
        <v/>
      </c>
      <c r="AZ113" s="375" t="str">
        <f>IF(ISBLANK('RESUMEN VIGILANCIA'!AY107),"",'RESUMEN VIGILANCIA'!AY107)</f>
        <v/>
      </c>
      <c r="BA113" s="376" t="str">
        <f>IF(ISBLANK('RESUMEN VIGILANCIA'!AZ107),"",'RESUMEN VIGILANCIA'!AZ107)</f>
        <v/>
      </c>
      <c r="BB113" s="240">
        <f t="shared" si="11"/>
        <v>293192.25</v>
      </c>
      <c r="BC113" s="110">
        <v>43221</v>
      </c>
      <c r="BD113" s="110"/>
    </row>
    <row r="114" spans="1:56" s="28" customFormat="1" ht="20.100000000000001" customHeight="1">
      <c r="A114" s="29" t="str">
        <f>'RESUMEN VIGILANCIA'!A118</f>
        <v>Familia Guerra Miret</v>
      </c>
      <c r="B114" s="30" t="str">
        <f>'RESUMEN VIGILANCIA'!B118</f>
        <v>Calle Güigüe Nro. 89-40</v>
      </c>
      <c r="C114" s="427" t="s">
        <v>1358</v>
      </c>
      <c r="D114" s="434" t="s">
        <v>17</v>
      </c>
      <c r="E114" s="415" t="str">
        <f>IF(ISBLANK('RESUMEN VIGILANCIA'!D118),"",'RESUMEN VIGILANCIA'!D118)</f>
        <v/>
      </c>
      <c r="F114" s="271">
        <f>IF(ISBLANK('RESUMEN VIGILANCIA'!E118),"",'RESUMEN VIGILANCIA'!E118)</f>
        <v>0.12</v>
      </c>
      <c r="G114" s="180">
        <f>IF(ISBLANK('RESUMEN VIGILANCIA'!F118),"",'RESUMEN VIGILANCIA'!F118)</f>
        <v>0.12</v>
      </c>
      <c r="H114" s="180">
        <f>IF(ISBLANK('RESUMEN VIGILANCIA'!G118),"",'RESUMEN VIGILANCIA'!G118)</f>
        <v>0.12</v>
      </c>
      <c r="I114" s="179">
        <f>IF(ISBLANK('RESUMEN VIGILANCIA'!H118),"",'RESUMEN VIGILANCIA'!H118)</f>
        <v>0.17</v>
      </c>
      <c r="J114" s="223" t="str">
        <f>IF(ISBLANK('RESUMEN VIGILANCIA'!I118),"",'RESUMEN VIGILANCIA'!I118)</f>
        <v/>
      </c>
      <c r="K114" s="179">
        <f>IF(ISBLANK('RESUMEN VIGILANCIA'!J118),"",'RESUMEN VIGILANCIA'!J118)</f>
        <v>0.26</v>
      </c>
      <c r="L114" s="179">
        <f>IF(ISBLANK('RESUMEN VIGILANCIA'!K118),"",'RESUMEN VIGILANCIA'!K118)</f>
        <v>0.35000000000000003</v>
      </c>
      <c r="M114" s="179">
        <f>IF(ISBLANK('RESUMEN VIGILANCIA'!L118),"",'RESUMEN VIGILANCIA'!L118)</f>
        <v>0.35000000000000003</v>
      </c>
      <c r="N114" s="179">
        <f>IF(ISBLANK('RESUMEN VIGILANCIA'!M118),"",'RESUMEN VIGILANCIA'!M118)</f>
        <v>0.35000000000000003</v>
      </c>
      <c r="O114" s="179">
        <f>IF(ISBLANK('RESUMEN VIGILANCIA'!N118),"",'RESUMEN VIGILANCIA'!N118)</f>
        <v>0.35000000000000003</v>
      </c>
      <c r="P114" s="268">
        <f>IF(ISBLANK('RESUMEN VIGILANCIA'!O118),"",'RESUMEN VIGILANCIA'!O118)</f>
        <v>0.5</v>
      </c>
      <c r="Q114" s="177">
        <f>IF(ISBLANK('RESUMEN VIGILANCIA'!P118),"",'RESUMEN VIGILANCIA'!P118)</f>
        <v>0.5</v>
      </c>
      <c r="R114" s="269">
        <f>IF(ISBLANK('RESUMEN VIGILANCIA'!Q118),"",'RESUMEN VIGILANCIA'!Q118)</f>
        <v>0.8</v>
      </c>
      <c r="S114" s="268">
        <f>IF(ISBLANK('RESUMEN VIGILANCIA'!R118),"",'RESUMEN VIGILANCIA'!R118)</f>
        <v>0.8</v>
      </c>
      <c r="T114" s="268">
        <f>IF(ISBLANK('RESUMEN VIGILANCIA'!S118),"",'RESUMEN VIGILANCIA'!S118)</f>
        <v>1.4</v>
      </c>
      <c r="U114" s="268">
        <f>IF(ISBLANK('RESUMEN VIGILANCIA'!T118),"",'RESUMEN VIGILANCIA'!T118)</f>
        <v>1.4</v>
      </c>
      <c r="V114" s="268">
        <f>IF(ISBLANK('RESUMEN VIGILANCIA'!U118),"",'RESUMEN VIGILANCIA'!U118)</f>
        <v>4</v>
      </c>
      <c r="W114" s="268">
        <f>IF(ISBLANK('RESUMEN VIGILANCIA'!V118),"",'RESUMEN VIGILANCIA'!V118)</f>
        <v>6.25</v>
      </c>
      <c r="X114" s="268">
        <f>IF(ISBLANK('RESUMEN VIGILANCIA'!W118),"",'RESUMEN VIGILANCIA'!W118)</f>
        <v>10</v>
      </c>
      <c r="Y114" s="268">
        <f>IF(ISBLANK('RESUMEN VIGILANCIA'!X118),"",'RESUMEN VIGILANCIA'!X118)</f>
        <v>12</v>
      </c>
      <c r="Z114" s="453">
        <f>IF(ISBLANK('RESUMEN VIGILANCIA'!Y118),"",'RESUMEN VIGILANCIA'!Y118)</f>
        <v>320</v>
      </c>
      <c r="AA114" s="453">
        <f>IF(ISBLANK('RESUMEN VIGILANCIA'!Z118),"",'RESUMEN VIGILANCIA'!Z118)</f>
        <v>320</v>
      </c>
      <c r="AB114" s="453">
        <f>IF(ISBLANK('RESUMEN VIGILANCIA'!AA118),"",'RESUMEN VIGILANCIA'!AA118)</f>
        <v>320</v>
      </c>
      <c r="AC114" s="454">
        <f>IF(ISBLANK('RESUMEN VIGILANCIA'!AB118),"",'RESUMEN VIGILANCIA'!AB118)</f>
        <v>800</v>
      </c>
      <c r="AD114" s="374">
        <f>IF(ISBLANK('RESUMEN VIGILANCIA'!AC118),"",'RESUMEN VIGILANCIA'!AC118)</f>
        <v>3000</v>
      </c>
      <c r="AE114" s="375">
        <f>IF(ISBLANK('RESUMEN VIGILANCIA'!AD118),"",'RESUMEN VIGILANCIA'!AD118)</f>
        <v>3000</v>
      </c>
      <c r="AF114" s="375">
        <f>IF(ISBLANK('RESUMEN VIGILANCIA'!AE118),"",'RESUMEN VIGILANCIA'!AE118)</f>
        <v>3000</v>
      </c>
      <c r="AG114" s="375">
        <f>IF(ISBLANK('RESUMEN VIGILANCIA'!AF118),"",'RESUMEN VIGILANCIA'!AF118)</f>
        <v>5000</v>
      </c>
      <c r="AH114" s="375">
        <f>IF(ISBLANK('RESUMEN VIGILANCIA'!AG118),"",'RESUMEN VIGILANCIA'!AG118)</f>
        <v>8000</v>
      </c>
      <c r="AI114" s="375">
        <f>IF(ISBLANK('RESUMEN VIGILANCIA'!AH118),"",'RESUMEN VIGILANCIA'!AH118)</f>
        <v>8000</v>
      </c>
      <c r="AJ114" s="375">
        <f>IF(ISBLANK('RESUMEN VIGILANCIA'!AI118),"",'RESUMEN VIGILANCIA'!AI118)</f>
        <v>10000</v>
      </c>
      <c r="AK114" s="375">
        <f>IF(ISBLANK('RESUMEN VIGILANCIA'!AJ118),"",'RESUMEN VIGILANCIA'!AJ118)</f>
        <v>10000</v>
      </c>
      <c r="AL114" s="375">
        <f>IF(ISBLANK('RESUMEN VIGILANCIA'!AK118),"",'RESUMEN VIGILANCIA'!AK118)</f>
        <v>23400</v>
      </c>
      <c r="AM114" s="375">
        <f>IF(ISBLANK('RESUMEN VIGILANCIA'!AL118),"",'RESUMEN VIGILANCIA'!AL118)</f>
        <v>51250</v>
      </c>
      <c r="AN114" s="375">
        <f>IF(ISBLANK('RESUMEN VIGILANCIA'!AM118),"",'RESUMEN VIGILANCIA'!AM118)</f>
        <v>51250</v>
      </c>
      <c r="AO114" s="376">
        <f>IF(ISBLANK('RESUMEN VIGILANCIA'!AN118),"",'RESUMEN VIGILANCIA'!AN118)</f>
        <v>81750</v>
      </c>
      <c r="AP114" s="374">
        <f>IF(ISBLANK('RESUMEN VIGILANCIA'!AO118),"",'RESUMEN VIGILANCIA'!AO118)</f>
        <v>105250</v>
      </c>
      <c r="AQ114" s="375">
        <f>IF(ISBLANK('RESUMEN VIGILANCIA'!AP118),"",'RESUMEN VIGILANCIA'!AP118)</f>
        <v>136250</v>
      </c>
      <c r="AR114" s="375">
        <f>IF(ISBLANK('RESUMEN VIGILANCIA'!AQ118),"",'RESUMEN VIGILANCIA'!AQ118)</f>
        <v>185250</v>
      </c>
      <c r="AS114" s="375">
        <f>IF(ISBLANK('RESUMEN VIGILANCIA'!AR118),"",'RESUMEN VIGILANCIA'!AR118)</f>
        <v>185250</v>
      </c>
      <c r="AT114" s="375">
        <f>IF(ISBLANK('RESUMEN VIGILANCIA'!AS118),"",'RESUMEN VIGILANCIA'!AS118)</f>
        <v>250000</v>
      </c>
      <c r="AU114" s="375">
        <f>IF(ISBLANK('RESUMEN VIGILANCIA'!AT118),"",'RESUMEN VIGILANCIA'!AT118)</f>
        <v>250000</v>
      </c>
      <c r="AV114" s="375">
        <f>IF(ISBLANK('RESUMEN VIGILANCIA'!AU118),"",'RESUMEN VIGILANCIA'!AU118)</f>
        <v>320000</v>
      </c>
      <c r="AW114" s="375" t="str">
        <f>IF(ISBLANK('RESUMEN VIGILANCIA'!AV118),"",'RESUMEN VIGILANCIA'!AV118)</f>
        <v/>
      </c>
      <c r="AX114" s="375" t="str">
        <f>IF(ISBLANK('RESUMEN VIGILANCIA'!AW118),"",'RESUMEN VIGILANCIA'!AW118)</f>
        <v/>
      </c>
      <c r="AY114" s="375" t="str">
        <f>IF(ISBLANK('RESUMEN VIGILANCIA'!AX118),"",'RESUMEN VIGILANCIA'!AX118)</f>
        <v/>
      </c>
      <c r="AZ114" s="375" t="str">
        <f>IF(ISBLANK('RESUMEN VIGILANCIA'!AY118),"",'RESUMEN VIGILANCIA'!AY118)</f>
        <v/>
      </c>
      <c r="BA114" s="376" t="str">
        <f>IF(ISBLANK('RESUMEN VIGILANCIA'!AZ118),"",'RESUMEN VIGILANCIA'!AZ118)</f>
        <v/>
      </c>
      <c r="BB114" s="240">
        <f t="shared" si="11"/>
        <v>259449.84</v>
      </c>
      <c r="BC114" s="110"/>
      <c r="BD114" s="110"/>
    </row>
    <row r="115" spans="1:56" s="28" customFormat="1" ht="20.100000000000001" customHeight="1">
      <c r="A115" s="29" t="str">
        <f>'RESUMEN VIGILANCIA'!A119</f>
        <v>Familia Jiménez Salvatierra</v>
      </c>
      <c r="B115" s="30" t="str">
        <f>'RESUMEN VIGILANCIA'!B119</f>
        <v>Calle Güigüe Nro. 89-45</v>
      </c>
      <c r="C115" s="427" t="s">
        <v>1360</v>
      </c>
      <c r="D115" s="434" t="s">
        <v>1357</v>
      </c>
      <c r="E115" s="415" t="str">
        <f>IF(ISBLANK('RESUMEN VIGILANCIA'!D119),"",'RESUMEN VIGILANCIA'!D119)</f>
        <v/>
      </c>
      <c r="F115" s="267">
        <f>IF(ISBLANK('RESUMEN VIGILANCIA'!E119),"",'RESUMEN VIGILANCIA'!E119)</f>
        <v>0.17</v>
      </c>
      <c r="G115" s="179">
        <f>IF(ISBLANK('RESUMEN VIGILANCIA'!F119),"",'RESUMEN VIGILANCIA'!F119)</f>
        <v>0.17</v>
      </c>
      <c r="H115" s="179">
        <f>IF(ISBLANK('RESUMEN VIGILANCIA'!G119),"",'RESUMEN VIGILANCIA'!G119)</f>
        <v>0.17</v>
      </c>
      <c r="I115" s="179">
        <f>IF(ISBLANK('RESUMEN VIGILANCIA'!H119),"",'RESUMEN VIGILANCIA'!H119)</f>
        <v>0.17</v>
      </c>
      <c r="J115" s="179">
        <f>IF(ISBLANK('RESUMEN VIGILANCIA'!I119),"",'RESUMEN VIGILANCIA'!I119)</f>
        <v>0.26</v>
      </c>
      <c r="K115" s="179">
        <f>IF(ISBLANK('RESUMEN VIGILANCIA'!J119),"",'RESUMEN VIGILANCIA'!J119)</f>
        <v>0.26</v>
      </c>
      <c r="L115" s="179">
        <f>IF(ISBLANK('RESUMEN VIGILANCIA'!K119),"",'RESUMEN VIGILANCIA'!K119)</f>
        <v>0.35</v>
      </c>
      <c r="M115" s="179">
        <f>IF(ISBLANK('RESUMEN VIGILANCIA'!L119),"",'RESUMEN VIGILANCIA'!L119)</f>
        <v>0.35</v>
      </c>
      <c r="N115" s="179">
        <f>IF(ISBLANK('RESUMEN VIGILANCIA'!M119),"",'RESUMEN VIGILANCIA'!M119)</f>
        <v>0.35</v>
      </c>
      <c r="O115" s="179">
        <f>IF(ISBLANK('RESUMEN VIGILANCIA'!N119),"",'RESUMEN VIGILANCIA'!N119)</f>
        <v>0.35</v>
      </c>
      <c r="P115" s="268">
        <f>IF(ISBLANK('RESUMEN VIGILANCIA'!O119),"",'RESUMEN VIGILANCIA'!O119)</f>
        <v>0.5</v>
      </c>
      <c r="Q115" s="177">
        <f>IF(ISBLANK('RESUMEN VIGILANCIA'!P119),"",'RESUMEN VIGILANCIA'!P119)</f>
        <v>0.5</v>
      </c>
      <c r="R115" s="269">
        <f>IF(ISBLANK('RESUMEN VIGILANCIA'!Q119),"",'RESUMEN VIGILANCIA'!Q119)</f>
        <v>0.8</v>
      </c>
      <c r="S115" s="268">
        <f>IF(ISBLANK('RESUMEN VIGILANCIA'!R119),"",'RESUMEN VIGILANCIA'!R119)</f>
        <v>0.8</v>
      </c>
      <c r="T115" s="268">
        <f>IF(ISBLANK('RESUMEN VIGILANCIA'!S119),"",'RESUMEN VIGILANCIA'!S119)</f>
        <v>1.4</v>
      </c>
      <c r="U115" s="268">
        <f>IF(ISBLANK('RESUMEN VIGILANCIA'!T119),"",'RESUMEN VIGILANCIA'!T119)</f>
        <v>1.4</v>
      </c>
      <c r="V115" s="268">
        <f>IF(ISBLANK('RESUMEN VIGILANCIA'!U119),"",'RESUMEN VIGILANCIA'!U119)</f>
        <v>4</v>
      </c>
      <c r="W115" s="268">
        <f>IF(ISBLANK('RESUMEN VIGILANCIA'!V119),"",'RESUMEN VIGILANCIA'!V119)</f>
        <v>6.25</v>
      </c>
      <c r="X115" s="268">
        <f>IF(ISBLANK('RESUMEN VIGILANCIA'!W119),"",'RESUMEN VIGILANCIA'!W119)</f>
        <v>10</v>
      </c>
      <c r="Y115" s="268">
        <f>IF(ISBLANK('RESUMEN VIGILANCIA'!X119),"",'RESUMEN VIGILANCIA'!X119)</f>
        <v>12</v>
      </c>
      <c r="Z115" s="453" t="str">
        <f>IF(ISBLANK('RESUMEN VIGILANCIA'!Y119),"",'RESUMEN VIGILANCIA'!Y119)</f>
        <v/>
      </c>
      <c r="AA115" s="453" t="str">
        <f>IF(ISBLANK('RESUMEN VIGILANCIA'!Z119),"",'RESUMEN VIGILANCIA'!Z119)</f>
        <v/>
      </c>
      <c r="AB115" s="453" t="str">
        <f>IF(ISBLANK('RESUMEN VIGILANCIA'!AA119),"",'RESUMEN VIGILANCIA'!AA119)</f>
        <v/>
      </c>
      <c r="AC115" s="454" t="str">
        <f>IF(ISBLANK('RESUMEN VIGILANCIA'!AB119),"",'RESUMEN VIGILANCIA'!AB119)</f>
        <v/>
      </c>
      <c r="AD115" s="374" t="str">
        <f>IF(ISBLANK('RESUMEN VIGILANCIA'!AC119),"",'RESUMEN VIGILANCIA'!AC119)</f>
        <v/>
      </c>
      <c r="AE115" s="375" t="str">
        <f>IF(ISBLANK('RESUMEN VIGILANCIA'!AD119),"",'RESUMEN VIGILANCIA'!AD119)</f>
        <v/>
      </c>
      <c r="AF115" s="375" t="str">
        <f>IF(ISBLANK('RESUMEN VIGILANCIA'!AE119),"",'RESUMEN VIGILANCIA'!AE119)</f>
        <v/>
      </c>
      <c r="AG115" s="375" t="str">
        <f>IF(ISBLANK('RESUMEN VIGILANCIA'!AF119),"",'RESUMEN VIGILANCIA'!AF119)</f>
        <v/>
      </c>
      <c r="AH115" s="375" t="str">
        <f>IF(ISBLANK('RESUMEN VIGILANCIA'!AG119),"",'RESUMEN VIGILANCIA'!AG119)</f>
        <v/>
      </c>
      <c r="AI115" s="375" t="str">
        <f>IF(ISBLANK('RESUMEN VIGILANCIA'!AH119),"",'RESUMEN VIGILANCIA'!AH119)</f>
        <v/>
      </c>
      <c r="AJ115" s="375" t="str">
        <f>IF(ISBLANK('RESUMEN VIGILANCIA'!AI119),"",'RESUMEN VIGILANCIA'!AI119)</f>
        <v/>
      </c>
      <c r="AK115" s="375" t="str">
        <f>IF(ISBLANK('RESUMEN VIGILANCIA'!AJ119),"",'RESUMEN VIGILANCIA'!AJ119)</f>
        <v/>
      </c>
      <c r="AL115" s="375" t="str">
        <f>IF(ISBLANK('RESUMEN VIGILANCIA'!AK119),"",'RESUMEN VIGILANCIA'!AK119)</f>
        <v/>
      </c>
      <c r="AM115" s="375" t="str">
        <f>IF(ISBLANK('RESUMEN VIGILANCIA'!AL119),"",'RESUMEN VIGILANCIA'!AL119)</f>
        <v/>
      </c>
      <c r="AN115" s="375" t="str">
        <f>IF(ISBLANK('RESUMEN VIGILANCIA'!AM119),"",'RESUMEN VIGILANCIA'!AM119)</f>
        <v/>
      </c>
      <c r="AO115" s="376" t="str">
        <f>IF(ISBLANK('RESUMEN VIGILANCIA'!AN119),"",'RESUMEN VIGILANCIA'!AN119)</f>
        <v/>
      </c>
      <c r="AP115" s="374" t="str">
        <f>IF(ISBLANK('RESUMEN VIGILANCIA'!AO119),"",'RESUMEN VIGILANCIA'!AO119)</f>
        <v/>
      </c>
      <c r="AQ115" s="375" t="str">
        <f>IF(ISBLANK('RESUMEN VIGILANCIA'!AP119),"",'RESUMEN VIGILANCIA'!AP119)</f>
        <v/>
      </c>
      <c r="AR115" s="375" t="str">
        <f>IF(ISBLANK('RESUMEN VIGILANCIA'!AQ119),"",'RESUMEN VIGILANCIA'!AQ119)</f>
        <v/>
      </c>
      <c r="AS115" s="375" t="str">
        <f>IF(ISBLANK('RESUMEN VIGILANCIA'!AR119),"",'RESUMEN VIGILANCIA'!AR119)</f>
        <v/>
      </c>
      <c r="AT115" s="375" t="str">
        <f>IF(ISBLANK('RESUMEN VIGILANCIA'!AS119),"",'RESUMEN VIGILANCIA'!AS119)</f>
        <v/>
      </c>
      <c r="AU115" s="375" t="str">
        <f>IF(ISBLANK('RESUMEN VIGILANCIA'!AT119),"",'RESUMEN VIGILANCIA'!AT119)</f>
        <v/>
      </c>
      <c r="AV115" s="375" t="str">
        <f>IF(ISBLANK('RESUMEN VIGILANCIA'!AU119),"",'RESUMEN VIGILANCIA'!AU119)</f>
        <v/>
      </c>
      <c r="AW115" s="375" t="str">
        <f>IF(ISBLANK('RESUMEN VIGILANCIA'!AV119),"",'RESUMEN VIGILANCIA'!AV119)</f>
        <v/>
      </c>
      <c r="AX115" s="375" t="str">
        <f>IF(ISBLANK('RESUMEN VIGILANCIA'!AW119),"",'RESUMEN VIGILANCIA'!AW119)</f>
        <v/>
      </c>
      <c r="AY115" s="375" t="str">
        <f>IF(ISBLANK('RESUMEN VIGILANCIA'!AX119),"",'RESUMEN VIGILANCIA'!AX119)</f>
        <v/>
      </c>
      <c r="AZ115" s="375" t="str">
        <f>IF(ISBLANK('RESUMEN VIGILANCIA'!AY119),"",'RESUMEN VIGILANCIA'!AY119)</f>
        <v/>
      </c>
      <c r="BA115" s="376" t="str">
        <f>IF(ISBLANK('RESUMEN VIGILANCIA'!AZ119),"",'RESUMEN VIGILANCIA'!AZ119)</f>
        <v/>
      </c>
      <c r="BB115" s="240">
        <f t="shared" si="11"/>
        <v>40.25</v>
      </c>
      <c r="BC115" s="110"/>
      <c r="BD115" s="110"/>
    </row>
    <row r="116" spans="1:56" s="28" customFormat="1" ht="20.100000000000001" customHeight="1">
      <c r="A116" s="29" t="str">
        <f>'RESUMEN VIGILANCIA'!A120</f>
        <v>Familia Alonso Rojas</v>
      </c>
      <c r="B116" s="30" t="str">
        <f>'RESUMEN VIGILANCIA'!B120</f>
        <v>Calle Güigüe Nro. 89-54</v>
      </c>
      <c r="C116" s="427" t="s">
        <v>1358</v>
      </c>
      <c r="D116" s="434" t="s">
        <v>17</v>
      </c>
      <c r="E116" s="415" t="str">
        <f>IF(ISBLANK('RESUMEN VIGILANCIA'!D120),"",'RESUMEN VIGILANCIA'!D120)</f>
        <v/>
      </c>
      <c r="F116" s="267" t="str">
        <f>IF(ISBLANK('RESUMEN VIGILANCIA'!E120),"",'RESUMEN VIGILANCIA'!E120)</f>
        <v/>
      </c>
      <c r="G116" s="179" t="str">
        <f>IF(ISBLANK('RESUMEN VIGILANCIA'!F120),"",'RESUMEN VIGILANCIA'!F120)</f>
        <v/>
      </c>
      <c r="H116" s="179" t="str">
        <f>IF(ISBLANK('RESUMEN VIGILANCIA'!G120),"",'RESUMEN VIGILANCIA'!G120)</f>
        <v/>
      </c>
      <c r="I116" s="179" t="str">
        <f>IF(ISBLANK('RESUMEN VIGILANCIA'!H120),"",'RESUMEN VIGILANCIA'!H120)</f>
        <v/>
      </c>
      <c r="J116" s="179" t="str">
        <f>IF(ISBLANK('RESUMEN VIGILANCIA'!I120),"",'RESUMEN VIGILANCIA'!I120)</f>
        <v/>
      </c>
      <c r="K116" s="179" t="str">
        <f>IF(ISBLANK('RESUMEN VIGILANCIA'!J120),"",'RESUMEN VIGILANCIA'!J120)</f>
        <v/>
      </c>
      <c r="L116" s="179" t="str">
        <f>IF(ISBLANK('RESUMEN VIGILANCIA'!K120),"",'RESUMEN VIGILANCIA'!K120)</f>
        <v/>
      </c>
      <c r="M116" s="179" t="str">
        <f>IF(ISBLANK('RESUMEN VIGILANCIA'!L120),"",'RESUMEN VIGILANCIA'!L120)</f>
        <v/>
      </c>
      <c r="N116" s="179" t="str">
        <f>IF(ISBLANK('RESUMEN VIGILANCIA'!M120),"",'RESUMEN VIGILANCIA'!M120)</f>
        <v/>
      </c>
      <c r="O116" s="179" t="str">
        <f>IF(ISBLANK('RESUMEN VIGILANCIA'!N120),"",'RESUMEN VIGILANCIA'!N120)</f>
        <v/>
      </c>
      <c r="P116" s="268">
        <f>IF(ISBLANK('RESUMEN VIGILANCIA'!O120),"",'RESUMEN VIGILANCIA'!O120)</f>
        <v>0.5</v>
      </c>
      <c r="Q116" s="177">
        <f>IF(ISBLANK('RESUMEN VIGILANCIA'!P120),"",'RESUMEN VIGILANCIA'!P120)</f>
        <v>0.5</v>
      </c>
      <c r="R116" s="269">
        <f>IF(ISBLANK('RESUMEN VIGILANCIA'!Q120),"",'RESUMEN VIGILANCIA'!Q120)</f>
        <v>0.8</v>
      </c>
      <c r="S116" s="268">
        <f>IF(ISBLANK('RESUMEN VIGILANCIA'!R120),"",'RESUMEN VIGILANCIA'!R120)</f>
        <v>0.8</v>
      </c>
      <c r="T116" s="268">
        <f>IF(ISBLANK('RESUMEN VIGILANCIA'!S120),"",'RESUMEN VIGILANCIA'!S120)</f>
        <v>1.4</v>
      </c>
      <c r="U116" s="268">
        <f>IF(ISBLANK('RESUMEN VIGILANCIA'!T120),"",'RESUMEN VIGILANCIA'!T120)</f>
        <v>1.4</v>
      </c>
      <c r="V116" s="268">
        <f>IF(ISBLANK('RESUMEN VIGILANCIA'!U120),"",'RESUMEN VIGILANCIA'!U120)</f>
        <v>4</v>
      </c>
      <c r="W116" s="268">
        <f>IF(ISBLANK('RESUMEN VIGILANCIA'!V120),"",'RESUMEN VIGILANCIA'!V120)</f>
        <v>6.25</v>
      </c>
      <c r="X116" s="268">
        <f>IF(ISBLANK('RESUMEN VIGILANCIA'!W120),"",'RESUMEN VIGILANCIA'!W120)</f>
        <v>10</v>
      </c>
      <c r="Y116" s="268">
        <f>IF(ISBLANK('RESUMEN VIGILANCIA'!X120),"",'RESUMEN VIGILANCIA'!X120)</f>
        <v>15</v>
      </c>
      <c r="Z116" s="453">
        <f>IF(ISBLANK('RESUMEN VIGILANCIA'!Y120),"",'RESUMEN VIGILANCIA'!Y120)</f>
        <v>320</v>
      </c>
      <c r="AA116" s="453">
        <f>IF(ISBLANK('RESUMEN VIGILANCIA'!Z120),"",'RESUMEN VIGILANCIA'!Z120)</f>
        <v>320</v>
      </c>
      <c r="AB116" s="453">
        <f>IF(ISBLANK('RESUMEN VIGILANCIA'!AA120),"",'RESUMEN VIGILANCIA'!AA120)</f>
        <v>320</v>
      </c>
      <c r="AC116" s="454">
        <f>IF(ISBLANK('RESUMEN VIGILANCIA'!AB120),"",'RESUMEN VIGILANCIA'!AB120)</f>
        <v>500</v>
      </c>
      <c r="AD116" s="374">
        <f>IF(ISBLANK('RESUMEN VIGILANCIA'!AC120),"",'RESUMEN VIGILANCIA'!AC120)</f>
        <v>3000</v>
      </c>
      <c r="AE116" s="375">
        <f>IF(ISBLANK('RESUMEN VIGILANCIA'!AD120),"",'RESUMEN VIGILANCIA'!AD120)</f>
        <v>3000</v>
      </c>
      <c r="AF116" s="375">
        <f>IF(ISBLANK('RESUMEN VIGILANCIA'!AE120),"",'RESUMEN VIGILANCIA'!AE120)</f>
        <v>3000</v>
      </c>
      <c r="AG116" s="375">
        <f>IF(ISBLANK('RESUMEN VIGILANCIA'!AF120),"",'RESUMEN VIGILANCIA'!AF120)</f>
        <v>5000</v>
      </c>
      <c r="AH116" s="375">
        <f>IF(ISBLANK('RESUMEN VIGILANCIA'!AG120),"",'RESUMEN VIGILANCIA'!AG120)</f>
        <v>8000</v>
      </c>
      <c r="AI116" s="375">
        <f>IF(ISBLANK('RESUMEN VIGILANCIA'!AH120),"",'RESUMEN VIGILANCIA'!AH120)</f>
        <v>8000</v>
      </c>
      <c r="AJ116" s="375">
        <f>IF(ISBLANK('RESUMEN VIGILANCIA'!AI120),"",'RESUMEN VIGILANCIA'!AI120)</f>
        <v>10000</v>
      </c>
      <c r="AK116" s="375">
        <f>IF(ISBLANK('RESUMEN VIGILANCIA'!AJ120),"",'RESUMEN VIGILANCIA'!AJ120)</f>
        <v>10000</v>
      </c>
      <c r="AL116" s="375">
        <f>IF(ISBLANK('RESUMEN VIGILANCIA'!AK120),"",'RESUMEN VIGILANCIA'!AK120)</f>
        <v>20000</v>
      </c>
      <c r="AM116" s="375">
        <f>IF(ISBLANK('RESUMEN VIGILANCIA'!AL120),"",'RESUMEN VIGILANCIA'!AL120)</f>
        <v>56250</v>
      </c>
      <c r="AN116" s="375">
        <f>IF(ISBLANK('RESUMEN VIGILANCIA'!AM120),"",'RESUMEN VIGILANCIA'!AM120)</f>
        <v>56250</v>
      </c>
      <c r="AO116" s="376">
        <f>IF(ISBLANK('RESUMEN VIGILANCIA'!AN120),"",'RESUMEN VIGILANCIA'!AN120)</f>
        <v>105250</v>
      </c>
      <c r="AP116" s="374">
        <f>IF(ISBLANK('RESUMEN VIGILANCIA'!AO120),"",'RESUMEN VIGILANCIA'!AO120)</f>
        <v>136250</v>
      </c>
      <c r="AQ116" s="375">
        <f>IF(ISBLANK('RESUMEN VIGILANCIA'!AP120),"",'RESUMEN VIGILANCIA'!AP120)</f>
        <v>140000</v>
      </c>
      <c r="AR116" s="375">
        <f>IF(ISBLANK('RESUMEN VIGILANCIA'!AQ120),"",'RESUMEN VIGILANCIA'!AQ120)</f>
        <v>200000</v>
      </c>
      <c r="AS116" s="375">
        <f>IF(ISBLANK('RESUMEN VIGILANCIA'!AR120),"",'RESUMEN VIGILANCIA'!AR120)</f>
        <v>185250</v>
      </c>
      <c r="AT116" s="375">
        <f>IF(ISBLANK('RESUMEN VIGILANCIA'!AS120),"",'RESUMEN VIGILANCIA'!AS120)</f>
        <v>264750</v>
      </c>
      <c r="AU116" s="375">
        <f>IF(ISBLANK('RESUMEN VIGILANCIA'!AT120),"",'RESUMEN VIGILANCIA'!AT120)</f>
        <v>250000</v>
      </c>
      <c r="AV116" s="375">
        <f>IF(ISBLANK('RESUMEN VIGILANCIA'!AU120),"",'RESUMEN VIGILANCIA'!AU120)</f>
        <v>320000</v>
      </c>
      <c r="AW116" s="375" t="str">
        <f>IF(ISBLANK('RESUMEN VIGILANCIA'!AV120),"",'RESUMEN VIGILANCIA'!AV120)</f>
        <v/>
      </c>
      <c r="AX116" s="375" t="str">
        <f>IF(ISBLANK('RESUMEN VIGILANCIA'!AW120),"",'RESUMEN VIGILANCIA'!AW120)</f>
        <v/>
      </c>
      <c r="AY116" s="375" t="str">
        <f>IF(ISBLANK('RESUMEN VIGILANCIA'!AX120),"",'RESUMEN VIGILANCIA'!AX120)</f>
        <v/>
      </c>
      <c r="AZ116" s="375" t="str">
        <f>IF(ISBLANK('RESUMEN VIGILANCIA'!AY120),"",'RESUMEN VIGILANCIA'!AY120)</f>
        <v/>
      </c>
      <c r="BA116" s="376" t="str">
        <f>IF(ISBLANK('RESUMEN VIGILANCIA'!AZ120),"",'RESUMEN VIGILANCIA'!AZ120)</f>
        <v/>
      </c>
      <c r="BB116" s="240">
        <f t="shared" si="11"/>
        <v>289250.65000000002</v>
      </c>
      <c r="BC116" s="110"/>
      <c r="BD116" s="110"/>
    </row>
    <row r="117" spans="1:56" s="28" customFormat="1" ht="20.100000000000001" customHeight="1">
      <c r="A117" s="29" t="str">
        <f>'RESUMEN VIGILANCIA'!A121</f>
        <v>Familia Fermín Rivas</v>
      </c>
      <c r="B117" s="30" t="str">
        <f>'RESUMEN VIGILANCIA'!B121</f>
        <v>Calle Güigüe Nro. 89-55</v>
      </c>
      <c r="C117" s="427" t="s">
        <v>1358</v>
      </c>
      <c r="D117" s="434" t="s">
        <v>17</v>
      </c>
      <c r="E117" s="415" t="str">
        <f>IF(ISBLANK('RESUMEN VIGILANCIA'!D121),"",'RESUMEN VIGILANCIA'!D121)</f>
        <v/>
      </c>
      <c r="F117" s="267">
        <f>IF(ISBLANK('RESUMEN VIGILANCIA'!E121),"",'RESUMEN VIGILANCIA'!E121)</f>
        <v>0.16999999999999998</v>
      </c>
      <c r="G117" s="179">
        <f>IF(ISBLANK('RESUMEN VIGILANCIA'!F121),"",'RESUMEN VIGILANCIA'!F121)</f>
        <v>0.16999999999999998</v>
      </c>
      <c r="H117" s="179">
        <f>IF(ISBLANK('RESUMEN VIGILANCIA'!G121),"",'RESUMEN VIGILANCIA'!G121)</f>
        <v>0.17</v>
      </c>
      <c r="I117" s="179">
        <f>IF(ISBLANK('RESUMEN VIGILANCIA'!H121),"",'RESUMEN VIGILANCIA'!H121)</f>
        <v>0.17</v>
      </c>
      <c r="J117" s="179">
        <f>IF(ISBLANK('RESUMEN VIGILANCIA'!I121),"",'RESUMEN VIGILANCIA'!I121)</f>
        <v>0.26</v>
      </c>
      <c r="K117" s="179">
        <f>IF(ISBLANK('RESUMEN VIGILANCIA'!J121),"",'RESUMEN VIGILANCIA'!J121)</f>
        <v>0.26</v>
      </c>
      <c r="L117" s="179">
        <f>IF(ISBLANK('RESUMEN VIGILANCIA'!K121),"",'RESUMEN VIGILANCIA'!K121)</f>
        <v>0.35</v>
      </c>
      <c r="M117" s="179">
        <f>IF(ISBLANK('RESUMEN VIGILANCIA'!L121),"",'RESUMEN VIGILANCIA'!L121)</f>
        <v>0.35</v>
      </c>
      <c r="N117" s="179">
        <f>IF(ISBLANK('RESUMEN VIGILANCIA'!M121),"",'RESUMEN VIGILANCIA'!M121)</f>
        <v>0.35</v>
      </c>
      <c r="O117" s="179">
        <f>IF(ISBLANK('RESUMEN VIGILANCIA'!N121),"",'RESUMEN VIGILANCIA'!N121)</f>
        <v>0.35</v>
      </c>
      <c r="P117" s="268">
        <f>IF(ISBLANK('RESUMEN VIGILANCIA'!O121),"",'RESUMEN VIGILANCIA'!O121)</f>
        <v>0.5</v>
      </c>
      <c r="Q117" s="177">
        <f>IF(ISBLANK('RESUMEN VIGILANCIA'!P121),"",'RESUMEN VIGILANCIA'!P121)</f>
        <v>0.5</v>
      </c>
      <c r="R117" s="269">
        <f>IF(ISBLANK('RESUMEN VIGILANCIA'!Q121),"",'RESUMEN VIGILANCIA'!Q121)</f>
        <v>0.8</v>
      </c>
      <c r="S117" s="268">
        <f>IF(ISBLANK('RESUMEN VIGILANCIA'!R121),"",'RESUMEN VIGILANCIA'!R121)</f>
        <v>0.8</v>
      </c>
      <c r="T117" s="268">
        <f>IF(ISBLANK('RESUMEN VIGILANCIA'!S121),"",'RESUMEN VIGILANCIA'!S121)</f>
        <v>1.4</v>
      </c>
      <c r="U117" s="268">
        <f>IF(ISBLANK('RESUMEN VIGILANCIA'!T121),"",'RESUMEN VIGILANCIA'!T121)</f>
        <v>1.4</v>
      </c>
      <c r="V117" s="268">
        <f>IF(ISBLANK('RESUMEN VIGILANCIA'!U121),"",'RESUMEN VIGILANCIA'!U121)</f>
        <v>4</v>
      </c>
      <c r="W117" s="268">
        <f>IF(ISBLANK('RESUMEN VIGILANCIA'!V121),"",'RESUMEN VIGILANCIA'!V121)</f>
        <v>6.25</v>
      </c>
      <c r="X117" s="268">
        <f>IF(ISBLANK('RESUMEN VIGILANCIA'!W121),"",'RESUMEN VIGILANCIA'!W121)</f>
        <v>10</v>
      </c>
      <c r="Y117" s="268">
        <f>IF(ISBLANK('RESUMEN VIGILANCIA'!X121),"",'RESUMEN VIGILANCIA'!X121)</f>
        <v>12</v>
      </c>
      <c r="Z117" s="453">
        <f>IF(ISBLANK('RESUMEN VIGILANCIA'!Y121),"",'RESUMEN VIGILANCIA'!Y121)</f>
        <v>320</v>
      </c>
      <c r="AA117" s="453">
        <f>IF(ISBLANK('RESUMEN VIGILANCIA'!Z121),"",'RESUMEN VIGILANCIA'!Z121)</f>
        <v>320</v>
      </c>
      <c r="AB117" s="453">
        <f>IF(ISBLANK('RESUMEN VIGILANCIA'!AA121),"",'RESUMEN VIGILANCIA'!AA121)</f>
        <v>320</v>
      </c>
      <c r="AC117" s="454">
        <f>IF(ISBLANK('RESUMEN VIGILANCIA'!AB121),"",'RESUMEN VIGILANCIA'!AB121)</f>
        <v>800</v>
      </c>
      <c r="AD117" s="374">
        <f>IF(ISBLANK('RESUMEN VIGILANCIA'!AC121),"",'RESUMEN VIGILANCIA'!AC121)</f>
        <v>3000</v>
      </c>
      <c r="AE117" s="375">
        <f>IF(ISBLANK('RESUMEN VIGILANCIA'!AD121),"",'RESUMEN VIGILANCIA'!AD121)</f>
        <v>3000</v>
      </c>
      <c r="AF117" s="375">
        <f>IF(ISBLANK('RESUMEN VIGILANCIA'!AE121),"",'RESUMEN VIGILANCIA'!AE121)</f>
        <v>3000</v>
      </c>
      <c r="AG117" s="375">
        <f>IF(ISBLANK('RESUMEN VIGILANCIA'!AF121),"",'RESUMEN VIGILANCIA'!AF121)</f>
        <v>8000</v>
      </c>
      <c r="AH117" s="375">
        <f>IF(ISBLANK('RESUMEN VIGILANCIA'!AG121),"",'RESUMEN VIGILANCIA'!AG121)</f>
        <v>8000</v>
      </c>
      <c r="AI117" s="375">
        <f>IF(ISBLANK('RESUMEN VIGILANCIA'!AH121),"",'RESUMEN VIGILANCIA'!AH121)</f>
        <v>8000</v>
      </c>
      <c r="AJ117" s="375">
        <f>IF(ISBLANK('RESUMEN VIGILANCIA'!AI121),"",'RESUMEN VIGILANCIA'!AI121)</f>
        <v>10000</v>
      </c>
      <c r="AK117" s="375">
        <f>IF(ISBLANK('RESUMEN VIGILANCIA'!AJ121),"",'RESUMEN VIGILANCIA'!AJ121)</f>
        <v>10000</v>
      </c>
      <c r="AL117" s="375">
        <f>IF(ISBLANK('RESUMEN VIGILANCIA'!AK121),"",'RESUMEN VIGILANCIA'!AK121)</f>
        <v>23401</v>
      </c>
      <c r="AM117" s="375">
        <f>IF(ISBLANK('RESUMEN VIGILANCIA'!AL121),"",'RESUMEN VIGILANCIA'!AL121)</f>
        <v>47000</v>
      </c>
      <c r="AN117" s="375">
        <f>IF(ISBLANK('RESUMEN VIGILANCIA'!AM121),"",'RESUMEN VIGILANCIA'!AM121)</f>
        <v>51250</v>
      </c>
      <c r="AO117" s="376">
        <f>IF(ISBLANK('RESUMEN VIGILANCIA'!AN121),"",'RESUMEN VIGILANCIA'!AN121)</f>
        <v>81750</v>
      </c>
      <c r="AP117" s="374">
        <f>IF(ISBLANK('RESUMEN VIGILANCIA'!AO121),"",'RESUMEN VIGILANCIA'!AO121)</f>
        <v>136250</v>
      </c>
      <c r="AQ117" s="375">
        <f>IF(ISBLANK('RESUMEN VIGILANCIA'!AP121),"",'RESUMEN VIGILANCIA'!AP121)</f>
        <v>136250</v>
      </c>
      <c r="AR117" s="375">
        <f>IF(ISBLANK('RESUMEN VIGILANCIA'!AQ121),"",'RESUMEN VIGILANCIA'!AQ121)</f>
        <v>185250</v>
      </c>
      <c r="AS117" s="375">
        <f>IF(ISBLANK('RESUMEN VIGILANCIA'!AR121),"",'RESUMEN VIGILANCIA'!AR121)</f>
        <v>185250</v>
      </c>
      <c r="AT117" s="375">
        <f>IF(ISBLANK('RESUMEN VIGILANCIA'!AS121),"",'RESUMEN VIGILANCIA'!AS121)</f>
        <v>250000</v>
      </c>
      <c r="AU117" s="375">
        <f>IF(ISBLANK('RESUMEN VIGILANCIA'!AT121),"",'RESUMEN VIGILANCIA'!AT121)</f>
        <v>250000</v>
      </c>
      <c r="AV117" s="375" t="str">
        <f>IF(ISBLANK('RESUMEN VIGILANCIA'!AU121),"",'RESUMEN VIGILANCIA'!AU121)</f>
        <v/>
      </c>
      <c r="AW117" s="375" t="str">
        <f>IF(ISBLANK('RESUMEN VIGILANCIA'!AV121),"",'RESUMEN VIGILANCIA'!AV121)</f>
        <v/>
      </c>
      <c r="AX117" s="375" t="str">
        <f>IF(ISBLANK('RESUMEN VIGILANCIA'!AW121),"",'RESUMEN VIGILANCIA'!AW121)</f>
        <v/>
      </c>
      <c r="AY117" s="375" t="str">
        <f>IF(ISBLANK('RESUMEN VIGILANCIA'!AX121),"",'RESUMEN VIGILANCIA'!AX121)</f>
        <v/>
      </c>
      <c r="AZ117" s="375" t="str">
        <f>IF(ISBLANK('RESUMEN VIGILANCIA'!AY121),"",'RESUMEN VIGILANCIA'!AY121)</f>
        <v/>
      </c>
      <c r="BA117" s="376" t="str">
        <f>IF(ISBLANK('RESUMEN VIGILANCIA'!AZ121),"",'RESUMEN VIGILANCIA'!AZ121)</f>
        <v/>
      </c>
      <c r="BB117" s="240">
        <f t="shared" si="11"/>
        <v>258201.25</v>
      </c>
      <c r="BC117" s="110"/>
      <c r="BD117" s="110"/>
    </row>
    <row r="118" spans="1:56" s="28" customFormat="1" ht="20.100000000000001" customHeight="1">
      <c r="A118" s="29" t="str">
        <f>'RESUMEN VIGILANCIA'!A122</f>
        <v>Familia Blonval Hernández</v>
      </c>
      <c r="B118" s="30" t="str">
        <f>'RESUMEN VIGILANCIA'!B122</f>
        <v>Calle Güigüe Nro. 89-64</v>
      </c>
      <c r="C118" s="427" t="s">
        <v>1360</v>
      </c>
      <c r="D118" s="434" t="s">
        <v>1357</v>
      </c>
      <c r="E118" s="415" t="str">
        <f>IF(ISBLANK('RESUMEN VIGILANCIA'!D122),"",'RESUMEN VIGILANCIA'!D122)</f>
        <v/>
      </c>
      <c r="F118" s="267" t="str">
        <f>IF(ISBLANK('RESUMEN VIGILANCIA'!E122),"",'RESUMEN VIGILANCIA'!E122)</f>
        <v/>
      </c>
      <c r="G118" s="179" t="str">
        <f>IF(ISBLANK('RESUMEN VIGILANCIA'!F122),"",'RESUMEN VIGILANCIA'!F122)</f>
        <v/>
      </c>
      <c r="H118" s="179" t="str">
        <f>IF(ISBLANK('RESUMEN VIGILANCIA'!G122),"",'RESUMEN VIGILANCIA'!G122)</f>
        <v/>
      </c>
      <c r="I118" s="179" t="str">
        <f>IF(ISBLANK('RESUMEN VIGILANCIA'!H122),"",'RESUMEN VIGILANCIA'!H122)</f>
        <v/>
      </c>
      <c r="J118" s="179" t="str">
        <f>IF(ISBLANK('RESUMEN VIGILANCIA'!I122),"",'RESUMEN VIGILANCIA'!I122)</f>
        <v/>
      </c>
      <c r="K118" s="179" t="str">
        <f>IF(ISBLANK('RESUMEN VIGILANCIA'!J122),"",'RESUMEN VIGILANCIA'!J122)</f>
        <v/>
      </c>
      <c r="L118" s="179" t="str">
        <f>IF(ISBLANK('RESUMEN VIGILANCIA'!K122),"",'RESUMEN VIGILANCIA'!K122)</f>
        <v/>
      </c>
      <c r="M118" s="179" t="str">
        <f>IF(ISBLANK('RESUMEN VIGILANCIA'!L122),"",'RESUMEN VIGILANCIA'!L122)</f>
        <v/>
      </c>
      <c r="N118" s="179" t="str">
        <f>IF(ISBLANK('RESUMEN VIGILANCIA'!M122),"",'RESUMEN VIGILANCIA'!M122)</f>
        <v/>
      </c>
      <c r="O118" s="179" t="str">
        <f>IF(ISBLANK('RESUMEN VIGILANCIA'!N122),"",'RESUMEN VIGILANCIA'!N122)</f>
        <v/>
      </c>
      <c r="P118" s="268" t="str">
        <f>IF(ISBLANK('RESUMEN VIGILANCIA'!O122),"",'RESUMEN VIGILANCIA'!O122)</f>
        <v/>
      </c>
      <c r="Q118" s="177" t="str">
        <f>IF(ISBLANK('RESUMEN VIGILANCIA'!P122),"",'RESUMEN VIGILANCIA'!P122)</f>
        <v/>
      </c>
      <c r="R118" s="269" t="str">
        <f>IF(ISBLANK('RESUMEN VIGILANCIA'!Q122),"",'RESUMEN VIGILANCIA'!Q122)</f>
        <v/>
      </c>
      <c r="S118" s="268" t="str">
        <f>IF(ISBLANK('RESUMEN VIGILANCIA'!R122),"",'RESUMEN VIGILANCIA'!R122)</f>
        <v/>
      </c>
      <c r="T118" s="268" t="str">
        <f>IF(ISBLANK('RESUMEN VIGILANCIA'!S122),"",'RESUMEN VIGILANCIA'!S122)</f>
        <v/>
      </c>
      <c r="U118" s="268" t="str">
        <f>IF(ISBLANK('RESUMEN VIGILANCIA'!T122),"",'RESUMEN VIGILANCIA'!T122)</f>
        <v/>
      </c>
      <c r="V118" s="268" t="str">
        <f>IF(ISBLANK('RESUMEN VIGILANCIA'!U122),"",'RESUMEN VIGILANCIA'!U122)</f>
        <v/>
      </c>
      <c r="W118" s="268" t="str">
        <f>IF(ISBLANK('RESUMEN VIGILANCIA'!V122),"",'RESUMEN VIGILANCIA'!V122)</f>
        <v/>
      </c>
      <c r="X118" s="268" t="str">
        <f>IF(ISBLANK('RESUMEN VIGILANCIA'!W122),"",'RESUMEN VIGILANCIA'!W122)</f>
        <v/>
      </c>
      <c r="Y118" s="268" t="str">
        <f>IF(ISBLANK('RESUMEN VIGILANCIA'!X122),"",'RESUMEN VIGILANCIA'!X122)</f>
        <v/>
      </c>
      <c r="Z118" s="453" t="str">
        <f>IF(ISBLANK('RESUMEN VIGILANCIA'!Y122),"",'RESUMEN VIGILANCIA'!Y122)</f>
        <v/>
      </c>
      <c r="AA118" s="453" t="str">
        <f>IF(ISBLANK('RESUMEN VIGILANCIA'!Z122),"",'RESUMEN VIGILANCIA'!Z122)</f>
        <v/>
      </c>
      <c r="AB118" s="453" t="str">
        <f>IF(ISBLANK('RESUMEN VIGILANCIA'!AA122),"",'RESUMEN VIGILANCIA'!AA122)</f>
        <v/>
      </c>
      <c r="AC118" s="454" t="str">
        <f>IF(ISBLANK('RESUMEN VIGILANCIA'!AB122),"",'RESUMEN VIGILANCIA'!AB122)</f>
        <v/>
      </c>
      <c r="AD118" s="374" t="str">
        <f>IF(ISBLANK('RESUMEN VIGILANCIA'!AC122),"",'RESUMEN VIGILANCIA'!AC122)</f>
        <v/>
      </c>
      <c r="AE118" s="375" t="str">
        <f>IF(ISBLANK('RESUMEN VIGILANCIA'!AD122),"",'RESUMEN VIGILANCIA'!AD122)</f>
        <v/>
      </c>
      <c r="AF118" s="375" t="str">
        <f>IF(ISBLANK('RESUMEN VIGILANCIA'!AE122),"",'RESUMEN VIGILANCIA'!AE122)</f>
        <v/>
      </c>
      <c r="AG118" s="375" t="str">
        <f>IF(ISBLANK('RESUMEN VIGILANCIA'!AF122),"",'RESUMEN VIGILANCIA'!AF122)</f>
        <v/>
      </c>
      <c r="AH118" s="375" t="str">
        <f>IF(ISBLANK('RESUMEN VIGILANCIA'!AG122),"",'RESUMEN VIGILANCIA'!AG122)</f>
        <v/>
      </c>
      <c r="AI118" s="375" t="str">
        <f>IF(ISBLANK('RESUMEN VIGILANCIA'!AH122),"",'RESUMEN VIGILANCIA'!AH122)</f>
        <v/>
      </c>
      <c r="AJ118" s="375" t="str">
        <f>IF(ISBLANK('RESUMEN VIGILANCIA'!AI122),"",'RESUMEN VIGILANCIA'!AI122)</f>
        <v/>
      </c>
      <c r="AK118" s="375" t="str">
        <f>IF(ISBLANK('RESUMEN VIGILANCIA'!AJ122),"",'RESUMEN VIGILANCIA'!AJ122)</f>
        <v/>
      </c>
      <c r="AL118" s="375" t="str">
        <f>IF(ISBLANK('RESUMEN VIGILANCIA'!AK122),"",'RESUMEN VIGILANCIA'!AK122)</f>
        <v/>
      </c>
      <c r="AM118" s="375" t="str">
        <f>IF(ISBLANK('RESUMEN VIGILANCIA'!AL122),"",'RESUMEN VIGILANCIA'!AL122)</f>
        <v/>
      </c>
      <c r="AN118" s="375" t="str">
        <f>IF(ISBLANK('RESUMEN VIGILANCIA'!AM122),"",'RESUMEN VIGILANCIA'!AM122)</f>
        <v/>
      </c>
      <c r="AO118" s="376" t="str">
        <f>IF(ISBLANK('RESUMEN VIGILANCIA'!AN122),"",'RESUMEN VIGILANCIA'!AN122)</f>
        <v/>
      </c>
      <c r="AP118" s="374" t="str">
        <f>IF(ISBLANK('RESUMEN VIGILANCIA'!AO122),"",'RESUMEN VIGILANCIA'!AO122)</f>
        <v/>
      </c>
      <c r="AQ118" s="375" t="str">
        <f>IF(ISBLANK('RESUMEN VIGILANCIA'!AP122),"",'RESUMEN VIGILANCIA'!AP122)</f>
        <v/>
      </c>
      <c r="AR118" s="375" t="str">
        <f>IF(ISBLANK('RESUMEN VIGILANCIA'!AQ122),"",'RESUMEN VIGILANCIA'!AQ122)</f>
        <v/>
      </c>
      <c r="AS118" s="375" t="str">
        <f>IF(ISBLANK('RESUMEN VIGILANCIA'!AR122),"",'RESUMEN VIGILANCIA'!AR122)</f>
        <v/>
      </c>
      <c r="AT118" s="375" t="str">
        <f>IF(ISBLANK('RESUMEN VIGILANCIA'!AS122),"",'RESUMEN VIGILANCIA'!AS122)</f>
        <v/>
      </c>
      <c r="AU118" s="375" t="str">
        <f>IF(ISBLANK('RESUMEN VIGILANCIA'!AT122),"",'RESUMEN VIGILANCIA'!AT122)</f>
        <v/>
      </c>
      <c r="AV118" s="375" t="str">
        <f>IF(ISBLANK('RESUMEN VIGILANCIA'!AU122),"",'RESUMEN VIGILANCIA'!AU122)</f>
        <v/>
      </c>
      <c r="AW118" s="375" t="str">
        <f>IF(ISBLANK('RESUMEN VIGILANCIA'!AV122),"",'RESUMEN VIGILANCIA'!AV122)</f>
        <v/>
      </c>
      <c r="AX118" s="375" t="str">
        <f>IF(ISBLANK('RESUMEN VIGILANCIA'!AW122),"",'RESUMEN VIGILANCIA'!AW122)</f>
        <v/>
      </c>
      <c r="AY118" s="375" t="str">
        <f>IF(ISBLANK('RESUMEN VIGILANCIA'!AX122),"",'RESUMEN VIGILANCIA'!AX122)</f>
        <v/>
      </c>
      <c r="AZ118" s="375" t="str">
        <f>IF(ISBLANK('RESUMEN VIGILANCIA'!AY122),"",'RESUMEN VIGILANCIA'!AY122)</f>
        <v/>
      </c>
      <c r="BA118" s="376" t="str">
        <f>IF(ISBLANK('RESUMEN VIGILANCIA'!AZ122),"",'RESUMEN VIGILANCIA'!AZ122)</f>
        <v/>
      </c>
      <c r="BB118" s="240">
        <f t="shared" si="11"/>
        <v>0</v>
      </c>
      <c r="BC118" s="110"/>
      <c r="BD118" s="110"/>
    </row>
    <row r="119" spans="1:56" s="28" customFormat="1" ht="20.100000000000001" customHeight="1">
      <c r="A119" s="29" t="str">
        <f>'RESUMEN VIGILANCIA'!A123</f>
        <v>Familia Milanés Carmona</v>
      </c>
      <c r="B119" s="30" t="str">
        <f>'RESUMEN VIGILANCIA'!B123</f>
        <v>Calle Güigüe Nro. 89-65</v>
      </c>
      <c r="C119" s="427" t="s">
        <v>1358</v>
      </c>
      <c r="D119" s="434" t="s">
        <v>17</v>
      </c>
      <c r="E119" s="415" t="str">
        <f>IF(ISBLANK('RESUMEN VIGILANCIA'!D123),"",'RESUMEN VIGILANCIA'!D123)</f>
        <v/>
      </c>
      <c r="F119" s="271" t="str">
        <f>IF(ISBLANK('RESUMEN VIGILANCIA'!E123),"",'RESUMEN VIGILANCIA'!E123)</f>
        <v/>
      </c>
      <c r="G119" s="180" t="str">
        <f>IF(ISBLANK('RESUMEN VIGILANCIA'!F123),"",'RESUMEN VIGILANCIA'!F123)</f>
        <v/>
      </c>
      <c r="H119" s="180" t="str">
        <f>IF(ISBLANK('RESUMEN VIGILANCIA'!G123),"",'RESUMEN VIGILANCIA'!G123)</f>
        <v/>
      </c>
      <c r="I119" s="180" t="str">
        <f>IF(ISBLANK('RESUMEN VIGILANCIA'!H123),"",'RESUMEN VIGILANCIA'!H123)</f>
        <v/>
      </c>
      <c r="J119" s="180" t="str">
        <f>IF(ISBLANK('RESUMEN VIGILANCIA'!I123),"",'RESUMEN VIGILANCIA'!I123)</f>
        <v/>
      </c>
      <c r="K119" s="179">
        <f>IF(ISBLANK('RESUMEN VIGILANCIA'!J123),"",'RESUMEN VIGILANCIA'!J123)</f>
        <v>0.26</v>
      </c>
      <c r="L119" s="179">
        <f>IF(ISBLANK('RESUMEN VIGILANCIA'!K123),"",'RESUMEN VIGILANCIA'!K123)</f>
        <v>0.35</v>
      </c>
      <c r="M119" s="179">
        <f>IF(ISBLANK('RESUMEN VIGILANCIA'!L123),"",'RESUMEN VIGILANCIA'!L123)</f>
        <v>0.35</v>
      </c>
      <c r="N119" s="179">
        <f>IF(ISBLANK('RESUMEN VIGILANCIA'!M123),"",'RESUMEN VIGILANCIA'!M123)</f>
        <v>0.35</v>
      </c>
      <c r="O119" s="179">
        <f>IF(ISBLANK('RESUMEN VIGILANCIA'!N123),"",'RESUMEN VIGILANCIA'!N123)</f>
        <v>0.35</v>
      </c>
      <c r="P119" s="268">
        <f>IF(ISBLANK('RESUMEN VIGILANCIA'!O123),"",'RESUMEN VIGILANCIA'!O123)</f>
        <v>0.5</v>
      </c>
      <c r="Q119" s="177">
        <f>IF(ISBLANK('RESUMEN VIGILANCIA'!P123),"",'RESUMEN VIGILANCIA'!P123)</f>
        <v>0.5</v>
      </c>
      <c r="R119" s="269">
        <f>IF(ISBLANK('RESUMEN VIGILANCIA'!Q123),"",'RESUMEN VIGILANCIA'!Q123)</f>
        <v>0.8</v>
      </c>
      <c r="S119" s="268">
        <f>IF(ISBLANK('RESUMEN VIGILANCIA'!R123),"",'RESUMEN VIGILANCIA'!R123)</f>
        <v>0.8</v>
      </c>
      <c r="T119" s="268">
        <f>IF(ISBLANK('RESUMEN VIGILANCIA'!S123),"",'RESUMEN VIGILANCIA'!S123)</f>
        <v>1.4</v>
      </c>
      <c r="U119" s="268">
        <f>IF(ISBLANK('RESUMEN VIGILANCIA'!T123),"",'RESUMEN VIGILANCIA'!T123)</f>
        <v>1.4</v>
      </c>
      <c r="V119" s="268">
        <f>IF(ISBLANK('RESUMEN VIGILANCIA'!U123),"",'RESUMEN VIGILANCIA'!U123)</f>
        <v>4</v>
      </c>
      <c r="W119" s="268">
        <f>IF(ISBLANK('RESUMEN VIGILANCIA'!V123),"",'RESUMEN VIGILANCIA'!V123)</f>
        <v>6.25</v>
      </c>
      <c r="X119" s="268">
        <f>IF(ISBLANK('RESUMEN VIGILANCIA'!W123),"",'RESUMEN VIGILANCIA'!W123)</f>
        <v>10</v>
      </c>
      <c r="Y119" s="268">
        <f>IF(ISBLANK('RESUMEN VIGILANCIA'!X123),"",'RESUMEN VIGILANCIA'!X123)</f>
        <v>12</v>
      </c>
      <c r="Z119" s="453">
        <f>IF(ISBLANK('RESUMEN VIGILANCIA'!Y123),"",'RESUMEN VIGILANCIA'!Y123)</f>
        <v>333</v>
      </c>
      <c r="AA119" s="453">
        <f>IF(ISBLANK('RESUMEN VIGILANCIA'!Z123),"",'RESUMEN VIGILANCIA'!Z123)</f>
        <v>320</v>
      </c>
      <c r="AB119" s="453">
        <f>IF(ISBLANK('RESUMEN VIGILANCIA'!AA123),"",'RESUMEN VIGILANCIA'!AA123)</f>
        <v>320</v>
      </c>
      <c r="AC119" s="454">
        <f>IF(ISBLANK('RESUMEN VIGILANCIA'!AB123),"",'RESUMEN VIGILANCIA'!AB123)</f>
        <v>800</v>
      </c>
      <c r="AD119" s="374">
        <f>IF(ISBLANK('RESUMEN VIGILANCIA'!AC123),"",'RESUMEN VIGILANCIA'!AC123)</f>
        <v>3000</v>
      </c>
      <c r="AE119" s="375">
        <f>IF(ISBLANK('RESUMEN VIGILANCIA'!AD123),"",'RESUMEN VIGILANCIA'!AD123)</f>
        <v>3000</v>
      </c>
      <c r="AF119" s="375">
        <f>IF(ISBLANK('RESUMEN VIGILANCIA'!AE123),"",'RESUMEN VIGILANCIA'!AE123)</f>
        <v>3000</v>
      </c>
      <c r="AG119" s="375">
        <f>IF(ISBLANK('RESUMEN VIGILANCIA'!AF123),"",'RESUMEN VIGILANCIA'!AF123)</f>
        <v>5000</v>
      </c>
      <c r="AH119" s="375">
        <f>IF(ISBLANK('RESUMEN VIGILANCIA'!AG123),"",'RESUMEN VIGILANCIA'!AG123)</f>
        <v>8000</v>
      </c>
      <c r="AI119" s="375">
        <f>IF(ISBLANK('RESUMEN VIGILANCIA'!AH123),"",'RESUMEN VIGILANCIA'!AH123)</f>
        <v>8000</v>
      </c>
      <c r="AJ119" s="375">
        <f>IF(ISBLANK('RESUMEN VIGILANCIA'!AI123),"",'RESUMEN VIGILANCIA'!AI123)</f>
        <v>10000</v>
      </c>
      <c r="AK119" s="375">
        <f>IF(ISBLANK('RESUMEN VIGILANCIA'!AJ123),"",'RESUMEN VIGILANCIA'!AJ123)</f>
        <v>10000</v>
      </c>
      <c r="AL119" s="375">
        <f>IF(ISBLANK('RESUMEN VIGILANCIA'!AK123),"",'RESUMEN VIGILANCIA'!AK123)</f>
        <v>19800</v>
      </c>
      <c r="AM119" s="375">
        <f>IF(ISBLANK('RESUMEN VIGILANCIA'!AL123),"",'RESUMEN VIGILANCIA'!AL123)</f>
        <v>50000</v>
      </c>
      <c r="AN119" s="375">
        <f>IF(ISBLANK('RESUMEN VIGILANCIA'!AM123),"",'RESUMEN VIGILANCIA'!AM123)</f>
        <v>60000</v>
      </c>
      <c r="AO119" s="376">
        <f>IF(ISBLANK('RESUMEN VIGILANCIA'!AN123),"",'RESUMEN VIGILANCIA'!AN123)</f>
        <v>105250</v>
      </c>
      <c r="AP119" s="374">
        <f>IF(ISBLANK('RESUMEN VIGILANCIA'!AO123),"",'RESUMEN VIGILANCIA'!AO123)</f>
        <v>136250</v>
      </c>
      <c r="AQ119" s="375">
        <f>IF(ISBLANK('RESUMEN VIGILANCIA'!AP123),"",'RESUMEN VIGILANCIA'!AP123)</f>
        <v>136250</v>
      </c>
      <c r="AR119" s="375">
        <f>IF(ISBLANK('RESUMEN VIGILANCIA'!AQ123),"",'RESUMEN VIGILANCIA'!AQ123)</f>
        <v>185250</v>
      </c>
      <c r="AS119" s="375">
        <f>IF(ISBLANK('RESUMEN VIGILANCIA'!AR123),"",'RESUMEN VIGILANCIA'!AR123)</f>
        <v>200000</v>
      </c>
      <c r="AT119" s="375">
        <f>IF(ISBLANK('RESUMEN VIGILANCIA'!AS123),"",'RESUMEN VIGILANCIA'!AS123)</f>
        <v>250000</v>
      </c>
      <c r="AU119" s="375">
        <f>IF(ISBLANK('RESUMEN VIGILANCIA'!AT123),"",'RESUMEN VIGILANCIA'!AT123)</f>
        <v>250000</v>
      </c>
      <c r="AV119" s="375" t="str">
        <f>IF(ISBLANK('RESUMEN VIGILANCIA'!AU123),"",'RESUMEN VIGILANCIA'!AU123)</f>
        <v/>
      </c>
      <c r="AW119" s="375" t="str">
        <f>IF(ISBLANK('RESUMEN VIGILANCIA'!AV123),"",'RESUMEN VIGILANCIA'!AV123)</f>
        <v/>
      </c>
      <c r="AX119" s="375" t="str">
        <f>IF(ISBLANK('RESUMEN VIGILANCIA'!AW123),"",'RESUMEN VIGILANCIA'!AW123)</f>
        <v/>
      </c>
      <c r="AY119" s="375" t="str">
        <f>IF(ISBLANK('RESUMEN VIGILANCIA'!AX123),"",'RESUMEN VIGILANCIA'!AX123)</f>
        <v/>
      </c>
      <c r="AZ119" s="375" t="str">
        <f>IF(ISBLANK('RESUMEN VIGILANCIA'!AY123),"",'RESUMEN VIGILANCIA'!AY123)</f>
        <v/>
      </c>
      <c r="BA119" s="376" t="str">
        <f>IF(ISBLANK('RESUMEN VIGILANCIA'!AZ123),"",'RESUMEN VIGILANCIA'!AZ123)</f>
        <v/>
      </c>
      <c r="BB119" s="240">
        <f t="shared" si="11"/>
        <v>286862.31</v>
      </c>
      <c r="BC119" s="110"/>
      <c r="BD119" s="110"/>
    </row>
    <row r="120" spans="1:56" s="28" customFormat="1" ht="20.100000000000001" customHeight="1">
      <c r="A120" s="29" t="str">
        <f>'RESUMEN VIGILANCIA'!A124</f>
        <v>Familia Medina Colina</v>
      </c>
      <c r="B120" s="30" t="str">
        <f>'RESUMEN VIGILANCIA'!B124</f>
        <v>Calle Güigüe Nro. 89-70</v>
      </c>
      <c r="C120" s="427" t="s">
        <v>1360</v>
      </c>
      <c r="D120" s="434" t="s">
        <v>1357</v>
      </c>
      <c r="E120" s="415" t="str">
        <f>IF(ISBLANK('RESUMEN VIGILANCIA'!D124),"",'RESUMEN VIGILANCIA'!D124)</f>
        <v/>
      </c>
      <c r="F120" s="267">
        <f>IF(ISBLANK('RESUMEN VIGILANCIA'!E124),"",'RESUMEN VIGILANCIA'!E124)</f>
        <v>0.17</v>
      </c>
      <c r="G120" s="179">
        <f>IF(ISBLANK('RESUMEN VIGILANCIA'!F124),"",'RESUMEN VIGILANCIA'!F124)</f>
        <v>0.17</v>
      </c>
      <c r="H120" s="179" t="str">
        <f>IF(ISBLANK('RESUMEN VIGILANCIA'!G124),"",'RESUMEN VIGILANCIA'!G124)</f>
        <v/>
      </c>
      <c r="I120" s="179" t="str">
        <f>IF(ISBLANK('RESUMEN VIGILANCIA'!H124),"",'RESUMEN VIGILANCIA'!H124)</f>
        <v/>
      </c>
      <c r="J120" s="179" t="str">
        <f>IF(ISBLANK('RESUMEN VIGILANCIA'!I124),"",'RESUMEN VIGILANCIA'!I124)</f>
        <v/>
      </c>
      <c r="K120" s="179" t="str">
        <f>IF(ISBLANK('RESUMEN VIGILANCIA'!J124),"",'RESUMEN VIGILANCIA'!J124)</f>
        <v/>
      </c>
      <c r="L120" s="179" t="str">
        <f>IF(ISBLANK('RESUMEN VIGILANCIA'!K124),"",'RESUMEN VIGILANCIA'!K124)</f>
        <v/>
      </c>
      <c r="M120" s="179" t="str">
        <f>IF(ISBLANK('RESUMEN VIGILANCIA'!L124),"",'RESUMEN VIGILANCIA'!L124)</f>
        <v/>
      </c>
      <c r="N120" s="179" t="str">
        <f>IF(ISBLANK('RESUMEN VIGILANCIA'!M124),"",'RESUMEN VIGILANCIA'!M124)</f>
        <v/>
      </c>
      <c r="O120" s="179" t="str">
        <f>IF(ISBLANK('RESUMEN VIGILANCIA'!N124),"",'RESUMEN VIGILANCIA'!N124)</f>
        <v/>
      </c>
      <c r="P120" s="268" t="str">
        <f>IF(ISBLANK('RESUMEN VIGILANCIA'!O124),"",'RESUMEN VIGILANCIA'!O124)</f>
        <v/>
      </c>
      <c r="Q120" s="177" t="str">
        <f>IF(ISBLANK('RESUMEN VIGILANCIA'!P124),"",'RESUMEN VIGILANCIA'!P124)</f>
        <v/>
      </c>
      <c r="R120" s="292" t="str">
        <f>IF(ISBLANK('RESUMEN VIGILANCIA'!Q124),"",'RESUMEN VIGILANCIA'!Q124)</f>
        <v>ü</v>
      </c>
      <c r="S120" s="293" t="str">
        <f>IF(ISBLANK('RESUMEN VIGILANCIA'!R124),"",'RESUMEN VIGILANCIA'!R124)</f>
        <v>ü</v>
      </c>
      <c r="T120" s="293" t="str">
        <f>IF(ISBLANK('RESUMEN VIGILANCIA'!S124),"",'RESUMEN VIGILANCIA'!S124)</f>
        <v>ü</v>
      </c>
      <c r="U120" s="293" t="str">
        <f>IF(ISBLANK('RESUMEN VIGILANCIA'!T124),"",'RESUMEN VIGILANCIA'!T124)</f>
        <v>ü</v>
      </c>
      <c r="V120" s="293" t="str">
        <f>IF(ISBLANK('RESUMEN VIGILANCIA'!U124),"",'RESUMEN VIGILANCIA'!U124)</f>
        <v>ü</v>
      </c>
      <c r="W120" s="293" t="str">
        <f>IF(ISBLANK('RESUMEN VIGILANCIA'!V124),"",'RESUMEN VIGILANCIA'!V124)</f>
        <v>ü</v>
      </c>
      <c r="X120" s="293" t="str">
        <f>IF(ISBLANK('RESUMEN VIGILANCIA'!W124),"",'RESUMEN VIGILANCIA'!W124)</f>
        <v>ü</v>
      </c>
      <c r="Y120" s="293" t="str">
        <f>IF(ISBLANK('RESUMEN VIGILANCIA'!X124),"",'RESUMEN VIGILANCIA'!X124)</f>
        <v>ü</v>
      </c>
      <c r="Z120" s="472" t="str">
        <f>IF(ISBLANK('RESUMEN VIGILANCIA'!Y124),"",'RESUMEN VIGILANCIA'!Y124)</f>
        <v>ü</v>
      </c>
      <c r="AA120" s="472" t="str">
        <f>IF(ISBLANK('RESUMEN VIGILANCIA'!Z124),"",'RESUMEN VIGILANCIA'!Z124)</f>
        <v>ü</v>
      </c>
      <c r="AB120" s="472" t="str">
        <f>IF(ISBLANK('RESUMEN VIGILANCIA'!AA124),"",'RESUMEN VIGILANCIA'!AA124)</f>
        <v>ü</v>
      </c>
      <c r="AC120" s="473" t="str">
        <f>IF(ISBLANK('RESUMEN VIGILANCIA'!AB124),"",'RESUMEN VIGILANCIA'!AB124)</f>
        <v>ü</v>
      </c>
      <c r="AD120" s="393" t="str">
        <f>IF(ISBLANK('RESUMEN VIGILANCIA'!AC124),"",'RESUMEN VIGILANCIA'!AC124)</f>
        <v/>
      </c>
      <c r="AE120" s="394" t="str">
        <f>IF(ISBLANK('RESUMEN VIGILANCIA'!AD124),"",'RESUMEN VIGILANCIA'!AD124)</f>
        <v/>
      </c>
      <c r="AF120" s="394" t="str">
        <f>IF(ISBLANK('RESUMEN VIGILANCIA'!AE124),"",'RESUMEN VIGILANCIA'!AE124)</f>
        <v/>
      </c>
      <c r="AG120" s="394" t="str">
        <f>IF(ISBLANK('RESUMEN VIGILANCIA'!AF124),"",'RESUMEN VIGILANCIA'!AF124)</f>
        <v/>
      </c>
      <c r="AH120" s="394" t="str">
        <f>IF(ISBLANK('RESUMEN VIGILANCIA'!AG124),"",'RESUMEN VIGILANCIA'!AG124)</f>
        <v/>
      </c>
      <c r="AI120" s="394" t="str">
        <f>IF(ISBLANK('RESUMEN VIGILANCIA'!AH124),"",'RESUMEN VIGILANCIA'!AH124)</f>
        <v/>
      </c>
      <c r="AJ120" s="394" t="str">
        <f>IF(ISBLANK('RESUMEN VIGILANCIA'!AI124),"",'RESUMEN VIGILANCIA'!AI124)</f>
        <v/>
      </c>
      <c r="AK120" s="394" t="str">
        <f>IF(ISBLANK('RESUMEN VIGILANCIA'!AJ124),"",'RESUMEN VIGILANCIA'!AJ124)</f>
        <v/>
      </c>
      <c r="AL120" s="394" t="str">
        <f>IF(ISBLANK('RESUMEN VIGILANCIA'!AK124),"",'RESUMEN VIGILANCIA'!AK124)</f>
        <v/>
      </c>
      <c r="AM120" s="394" t="str">
        <f>IF(ISBLANK('RESUMEN VIGILANCIA'!AL124),"",'RESUMEN VIGILANCIA'!AL124)</f>
        <v/>
      </c>
      <c r="AN120" s="394" t="str">
        <f>IF(ISBLANK('RESUMEN VIGILANCIA'!AM124),"",'RESUMEN VIGILANCIA'!AM124)</f>
        <v/>
      </c>
      <c r="AO120" s="395" t="str">
        <f>IF(ISBLANK('RESUMEN VIGILANCIA'!AN124),"",'RESUMEN VIGILANCIA'!AN124)</f>
        <v/>
      </c>
      <c r="AP120" s="393" t="str">
        <f>IF(ISBLANK('RESUMEN VIGILANCIA'!AO124),"",'RESUMEN VIGILANCIA'!AO124)</f>
        <v/>
      </c>
      <c r="AQ120" s="394" t="str">
        <f>IF(ISBLANK('RESUMEN VIGILANCIA'!AP124),"",'RESUMEN VIGILANCIA'!AP124)</f>
        <v/>
      </c>
      <c r="AR120" s="394" t="str">
        <f>IF(ISBLANK('RESUMEN VIGILANCIA'!AQ124),"",'RESUMEN VIGILANCIA'!AQ124)</f>
        <v/>
      </c>
      <c r="AS120" s="394" t="str">
        <f>IF(ISBLANK('RESUMEN VIGILANCIA'!AR124),"",'RESUMEN VIGILANCIA'!AR124)</f>
        <v/>
      </c>
      <c r="AT120" s="394" t="str">
        <f>IF(ISBLANK('RESUMEN VIGILANCIA'!AS124),"",'RESUMEN VIGILANCIA'!AS124)</f>
        <v/>
      </c>
      <c r="AU120" s="394" t="str">
        <f>IF(ISBLANK('RESUMEN VIGILANCIA'!AT124),"",'RESUMEN VIGILANCIA'!AT124)</f>
        <v/>
      </c>
      <c r="AV120" s="394" t="str">
        <f>IF(ISBLANK('RESUMEN VIGILANCIA'!AU124),"",'RESUMEN VIGILANCIA'!AU124)</f>
        <v/>
      </c>
      <c r="AW120" s="394" t="str">
        <f>IF(ISBLANK('RESUMEN VIGILANCIA'!AV124),"",'RESUMEN VIGILANCIA'!AV124)</f>
        <v/>
      </c>
      <c r="AX120" s="394" t="str">
        <f>IF(ISBLANK('RESUMEN VIGILANCIA'!AW124),"",'RESUMEN VIGILANCIA'!AW124)</f>
        <v/>
      </c>
      <c r="AY120" s="394" t="str">
        <f>IF(ISBLANK('RESUMEN VIGILANCIA'!AX124),"",'RESUMEN VIGILANCIA'!AX124)</f>
        <v/>
      </c>
      <c r="AZ120" s="394" t="str">
        <f>IF(ISBLANK('RESUMEN VIGILANCIA'!AY124),"",'RESUMEN VIGILANCIA'!AY124)</f>
        <v/>
      </c>
      <c r="BA120" s="395" t="str">
        <f>IF(ISBLANK('RESUMEN VIGILANCIA'!AZ124),"",'RESUMEN VIGILANCIA'!AZ124)</f>
        <v/>
      </c>
      <c r="BB120" s="240">
        <f t="shared" si="11"/>
        <v>0.34</v>
      </c>
      <c r="BC120" s="110"/>
      <c r="BD120" s="110"/>
    </row>
    <row r="121" spans="1:56" s="28" customFormat="1" ht="20.100000000000001" customHeight="1">
      <c r="A121" s="32" t="str">
        <f>'RESUMEN VIGILANCIA'!A125</f>
        <v>Gloria Molina</v>
      </c>
      <c r="B121" s="33" t="str">
        <f>'RESUMEN VIGILANCIA'!B125</f>
        <v>Calle Güigüe Nro. 89-71</v>
      </c>
      <c r="C121" s="426" t="s">
        <v>1361</v>
      </c>
      <c r="D121" s="435" t="s">
        <v>1357</v>
      </c>
      <c r="E121" s="414" t="str">
        <f>IF(ISBLANK('RESUMEN VIGILANCIA'!D125),"",'RESUMEN VIGILANCIA'!D125)</f>
        <v/>
      </c>
      <c r="F121" s="264">
        <f>IF(ISBLANK('RESUMEN VIGILANCIA'!E125),"",'RESUMEN VIGILANCIA'!E125)</f>
        <v>0.1</v>
      </c>
      <c r="G121" s="186">
        <f>IF(ISBLANK('RESUMEN VIGILANCIA'!F125),"",'RESUMEN VIGILANCIA'!F125)</f>
        <v>0.1</v>
      </c>
      <c r="H121" s="186">
        <f>IF(ISBLANK('RESUMEN VIGILANCIA'!G125),"",'RESUMEN VIGILANCIA'!G125)</f>
        <v>0.1</v>
      </c>
      <c r="I121" s="186">
        <f>IF(ISBLANK('RESUMEN VIGILANCIA'!H125),"",'RESUMEN VIGILANCIA'!H125)</f>
        <v>0.15</v>
      </c>
      <c r="J121" s="186">
        <f>IF(ISBLANK('RESUMEN VIGILANCIA'!I125),"",'RESUMEN VIGILANCIA'!I125)</f>
        <v>0.15</v>
      </c>
      <c r="K121" s="186">
        <f>IF(ISBLANK('RESUMEN VIGILANCIA'!J125),"",'RESUMEN VIGILANCIA'!J125)</f>
        <v>0.15</v>
      </c>
      <c r="L121" s="186">
        <f>IF(ISBLANK('RESUMEN VIGILANCIA'!K125),"",'RESUMEN VIGILANCIA'!K125)</f>
        <v>0.15</v>
      </c>
      <c r="M121" s="186">
        <f>IF(ISBLANK('RESUMEN VIGILANCIA'!L125),"",'RESUMEN VIGILANCIA'!L125)</f>
        <v>0.15</v>
      </c>
      <c r="N121" s="186">
        <f>IF(ISBLANK('RESUMEN VIGILANCIA'!M125),"",'RESUMEN VIGILANCIA'!M125)</f>
        <v>0.15</v>
      </c>
      <c r="O121" s="186">
        <f>IF(ISBLANK('RESUMEN VIGILANCIA'!N125),"",'RESUMEN VIGILANCIA'!N125)</f>
        <v>0.2</v>
      </c>
      <c r="P121" s="265">
        <f>IF(ISBLANK('RESUMEN VIGILANCIA'!O125),"",'RESUMEN VIGILANCIA'!O125)</f>
        <v>0.2</v>
      </c>
      <c r="Q121" s="184">
        <f>IF(ISBLANK('RESUMEN VIGILANCIA'!P125),"",'RESUMEN VIGILANCIA'!P125)</f>
        <v>0.2</v>
      </c>
      <c r="R121" s="266">
        <f>IF(ISBLANK('RESUMEN VIGILANCIA'!Q125),"",'RESUMEN VIGILANCIA'!Q125)</f>
        <v>0.5</v>
      </c>
      <c r="S121" s="265">
        <f>IF(ISBLANK('RESUMEN VIGILANCIA'!R125),"",'RESUMEN VIGILANCIA'!R125)</f>
        <v>0.5</v>
      </c>
      <c r="T121" s="265">
        <f>IF(ISBLANK('RESUMEN VIGILANCIA'!S125),"",'RESUMEN VIGILANCIA'!S125)</f>
        <v>1</v>
      </c>
      <c r="U121" s="265">
        <f>IF(ISBLANK('RESUMEN VIGILANCIA'!T125),"",'RESUMEN VIGILANCIA'!T125)</f>
        <v>1</v>
      </c>
      <c r="V121" s="265">
        <f>IF(ISBLANK('RESUMEN VIGILANCIA'!U125),"",'RESUMEN VIGILANCIA'!U125)</f>
        <v>2</v>
      </c>
      <c r="W121" s="265">
        <f>IF(ISBLANK('RESUMEN VIGILANCIA'!V125),"",'RESUMEN VIGILANCIA'!V125)</f>
        <v>4</v>
      </c>
      <c r="X121" s="265">
        <f>IF(ISBLANK('RESUMEN VIGILANCIA'!W125),"",'RESUMEN VIGILANCIA'!W125)</f>
        <v>5</v>
      </c>
      <c r="Y121" s="265">
        <f>IF(ISBLANK('RESUMEN VIGILANCIA'!X125),"",'RESUMEN VIGILANCIA'!X125)</f>
        <v>10</v>
      </c>
      <c r="Z121" s="457">
        <f>IF(ISBLANK('RESUMEN VIGILANCIA'!Y125),"",'RESUMEN VIGILANCIA'!Y125)</f>
        <v>300</v>
      </c>
      <c r="AA121" s="457">
        <f>IF(ISBLANK('RESUMEN VIGILANCIA'!Z125),"",'RESUMEN VIGILANCIA'!Z125)</f>
        <v>200</v>
      </c>
      <c r="AB121" s="457">
        <f>IF(ISBLANK('RESUMEN VIGILANCIA'!AA125),"",'RESUMEN VIGILANCIA'!AA125)</f>
        <v>200</v>
      </c>
      <c r="AC121" s="458">
        <f>IF(ISBLANK('RESUMEN VIGILANCIA'!AB125),"",'RESUMEN VIGILANCIA'!AB125)</f>
        <v>500</v>
      </c>
      <c r="AD121" s="371">
        <f>IF(ISBLANK('RESUMEN VIGILANCIA'!AC125),"",'RESUMEN VIGILANCIA'!AC125)</f>
        <v>1500</v>
      </c>
      <c r="AE121" s="372">
        <f>IF(ISBLANK('RESUMEN VIGILANCIA'!AD125),"",'RESUMEN VIGILANCIA'!AD125)</f>
        <v>1500</v>
      </c>
      <c r="AF121" s="372">
        <f>IF(ISBLANK('RESUMEN VIGILANCIA'!AE125),"",'RESUMEN VIGILANCIA'!AE125)</f>
        <v>3000</v>
      </c>
      <c r="AG121" s="372">
        <f>IF(ISBLANK('RESUMEN VIGILANCIA'!AF125),"",'RESUMEN VIGILANCIA'!AF125)</f>
        <v>3000</v>
      </c>
      <c r="AH121" s="380">
        <f>IF(ISBLANK('RESUMEN VIGILANCIA'!AG125),"",'RESUMEN VIGILANCIA'!AG125)</f>
        <v>8000</v>
      </c>
      <c r="AI121" s="380">
        <f>IF(ISBLANK('RESUMEN VIGILANCIA'!AH125),"",'RESUMEN VIGILANCIA'!AH125)</f>
        <v>8000</v>
      </c>
      <c r="AJ121" s="380">
        <f>IF(ISBLANK('RESUMEN VIGILANCIA'!AI125),"",'RESUMEN VIGILANCIA'!AI125)</f>
        <v>10000</v>
      </c>
      <c r="AK121" s="380">
        <f>IF(ISBLANK('RESUMEN VIGILANCIA'!AJ125),"",'RESUMEN VIGILANCIA'!AJ125)</f>
        <v>10000</v>
      </c>
      <c r="AL121" s="380">
        <f>IF(ISBLANK('RESUMEN VIGILANCIA'!AK125),"",'RESUMEN VIGILANCIA'!AK125)</f>
        <v>19800</v>
      </c>
      <c r="AM121" s="380">
        <f>IF(ISBLANK('RESUMEN VIGILANCIA'!AL125),"",'RESUMEN VIGILANCIA'!AL125)</f>
        <v>47000</v>
      </c>
      <c r="AN121" s="380">
        <f>IF(ISBLANK('RESUMEN VIGILANCIA'!AM125),"",'RESUMEN VIGILANCIA'!AM125)</f>
        <v>60000</v>
      </c>
      <c r="AO121" s="385">
        <f>IF(ISBLANK('RESUMEN VIGILANCIA'!AN125),"",'RESUMEN VIGILANCIA'!AN125)</f>
        <v>60000</v>
      </c>
      <c r="AP121" s="374">
        <f>IF(ISBLANK('RESUMEN VIGILANCIA'!AO125),"",'RESUMEN VIGILANCIA'!AO125)</f>
        <v>100000</v>
      </c>
      <c r="AQ121" s="375">
        <f>IF(ISBLANK('RESUMEN VIGILANCIA'!AP125),"",'RESUMEN VIGILANCIA'!AP125)</f>
        <v>100000</v>
      </c>
      <c r="AR121" s="375">
        <f>IF(ISBLANK('RESUMEN VIGILANCIA'!AQ125),"",'RESUMEN VIGILANCIA'!AQ125)</f>
        <v>100000</v>
      </c>
      <c r="AS121" s="375">
        <f>IF(ISBLANK('RESUMEN VIGILANCIA'!AR125),"",'RESUMEN VIGILANCIA'!AR125)</f>
        <v>100000</v>
      </c>
      <c r="AT121" s="375">
        <f>IF(ISBLANK('RESUMEN VIGILANCIA'!AS125),"",'RESUMEN VIGILANCIA'!AS125)</f>
        <v>150000</v>
      </c>
      <c r="AU121" s="375" t="str">
        <f>IF(ISBLANK('RESUMEN VIGILANCIA'!AT125),"",'RESUMEN VIGILANCIA'!AT125)</f>
        <v/>
      </c>
      <c r="AV121" s="375" t="str">
        <f>IF(ISBLANK('RESUMEN VIGILANCIA'!AU125),"",'RESUMEN VIGILANCIA'!AU125)</f>
        <v/>
      </c>
      <c r="AW121" s="375" t="str">
        <f>IF(ISBLANK('RESUMEN VIGILANCIA'!AV125),"",'RESUMEN VIGILANCIA'!AV125)</f>
        <v/>
      </c>
      <c r="AX121" s="375" t="str">
        <f>IF(ISBLANK('RESUMEN VIGILANCIA'!AW125),"",'RESUMEN VIGILANCIA'!AW125)</f>
        <v/>
      </c>
      <c r="AY121" s="375" t="str">
        <f>IF(ISBLANK('RESUMEN VIGILANCIA'!AX125),"",'RESUMEN VIGILANCIA'!AX125)</f>
        <v/>
      </c>
      <c r="AZ121" s="375" t="str">
        <f>IF(ISBLANK('RESUMEN VIGILANCIA'!AY125),"",'RESUMEN VIGILANCIA'!AY125)</f>
        <v/>
      </c>
      <c r="BA121" s="385" t="str">
        <f>IF(ISBLANK('RESUMEN VIGILANCIA'!AZ125),"",'RESUMEN VIGILANCIA'!AZ125)</f>
        <v/>
      </c>
      <c r="BB121" s="344">
        <f t="shared" si="11"/>
        <v>233025.8</v>
      </c>
      <c r="BC121" s="345"/>
      <c r="BD121" s="345"/>
    </row>
    <row r="122" spans="1:56" s="28" customFormat="1" ht="20.100000000000001" customHeight="1">
      <c r="A122" s="29" t="str">
        <f>'RESUMEN VIGILANCIA'!A126</f>
        <v>Familia Gurmeitte</v>
      </c>
      <c r="B122" s="30" t="str">
        <f>'RESUMEN VIGILANCIA'!B126</f>
        <v>Calle Güigüe Nro. 89-74</v>
      </c>
      <c r="C122" s="427" t="s">
        <v>1360</v>
      </c>
      <c r="D122" s="434" t="s">
        <v>1357</v>
      </c>
      <c r="E122" s="415" t="str">
        <f>IF(ISBLANK('RESUMEN VIGILANCIA'!D126),"",'RESUMEN VIGILANCIA'!D126)</f>
        <v/>
      </c>
      <c r="F122" s="267" t="str">
        <f>IF(ISBLANK('RESUMEN VIGILANCIA'!E126),"",'RESUMEN VIGILANCIA'!E126)</f>
        <v/>
      </c>
      <c r="G122" s="179" t="str">
        <f>IF(ISBLANK('RESUMEN VIGILANCIA'!F126),"",'RESUMEN VIGILANCIA'!F126)</f>
        <v/>
      </c>
      <c r="H122" s="179" t="str">
        <f>IF(ISBLANK('RESUMEN VIGILANCIA'!G126),"",'RESUMEN VIGILANCIA'!G126)</f>
        <v/>
      </c>
      <c r="I122" s="179" t="str">
        <f>IF(ISBLANK('RESUMEN VIGILANCIA'!H126),"",'RESUMEN VIGILANCIA'!H126)</f>
        <v/>
      </c>
      <c r="J122" s="179" t="str">
        <f>IF(ISBLANK('RESUMEN VIGILANCIA'!I126),"",'RESUMEN VIGILANCIA'!I126)</f>
        <v/>
      </c>
      <c r="K122" s="179" t="str">
        <f>IF(ISBLANK('RESUMEN VIGILANCIA'!J126),"",'RESUMEN VIGILANCIA'!J126)</f>
        <v/>
      </c>
      <c r="L122" s="179" t="str">
        <f>IF(ISBLANK('RESUMEN VIGILANCIA'!K126),"",'RESUMEN VIGILANCIA'!K126)</f>
        <v/>
      </c>
      <c r="M122" s="179" t="str">
        <f>IF(ISBLANK('RESUMEN VIGILANCIA'!L126),"",'RESUMEN VIGILANCIA'!L126)</f>
        <v/>
      </c>
      <c r="N122" s="179" t="str">
        <f>IF(ISBLANK('RESUMEN VIGILANCIA'!M126),"",'RESUMEN VIGILANCIA'!M126)</f>
        <v/>
      </c>
      <c r="O122" s="179" t="str">
        <f>IF(ISBLANK('RESUMEN VIGILANCIA'!N126),"",'RESUMEN VIGILANCIA'!N126)</f>
        <v/>
      </c>
      <c r="P122" s="268" t="str">
        <f>IF(ISBLANK('RESUMEN VIGILANCIA'!O126),"",'RESUMEN VIGILANCIA'!O126)</f>
        <v/>
      </c>
      <c r="Q122" s="177" t="str">
        <f>IF(ISBLANK('RESUMEN VIGILANCIA'!P126),"",'RESUMEN VIGILANCIA'!P126)</f>
        <v/>
      </c>
      <c r="R122" s="269" t="str">
        <f>IF(ISBLANK('RESUMEN VIGILANCIA'!Q126),"",'RESUMEN VIGILANCIA'!Q126)</f>
        <v/>
      </c>
      <c r="S122" s="268" t="str">
        <f>IF(ISBLANK('RESUMEN VIGILANCIA'!R126),"",'RESUMEN VIGILANCIA'!R126)</f>
        <v/>
      </c>
      <c r="T122" s="268" t="str">
        <f>IF(ISBLANK('RESUMEN VIGILANCIA'!S126),"",'RESUMEN VIGILANCIA'!S126)</f>
        <v/>
      </c>
      <c r="U122" s="268" t="str">
        <f>IF(ISBLANK('RESUMEN VIGILANCIA'!T126),"",'RESUMEN VIGILANCIA'!T126)</f>
        <v/>
      </c>
      <c r="V122" s="268" t="str">
        <f>IF(ISBLANK('RESUMEN VIGILANCIA'!U126),"",'RESUMEN VIGILANCIA'!U126)</f>
        <v/>
      </c>
      <c r="W122" s="268" t="str">
        <f>IF(ISBLANK('RESUMEN VIGILANCIA'!V126),"",'RESUMEN VIGILANCIA'!V126)</f>
        <v/>
      </c>
      <c r="X122" s="268" t="str">
        <f>IF(ISBLANK('RESUMEN VIGILANCIA'!W126),"",'RESUMEN VIGILANCIA'!W126)</f>
        <v/>
      </c>
      <c r="Y122" s="268" t="str">
        <f>IF(ISBLANK('RESUMEN VIGILANCIA'!X126),"",'RESUMEN VIGILANCIA'!X126)</f>
        <v/>
      </c>
      <c r="Z122" s="453" t="str">
        <f>IF(ISBLANK('RESUMEN VIGILANCIA'!Y126),"",'RESUMEN VIGILANCIA'!Y126)</f>
        <v/>
      </c>
      <c r="AA122" s="453" t="str">
        <f>IF(ISBLANK('RESUMEN VIGILANCIA'!Z126),"",'RESUMEN VIGILANCIA'!Z126)</f>
        <v/>
      </c>
      <c r="AB122" s="453" t="str">
        <f>IF(ISBLANK('RESUMEN VIGILANCIA'!AA126),"",'RESUMEN VIGILANCIA'!AA126)</f>
        <v/>
      </c>
      <c r="AC122" s="454" t="str">
        <f>IF(ISBLANK('RESUMEN VIGILANCIA'!AB126),"",'RESUMEN VIGILANCIA'!AB126)</f>
        <v/>
      </c>
      <c r="AD122" s="374" t="str">
        <f>IF(ISBLANK('RESUMEN VIGILANCIA'!AC126),"",'RESUMEN VIGILANCIA'!AC126)</f>
        <v/>
      </c>
      <c r="AE122" s="375" t="str">
        <f>IF(ISBLANK('RESUMEN VIGILANCIA'!AD126),"",'RESUMEN VIGILANCIA'!AD126)</f>
        <v/>
      </c>
      <c r="AF122" s="375" t="str">
        <f>IF(ISBLANK('RESUMEN VIGILANCIA'!AE126),"",'RESUMEN VIGILANCIA'!AE126)</f>
        <v/>
      </c>
      <c r="AG122" s="375" t="str">
        <f>IF(ISBLANK('RESUMEN VIGILANCIA'!AF126),"",'RESUMEN VIGILANCIA'!AF126)</f>
        <v/>
      </c>
      <c r="AH122" s="375" t="str">
        <f>IF(ISBLANK('RESUMEN VIGILANCIA'!AG126),"",'RESUMEN VIGILANCIA'!AG126)</f>
        <v/>
      </c>
      <c r="AI122" s="375" t="str">
        <f>IF(ISBLANK('RESUMEN VIGILANCIA'!AH126),"",'RESUMEN VIGILANCIA'!AH126)</f>
        <v/>
      </c>
      <c r="AJ122" s="375" t="str">
        <f>IF(ISBLANK('RESUMEN VIGILANCIA'!AI126),"",'RESUMEN VIGILANCIA'!AI126)</f>
        <v/>
      </c>
      <c r="AK122" s="375" t="str">
        <f>IF(ISBLANK('RESUMEN VIGILANCIA'!AJ126),"",'RESUMEN VIGILANCIA'!AJ126)</f>
        <v/>
      </c>
      <c r="AL122" s="375" t="str">
        <f>IF(ISBLANK('RESUMEN VIGILANCIA'!AK126),"",'RESUMEN VIGILANCIA'!AK126)</f>
        <v/>
      </c>
      <c r="AM122" s="375" t="str">
        <f>IF(ISBLANK('RESUMEN VIGILANCIA'!AL126),"",'RESUMEN VIGILANCIA'!AL126)</f>
        <v/>
      </c>
      <c r="AN122" s="375" t="str">
        <f>IF(ISBLANK('RESUMEN VIGILANCIA'!AM126),"",'RESUMEN VIGILANCIA'!AM126)</f>
        <v/>
      </c>
      <c r="AO122" s="376" t="str">
        <f>IF(ISBLANK('RESUMEN VIGILANCIA'!AN126),"",'RESUMEN VIGILANCIA'!AN126)</f>
        <v/>
      </c>
      <c r="AP122" s="374" t="str">
        <f>IF(ISBLANK('RESUMEN VIGILANCIA'!AO126),"",'RESUMEN VIGILANCIA'!AO126)</f>
        <v/>
      </c>
      <c r="AQ122" s="375" t="str">
        <f>IF(ISBLANK('RESUMEN VIGILANCIA'!AP126),"",'RESUMEN VIGILANCIA'!AP126)</f>
        <v/>
      </c>
      <c r="AR122" s="375" t="str">
        <f>IF(ISBLANK('RESUMEN VIGILANCIA'!AQ126),"",'RESUMEN VIGILANCIA'!AQ126)</f>
        <v/>
      </c>
      <c r="AS122" s="375" t="str">
        <f>IF(ISBLANK('RESUMEN VIGILANCIA'!AR126),"",'RESUMEN VIGILANCIA'!AR126)</f>
        <v/>
      </c>
      <c r="AT122" s="375" t="str">
        <f>IF(ISBLANK('RESUMEN VIGILANCIA'!AS126),"",'RESUMEN VIGILANCIA'!AS126)</f>
        <v/>
      </c>
      <c r="AU122" s="375" t="str">
        <f>IF(ISBLANK('RESUMEN VIGILANCIA'!AT126),"",'RESUMEN VIGILANCIA'!AT126)</f>
        <v/>
      </c>
      <c r="AV122" s="375" t="str">
        <f>IF(ISBLANK('RESUMEN VIGILANCIA'!AU126),"",'RESUMEN VIGILANCIA'!AU126)</f>
        <v/>
      </c>
      <c r="AW122" s="375" t="str">
        <f>IF(ISBLANK('RESUMEN VIGILANCIA'!AV126),"",'RESUMEN VIGILANCIA'!AV126)</f>
        <v/>
      </c>
      <c r="AX122" s="375" t="str">
        <f>IF(ISBLANK('RESUMEN VIGILANCIA'!AW126),"",'RESUMEN VIGILANCIA'!AW126)</f>
        <v/>
      </c>
      <c r="AY122" s="375" t="str">
        <f>IF(ISBLANK('RESUMEN VIGILANCIA'!AX126),"",'RESUMEN VIGILANCIA'!AX126)</f>
        <v/>
      </c>
      <c r="AZ122" s="375" t="str">
        <f>IF(ISBLANK('RESUMEN VIGILANCIA'!AY126),"",'RESUMEN VIGILANCIA'!AY126)</f>
        <v/>
      </c>
      <c r="BA122" s="376" t="str">
        <f>IF(ISBLANK('RESUMEN VIGILANCIA'!AZ126),"",'RESUMEN VIGILANCIA'!AZ126)</f>
        <v/>
      </c>
      <c r="BB122" s="240">
        <f t="shared" si="11"/>
        <v>0</v>
      </c>
      <c r="BC122" s="110"/>
      <c r="BD122" s="110"/>
    </row>
    <row r="123" spans="1:56" s="28" customFormat="1" ht="20.100000000000001" customHeight="1">
      <c r="A123" s="57" t="str">
        <f>'RESUMEN VIGILANCIA'!A141</f>
        <v>Familia Morales Sesar</v>
      </c>
      <c r="B123" s="58" t="str">
        <f>'RESUMEN VIGILANCIA'!B141</f>
        <v>Calle Güigüe Nro. 89-120</v>
      </c>
      <c r="C123" s="427" t="s">
        <v>1361</v>
      </c>
      <c r="D123" s="434" t="s">
        <v>1357</v>
      </c>
      <c r="E123" s="414" t="str">
        <f>IF(ISBLANK('RESUMEN VIGILANCIA'!D141),"",'RESUMEN VIGILANCIA'!D141)</f>
        <v/>
      </c>
      <c r="F123" s="264">
        <f>IF(ISBLANK('RESUMEN VIGILANCIA'!E141),"",'RESUMEN VIGILANCIA'!E141)</f>
        <v>0.17</v>
      </c>
      <c r="G123" s="186">
        <f>IF(ISBLANK('RESUMEN VIGILANCIA'!F141),"",'RESUMEN VIGILANCIA'!F141)</f>
        <v>0.17</v>
      </c>
      <c r="H123" s="186">
        <f>IF(ISBLANK('RESUMEN VIGILANCIA'!G141),"",'RESUMEN VIGILANCIA'!G141)</f>
        <v>0.17</v>
      </c>
      <c r="I123" s="186">
        <f>IF(ISBLANK('RESUMEN VIGILANCIA'!H141),"",'RESUMEN VIGILANCIA'!H141)</f>
        <v>0.17</v>
      </c>
      <c r="J123" s="186">
        <f>IF(ISBLANK('RESUMEN VIGILANCIA'!I141),"",'RESUMEN VIGILANCIA'!I141)</f>
        <v>0.26</v>
      </c>
      <c r="K123" s="219">
        <f>IF(ISBLANK('RESUMEN VIGILANCIA'!J141),"",'RESUMEN VIGILANCIA'!J141)</f>
        <v>0.26</v>
      </c>
      <c r="L123" s="231">
        <f>IF(ISBLANK('RESUMEN VIGILANCIA'!K141),"",'RESUMEN VIGILANCIA'!K141)</f>
        <v>0.18</v>
      </c>
      <c r="M123" s="231">
        <f>IF(ISBLANK('RESUMEN VIGILANCIA'!L141),"",'RESUMEN VIGILANCIA'!L141)</f>
        <v>0.15</v>
      </c>
      <c r="N123" s="231">
        <f>IF(ISBLANK('RESUMEN VIGILANCIA'!M141),"",'RESUMEN VIGILANCIA'!M141)</f>
        <v>0.15</v>
      </c>
      <c r="O123" s="231">
        <f>IF(ISBLANK('RESUMEN VIGILANCIA'!N141),"",'RESUMEN VIGILANCIA'!N141)</f>
        <v>0.25</v>
      </c>
      <c r="P123" s="273" t="str">
        <f>IF(ISBLANK('RESUMEN VIGILANCIA'!O141),"",'RESUMEN VIGILANCIA'!O141)</f>
        <v>- - -</v>
      </c>
      <c r="Q123" s="220" t="str">
        <f>IF(ISBLANK('RESUMEN VIGILANCIA'!P141),"",'RESUMEN VIGILANCIA'!P141)</f>
        <v>- - -</v>
      </c>
      <c r="R123" s="334">
        <f>IF(ISBLANK('RESUMEN VIGILANCIA'!Q141),"",'RESUMEN VIGILANCIA'!Q141)</f>
        <v>0.4</v>
      </c>
      <c r="S123" s="270">
        <f>IF(ISBLANK('RESUMEN VIGILANCIA'!R141),"",'RESUMEN VIGILANCIA'!R141)</f>
        <v>0.4</v>
      </c>
      <c r="T123" s="270">
        <f>IF(ISBLANK('RESUMEN VIGILANCIA'!S141),"",'RESUMEN VIGILANCIA'!S141)</f>
        <v>0.5</v>
      </c>
      <c r="U123" s="270">
        <f>IF(ISBLANK('RESUMEN VIGILANCIA'!T141),"",'RESUMEN VIGILANCIA'!T141)</f>
        <v>0.5</v>
      </c>
      <c r="V123" s="270">
        <f>IF(ISBLANK('RESUMEN VIGILANCIA'!U141),"",'RESUMEN VIGILANCIA'!U141)</f>
        <v>1</v>
      </c>
      <c r="W123" s="270">
        <f>IF(ISBLANK('RESUMEN VIGILANCIA'!V141),"",'RESUMEN VIGILANCIA'!V141)</f>
        <v>1</v>
      </c>
      <c r="X123" s="270" t="str">
        <f>IF(ISBLANK('RESUMEN VIGILANCIA'!W141),"",'RESUMEN VIGILANCIA'!W141)</f>
        <v/>
      </c>
      <c r="Y123" s="270" t="str">
        <f>IF(ISBLANK('RESUMEN VIGILANCIA'!X141),"",'RESUMEN VIGILANCIA'!X141)</f>
        <v/>
      </c>
      <c r="Z123" s="456" t="str">
        <f>IF(ISBLANK('RESUMEN VIGILANCIA'!Y141),"",'RESUMEN VIGILANCIA'!Y141)</f>
        <v/>
      </c>
      <c r="AA123" s="476" t="str">
        <f>IF(ISBLANK('RESUMEN VIGILANCIA'!Z141),"",'RESUMEN VIGILANCIA'!Z141)</f>
        <v>VENDIDA</v>
      </c>
      <c r="AB123" s="459" t="str">
        <f>IF(ISBLANK('RESUMEN VIGILANCIA'!AA141),"",'RESUMEN VIGILANCIA'!AA141)</f>
        <v/>
      </c>
      <c r="AC123" s="460" t="str">
        <f>IF(ISBLANK('RESUMEN VIGILANCIA'!AB141),"",'RESUMEN VIGILANCIA'!AB141)</f>
        <v/>
      </c>
      <c r="AD123" s="390" t="str">
        <f>IF(ISBLANK('RESUMEN VIGILANCIA'!AC141),"",'RESUMEN VIGILANCIA'!AC141)</f>
        <v/>
      </c>
      <c r="AE123" s="391" t="str">
        <f>IF(ISBLANK('RESUMEN VIGILANCIA'!AD141),"",'RESUMEN VIGILANCIA'!AD141)</f>
        <v/>
      </c>
      <c r="AF123" s="391" t="str">
        <f>IF(ISBLANK('RESUMEN VIGILANCIA'!AE141),"",'RESUMEN VIGILANCIA'!AE141)</f>
        <v/>
      </c>
      <c r="AG123" s="391" t="str">
        <f>IF(ISBLANK('RESUMEN VIGILANCIA'!AF141),"",'RESUMEN VIGILANCIA'!AF141)</f>
        <v/>
      </c>
      <c r="AH123" s="391" t="str">
        <f>IF(ISBLANK('RESUMEN VIGILANCIA'!AG141),"",'RESUMEN VIGILANCIA'!AG141)</f>
        <v/>
      </c>
      <c r="AI123" s="391" t="str">
        <f>IF(ISBLANK('RESUMEN VIGILANCIA'!AH141),"",'RESUMEN VIGILANCIA'!AH141)</f>
        <v/>
      </c>
      <c r="AJ123" s="391" t="str">
        <f>IF(ISBLANK('RESUMEN VIGILANCIA'!AI141),"",'RESUMEN VIGILANCIA'!AI141)</f>
        <v/>
      </c>
      <c r="AK123" s="391" t="str">
        <f>IF(ISBLANK('RESUMEN VIGILANCIA'!AJ141),"",'RESUMEN VIGILANCIA'!AJ141)</f>
        <v/>
      </c>
      <c r="AL123" s="391" t="str">
        <f>IF(ISBLANK('RESUMEN VIGILANCIA'!AK141),"",'RESUMEN VIGILANCIA'!AK141)</f>
        <v/>
      </c>
      <c r="AM123" s="391" t="str">
        <f>IF(ISBLANK('RESUMEN VIGILANCIA'!AL141),"",'RESUMEN VIGILANCIA'!AL141)</f>
        <v/>
      </c>
      <c r="AN123" s="391" t="str">
        <f>IF(ISBLANK('RESUMEN VIGILANCIA'!AM141),"",'RESUMEN VIGILANCIA'!AM141)</f>
        <v/>
      </c>
      <c r="AO123" s="392" t="str">
        <f>IF(ISBLANK('RESUMEN VIGILANCIA'!AN141),"",'RESUMEN VIGILANCIA'!AN141)</f>
        <v/>
      </c>
      <c r="AP123" s="390" t="str">
        <f>IF(ISBLANK('RESUMEN VIGILANCIA'!AO141),"",'RESUMEN VIGILANCIA'!AO141)</f>
        <v/>
      </c>
      <c r="AQ123" s="391" t="str">
        <f>IF(ISBLANK('RESUMEN VIGILANCIA'!AP141),"",'RESUMEN VIGILANCIA'!AP141)</f>
        <v/>
      </c>
      <c r="AR123" s="391" t="str">
        <f>IF(ISBLANK('RESUMEN VIGILANCIA'!AQ141),"",'RESUMEN VIGILANCIA'!AQ141)</f>
        <v/>
      </c>
      <c r="AS123" s="391" t="str">
        <f>IF(ISBLANK('RESUMEN VIGILANCIA'!AR141),"",'RESUMEN VIGILANCIA'!AR141)</f>
        <v/>
      </c>
      <c r="AT123" s="391" t="str">
        <f>IF(ISBLANK('RESUMEN VIGILANCIA'!AS141),"",'RESUMEN VIGILANCIA'!AS141)</f>
        <v/>
      </c>
      <c r="AU123" s="391" t="str">
        <f>IF(ISBLANK('RESUMEN VIGILANCIA'!AT141),"",'RESUMEN VIGILANCIA'!AT141)</f>
        <v/>
      </c>
      <c r="AV123" s="391" t="str">
        <f>IF(ISBLANK('RESUMEN VIGILANCIA'!AU141),"",'RESUMEN VIGILANCIA'!AU141)</f>
        <v/>
      </c>
      <c r="AW123" s="391" t="str">
        <f>IF(ISBLANK('RESUMEN VIGILANCIA'!AV141),"",'RESUMEN VIGILANCIA'!AV141)</f>
        <v/>
      </c>
      <c r="AX123" s="391" t="str">
        <f>IF(ISBLANK('RESUMEN VIGILANCIA'!AW141),"",'RESUMEN VIGILANCIA'!AW141)</f>
        <v/>
      </c>
      <c r="AY123" s="391" t="str">
        <f>IF(ISBLANK('RESUMEN VIGILANCIA'!AX141),"",'RESUMEN VIGILANCIA'!AX141)</f>
        <v/>
      </c>
      <c r="AZ123" s="391" t="str">
        <f>IF(ISBLANK('RESUMEN VIGILANCIA'!AY141),"",'RESUMEN VIGILANCIA'!AY141)</f>
        <v/>
      </c>
      <c r="BA123" s="392" t="str">
        <f>IF(ISBLANK('RESUMEN VIGILANCIA'!AZ141),"",'RESUMEN VIGILANCIA'!AZ141)</f>
        <v/>
      </c>
      <c r="BB123" s="240">
        <f t="shared" si="11"/>
        <v>5.73</v>
      </c>
      <c r="BC123" s="110"/>
      <c r="BD123" s="110">
        <v>43344</v>
      </c>
    </row>
    <row r="124" spans="1:56" s="28" customFormat="1" ht="20.100000000000001" customHeight="1">
      <c r="A124" s="29" t="str">
        <f>'RESUMEN VIGILANCIA'!A142</f>
        <v>Familia Abbinante Pinto</v>
      </c>
      <c r="B124" s="30" t="str">
        <f>'RESUMEN VIGILANCIA'!B142</f>
        <v>Calle Güigüe Nro. 89-120</v>
      </c>
      <c r="C124" s="427" t="s">
        <v>1358</v>
      </c>
      <c r="D124" s="434" t="s">
        <v>1357</v>
      </c>
      <c r="E124" s="415" t="str">
        <f>IF(ISBLANK('RESUMEN VIGILANCIA'!D142),"",'RESUMEN VIGILANCIA'!D142)</f>
        <v/>
      </c>
      <c r="F124" s="267" t="str">
        <f>IF(ISBLANK('RESUMEN VIGILANCIA'!E142),"",'RESUMEN VIGILANCIA'!E142)</f>
        <v/>
      </c>
      <c r="G124" s="179" t="str">
        <f>IF(ISBLANK('RESUMEN VIGILANCIA'!F142),"",'RESUMEN VIGILANCIA'!F142)</f>
        <v/>
      </c>
      <c r="H124" s="179" t="str">
        <f>IF(ISBLANK('RESUMEN VIGILANCIA'!G142),"",'RESUMEN VIGILANCIA'!G142)</f>
        <v/>
      </c>
      <c r="I124" s="179" t="str">
        <f>IF(ISBLANK('RESUMEN VIGILANCIA'!H142),"",'RESUMEN VIGILANCIA'!H142)</f>
        <v/>
      </c>
      <c r="J124" s="179" t="str">
        <f>IF(ISBLANK('RESUMEN VIGILANCIA'!I142),"",'RESUMEN VIGILANCIA'!I142)</f>
        <v/>
      </c>
      <c r="K124" s="179" t="str">
        <f>IF(ISBLANK('RESUMEN VIGILANCIA'!J142),"",'RESUMEN VIGILANCIA'!J142)</f>
        <v/>
      </c>
      <c r="L124" s="224" t="str">
        <f>IF(ISBLANK('RESUMEN VIGILANCIA'!K142),"",'RESUMEN VIGILANCIA'!K142)</f>
        <v/>
      </c>
      <c r="M124" s="179" t="str">
        <f>IF(ISBLANK('RESUMEN VIGILANCIA'!L142),"",'RESUMEN VIGILANCIA'!L142)</f>
        <v/>
      </c>
      <c r="N124" s="179" t="str">
        <f>IF(ISBLANK('RESUMEN VIGILANCIA'!M142),"",'RESUMEN VIGILANCIA'!M142)</f>
        <v/>
      </c>
      <c r="O124" s="179" t="str">
        <f>IF(ISBLANK('RESUMEN VIGILANCIA'!N142),"",'RESUMEN VIGILANCIA'!N142)</f>
        <v/>
      </c>
      <c r="P124" s="268" t="str">
        <f>IF(ISBLANK('RESUMEN VIGILANCIA'!O142),"",'RESUMEN VIGILANCIA'!O142)</f>
        <v/>
      </c>
      <c r="Q124" s="177" t="str">
        <f>IF(ISBLANK('RESUMEN VIGILANCIA'!P142),"",'RESUMEN VIGILANCIA'!P142)</f>
        <v/>
      </c>
      <c r="R124" s="335" t="str">
        <f>IF(ISBLANK('RESUMEN VIGILANCIA'!Q142),"",'RESUMEN VIGILANCIA'!Q142)</f>
        <v/>
      </c>
      <c r="S124" s="279" t="str">
        <f>IF(ISBLANK('RESUMEN VIGILANCIA'!R142),"",'RESUMEN VIGILANCIA'!R142)</f>
        <v/>
      </c>
      <c r="T124" s="279" t="str">
        <f>IF(ISBLANK('RESUMEN VIGILANCIA'!S142),"",'RESUMEN VIGILANCIA'!S142)</f>
        <v/>
      </c>
      <c r="U124" s="279" t="str">
        <f>IF(ISBLANK('RESUMEN VIGILANCIA'!T142),"",'RESUMEN VIGILANCIA'!T142)</f>
        <v/>
      </c>
      <c r="V124" s="279" t="str">
        <f>IF(ISBLANK('RESUMEN VIGILANCIA'!U142),"",'RESUMEN VIGILANCIA'!U142)</f>
        <v/>
      </c>
      <c r="W124" s="279" t="str">
        <f>IF(ISBLANK('RESUMEN VIGILANCIA'!V142),"",'RESUMEN VIGILANCIA'!V142)</f>
        <v/>
      </c>
      <c r="X124" s="279" t="str">
        <f>IF(ISBLANK('RESUMEN VIGILANCIA'!W142),"",'RESUMEN VIGILANCIA'!W142)</f>
        <v/>
      </c>
      <c r="Y124" s="279" t="str">
        <f>IF(ISBLANK('RESUMEN VIGILANCIA'!X142),"",'RESUMEN VIGILANCIA'!X142)</f>
        <v/>
      </c>
      <c r="Z124" s="462" t="str">
        <f>IF(ISBLANK('RESUMEN VIGILANCIA'!Y142),"",'RESUMEN VIGILANCIA'!Y142)</f>
        <v/>
      </c>
      <c r="AA124" s="453">
        <f>IF(ISBLANK('RESUMEN VIGILANCIA'!Z142),"",'RESUMEN VIGILANCIA'!Z142)</f>
        <v>320</v>
      </c>
      <c r="AB124" s="453">
        <f>IF(ISBLANK('RESUMEN VIGILANCIA'!AA142),"",'RESUMEN VIGILANCIA'!AA142)</f>
        <v>320</v>
      </c>
      <c r="AC124" s="454">
        <f>IF(ISBLANK('RESUMEN VIGILANCIA'!AB142),"",'RESUMEN VIGILANCIA'!AB142)</f>
        <v>800</v>
      </c>
      <c r="AD124" s="374">
        <f>IF(ISBLANK('RESUMEN VIGILANCIA'!AC142),"",'RESUMEN VIGILANCIA'!AC142)</f>
        <v>3000</v>
      </c>
      <c r="AE124" s="375">
        <f>IF(ISBLANK('RESUMEN VIGILANCIA'!AD142),"",'RESUMEN VIGILANCIA'!AD142)</f>
        <v>3000</v>
      </c>
      <c r="AF124" s="375">
        <f>IF(ISBLANK('RESUMEN VIGILANCIA'!AE142),"",'RESUMEN VIGILANCIA'!AE142)</f>
        <v>3000</v>
      </c>
      <c r="AG124" s="375">
        <f>IF(ISBLANK('RESUMEN VIGILANCIA'!AF142),"",'RESUMEN VIGILANCIA'!AF142)</f>
        <v>5000</v>
      </c>
      <c r="AH124" s="375">
        <f>IF(ISBLANK('RESUMEN VIGILANCIA'!AG142),"",'RESUMEN VIGILANCIA'!AG142)</f>
        <v>8000</v>
      </c>
      <c r="AI124" s="375">
        <f>IF(ISBLANK('RESUMEN VIGILANCIA'!AH142),"",'RESUMEN VIGILANCIA'!AH142)</f>
        <v>8000</v>
      </c>
      <c r="AJ124" s="375">
        <f>IF(ISBLANK('RESUMEN VIGILANCIA'!AI142),"",'RESUMEN VIGILANCIA'!AI142)</f>
        <v>10000</v>
      </c>
      <c r="AK124" s="375">
        <f>IF(ISBLANK('RESUMEN VIGILANCIA'!AJ142),"",'RESUMEN VIGILANCIA'!AJ142)</f>
        <v>10000</v>
      </c>
      <c r="AL124" s="375">
        <f>IF(ISBLANK('RESUMEN VIGILANCIA'!AK142),"",'RESUMEN VIGILANCIA'!AK142)</f>
        <v>21600</v>
      </c>
      <c r="AM124" s="375">
        <f>IF(ISBLANK('RESUMEN VIGILANCIA'!AL142),"",'RESUMEN VIGILANCIA'!AL142)</f>
        <v>51250</v>
      </c>
      <c r="AN124" s="375">
        <f>IF(ISBLANK('RESUMEN VIGILANCIA'!AM142),"",'RESUMEN VIGILANCIA'!AM142)</f>
        <v>73500</v>
      </c>
      <c r="AO124" s="376">
        <f>IF(ISBLANK('RESUMEN VIGILANCIA'!AN142),"",'RESUMEN VIGILANCIA'!AN142)</f>
        <v>105250</v>
      </c>
      <c r="AP124" s="374">
        <f>IF(ISBLANK('RESUMEN VIGILANCIA'!AO142),"",'RESUMEN VIGILANCIA'!AO142)</f>
        <v>136250</v>
      </c>
      <c r="AQ124" s="375">
        <f>IF(ISBLANK('RESUMEN VIGILANCIA'!AP142),"",'RESUMEN VIGILANCIA'!AP142)</f>
        <v>185250</v>
      </c>
      <c r="AR124" s="375">
        <f>IF(ISBLANK('RESUMEN VIGILANCIA'!AQ142),"",'RESUMEN VIGILANCIA'!AQ142)</f>
        <v>185250</v>
      </c>
      <c r="AS124" s="375">
        <f>IF(ISBLANK('RESUMEN VIGILANCIA'!AR142),"",'RESUMEN VIGILANCIA'!AR142)</f>
        <v>186250</v>
      </c>
      <c r="AT124" s="375">
        <f>IF(ISBLANK('RESUMEN VIGILANCIA'!AS142),"",'RESUMEN VIGILANCIA'!AS142)</f>
        <v>250000</v>
      </c>
      <c r="AU124" s="375">
        <f>IF(ISBLANK('RESUMEN VIGILANCIA'!AT142),"",'RESUMEN VIGILANCIA'!AT142)</f>
        <v>250000</v>
      </c>
      <c r="AV124" s="375">
        <f>IF(ISBLANK('RESUMEN VIGILANCIA'!AU142),"",'RESUMEN VIGILANCIA'!AU142)</f>
        <v>250000</v>
      </c>
      <c r="AW124" s="375" t="str">
        <f>IF(ISBLANK('RESUMEN VIGILANCIA'!AV142),"",'RESUMEN VIGILANCIA'!AV142)</f>
        <v/>
      </c>
      <c r="AX124" s="375" t="str">
        <f>IF(ISBLANK('RESUMEN VIGILANCIA'!AW142),"",'RESUMEN VIGILANCIA'!AW142)</f>
        <v/>
      </c>
      <c r="AY124" s="375" t="str">
        <f>IF(ISBLANK('RESUMEN VIGILANCIA'!AX142),"",'RESUMEN VIGILANCIA'!AX142)</f>
        <v/>
      </c>
      <c r="AZ124" s="375" t="str">
        <f>IF(ISBLANK('RESUMEN VIGILANCIA'!AY142),"",'RESUMEN VIGILANCIA'!AY142)</f>
        <v/>
      </c>
      <c r="BA124" s="376" t="str">
        <f>IF(ISBLANK('RESUMEN VIGILANCIA'!AZ142),"",'RESUMEN VIGILANCIA'!AZ142)</f>
        <v/>
      </c>
      <c r="BB124" s="240">
        <f t="shared" si="11"/>
        <v>303040</v>
      </c>
      <c r="BC124" s="110">
        <v>43374</v>
      </c>
      <c r="BD124" s="110"/>
    </row>
    <row r="125" spans="1:56" s="28" customFormat="1" ht="20.100000000000001" customHeight="1">
      <c r="A125" s="32" t="str">
        <f>'RESUMEN VIGILANCIA'!A128</f>
        <v>Familia Kablan Sarmiento</v>
      </c>
      <c r="B125" s="33" t="str">
        <f>'RESUMEN VIGILANCIA'!B128</f>
        <v>Calle Güigüe Nro. 89-80</v>
      </c>
      <c r="C125" s="428" t="s">
        <v>1358</v>
      </c>
      <c r="D125" s="433" t="s">
        <v>1357</v>
      </c>
      <c r="E125" s="414" t="str">
        <f>IF(ISBLANK('RESUMEN VIGILANCIA'!D128),"",'RESUMEN VIGILANCIA'!D128)</f>
        <v/>
      </c>
      <c r="F125" s="264">
        <f>IF(ISBLANK('RESUMEN VIGILANCIA'!E128),"",'RESUMEN VIGILANCIA'!E128)</f>
        <v>0.1</v>
      </c>
      <c r="G125" s="186">
        <f>IF(ISBLANK('RESUMEN VIGILANCIA'!F128),"",'RESUMEN VIGILANCIA'!F128)</f>
        <v>0.1</v>
      </c>
      <c r="H125" s="186">
        <f>IF(ISBLANK('RESUMEN VIGILANCIA'!G128),"",'RESUMEN VIGILANCIA'!G128)</f>
        <v>0.1</v>
      </c>
      <c r="I125" s="186">
        <f>IF(ISBLANK('RESUMEN VIGILANCIA'!H128),"",'RESUMEN VIGILANCIA'!H128)</f>
        <v>0.1</v>
      </c>
      <c r="J125" s="186">
        <f>IF(ISBLANK('RESUMEN VIGILANCIA'!I128),"",'RESUMEN VIGILANCIA'!I128)</f>
        <v>0.15</v>
      </c>
      <c r="K125" s="186">
        <f>IF(ISBLANK('RESUMEN VIGILANCIA'!J128),"",'RESUMEN VIGILANCIA'!J128)</f>
        <v>0.15</v>
      </c>
      <c r="L125" s="186">
        <f>IF(ISBLANK('RESUMEN VIGILANCIA'!K128),"",'RESUMEN VIGILANCIA'!K128)</f>
        <v>0.2</v>
      </c>
      <c r="M125" s="186">
        <f>IF(ISBLANK('RESUMEN VIGILANCIA'!L128),"",'RESUMEN VIGILANCIA'!L128)</f>
        <v>0.2</v>
      </c>
      <c r="N125" s="186">
        <f>IF(ISBLANK('RESUMEN VIGILANCIA'!M128),"",'RESUMEN VIGILANCIA'!M128)</f>
        <v>0.2</v>
      </c>
      <c r="O125" s="186">
        <f>IF(ISBLANK('RESUMEN VIGILANCIA'!N128),"",'RESUMEN VIGILANCIA'!N128)</f>
        <v>0.2</v>
      </c>
      <c r="P125" s="265">
        <f>IF(ISBLANK('RESUMEN VIGILANCIA'!O128),"",'RESUMEN VIGILANCIA'!O128)</f>
        <v>0.4</v>
      </c>
      <c r="Q125" s="184">
        <f>IF(ISBLANK('RESUMEN VIGILANCIA'!P128),"",'RESUMEN VIGILANCIA'!P128)</f>
        <v>0.4</v>
      </c>
      <c r="R125" s="334">
        <f>IF(ISBLANK('RESUMEN VIGILANCIA'!Q128),"",'RESUMEN VIGILANCIA'!Q128)</f>
        <v>0.8</v>
      </c>
      <c r="S125" s="270">
        <f>IF(ISBLANK('RESUMEN VIGILANCIA'!R128),"",'RESUMEN VIGILANCIA'!R128)</f>
        <v>0.8</v>
      </c>
      <c r="T125" s="270">
        <f>IF(ISBLANK('RESUMEN VIGILANCIA'!S128),"",'RESUMEN VIGILANCIA'!S128)</f>
        <v>1.4</v>
      </c>
      <c r="U125" s="270">
        <f>IF(ISBLANK('RESUMEN VIGILANCIA'!T128),"",'RESUMEN VIGILANCIA'!T128)</f>
        <v>1.4</v>
      </c>
      <c r="V125" s="270">
        <f>IF(ISBLANK('RESUMEN VIGILANCIA'!U128),"",'RESUMEN VIGILANCIA'!U128)</f>
        <v>4</v>
      </c>
      <c r="W125" s="270">
        <f>IF(ISBLANK('RESUMEN VIGILANCIA'!V128),"",'RESUMEN VIGILANCIA'!V128)</f>
        <v>6.25</v>
      </c>
      <c r="X125" s="270">
        <f>IF(ISBLANK('RESUMEN VIGILANCIA'!W128),"",'RESUMEN VIGILANCIA'!W128)</f>
        <v>10</v>
      </c>
      <c r="Y125" s="270">
        <f>IF(ISBLANK('RESUMEN VIGILANCIA'!X128),"",'RESUMEN VIGILANCIA'!X128)</f>
        <v>12</v>
      </c>
      <c r="Z125" s="456">
        <f>IF(ISBLANK('RESUMEN VIGILANCIA'!Y128),"",'RESUMEN VIGILANCIA'!Y128)</f>
        <v>320</v>
      </c>
      <c r="AA125" s="456">
        <f>IF(ISBLANK('RESUMEN VIGILANCIA'!Z128),"",'RESUMEN VIGILANCIA'!Z128)</f>
        <v>320</v>
      </c>
      <c r="AB125" s="456">
        <f>IF(ISBLANK('RESUMEN VIGILANCIA'!AA128),"",'RESUMEN VIGILANCIA'!AA128)</f>
        <v>320</v>
      </c>
      <c r="AC125" s="455">
        <f>IF(ISBLANK('RESUMEN VIGILANCIA'!AB128),"",'RESUMEN VIGILANCIA'!AB128)</f>
        <v>800</v>
      </c>
      <c r="AD125" s="379">
        <f>IF(ISBLANK('RESUMEN VIGILANCIA'!AC128),"",'RESUMEN VIGILANCIA'!AC128)</f>
        <v>3000</v>
      </c>
      <c r="AE125" s="380">
        <f>IF(ISBLANK('RESUMEN VIGILANCIA'!AD128),"",'RESUMEN VIGILANCIA'!AD128)</f>
        <v>3000</v>
      </c>
      <c r="AF125" s="380">
        <f>IF(ISBLANK('RESUMEN VIGILANCIA'!AE128),"",'RESUMEN VIGILANCIA'!AE128)</f>
        <v>3000</v>
      </c>
      <c r="AG125" s="380">
        <f>IF(ISBLANK('RESUMEN VIGILANCIA'!AF128),"",'RESUMEN VIGILANCIA'!AF128)</f>
        <v>5000</v>
      </c>
      <c r="AH125" s="380">
        <f>IF(ISBLANK('RESUMEN VIGILANCIA'!AG128),"",'RESUMEN VIGILANCIA'!AG128)</f>
        <v>8000</v>
      </c>
      <c r="AI125" s="380">
        <f>IF(ISBLANK('RESUMEN VIGILANCIA'!AH128),"",'RESUMEN VIGILANCIA'!AH128)</f>
        <v>8000</v>
      </c>
      <c r="AJ125" s="380">
        <f>IF(ISBLANK('RESUMEN VIGILANCIA'!AI128),"",'RESUMEN VIGILANCIA'!AI128)</f>
        <v>10000</v>
      </c>
      <c r="AK125" s="380">
        <f>IF(ISBLANK('RESUMEN VIGILANCIA'!AJ128),"",'RESUMEN VIGILANCIA'!AJ128)</f>
        <v>10000</v>
      </c>
      <c r="AL125" s="380">
        <f>IF(ISBLANK('RESUMEN VIGILANCIA'!AK128),"",'RESUMEN VIGILANCIA'!AK128)</f>
        <v>20000</v>
      </c>
      <c r="AM125" s="380">
        <f>IF(ISBLANK('RESUMEN VIGILANCIA'!AL128),"",'RESUMEN VIGILANCIA'!AL128)</f>
        <v>51000</v>
      </c>
      <c r="AN125" s="380">
        <f>IF(ISBLANK('RESUMEN VIGILANCIA'!AM128),"",'RESUMEN VIGILANCIA'!AM128)</f>
        <v>51250</v>
      </c>
      <c r="AO125" s="385">
        <f>IF(ISBLANK('RESUMEN VIGILANCIA'!AN128),"",'RESUMEN VIGILANCIA'!AN128)</f>
        <v>97500</v>
      </c>
      <c r="AP125" s="379">
        <f>IF(ISBLANK('RESUMEN VIGILANCIA'!AO128),"",'RESUMEN VIGILANCIA'!AO128)</f>
        <v>136250</v>
      </c>
      <c r="AQ125" s="380">
        <f>IF(ISBLANK('RESUMEN VIGILANCIA'!AP128),"",'RESUMEN VIGILANCIA'!AP128)</f>
        <v>136250</v>
      </c>
      <c r="AR125" s="380">
        <f>IF(ISBLANK('RESUMEN VIGILANCIA'!AQ128),"",'RESUMEN VIGILANCIA'!AQ128)</f>
        <v>185250</v>
      </c>
      <c r="AS125" s="380">
        <f>IF(ISBLANK('RESUMEN VIGILANCIA'!AR128),"",'RESUMEN VIGILANCIA'!AR128)</f>
        <v>185250</v>
      </c>
      <c r="AT125" s="380">
        <f>IF(ISBLANK('RESUMEN VIGILANCIA'!AS128),"",'RESUMEN VIGILANCIA'!AS128)</f>
        <v>250000</v>
      </c>
      <c r="AU125" s="380">
        <f>IF(ISBLANK('RESUMEN VIGILANCIA'!AT128),"",'RESUMEN VIGILANCIA'!AT128)</f>
        <v>250000</v>
      </c>
      <c r="AV125" s="380" t="str">
        <f>IF(ISBLANK('RESUMEN VIGILANCIA'!AU128),"",'RESUMEN VIGILANCIA'!AU128)</f>
        <v/>
      </c>
      <c r="AW125" s="380" t="str">
        <f>IF(ISBLANK('RESUMEN VIGILANCIA'!AV128),"",'RESUMEN VIGILANCIA'!AV128)</f>
        <v/>
      </c>
      <c r="AX125" s="380" t="str">
        <f>IF(ISBLANK('RESUMEN VIGILANCIA'!AW128),"",'RESUMEN VIGILANCIA'!AW128)</f>
        <v/>
      </c>
      <c r="AY125" s="380" t="str">
        <f>IF(ISBLANK('RESUMEN VIGILANCIA'!AX128),"",'RESUMEN VIGILANCIA'!AX128)</f>
        <v/>
      </c>
      <c r="AZ125" s="380" t="str">
        <f>IF(ISBLANK('RESUMEN VIGILANCIA'!AY128),"",'RESUMEN VIGILANCIA'!AY128)</f>
        <v/>
      </c>
      <c r="BA125" s="385" t="str">
        <f>IF(ISBLANK('RESUMEN VIGILANCIA'!AZ128),"",'RESUMEN VIGILANCIA'!AZ128)</f>
        <v/>
      </c>
      <c r="BB125" s="344">
        <f t="shared" si="11"/>
        <v>271548.95</v>
      </c>
      <c r="BC125" s="345"/>
      <c r="BD125" s="345"/>
    </row>
    <row r="126" spans="1:56" s="28" customFormat="1" ht="20.100000000000001" customHeight="1">
      <c r="A126" s="29" t="str">
        <f>'RESUMEN VIGILANCIA'!A129</f>
        <v>Familia Ferrer Bahri</v>
      </c>
      <c r="B126" s="30" t="str">
        <f>'RESUMEN VIGILANCIA'!B129</f>
        <v>Calle Güigüe Nro. 89-83</v>
      </c>
      <c r="C126" s="427" t="s">
        <v>1358</v>
      </c>
      <c r="D126" s="434" t="s">
        <v>17</v>
      </c>
      <c r="E126" s="415" t="str">
        <f>IF(ISBLANK('RESUMEN VIGILANCIA'!D129),"",'RESUMEN VIGILANCIA'!D129)</f>
        <v/>
      </c>
      <c r="F126" s="267">
        <f>IF(ISBLANK('RESUMEN VIGILANCIA'!E129),"",'RESUMEN VIGILANCIA'!E129)</f>
        <v>0.17</v>
      </c>
      <c r="G126" s="179">
        <f>IF(ISBLANK('RESUMEN VIGILANCIA'!F129),"",'RESUMEN VIGILANCIA'!F129)</f>
        <v>0.17</v>
      </c>
      <c r="H126" s="179">
        <f>IF(ISBLANK('RESUMEN VIGILANCIA'!G129),"",'RESUMEN VIGILANCIA'!G129)</f>
        <v>0.17</v>
      </c>
      <c r="I126" s="179">
        <f>IF(ISBLANK('RESUMEN VIGILANCIA'!H129),"",'RESUMEN VIGILANCIA'!H129)</f>
        <v>0.17</v>
      </c>
      <c r="J126" s="179">
        <f>IF(ISBLANK('RESUMEN VIGILANCIA'!I129),"",'RESUMEN VIGILANCIA'!I129)</f>
        <v>0.26</v>
      </c>
      <c r="K126" s="179">
        <f>IF(ISBLANK('RESUMEN VIGILANCIA'!J129),"",'RESUMEN VIGILANCIA'!J129)</f>
        <v>0.26</v>
      </c>
      <c r="L126" s="179">
        <f>IF(ISBLANK('RESUMEN VIGILANCIA'!K129),"",'RESUMEN VIGILANCIA'!K129)</f>
        <v>0.35</v>
      </c>
      <c r="M126" s="179">
        <f>IF(ISBLANK('RESUMEN VIGILANCIA'!L129),"",'RESUMEN VIGILANCIA'!L129)</f>
        <v>0.35</v>
      </c>
      <c r="N126" s="179">
        <f>IF(ISBLANK('RESUMEN VIGILANCIA'!M129),"",'RESUMEN VIGILANCIA'!M129)</f>
        <v>0.35</v>
      </c>
      <c r="O126" s="179">
        <f>IF(ISBLANK('RESUMEN VIGILANCIA'!N129),"",'RESUMEN VIGILANCIA'!N129)</f>
        <v>0.35</v>
      </c>
      <c r="P126" s="268">
        <f>IF(ISBLANK('RESUMEN VIGILANCIA'!O129),"",'RESUMEN VIGILANCIA'!O129)</f>
        <v>0.5</v>
      </c>
      <c r="Q126" s="177">
        <f>IF(ISBLANK('RESUMEN VIGILANCIA'!P129),"",'RESUMEN VIGILANCIA'!P129)</f>
        <v>0.5</v>
      </c>
      <c r="R126" s="269">
        <f>IF(ISBLANK('RESUMEN VIGILANCIA'!Q129),"",'RESUMEN VIGILANCIA'!Q129)</f>
        <v>0.8</v>
      </c>
      <c r="S126" s="268">
        <f>IF(ISBLANK('RESUMEN VIGILANCIA'!R129),"",'RESUMEN VIGILANCIA'!R129)</f>
        <v>0.8</v>
      </c>
      <c r="T126" s="268">
        <f>IF(ISBLANK('RESUMEN VIGILANCIA'!S129),"",'RESUMEN VIGILANCIA'!S129)</f>
        <v>1.4</v>
      </c>
      <c r="U126" s="268">
        <f>IF(ISBLANK('RESUMEN VIGILANCIA'!T129),"",'RESUMEN VIGILANCIA'!T129)</f>
        <v>1.4</v>
      </c>
      <c r="V126" s="268">
        <f>IF(ISBLANK('RESUMEN VIGILANCIA'!U129),"",'RESUMEN VIGILANCIA'!U129)</f>
        <v>4</v>
      </c>
      <c r="W126" s="268">
        <f>IF(ISBLANK('RESUMEN VIGILANCIA'!V129),"",'RESUMEN VIGILANCIA'!V129)</f>
        <v>6.25</v>
      </c>
      <c r="X126" s="268">
        <f>IF(ISBLANK('RESUMEN VIGILANCIA'!W129),"",'RESUMEN VIGILANCIA'!W129)</f>
        <v>10</v>
      </c>
      <c r="Y126" s="268">
        <f>IF(ISBLANK('RESUMEN VIGILANCIA'!X129),"",'RESUMEN VIGILANCIA'!X129)</f>
        <v>12</v>
      </c>
      <c r="Z126" s="453">
        <f>IF(ISBLANK('RESUMEN VIGILANCIA'!Y129),"",'RESUMEN VIGILANCIA'!Y129)</f>
        <v>320</v>
      </c>
      <c r="AA126" s="453">
        <f>IF(ISBLANK('RESUMEN VIGILANCIA'!Z129),"",'RESUMEN VIGILANCIA'!Z129)</f>
        <v>320</v>
      </c>
      <c r="AB126" s="453">
        <f>IF(ISBLANK('RESUMEN VIGILANCIA'!AA129),"",'RESUMEN VIGILANCIA'!AA129)</f>
        <v>320</v>
      </c>
      <c r="AC126" s="454">
        <f>IF(ISBLANK('RESUMEN VIGILANCIA'!AB129),"",'RESUMEN VIGILANCIA'!AB129)</f>
        <v>800</v>
      </c>
      <c r="AD126" s="374">
        <f>IF(ISBLANK('RESUMEN VIGILANCIA'!AC129),"",'RESUMEN VIGILANCIA'!AC129)</f>
        <v>3000</v>
      </c>
      <c r="AE126" s="375">
        <f>IF(ISBLANK('RESUMEN VIGILANCIA'!AD129),"",'RESUMEN VIGILANCIA'!AD129)</f>
        <v>3000</v>
      </c>
      <c r="AF126" s="375">
        <f>IF(ISBLANK('RESUMEN VIGILANCIA'!AE129),"",'RESUMEN VIGILANCIA'!AE129)</f>
        <v>6000</v>
      </c>
      <c r="AG126" s="375">
        <f>IF(ISBLANK('RESUMEN VIGILANCIA'!AF129),"",'RESUMEN VIGILANCIA'!AF129)</f>
        <v>6000</v>
      </c>
      <c r="AH126" s="375">
        <f>IF(ISBLANK('RESUMEN VIGILANCIA'!AG129),"",'RESUMEN VIGILANCIA'!AG129)</f>
        <v>12000</v>
      </c>
      <c r="AI126" s="375">
        <f>IF(ISBLANK('RESUMEN VIGILANCIA'!AH129),"",'RESUMEN VIGILANCIA'!AH129)</f>
        <v>12000</v>
      </c>
      <c r="AJ126" s="375">
        <f>IF(ISBLANK('RESUMEN VIGILANCIA'!AI129),"",'RESUMEN VIGILANCIA'!AI129)</f>
        <v>20000</v>
      </c>
      <c r="AK126" s="375">
        <f>IF(ISBLANK('RESUMEN VIGILANCIA'!AJ129),"",'RESUMEN VIGILANCIA'!AJ129)</f>
        <v>20000</v>
      </c>
      <c r="AL126" s="375">
        <f>IF(ISBLANK('RESUMEN VIGILANCIA'!AK129),"",'RESUMEN VIGILANCIA'!AK129)</f>
        <v>23400</v>
      </c>
      <c r="AM126" s="375">
        <f>IF(ISBLANK('RESUMEN VIGILANCIA'!AL129),"",'RESUMEN VIGILANCIA'!AL129)</f>
        <v>47000</v>
      </c>
      <c r="AN126" s="375">
        <f>IF(ISBLANK('RESUMEN VIGILANCIA'!AM129),"",'RESUMEN VIGILANCIA'!AM129)</f>
        <v>60000</v>
      </c>
      <c r="AO126" s="376">
        <f>IF(ISBLANK('RESUMEN VIGILANCIA'!AN129),"",'RESUMEN VIGILANCIA'!AN129)</f>
        <v>150000</v>
      </c>
      <c r="AP126" s="374">
        <f>IF(ISBLANK('RESUMEN VIGILANCIA'!AO129),"",'RESUMEN VIGILANCIA'!AO129)</f>
        <v>150000</v>
      </c>
      <c r="AQ126" s="375">
        <f>IF(ISBLANK('RESUMEN VIGILANCIA'!AP129),"",'RESUMEN VIGILANCIA'!AP129)</f>
        <v>150000</v>
      </c>
      <c r="AR126" s="375">
        <f>IF(ISBLANK('RESUMEN VIGILANCIA'!AQ129),"",'RESUMEN VIGILANCIA'!AQ129)</f>
        <v>200000</v>
      </c>
      <c r="AS126" s="375">
        <f>IF(ISBLANK('RESUMEN VIGILANCIA'!AR129),"",'RESUMEN VIGILANCIA'!AR129)</f>
        <v>250000</v>
      </c>
      <c r="AT126" s="375">
        <f>IF(ISBLANK('RESUMEN VIGILANCIA'!AS129),"",'RESUMEN VIGILANCIA'!AS129)</f>
        <v>350000</v>
      </c>
      <c r="AU126" s="375">
        <f>IF(ISBLANK('RESUMEN VIGILANCIA'!AT129),"",'RESUMEN VIGILANCIA'!AT129)</f>
        <v>400000</v>
      </c>
      <c r="AV126" s="375">
        <f>IF(ISBLANK('RESUMEN VIGILANCIA'!AU129),"",'RESUMEN VIGILANCIA'!AU129)</f>
        <v>500000</v>
      </c>
      <c r="AW126" s="375" t="str">
        <f>IF(ISBLANK('RESUMEN VIGILANCIA'!AV129),"",'RESUMEN VIGILANCIA'!AV129)</f>
        <v/>
      </c>
      <c r="AX126" s="375" t="str">
        <f>IF(ISBLANK('RESUMEN VIGILANCIA'!AW129),"",'RESUMEN VIGILANCIA'!AW129)</f>
        <v/>
      </c>
      <c r="AY126" s="375" t="str">
        <f>IF(ISBLANK('RESUMEN VIGILANCIA'!AX129),"",'RESUMEN VIGILANCIA'!AX129)</f>
        <v/>
      </c>
      <c r="AZ126" s="375" t="str">
        <f>IF(ISBLANK('RESUMEN VIGILANCIA'!AY129),"",'RESUMEN VIGILANCIA'!AY129)</f>
        <v/>
      </c>
      <c r="BA126" s="376" t="str">
        <f>IF(ISBLANK('RESUMEN VIGILANCIA'!AZ129),"",'RESUMEN VIGILANCIA'!AZ129)</f>
        <v/>
      </c>
      <c r="BB126" s="240">
        <f t="shared" si="11"/>
        <v>364200.25</v>
      </c>
      <c r="BC126" s="110"/>
      <c r="BD126" s="110"/>
    </row>
    <row r="127" spans="1:56" s="28" customFormat="1" ht="20.100000000000001" customHeight="1">
      <c r="A127" s="57" t="str">
        <f>'RESUMEN VIGILANCIA'!A133</f>
        <v>Familia Herrera Guada</v>
      </c>
      <c r="B127" s="58" t="str">
        <f>'RESUMEN VIGILANCIA'!B133</f>
        <v>Calle Güigüe Nro. 89-90</v>
      </c>
      <c r="C127" s="427"/>
      <c r="D127" s="434" t="s">
        <v>1357</v>
      </c>
      <c r="E127" s="414" t="str">
        <f>IF(ISBLANK('RESUMEN VIGILANCIA'!D133),"",'RESUMEN VIGILANCIA'!D133)</f>
        <v/>
      </c>
      <c r="F127" s="264">
        <f>IF(ISBLANK('RESUMEN VIGILANCIA'!E133),"",'RESUMEN VIGILANCIA'!E133)</f>
        <v>4.4999999999999998E-2</v>
      </c>
      <c r="G127" s="186">
        <f>IF(ISBLANK('RESUMEN VIGILANCIA'!F133),"",'RESUMEN VIGILANCIA'!F133)</f>
        <v>4.4999999999999998E-2</v>
      </c>
      <c r="H127" s="186">
        <f>IF(ISBLANK('RESUMEN VIGILANCIA'!G133),"",'RESUMEN VIGILANCIA'!G133)</f>
        <v>0.05</v>
      </c>
      <c r="I127" s="186">
        <f>IF(ISBLANK('RESUMEN VIGILANCIA'!H133),"",'RESUMEN VIGILANCIA'!H133)</f>
        <v>0.05</v>
      </c>
      <c r="J127" s="186">
        <f>IF(ISBLANK('RESUMEN VIGILANCIA'!I133),"",'RESUMEN VIGILANCIA'!I133)</f>
        <v>0.05</v>
      </c>
      <c r="K127" s="219" t="str">
        <f>IF(ISBLANK('RESUMEN VIGILANCIA'!J133),"",'RESUMEN VIGILANCIA'!J133)</f>
        <v>VENDIDA</v>
      </c>
      <c r="L127" s="231" t="str">
        <f>IF(ISBLANK('RESUMEN VIGILANCIA'!K133),"",'RESUMEN VIGILANCIA'!K133)</f>
        <v/>
      </c>
      <c r="M127" s="231" t="str">
        <f>IF(ISBLANK('RESUMEN VIGILANCIA'!L133),"",'RESUMEN VIGILANCIA'!L133)</f>
        <v/>
      </c>
      <c r="N127" s="231" t="str">
        <f>IF(ISBLANK('RESUMEN VIGILANCIA'!M133),"",'RESUMEN VIGILANCIA'!M133)</f>
        <v/>
      </c>
      <c r="O127" s="231" t="str">
        <f>IF(ISBLANK('RESUMEN VIGILANCIA'!N133),"",'RESUMEN VIGILANCIA'!N133)</f>
        <v/>
      </c>
      <c r="P127" s="273" t="str">
        <f>IF(ISBLANK('RESUMEN VIGILANCIA'!O133),"",'RESUMEN VIGILANCIA'!O133)</f>
        <v/>
      </c>
      <c r="Q127" s="220" t="str">
        <f>IF(ISBLANK('RESUMEN VIGILANCIA'!P133),"",'RESUMEN VIGILANCIA'!P133)</f>
        <v/>
      </c>
      <c r="R127" s="294" t="str">
        <f>IF(ISBLANK('RESUMEN VIGILANCIA'!Q133),"",'RESUMEN VIGILANCIA'!Q133)</f>
        <v/>
      </c>
      <c r="S127" s="273" t="str">
        <f>IF(ISBLANK('RESUMEN VIGILANCIA'!R133),"",'RESUMEN VIGILANCIA'!R133)</f>
        <v/>
      </c>
      <c r="T127" s="273" t="str">
        <f>IF(ISBLANK('RESUMEN VIGILANCIA'!S133),"",'RESUMEN VIGILANCIA'!S133)</f>
        <v/>
      </c>
      <c r="U127" s="273" t="str">
        <f>IF(ISBLANK('RESUMEN VIGILANCIA'!T133),"",'RESUMEN VIGILANCIA'!T133)</f>
        <v/>
      </c>
      <c r="V127" s="273" t="str">
        <f>IF(ISBLANK('RESUMEN VIGILANCIA'!U133),"",'RESUMEN VIGILANCIA'!U133)</f>
        <v/>
      </c>
      <c r="W127" s="273" t="str">
        <f>IF(ISBLANK('RESUMEN VIGILANCIA'!V133),"",'RESUMEN VIGILANCIA'!V133)</f>
        <v/>
      </c>
      <c r="X127" s="273" t="str">
        <f>IF(ISBLANK('RESUMEN VIGILANCIA'!W133),"",'RESUMEN VIGILANCIA'!W133)</f>
        <v/>
      </c>
      <c r="Y127" s="273" t="str">
        <f>IF(ISBLANK('RESUMEN VIGILANCIA'!X133),"",'RESUMEN VIGILANCIA'!X133)</f>
        <v/>
      </c>
      <c r="Z127" s="459" t="str">
        <f>IF(ISBLANK('RESUMEN VIGILANCIA'!Y133),"",'RESUMEN VIGILANCIA'!Y133)</f>
        <v/>
      </c>
      <c r="AA127" s="459" t="str">
        <f>IF(ISBLANK('RESUMEN VIGILANCIA'!Z133),"",'RESUMEN VIGILANCIA'!Z133)</f>
        <v/>
      </c>
      <c r="AB127" s="459" t="str">
        <f>IF(ISBLANK('RESUMEN VIGILANCIA'!AA133),"",'RESUMEN VIGILANCIA'!AA133)</f>
        <v/>
      </c>
      <c r="AC127" s="460" t="str">
        <f>IF(ISBLANK('RESUMEN VIGILANCIA'!AB133),"",'RESUMEN VIGILANCIA'!AB133)</f>
        <v/>
      </c>
      <c r="AD127" s="390" t="str">
        <f>IF(ISBLANK('RESUMEN VIGILANCIA'!AC133),"",'RESUMEN VIGILANCIA'!AC133)</f>
        <v/>
      </c>
      <c r="AE127" s="391" t="str">
        <f>IF(ISBLANK('RESUMEN VIGILANCIA'!AD133),"",'RESUMEN VIGILANCIA'!AD133)</f>
        <v/>
      </c>
      <c r="AF127" s="391" t="str">
        <f>IF(ISBLANK('RESUMEN VIGILANCIA'!AE133),"",'RESUMEN VIGILANCIA'!AE133)</f>
        <v/>
      </c>
      <c r="AG127" s="391" t="str">
        <f>IF(ISBLANK('RESUMEN VIGILANCIA'!AF133),"",'RESUMEN VIGILANCIA'!AF133)</f>
        <v/>
      </c>
      <c r="AH127" s="391" t="str">
        <f>IF(ISBLANK('RESUMEN VIGILANCIA'!AG133),"",'RESUMEN VIGILANCIA'!AG133)</f>
        <v/>
      </c>
      <c r="AI127" s="391" t="str">
        <f>IF(ISBLANK('RESUMEN VIGILANCIA'!AH133),"",'RESUMEN VIGILANCIA'!AH133)</f>
        <v/>
      </c>
      <c r="AJ127" s="391" t="str">
        <f>IF(ISBLANK('RESUMEN VIGILANCIA'!AI133),"",'RESUMEN VIGILANCIA'!AI133)</f>
        <v/>
      </c>
      <c r="AK127" s="391" t="str">
        <f>IF(ISBLANK('RESUMEN VIGILANCIA'!AJ133),"",'RESUMEN VIGILANCIA'!AJ133)</f>
        <v/>
      </c>
      <c r="AL127" s="391" t="str">
        <f>IF(ISBLANK('RESUMEN VIGILANCIA'!AK133),"",'RESUMEN VIGILANCIA'!AK133)</f>
        <v/>
      </c>
      <c r="AM127" s="391" t="str">
        <f>IF(ISBLANK('RESUMEN VIGILANCIA'!AL133),"",'RESUMEN VIGILANCIA'!AL133)</f>
        <v/>
      </c>
      <c r="AN127" s="391" t="str">
        <f>IF(ISBLANK('RESUMEN VIGILANCIA'!AM133),"",'RESUMEN VIGILANCIA'!AM133)</f>
        <v/>
      </c>
      <c r="AO127" s="392" t="str">
        <f>IF(ISBLANK('RESUMEN VIGILANCIA'!AN133),"",'RESUMEN VIGILANCIA'!AN133)</f>
        <v/>
      </c>
      <c r="AP127" s="390" t="str">
        <f>IF(ISBLANK('RESUMEN VIGILANCIA'!AO133),"",'RESUMEN VIGILANCIA'!AO133)</f>
        <v/>
      </c>
      <c r="AQ127" s="391" t="str">
        <f>IF(ISBLANK('RESUMEN VIGILANCIA'!AP133),"",'RESUMEN VIGILANCIA'!AP133)</f>
        <v/>
      </c>
      <c r="AR127" s="391" t="str">
        <f>IF(ISBLANK('RESUMEN VIGILANCIA'!AQ133),"",'RESUMEN VIGILANCIA'!AQ133)</f>
        <v/>
      </c>
      <c r="AS127" s="391" t="str">
        <f>IF(ISBLANK('RESUMEN VIGILANCIA'!AR133),"",'RESUMEN VIGILANCIA'!AR133)</f>
        <v/>
      </c>
      <c r="AT127" s="391" t="str">
        <f>IF(ISBLANK('RESUMEN VIGILANCIA'!AS133),"",'RESUMEN VIGILANCIA'!AS133)</f>
        <v/>
      </c>
      <c r="AU127" s="391" t="str">
        <f>IF(ISBLANK('RESUMEN VIGILANCIA'!AT133),"",'RESUMEN VIGILANCIA'!AT133)</f>
        <v/>
      </c>
      <c r="AV127" s="391" t="str">
        <f>IF(ISBLANK('RESUMEN VIGILANCIA'!AU133),"",'RESUMEN VIGILANCIA'!AU133)</f>
        <v/>
      </c>
      <c r="AW127" s="391" t="str">
        <f>IF(ISBLANK('RESUMEN VIGILANCIA'!AV133),"",'RESUMEN VIGILANCIA'!AV133)</f>
        <v/>
      </c>
      <c r="AX127" s="391" t="str">
        <f>IF(ISBLANK('RESUMEN VIGILANCIA'!AW133),"",'RESUMEN VIGILANCIA'!AW133)</f>
        <v/>
      </c>
      <c r="AY127" s="391" t="str">
        <f>IF(ISBLANK('RESUMEN VIGILANCIA'!AX133),"",'RESUMEN VIGILANCIA'!AX133)</f>
        <v/>
      </c>
      <c r="AZ127" s="391" t="str">
        <f>IF(ISBLANK('RESUMEN VIGILANCIA'!AY133),"",'RESUMEN VIGILANCIA'!AY133)</f>
        <v/>
      </c>
      <c r="BA127" s="392" t="str">
        <f>IF(ISBLANK('RESUMEN VIGILANCIA'!AZ133),"",'RESUMEN VIGILANCIA'!AZ133)</f>
        <v/>
      </c>
      <c r="BB127" s="240">
        <f t="shared" si="11"/>
        <v>0.24</v>
      </c>
      <c r="BC127" s="110"/>
      <c r="BD127" s="110">
        <v>42856</v>
      </c>
    </row>
    <row r="128" spans="1:56" s="28" customFormat="1" ht="20.100000000000001" customHeight="1">
      <c r="A128" s="29" t="str">
        <f>'RESUMEN VIGILANCIA'!A134</f>
        <v>Familia Montilla García</v>
      </c>
      <c r="B128" s="30" t="str">
        <f>'RESUMEN VIGILANCIA'!B134</f>
        <v>Calle Güigüe Nro. 89-90</v>
      </c>
      <c r="C128" s="427" t="s">
        <v>1358</v>
      </c>
      <c r="D128" s="434" t="s">
        <v>1357</v>
      </c>
      <c r="E128" s="418" t="str">
        <f>IF(ISBLANK('RESUMEN VIGILANCIA'!D134),"",'RESUMEN VIGILANCIA'!D134)</f>
        <v/>
      </c>
      <c r="F128" s="295" t="str">
        <f>IF(ISBLANK('RESUMEN VIGILANCIA'!E134),"",'RESUMEN VIGILANCIA'!E134)</f>
        <v/>
      </c>
      <c r="G128" s="214" t="str">
        <f>IF(ISBLANK('RESUMEN VIGILANCIA'!F134),"",'RESUMEN VIGILANCIA'!F134)</f>
        <v/>
      </c>
      <c r="H128" s="214" t="str">
        <f>IF(ISBLANK('RESUMEN VIGILANCIA'!G134),"",'RESUMEN VIGILANCIA'!G134)</f>
        <v/>
      </c>
      <c r="I128" s="214" t="str">
        <f>IF(ISBLANK('RESUMEN VIGILANCIA'!H134),"",'RESUMEN VIGILANCIA'!H134)</f>
        <v/>
      </c>
      <c r="J128" s="214" t="str">
        <f>IF(ISBLANK('RESUMEN VIGILANCIA'!I134),"",'RESUMEN VIGILANCIA'!I134)</f>
        <v/>
      </c>
      <c r="K128" s="179">
        <f>IF(ISBLANK('RESUMEN VIGILANCIA'!J134),"",'RESUMEN VIGILANCIA'!J134)</f>
        <v>0.26</v>
      </c>
      <c r="L128" s="224">
        <f>IF(ISBLANK('RESUMEN VIGILANCIA'!K134),"",'RESUMEN VIGILANCIA'!K134)</f>
        <v>0.26</v>
      </c>
      <c r="M128" s="179">
        <f>IF(ISBLANK('RESUMEN VIGILANCIA'!L134),"",'RESUMEN VIGILANCIA'!L134)</f>
        <v>0.35</v>
      </c>
      <c r="N128" s="179">
        <f>IF(ISBLANK('RESUMEN VIGILANCIA'!M134),"",'RESUMEN VIGILANCIA'!M134)</f>
        <v>0.35</v>
      </c>
      <c r="O128" s="179">
        <f>IF(ISBLANK('RESUMEN VIGILANCIA'!N134),"",'RESUMEN VIGILANCIA'!N134)</f>
        <v>0.35</v>
      </c>
      <c r="P128" s="268">
        <f>IF(ISBLANK('RESUMEN VIGILANCIA'!O134),"",'RESUMEN VIGILANCIA'!O134)</f>
        <v>0.5</v>
      </c>
      <c r="Q128" s="177">
        <f>IF(ISBLANK('RESUMEN VIGILANCIA'!P134),"",'RESUMEN VIGILANCIA'!P134)</f>
        <v>0.5</v>
      </c>
      <c r="R128" s="269">
        <f>IF(ISBLANK('RESUMEN VIGILANCIA'!Q134),"",'RESUMEN VIGILANCIA'!Q134)</f>
        <v>0.8</v>
      </c>
      <c r="S128" s="268">
        <f>IF(ISBLANK('RESUMEN VIGILANCIA'!R134),"",'RESUMEN VIGILANCIA'!R134)</f>
        <v>0.8</v>
      </c>
      <c r="T128" s="268">
        <f>IF(ISBLANK('RESUMEN VIGILANCIA'!S134),"",'RESUMEN VIGILANCIA'!S134)</f>
        <v>1.4</v>
      </c>
      <c r="U128" s="268">
        <f>IF(ISBLANK('RESUMEN VIGILANCIA'!T134),"",'RESUMEN VIGILANCIA'!T134)</f>
        <v>1.4</v>
      </c>
      <c r="V128" s="268">
        <f>IF(ISBLANK('RESUMEN VIGILANCIA'!U134),"",'RESUMEN VIGILANCIA'!U134)</f>
        <v>4</v>
      </c>
      <c r="W128" s="268">
        <f>IF(ISBLANK('RESUMEN VIGILANCIA'!V134),"",'RESUMEN VIGILANCIA'!V134)</f>
        <v>6.25</v>
      </c>
      <c r="X128" s="268">
        <f>IF(ISBLANK('RESUMEN VIGILANCIA'!W134),"",'RESUMEN VIGILANCIA'!W134)</f>
        <v>10</v>
      </c>
      <c r="Y128" s="268">
        <f>IF(ISBLANK('RESUMEN VIGILANCIA'!X134),"",'RESUMEN VIGILANCIA'!X134)</f>
        <v>12</v>
      </c>
      <c r="Z128" s="453">
        <f>IF(ISBLANK('RESUMEN VIGILANCIA'!Y134),"",'RESUMEN VIGILANCIA'!Y134)</f>
        <v>320</v>
      </c>
      <c r="AA128" s="453">
        <f>IF(ISBLANK('RESUMEN VIGILANCIA'!Z134),"",'RESUMEN VIGILANCIA'!Z134)</f>
        <v>320</v>
      </c>
      <c r="AB128" s="453">
        <f>IF(ISBLANK('RESUMEN VIGILANCIA'!AA134),"",'RESUMEN VIGILANCIA'!AA134)</f>
        <v>320</v>
      </c>
      <c r="AC128" s="454">
        <f>IF(ISBLANK('RESUMEN VIGILANCIA'!AB134),"",'RESUMEN VIGILANCIA'!AB134)</f>
        <v>800</v>
      </c>
      <c r="AD128" s="374">
        <f>IF(ISBLANK('RESUMEN VIGILANCIA'!AC134),"",'RESUMEN VIGILANCIA'!AC134)</f>
        <v>3000</v>
      </c>
      <c r="AE128" s="375">
        <f>IF(ISBLANK('RESUMEN VIGILANCIA'!AD134),"",'RESUMEN VIGILANCIA'!AD134)</f>
        <v>3000</v>
      </c>
      <c r="AF128" s="375">
        <f>IF(ISBLANK('RESUMEN VIGILANCIA'!AE134),"",'RESUMEN VIGILANCIA'!AE134)</f>
        <v>3000</v>
      </c>
      <c r="AG128" s="375">
        <f>IF(ISBLANK('RESUMEN VIGILANCIA'!AF134),"",'RESUMEN VIGILANCIA'!AF134)</f>
        <v>5000</v>
      </c>
      <c r="AH128" s="375">
        <f>IF(ISBLANK('RESUMEN VIGILANCIA'!AG134),"",'RESUMEN VIGILANCIA'!AG134)</f>
        <v>8000</v>
      </c>
      <c r="AI128" s="375">
        <f>IF(ISBLANK('RESUMEN VIGILANCIA'!AH134),"",'RESUMEN VIGILANCIA'!AH134)</f>
        <v>8000</v>
      </c>
      <c r="AJ128" s="375">
        <f>IF(ISBLANK('RESUMEN VIGILANCIA'!AI134),"",'RESUMEN VIGILANCIA'!AI134)</f>
        <v>10000</v>
      </c>
      <c r="AK128" s="375">
        <f>IF(ISBLANK('RESUMEN VIGILANCIA'!AJ134),"",'RESUMEN VIGILANCIA'!AJ134)</f>
        <v>10000</v>
      </c>
      <c r="AL128" s="375">
        <f>IF(ISBLANK('RESUMEN VIGILANCIA'!AK134),"",'RESUMEN VIGILANCIA'!AK134)</f>
        <v>20500</v>
      </c>
      <c r="AM128" s="375">
        <f>IF(ISBLANK('RESUMEN VIGILANCIA'!AL134),"",'RESUMEN VIGILANCIA'!AL134)</f>
        <v>56250</v>
      </c>
      <c r="AN128" s="375">
        <f>IF(ISBLANK('RESUMEN VIGILANCIA'!AM134),"",'RESUMEN VIGILANCIA'!AM134)</f>
        <v>56250</v>
      </c>
      <c r="AO128" s="376">
        <f>IF(ISBLANK('RESUMEN VIGILANCIA'!AN134),"",'RESUMEN VIGILANCIA'!AN134)</f>
        <v>106000</v>
      </c>
      <c r="AP128" s="374">
        <f>IF(ISBLANK('RESUMEN VIGILANCIA'!AO134),"",'RESUMEN VIGILANCIA'!AO134)</f>
        <v>137000</v>
      </c>
      <c r="AQ128" s="375">
        <f>IF(ISBLANK('RESUMEN VIGILANCIA'!AP134),"",'RESUMEN VIGILANCIA'!AP134)</f>
        <v>136300</v>
      </c>
      <c r="AR128" s="375">
        <f>IF(ISBLANK('RESUMEN VIGILANCIA'!AQ134),"",'RESUMEN VIGILANCIA'!AQ134)</f>
        <v>185000</v>
      </c>
      <c r="AS128" s="375">
        <f>IF(ISBLANK('RESUMEN VIGILANCIA'!AR134),"",'RESUMEN VIGILANCIA'!AR134)</f>
        <v>187000</v>
      </c>
      <c r="AT128" s="375">
        <f>IF(ISBLANK('RESUMEN VIGILANCIA'!AS134),"",'RESUMEN VIGILANCIA'!AS134)</f>
        <v>250000</v>
      </c>
      <c r="AU128" s="375">
        <f>IF(ISBLANK('RESUMEN VIGILANCIA'!AT134),"",'RESUMEN VIGILANCIA'!AT134)</f>
        <v>250000</v>
      </c>
      <c r="AV128" s="375" t="str">
        <f>IF(ISBLANK('RESUMEN VIGILANCIA'!AU134),"",'RESUMEN VIGILANCIA'!AU134)</f>
        <v/>
      </c>
      <c r="AW128" s="375" t="str">
        <f>IF(ISBLANK('RESUMEN VIGILANCIA'!AV134),"",'RESUMEN VIGILANCIA'!AV134)</f>
        <v/>
      </c>
      <c r="AX128" s="375" t="str">
        <f>IF(ISBLANK('RESUMEN VIGILANCIA'!AW134),"",'RESUMEN VIGILANCIA'!AW134)</f>
        <v/>
      </c>
      <c r="AY128" s="375" t="str">
        <f>IF(ISBLANK('RESUMEN VIGILANCIA'!AX134),"",'RESUMEN VIGILANCIA'!AX134)</f>
        <v/>
      </c>
      <c r="AZ128" s="375" t="str">
        <f>IF(ISBLANK('RESUMEN VIGILANCIA'!AY134),"",'RESUMEN VIGILANCIA'!AY134)</f>
        <v/>
      </c>
      <c r="BA128" s="376" t="str">
        <f>IF(ISBLANK('RESUMEN VIGILANCIA'!AZ134),"",'RESUMEN VIGILANCIA'!AZ134)</f>
        <v/>
      </c>
      <c r="BB128" s="240">
        <f t="shared" si="11"/>
        <v>290799.21999999997</v>
      </c>
      <c r="BC128" s="110">
        <v>42887</v>
      </c>
      <c r="BD128" s="110"/>
    </row>
    <row r="129" spans="1:56" s="28" customFormat="1" ht="20.100000000000001" customHeight="1">
      <c r="A129" s="29" t="str">
        <f>'RESUMEN VIGILANCIA'!A135</f>
        <v>Familia Kattar González</v>
      </c>
      <c r="B129" s="30" t="str">
        <f>'RESUMEN VIGILANCIA'!B135</f>
        <v>Calle Güigüe Nro. 89-95</v>
      </c>
      <c r="C129" s="427" t="s">
        <v>1358</v>
      </c>
      <c r="D129" s="434"/>
      <c r="E129" s="415" t="str">
        <f>IF(ISBLANK('RESUMEN VIGILANCIA'!D135),"",'RESUMEN VIGILANCIA'!D135)</f>
        <v/>
      </c>
      <c r="F129" s="267">
        <f>IF(ISBLANK('RESUMEN VIGILANCIA'!E135),"",'RESUMEN VIGILANCIA'!E135)</f>
        <v>0.17</v>
      </c>
      <c r="G129" s="180">
        <f>IF(ISBLANK('RESUMEN VIGILANCIA'!F135),"",'RESUMEN VIGILANCIA'!F135)</f>
        <v>0.12</v>
      </c>
      <c r="H129" s="180" t="str">
        <f>IF(ISBLANK('RESUMEN VIGILANCIA'!G135),"",'RESUMEN VIGILANCIA'!G135)</f>
        <v/>
      </c>
      <c r="I129" s="180" t="str">
        <f>IF(ISBLANK('RESUMEN VIGILANCIA'!H135),"",'RESUMEN VIGILANCIA'!H135)</f>
        <v/>
      </c>
      <c r="J129" s="179">
        <f>IF(ISBLANK('RESUMEN VIGILANCIA'!I135),"",'RESUMEN VIGILANCIA'!I135)</f>
        <v>0.26</v>
      </c>
      <c r="K129" s="179">
        <f>IF(ISBLANK('RESUMEN VIGILANCIA'!J135),"",'RESUMEN VIGILANCIA'!J135)</f>
        <v>0.26</v>
      </c>
      <c r="L129" s="179">
        <f>IF(ISBLANK('RESUMEN VIGILANCIA'!K135),"",'RESUMEN VIGILANCIA'!K135)</f>
        <v>0.35</v>
      </c>
      <c r="M129" s="179">
        <f>IF(ISBLANK('RESUMEN VIGILANCIA'!L135),"",'RESUMEN VIGILANCIA'!L135)</f>
        <v>0.35</v>
      </c>
      <c r="N129" s="179">
        <f>IF(ISBLANK('RESUMEN VIGILANCIA'!M135),"",'RESUMEN VIGILANCIA'!M135)</f>
        <v>0.35</v>
      </c>
      <c r="O129" s="179">
        <f>IF(ISBLANK('RESUMEN VIGILANCIA'!N135),"",'RESUMEN VIGILANCIA'!N135)</f>
        <v>0.35</v>
      </c>
      <c r="P129" s="268">
        <f>IF(ISBLANK('RESUMEN VIGILANCIA'!O135),"",'RESUMEN VIGILANCIA'!O135)</f>
        <v>0.5</v>
      </c>
      <c r="Q129" s="177">
        <f>IF(ISBLANK('RESUMEN VIGILANCIA'!P135),"",'RESUMEN VIGILANCIA'!P135)</f>
        <v>0.5</v>
      </c>
      <c r="R129" s="269">
        <f>IF(ISBLANK('RESUMEN VIGILANCIA'!Q135),"",'RESUMEN VIGILANCIA'!Q135)</f>
        <v>0.8</v>
      </c>
      <c r="S129" s="268">
        <f>IF(ISBLANK('RESUMEN VIGILANCIA'!R135),"",'RESUMEN VIGILANCIA'!R135)</f>
        <v>0.8</v>
      </c>
      <c r="T129" s="268">
        <f>IF(ISBLANK('RESUMEN VIGILANCIA'!S135),"",'RESUMEN VIGILANCIA'!S135)</f>
        <v>1.4</v>
      </c>
      <c r="U129" s="268">
        <f>IF(ISBLANK('RESUMEN VIGILANCIA'!T135),"",'RESUMEN VIGILANCIA'!T135)</f>
        <v>1.4</v>
      </c>
      <c r="V129" s="268">
        <f>IF(ISBLANK('RESUMEN VIGILANCIA'!U135),"",'RESUMEN VIGILANCIA'!U135)</f>
        <v>4</v>
      </c>
      <c r="W129" s="268">
        <f>IF(ISBLANK('RESUMEN VIGILANCIA'!V135),"",'RESUMEN VIGILANCIA'!V135)</f>
        <v>6.25</v>
      </c>
      <c r="X129" s="268">
        <f>IF(ISBLANK('RESUMEN VIGILANCIA'!W135),"",'RESUMEN VIGILANCIA'!W135)</f>
        <v>10</v>
      </c>
      <c r="Y129" s="268">
        <f>IF(ISBLANK('RESUMEN VIGILANCIA'!X135),"",'RESUMEN VIGILANCIA'!X135)</f>
        <v>12</v>
      </c>
      <c r="Z129" s="453">
        <f>IF(ISBLANK('RESUMEN VIGILANCIA'!Y135),"",'RESUMEN VIGILANCIA'!Y135)</f>
        <v>320</v>
      </c>
      <c r="AA129" s="453">
        <f>IF(ISBLANK('RESUMEN VIGILANCIA'!Z135),"",'RESUMEN VIGILANCIA'!Z135)</f>
        <v>320</v>
      </c>
      <c r="AB129" s="453">
        <f>IF(ISBLANK('RESUMEN VIGILANCIA'!AA135),"",'RESUMEN VIGILANCIA'!AA135)</f>
        <v>320</v>
      </c>
      <c r="AC129" s="454">
        <f>IF(ISBLANK('RESUMEN VIGILANCIA'!AB135),"",'RESUMEN VIGILANCIA'!AB135)</f>
        <v>800</v>
      </c>
      <c r="AD129" s="374">
        <f>IF(ISBLANK('RESUMEN VIGILANCIA'!AC135),"",'RESUMEN VIGILANCIA'!AC135)</f>
        <v>3044.2</v>
      </c>
      <c r="AE129" s="375">
        <f>IF(ISBLANK('RESUMEN VIGILANCIA'!AD135),"",'RESUMEN VIGILANCIA'!AD135)</f>
        <v>3000</v>
      </c>
      <c r="AF129" s="375">
        <f>IF(ISBLANK('RESUMEN VIGILANCIA'!AE135),"",'RESUMEN VIGILANCIA'!AE135)</f>
        <v>3000</v>
      </c>
      <c r="AG129" s="375">
        <f>IF(ISBLANK('RESUMEN VIGILANCIA'!AF135),"",'RESUMEN VIGILANCIA'!AF135)</f>
        <v>5000</v>
      </c>
      <c r="AH129" s="375">
        <f>IF(ISBLANK('RESUMEN VIGILANCIA'!AG135),"",'RESUMEN VIGILANCIA'!AG135)</f>
        <v>8000</v>
      </c>
      <c r="AI129" s="375">
        <f>IF(ISBLANK('RESUMEN VIGILANCIA'!AH135),"",'RESUMEN VIGILANCIA'!AH135)</f>
        <v>8000</v>
      </c>
      <c r="AJ129" s="375">
        <f>IF(ISBLANK('RESUMEN VIGILANCIA'!AI135),"",'RESUMEN VIGILANCIA'!AI135)</f>
        <v>10000</v>
      </c>
      <c r="AK129" s="375">
        <f>IF(ISBLANK('RESUMEN VIGILANCIA'!AJ135),"",'RESUMEN VIGILANCIA'!AJ135)</f>
        <v>3900</v>
      </c>
      <c r="AL129" s="375">
        <f>IF(ISBLANK('RESUMEN VIGILANCIA'!AK135),"",'RESUMEN VIGILANCIA'!AK135)</f>
        <v>20500</v>
      </c>
      <c r="AM129" s="375">
        <f>IF(ISBLANK('RESUMEN VIGILANCIA'!AL135),"",'RESUMEN VIGILANCIA'!AL135)</f>
        <v>48000</v>
      </c>
      <c r="AN129" s="375">
        <f>IF(ISBLANK('RESUMEN VIGILANCIA'!AM135),"",'RESUMEN VIGILANCIA'!AM135)</f>
        <v>81750</v>
      </c>
      <c r="AO129" s="376">
        <f>IF(ISBLANK('RESUMEN VIGILANCIA'!AN135),"",'RESUMEN VIGILANCIA'!AN135)</f>
        <v>137000</v>
      </c>
      <c r="AP129" s="374">
        <f>IF(ISBLANK('RESUMEN VIGILANCIA'!AO135),"",'RESUMEN VIGILANCIA'!AO135)</f>
        <v>136250</v>
      </c>
      <c r="AQ129" s="375">
        <f>IF(ISBLANK('RESUMEN VIGILANCIA'!AP135),"",'RESUMEN VIGILANCIA'!AP135)</f>
        <v>136000</v>
      </c>
      <c r="AR129" s="375">
        <f>IF(ISBLANK('RESUMEN VIGILANCIA'!AQ135),"",'RESUMEN VIGILANCIA'!AQ135)</f>
        <v>188000</v>
      </c>
      <c r="AS129" s="375">
        <f>IF(ISBLANK('RESUMEN VIGILANCIA'!AR135),"",'RESUMEN VIGILANCIA'!AR135)</f>
        <v>186000</v>
      </c>
      <c r="AT129" s="375">
        <f>IF(ISBLANK('RESUMEN VIGILANCIA'!AS135),"",'RESUMEN VIGILANCIA'!AS135)</f>
        <v>250000</v>
      </c>
      <c r="AU129" s="375">
        <f>IF(ISBLANK('RESUMEN VIGILANCIA'!AT135),"",'RESUMEN VIGILANCIA'!AT135)</f>
        <v>250000</v>
      </c>
      <c r="AV129" s="375">
        <f>IF(ISBLANK('RESUMEN VIGILANCIA'!AU135),"",'RESUMEN VIGILANCIA'!AU135)</f>
        <v>320000</v>
      </c>
      <c r="AW129" s="375">
        <f>IF(ISBLANK('RESUMEN VIGILANCIA'!AV135),"",'RESUMEN VIGILANCIA'!AV135)</f>
        <v>130000</v>
      </c>
      <c r="AX129" s="375" t="str">
        <f>IF(ISBLANK('RESUMEN VIGILANCIA'!AW135),"",'RESUMEN VIGILANCIA'!AW135)</f>
        <v/>
      </c>
      <c r="AY129" s="375" t="str">
        <f>IF(ISBLANK('RESUMEN VIGILANCIA'!AX135),"",'RESUMEN VIGILANCIA'!AX135)</f>
        <v/>
      </c>
      <c r="AZ129" s="375" t="str">
        <f>IF(ISBLANK('RESUMEN VIGILANCIA'!AY135),"",'RESUMEN VIGILANCIA'!AY135)</f>
        <v/>
      </c>
      <c r="BA129" s="376" t="str">
        <f>IF(ISBLANK('RESUMEN VIGILANCIA'!AZ135),"",'RESUMEN VIGILANCIA'!AZ135)</f>
        <v/>
      </c>
      <c r="BB129" s="240">
        <f t="shared" si="11"/>
        <v>332994.06</v>
      </c>
      <c r="BC129" s="110"/>
      <c r="BD129" s="110"/>
    </row>
    <row r="130" spans="1:56" s="28" customFormat="1" ht="20.100000000000001" customHeight="1">
      <c r="A130" s="57" t="str">
        <f>'RESUMEN VIGILANCIA'!A138</f>
        <v>Anahiz Seijas</v>
      </c>
      <c r="B130" s="58" t="str">
        <f>'RESUMEN VIGILANCIA'!B138</f>
        <v>Calle Güigüe Nro. 89-106</v>
      </c>
      <c r="C130" s="427" t="s">
        <v>1358</v>
      </c>
      <c r="D130" s="434" t="s">
        <v>17</v>
      </c>
      <c r="E130" s="415" t="str">
        <f>IF(ISBLANK('RESUMEN VIGILANCIA'!D138),"",'RESUMEN VIGILANCIA'!D138)</f>
        <v/>
      </c>
      <c r="F130" s="267">
        <f>IF(ISBLANK('RESUMEN VIGILANCIA'!E138),"",'RESUMEN VIGILANCIA'!E138)</f>
        <v>0.17</v>
      </c>
      <c r="G130" s="179">
        <f>IF(ISBLANK('RESUMEN VIGILANCIA'!F138),"",'RESUMEN VIGILANCIA'!F138)</f>
        <v>0.17</v>
      </c>
      <c r="H130" s="179">
        <f>IF(ISBLANK('RESUMEN VIGILANCIA'!G138),"",'RESUMEN VIGILANCIA'!G138)</f>
        <v>0.17</v>
      </c>
      <c r="I130" s="179">
        <f>IF(ISBLANK('RESUMEN VIGILANCIA'!H138),"",'RESUMEN VIGILANCIA'!H138)</f>
        <v>0.17</v>
      </c>
      <c r="J130" s="179">
        <f>IF(ISBLANK('RESUMEN VIGILANCIA'!I138),"",'RESUMEN VIGILANCIA'!I138)</f>
        <v>0.26</v>
      </c>
      <c r="K130" s="179">
        <f>IF(ISBLANK('RESUMEN VIGILANCIA'!J138),"",'RESUMEN VIGILANCIA'!J138)</f>
        <v>0.26</v>
      </c>
      <c r="L130" s="179">
        <f>IF(ISBLANK('RESUMEN VIGILANCIA'!K138),"",'RESUMEN VIGILANCIA'!K138)</f>
        <v>0.35</v>
      </c>
      <c r="M130" s="179">
        <f>IF(ISBLANK('RESUMEN VIGILANCIA'!L138),"",'RESUMEN VIGILANCIA'!L138)</f>
        <v>0.35</v>
      </c>
      <c r="N130" s="179">
        <f>IF(ISBLANK('RESUMEN VIGILANCIA'!M138),"",'RESUMEN VIGILANCIA'!M138)</f>
        <v>0.35</v>
      </c>
      <c r="O130" s="179">
        <f>IF(ISBLANK('RESUMEN VIGILANCIA'!N138),"",'RESUMEN VIGILANCIA'!N138)</f>
        <v>0.35</v>
      </c>
      <c r="P130" s="268">
        <f>IF(ISBLANK('RESUMEN VIGILANCIA'!O138),"",'RESUMEN VIGILANCIA'!O138)</f>
        <v>0.5</v>
      </c>
      <c r="Q130" s="177">
        <f>IF(ISBLANK('RESUMEN VIGILANCIA'!P138),"",'RESUMEN VIGILANCIA'!P138)</f>
        <v>0.5</v>
      </c>
      <c r="R130" s="269">
        <f>IF(ISBLANK('RESUMEN VIGILANCIA'!Q138),"",'RESUMEN VIGILANCIA'!Q138)</f>
        <v>0.8</v>
      </c>
      <c r="S130" s="268">
        <f>IF(ISBLANK('RESUMEN VIGILANCIA'!R138),"",'RESUMEN VIGILANCIA'!R138)</f>
        <v>0.8</v>
      </c>
      <c r="T130" s="268">
        <f>IF(ISBLANK('RESUMEN VIGILANCIA'!S138),"",'RESUMEN VIGILANCIA'!S138)</f>
        <v>1.4</v>
      </c>
      <c r="U130" s="268">
        <f>IF(ISBLANK('RESUMEN VIGILANCIA'!T138),"",'RESUMEN VIGILANCIA'!T138)</f>
        <v>1.4</v>
      </c>
      <c r="V130" s="268">
        <f>IF(ISBLANK('RESUMEN VIGILANCIA'!U138),"",'RESUMEN VIGILANCIA'!U138)</f>
        <v>4</v>
      </c>
      <c r="W130" s="268">
        <f>IF(ISBLANK('RESUMEN VIGILANCIA'!V138),"",'RESUMEN VIGILANCIA'!V138)</f>
        <v>6.25</v>
      </c>
      <c r="X130" s="268">
        <f>IF(ISBLANK('RESUMEN VIGILANCIA'!W138),"",'RESUMEN VIGILANCIA'!W138)</f>
        <v>10</v>
      </c>
      <c r="Y130" s="268">
        <f>IF(ISBLANK('RESUMEN VIGILANCIA'!X138),"",'RESUMEN VIGILANCIA'!X138)</f>
        <v>10</v>
      </c>
      <c r="Z130" s="453">
        <f>IF(ISBLANK('RESUMEN VIGILANCIA'!Y138),"",'RESUMEN VIGILANCIA'!Y138)</f>
        <v>320</v>
      </c>
      <c r="AA130" s="453">
        <f>IF(ISBLANK('RESUMEN VIGILANCIA'!Z138),"",'RESUMEN VIGILANCIA'!Z138)</f>
        <v>320</v>
      </c>
      <c r="AB130" s="453">
        <f>IF(ISBLANK('RESUMEN VIGILANCIA'!AA138),"",'RESUMEN VIGILANCIA'!AA138)</f>
        <v>320</v>
      </c>
      <c r="AC130" s="454">
        <f>IF(ISBLANK('RESUMEN VIGILANCIA'!AB138),"",'RESUMEN VIGILANCIA'!AB138)</f>
        <v>800</v>
      </c>
      <c r="AD130" s="374">
        <f>IF(ISBLANK('RESUMEN VIGILANCIA'!AC138),"",'RESUMEN VIGILANCIA'!AC138)</f>
        <v>3000</v>
      </c>
      <c r="AE130" s="375">
        <f>IF(ISBLANK('RESUMEN VIGILANCIA'!AD138),"",'RESUMEN VIGILANCIA'!AD138)</f>
        <v>3000</v>
      </c>
      <c r="AF130" s="375">
        <f>IF(ISBLANK('RESUMEN VIGILANCIA'!AE138),"",'RESUMEN VIGILANCIA'!AE138)</f>
        <v>3000</v>
      </c>
      <c r="AG130" s="375">
        <f>IF(ISBLANK('RESUMEN VIGILANCIA'!AF138),"",'RESUMEN VIGILANCIA'!AF138)</f>
        <v>5000</v>
      </c>
      <c r="AH130" s="375">
        <f>IF(ISBLANK('RESUMEN VIGILANCIA'!AG138),"",'RESUMEN VIGILANCIA'!AG138)</f>
        <v>8000</v>
      </c>
      <c r="AI130" s="477" t="str">
        <f>IF(ISBLANK('RESUMEN VIGILANCIA'!AH138),"",'RESUMEN VIGILANCIA'!AH138)</f>
        <v>FIN DE CONTRATO DE ALQUILER</v>
      </c>
      <c r="AJ130" s="378" t="str">
        <f>IF(ISBLANK('RESUMEN VIGILANCIA'!AI138),"",'RESUMEN VIGILANCIA'!AI138)</f>
        <v/>
      </c>
      <c r="AK130" s="378" t="str">
        <f>IF(ISBLANK('RESUMEN VIGILANCIA'!AJ138),"",'RESUMEN VIGILANCIA'!AJ138)</f>
        <v/>
      </c>
      <c r="AL130" s="378" t="str">
        <f>IF(ISBLANK('RESUMEN VIGILANCIA'!AK138),"",'RESUMEN VIGILANCIA'!AK138)</f>
        <v/>
      </c>
      <c r="AM130" s="378" t="str">
        <f>IF(ISBLANK('RESUMEN VIGILANCIA'!AL138),"",'RESUMEN VIGILANCIA'!AL138)</f>
        <v/>
      </c>
      <c r="AN130" s="378" t="str">
        <f>IF(ISBLANK('RESUMEN VIGILANCIA'!AM138),"",'RESUMEN VIGILANCIA'!AM138)</f>
        <v/>
      </c>
      <c r="AO130" s="389" t="str">
        <f>IF(ISBLANK('RESUMEN VIGILANCIA'!AN138),"",'RESUMEN VIGILANCIA'!AN138)</f>
        <v/>
      </c>
      <c r="AP130" s="390" t="str">
        <f>IF(ISBLANK('RESUMEN VIGILANCIA'!AO138),"",'RESUMEN VIGILANCIA'!AO138)</f>
        <v/>
      </c>
      <c r="AQ130" s="391" t="str">
        <f>IF(ISBLANK('RESUMEN VIGILANCIA'!AP138),"",'RESUMEN VIGILANCIA'!AP138)</f>
        <v/>
      </c>
      <c r="AR130" s="391" t="str">
        <f>IF(ISBLANK('RESUMEN VIGILANCIA'!AQ138),"",'RESUMEN VIGILANCIA'!AQ138)</f>
        <v/>
      </c>
      <c r="AS130" s="391" t="str">
        <f>IF(ISBLANK('RESUMEN VIGILANCIA'!AR138),"",'RESUMEN VIGILANCIA'!AR138)</f>
        <v/>
      </c>
      <c r="AT130" s="391" t="str">
        <f>IF(ISBLANK('RESUMEN VIGILANCIA'!AS138),"",'RESUMEN VIGILANCIA'!AS138)</f>
        <v/>
      </c>
      <c r="AU130" s="477" t="str">
        <f>IF(ISBLANK('RESUMEN VIGILANCIA'!AT138),"",'RESUMEN VIGILANCIA'!AT138)</f>
        <v/>
      </c>
      <c r="AV130" s="378" t="str">
        <f>IF(ISBLANK('RESUMEN VIGILANCIA'!AU138),"",'RESUMEN VIGILANCIA'!AU138)</f>
        <v/>
      </c>
      <c r="AW130" s="378" t="str">
        <f>IF(ISBLANK('RESUMEN VIGILANCIA'!AV138),"",'RESUMEN VIGILANCIA'!AV138)</f>
        <v/>
      </c>
      <c r="AX130" s="378" t="str">
        <f>IF(ISBLANK('RESUMEN VIGILANCIA'!AW138),"",'RESUMEN VIGILANCIA'!AW138)</f>
        <v/>
      </c>
      <c r="AY130" s="378" t="str">
        <f>IF(ISBLANK('RESUMEN VIGILANCIA'!AX138),"",'RESUMEN VIGILANCIA'!AX138)</f>
        <v/>
      </c>
      <c r="AZ130" s="378" t="str">
        <f>IF(ISBLANK('RESUMEN VIGILANCIA'!AY138),"",'RESUMEN VIGILANCIA'!AY138)</f>
        <v/>
      </c>
      <c r="BA130" s="389" t="str">
        <f>IF(ISBLANK('RESUMEN VIGILANCIA'!AZ138),"",'RESUMEN VIGILANCIA'!AZ138)</f>
        <v/>
      </c>
      <c r="BB130" s="242">
        <f t="shared" si="11"/>
        <v>23798.25</v>
      </c>
      <c r="BC130" s="114"/>
      <c r="BD130" s="114">
        <v>43586</v>
      </c>
    </row>
    <row r="131" spans="1:56" s="28" customFormat="1" ht="20.100000000000001" customHeight="1">
      <c r="A131" s="29" t="str">
        <f>'RESUMEN VIGILANCIA'!A139</f>
        <v>Familia Chan García</v>
      </c>
      <c r="B131" s="30" t="str">
        <f>'RESUMEN VIGILANCIA'!B139</f>
        <v>Calle Güigüe Nro. 89-106</v>
      </c>
      <c r="C131" s="427" t="s">
        <v>1358</v>
      </c>
      <c r="D131" s="434"/>
      <c r="E131" s="418" t="str">
        <f>IF(ISBLANK('RESUMEN VIGILANCIA'!D139),"",'RESUMEN VIGILANCIA'!D139)</f>
        <v/>
      </c>
      <c r="F131" s="295" t="str">
        <f>IF(ISBLANK('RESUMEN VIGILANCIA'!E139),"",'RESUMEN VIGILANCIA'!E139)</f>
        <v/>
      </c>
      <c r="G131" s="214" t="str">
        <f>IF(ISBLANK('RESUMEN VIGILANCIA'!F139),"",'RESUMEN VIGILANCIA'!F139)</f>
        <v/>
      </c>
      <c r="H131" s="214" t="str">
        <f>IF(ISBLANK('RESUMEN VIGILANCIA'!G139),"",'RESUMEN VIGILANCIA'!G139)</f>
        <v/>
      </c>
      <c r="I131" s="214" t="str">
        <f>IF(ISBLANK('RESUMEN VIGILANCIA'!H139),"",'RESUMEN VIGILANCIA'!H139)</f>
        <v/>
      </c>
      <c r="J131" s="214" t="str">
        <f>IF(ISBLANK('RESUMEN VIGILANCIA'!I139),"",'RESUMEN VIGILANCIA'!I139)</f>
        <v/>
      </c>
      <c r="K131" s="214" t="str">
        <f>IF(ISBLANK('RESUMEN VIGILANCIA'!J139),"",'RESUMEN VIGILANCIA'!J139)</f>
        <v/>
      </c>
      <c r="L131" s="214" t="str">
        <f>IF(ISBLANK('RESUMEN VIGILANCIA'!K139),"",'RESUMEN VIGILANCIA'!K139)</f>
        <v/>
      </c>
      <c r="M131" s="214" t="str">
        <f>IF(ISBLANK('RESUMEN VIGILANCIA'!L139),"",'RESUMEN VIGILANCIA'!L139)</f>
        <v/>
      </c>
      <c r="N131" s="214" t="str">
        <f>IF(ISBLANK('RESUMEN VIGILANCIA'!M139),"",'RESUMEN VIGILANCIA'!M139)</f>
        <v/>
      </c>
      <c r="O131" s="214" t="str">
        <f>IF(ISBLANK('RESUMEN VIGILANCIA'!N139),"",'RESUMEN VIGILANCIA'!N139)</f>
        <v/>
      </c>
      <c r="P131" s="281" t="str">
        <f>IF(ISBLANK('RESUMEN VIGILANCIA'!O139),"",'RESUMEN VIGILANCIA'!O139)</f>
        <v/>
      </c>
      <c r="Q131" s="212" t="str">
        <f>IF(ISBLANK('RESUMEN VIGILANCIA'!P139),"",'RESUMEN VIGILANCIA'!P139)</f>
        <v/>
      </c>
      <c r="R131" s="282" t="str">
        <f>IF(ISBLANK('RESUMEN VIGILANCIA'!Q139),"",'RESUMEN VIGILANCIA'!Q139)</f>
        <v/>
      </c>
      <c r="S131" s="281" t="str">
        <f>IF(ISBLANK('RESUMEN VIGILANCIA'!R139),"",'RESUMEN VIGILANCIA'!R139)</f>
        <v/>
      </c>
      <c r="T131" s="281" t="str">
        <f>IF(ISBLANK('RESUMEN VIGILANCIA'!S139),"",'RESUMEN VIGILANCIA'!S139)</f>
        <v/>
      </c>
      <c r="U131" s="281" t="str">
        <f>IF(ISBLANK('RESUMEN VIGILANCIA'!T139),"",'RESUMEN VIGILANCIA'!T139)</f>
        <v/>
      </c>
      <c r="V131" s="281" t="str">
        <f>IF(ISBLANK('RESUMEN VIGILANCIA'!U139),"",'RESUMEN VIGILANCIA'!U139)</f>
        <v/>
      </c>
      <c r="W131" s="281" t="str">
        <f>IF(ISBLANK('RESUMEN VIGILANCIA'!V139),"",'RESUMEN VIGILANCIA'!V139)</f>
        <v/>
      </c>
      <c r="X131" s="281" t="str">
        <f>IF(ISBLANK('RESUMEN VIGILANCIA'!W139),"",'RESUMEN VIGILANCIA'!W139)</f>
        <v/>
      </c>
      <c r="Y131" s="281" t="str">
        <f>IF(ISBLANK('RESUMEN VIGILANCIA'!X139),"",'RESUMEN VIGILANCIA'!X139)</f>
        <v/>
      </c>
      <c r="Z131" s="464" t="str">
        <f>IF(ISBLANK('RESUMEN VIGILANCIA'!Y139),"",'RESUMEN VIGILANCIA'!Y139)</f>
        <v/>
      </c>
      <c r="AA131" s="464" t="str">
        <f>IF(ISBLANK('RESUMEN VIGILANCIA'!Z139),"",'RESUMEN VIGILANCIA'!Z139)</f>
        <v/>
      </c>
      <c r="AB131" s="464" t="str">
        <f>IF(ISBLANK('RESUMEN VIGILANCIA'!AA139),"",'RESUMEN VIGILANCIA'!AA139)</f>
        <v/>
      </c>
      <c r="AC131" s="465" t="str">
        <f>IF(ISBLANK('RESUMEN VIGILANCIA'!AB139),"",'RESUMEN VIGILANCIA'!AB139)</f>
        <v/>
      </c>
      <c r="AD131" s="478" t="str">
        <f>IF(ISBLANK('RESUMEN VIGILANCIA'!AC139),"",'RESUMEN VIGILANCIA'!AC139)</f>
        <v/>
      </c>
      <c r="AE131" s="479" t="str">
        <f>IF(ISBLANK('RESUMEN VIGILANCIA'!AD139),"",'RESUMEN VIGILANCIA'!AD139)</f>
        <v/>
      </c>
      <c r="AF131" s="479" t="str">
        <f>IF(ISBLANK('RESUMEN VIGILANCIA'!AE139),"",'RESUMEN VIGILANCIA'!AE139)</f>
        <v/>
      </c>
      <c r="AG131" s="479" t="str">
        <f>IF(ISBLANK('RESUMEN VIGILANCIA'!AF139),"",'RESUMEN VIGILANCIA'!AF139)</f>
        <v/>
      </c>
      <c r="AH131" s="479" t="str">
        <f>IF(ISBLANK('RESUMEN VIGILANCIA'!AG139),"",'RESUMEN VIGILANCIA'!AG139)</f>
        <v/>
      </c>
      <c r="AI131" s="375">
        <f>IF(ISBLANK('RESUMEN VIGILANCIA'!AH139),"",'RESUMEN VIGILANCIA'!AH139)</f>
        <v>8000</v>
      </c>
      <c r="AJ131" s="375">
        <f>IF(ISBLANK('RESUMEN VIGILANCIA'!AI139),"",'RESUMEN VIGILANCIA'!AI139)</f>
        <v>10000</v>
      </c>
      <c r="AK131" s="375">
        <f>IF(ISBLANK('RESUMEN VIGILANCIA'!AJ139),"",'RESUMEN VIGILANCIA'!AJ139)</f>
        <v>10000</v>
      </c>
      <c r="AL131" s="375">
        <f>IF(ISBLANK('RESUMEN VIGILANCIA'!AK139),"",'RESUMEN VIGILANCIA'!AK139)</f>
        <v>21600</v>
      </c>
      <c r="AM131" s="375">
        <f>IF(ISBLANK('RESUMEN VIGILANCIA'!AL139),"",'RESUMEN VIGILANCIA'!AL139)</f>
        <v>47000</v>
      </c>
      <c r="AN131" s="375">
        <f>IF(ISBLANK('RESUMEN VIGILANCIA'!AM139),"",'RESUMEN VIGILANCIA'!AM139)</f>
        <v>73500</v>
      </c>
      <c r="AO131" s="376">
        <f>IF(ISBLANK('RESUMEN VIGILANCIA'!AN139),"",'RESUMEN VIGILANCIA'!AN139)</f>
        <v>105250</v>
      </c>
      <c r="AP131" s="374">
        <f>IF(ISBLANK('RESUMEN VIGILANCIA'!AO139),"",'RESUMEN VIGILANCIA'!AO139)</f>
        <v>136250</v>
      </c>
      <c r="AQ131" s="375">
        <f>IF(ISBLANK('RESUMEN VIGILANCIA'!AP139),"",'RESUMEN VIGILANCIA'!AP139)</f>
        <v>136250</v>
      </c>
      <c r="AR131" s="375">
        <f>IF(ISBLANK('RESUMEN VIGILANCIA'!AQ139),"",'RESUMEN VIGILANCIA'!AQ139)</f>
        <v>185250</v>
      </c>
      <c r="AS131" s="375">
        <f>IF(ISBLANK('RESUMEN VIGILANCIA'!AR139),"",'RESUMEN VIGILANCIA'!AR139)</f>
        <v>185250</v>
      </c>
      <c r="AT131" s="375">
        <f>IF(ISBLANK('RESUMEN VIGILANCIA'!AS139),"",'RESUMEN VIGILANCIA'!AS139)</f>
        <v>250000</v>
      </c>
      <c r="AU131" s="375">
        <f>IF(ISBLANK('RESUMEN VIGILANCIA'!AT139),"",'RESUMEN VIGILANCIA'!AT139)</f>
        <v>250000</v>
      </c>
      <c r="AV131" s="375" t="str">
        <f>IF(ISBLANK('RESUMEN VIGILANCIA'!AU139),"",'RESUMEN VIGILANCIA'!AU139)</f>
        <v/>
      </c>
      <c r="AW131" s="375" t="str">
        <f>IF(ISBLANK('RESUMEN VIGILANCIA'!AV139),"",'RESUMEN VIGILANCIA'!AV139)</f>
        <v/>
      </c>
      <c r="AX131" s="375" t="str">
        <f>IF(ISBLANK('RESUMEN VIGILANCIA'!AW139),"",'RESUMEN VIGILANCIA'!AW139)</f>
        <v/>
      </c>
      <c r="AY131" s="375" t="str">
        <f>IF(ISBLANK('RESUMEN VIGILANCIA'!AX139),"",'RESUMEN VIGILANCIA'!AX139)</f>
        <v/>
      </c>
      <c r="AZ131" s="375" t="str">
        <f>IF(ISBLANK('RESUMEN VIGILANCIA'!AY139),"",'RESUMEN VIGILANCIA'!AY139)</f>
        <v/>
      </c>
      <c r="BA131" s="376" t="str">
        <f>IF(ISBLANK('RESUMEN VIGILANCIA'!AZ139),"",'RESUMEN VIGILANCIA'!AZ139)</f>
        <v/>
      </c>
      <c r="BB131" s="240">
        <f t="shared" ref="BB131" si="13">SUM(E131:AO131)</f>
        <v>275350</v>
      </c>
      <c r="BC131" s="110">
        <v>43617</v>
      </c>
      <c r="BD131" s="110"/>
    </row>
    <row r="132" spans="1:56" s="28" customFormat="1" ht="20.100000000000001" customHeight="1">
      <c r="A132" s="29" t="str">
        <f>'RESUMEN VIGILANCIA'!A136</f>
        <v>Amarilis Guerra</v>
      </c>
      <c r="B132" s="30" t="str">
        <f>'RESUMEN VIGILANCIA'!B136</f>
        <v>Calle Güigüe Nro. 89-96</v>
      </c>
      <c r="C132" s="427" t="s">
        <v>1358</v>
      </c>
      <c r="D132" s="434" t="s">
        <v>1357</v>
      </c>
      <c r="E132" s="415" t="str">
        <f>IF(ISBLANK('RESUMEN VIGILANCIA'!D136),"",'RESUMEN VIGILANCIA'!D136)</f>
        <v/>
      </c>
      <c r="F132" s="267">
        <f>IF(ISBLANK('RESUMEN VIGILANCIA'!E136),"",'RESUMEN VIGILANCIA'!E136)</f>
        <v>0.17</v>
      </c>
      <c r="G132" s="179">
        <f>IF(ISBLANK('RESUMEN VIGILANCIA'!F136),"",'RESUMEN VIGILANCIA'!F136)</f>
        <v>0.17</v>
      </c>
      <c r="H132" s="179">
        <f>IF(ISBLANK('RESUMEN VIGILANCIA'!G136),"",'RESUMEN VIGILANCIA'!G136)</f>
        <v>0.17</v>
      </c>
      <c r="I132" s="179">
        <f>IF(ISBLANK('RESUMEN VIGILANCIA'!H136),"",'RESUMEN VIGILANCIA'!H136)</f>
        <v>0.17</v>
      </c>
      <c r="J132" s="179">
        <f>IF(ISBLANK('RESUMEN VIGILANCIA'!I136),"",'RESUMEN VIGILANCIA'!I136)</f>
        <v>0.26</v>
      </c>
      <c r="K132" s="179">
        <f>IF(ISBLANK('RESUMEN VIGILANCIA'!J136),"",'RESUMEN VIGILANCIA'!J136)</f>
        <v>0.26</v>
      </c>
      <c r="L132" s="179">
        <f>IF(ISBLANK('RESUMEN VIGILANCIA'!K136),"",'RESUMEN VIGILANCIA'!K136)</f>
        <v>0.35</v>
      </c>
      <c r="M132" s="179">
        <f>IF(ISBLANK('RESUMEN VIGILANCIA'!L136),"",'RESUMEN VIGILANCIA'!L136)</f>
        <v>0.35</v>
      </c>
      <c r="N132" s="179">
        <f>IF(ISBLANK('RESUMEN VIGILANCIA'!M136),"",'RESUMEN VIGILANCIA'!M136)</f>
        <v>0.35</v>
      </c>
      <c r="O132" s="179">
        <f>IF(ISBLANK('RESUMEN VIGILANCIA'!N136),"",'RESUMEN VIGILANCIA'!N136)</f>
        <v>0.35</v>
      </c>
      <c r="P132" s="268">
        <f>IF(ISBLANK('RESUMEN VIGILANCIA'!O136),"",'RESUMEN VIGILANCIA'!O136)</f>
        <v>0.5</v>
      </c>
      <c r="Q132" s="177">
        <f>IF(ISBLANK('RESUMEN VIGILANCIA'!P136),"",'RESUMEN VIGILANCIA'!P136)</f>
        <v>0.5</v>
      </c>
      <c r="R132" s="269">
        <f>IF(ISBLANK('RESUMEN VIGILANCIA'!Q136),"",'RESUMEN VIGILANCIA'!Q136)</f>
        <v>0.8</v>
      </c>
      <c r="S132" s="268">
        <f>IF(ISBLANK('RESUMEN VIGILANCIA'!R136),"",'RESUMEN VIGILANCIA'!R136)</f>
        <v>0.8</v>
      </c>
      <c r="T132" s="268">
        <f>IF(ISBLANK('RESUMEN VIGILANCIA'!S136),"",'RESUMEN VIGILANCIA'!S136)</f>
        <v>1.4</v>
      </c>
      <c r="U132" s="268">
        <f>IF(ISBLANK('RESUMEN VIGILANCIA'!T136),"",'RESUMEN VIGILANCIA'!T136)</f>
        <v>1.4</v>
      </c>
      <c r="V132" s="268">
        <f>IF(ISBLANK('RESUMEN VIGILANCIA'!U136),"",'RESUMEN VIGILANCIA'!U136)</f>
        <v>4</v>
      </c>
      <c r="W132" s="268">
        <f>IF(ISBLANK('RESUMEN VIGILANCIA'!V136),"",'RESUMEN VIGILANCIA'!V136)</f>
        <v>6.25</v>
      </c>
      <c r="X132" s="268">
        <f>IF(ISBLANK('RESUMEN VIGILANCIA'!W136),"",'RESUMEN VIGILANCIA'!W136)</f>
        <v>10</v>
      </c>
      <c r="Y132" s="268">
        <f>IF(ISBLANK('RESUMEN VIGILANCIA'!X136),"",'RESUMEN VIGILANCIA'!X136)</f>
        <v>12</v>
      </c>
      <c r="Z132" s="453">
        <f>IF(ISBLANK('RESUMEN VIGILANCIA'!Y136),"",'RESUMEN VIGILANCIA'!Y136)</f>
        <v>320</v>
      </c>
      <c r="AA132" s="453">
        <f>IF(ISBLANK('RESUMEN VIGILANCIA'!Z136),"",'RESUMEN VIGILANCIA'!Z136)</f>
        <v>320</v>
      </c>
      <c r="AB132" s="453">
        <f>IF(ISBLANK('RESUMEN VIGILANCIA'!AA136),"",'RESUMEN VIGILANCIA'!AA136)</f>
        <v>320</v>
      </c>
      <c r="AC132" s="454">
        <f>IF(ISBLANK('RESUMEN VIGILANCIA'!AB136),"",'RESUMEN VIGILANCIA'!AB136)</f>
        <v>800</v>
      </c>
      <c r="AD132" s="374">
        <f>IF(ISBLANK('RESUMEN VIGILANCIA'!AC136),"",'RESUMEN VIGILANCIA'!AC136)</f>
        <v>3000</v>
      </c>
      <c r="AE132" s="375">
        <f>IF(ISBLANK('RESUMEN VIGILANCIA'!AD136),"",'RESUMEN VIGILANCIA'!AD136)</f>
        <v>3000</v>
      </c>
      <c r="AF132" s="375">
        <f>IF(ISBLANK('RESUMEN VIGILANCIA'!AE136),"",'RESUMEN VIGILANCIA'!AE136)</f>
        <v>3000</v>
      </c>
      <c r="AG132" s="375">
        <f>IF(ISBLANK('RESUMEN VIGILANCIA'!AF136),"",'RESUMEN VIGILANCIA'!AF136)</f>
        <v>5000</v>
      </c>
      <c r="AH132" s="375">
        <f>IF(ISBLANK('RESUMEN VIGILANCIA'!AG136),"",'RESUMEN VIGILANCIA'!AG136)</f>
        <v>8000</v>
      </c>
      <c r="AI132" s="375">
        <f>IF(ISBLANK('RESUMEN VIGILANCIA'!AH136),"",'RESUMEN VIGILANCIA'!AH136)</f>
        <v>8000</v>
      </c>
      <c r="AJ132" s="375">
        <f>IF(ISBLANK('RESUMEN VIGILANCIA'!AI136),"",'RESUMEN VIGILANCIA'!AI136)</f>
        <v>10000</v>
      </c>
      <c r="AK132" s="375">
        <f>IF(ISBLANK('RESUMEN VIGILANCIA'!AJ136),"",'RESUMEN VIGILANCIA'!AJ136)</f>
        <v>10000</v>
      </c>
      <c r="AL132" s="375">
        <f>IF(ISBLANK('RESUMEN VIGILANCIA'!AK136),"",'RESUMEN VIGILANCIA'!AK136)</f>
        <v>23400</v>
      </c>
      <c r="AM132" s="375">
        <f>IF(ISBLANK('RESUMEN VIGILANCIA'!AL136),"",'RESUMEN VIGILANCIA'!AL136)</f>
        <v>47000</v>
      </c>
      <c r="AN132" s="375">
        <f>IF(ISBLANK('RESUMEN VIGILANCIA'!AM136),"",'RESUMEN VIGILANCIA'!AM136)</f>
        <v>73500</v>
      </c>
      <c r="AO132" s="376">
        <f>IF(ISBLANK('RESUMEN VIGILANCIA'!AN136),"",'RESUMEN VIGILANCIA'!AN136)</f>
        <v>81750</v>
      </c>
      <c r="AP132" s="374">
        <f>IF(ISBLANK('RESUMEN VIGILANCIA'!AO136),"",'RESUMEN VIGILANCIA'!AO136)</f>
        <v>136250</v>
      </c>
      <c r="AQ132" s="375">
        <f>IF(ISBLANK('RESUMEN VIGILANCIA'!AP136),"",'RESUMEN VIGILANCIA'!AP136)</f>
        <v>136250</v>
      </c>
      <c r="AR132" s="375">
        <f>IF(ISBLANK('RESUMEN VIGILANCIA'!AQ136),"",'RESUMEN VIGILANCIA'!AQ136)</f>
        <v>186250</v>
      </c>
      <c r="AS132" s="375">
        <f>IF(ISBLANK('RESUMEN VIGILANCIA'!AR136),"",'RESUMEN VIGILANCIA'!AR136)</f>
        <v>185250</v>
      </c>
      <c r="AT132" s="375">
        <f>IF(ISBLANK('RESUMEN VIGILANCIA'!AS136),"",'RESUMEN VIGILANCIA'!AS136)</f>
        <v>250000</v>
      </c>
      <c r="AU132" s="375">
        <f>IF(ISBLANK('RESUMEN VIGILANCIA'!AT136),"",'RESUMEN VIGILANCIA'!AT136)</f>
        <v>250000</v>
      </c>
      <c r="AV132" s="375" t="str">
        <f>IF(ISBLANK('RESUMEN VIGILANCIA'!AU136),"",'RESUMEN VIGILANCIA'!AU136)</f>
        <v/>
      </c>
      <c r="AW132" s="375" t="str">
        <f>IF(ISBLANK('RESUMEN VIGILANCIA'!AV136),"",'RESUMEN VIGILANCIA'!AV136)</f>
        <v/>
      </c>
      <c r="AX132" s="375" t="str">
        <f>IF(ISBLANK('RESUMEN VIGILANCIA'!AW136),"",'RESUMEN VIGILANCIA'!AW136)</f>
        <v/>
      </c>
      <c r="AY132" s="375" t="str">
        <f>IF(ISBLANK('RESUMEN VIGILANCIA'!AX136),"",'RESUMEN VIGILANCIA'!AX136)</f>
        <v/>
      </c>
      <c r="AZ132" s="375" t="str">
        <f>IF(ISBLANK('RESUMEN VIGILANCIA'!AY136),"",'RESUMEN VIGILANCIA'!AY136)</f>
        <v/>
      </c>
      <c r="BA132" s="376" t="str">
        <f>IF(ISBLANK('RESUMEN VIGILANCIA'!AZ136),"",'RESUMEN VIGILANCIA'!AZ136)</f>
        <v/>
      </c>
      <c r="BB132" s="240">
        <f t="shared" si="11"/>
        <v>277450.25</v>
      </c>
      <c r="BC132" s="110"/>
      <c r="BD132" s="110"/>
    </row>
    <row r="133" spans="1:56" s="28" customFormat="1" ht="20.100000000000001" customHeight="1">
      <c r="A133" s="29" t="str">
        <f>'RESUMEN VIGILANCIA'!A112</f>
        <v>Familia Piñero Padilla</v>
      </c>
      <c r="B133" s="30" t="str">
        <f>'RESUMEN VIGILANCIA'!B112</f>
        <v>Calle Güigüe Nro. 89-21</v>
      </c>
      <c r="C133" s="427" t="s">
        <v>1358</v>
      </c>
      <c r="D133" s="434" t="s">
        <v>17</v>
      </c>
      <c r="E133" s="415" t="str">
        <f>IF(ISBLANK('RESUMEN VIGILANCIA'!D112),"",'RESUMEN VIGILANCIA'!D112)</f>
        <v/>
      </c>
      <c r="F133" s="267">
        <f>IF(ISBLANK('RESUMEN VIGILANCIA'!E112),"",'RESUMEN VIGILANCIA'!E112)</f>
        <v>0.17</v>
      </c>
      <c r="G133" s="179">
        <f>IF(ISBLANK('RESUMEN VIGILANCIA'!F112),"",'RESUMEN VIGILANCIA'!F112)</f>
        <v>0.17</v>
      </c>
      <c r="H133" s="179">
        <f>IF(ISBLANK('RESUMEN VIGILANCIA'!G112),"",'RESUMEN VIGILANCIA'!G112)</f>
        <v>0.17</v>
      </c>
      <c r="I133" s="179">
        <f>IF(ISBLANK('RESUMEN VIGILANCIA'!H112),"",'RESUMEN VIGILANCIA'!H112)</f>
        <v>0.17</v>
      </c>
      <c r="J133" s="179">
        <f>IF(ISBLANK('RESUMEN VIGILANCIA'!I112),"",'RESUMEN VIGILANCIA'!I112)</f>
        <v>0.26</v>
      </c>
      <c r="K133" s="179">
        <f>IF(ISBLANK('RESUMEN VIGILANCIA'!J112),"",'RESUMEN VIGILANCIA'!J112)</f>
        <v>0.26</v>
      </c>
      <c r="L133" s="179">
        <f>IF(ISBLANK('RESUMEN VIGILANCIA'!K112),"",'RESUMEN VIGILANCIA'!K112)</f>
        <v>0.35</v>
      </c>
      <c r="M133" s="179">
        <f>IF(ISBLANK('RESUMEN VIGILANCIA'!L112),"",'RESUMEN VIGILANCIA'!L112)</f>
        <v>0.35</v>
      </c>
      <c r="N133" s="179">
        <f>IF(ISBLANK('RESUMEN VIGILANCIA'!M112),"",'RESUMEN VIGILANCIA'!M112)</f>
        <v>0.35</v>
      </c>
      <c r="O133" s="179">
        <f>IF(ISBLANK('RESUMEN VIGILANCIA'!N112),"",'RESUMEN VIGILANCIA'!N112)</f>
        <v>0.35</v>
      </c>
      <c r="P133" s="268">
        <f>IF(ISBLANK('RESUMEN VIGILANCIA'!O112),"",'RESUMEN VIGILANCIA'!O112)</f>
        <v>0.5</v>
      </c>
      <c r="Q133" s="177">
        <f>IF(ISBLANK('RESUMEN VIGILANCIA'!P112),"",'RESUMEN VIGILANCIA'!P112)</f>
        <v>0.5</v>
      </c>
      <c r="R133" s="269">
        <f>IF(ISBLANK('RESUMEN VIGILANCIA'!Q112),"",'RESUMEN VIGILANCIA'!Q112)</f>
        <v>0.8</v>
      </c>
      <c r="S133" s="268">
        <f>IF(ISBLANK('RESUMEN VIGILANCIA'!R112),"",'RESUMEN VIGILANCIA'!R112)</f>
        <v>0.8</v>
      </c>
      <c r="T133" s="268">
        <f>IF(ISBLANK('RESUMEN VIGILANCIA'!S112),"",'RESUMEN VIGILANCIA'!S112)</f>
        <v>1.4</v>
      </c>
      <c r="U133" s="268">
        <f>IF(ISBLANK('RESUMEN VIGILANCIA'!T112),"",'RESUMEN VIGILANCIA'!T112)</f>
        <v>1.4</v>
      </c>
      <c r="V133" s="268">
        <f>IF(ISBLANK('RESUMEN VIGILANCIA'!U112),"",'RESUMEN VIGILANCIA'!U112)</f>
        <v>4</v>
      </c>
      <c r="W133" s="268">
        <f>IF(ISBLANK('RESUMEN VIGILANCIA'!V112),"",'RESUMEN VIGILANCIA'!V112)</f>
        <v>6.25</v>
      </c>
      <c r="X133" s="268">
        <f>IF(ISBLANK('RESUMEN VIGILANCIA'!W112),"",'RESUMEN VIGILANCIA'!W112)</f>
        <v>10</v>
      </c>
      <c r="Y133" s="268">
        <f>IF(ISBLANK('RESUMEN VIGILANCIA'!X112),"",'RESUMEN VIGILANCIA'!X112)</f>
        <v>12</v>
      </c>
      <c r="Z133" s="453">
        <f>IF(ISBLANK('RESUMEN VIGILANCIA'!Y112),"",'RESUMEN VIGILANCIA'!Y112)</f>
        <v>320</v>
      </c>
      <c r="AA133" s="453">
        <f>IF(ISBLANK('RESUMEN VIGILANCIA'!Z112),"",'RESUMEN VIGILANCIA'!Z112)</f>
        <v>320</v>
      </c>
      <c r="AB133" s="453">
        <f>IF(ISBLANK('RESUMEN VIGILANCIA'!AA112),"",'RESUMEN VIGILANCIA'!AA112)</f>
        <v>320</v>
      </c>
      <c r="AC133" s="454">
        <f>IF(ISBLANK('RESUMEN VIGILANCIA'!AB112),"",'RESUMEN VIGILANCIA'!AB112)</f>
        <v>800</v>
      </c>
      <c r="AD133" s="374">
        <f>IF(ISBLANK('RESUMEN VIGILANCIA'!AC112),"",'RESUMEN VIGILANCIA'!AC112)</f>
        <v>3000</v>
      </c>
      <c r="AE133" s="375">
        <f>IF(ISBLANK('RESUMEN VIGILANCIA'!AD112),"",'RESUMEN VIGILANCIA'!AD112)</f>
        <v>3000</v>
      </c>
      <c r="AF133" s="375">
        <f>IF(ISBLANK('RESUMEN VIGILANCIA'!AE112),"",'RESUMEN VIGILANCIA'!AE112)</f>
        <v>3000</v>
      </c>
      <c r="AG133" s="375">
        <f>IF(ISBLANK('RESUMEN VIGILANCIA'!AF112),"",'RESUMEN VIGILANCIA'!AF112)</f>
        <v>5000</v>
      </c>
      <c r="AH133" s="375">
        <f>IF(ISBLANK('RESUMEN VIGILANCIA'!AG112),"",'RESUMEN VIGILANCIA'!AG112)</f>
        <v>8000</v>
      </c>
      <c r="AI133" s="375">
        <f>IF(ISBLANK('RESUMEN VIGILANCIA'!AH112),"",'RESUMEN VIGILANCIA'!AH112)</f>
        <v>8000</v>
      </c>
      <c r="AJ133" s="375">
        <f>IF(ISBLANK('RESUMEN VIGILANCIA'!AI112),"",'RESUMEN VIGILANCIA'!AI112)</f>
        <v>10000</v>
      </c>
      <c r="AK133" s="375">
        <f>IF(ISBLANK('RESUMEN VIGILANCIA'!AJ112),"",'RESUMEN VIGILANCIA'!AJ112)</f>
        <v>10000</v>
      </c>
      <c r="AL133" s="375">
        <f>IF(ISBLANK('RESUMEN VIGILANCIA'!AK112),"",'RESUMEN VIGILANCIA'!AK112)</f>
        <v>20500</v>
      </c>
      <c r="AM133" s="375">
        <f>IF(ISBLANK('RESUMEN VIGILANCIA'!AL112),"",'RESUMEN VIGILANCIA'!AL112)</f>
        <v>73500</v>
      </c>
      <c r="AN133" s="375">
        <f>IF(ISBLANK('RESUMEN VIGILANCIA'!AM112),"",'RESUMEN VIGILANCIA'!AM112)</f>
        <v>73500</v>
      </c>
      <c r="AO133" s="376">
        <f>IF(ISBLANK('RESUMEN VIGILANCIA'!AN112),"",'RESUMEN VIGILANCIA'!AN112)</f>
        <v>136250</v>
      </c>
      <c r="AP133" s="374">
        <f>IF(ISBLANK('RESUMEN VIGILANCIA'!AO112),"",'RESUMEN VIGILANCIA'!AO112)</f>
        <v>185250</v>
      </c>
      <c r="AQ133" s="375">
        <f>IF(ISBLANK('RESUMEN VIGILANCIA'!AP112),"",'RESUMEN VIGILANCIA'!AP112)</f>
        <v>185250</v>
      </c>
      <c r="AR133" s="375">
        <f>IF(ISBLANK('RESUMEN VIGILANCIA'!AQ112),"",'RESUMEN VIGILANCIA'!AQ112)</f>
        <v>185250</v>
      </c>
      <c r="AS133" s="375">
        <f>IF(ISBLANK('RESUMEN VIGILANCIA'!AR112),"",'RESUMEN VIGILANCIA'!AR112)</f>
        <v>187000</v>
      </c>
      <c r="AT133" s="375">
        <f>IF(ISBLANK('RESUMEN VIGILANCIA'!AS112),"",'RESUMEN VIGILANCIA'!AS112)</f>
        <v>250000</v>
      </c>
      <c r="AU133" s="375">
        <f>IF(ISBLANK('RESUMEN VIGILANCIA'!AT112),"",'RESUMEN VIGILANCIA'!AT112)</f>
        <v>250000</v>
      </c>
      <c r="AV133" s="375" t="str">
        <f>IF(ISBLANK('RESUMEN VIGILANCIA'!AU112),"",'RESUMEN VIGILANCIA'!AU112)</f>
        <v/>
      </c>
      <c r="AW133" s="375" t="str">
        <f>IF(ISBLANK('RESUMEN VIGILANCIA'!AV112),"",'RESUMEN VIGILANCIA'!AV112)</f>
        <v/>
      </c>
      <c r="AX133" s="375" t="str">
        <f>IF(ISBLANK('RESUMEN VIGILANCIA'!AW112),"",'RESUMEN VIGILANCIA'!AW112)</f>
        <v/>
      </c>
      <c r="AY133" s="375" t="str">
        <f>IF(ISBLANK('RESUMEN VIGILANCIA'!AX112),"",'RESUMEN VIGILANCIA'!AX112)</f>
        <v/>
      </c>
      <c r="AZ133" s="375" t="str">
        <f>IF(ISBLANK('RESUMEN VIGILANCIA'!AY112),"",'RESUMEN VIGILANCIA'!AY112)</f>
        <v/>
      </c>
      <c r="BA133" s="376" t="str">
        <f>IF(ISBLANK('RESUMEN VIGILANCIA'!AZ112),"",'RESUMEN VIGILANCIA'!AZ112)</f>
        <v/>
      </c>
      <c r="BB133" s="240">
        <f t="shared" si="11"/>
        <v>355550.25</v>
      </c>
      <c r="BC133" s="110"/>
      <c r="BD133" s="110"/>
    </row>
    <row r="134" spans="1:56" s="28" customFormat="1" ht="20.100000000000001" customHeight="1">
      <c r="A134" s="29" t="str">
        <f>'RESUMEN VIGILANCIA'!A97</f>
        <v>Familia Castillo Rodríguez</v>
      </c>
      <c r="B134" s="30" t="str">
        <f>'RESUMEN VIGILANCIA'!B97</f>
        <v>Calle Güigüe Nro. 88-91</v>
      </c>
      <c r="C134" s="428" t="s">
        <v>1361</v>
      </c>
      <c r="D134" s="434" t="s">
        <v>1357</v>
      </c>
      <c r="E134" s="415" t="str">
        <f>IF(ISBLANK('RESUMEN VIGILANCIA'!D97),"",'RESUMEN VIGILANCIA'!D97)</f>
        <v/>
      </c>
      <c r="F134" s="267">
        <f>IF(ISBLANK('RESUMEN VIGILANCIA'!E97),"",'RESUMEN VIGILANCIA'!E97)</f>
        <v>0.17</v>
      </c>
      <c r="G134" s="179">
        <f>IF(ISBLANK('RESUMEN VIGILANCIA'!F97),"",'RESUMEN VIGILANCIA'!F97)</f>
        <v>0.17</v>
      </c>
      <c r="H134" s="180" t="str">
        <f>IF(ISBLANK('RESUMEN VIGILANCIA'!G97),"",'RESUMEN VIGILANCIA'!G97)</f>
        <v/>
      </c>
      <c r="I134" s="180" t="str">
        <f>IF(ISBLANK('RESUMEN VIGILANCIA'!H97),"",'RESUMEN VIGILANCIA'!H97)</f>
        <v/>
      </c>
      <c r="J134" s="179">
        <f>IF(ISBLANK('RESUMEN VIGILANCIA'!I97),"",'RESUMEN VIGILANCIA'!I97)</f>
        <v>0.26</v>
      </c>
      <c r="K134" s="179">
        <f>IF(ISBLANK('RESUMEN VIGILANCIA'!J97),"",'RESUMEN VIGILANCIA'!J97)</f>
        <v>0.26</v>
      </c>
      <c r="L134" s="224">
        <f>IF(ISBLANK('RESUMEN VIGILANCIA'!K97),"",'RESUMEN VIGILANCIA'!K97)</f>
        <v>0.26</v>
      </c>
      <c r="M134" s="179" t="str">
        <f>IF(ISBLANK('RESUMEN VIGILANCIA'!L97),"",'RESUMEN VIGILANCIA'!L97)</f>
        <v/>
      </c>
      <c r="N134" s="179" t="str">
        <f>IF(ISBLANK('RESUMEN VIGILANCIA'!M97),"",'RESUMEN VIGILANCIA'!M97)</f>
        <v/>
      </c>
      <c r="O134" s="179" t="str">
        <f>IF(ISBLANK('RESUMEN VIGILANCIA'!N97),"",'RESUMEN VIGILANCIA'!N97)</f>
        <v/>
      </c>
      <c r="P134" s="268" t="str">
        <f>IF(ISBLANK('RESUMEN VIGILANCIA'!O97),"",'RESUMEN VIGILANCIA'!O97)</f>
        <v/>
      </c>
      <c r="Q134" s="177" t="str">
        <f>IF(ISBLANK('RESUMEN VIGILANCIA'!P97),"",'RESUMEN VIGILANCIA'!P97)</f>
        <v/>
      </c>
      <c r="R134" s="269" t="str">
        <f>IF(ISBLANK('RESUMEN VIGILANCIA'!Q97),"",'RESUMEN VIGILANCIA'!Q97)</f>
        <v/>
      </c>
      <c r="S134" s="268" t="str">
        <f>IF(ISBLANK('RESUMEN VIGILANCIA'!R97),"",'RESUMEN VIGILANCIA'!R97)</f>
        <v/>
      </c>
      <c r="T134" s="268" t="str">
        <f>IF(ISBLANK('RESUMEN VIGILANCIA'!S97),"",'RESUMEN VIGILANCIA'!S97)</f>
        <v/>
      </c>
      <c r="U134" s="268" t="str">
        <f>IF(ISBLANK('RESUMEN VIGILANCIA'!T97),"",'RESUMEN VIGILANCIA'!T97)</f>
        <v/>
      </c>
      <c r="V134" s="268" t="str">
        <f>IF(ISBLANK('RESUMEN VIGILANCIA'!U97),"",'RESUMEN VIGILANCIA'!U97)</f>
        <v/>
      </c>
      <c r="W134" s="268" t="str">
        <f>IF(ISBLANK('RESUMEN VIGILANCIA'!V97),"",'RESUMEN VIGILANCIA'!V97)</f>
        <v/>
      </c>
      <c r="X134" s="268" t="str">
        <f>IF(ISBLANK('RESUMEN VIGILANCIA'!W97),"",'RESUMEN VIGILANCIA'!W97)</f>
        <v/>
      </c>
      <c r="Y134" s="268" t="str">
        <f>IF(ISBLANK('RESUMEN VIGILANCIA'!X97),"",'RESUMEN VIGILANCIA'!X97)</f>
        <v/>
      </c>
      <c r="Z134" s="453" t="str">
        <f>IF(ISBLANK('RESUMEN VIGILANCIA'!Y97),"",'RESUMEN VIGILANCIA'!Y97)</f>
        <v/>
      </c>
      <c r="AA134" s="453" t="str">
        <f>IF(ISBLANK('RESUMEN VIGILANCIA'!Z97),"",'RESUMEN VIGILANCIA'!Z97)</f>
        <v/>
      </c>
      <c r="AB134" s="453" t="str">
        <f>IF(ISBLANK('RESUMEN VIGILANCIA'!AA97),"",'RESUMEN VIGILANCIA'!AA97)</f>
        <v/>
      </c>
      <c r="AC134" s="454" t="str">
        <f>IF(ISBLANK('RESUMEN VIGILANCIA'!AB97),"",'RESUMEN VIGILANCIA'!AB97)</f>
        <v/>
      </c>
      <c r="AD134" s="374" t="str">
        <f>IF(ISBLANK('RESUMEN VIGILANCIA'!AC97),"",'RESUMEN VIGILANCIA'!AC97)</f>
        <v/>
      </c>
      <c r="AE134" s="375" t="str">
        <f>IF(ISBLANK('RESUMEN VIGILANCIA'!AD97),"",'RESUMEN VIGILANCIA'!AD97)</f>
        <v/>
      </c>
      <c r="AF134" s="375" t="str">
        <f>IF(ISBLANK('RESUMEN VIGILANCIA'!AE97),"",'RESUMEN VIGILANCIA'!AE97)</f>
        <v/>
      </c>
      <c r="AG134" s="375" t="str">
        <f>IF(ISBLANK('RESUMEN VIGILANCIA'!AF97),"",'RESUMEN VIGILANCIA'!AF97)</f>
        <v/>
      </c>
      <c r="AH134" s="375" t="str">
        <f>IF(ISBLANK('RESUMEN VIGILANCIA'!AG97),"",'RESUMEN VIGILANCIA'!AG97)</f>
        <v/>
      </c>
      <c r="AI134" s="375" t="str">
        <f>IF(ISBLANK('RESUMEN VIGILANCIA'!AH97),"",'RESUMEN VIGILANCIA'!AH97)</f>
        <v/>
      </c>
      <c r="AJ134" s="375" t="str">
        <f>IF(ISBLANK('RESUMEN VIGILANCIA'!AI97),"",'RESUMEN VIGILANCIA'!AI97)</f>
        <v/>
      </c>
      <c r="AK134" s="375" t="str">
        <f>IF(ISBLANK('RESUMEN VIGILANCIA'!AJ97),"",'RESUMEN VIGILANCIA'!AJ97)</f>
        <v/>
      </c>
      <c r="AL134" s="375" t="str">
        <f>IF(ISBLANK('RESUMEN VIGILANCIA'!AK97),"",'RESUMEN VIGILANCIA'!AK97)</f>
        <v/>
      </c>
      <c r="AM134" s="375">
        <f>IF(ISBLANK('RESUMEN VIGILANCIA'!AL97),"",'RESUMEN VIGILANCIA'!AL97)</f>
        <v>159299</v>
      </c>
      <c r="AN134" s="375">
        <f>IF(ISBLANK('RESUMEN VIGILANCIA'!AM97),"",'RESUMEN VIGILANCIA'!AM97)</f>
        <v>81750</v>
      </c>
      <c r="AO134" s="376" t="str">
        <f>IF(ISBLANK('RESUMEN VIGILANCIA'!AN97),"",'RESUMEN VIGILANCIA'!AN97)</f>
        <v/>
      </c>
      <c r="AP134" s="374" t="str">
        <f>IF(ISBLANK('RESUMEN VIGILANCIA'!AO97),"",'RESUMEN VIGILANCIA'!AO97)</f>
        <v/>
      </c>
      <c r="AQ134" s="375" t="str">
        <f>IF(ISBLANK('RESUMEN VIGILANCIA'!AP97),"",'RESUMEN VIGILANCIA'!AP97)</f>
        <v/>
      </c>
      <c r="AR134" s="375" t="str">
        <f>IF(ISBLANK('RESUMEN VIGILANCIA'!AQ97),"",'RESUMEN VIGILANCIA'!AQ97)</f>
        <v/>
      </c>
      <c r="AS134" s="375" t="str">
        <f>IF(ISBLANK('RESUMEN VIGILANCIA'!AR97),"",'RESUMEN VIGILANCIA'!AR97)</f>
        <v/>
      </c>
      <c r="AT134" s="375" t="str">
        <f>IF(ISBLANK('RESUMEN VIGILANCIA'!AS97),"",'RESUMEN VIGILANCIA'!AS97)</f>
        <v/>
      </c>
      <c r="AU134" s="375" t="str">
        <f>IF(ISBLANK('RESUMEN VIGILANCIA'!AT97),"",'RESUMEN VIGILANCIA'!AT97)</f>
        <v/>
      </c>
      <c r="AV134" s="375" t="str">
        <f>IF(ISBLANK('RESUMEN VIGILANCIA'!AU97),"",'RESUMEN VIGILANCIA'!AU97)</f>
        <v/>
      </c>
      <c r="AW134" s="375" t="str">
        <f>IF(ISBLANK('RESUMEN VIGILANCIA'!AV97),"",'RESUMEN VIGILANCIA'!AV97)</f>
        <v/>
      </c>
      <c r="AX134" s="375" t="str">
        <f>IF(ISBLANK('RESUMEN VIGILANCIA'!AW97),"",'RESUMEN VIGILANCIA'!AW97)</f>
        <v/>
      </c>
      <c r="AY134" s="375" t="str">
        <f>IF(ISBLANK('RESUMEN VIGILANCIA'!AX97),"",'RESUMEN VIGILANCIA'!AX97)</f>
        <v/>
      </c>
      <c r="AZ134" s="375" t="str">
        <f>IF(ISBLANK('RESUMEN VIGILANCIA'!AY97),"",'RESUMEN VIGILANCIA'!AY97)</f>
        <v/>
      </c>
      <c r="BA134" s="376" t="str">
        <f>IF(ISBLANK('RESUMEN VIGILANCIA'!AZ97),"",'RESUMEN VIGILANCIA'!AZ97)</f>
        <v/>
      </c>
      <c r="BB134" s="240">
        <f t="shared" si="11"/>
        <v>241050.12</v>
      </c>
      <c r="BC134" s="110"/>
      <c r="BD134" s="110"/>
    </row>
    <row r="135" spans="1:56" s="28" customFormat="1" ht="20.100000000000001" customHeight="1">
      <c r="A135" s="57" t="str">
        <f>'RESUMEN VIGILANCIA'!A113</f>
        <v>Familia Navarrete Medina</v>
      </c>
      <c r="B135" s="58" t="str">
        <f>'RESUMEN VIGILANCIA'!B113</f>
        <v>Calle Güigüe Nro. 89-22</v>
      </c>
      <c r="C135" s="427" t="s">
        <v>1358</v>
      </c>
      <c r="D135" s="434" t="s">
        <v>1357</v>
      </c>
      <c r="E135" s="415" t="str">
        <f>IF(ISBLANK('RESUMEN VIGILANCIA'!D113),"",'RESUMEN VIGILANCIA'!D113)</f>
        <v/>
      </c>
      <c r="F135" s="267" t="str">
        <f>IF(ISBLANK('RESUMEN VIGILANCIA'!E113),"",'RESUMEN VIGILANCIA'!E113)</f>
        <v/>
      </c>
      <c r="G135" s="179" t="str">
        <f>IF(ISBLANK('RESUMEN VIGILANCIA'!F113),"",'RESUMEN VIGILANCIA'!F113)</f>
        <v/>
      </c>
      <c r="H135" s="179" t="str">
        <f>IF(ISBLANK('RESUMEN VIGILANCIA'!G113),"",'RESUMEN VIGILANCIA'!G113)</f>
        <v/>
      </c>
      <c r="I135" s="179" t="str">
        <f>IF(ISBLANK('RESUMEN VIGILANCIA'!H113),"",'RESUMEN VIGILANCIA'!H113)</f>
        <v/>
      </c>
      <c r="J135" s="179" t="str">
        <f>IF(ISBLANK('RESUMEN VIGILANCIA'!I113),"",'RESUMEN VIGILANCIA'!I113)</f>
        <v/>
      </c>
      <c r="K135" s="179" t="str">
        <f>IF(ISBLANK('RESUMEN VIGILANCIA'!J113),"",'RESUMEN VIGILANCIA'!J113)</f>
        <v/>
      </c>
      <c r="L135" s="179">
        <f>IF(ISBLANK('RESUMEN VIGILANCIA'!K113),"",'RESUMEN VIGILANCIA'!K113)</f>
        <v>0.35</v>
      </c>
      <c r="M135" s="179">
        <f>IF(ISBLANK('RESUMEN VIGILANCIA'!L113),"",'RESUMEN VIGILANCIA'!L113)</f>
        <v>0.35</v>
      </c>
      <c r="N135" s="179">
        <f>IF(ISBLANK('RESUMEN VIGILANCIA'!M113),"",'RESUMEN VIGILANCIA'!M113)</f>
        <v>0.35</v>
      </c>
      <c r="O135" s="179">
        <f>IF(ISBLANK('RESUMEN VIGILANCIA'!N113),"",'RESUMEN VIGILANCIA'!N113)</f>
        <v>0.35</v>
      </c>
      <c r="P135" s="268">
        <f>IF(ISBLANK('RESUMEN VIGILANCIA'!O113),"",'RESUMEN VIGILANCIA'!O113)</f>
        <v>0.5</v>
      </c>
      <c r="Q135" s="177">
        <f>IF(ISBLANK('RESUMEN VIGILANCIA'!P113),"",'RESUMEN VIGILANCIA'!P113)</f>
        <v>0.5</v>
      </c>
      <c r="R135" s="269">
        <f>IF(ISBLANK('RESUMEN VIGILANCIA'!Q113),"",'RESUMEN VIGILANCIA'!Q113)</f>
        <v>0.8</v>
      </c>
      <c r="S135" s="268">
        <f>IF(ISBLANK('RESUMEN VIGILANCIA'!R113),"",'RESUMEN VIGILANCIA'!R113)</f>
        <v>0.8</v>
      </c>
      <c r="T135" s="268">
        <f>IF(ISBLANK('RESUMEN VIGILANCIA'!S113),"",'RESUMEN VIGILANCIA'!S113)</f>
        <v>1.4</v>
      </c>
      <c r="U135" s="268">
        <f>IF(ISBLANK('RESUMEN VIGILANCIA'!T113),"",'RESUMEN VIGILANCIA'!T113)</f>
        <v>1.4</v>
      </c>
      <c r="V135" s="268">
        <f>IF(ISBLANK('RESUMEN VIGILANCIA'!U113),"",'RESUMEN VIGILANCIA'!U113)</f>
        <v>4</v>
      </c>
      <c r="W135" s="268">
        <f>IF(ISBLANK('RESUMEN VIGILANCIA'!V113),"",'RESUMEN VIGILANCIA'!V113)</f>
        <v>6.25</v>
      </c>
      <c r="X135" s="268">
        <f>IF(ISBLANK('RESUMEN VIGILANCIA'!W113),"",'RESUMEN VIGILANCIA'!W113)</f>
        <v>10</v>
      </c>
      <c r="Y135" s="268">
        <f>IF(ISBLANK('RESUMEN VIGILANCIA'!X113),"",'RESUMEN VIGILANCIA'!X113)</f>
        <v>12</v>
      </c>
      <c r="Z135" s="453">
        <f>IF(ISBLANK('RESUMEN VIGILANCIA'!Y113),"",'RESUMEN VIGILANCIA'!Y113)</f>
        <v>320</v>
      </c>
      <c r="AA135" s="453">
        <f>IF(ISBLANK('RESUMEN VIGILANCIA'!Z113),"",'RESUMEN VIGILANCIA'!Z113)</f>
        <v>320</v>
      </c>
      <c r="AB135" s="453">
        <f>IF(ISBLANK('RESUMEN VIGILANCIA'!AA113),"",'RESUMEN VIGILANCIA'!AA113)</f>
        <v>320</v>
      </c>
      <c r="AC135" s="454">
        <f>IF(ISBLANK('RESUMEN VIGILANCIA'!AB113),"",'RESUMEN VIGILANCIA'!AB113)</f>
        <v>800</v>
      </c>
      <c r="AD135" s="374">
        <f>IF(ISBLANK('RESUMEN VIGILANCIA'!AC113),"",'RESUMEN VIGILANCIA'!AC113)</f>
        <v>3000</v>
      </c>
      <c r="AE135" s="375">
        <f>IF(ISBLANK('RESUMEN VIGILANCIA'!AD113),"",'RESUMEN VIGILANCIA'!AD113)</f>
        <v>3000</v>
      </c>
      <c r="AF135" s="375">
        <f>IF(ISBLANK('RESUMEN VIGILANCIA'!AE113),"",'RESUMEN VIGILANCIA'!AE113)</f>
        <v>3000</v>
      </c>
      <c r="AG135" s="375">
        <f>IF(ISBLANK('RESUMEN VIGILANCIA'!AF113),"",'RESUMEN VIGILANCIA'!AF113)</f>
        <v>5000</v>
      </c>
      <c r="AH135" s="375">
        <f>IF(ISBLANK('RESUMEN VIGILANCIA'!AG113),"",'RESUMEN VIGILANCIA'!AG113)</f>
        <v>8000</v>
      </c>
      <c r="AI135" s="477" t="str">
        <f>IF(ISBLANK('RESUMEN VIGILANCIA'!AH113),"",'RESUMEN VIGILANCIA'!AH113)</f>
        <v>VENDIDA</v>
      </c>
      <c r="AJ135" s="508" t="str">
        <f>IF(ISBLANK('RESUMEN VIGILANCIA'!AI113),"",'RESUMEN VIGILANCIA'!AI113)</f>
        <v/>
      </c>
      <c r="AK135" s="378" t="str">
        <f>IF(ISBLANK('RESUMEN VIGILANCIA'!AJ113),"",'RESUMEN VIGILANCIA'!AJ113)</f>
        <v/>
      </c>
      <c r="AL135" s="378" t="str">
        <f>IF(ISBLANK('RESUMEN VIGILANCIA'!AK113),"",'RESUMEN VIGILANCIA'!AK113)</f>
        <v/>
      </c>
      <c r="AM135" s="378" t="str">
        <f>IF(ISBLANK('RESUMEN VIGILANCIA'!AL113),"",'RESUMEN VIGILANCIA'!AL113)</f>
        <v/>
      </c>
      <c r="AN135" s="378" t="str">
        <f>IF(ISBLANK('RESUMEN VIGILANCIA'!AM113),"",'RESUMEN VIGILANCIA'!AM113)</f>
        <v/>
      </c>
      <c r="AO135" s="389" t="str">
        <f>IF(ISBLANK('RESUMEN VIGILANCIA'!AN113),"",'RESUMEN VIGILANCIA'!AN113)</f>
        <v/>
      </c>
      <c r="AP135" s="390" t="str">
        <f>IF(ISBLANK('RESUMEN VIGILANCIA'!AO113),"",'RESUMEN VIGILANCIA'!AO113)</f>
        <v/>
      </c>
      <c r="AQ135" s="391" t="str">
        <f>IF(ISBLANK('RESUMEN VIGILANCIA'!AP113),"",'RESUMEN VIGILANCIA'!AP113)</f>
        <v/>
      </c>
      <c r="AR135" s="391" t="str">
        <f>IF(ISBLANK('RESUMEN VIGILANCIA'!AQ113),"",'RESUMEN VIGILANCIA'!AQ113)</f>
        <v/>
      </c>
      <c r="AS135" s="391" t="str">
        <f>IF(ISBLANK('RESUMEN VIGILANCIA'!AR113),"",'RESUMEN VIGILANCIA'!AR113)</f>
        <v/>
      </c>
      <c r="AT135" s="391" t="str">
        <f>IF(ISBLANK('RESUMEN VIGILANCIA'!AS113),"",'RESUMEN VIGILANCIA'!AS113)</f>
        <v/>
      </c>
      <c r="AU135" s="477" t="str">
        <f>IF(ISBLANK('RESUMEN VIGILANCIA'!AT113),"",'RESUMEN VIGILANCIA'!AT113)</f>
        <v/>
      </c>
      <c r="AV135" s="508" t="str">
        <f>IF(ISBLANK('RESUMEN VIGILANCIA'!AU113),"",'RESUMEN VIGILANCIA'!AU113)</f>
        <v/>
      </c>
      <c r="AW135" s="378" t="str">
        <f>IF(ISBLANK('RESUMEN VIGILANCIA'!AV113),"",'RESUMEN VIGILANCIA'!AV113)</f>
        <v/>
      </c>
      <c r="AX135" s="378" t="str">
        <f>IF(ISBLANK('RESUMEN VIGILANCIA'!AW113),"",'RESUMEN VIGILANCIA'!AW113)</f>
        <v/>
      </c>
      <c r="AY135" s="378" t="str">
        <f>IF(ISBLANK('RESUMEN VIGILANCIA'!AX113),"",'RESUMEN VIGILANCIA'!AX113)</f>
        <v/>
      </c>
      <c r="AZ135" s="378" t="str">
        <f>IF(ISBLANK('RESUMEN VIGILANCIA'!AY113),"",'RESUMEN VIGILANCIA'!AY113)</f>
        <v/>
      </c>
      <c r="BA135" s="389" t="str">
        <f>IF(ISBLANK('RESUMEN VIGILANCIA'!AZ113),"",'RESUMEN VIGILANCIA'!AZ113)</f>
        <v/>
      </c>
      <c r="BB135" s="242">
        <f t="shared" si="11"/>
        <v>23799.05</v>
      </c>
      <c r="BC135" s="114"/>
      <c r="BD135" s="114">
        <v>43586</v>
      </c>
    </row>
    <row r="136" spans="1:56" s="28" customFormat="1" ht="20.100000000000001" customHeight="1">
      <c r="A136" s="29" t="str">
        <f>'RESUMEN VIGILANCIA'!A114</f>
        <v>Familia Rodríguez Girón</v>
      </c>
      <c r="B136" s="30" t="str">
        <f>'RESUMEN VIGILANCIA'!B114</f>
        <v>Calle Güigüe Nro. 89-22</v>
      </c>
      <c r="C136" s="427" t="s">
        <v>1358</v>
      </c>
      <c r="D136" s="434" t="s">
        <v>1357</v>
      </c>
      <c r="E136" s="506" t="str">
        <f>IF(ISBLANK('RESUMEN VIGILANCIA'!D114),"",'RESUMEN VIGILANCIA'!D114)</f>
        <v/>
      </c>
      <c r="F136" s="507" t="str">
        <f>IF(ISBLANK('RESUMEN VIGILANCIA'!E114),"",'RESUMEN VIGILANCIA'!E114)</f>
        <v/>
      </c>
      <c r="G136" s="497" t="str">
        <f>IF(ISBLANK('RESUMEN VIGILANCIA'!F114),"",'RESUMEN VIGILANCIA'!F114)</f>
        <v/>
      </c>
      <c r="H136" s="497" t="str">
        <f>IF(ISBLANK('RESUMEN VIGILANCIA'!G114),"",'RESUMEN VIGILANCIA'!G114)</f>
        <v/>
      </c>
      <c r="I136" s="497" t="str">
        <f>IF(ISBLANK('RESUMEN VIGILANCIA'!H114),"",'RESUMEN VIGILANCIA'!H114)</f>
        <v/>
      </c>
      <c r="J136" s="497" t="str">
        <f>IF(ISBLANK('RESUMEN VIGILANCIA'!I114),"",'RESUMEN VIGILANCIA'!I114)</f>
        <v/>
      </c>
      <c r="K136" s="497" t="str">
        <f>IF(ISBLANK('RESUMEN VIGILANCIA'!J114),"",'RESUMEN VIGILANCIA'!J114)</f>
        <v/>
      </c>
      <c r="L136" s="497" t="str">
        <f>IF(ISBLANK('RESUMEN VIGILANCIA'!K114),"",'RESUMEN VIGILANCIA'!K114)</f>
        <v/>
      </c>
      <c r="M136" s="497" t="str">
        <f>IF(ISBLANK('RESUMEN VIGILANCIA'!L114),"",'RESUMEN VIGILANCIA'!L114)</f>
        <v/>
      </c>
      <c r="N136" s="497" t="str">
        <f>IF(ISBLANK('RESUMEN VIGILANCIA'!M114),"",'RESUMEN VIGILANCIA'!M114)</f>
        <v/>
      </c>
      <c r="O136" s="497" t="str">
        <f>IF(ISBLANK('RESUMEN VIGILANCIA'!N114),"",'RESUMEN VIGILANCIA'!N114)</f>
        <v/>
      </c>
      <c r="P136" s="503" t="str">
        <f>IF(ISBLANK('RESUMEN VIGILANCIA'!O114),"",'RESUMEN VIGILANCIA'!O114)</f>
        <v/>
      </c>
      <c r="Q136" s="495" t="str">
        <f>IF(ISBLANK('RESUMEN VIGILANCIA'!P114),"",'RESUMEN VIGILANCIA'!P114)</f>
        <v/>
      </c>
      <c r="R136" s="502" t="str">
        <f>IF(ISBLANK('RESUMEN VIGILANCIA'!Q114),"",'RESUMEN VIGILANCIA'!Q114)</f>
        <v/>
      </c>
      <c r="S136" s="503" t="str">
        <f>IF(ISBLANK('RESUMEN VIGILANCIA'!R114),"",'RESUMEN VIGILANCIA'!R114)</f>
        <v/>
      </c>
      <c r="T136" s="503" t="str">
        <f>IF(ISBLANK('RESUMEN VIGILANCIA'!S114),"",'RESUMEN VIGILANCIA'!S114)</f>
        <v/>
      </c>
      <c r="U136" s="503" t="str">
        <f>IF(ISBLANK('RESUMEN VIGILANCIA'!T114),"",'RESUMEN VIGILANCIA'!T114)</f>
        <v/>
      </c>
      <c r="V136" s="503" t="str">
        <f>IF(ISBLANK('RESUMEN VIGILANCIA'!U114),"",'RESUMEN VIGILANCIA'!U114)</f>
        <v/>
      </c>
      <c r="W136" s="503" t="str">
        <f>IF(ISBLANK('RESUMEN VIGILANCIA'!V114),"",'RESUMEN VIGILANCIA'!V114)</f>
        <v/>
      </c>
      <c r="X136" s="503" t="str">
        <f>IF(ISBLANK('RESUMEN VIGILANCIA'!W114),"",'RESUMEN VIGILANCIA'!W114)</f>
        <v/>
      </c>
      <c r="Y136" s="503" t="str">
        <f>IF(ISBLANK('RESUMEN VIGILANCIA'!X114),"",'RESUMEN VIGILANCIA'!X114)</f>
        <v/>
      </c>
      <c r="Z136" s="504" t="str">
        <f>IF(ISBLANK('RESUMEN VIGILANCIA'!Y114),"",'RESUMEN VIGILANCIA'!Y114)</f>
        <v/>
      </c>
      <c r="AA136" s="504" t="str">
        <f>IF(ISBLANK('RESUMEN VIGILANCIA'!Z114),"",'RESUMEN VIGILANCIA'!Z114)</f>
        <v/>
      </c>
      <c r="AB136" s="504" t="str">
        <f>IF(ISBLANK('RESUMEN VIGILANCIA'!AA114),"",'RESUMEN VIGILANCIA'!AA114)</f>
        <v/>
      </c>
      <c r="AC136" s="505" t="str">
        <f>IF(ISBLANK('RESUMEN VIGILANCIA'!AB114),"",'RESUMEN VIGILANCIA'!AB114)</f>
        <v/>
      </c>
      <c r="AD136" s="500" t="str">
        <f>IF(ISBLANK('RESUMEN VIGILANCIA'!AC114),"",'RESUMEN VIGILANCIA'!AC114)</f>
        <v/>
      </c>
      <c r="AE136" s="501" t="str">
        <f>IF(ISBLANK('RESUMEN VIGILANCIA'!AD114),"",'RESUMEN VIGILANCIA'!AD114)</f>
        <v/>
      </c>
      <c r="AF136" s="501" t="str">
        <f>IF(ISBLANK('RESUMEN VIGILANCIA'!AE114),"",'RESUMEN VIGILANCIA'!AE114)</f>
        <v/>
      </c>
      <c r="AG136" s="501" t="str">
        <f>IF(ISBLANK('RESUMEN VIGILANCIA'!AF114),"",'RESUMEN VIGILANCIA'!AF114)</f>
        <v/>
      </c>
      <c r="AH136" s="501" t="str">
        <f>IF(ISBLANK('RESUMEN VIGILANCIA'!AG114),"",'RESUMEN VIGILANCIA'!AG114)</f>
        <v/>
      </c>
      <c r="AI136" s="375">
        <f>IF(ISBLANK('RESUMEN VIGILANCIA'!AH114),"",'RESUMEN VIGILANCIA'!AH114)</f>
        <v>8000</v>
      </c>
      <c r="AJ136" s="375">
        <f>IF(ISBLANK('RESUMEN VIGILANCIA'!AI114),"",'RESUMEN VIGILANCIA'!AI114)</f>
        <v>10000</v>
      </c>
      <c r="AK136" s="375">
        <f>IF(ISBLANK('RESUMEN VIGILANCIA'!AJ114),"",'RESUMEN VIGILANCIA'!AJ114)</f>
        <v>10000</v>
      </c>
      <c r="AL136" s="375">
        <f>IF(ISBLANK('RESUMEN VIGILANCIA'!AK114),"",'RESUMEN VIGILANCIA'!AK114)</f>
        <v>21100</v>
      </c>
      <c r="AM136" s="375">
        <f>IF(ISBLANK('RESUMEN VIGILANCIA'!AL114),"",'RESUMEN VIGILANCIA'!AL114)</f>
        <v>48600</v>
      </c>
      <c r="AN136" s="375">
        <f>IF(ISBLANK('RESUMEN VIGILANCIA'!AM114),"",'RESUMEN VIGILANCIA'!AM114)</f>
        <v>60000</v>
      </c>
      <c r="AO136" s="376">
        <f>IF(ISBLANK('RESUMEN VIGILANCIA'!AN114),"",'RESUMEN VIGILANCIA'!AN114)</f>
        <v>81750</v>
      </c>
      <c r="AP136" s="374">
        <f>IF(ISBLANK('RESUMEN VIGILANCIA'!AO114),"",'RESUMEN VIGILANCIA'!AO114)</f>
        <v>136250</v>
      </c>
      <c r="AQ136" s="375">
        <f>IF(ISBLANK('RESUMEN VIGILANCIA'!AP114),"",'RESUMEN VIGILANCIA'!AP114)</f>
        <v>136250</v>
      </c>
      <c r="AR136" s="375">
        <f>IF(ISBLANK('RESUMEN VIGILANCIA'!AQ114),"",'RESUMEN VIGILANCIA'!AQ114)</f>
        <v>185250</v>
      </c>
      <c r="AS136" s="375">
        <f>IF(ISBLANK('RESUMEN VIGILANCIA'!AR114),"",'RESUMEN VIGILANCIA'!AR114)</f>
        <v>186250</v>
      </c>
      <c r="AT136" s="375">
        <f>IF(ISBLANK('RESUMEN VIGILANCIA'!AS114),"",'RESUMEN VIGILANCIA'!AS114)</f>
        <v>250000</v>
      </c>
      <c r="AU136" s="375">
        <f>IF(ISBLANK('RESUMEN VIGILANCIA'!AT114),"",'RESUMEN VIGILANCIA'!AT114)</f>
        <v>250000</v>
      </c>
      <c r="AV136" s="375">
        <f>IF(ISBLANK('RESUMEN VIGILANCIA'!AU114),"",'RESUMEN VIGILANCIA'!AU114)</f>
        <v>250000</v>
      </c>
      <c r="AW136" s="375" t="str">
        <f>IF(ISBLANK('RESUMEN VIGILANCIA'!AV114),"",'RESUMEN VIGILANCIA'!AV114)</f>
        <v/>
      </c>
      <c r="AX136" s="375" t="str">
        <f>IF(ISBLANK('RESUMEN VIGILANCIA'!AW114),"",'RESUMEN VIGILANCIA'!AW114)</f>
        <v/>
      </c>
      <c r="AY136" s="375" t="str">
        <f>IF(ISBLANK('RESUMEN VIGILANCIA'!AX114),"",'RESUMEN VIGILANCIA'!AX114)</f>
        <v/>
      </c>
      <c r="AZ136" s="375" t="str">
        <f>IF(ISBLANK('RESUMEN VIGILANCIA'!AY114),"",'RESUMEN VIGILANCIA'!AY114)</f>
        <v/>
      </c>
      <c r="BA136" s="376" t="str">
        <f>IF(ISBLANK('RESUMEN VIGILANCIA'!AZ114),"",'RESUMEN VIGILANCIA'!AZ114)</f>
        <v/>
      </c>
      <c r="BB136" s="240">
        <f t="shared" ref="BB136" si="14">SUM(E136:AO136)</f>
        <v>239450</v>
      </c>
      <c r="BC136" s="110">
        <v>43617</v>
      </c>
      <c r="BD136" s="110"/>
    </row>
    <row r="137" spans="1:56" s="28" customFormat="1" ht="20.100000000000001" customHeight="1">
      <c r="A137" s="29" t="str">
        <f>'RESUMEN VIGILANCIA'!A80</f>
        <v>Familia Costermani Terrer</v>
      </c>
      <c r="B137" s="30" t="str">
        <f>'RESUMEN VIGILANCIA'!B80</f>
        <v>Calle Güigüe Nro. 88-11</v>
      </c>
      <c r="C137" s="427" t="s">
        <v>1358</v>
      </c>
      <c r="D137" s="434" t="s">
        <v>17</v>
      </c>
      <c r="E137" s="415" t="str">
        <f>IF(ISBLANK('RESUMEN VIGILANCIA'!D80),"",'RESUMEN VIGILANCIA'!D80)</f>
        <v/>
      </c>
      <c r="F137" s="267" t="str">
        <f>IF(ISBLANK('RESUMEN VIGILANCIA'!E80),"",'RESUMEN VIGILANCIA'!E80)</f>
        <v/>
      </c>
      <c r="G137" s="179" t="str">
        <f>IF(ISBLANK('RESUMEN VIGILANCIA'!F80),"",'RESUMEN VIGILANCIA'!F80)</f>
        <v/>
      </c>
      <c r="H137" s="179" t="str">
        <f>IF(ISBLANK('RESUMEN VIGILANCIA'!G80),"",'RESUMEN VIGILANCIA'!G80)</f>
        <v/>
      </c>
      <c r="I137" s="179" t="str">
        <f>IF(ISBLANK('RESUMEN VIGILANCIA'!H80),"",'RESUMEN VIGILANCIA'!H80)</f>
        <v/>
      </c>
      <c r="J137" s="179" t="str">
        <f>IF(ISBLANK('RESUMEN VIGILANCIA'!I80),"",'RESUMEN VIGILANCIA'!I80)</f>
        <v/>
      </c>
      <c r="K137" s="179" t="str">
        <f>IF(ISBLANK('RESUMEN VIGILANCIA'!J80),"",'RESUMEN VIGILANCIA'!J80)</f>
        <v/>
      </c>
      <c r="L137" s="179" t="str">
        <f>IF(ISBLANK('RESUMEN VIGILANCIA'!K80),"",'RESUMEN VIGILANCIA'!K80)</f>
        <v/>
      </c>
      <c r="M137" s="179" t="str">
        <f>IF(ISBLANK('RESUMEN VIGILANCIA'!L80),"",'RESUMEN VIGILANCIA'!L80)</f>
        <v/>
      </c>
      <c r="N137" s="179" t="str">
        <f>IF(ISBLANK('RESUMEN VIGILANCIA'!M80),"",'RESUMEN VIGILANCIA'!M80)</f>
        <v/>
      </c>
      <c r="O137" s="179" t="str">
        <f>IF(ISBLANK('RESUMEN VIGILANCIA'!N80),"",'RESUMEN VIGILANCIA'!N80)</f>
        <v/>
      </c>
      <c r="P137" s="268" t="str">
        <f>IF(ISBLANK('RESUMEN VIGILANCIA'!O80),"",'RESUMEN VIGILANCIA'!O80)</f>
        <v/>
      </c>
      <c r="Q137" s="177" t="str">
        <f>IF(ISBLANK('RESUMEN VIGILANCIA'!P80),"",'RESUMEN VIGILANCIA'!P80)</f>
        <v/>
      </c>
      <c r="R137" s="269" t="str">
        <f>IF(ISBLANK('RESUMEN VIGILANCIA'!Q80),"",'RESUMEN VIGILANCIA'!Q80)</f>
        <v/>
      </c>
      <c r="S137" s="268">
        <f>IF(ISBLANK('RESUMEN VIGILANCIA'!R80),"",'RESUMEN VIGILANCIA'!R80)</f>
        <v>0.8</v>
      </c>
      <c r="T137" s="268">
        <f>IF(ISBLANK('RESUMEN VIGILANCIA'!S80),"",'RESUMEN VIGILANCIA'!S80)</f>
        <v>1.4</v>
      </c>
      <c r="U137" s="268">
        <f>IF(ISBLANK('RESUMEN VIGILANCIA'!T80),"",'RESUMEN VIGILANCIA'!T80)</f>
        <v>1.4</v>
      </c>
      <c r="V137" s="268">
        <f>IF(ISBLANK('RESUMEN VIGILANCIA'!U80),"",'RESUMEN VIGILANCIA'!U80)</f>
        <v>4</v>
      </c>
      <c r="W137" s="268">
        <f>IF(ISBLANK('RESUMEN VIGILANCIA'!V80),"",'RESUMEN VIGILANCIA'!V80)</f>
        <v>6.5</v>
      </c>
      <c r="X137" s="268">
        <f>IF(ISBLANK('RESUMEN VIGILANCIA'!W80),"",'RESUMEN VIGILANCIA'!W80)</f>
        <v>10</v>
      </c>
      <c r="Y137" s="268">
        <f>IF(ISBLANK('RESUMEN VIGILANCIA'!X80),"",'RESUMEN VIGILANCIA'!X80)</f>
        <v>12</v>
      </c>
      <c r="Z137" s="453">
        <f>IF(ISBLANK('RESUMEN VIGILANCIA'!Y80),"",'RESUMEN VIGILANCIA'!Y80)</f>
        <v>320</v>
      </c>
      <c r="AA137" s="453">
        <f>IF(ISBLANK('RESUMEN VIGILANCIA'!Z80),"",'RESUMEN VIGILANCIA'!Z80)</f>
        <v>320</v>
      </c>
      <c r="AB137" s="453">
        <f>IF(ISBLANK('RESUMEN VIGILANCIA'!AA80),"",'RESUMEN VIGILANCIA'!AA80)</f>
        <v>320</v>
      </c>
      <c r="AC137" s="454">
        <f>IF(ISBLANK('RESUMEN VIGILANCIA'!AB80),"",'RESUMEN VIGILANCIA'!AB80)</f>
        <v>800</v>
      </c>
      <c r="AD137" s="374">
        <f>IF(ISBLANK('RESUMEN VIGILANCIA'!AC80),"",'RESUMEN VIGILANCIA'!AC80)</f>
        <v>3000</v>
      </c>
      <c r="AE137" s="375">
        <f>IF(ISBLANK('RESUMEN VIGILANCIA'!AD80),"",'RESUMEN VIGILANCIA'!AD80)</f>
        <v>3000</v>
      </c>
      <c r="AF137" s="375">
        <f>IF(ISBLANK('RESUMEN VIGILANCIA'!AE80),"",'RESUMEN VIGILANCIA'!AE80)</f>
        <v>3000</v>
      </c>
      <c r="AG137" s="375">
        <f>IF(ISBLANK('RESUMEN VIGILANCIA'!AF80),"",'RESUMEN VIGILANCIA'!AF80)</f>
        <v>5000</v>
      </c>
      <c r="AH137" s="375">
        <f>IF(ISBLANK('RESUMEN VIGILANCIA'!AG80),"",'RESUMEN VIGILANCIA'!AG80)</f>
        <v>8000</v>
      </c>
      <c r="AI137" s="375">
        <f>IF(ISBLANK('RESUMEN VIGILANCIA'!AH80),"",'RESUMEN VIGILANCIA'!AH80)</f>
        <v>8000</v>
      </c>
      <c r="AJ137" s="375">
        <f>IF(ISBLANK('RESUMEN VIGILANCIA'!AI80),"",'RESUMEN VIGILANCIA'!AI80)</f>
        <v>10000</v>
      </c>
      <c r="AK137" s="375">
        <f>IF(ISBLANK('RESUMEN VIGILANCIA'!AJ80),"",'RESUMEN VIGILANCIA'!AJ80)</f>
        <v>10000</v>
      </c>
      <c r="AL137" s="375">
        <f>IF(ISBLANK('RESUMEN VIGILANCIA'!AK80),"",'RESUMEN VIGILANCIA'!AK80)</f>
        <v>20500</v>
      </c>
      <c r="AM137" s="375">
        <f>IF(ISBLANK('RESUMEN VIGILANCIA'!AL80),"",'RESUMEN VIGILANCIA'!AL80)</f>
        <v>51250</v>
      </c>
      <c r="AN137" s="375">
        <f>IF(ISBLANK('RESUMEN VIGILANCIA'!AM80),"",'RESUMEN VIGILANCIA'!AM80)</f>
        <v>64500</v>
      </c>
      <c r="AO137" s="376">
        <f>IF(ISBLANK('RESUMEN VIGILANCIA'!AN80),"",'RESUMEN VIGILANCIA'!AN80)</f>
        <v>105250</v>
      </c>
      <c r="AP137" s="374">
        <f>IF(ISBLANK('RESUMEN VIGILANCIA'!AO80),"",'RESUMEN VIGILANCIA'!AO80)</f>
        <v>136250</v>
      </c>
      <c r="AQ137" s="375">
        <f>IF(ISBLANK('RESUMEN VIGILANCIA'!AP80),"",'RESUMEN VIGILANCIA'!AP80)</f>
        <v>136250</v>
      </c>
      <c r="AR137" s="375">
        <f>IF(ISBLANK('RESUMEN VIGILANCIA'!AQ80),"",'RESUMEN VIGILANCIA'!AQ80)</f>
        <v>185250</v>
      </c>
      <c r="AS137" s="375">
        <f>IF(ISBLANK('RESUMEN VIGILANCIA'!AR80),"",'RESUMEN VIGILANCIA'!AR80)</f>
        <v>185250</v>
      </c>
      <c r="AT137" s="375">
        <f>IF(ISBLANK('RESUMEN VIGILANCIA'!AS80),"",'RESUMEN VIGILANCIA'!AS80)</f>
        <v>250000</v>
      </c>
      <c r="AU137" s="375">
        <f>IF(ISBLANK('RESUMEN VIGILANCIA'!AT80),"",'RESUMEN VIGILANCIA'!AT80)</f>
        <v>250000</v>
      </c>
      <c r="AV137" s="375" t="str">
        <f>IF(ISBLANK('RESUMEN VIGILANCIA'!AU80),"",'RESUMEN VIGILANCIA'!AU80)</f>
        <v/>
      </c>
      <c r="AW137" s="375" t="str">
        <f>IF(ISBLANK('RESUMEN VIGILANCIA'!AV80),"",'RESUMEN VIGILANCIA'!AV80)</f>
        <v/>
      </c>
      <c r="AX137" s="375" t="str">
        <f>IF(ISBLANK('RESUMEN VIGILANCIA'!AW80),"",'RESUMEN VIGILANCIA'!AW80)</f>
        <v/>
      </c>
      <c r="AY137" s="375" t="str">
        <f>IF(ISBLANK('RESUMEN VIGILANCIA'!AX80),"",'RESUMEN VIGILANCIA'!AX80)</f>
        <v/>
      </c>
      <c r="AZ137" s="375" t="str">
        <f>IF(ISBLANK('RESUMEN VIGILANCIA'!AY80),"",'RESUMEN VIGILANCIA'!AY80)</f>
        <v/>
      </c>
      <c r="BA137" s="376" t="str">
        <f>IF(ISBLANK('RESUMEN VIGILANCIA'!AZ80),"",'RESUMEN VIGILANCIA'!AZ80)</f>
        <v/>
      </c>
      <c r="BB137" s="240">
        <f t="shared" si="11"/>
        <v>293296.09999999998</v>
      </c>
      <c r="BC137" s="110"/>
      <c r="BD137" s="110"/>
    </row>
    <row r="138" spans="1:56" s="28" customFormat="1" ht="20.100000000000001" customHeight="1">
      <c r="A138" s="29" t="str">
        <f>'RESUMEN VIGILANCIA'!A137</f>
        <v>Familia Ochoa Mendoza</v>
      </c>
      <c r="B138" s="30" t="str">
        <f>'RESUMEN VIGILANCIA'!B137</f>
        <v>Calle Güigüe Nro. 89-105</v>
      </c>
      <c r="C138" s="427" t="s">
        <v>1358</v>
      </c>
      <c r="D138" s="434" t="s">
        <v>17</v>
      </c>
      <c r="E138" s="415" t="str">
        <f>IF(ISBLANK('RESUMEN VIGILANCIA'!D137),"",'RESUMEN VIGILANCIA'!D137)</f>
        <v/>
      </c>
      <c r="F138" s="267">
        <f>IF(ISBLANK('RESUMEN VIGILANCIA'!E137),"",'RESUMEN VIGILANCIA'!E137)</f>
        <v>0.17</v>
      </c>
      <c r="G138" s="179">
        <f>IF(ISBLANK('RESUMEN VIGILANCIA'!F137),"",'RESUMEN VIGILANCIA'!F137)</f>
        <v>0.17</v>
      </c>
      <c r="H138" s="179">
        <f>IF(ISBLANK('RESUMEN VIGILANCIA'!G137),"",'RESUMEN VIGILANCIA'!G137)</f>
        <v>0.17</v>
      </c>
      <c r="I138" s="179">
        <f>IF(ISBLANK('RESUMEN VIGILANCIA'!H137),"",'RESUMEN VIGILANCIA'!H137)</f>
        <v>0.17</v>
      </c>
      <c r="J138" s="179">
        <f>IF(ISBLANK('RESUMEN VIGILANCIA'!I137),"",'RESUMEN VIGILANCIA'!I137)</f>
        <v>0.26</v>
      </c>
      <c r="K138" s="179">
        <f>IF(ISBLANK('RESUMEN VIGILANCIA'!J137),"",'RESUMEN VIGILANCIA'!J137)</f>
        <v>0.26</v>
      </c>
      <c r="L138" s="179">
        <f>IF(ISBLANK('RESUMEN VIGILANCIA'!K137),"",'RESUMEN VIGILANCIA'!K137)</f>
        <v>0.35</v>
      </c>
      <c r="M138" s="179">
        <f>IF(ISBLANK('RESUMEN VIGILANCIA'!L137),"",'RESUMEN VIGILANCIA'!L137)</f>
        <v>0.35</v>
      </c>
      <c r="N138" s="179">
        <f>IF(ISBLANK('RESUMEN VIGILANCIA'!M137),"",'RESUMEN VIGILANCIA'!M137)</f>
        <v>0.35</v>
      </c>
      <c r="O138" s="179">
        <f>IF(ISBLANK('RESUMEN VIGILANCIA'!N137),"",'RESUMEN VIGILANCIA'!N137)</f>
        <v>0.35</v>
      </c>
      <c r="P138" s="268">
        <f>IF(ISBLANK('RESUMEN VIGILANCIA'!O137),"",'RESUMEN VIGILANCIA'!O137)</f>
        <v>0.5</v>
      </c>
      <c r="Q138" s="177">
        <f>IF(ISBLANK('RESUMEN VIGILANCIA'!P137),"",'RESUMEN VIGILANCIA'!P137)</f>
        <v>0.5</v>
      </c>
      <c r="R138" s="269">
        <f>IF(ISBLANK('RESUMEN VIGILANCIA'!Q137),"",'RESUMEN VIGILANCIA'!Q137)</f>
        <v>0.8</v>
      </c>
      <c r="S138" s="268">
        <f>IF(ISBLANK('RESUMEN VIGILANCIA'!R137),"",'RESUMEN VIGILANCIA'!R137)</f>
        <v>0.8</v>
      </c>
      <c r="T138" s="268">
        <f>IF(ISBLANK('RESUMEN VIGILANCIA'!S137),"",'RESUMEN VIGILANCIA'!S137)</f>
        <v>1.4</v>
      </c>
      <c r="U138" s="268">
        <f>IF(ISBLANK('RESUMEN VIGILANCIA'!T137),"",'RESUMEN VIGILANCIA'!T137)</f>
        <v>1.5</v>
      </c>
      <c r="V138" s="268">
        <f>IF(ISBLANK('RESUMEN VIGILANCIA'!U137),"",'RESUMEN VIGILANCIA'!U137)</f>
        <v>4</v>
      </c>
      <c r="W138" s="268">
        <f>IF(ISBLANK('RESUMEN VIGILANCIA'!V137),"",'RESUMEN VIGILANCIA'!V137)</f>
        <v>6.25</v>
      </c>
      <c r="X138" s="268">
        <f>IF(ISBLANK('RESUMEN VIGILANCIA'!W137),"",'RESUMEN VIGILANCIA'!W137)</f>
        <v>10</v>
      </c>
      <c r="Y138" s="268">
        <f>IF(ISBLANK('RESUMEN VIGILANCIA'!X137),"",'RESUMEN VIGILANCIA'!X137)</f>
        <v>11.25</v>
      </c>
      <c r="Z138" s="453">
        <f>IF(ISBLANK('RESUMEN VIGILANCIA'!Y137),"",'RESUMEN VIGILANCIA'!Y137)</f>
        <v>320</v>
      </c>
      <c r="AA138" s="453">
        <f>IF(ISBLANK('RESUMEN VIGILANCIA'!Z137),"",'RESUMEN VIGILANCIA'!Z137)</f>
        <v>320</v>
      </c>
      <c r="AB138" s="453">
        <f>IF(ISBLANK('RESUMEN VIGILANCIA'!AA137),"",'RESUMEN VIGILANCIA'!AA137)</f>
        <v>350</v>
      </c>
      <c r="AC138" s="454">
        <f>IF(ISBLANK('RESUMEN VIGILANCIA'!AB137),"",'RESUMEN VIGILANCIA'!AB137)</f>
        <v>800</v>
      </c>
      <c r="AD138" s="374">
        <f>IF(ISBLANK('RESUMEN VIGILANCIA'!AC137),"",'RESUMEN VIGILANCIA'!AC137)</f>
        <v>3000</v>
      </c>
      <c r="AE138" s="375">
        <f>IF(ISBLANK('RESUMEN VIGILANCIA'!AD137),"",'RESUMEN VIGILANCIA'!AD137)</f>
        <v>3000</v>
      </c>
      <c r="AF138" s="375">
        <f>IF(ISBLANK('RESUMEN VIGILANCIA'!AE137),"",'RESUMEN VIGILANCIA'!AE137)</f>
        <v>3000</v>
      </c>
      <c r="AG138" s="375">
        <f>IF(ISBLANK('RESUMEN VIGILANCIA'!AF137),"",'RESUMEN VIGILANCIA'!AF137)</f>
        <v>5000</v>
      </c>
      <c r="AH138" s="375">
        <f>IF(ISBLANK('RESUMEN VIGILANCIA'!AG137),"",'RESUMEN VIGILANCIA'!AG137)</f>
        <v>8000</v>
      </c>
      <c r="AI138" s="375">
        <f>IF(ISBLANK('RESUMEN VIGILANCIA'!AH137),"",'RESUMEN VIGILANCIA'!AH137)</f>
        <v>8000</v>
      </c>
      <c r="AJ138" s="375">
        <f>IF(ISBLANK('RESUMEN VIGILANCIA'!AI137),"",'RESUMEN VIGILANCIA'!AI137)</f>
        <v>10000</v>
      </c>
      <c r="AK138" s="375">
        <f>IF(ISBLANK('RESUMEN VIGILANCIA'!AJ137),"",'RESUMEN VIGILANCIA'!AJ137)</f>
        <v>10000</v>
      </c>
      <c r="AL138" s="375">
        <f>IF(ISBLANK('RESUMEN VIGILANCIA'!AK137),"",'RESUMEN VIGILANCIA'!AK137)</f>
        <v>20500</v>
      </c>
      <c r="AM138" s="375">
        <f>IF(ISBLANK('RESUMEN VIGILANCIA'!AL137),"",'RESUMEN VIGILANCIA'!AL137)</f>
        <v>47000</v>
      </c>
      <c r="AN138" s="375">
        <f>IF(ISBLANK('RESUMEN VIGILANCIA'!AM137),"",'RESUMEN VIGILANCIA'!AM137)</f>
        <v>56250</v>
      </c>
      <c r="AO138" s="376">
        <f>IF(ISBLANK('RESUMEN VIGILANCIA'!AN137),"",'RESUMEN VIGILANCIA'!AN137)</f>
        <v>81750</v>
      </c>
      <c r="AP138" s="374">
        <f>IF(ISBLANK('RESUMEN VIGILANCIA'!AO137),"",'RESUMEN VIGILANCIA'!AO137)</f>
        <v>136250</v>
      </c>
      <c r="AQ138" s="375">
        <f>IF(ISBLANK('RESUMEN VIGILANCIA'!AP137),"",'RESUMEN VIGILANCIA'!AP137)</f>
        <v>136250</v>
      </c>
      <c r="AR138" s="375">
        <f>IF(ISBLANK('RESUMEN VIGILANCIA'!AQ137),"",'RESUMEN VIGILANCIA'!AQ137)</f>
        <v>185250</v>
      </c>
      <c r="AS138" s="375">
        <f>IF(ISBLANK('RESUMEN VIGILANCIA'!AR137),"",'RESUMEN VIGILANCIA'!AR137)</f>
        <v>185250</v>
      </c>
      <c r="AT138" s="375">
        <f>IF(ISBLANK('RESUMEN VIGILANCIA'!AS137),"",'RESUMEN VIGILANCIA'!AS137)</f>
        <v>250000</v>
      </c>
      <c r="AU138" s="375">
        <f>IF(ISBLANK('RESUMEN VIGILANCIA'!AT137),"",'RESUMEN VIGILANCIA'!AT137)</f>
        <v>250000</v>
      </c>
      <c r="AV138" s="375" t="str">
        <f>IF(ISBLANK('RESUMEN VIGILANCIA'!AU137),"",'RESUMEN VIGILANCIA'!AU137)</f>
        <v/>
      </c>
      <c r="AW138" s="375" t="str">
        <f>IF(ISBLANK('RESUMEN VIGILANCIA'!AV137),"",'RESUMEN VIGILANCIA'!AV137)</f>
        <v/>
      </c>
      <c r="AX138" s="375" t="str">
        <f>IF(ISBLANK('RESUMEN VIGILANCIA'!AW137),"",'RESUMEN VIGILANCIA'!AW137)</f>
        <v/>
      </c>
      <c r="AY138" s="375" t="str">
        <f>IF(ISBLANK('RESUMEN VIGILANCIA'!AX137),"",'RESUMEN VIGILANCIA'!AX137)</f>
        <v/>
      </c>
      <c r="AZ138" s="375" t="str">
        <f>IF(ISBLANK('RESUMEN VIGILANCIA'!AY137),"",'RESUMEN VIGILANCIA'!AY137)</f>
        <v/>
      </c>
      <c r="BA138" s="376" t="str">
        <f>IF(ISBLANK('RESUMEN VIGILANCIA'!AZ137),"",'RESUMEN VIGILANCIA'!AZ137)</f>
        <v/>
      </c>
      <c r="BB138" s="240">
        <f t="shared" si="11"/>
        <v>257329.6</v>
      </c>
      <c r="BC138" s="110"/>
      <c r="BD138" s="110"/>
    </row>
    <row r="139" spans="1:56" s="28" customFormat="1" ht="20.100000000000001" customHeight="1">
      <c r="A139" s="57" t="str">
        <f>'RESUMEN VIGILANCIA'!A130</f>
        <v>Familia Amirante</v>
      </c>
      <c r="B139" s="58" t="str">
        <f>'RESUMEN VIGILANCIA'!B130</f>
        <v>Calle Güigüe Nro. 89-89</v>
      </c>
      <c r="C139" s="427"/>
      <c r="D139" s="434" t="s">
        <v>1357</v>
      </c>
      <c r="E139" s="415" t="str">
        <f>IF(ISBLANK('RESUMEN VIGILANCIA'!D130),"",'RESUMEN VIGILANCIA'!D130)</f>
        <v/>
      </c>
      <c r="F139" s="267" t="str">
        <f>IF(ISBLANK('RESUMEN VIGILANCIA'!E130),"",'RESUMEN VIGILANCIA'!E130)</f>
        <v/>
      </c>
      <c r="G139" s="179" t="str">
        <f>IF(ISBLANK('RESUMEN VIGILANCIA'!F130),"",'RESUMEN VIGILANCIA'!F130)</f>
        <v/>
      </c>
      <c r="H139" s="179" t="str">
        <f>IF(ISBLANK('RESUMEN VIGILANCIA'!G130),"",'RESUMEN VIGILANCIA'!G130)</f>
        <v/>
      </c>
      <c r="I139" s="179" t="str">
        <f>IF(ISBLANK('RESUMEN VIGILANCIA'!H130),"",'RESUMEN VIGILANCIA'!H130)</f>
        <v/>
      </c>
      <c r="J139" s="179" t="str">
        <f>IF(ISBLANK('RESUMEN VIGILANCIA'!I130),"",'RESUMEN VIGILANCIA'!I130)</f>
        <v/>
      </c>
      <c r="K139" s="179" t="str">
        <f>IF(ISBLANK('RESUMEN VIGILANCIA'!J130),"",'RESUMEN VIGILANCIA'!J130)</f>
        <v/>
      </c>
      <c r="L139" s="179" t="str">
        <f>IF(ISBLANK('RESUMEN VIGILANCIA'!K130),"",'RESUMEN VIGILANCIA'!K130)</f>
        <v/>
      </c>
      <c r="M139" s="179" t="str">
        <f>IF(ISBLANK('RESUMEN VIGILANCIA'!L130),"",'RESUMEN VIGILANCIA'!L130)</f>
        <v/>
      </c>
      <c r="N139" s="179" t="str">
        <f>IF(ISBLANK('RESUMEN VIGILANCIA'!M130),"",'RESUMEN VIGILANCIA'!M130)</f>
        <v/>
      </c>
      <c r="O139" s="179" t="str">
        <f>IF(ISBLANK('RESUMEN VIGILANCIA'!N130),"",'RESUMEN VIGILANCIA'!N130)</f>
        <v/>
      </c>
      <c r="P139" s="268" t="str">
        <f>IF(ISBLANK('RESUMEN VIGILANCIA'!O130),"",'RESUMEN VIGILANCIA'!O130)</f>
        <v/>
      </c>
      <c r="Q139" s="177" t="str">
        <f>IF(ISBLANK('RESUMEN VIGILANCIA'!P130),"",'RESUMEN VIGILANCIA'!P130)</f>
        <v/>
      </c>
      <c r="R139" s="269" t="str">
        <f>IF(ISBLANK('RESUMEN VIGILANCIA'!Q130),"",'RESUMEN VIGILANCIA'!Q130)</f>
        <v/>
      </c>
      <c r="S139" s="268" t="str">
        <f>IF(ISBLANK('RESUMEN VIGILANCIA'!R130),"",'RESUMEN VIGILANCIA'!R130)</f>
        <v/>
      </c>
      <c r="T139" s="268" t="str">
        <f>IF(ISBLANK('RESUMEN VIGILANCIA'!S130),"",'RESUMEN VIGILANCIA'!S130)</f>
        <v/>
      </c>
      <c r="U139" s="272" t="str">
        <f>IF(ISBLANK('RESUMEN VIGILANCIA'!T130),"",'RESUMEN VIGILANCIA'!T130)</f>
        <v>VENDIDA</v>
      </c>
      <c r="V139" s="279" t="str">
        <f>IF(ISBLANK('RESUMEN VIGILANCIA'!U130),"",'RESUMEN VIGILANCIA'!U130)</f>
        <v/>
      </c>
      <c r="W139" s="279" t="str">
        <f>IF(ISBLANK('RESUMEN VIGILANCIA'!V130),"",'RESUMEN VIGILANCIA'!V130)</f>
        <v/>
      </c>
      <c r="X139" s="279" t="str">
        <f>IF(ISBLANK('RESUMEN VIGILANCIA'!W130),"",'RESUMEN VIGILANCIA'!W130)</f>
        <v/>
      </c>
      <c r="Y139" s="279" t="str">
        <f>IF(ISBLANK('RESUMEN VIGILANCIA'!X130),"",'RESUMEN VIGILANCIA'!X130)</f>
        <v/>
      </c>
      <c r="Z139" s="462" t="str">
        <f>IF(ISBLANK('RESUMEN VIGILANCIA'!Y130),"",'RESUMEN VIGILANCIA'!Y130)</f>
        <v/>
      </c>
      <c r="AA139" s="462" t="str">
        <f>IF(ISBLANK('RESUMEN VIGILANCIA'!Z130),"",'RESUMEN VIGILANCIA'!Z130)</f>
        <v/>
      </c>
      <c r="AB139" s="462" t="str">
        <f>IF(ISBLANK('RESUMEN VIGILANCIA'!AA130),"",'RESUMEN VIGILANCIA'!AA130)</f>
        <v/>
      </c>
      <c r="AC139" s="463" t="str">
        <f>IF(ISBLANK('RESUMEN VIGILANCIA'!AB130),"",'RESUMEN VIGILANCIA'!AB130)</f>
        <v/>
      </c>
      <c r="AD139" s="388" t="str">
        <f>IF(ISBLANK('RESUMEN VIGILANCIA'!AC130),"",'RESUMEN VIGILANCIA'!AC130)</f>
        <v/>
      </c>
      <c r="AE139" s="378" t="str">
        <f>IF(ISBLANK('RESUMEN VIGILANCIA'!AD130),"",'RESUMEN VIGILANCIA'!AD130)</f>
        <v/>
      </c>
      <c r="AF139" s="378" t="str">
        <f>IF(ISBLANK('RESUMEN VIGILANCIA'!AE130),"",'RESUMEN VIGILANCIA'!AE130)</f>
        <v/>
      </c>
      <c r="AG139" s="378" t="str">
        <f>IF(ISBLANK('RESUMEN VIGILANCIA'!AF130),"",'RESUMEN VIGILANCIA'!AF130)</f>
        <v/>
      </c>
      <c r="AH139" s="378" t="str">
        <f>IF(ISBLANK('RESUMEN VIGILANCIA'!AG130),"",'RESUMEN VIGILANCIA'!AG130)</f>
        <v/>
      </c>
      <c r="AI139" s="378" t="str">
        <f>IF(ISBLANK('RESUMEN VIGILANCIA'!AH130),"",'RESUMEN VIGILANCIA'!AH130)</f>
        <v/>
      </c>
      <c r="AJ139" s="378" t="str">
        <f>IF(ISBLANK('RESUMEN VIGILANCIA'!AI130),"",'RESUMEN VIGILANCIA'!AI130)</f>
        <v/>
      </c>
      <c r="AK139" s="378" t="str">
        <f>IF(ISBLANK('RESUMEN VIGILANCIA'!AJ130),"",'RESUMEN VIGILANCIA'!AJ130)</f>
        <v/>
      </c>
      <c r="AL139" s="378" t="str">
        <f>IF(ISBLANK('RESUMEN VIGILANCIA'!AK130),"",'RESUMEN VIGILANCIA'!AK130)</f>
        <v/>
      </c>
      <c r="AM139" s="378" t="str">
        <f>IF(ISBLANK('RESUMEN VIGILANCIA'!AL130),"",'RESUMEN VIGILANCIA'!AL130)</f>
        <v/>
      </c>
      <c r="AN139" s="378" t="str">
        <f>IF(ISBLANK('RESUMEN VIGILANCIA'!AM130),"",'RESUMEN VIGILANCIA'!AM130)</f>
        <v/>
      </c>
      <c r="AO139" s="389" t="str">
        <f>IF(ISBLANK('RESUMEN VIGILANCIA'!AN130),"",'RESUMEN VIGILANCIA'!AN130)</f>
        <v/>
      </c>
      <c r="AP139" s="388" t="str">
        <f>IF(ISBLANK('RESUMEN VIGILANCIA'!AO130),"",'RESUMEN VIGILANCIA'!AO130)</f>
        <v/>
      </c>
      <c r="AQ139" s="378" t="str">
        <f>IF(ISBLANK('RESUMEN VIGILANCIA'!AP130),"",'RESUMEN VIGILANCIA'!AP130)</f>
        <v/>
      </c>
      <c r="AR139" s="378" t="str">
        <f>IF(ISBLANK('RESUMEN VIGILANCIA'!AQ130),"",'RESUMEN VIGILANCIA'!AQ130)</f>
        <v/>
      </c>
      <c r="AS139" s="378" t="str">
        <f>IF(ISBLANK('RESUMEN VIGILANCIA'!AR130),"",'RESUMEN VIGILANCIA'!AR130)</f>
        <v/>
      </c>
      <c r="AT139" s="378" t="str">
        <f>IF(ISBLANK('RESUMEN VIGILANCIA'!AS130),"",'RESUMEN VIGILANCIA'!AS130)</f>
        <v/>
      </c>
      <c r="AU139" s="378" t="str">
        <f>IF(ISBLANK('RESUMEN VIGILANCIA'!AT130),"",'RESUMEN VIGILANCIA'!AT130)</f>
        <v/>
      </c>
      <c r="AV139" s="378" t="str">
        <f>IF(ISBLANK('RESUMEN VIGILANCIA'!AU130),"",'RESUMEN VIGILANCIA'!AU130)</f>
        <v/>
      </c>
      <c r="AW139" s="378" t="str">
        <f>IF(ISBLANK('RESUMEN VIGILANCIA'!AV130),"",'RESUMEN VIGILANCIA'!AV130)</f>
        <v/>
      </c>
      <c r="AX139" s="378" t="str">
        <f>IF(ISBLANK('RESUMEN VIGILANCIA'!AW130),"",'RESUMEN VIGILANCIA'!AW130)</f>
        <v/>
      </c>
      <c r="AY139" s="378" t="str">
        <f>IF(ISBLANK('RESUMEN VIGILANCIA'!AX130),"",'RESUMEN VIGILANCIA'!AX130)</f>
        <v/>
      </c>
      <c r="AZ139" s="378" t="str">
        <f>IF(ISBLANK('RESUMEN VIGILANCIA'!AY130),"",'RESUMEN VIGILANCIA'!AY130)</f>
        <v/>
      </c>
      <c r="BA139" s="389" t="str">
        <f>IF(ISBLANK('RESUMEN VIGILANCIA'!AZ130),"",'RESUMEN VIGILANCIA'!AZ130)</f>
        <v/>
      </c>
      <c r="BB139" s="242">
        <f t="shared" si="11"/>
        <v>0</v>
      </c>
      <c r="BC139" s="114"/>
      <c r="BD139" s="114">
        <v>43160</v>
      </c>
    </row>
    <row r="140" spans="1:56" s="28" customFormat="1" ht="20.100000000000001" customHeight="1">
      <c r="A140" s="57" t="str">
        <f>'RESUMEN VIGILANCIA'!A131</f>
        <v>Familia Civitico Rueda</v>
      </c>
      <c r="B140" s="58" t="str">
        <f>'RESUMEN VIGILANCIA'!B131</f>
        <v>Calle Güigüe Nro. 89-89</v>
      </c>
      <c r="C140" s="427" t="s">
        <v>1359</v>
      </c>
      <c r="D140" s="434" t="s">
        <v>1357</v>
      </c>
      <c r="E140" s="417" t="str">
        <f>IF(ISBLANK('RESUMEN VIGILANCIA'!D131),"",'RESUMEN VIGILANCIA'!D131)</f>
        <v/>
      </c>
      <c r="F140" s="280" t="str">
        <f>IF(ISBLANK('RESUMEN VIGILANCIA'!E131),"",'RESUMEN VIGILANCIA'!E131)</f>
        <v/>
      </c>
      <c r="G140" s="207" t="str">
        <f>IF(ISBLANK('RESUMEN VIGILANCIA'!F131),"",'RESUMEN VIGILANCIA'!F131)</f>
        <v/>
      </c>
      <c r="H140" s="207" t="str">
        <f>IF(ISBLANK('RESUMEN VIGILANCIA'!G131),"",'RESUMEN VIGILANCIA'!G131)</f>
        <v/>
      </c>
      <c r="I140" s="207" t="str">
        <f>IF(ISBLANK('RESUMEN VIGILANCIA'!H131),"",'RESUMEN VIGILANCIA'!H131)</f>
        <v/>
      </c>
      <c r="J140" s="207" t="str">
        <f>IF(ISBLANK('RESUMEN VIGILANCIA'!I131),"",'RESUMEN VIGILANCIA'!I131)</f>
        <v/>
      </c>
      <c r="K140" s="207" t="str">
        <f>IF(ISBLANK('RESUMEN VIGILANCIA'!J131),"",'RESUMEN VIGILANCIA'!J131)</f>
        <v/>
      </c>
      <c r="L140" s="207" t="str">
        <f>IF(ISBLANK('RESUMEN VIGILANCIA'!K131),"",'RESUMEN VIGILANCIA'!K131)</f>
        <v/>
      </c>
      <c r="M140" s="207" t="str">
        <f>IF(ISBLANK('RESUMEN VIGILANCIA'!L131),"",'RESUMEN VIGILANCIA'!L131)</f>
        <v/>
      </c>
      <c r="N140" s="207" t="str">
        <f>IF(ISBLANK('RESUMEN VIGILANCIA'!M131),"",'RESUMEN VIGILANCIA'!M131)</f>
        <v/>
      </c>
      <c r="O140" s="207" t="str">
        <f>IF(ISBLANK('RESUMEN VIGILANCIA'!N131),"",'RESUMEN VIGILANCIA'!N131)</f>
        <v/>
      </c>
      <c r="P140" s="290" t="str">
        <f>IF(ISBLANK('RESUMEN VIGILANCIA'!O131),"",'RESUMEN VIGILANCIA'!O131)</f>
        <v/>
      </c>
      <c r="Q140" s="205" t="str">
        <f>IF(ISBLANK('RESUMEN VIGILANCIA'!P131),"",'RESUMEN VIGILANCIA'!P131)</f>
        <v/>
      </c>
      <c r="R140" s="291" t="str">
        <f>IF(ISBLANK('RESUMEN VIGILANCIA'!Q131),"",'RESUMEN VIGILANCIA'!Q131)</f>
        <v/>
      </c>
      <c r="S140" s="290" t="str">
        <f>IF(ISBLANK('RESUMEN VIGILANCIA'!R131),"",'RESUMEN VIGILANCIA'!R131)</f>
        <v/>
      </c>
      <c r="T140" s="290" t="str">
        <f>IF(ISBLANK('RESUMEN VIGILANCIA'!S131),"",'RESUMEN VIGILANCIA'!S131)</f>
        <v/>
      </c>
      <c r="U140" s="268">
        <f>IF(ISBLANK('RESUMEN VIGILANCIA'!T131),"",'RESUMEN VIGILANCIA'!T131)</f>
        <v>1.4</v>
      </c>
      <c r="V140" s="268">
        <f>IF(ISBLANK('RESUMEN VIGILANCIA'!U131),"",'RESUMEN VIGILANCIA'!U131)</f>
        <v>4</v>
      </c>
      <c r="W140" s="268">
        <f>IF(ISBLANK('RESUMEN VIGILANCIA'!V131),"",'RESUMEN VIGILANCIA'!V131)</f>
        <v>4</v>
      </c>
      <c r="X140" s="272" t="str">
        <f>IF(ISBLANK('RESUMEN VIGILANCIA'!W131),"",'RESUMEN VIGILANCIA'!W131)</f>
        <v>ALQUILADA</v>
      </c>
      <c r="Y140" s="279" t="str">
        <f>IF(ISBLANK('RESUMEN VIGILANCIA'!X131),"",'RESUMEN VIGILANCIA'!X131)</f>
        <v/>
      </c>
      <c r="Z140" s="462" t="str">
        <f>IF(ISBLANK('RESUMEN VIGILANCIA'!Y131),"",'RESUMEN VIGILANCIA'!Y131)</f>
        <v/>
      </c>
      <c r="AA140" s="462" t="str">
        <f>IF(ISBLANK('RESUMEN VIGILANCIA'!Z131),"",'RESUMEN VIGILANCIA'!Z131)</f>
        <v/>
      </c>
      <c r="AB140" s="462" t="str">
        <f>IF(ISBLANK('RESUMEN VIGILANCIA'!AA131),"",'RESUMEN VIGILANCIA'!AA131)</f>
        <v/>
      </c>
      <c r="AC140" s="463" t="str">
        <f>IF(ISBLANK('RESUMEN VIGILANCIA'!AB131),"",'RESUMEN VIGILANCIA'!AB131)</f>
        <v/>
      </c>
      <c r="AD140" s="388" t="str">
        <f>IF(ISBLANK('RESUMEN VIGILANCIA'!AC131),"",'RESUMEN VIGILANCIA'!AC131)</f>
        <v/>
      </c>
      <c r="AE140" s="378" t="str">
        <f>IF(ISBLANK('RESUMEN VIGILANCIA'!AD131),"",'RESUMEN VIGILANCIA'!AD131)</f>
        <v/>
      </c>
      <c r="AF140" s="378" t="str">
        <f>IF(ISBLANK('RESUMEN VIGILANCIA'!AE131),"",'RESUMEN VIGILANCIA'!AE131)</f>
        <v/>
      </c>
      <c r="AG140" s="378" t="str">
        <f>IF(ISBLANK('RESUMEN VIGILANCIA'!AF131),"",'RESUMEN VIGILANCIA'!AF131)</f>
        <v/>
      </c>
      <c r="AH140" s="378" t="str">
        <f>IF(ISBLANK('RESUMEN VIGILANCIA'!AG131),"",'RESUMEN VIGILANCIA'!AG131)</f>
        <v/>
      </c>
      <c r="AI140" s="378" t="str">
        <f>IF(ISBLANK('RESUMEN VIGILANCIA'!AH131),"",'RESUMEN VIGILANCIA'!AH131)</f>
        <v/>
      </c>
      <c r="AJ140" s="378" t="str">
        <f>IF(ISBLANK('RESUMEN VIGILANCIA'!AI131),"",'RESUMEN VIGILANCIA'!AI131)</f>
        <v/>
      </c>
      <c r="AK140" s="378" t="str">
        <f>IF(ISBLANK('RESUMEN VIGILANCIA'!AJ131),"",'RESUMEN VIGILANCIA'!AJ131)</f>
        <v/>
      </c>
      <c r="AL140" s="378" t="str">
        <f>IF(ISBLANK('RESUMEN VIGILANCIA'!AK131),"",'RESUMEN VIGILANCIA'!AK131)</f>
        <v/>
      </c>
      <c r="AM140" s="378" t="str">
        <f>IF(ISBLANK('RESUMEN VIGILANCIA'!AL131),"",'RESUMEN VIGILANCIA'!AL131)</f>
        <v/>
      </c>
      <c r="AN140" s="378" t="str">
        <f>IF(ISBLANK('RESUMEN VIGILANCIA'!AM131),"",'RESUMEN VIGILANCIA'!AM131)</f>
        <v/>
      </c>
      <c r="AO140" s="389" t="str">
        <f>IF(ISBLANK('RESUMEN VIGILANCIA'!AN131),"",'RESUMEN VIGILANCIA'!AN131)</f>
        <v/>
      </c>
      <c r="AP140" s="388" t="str">
        <f>IF(ISBLANK('RESUMEN VIGILANCIA'!AO131),"",'RESUMEN VIGILANCIA'!AO131)</f>
        <v/>
      </c>
      <c r="AQ140" s="378" t="str">
        <f>IF(ISBLANK('RESUMEN VIGILANCIA'!AP131),"",'RESUMEN VIGILANCIA'!AP131)</f>
        <v/>
      </c>
      <c r="AR140" s="378" t="str">
        <f>IF(ISBLANK('RESUMEN VIGILANCIA'!AQ131),"",'RESUMEN VIGILANCIA'!AQ131)</f>
        <v/>
      </c>
      <c r="AS140" s="378" t="str">
        <f>IF(ISBLANK('RESUMEN VIGILANCIA'!AR131),"",'RESUMEN VIGILANCIA'!AR131)</f>
        <v/>
      </c>
      <c r="AT140" s="378" t="str">
        <f>IF(ISBLANK('RESUMEN VIGILANCIA'!AS131),"",'RESUMEN VIGILANCIA'!AS131)</f>
        <v/>
      </c>
      <c r="AU140" s="378" t="str">
        <f>IF(ISBLANK('RESUMEN VIGILANCIA'!AT131),"",'RESUMEN VIGILANCIA'!AT131)</f>
        <v/>
      </c>
      <c r="AV140" s="378" t="str">
        <f>IF(ISBLANK('RESUMEN VIGILANCIA'!AU131),"",'RESUMEN VIGILANCIA'!AU131)</f>
        <v/>
      </c>
      <c r="AW140" s="378" t="str">
        <f>IF(ISBLANK('RESUMEN VIGILANCIA'!AV131),"",'RESUMEN VIGILANCIA'!AV131)</f>
        <v/>
      </c>
      <c r="AX140" s="378" t="str">
        <f>IF(ISBLANK('RESUMEN VIGILANCIA'!AW131),"",'RESUMEN VIGILANCIA'!AW131)</f>
        <v/>
      </c>
      <c r="AY140" s="378" t="str">
        <f>IF(ISBLANK('RESUMEN VIGILANCIA'!AX131),"",'RESUMEN VIGILANCIA'!AX131)</f>
        <v/>
      </c>
      <c r="AZ140" s="378" t="str">
        <f>IF(ISBLANK('RESUMEN VIGILANCIA'!AY131),"",'RESUMEN VIGILANCIA'!AY131)</f>
        <v/>
      </c>
      <c r="BA140" s="389" t="str">
        <f>IF(ISBLANK('RESUMEN VIGILANCIA'!AZ131),"",'RESUMEN VIGILANCIA'!AZ131)</f>
        <v/>
      </c>
      <c r="BB140" s="242">
        <f t="shared" si="11"/>
        <v>9.4</v>
      </c>
      <c r="BC140" s="114">
        <v>43191</v>
      </c>
      <c r="BD140" s="114">
        <v>43252</v>
      </c>
    </row>
    <row r="141" spans="1:56" s="28" customFormat="1" ht="20.100000000000001" customHeight="1">
      <c r="A141" s="29" t="str">
        <f>'RESUMEN VIGILANCIA'!A132</f>
        <v>Wilson Escamilla</v>
      </c>
      <c r="B141" s="30" t="str">
        <f>'RESUMEN VIGILANCIA'!B132</f>
        <v>Calle Güigüe Nro. 89-89</v>
      </c>
      <c r="C141" s="427" t="s">
        <v>1358</v>
      </c>
      <c r="D141" s="521" t="s">
        <v>17</v>
      </c>
      <c r="E141" s="417" t="str">
        <f>IF(ISBLANK('RESUMEN VIGILANCIA'!D132),"",'RESUMEN VIGILANCIA'!D132)</f>
        <v/>
      </c>
      <c r="F141" s="280" t="str">
        <f>IF(ISBLANK('RESUMEN VIGILANCIA'!E132),"",'RESUMEN VIGILANCIA'!E132)</f>
        <v/>
      </c>
      <c r="G141" s="207" t="str">
        <f>IF(ISBLANK('RESUMEN VIGILANCIA'!F132),"",'RESUMEN VIGILANCIA'!F132)</f>
        <v/>
      </c>
      <c r="H141" s="207" t="str">
        <f>IF(ISBLANK('RESUMEN VIGILANCIA'!G132),"",'RESUMEN VIGILANCIA'!G132)</f>
        <v/>
      </c>
      <c r="I141" s="207" t="str">
        <f>IF(ISBLANK('RESUMEN VIGILANCIA'!H132),"",'RESUMEN VIGILANCIA'!H132)</f>
        <v/>
      </c>
      <c r="J141" s="207" t="str">
        <f>IF(ISBLANK('RESUMEN VIGILANCIA'!I132),"",'RESUMEN VIGILANCIA'!I132)</f>
        <v/>
      </c>
      <c r="K141" s="207" t="str">
        <f>IF(ISBLANK('RESUMEN VIGILANCIA'!J132),"",'RESUMEN VIGILANCIA'!J132)</f>
        <v/>
      </c>
      <c r="L141" s="207" t="str">
        <f>IF(ISBLANK('RESUMEN VIGILANCIA'!K132),"",'RESUMEN VIGILANCIA'!K132)</f>
        <v/>
      </c>
      <c r="M141" s="207" t="str">
        <f>IF(ISBLANK('RESUMEN VIGILANCIA'!L132),"",'RESUMEN VIGILANCIA'!L132)</f>
        <v/>
      </c>
      <c r="N141" s="207" t="str">
        <f>IF(ISBLANK('RESUMEN VIGILANCIA'!M132),"",'RESUMEN VIGILANCIA'!M132)</f>
        <v/>
      </c>
      <c r="O141" s="207" t="str">
        <f>IF(ISBLANK('RESUMEN VIGILANCIA'!N132),"",'RESUMEN VIGILANCIA'!N132)</f>
        <v/>
      </c>
      <c r="P141" s="290" t="str">
        <f>IF(ISBLANK('RESUMEN VIGILANCIA'!O132),"",'RESUMEN VIGILANCIA'!O132)</f>
        <v/>
      </c>
      <c r="Q141" s="205" t="str">
        <f>IF(ISBLANK('RESUMEN VIGILANCIA'!P132),"",'RESUMEN VIGILANCIA'!P132)</f>
        <v/>
      </c>
      <c r="R141" s="291" t="str">
        <f>IF(ISBLANK('RESUMEN VIGILANCIA'!Q132),"",'RESUMEN VIGILANCIA'!Q132)</f>
        <v/>
      </c>
      <c r="S141" s="290" t="str">
        <f>IF(ISBLANK('RESUMEN VIGILANCIA'!R132),"",'RESUMEN VIGILANCIA'!R132)</f>
        <v/>
      </c>
      <c r="T141" s="290" t="str">
        <f>IF(ISBLANK('RESUMEN VIGILANCIA'!S132),"",'RESUMEN VIGILANCIA'!S132)</f>
        <v/>
      </c>
      <c r="U141" s="281" t="str">
        <f>IF(ISBLANK('RESUMEN VIGILANCIA'!T132),"",'RESUMEN VIGILANCIA'!T132)</f>
        <v/>
      </c>
      <c r="V141" s="281" t="str">
        <f>IF(ISBLANK('RESUMEN VIGILANCIA'!U132),"",'RESUMEN VIGILANCIA'!U132)</f>
        <v/>
      </c>
      <c r="W141" s="281">
        <f>IF(ISBLANK('RESUMEN VIGILANCIA'!V132),"",'RESUMEN VIGILANCIA'!V132)</f>
        <v>2.25</v>
      </c>
      <c r="X141" s="268">
        <f>IF(ISBLANK('RESUMEN VIGILANCIA'!W132),"",'RESUMEN VIGILANCIA'!W132)</f>
        <v>10</v>
      </c>
      <c r="Y141" s="268">
        <f>IF(ISBLANK('RESUMEN VIGILANCIA'!X132),"",'RESUMEN VIGILANCIA'!X132)</f>
        <v>12</v>
      </c>
      <c r="Z141" s="453">
        <f>IF(ISBLANK('RESUMEN VIGILANCIA'!Y132),"",'RESUMEN VIGILANCIA'!Y132)</f>
        <v>320</v>
      </c>
      <c r="AA141" s="453">
        <f>IF(ISBLANK('RESUMEN VIGILANCIA'!Z132),"",'RESUMEN VIGILANCIA'!Z132)</f>
        <v>320</v>
      </c>
      <c r="AB141" s="453">
        <f>IF(ISBLANK('RESUMEN VIGILANCIA'!AA132),"",'RESUMEN VIGILANCIA'!AA132)</f>
        <v>320</v>
      </c>
      <c r="AC141" s="454">
        <f>IF(ISBLANK('RESUMEN VIGILANCIA'!AB132),"",'RESUMEN VIGILANCIA'!AB132)</f>
        <v>800</v>
      </c>
      <c r="AD141" s="374">
        <f>IF(ISBLANK('RESUMEN VIGILANCIA'!AC132),"",'RESUMEN VIGILANCIA'!AC132)</f>
        <v>2800</v>
      </c>
      <c r="AE141" s="375">
        <f>IF(ISBLANK('RESUMEN VIGILANCIA'!AD132),"",'RESUMEN VIGILANCIA'!AD132)</f>
        <v>3000</v>
      </c>
      <c r="AF141" s="375">
        <f>IF(ISBLANK('RESUMEN VIGILANCIA'!AE132),"",'RESUMEN VIGILANCIA'!AE132)</f>
        <v>3000</v>
      </c>
      <c r="AG141" s="375">
        <f>IF(ISBLANK('RESUMEN VIGILANCIA'!AF132),"",'RESUMEN VIGILANCIA'!AF132)</f>
        <v>5000</v>
      </c>
      <c r="AH141" s="375">
        <f>IF(ISBLANK('RESUMEN VIGILANCIA'!AG132),"",'RESUMEN VIGILANCIA'!AG132)</f>
        <v>8000</v>
      </c>
      <c r="AI141" s="375">
        <f>IF(ISBLANK('RESUMEN VIGILANCIA'!AH132),"",'RESUMEN VIGILANCIA'!AH132)</f>
        <v>8000</v>
      </c>
      <c r="AJ141" s="375">
        <f>IF(ISBLANK('RESUMEN VIGILANCIA'!AI132),"",'RESUMEN VIGILANCIA'!AI132)</f>
        <v>10000</v>
      </c>
      <c r="AK141" s="375">
        <f>IF(ISBLANK('RESUMEN VIGILANCIA'!AJ132),"",'RESUMEN VIGILANCIA'!AJ132)</f>
        <v>10000</v>
      </c>
      <c r="AL141" s="375">
        <f>IF(ISBLANK('RESUMEN VIGILANCIA'!AK132),"",'RESUMEN VIGILANCIA'!AK132)</f>
        <v>20500</v>
      </c>
      <c r="AM141" s="375">
        <f>IF(ISBLANK('RESUMEN VIGILANCIA'!AL132),"",'RESUMEN VIGILANCIA'!AL132)</f>
        <v>56250</v>
      </c>
      <c r="AN141" s="375">
        <f>IF(ISBLANK('RESUMEN VIGILANCIA'!AM132),"",'RESUMEN VIGILANCIA'!AM132)</f>
        <v>56250</v>
      </c>
      <c r="AO141" s="376">
        <f>IF(ISBLANK('RESUMEN VIGILANCIA'!AN132),"",'RESUMEN VIGILANCIA'!AN132)</f>
        <v>183500</v>
      </c>
      <c r="AP141" s="374">
        <f>IF(ISBLANK('RESUMEN VIGILANCIA'!AO132),"",'RESUMEN VIGILANCIA'!AO132)</f>
        <v>183500</v>
      </c>
      <c r="AQ141" s="375">
        <f>IF(ISBLANK('RESUMEN VIGILANCIA'!AP132),"",'RESUMEN VIGILANCIA'!AP132)</f>
        <v>183500</v>
      </c>
      <c r="AR141" s="375">
        <f>IF(ISBLANK('RESUMEN VIGILANCIA'!AQ132),"",'RESUMEN VIGILANCIA'!AQ132)</f>
        <v>183500</v>
      </c>
      <c r="AS141" s="375">
        <f>IF(ISBLANK('RESUMEN VIGILANCIA'!AR132),"",'RESUMEN VIGILANCIA'!AR132)</f>
        <v>185250</v>
      </c>
      <c r="AT141" s="375">
        <f>IF(ISBLANK('RESUMEN VIGILANCIA'!AS132),"",'RESUMEN VIGILANCIA'!AS132)</f>
        <v>250000</v>
      </c>
      <c r="AU141" s="375">
        <f>IF(ISBLANK('RESUMEN VIGILANCIA'!AT132),"",'RESUMEN VIGILANCIA'!AT132)</f>
        <v>250000</v>
      </c>
      <c r="AV141" s="375">
        <f>IF(ISBLANK('RESUMEN VIGILANCIA'!AU132),"",'RESUMEN VIGILANCIA'!AU132)</f>
        <v>320000</v>
      </c>
      <c r="AW141" s="375" t="str">
        <f>IF(ISBLANK('RESUMEN VIGILANCIA'!AV132),"",'RESUMEN VIGILANCIA'!AV132)</f>
        <v/>
      </c>
      <c r="AX141" s="375" t="str">
        <f>IF(ISBLANK('RESUMEN VIGILANCIA'!AW132),"",'RESUMEN VIGILANCIA'!AW132)</f>
        <v/>
      </c>
      <c r="AY141" s="375" t="str">
        <f>IF(ISBLANK('RESUMEN VIGILANCIA'!AX132),"",'RESUMEN VIGILANCIA'!AX132)</f>
        <v/>
      </c>
      <c r="AZ141" s="375" t="str">
        <f>IF(ISBLANK('RESUMEN VIGILANCIA'!AY132),"",'RESUMEN VIGILANCIA'!AY132)</f>
        <v/>
      </c>
      <c r="BA141" s="376" t="str">
        <f>IF(ISBLANK('RESUMEN VIGILANCIA'!AZ132),"",'RESUMEN VIGILANCIA'!AZ132)</f>
        <v/>
      </c>
      <c r="BB141" s="240">
        <f t="shared" ref="BB141:BB147" si="15">SUM(E141:AO141)</f>
        <v>368084.25</v>
      </c>
      <c r="BC141" s="110">
        <v>43282</v>
      </c>
      <c r="BD141" s="110"/>
    </row>
    <row r="142" spans="1:56" s="28" customFormat="1" ht="20.100000000000001" customHeight="1">
      <c r="A142" s="29" t="str">
        <f>'RESUMEN VIGILANCIA'!A127</f>
        <v>Familia López Hermoso</v>
      </c>
      <c r="B142" s="30" t="str">
        <f>'RESUMEN VIGILANCIA'!B127</f>
        <v>Calle Güigüe Nro. 89-79</v>
      </c>
      <c r="C142" s="427" t="s">
        <v>1358</v>
      </c>
      <c r="D142" s="434" t="s">
        <v>17</v>
      </c>
      <c r="E142" s="415" t="str">
        <f>IF(ISBLANK('RESUMEN VIGILANCIA'!D127),"",'RESUMEN VIGILANCIA'!D127)</f>
        <v/>
      </c>
      <c r="F142" s="267">
        <f>IF(ISBLANK('RESUMEN VIGILANCIA'!E127),"",'RESUMEN VIGILANCIA'!E127)</f>
        <v>0.17</v>
      </c>
      <c r="G142" s="179">
        <f>IF(ISBLANK('RESUMEN VIGILANCIA'!F127),"",'RESUMEN VIGILANCIA'!F127)</f>
        <v>0.17</v>
      </c>
      <c r="H142" s="179">
        <f>IF(ISBLANK('RESUMEN VIGILANCIA'!G127),"",'RESUMEN VIGILANCIA'!G127)</f>
        <v>0.17</v>
      </c>
      <c r="I142" s="179">
        <f>IF(ISBLANK('RESUMEN VIGILANCIA'!H127),"",'RESUMEN VIGILANCIA'!H127)</f>
        <v>0.17</v>
      </c>
      <c r="J142" s="179">
        <f>IF(ISBLANK('RESUMEN VIGILANCIA'!I127),"",'RESUMEN VIGILANCIA'!I127)</f>
        <v>0.26</v>
      </c>
      <c r="K142" s="179">
        <f>IF(ISBLANK('RESUMEN VIGILANCIA'!J127),"",'RESUMEN VIGILANCIA'!J127)</f>
        <v>0.26</v>
      </c>
      <c r="L142" s="179">
        <f>IF(ISBLANK('RESUMEN VIGILANCIA'!K127),"",'RESUMEN VIGILANCIA'!K127)</f>
        <v>0.35</v>
      </c>
      <c r="M142" s="179">
        <f>IF(ISBLANK('RESUMEN VIGILANCIA'!L127),"",'RESUMEN VIGILANCIA'!L127)</f>
        <v>0.35</v>
      </c>
      <c r="N142" s="179">
        <f>IF(ISBLANK('RESUMEN VIGILANCIA'!M127),"",'RESUMEN VIGILANCIA'!M127)</f>
        <v>0.35</v>
      </c>
      <c r="O142" s="179">
        <f>IF(ISBLANK('RESUMEN VIGILANCIA'!N127),"",'RESUMEN VIGILANCIA'!N127)</f>
        <v>0.35</v>
      </c>
      <c r="P142" s="268">
        <f>IF(ISBLANK('RESUMEN VIGILANCIA'!O127),"",'RESUMEN VIGILANCIA'!O127)</f>
        <v>0.5</v>
      </c>
      <c r="Q142" s="177">
        <f>IF(ISBLANK('RESUMEN VIGILANCIA'!P127),"",'RESUMEN VIGILANCIA'!P127)</f>
        <v>0.5</v>
      </c>
      <c r="R142" s="269">
        <f>IF(ISBLANK('RESUMEN VIGILANCIA'!Q127),"",'RESUMEN VIGILANCIA'!Q127)</f>
        <v>0.8</v>
      </c>
      <c r="S142" s="268">
        <f>IF(ISBLANK('RESUMEN VIGILANCIA'!R127),"",'RESUMEN VIGILANCIA'!R127)</f>
        <v>0.8</v>
      </c>
      <c r="T142" s="268">
        <f>IF(ISBLANK('RESUMEN VIGILANCIA'!S127),"",'RESUMEN VIGILANCIA'!S127)</f>
        <v>1.4</v>
      </c>
      <c r="U142" s="268">
        <f>IF(ISBLANK('RESUMEN VIGILANCIA'!T127),"",'RESUMEN VIGILANCIA'!T127)</f>
        <v>1.4</v>
      </c>
      <c r="V142" s="268">
        <f>IF(ISBLANK('RESUMEN VIGILANCIA'!U127),"",'RESUMEN VIGILANCIA'!U127)</f>
        <v>4</v>
      </c>
      <c r="W142" s="268">
        <f>IF(ISBLANK('RESUMEN VIGILANCIA'!V127),"",'RESUMEN VIGILANCIA'!V127)</f>
        <v>6.25</v>
      </c>
      <c r="X142" s="268">
        <f>IF(ISBLANK('RESUMEN VIGILANCIA'!W127),"",'RESUMEN VIGILANCIA'!W127)</f>
        <v>10</v>
      </c>
      <c r="Y142" s="268">
        <f>IF(ISBLANK('RESUMEN VIGILANCIA'!X127),"",'RESUMEN VIGILANCIA'!X127)</f>
        <v>12</v>
      </c>
      <c r="Z142" s="453">
        <f>IF(ISBLANK('RESUMEN VIGILANCIA'!Y127),"",'RESUMEN VIGILANCIA'!Y127)</f>
        <v>320</v>
      </c>
      <c r="AA142" s="453">
        <f>IF(ISBLANK('RESUMEN VIGILANCIA'!Z127),"",'RESUMEN VIGILANCIA'!Z127)</f>
        <v>320</v>
      </c>
      <c r="AB142" s="453">
        <f>IF(ISBLANK('RESUMEN VIGILANCIA'!AA127),"",'RESUMEN VIGILANCIA'!AA127)</f>
        <v>320</v>
      </c>
      <c r="AC142" s="454">
        <f>IF(ISBLANK('RESUMEN VIGILANCIA'!AB127),"",'RESUMEN VIGILANCIA'!AB127)</f>
        <v>811.15</v>
      </c>
      <c r="AD142" s="374">
        <f>IF(ISBLANK('RESUMEN VIGILANCIA'!AC127),"",'RESUMEN VIGILANCIA'!AC127)</f>
        <v>3000</v>
      </c>
      <c r="AE142" s="375">
        <f>IF(ISBLANK('RESUMEN VIGILANCIA'!AD127),"",'RESUMEN VIGILANCIA'!AD127)</f>
        <v>3000</v>
      </c>
      <c r="AF142" s="375">
        <f>IF(ISBLANK('RESUMEN VIGILANCIA'!AE127),"",'RESUMEN VIGILANCIA'!AE127)</f>
        <v>3000</v>
      </c>
      <c r="AG142" s="375">
        <f>IF(ISBLANK('RESUMEN VIGILANCIA'!AF127),"",'RESUMEN VIGILANCIA'!AF127)</f>
        <v>5000</v>
      </c>
      <c r="AH142" s="375">
        <f>IF(ISBLANK('RESUMEN VIGILANCIA'!AG127),"",'RESUMEN VIGILANCIA'!AG127)</f>
        <v>8000</v>
      </c>
      <c r="AI142" s="375">
        <f>IF(ISBLANK('RESUMEN VIGILANCIA'!AH127),"",'RESUMEN VIGILANCIA'!AH127)</f>
        <v>8000</v>
      </c>
      <c r="AJ142" s="375">
        <f>IF(ISBLANK('RESUMEN VIGILANCIA'!AI127),"",'RESUMEN VIGILANCIA'!AI127)</f>
        <v>10000</v>
      </c>
      <c r="AK142" s="375">
        <f>IF(ISBLANK('RESUMEN VIGILANCIA'!AJ127),"",'RESUMEN VIGILANCIA'!AJ127)</f>
        <v>10000</v>
      </c>
      <c r="AL142" s="375">
        <f>IF(ISBLANK('RESUMEN VIGILANCIA'!AK127),"",'RESUMEN VIGILANCIA'!AK127)</f>
        <v>19800</v>
      </c>
      <c r="AM142" s="375">
        <f>IF(ISBLANK('RESUMEN VIGILANCIA'!AL127),"",'RESUMEN VIGILANCIA'!AL127)</f>
        <v>47000</v>
      </c>
      <c r="AN142" s="375">
        <f>IF(ISBLANK('RESUMEN VIGILANCIA'!AM127),"",'RESUMEN VIGILANCIA'!AM127)</f>
        <v>73500</v>
      </c>
      <c r="AO142" s="376">
        <f>IF(ISBLANK('RESUMEN VIGILANCIA'!AN127),"",'RESUMEN VIGILANCIA'!AN127)</f>
        <v>105250</v>
      </c>
      <c r="AP142" s="374">
        <f>IF(ISBLANK('RESUMEN VIGILANCIA'!AO127),"",'RESUMEN VIGILANCIA'!AO127)</f>
        <v>137000</v>
      </c>
      <c r="AQ142" s="375">
        <f>IF(ISBLANK('RESUMEN VIGILANCIA'!AP127),"",'RESUMEN VIGILANCIA'!AP127)</f>
        <v>137000</v>
      </c>
      <c r="AR142" s="375">
        <f>IF(ISBLANK('RESUMEN VIGILANCIA'!AQ127),"",'RESUMEN VIGILANCIA'!AQ127)</f>
        <v>200000</v>
      </c>
      <c r="AS142" s="375">
        <f>IF(ISBLANK('RESUMEN VIGILANCIA'!AR127),"",'RESUMEN VIGILANCIA'!AR127)</f>
        <v>200000</v>
      </c>
      <c r="AT142" s="375">
        <f>IF(ISBLANK('RESUMEN VIGILANCIA'!AS127),"",'RESUMEN VIGILANCIA'!AS127)</f>
        <v>250000</v>
      </c>
      <c r="AU142" s="375">
        <f>IF(ISBLANK('RESUMEN VIGILANCIA'!AT127),"",'RESUMEN VIGILANCIA'!AT127)</f>
        <v>250000</v>
      </c>
      <c r="AV142" s="375" t="str">
        <f>IF(ISBLANK('RESUMEN VIGILANCIA'!AU127),"",'RESUMEN VIGILANCIA'!AU127)</f>
        <v/>
      </c>
      <c r="AW142" s="375" t="str">
        <f>IF(ISBLANK('RESUMEN VIGILANCIA'!AV127),"",'RESUMEN VIGILANCIA'!AV127)</f>
        <v/>
      </c>
      <c r="AX142" s="375" t="str">
        <f>IF(ISBLANK('RESUMEN VIGILANCIA'!AW127),"",'RESUMEN VIGILANCIA'!AW127)</f>
        <v/>
      </c>
      <c r="AY142" s="375" t="str">
        <f>IF(ISBLANK('RESUMEN VIGILANCIA'!AX127),"",'RESUMEN VIGILANCIA'!AX127)</f>
        <v/>
      </c>
      <c r="AZ142" s="375" t="str">
        <f>IF(ISBLANK('RESUMEN VIGILANCIA'!AY127),"",'RESUMEN VIGILANCIA'!AY127)</f>
        <v/>
      </c>
      <c r="BA142" s="376" t="str">
        <f>IF(ISBLANK('RESUMEN VIGILANCIA'!AZ127),"",'RESUMEN VIGILANCIA'!AZ127)</f>
        <v/>
      </c>
      <c r="BB142" s="240">
        <f t="shared" si="15"/>
        <v>297361.40000000002</v>
      </c>
      <c r="BC142" s="110"/>
      <c r="BD142" s="110"/>
    </row>
    <row r="143" spans="1:56" s="28" customFormat="1" ht="20.100000000000001" customHeight="1">
      <c r="A143" s="32" t="str">
        <f>'RESUMEN VIGILANCIA'!A115</f>
        <v>Familia Rodríguez Landaeta</v>
      </c>
      <c r="B143" s="33" t="str">
        <f>'RESUMEN VIGILANCIA'!B115</f>
        <v>Calle Güigüe Nro. 89-29</v>
      </c>
      <c r="C143" s="426" t="s">
        <v>1361</v>
      </c>
      <c r="D143" s="435" t="s">
        <v>1357</v>
      </c>
      <c r="E143" s="414" t="str">
        <f>IF(ISBLANK('RESUMEN VIGILANCIA'!D115),"",'RESUMEN VIGILANCIA'!D115)</f>
        <v/>
      </c>
      <c r="F143" s="264" t="str">
        <f>IF(ISBLANK('RESUMEN VIGILANCIA'!E115),"",'RESUMEN VIGILANCIA'!E115)</f>
        <v/>
      </c>
      <c r="G143" s="186" t="str">
        <f>IF(ISBLANK('RESUMEN VIGILANCIA'!F115),"",'RESUMEN VIGILANCIA'!F115)</f>
        <v/>
      </c>
      <c r="H143" s="186" t="str">
        <f>IF(ISBLANK('RESUMEN VIGILANCIA'!G115),"",'RESUMEN VIGILANCIA'!G115)</f>
        <v/>
      </c>
      <c r="I143" s="186">
        <f>IF(ISBLANK('RESUMEN VIGILANCIA'!H115),"",'RESUMEN VIGILANCIA'!H115)</f>
        <v>0.1</v>
      </c>
      <c r="J143" s="186">
        <f>IF(ISBLANK('RESUMEN VIGILANCIA'!I115),"",'RESUMEN VIGILANCIA'!I115)</f>
        <v>0.1</v>
      </c>
      <c r="K143" s="186">
        <f>IF(ISBLANK('RESUMEN VIGILANCIA'!J115),"",'RESUMEN VIGILANCIA'!J115)</f>
        <v>0.13</v>
      </c>
      <c r="L143" s="186">
        <f>IF(ISBLANK('RESUMEN VIGILANCIA'!K115),"",'RESUMEN VIGILANCIA'!K115)</f>
        <v>0.15</v>
      </c>
      <c r="M143" s="186">
        <f>IF(ISBLANK('RESUMEN VIGILANCIA'!L115),"",'RESUMEN VIGILANCIA'!L115)</f>
        <v>0.15</v>
      </c>
      <c r="N143" s="186">
        <f>IF(ISBLANK('RESUMEN VIGILANCIA'!M115),"",'RESUMEN VIGILANCIA'!M115)</f>
        <v>0.17</v>
      </c>
      <c r="O143" s="186">
        <f>IF(ISBLANK('RESUMEN VIGILANCIA'!N115),"",'RESUMEN VIGILANCIA'!N115)</f>
        <v>0.15</v>
      </c>
      <c r="P143" s="265">
        <f>IF(ISBLANK('RESUMEN VIGILANCIA'!O115),"",'RESUMEN VIGILANCIA'!O115)</f>
        <v>0.15</v>
      </c>
      <c r="Q143" s="184">
        <f>IF(ISBLANK('RESUMEN VIGILANCIA'!P115),"",'RESUMEN VIGILANCIA'!P115)</f>
        <v>0.17</v>
      </c>
      <c r="R143" s="266">
        <f>IF(ISBLANK('RESUMEN VIGILANCIA'!Q115),"",'RESUMEN VIGILANCIA'!Q115)</f>
        <v>0.4</v>
      </c>
      <c r="S143" s="265">
        <f>IF(ISBLANK('RESUMEN VIGILANCIA'!R115),"",'RESUMEN VIGILANCIA'!R115)</f>
        <v>0.4</v>
      </c>
      <c r="T143" s="265">
        <f>IF(ISBLANK('RESUMEN VIGILANCIA'!S115),"",'RESUMEN VIGILANCIA'!S115)</f>
        <v>0.8</v>
      </c>
      <c r="U143" s="265">
        <f>IF(ISBLANK('RESUMEN VIGILANCIA'!T115),"",'RESUMEN VIGILANCIA'!T115)</f>
        <v>0.8</v>
      </c>
      <c r="V143" s="265">
        <f>IF(ISBLANK('RESUMEN VIGILANCIA'!U115),"",'RESUMEN VIGILANCIA'!U115)</f>
        <v>2</v>
      </c>
      <c r="W143" s="265">
        <f>IF(ISBLANK('RESUMEN VIGILANCIA'!V115),"",'RESUMEN VIGILANCIA'!V115)</f>
        <v>3</v>
      </c>
      <c r="X143" s="265">
        <f>IF(ISBLANK('RESUMEN VIGILANCIA'!W115),"",'RESUMEN VIGILANCIA'!W115)</f>
        <v>5</v>
      </c>
      <c r="Y143" s="265">
        <f>IF(ISBLANK('RESUMEN VIGILANCIA'!X115),"",'RESUMEN VIGILANCIA'!X115)</f>
        <v>12</v>
      </c>
      <c r="Z143" s="457">
        <f>IF(ISBLANK('RESUMEN VIGILANCIA'!Y115),"",'RESUMEN VIGILANCIA'!Y115)</f>
        <v>320</v>
      </c>
      <c r="AA143" s="457">
        <f>IF(ISBLANK('RESUMEN VIGILANCIA'!Z115),"",'RESUMEN VIGILANCIA'!Z115)</f>
        <v>250</v>
      </c>
      <c r="AB143" s="457">
        <f>IF(ISBLANK('RESUMEN VIGILANCIA'!AA115),"",'RESUMEN VIGILANCIA'!AA115)</f>
        <v>250</v>
      </c>
      <c r="AC143" s="458">
        <f>IF(ISBLANK('RESUMEN VIGILANCIA'!AB115),"",'RESUMEN VIGILANCIA'!AB115)</f>
        <v>400</v>
      </c>
      <c r="AD143" s="371">
        <f>IF(ISBLANK('RESUMEN VIGILANCIA'!AC115),"",'RESUMEN VIGILANCIA'!AC115)</f>
        <v>600</v>
      </c>
      <c r="AE143" s="372">
        <f>IF(ISBLANK('RESUMEN VIGILANCIA'!AD115),"",'RESUMEN VIGILANCIA'!AD115)</f>
        <v>1500</v>
      </c>
      <c r="AF143" s="372">
        <f>IF(ISBLANK('RESUMEN VIGILANCIA'!AE115),"",'RESUMEN VIGILANCIA'!AE115)</f>
        <v>2000</v>
      </c>
      <c r="AG143" s="372">
        <f>IF(ISBLANK('RESUMEN VIGILANCIA'!AF115),"",'RESUMEN VIGILANCIA'!AF115)</f>
        <v>2500</v>
      </c>
      <c r="AH143" s="372">
        <f>IF(ISBLANK('RESUMEN VIGILANCIA'!AG115),"",'RESUMEN VIGILANCIA'!AG115)</f>
        <v>2500</v>
      </c>
      <c r="AI143" s="372">
        <f>IF(ISBLANK('RESUMEN VIGILANCIA'!AH115),"",'RESUMEN VIGILANCIA'!AH115)</f>
        <v>5000</v>
      </c>
      <c r="AJ143" s="372">
        <f>IF(ISBLANK('RESUMEN VIGILANCIA'!AI115),"",'RESUMEN VIGILANCIA'!AI115)</f>
        <v>5000</v>
      </c>
      <c r="AK143" s="372">
        <f>IF(ISBLANK('RESUMEN VIGILANCIA'!AJ115),"",'RESUMEN VIGILANCIA'!AJ115)</f>
        <v>5000</v>
      </c>
      <c r="AL143" s="372">
        <f>IF(ISBLANK('RESUMEN VIGILANCIA'!AK115),"",'RESUMEN VIGILANCIA'!AK115)</f>
        <v>10000</v>
      </c>
      <c r="AM143" s="372">
        <f>IF(ISBLANK('RESUMEN VIGILANCIA'!AL115),"",'RESUMEN VIGILANCIA'!AL115)</f>
        <v>10000</v>
      </c>
      <c r="AN143" s="372">
        <f>IF(ISBLANK('RESUMEN VIGILANCIA'!AM115),"",'RESUMEN VIGILANCIA'!AM115)</f>
        <v>25000</v>
      </c>
      <c r="AO143" s="373">
        <f>IF(ISBLANK('RESUMEN VIGILANCIA'!AN115),"",'RESUMEN VIGILANCIA'!AN115)</f>
        <v>55600</v>
      </c>
      <c r="AP143" s="371">
        <f>IF(ISBLANK('RESUMEN VIGILANCIA'!AO115),"",'RESUMEN VIGILANCIA'!AO115)</f>
        <v>55600</v>
      </c>
      <c r="AQ143" s="372">
        <f>IF(ISBLANK('RESUMEN VIGILANCIA'!AP115),"",'RESUMEN VIGILANCIA'!AP115)</f>
        <v>55600</v>
      </c>
      <c r="AR143" s="372">
        <f>IF(ISBLANK('RESUMEN VIGILANCIA'!AQ115),"",'RESUMEN VIGILANCIA'!AQ115)</f>
        <v>80000</v>
      </c>
      <c r="AS143" s="372">
        <f>IF(ISBLANK('RESUMEN VIGILANCIA'!AR115),"",'RESUMEN VIGILANCIA'!AR115)</f>
        <v>80000</v>
      </c>
      <c r="AT143" s="372">
        <f>IF(ISBLANK('RESUMEN VIGILANCIA'!AS115),"",'RESUMEN VIGILANCIA'!AS115)</f>
        <v>100000</v>
      </c>
      <c r="AU143" s="372" t="str">
        <f>IF(ISBLANK('RESUMEN VIGILANCIA'!AT115),"",'RESUMEN VIGILANCIA'!AT115)</f>
        <v/>
      </c>
      <c r="AV143" s="372" t="str">
        <f>IF(ISBLANK('RESUMEN VIGILANCIA'!AU115),"",'RESUMEN VIGILANCIA'!AU115)</f>
        <v/>
      </c>
      <c r="AW143" s="372" t="str">
        <f>IF(ISBLANK('RESUMEN VIGILANCIA'!AV115),"",'RESUMEN VIGILANCIA'!AV115)</f>
        <v/>
      </c>
      <c r="AX143" s="372" t="str">
        <f>IF(ISBLANK('RESUMEN VIGILANCIA'!AW115),"",'RESUMEN VIGILANCIA'!AW115)</f>
        <v/>
      </c>
      <c r="AY143" s="372" t="str">
        <f>IF(ISBLANK('RESUMEN VIGILANCIA'!AX115),"",'RESUMEN VIGILANCIA'!AX115)</f>
        <v/>
      </c>
      <c r="AZ143" s="372" t="str">
        <f>IF(ISBLANK('RESUMEN VIGILANCIA'!AY115),"",'RESUMEN VIGILANCIA'!AY115)</f>
        <v/>
      </c>
      <c r="BA143" s="373" t="str">
        <f>IF(ISBLANK('RESUMEN VIGILANCIA'!AZ115),"",'RESUMEN VIGILANCIA'!AZ115)</f>
        <v/>
      </c>
      <c r="BB143" s="239">
        <f t="shared" si="15"/>
        <v>125945.67</v>
      </c>
      <c r="BC143" s="109"/>
      <c r="BD143" s="109"/>
    </row>
    <row r="144" spans="1:56" s="28" customFormat="1" ht="20.100000000000001" customHeight="1">
      <c r="A144" s="52" t="str">
        <f>'RESUMEN VIGILANCIA'!A94</f>
        <v>Colegio El Trigal</v>
      </c>
      <c r="B144" s="53" t="str">
        <f>'RESUMEN VIGILANCIA'!B94</f>
        <v>Calle Güigüe Nros. 88-71 y 88-81</v>
      </c>
      <c r="C144" s="427" t="s">
        <v>1358</v>
      </c>
      <c r="D144" s="434" t="s">
        <v>17</v>
      </c>
      <c r="E144" s="415" t="str">
        <f>IF(ISBLANK('RESUMEN VIGILANCIA'!D94),"",'RESUMEN VIGILANCIA'!D94)</f>
        <v/>
      </c>
      <c r="F144" s="267">
        <f>IF(ISBLANK('RESUMEN VIGILANCIA'!E94),"",'RESUMEN VIGILANCIA'!E94)</f>
        <v>0.30000000000000004</v>
      </c>
      <c r="G144" s="179">
        <f>IF(ISBLANK('RESUMEN VIGILANCIA'!F94),"",'RESUMEN VIGILANCIA'!F94)</f>
        <v>0.3</v>
      </c>
      <c r="H144" s="179">
        <f>IF(ISBLANK('RESUMEN VIGILANCIA'!G94),"",'RESUMEN VIGILANCIA'!G94)</f>
        <v>0.3</v>
      </c>
      <c r="I144" s="179">
        <f>IF(ISBLANK('RESUMEN VIGILANCIA'!H94),"",'RESUMEN VIGILANCIA'!H94)</f>
        <v>0.3</v>
      </c>
      <c r="J144" s="179">
        <f>IF(ISBLANK('RESUMEN VIGILANCIA'!I94),"",'RESUMEN VIGILANCIA'!I94)</f>
        <v>0.4</v>
      </c>
      <c r="K144" s="179">
        <f>IF(ISBLANK('RESUMEN VIGILANCIA'!J94),"",'RESUMEN VIGILANCIA'!J94)</f>
        <v>0.4</v>
      </c>
      <c r="L144" s="179">
        <f>IF(ISBLANK('RESUMEN VIGILANCIA'!K94),"",'RESUMEN VIGILANCIA'!K94)</f>
        <v>0.54</v>
      </c>
      <c r="M144" s="179">
        <f>IF(ISBLANK('RESUMEN VIGILANCIA'!L94),"",'RESUMEN VIGILANCIA'!L94)</f>
        <v>0.54</v>
      </c>
      <c r="N144" s="179">
        <f>IF(ISBLANK('RESUMEN VIGILANCIA'!M94),"",'RESUMEN VIGILANCIA'!M94)</f>
        <v>0.54</v>
      </c>
      <c r="O144" s="179">
        <f>IF(ISBLANK('RESUMEN VIGILANCIA'!N94),"",'RESUMEN VIGILANCIA'!N94)</f>
        <v>0.54</v>
      </c>
      <c r="P144" s="268">
        <f>IF(ISBLANK('RESUMEN VIGILANCIA'!O94),"",'RESUMEN VIGILANCIA'!O94)</f>
        <v>0.71</v>
      </c>
      <c r="Q144" s="177">
        <f>IF(ISBLANK('RESUMEN VIGILANCIA'!P94),"",'RESUMEN VIGILANCIA'!P94)</f>
        <v>0.71</v>
      </c>
      <c r="R144" s="269">
        <f>IF(ISBLANK('RESUMEN VIGILANCIA'!Q94),"",'RESUMEN VIGILANCIA'!Q94)</f>
        <v>1.1359999999999999</v>
      </c>
      <c r="S144" s="268">
        <f>IF(ISBLANK('RESUMEN VIGILANCIA'!R94),"",'RESUMEN VIGILANCIA'!R94)</f>
        <v>1.1359999999999999</v>
      </c>
      <c r="T144" s="268">
        <f>IF(ISBLANK('RESUMEN VIGILANCIA'!S94),"",'RESUMEN VIGILANCIA'!S94)</f>
        <v>2</v>
      </c>
      <c r="U144" s="268">
        <f>IF(ISBLANK('RESUMEN VIGILANCIA'!T94),"",'RESUMEN VIGILANCIA'!T94)</f>
        <v>2</v>
      </c>
      <c r="V144" s="268">
        <f>IF(ISBLANK('RESUMEN VIGILANCIA'!U94),"",'RESUMEN VIGILANCIA'!U94)</f>
        <v>5.8</v>
      </c>
      <c r="W144" s="268">
        <f>IF(ISBLANK('RESUMEN VIGILANCIA'!V94),"",'RESUMEN VIGILANCIA'!V94)</f>
        <v>9.0500000000000007</v>
      </c>
      <c r="X144" s="268">
        <f>IF(ISBLANK('RESUMEN VIGILANCIA'!W94),"",'RESUMEN VIGILANCIA'!W94)</f>
        <v>14.5</v>
      </c>
      <c r="Y144" s="268">
        <f>IF(ISBLANK('RESUMEN VIGILANCIA'!X94),"",'RESUMEN VIGILANCIA'!X94)</f>
        <v>17.399999999999999</v>
      </c>
      <c r="Z144" s="453">
        <f>IF(ISBLANK('RESUMEN VIGILANCIA'!Y94),"",'RESUMEN VIGILANCIA'!Y94)</f>
        <v>465</v>
      </c>
      <c r="AA144" s="453">
        <f>IF(ISBLANK('RESUMEN VIGILANCIA'!Z94),"",'RESUMEN VIGILANCIA'!Z94)</f>
        <v>465</v>
      </c>
      <c r="AB144" s="453">
        <f>IF(ISBLANK('RESUMEN VIGILANCIA'!AA94),"",'RESUMEN VIGILANCIA'!AA94)</f>
        <v>465</v>
      </c>
      <c r="AC144" s="454">
        <f>IF(ISBLANK('RESUMEN VIGILANCIA'!AB94),"",'RESUMEN VIGILANCIA'!AB94)</f>
        <v>1160</v>
      </c>
      <c r="AD144" s="374">
        <f>IF(ISBLANK('RESUMEN VIGILANCIA'!AC94),"",'RESUMEN VIGILANCIA'!AC94)</f>
        <v>4350</v>
      </c>
      <c r="AE144" s="375">
        <f>IF(ISBLANK('RESUMEN VIGILANCIA'!AD94),"",'RESUMEN VIGILANCIA'!AD94)</f>
        <v>4350</v>
      </c>
      <c r="AF144" s="375">
        <f>IF(ISBLANK('RESUMEN VIGILANCIA'!AE94),"",'RESUMEN VIGILANCIA'!AE94)</f>
        <v>4350</v>
      </c>
      <c r="AG144" s="375">
        <f>IF(ISBLANK('RESUMEN VIGILANCIA'!AF94),"",'RESUMEN VIGILANCIA'!AF94)</f>
        <v>7250</v>
      </c>
      <c r="AH144" s="375">
        <f>IF(ISBLANK('RESUMEN VIGILANCIA'!AG94),"",'RESUMEN VIGILANCIA'!AG94)</f>
        <v>11600</v>
      </c>
      <c r="AI144" s="375">
        <f>IF(ISBLANK('RESUMEN VIGILANCIA'!AH94),"",'RESUMEN VIGILANCIA'!AH94)</f>
        <v>11600</v>
      </c>
      <c r="AJ144" s="375">
        <f>IF(ISBLANK('RESUMEN VIGILANCIA'!AI94),"",'RESUMEN VIGILANCIA'!AI94)</f>
        <v>14500</v>
      </c>
      <c r="AK144" s="375">
        <f>IF(ISBLANK('RESUMEN VIGILANCIA'!AJ94),"",'RESUMEN VIGILANCIA'!AJ94)</f>
        <v>14500</v>
      </c>
      <c r="AL144" s="375">
        <f>IF(ISBLANK('RESUMEN VIGILANCIA'!AK94),"",'RESUMEN VIGILANCIA'!AK94)</f>
        <v>29725</v>
      </c>
      <c r="AM144" s="375">
        <f>IF(ISBLANK('RESUMEN VIGILANCIA'!AL94),"",'RESUMEN VIGILANCIA'!AL94)</f>
        <v>68150</v>
      </c>
      <c r="AN144" s="375">
        <f>IF(ISBLANK('RESUMEN VIGILANCIA'!AM94),"",'RESUMEN VIGILANCIA'!AM94)</f>
        <v>118540</v>
      </c>
      <c r="AO144" s="376">
        <f>IF(ISBLANK('RESUMEN VIGILANCIA'!AN94),"",'RESUMEN VIGILANCIA'!AN94)</f>
        <v>141375</v>
      </c>
      <c r="AP144" s="374">
        <f>IF(ISBLANK('RESUMEN VIGILANCIA'!AO94),"",'RESUMEN VIGILANCIA'!AO94)</f>
        <v>197575</v>
      </c>
      <c r="AQ144" s="375">
        <f>IF(ISBLANK('RESUMEN VIGILANCIA'!AP94),"",'RESUMEN VIGILANCIA'!AP94)</f>
        <v>197575</v>
      </c>
      <c r="AR144" s="375">
        <f>IF(ISBLANK('RESUMEN VIGILANCIA'!AQ94),"",'RESUMEN VIGILANCIA'!AQ94)</f>
        <v>268615</v>
      </c>
      <c r="AS144" s="375">
        <f>IF(ISBLANK('RESUMEN VIGILANCIA'!AR94),"",'RESUMEN VIGILANCIA'!AR94)</f>
        <v>268615</v>
      </c>
      <c r="AT144" s="375">
        <f>IF(ISBLANK('RESUMEN VIGILANCIA'!AS94),"",'RESUMEN VIGILANCIA'!AS94)</f>
        <v>362500</v>
      </c>
      <c r="AU144" s="375">
        <f>IF(ISBLANK('RESUMEN VIGILANCIA'!AT94),"",'RESUMEN VIGILANCIA'!AT94)</f>
        <v>362500</v>
      </c>
      <c r="AV144" s="375" t="str">
        <f>IF(ISBLANK('RESUMEN VIGILANCIA'!AU94),"",'RESUMEN VIGILANCIA'!AU94)</f>
        <v/>
      </c>
      <c r="AW144" s="375" t="str">
        <f>IF(ISBLANK('RESUMEN VIGILANCIA'!AV94),"",'RESUMEN VIGILANCIA'!AV94)</f>
        <v/>
      </c>
      <c r="AX144" s="375" t="str">
        <f>IF(ISBLANK('RESUMEN VIGILANCIA'!AW94),"",'RESUMEN VIGILANCIA'!AW94)</f>
        <v/>
      </c>
      <c r="AY144" s="375" t="str">
        <f>IF(ISBLANK('RESUMEN VIGILANCIA'!AX94),"",'RESUMEN VIGILANCIA'!AX94)</f>
        <v/>
      </c>
      <c r="AZ144" s="375" t="str">
        <f>IF(ISBLANK('RESUMEN VIGILANCIA'!AY94),"",'RESUMEN VIGILANCIA'!AY94)</f>
        <v/>
      </c>
      <c r="BA144" s="376" t="str">
        <f>IF(ISBLANK('RESUMEN VIGILANCIA'!AZ94),"",'RESUMEN VIGILANCIA'!AZ94)</f>
        <v/>
      </c>
      <c r="BB144" s="296">
        <f t="shared" si="15"/>
        <v>432903.60200000001</v>
      </c>
      <c r="BC144" s="115"/>
      <c r="BD144" s="115"/>
    </row>
    <row r="145" spans="1:56">
      <c r="A145" s="42"/>
      <c r="B145" s="43" t="s">
        <v>1254</v>
      </c>
      <c r="C145" s="439"/>
      <c r="D145" s="437"/>
      <c r="E145" s="421">
        <f t="shared" ref="E145:AN145" si="16">SUM(E2:E144)</f>
        <v>0.1</v>
      </c>
      <c r="F145" s="297">
        <f t="shared" si="16"/>
        <v>10.254999999999999</v>
      </c>
      <c r="G145" s="298">
        <f t="shared" si="16"/>
        <v>10.619999999999997</v>
      </c>
      <c r="H145" s="298">
        <f t="shared" si="16"/>
        <v>10.084999999999999</v>
      </c>
      <c r="I145" s="298">
        <f t="shared" si="16"/>
        <v>10.475999999999999</v>
      </c>
      <c r="J145" s="298">
        <f t="shared" si="16"/>
        <v>15.079999999999991</v>
      </c>
      <c r="K145" s="298">
        <f t="shared" si="16"/>
        <v>15.649999999999993</v>
      </c>
      <c r="L145" s="298">
        <f t="shared" si="16"/>
        <v>20.910000000000004</v>
      </c>
      <c r="M145" s="298">
        <f t="shared" si="16"/>
        <v>21.105</v>
      </c>
      <c r="N145" s="298">
        <f t="shared" si="16"/>
        <v>20.769000000000002</v>
      </c>
      <c r="O145" s="298">
        <f t="shared" si="16"/>
        <v>21.42</v>
      </c>
      <c r="P145" s="299">
        <f t="shared" si="16"/>
        <v>30.400000000000002</v>
      </c>
      <c r="Q145" s="300">
        <f t="shared" si="16"/>
        <v>30.77</v>
      </c>
      <c r="R145" s="257">
        <f t="shared" si="16"/>
        <v>53.999999999999957</v>
      </c>
      <c r="S145" s="254">
        <f t="shared" si="16"/>
        <v>56.999999999999943</v>
      </c>
      <c r="T145" s="254">
        <f t="shared" si="16"/>
        <v>98.200000000000074</v>
      </c>
      <c r="U145" s="254">
        <f t="shared" si="16"/>
        <v>103.15000000000008</v>
      </c>
      <c r="V145" s="254">
        <f t="shared" si="16"/>
        <v>280.10000000000002</v>
      </c>
      <c r="W145" s="254">
        <f t="shared" si="16"/>
        <v>451.35</v>
      </c>
      <c r="X145" s="254">
        <f t="shared" si="16"/>
        <v>767.75</v>
      </c>
      <c r="Y145" s="254">
        <f t="shared" si="16"/>
        <v>934.85</v>
      </c>
      <c r="Z145" s="365">
        <f t="shared" si="16"/>
        <v>23201.41</v>
      </c>
      <c r="AA145" s="365">
        <f t="shared" si="16"/>
        <v>24138.5</v>
      </c>
      <c r="AB145" s="365">
        <f t="shared" si="16"/>
        <v>25420</v>
      </c>
      <c r="AC145" s="366">
        <f t="shared" si="16"/>
        <v>59421.15</v>
      </c>
      <c r="AD145" s="364">
        <f t="shared" si="16"/>
        <v>224154.2</v>
      </c>
      <c r="AE145" s="365">
        <f t="shared" si="16"/>
        <v>229490</v>
      </c>
      <c r="AF145" s="365">
        <f t="shared" si="16"/>
        <v>243715.55</v>
      </c>
      <c r="AG145" s="365">
        <f t="shared" si="16"/>
        <v>392130</v>
      </c>
      <c r="AH145" s="365">
        <f t="shared" si="16"/>
        <v>632980</v>
      </c>
      <c r="AI145" s="365">
        <f t="shared" si="16"/>
        <v>645640</v>
      </c>
      <c r="AJ145" s="365">
        <f t="shared" si="16"/>
        <v>809500</v>
      </c>
      <c r="AK145" s="365">
        <f t="shared" si="16"/>
        <v>809400</v>
      </c>
      <c r="AL145" s="365">
        <f t="shared" si="16"/>
        <v>1743896.22</v>
      </c>
      <c r="AM145" s="365">
        <f t="shared" si="16"/>
        <v>4139839</v>
      </c>
      <c r="AN145" s="365">
        <f t="shared" si="16"/>
        <v>7522401</v>
      </c>
      <c r="AO145" s="366">
        <f t="shared" ref="AO145" si="17">SUM(AO2:AO144)</f>
        <v>8064925</v>
      </c>
      <c r="AP145" s="364">
        <f t="shared" ref="AP145:AZ145" si="18">SUM(AP2:AP144)</f>
        <v>10541325</v>
      </c>
      <c r="AQ145" s="365">
        <f t="shared" si="18"/>
        <v>11317025</v>
      </c>
      <c r="AR145" s="365">
        <f t="shared" si="18"/>
        <v>14180040</v>
      </c>
      <c r="AS145" s="365">
        <f t="shared" si="18"/>
        <v>14781995.800000001</v>
      </c>
      <c r="AT145" s="365">
        <f t="shared" si="18"/>
        <v>18702250</v>
      </c>
      <c r="AU145" s="365">
        <f t="shared" si="18"/>
        <v>16994800</v>
      </c>
      <c r="AV145" s="365">
        <f t="shared" si="18"/>
        <v>7280000</v>
      </c>
      <c r="AW145" s="365">
        <f t="shared" si="18"/>
        <v>440000</v>
      </c>
      <c r="AX145" s="365">
        <f t="shared" si="18"/>
        <v>0</v>
      </c>
      <c r="AY145" s="365">
        <f t="shared" si="18"/>
        <v>0</v>
      </c>
      <c r="AZ145" s="365">
        <f t="shared" si="18"/>
        <v>0</v>
      </c>
      <c r="BA145" s="366">
        <f t="shared" ref="BA145" si="19">SUM(BA2:BA144)</f>
        <v>0</v>
      </c>
      <c r="BB145" s="301">
        <f t="shared" si="15"/>
        <v>25593216.07</v>
      </c>
      <c r="BC145" s="116"/>
      <c r="BD145" s="116"/>
    </row>
    <row r="146" spans="1:56">
      <c r="A146" s="72"/>
      <c r="B146" s="43" t="s">
        <v>1260</v>
      </c>
      <c r="C146" s="439"/>
      <c r="D146" s="437"/>
      <c r="E146" s="422">
        <f>'RESUMEN VIGILANCIA'!D146</f>
        <v>2</v>
      </c>
      <c r="F146" s="76">
        <f>'RESUMEN VIGILANCIA'!E146</f>
        <v>75</v>
      </c>
      <c r="G146" s="77">
        <f>'RESUMEN VIGILANCIA'!F146</f>
        <v>75</v>
      </c>
      <c r="H146" s="77">
        <f>'RESUMEN VIGILANCIA'!G146</f>
        <v>69</v>
      </c>
      <c r="I146" s="77">
        <f>'RESUMEN VIGILANCIA'!H146</f>
        <v>70</v>
      </c>
      <c r="J146" s="77">
        <f>'RESUMEN VIGILANCIA'!I146</f>
        <v>69</v>
      </c>
      <c r="K146" s="77">
        <f>'RESUMEN VIGILANCIA'!J146</f>
        <v>68</v>
      </c>
      <c r="L146" s="77">
        <f>'RESUMEN VIGILANCIA'!K146</f>
        <v>71</v>
      </c>
      <c r="M146" s="77">
        <f>'RESUMEN VIGILANCIA'!L146</f>
        <v>71</v>
      </c>
      <c r="N146" s="77">
        <f>'RESUMEN VIGILANCIA'!M146</f>
        <v>68</v>
      </c>
      <c r="O146" s="77">
        <f>'RESUMEN VIGILANCIA'!N146</f>
        <v>68</v>
      </c>
      <c r="P146" s="77">
        <f>'RESUMEN VIGILANCIA'!O146</f>
        <v>68</v>
      </c>
      <c r="Q146" s="75">
        <f>'RESUMEN VIGILANCIA'!P146</f>
        <v>68</v>
      </c>
      <c r="R146" s="76">
        <f>'RESUMEN VIGILANCIA'!Q146</f>
        <v>74</v>
      </c>
      <c r="S146" s="77">
        <f>'RESUMEN VIGILANCIA'!R146</f>
        <v>76</v>
      </c>
      <c r="T146" s="77">
        <f>'RESUMEN VIGILANCIA'!S146</f>
        <v>76</v>
      </c>
      <c r="U146" s="77">
        <f>'RESUMEN VIGILANCIA'!T146</f>
        <v>77</v>
      </c>
      <c r="V146" s="77">
        <f>'RESUMEN VIGILANCIA'!U146</f>
        <v>78</v>
      </c>
      <c r="W146" s="77">
        <f>'RESUMEN VIGILANCIA'!V146</f>
        <v>79</v>
      </c>
      <c r="X146" s="77">
        <f>'RESUMEN VIGILANCIA'!W146</f>
        <v>80</v>
      </c>
      <c r="Y146" s="77">
        <f>'RESUMEN VIGILANCIA'!X146</f>
        <v>78</v>
      </c>
      <c r="Z146" s="77">
        <f>'RESUMEN VIGILANCIA'!Y146</f>
        <v>75</v>
      </c>
      <c r="AA146" s="77">
        <f>'RESUMEN VIGILANCIA'!Z146</f>
        <v>77</v>
      </c>
      <c r="AB146" s="77">
        <f>'RESUMEN VIGILANCIA'!AA146</f>
        <v>76</v>
      </c>
      <c r="AC146" s="75">
        <f>'RESUMEN VIGILANCIA'!AB146</f>
        <v>76</v>
      </c>
      <c r="AD146" s="328">
        <f>'RESUMEN VIGILANCIA'!AC146</f>
        <v>78</v>
      </c>
      <c r="AE146" s="329">
        <f>'RESUMEN VIGILANCIA'!AD146</f>
        <v>78</v>
      </c>
      <c r="AF146" s="329">
        <f>'RESUMEN VIGILANCIA'!AE146</f>
        <v>79</v>
      </c>
      <c r="AG146" s="329">
        <f>'RESUMEN VIGILANCIA'!AF146</f>
        <v>80</v>
      </c>
      <c r="AH146" s="329">
        <f>'RESUMEN VIGILANCIA'!AG146</f>
        <v>81</v>
      </c>
      <c r="AI146" s="329">
        <f>'RESUMEN VIGILANCIA'!AH146</f>
        <v>81</v>
      </c>
      <c r="AJ146" s="329">
        <f>'RESUMEN VIGILANCIA'!AI146</f>
        <v>81</v>
      </c>
      <c r="AK146" s="329">
        <f>'RESUMEN VIGILANCIA'!AJ146</f>
        <v>81</v>
      </c>
      <c r="AL146" s="329">
        <f>'RESUMEN VIGILANCIA'!AK146</f>
        <v>81</v>
      </c>
      <c r="AM146" s="329">
        <f>'RESUMEN VIGILANCIA'!AL146</f>
        <v>82</v>
      </c>
      <c r="AN146" s="329">
        <f>'RESUMEN VIGILANCIA'!AM146</f>
        <v>83</v>
      </c>
      <c r="AO146" s="348">
        <f>'RESUMEN VIGILANCIA'!AN146</f>
        <v>80</v>
      </c>
      <c r="AP146" s="328">
        <f>'RESUMEN VIGILANCIA'!AO146</f>
        <v>79</v>
      </c>
      <c r="AQ146" s="329">
        <f>'RESUMEN VIGILANCIA'!AP146</f>
        <v>80</v>
      </c>
      <c r="AR146" s="329">
        <f>'RESUMEN VIGILANCIA'!AQ146</f>
        <v>79</v>
      </c>
      <c r="AS146" s="329">
        <f>'RESUMEN VIGILANCIA'!AR146</f>
        <v>79</v>
      </c>
      <c r="AT146" s="329">
        <f>'RESUMEN VIGILANCIA'!AS146</f>
        <v>77</v>
      </c>
      <c r="AU146" s="329">
        <f>'RESUMEN VIGILANCIA'!AT146</f>
        <v>68</v>
      </c>
      <c r="AV146" s="329">
        <f>'RESUMEN VIGILANCIA'!AU146</f>
        <v>24</v>
      </c>
      <c r="AW146" s="329">
        <f>'RESUMEN VIGILANCIA'!AV146</f>
        <v>3</v>
      </c>
      <c r="AX146" s="329">
        <f>'RESUMEN VIGILANCIA'!AW146</f>
        <v>0</v>
      </c>
      <c r="AY146" s="329">
        <f>'RESUMEN VIGILANCIA'!AX146</f>
        <v>0</v>
      </c>
      <c r="AZ146" s="329">
        <f>'RESUMEN VIGILANCIA'!AY146</f>
        <v>0</v>
      </c>
      <c r="BA146" s="348">
        <f>'RESUMEN VIGILANCIA'!AZ146</f>
        <v>0</v>
      </c>
      <c r="BB146" s="54">
        <f t="shared" si="15"/>
        <v>2729</v>
      </c>
      <c r="BC146" s="117"/>
      <c r="BD146" s="117"/>
    </row>
    <row r="147" spans="1:56">
      <c r="A147" s="73"/>
      <c r="B147" s="74" t="s">
        <v>1261</v>
      </c>
      <c r="C147" s="439"/>
      <c r="D147" s="437"/>
      <c r="E147" s="422">
        <f>'RESUMEN VIGILANCIA'!D147</f>
        <v>0</v>
      </c>
      <c r="F147" s="76">
        <f>'RESUMEN VIGILANCIA'!E147</f>
        <v>46</v>
      </c>
      <c r="G147" s="77">
        <f>'RESUMEN VIGILANCIA'!F147</f>
        <v>50</v>
      </c>
      <c r="H147" s="77">
        <f>'RESUMEN VIGILANCIA'!G147</f>
        <v>46</v>
      </c>
      <c r="I147" s="77">
        <f>'RESUMEN VIGILANCIA'!H147</f>
        <v>52</v>
      </c>
      <c r="J147" s="77">
        <f>'RESUMEN VIGILANCIA'!I147</f>
        <v>48</v>
      </c>
      <c r="K147" s="77">
        <f>'RESUMEN VIGILANCIA'!J147</f>
        <v>51</v>
      </c>
      <c r="L147" s="77">
        <f>'RESUMEN VIGILANCIA'!K147</f>
        <v>47</v>
      </c>
      <c r="M147" s="77">
        <f>'RESUMEN VIGILANCIA'!L147</f>
        <v>50</v>
      </c>
      <c r="N147" s="77">
        <f>'RESUMEN VIGILANCIA'!M147</f>
        <v>50</v>
      </c>
      <c r="O147" s="77">
        <f>'RESUMEN VIGILANCIA'!N147</f>
        <v>52</v>
      </c>
      <c r="P147" s="77">
        <f>'RESUMEN VIGILANCIA'!O147</f>
        <v>52</v>
      </c>
      <c r="Q147" s="75">
        <f>'RESUMEN VIGILANCIA'!P147</f>
        <v>52</v>
      </c>
      <c r="R147" s="76">
        <f>'RESUMEN VIGILANCIA'!Q147</f>
        <v>59</v>
      </c>
      <c r="S147" s="77">
        <f>'RESUMEN VIGILANCIA'!R147</f>
        <v>63</v>
      </c>
      <c r="T147" s="77">
        <f>'RESUMEN VIGILANCIA'!S147</f>
        <v>61</v>
      </c>
      <c r="U147" s="77">
        <f>'RESUMEN VIGILANCIA'!T147</f>
        <v>64</v>
      </c>
      <c r="V147" s="77">
        <f>'RESUMEN VIGILANCIA'!U147</f>
        <v>64</v>
      </c>
      <c r="W147" s="77">
        <f>'RESUMEN VIGILANCIA'!V147</f>
        <v>62</v>
      </c>
      <c r="X147" s="77">
        <f>'RESUMEN VIGILANCIA'!W147</f>
        <v>73</v>
      </c>
      <c r="Y147" s="77">
        <f>'RESUMEN VIGILANCIA'!X147</f>
        <v>73</v>
      </c>
      <c r="Z147" s="77">
        <f>'RESUMEN VIGILANCIA'!Y147</f>
        <v>68</v>
      </c>
      <c r="AA147" s="77">
        <f>'RESUMEN VIGILANCIA'!Z147</f>
        <v>70</v>
      </c>
      <c r="AB147" s="77">
        <f>'RESUMEN VIGILANCIA'!AA147</f>
        <v>72</v>
      </c>
      <c r="AC147" s="75">
        <f>'RESUMEN VIGILANCIA'!AB147</f>
        <v>69</v>
      </c>
      <c r="AD147" s="328">
        <f>'RESUMEN VIGILANCIA'!AC147</f>
        <v>71</v>
      </c>
      <c r="AE147" s="329">
        <f>'RESUMEN VIGILANCIA'!AD147</f>
        <v>72</v>
      </c>
      <c r="AF147" s="329">
        <f>'RESUMEN VIGILANCIA'!AE147</f>
        <v>75</v>
      </c>
      <c r="AG147" s="329">
        <f>'RESUMEN VIGILANCIA'!AF147</f>
        <v>74</v>
      </c>
      <c r="AH147" s="329">
        <f>'RESUMEN VIGILANCIA'!AG147</f>
        <v>75</v>
      </c>
      <c r="AI147" s="329">
        <f>'RESUMEN VIGILANCIA'!AH147</f>
        <v>76</v>
      </c>
      <c r="AJ147" s="329">
        <f>'RESUMEN VIGILANCIA'!AI147</f>
        <v>75</v>
      </c>
      <c r="AK147" s="329">
        <f>'RESUMEN VIGILANCIA'!AJ147</f>
        <v>75</v>
      </c>
      <c r="AL147" s="329">
        <f>'RESUMEN VIGILANCIA'!AK147</f>
        <v>41</v>
      </c>
      <c r="AM147" s="329">
        <f>'RESUMEN VIGILANCIA'!AL147</f>
        <v>39</v>
      </c>
      <c r="AN147" s="329">
        <f>'RESUMEN VIGILANCIA'!AM147</f>
        <v>29</v>
      </c>
      <c r="AO147" s="348">
        <f>'RESUMEN VIGILANCIA'!AN147</f>
        <v>38</v>
      </c>
      <c r="AP147" s="328">
        <f>'RESUMEN VIGILANCIA'!AO147</f>
        <v>69</v>
      </c>
      <c r="AQ147" s="329">
        <f>'RESUMEN VIGILANCIA'!AP147</f>
        <v>69</v>
      </c>
      <c r="AR147" s="329">
        <f>'RESUMEN VIGILANCIA'!AQ147</f>
        <v>66</v>
      </c>
      <c r="AS147" s="329">
        <f>'RESUMEN VIGILANCIA'!AR147</f>
        <v>72</v>
      </c>
      <c r="AT147" s="329">
        <f>'RESUMEN VIGILANCIA'!AS147</f>
        <v>70</v>
      </c>
      <c r="AU147" s="329">
        <f>'RESUMEN VIGILANCIA'!AT147</f>
        <v>64</v>
      </c>
      <c r="AV147" s="329">
        <f>'RESUMEN VIGILANCIA'!AU147</f>
        <v>18</v>
      </c>
      <c r="AW147" s="329">
        <f>'RESUMEN VIGILANCIA'!AV147</f>
        <v>3</v>
      </c>
      <c r="AX147" s="329">
        <f>'RESUMEN VIGILANCIA'!AW147</f>
        <v>0</v>
      </c>
      <c r="AY147" s="329">
        <f>'RESUMEN VIGILANCIA'!AX147</f>
        <v>0</v>
      </c>
      <c r="AZ147" s="329">
        <f>'RESUMEN VIGILANCIA'!AY147</f>
        <v>0</v>
      </c>
      <c r="BA147" s="348">
        <f>'RESUMEN VIGILANCIA'!AZ147</f>
        <v>0</v>
      </c>
      <c r="BB147" s="54">
        <f t="shared" si="15"/>
        <v>2134</v>
      </c>
      <c r="BC147" s="117"/>
      <c r="BD147" s="117"/>
    </row>
    <row r="148" spans="1:56">
      <c r="A148" s="483" t="s">
        <v>1263</v>
      </c>
      <c r="B148" s="55"/>
      <c r="C148" s="440"/>
      <c r="D148" s="441"/>
      <c r="E148" s="423"/>
      <c r="F148" s="257">
        <f>IF(NOT(ISBLANK('RESUMEN VIGILANCIA'!E149)),'RESUMEN VIGILANCIA'!E149,"")</f>
        <v>0.17</v>
      </c>
      <c r="G148" s="254">
        <f>IF(NOT(ISBLANK('RESUMEN VIGILANCIA'!F149)),'RESUMEN VIGILANCIA'!F149,"")</f>
        <v>0.17</v>
      </c>
      <c r="H148" s="254">
        <f>IF(NOT(ISBLANK('RESUMEN VIGILANCIA'!G149)),'RESUMEN VIGILANCIA'!G149,"")</f>
        <v>0.17</v>
      </c>
      <c r="I148" s="254">
        <f>IF(NOT(ISBLANK('RESUMEN VIGILANCIA'!H149)),'RESUMEN VIGILANCIA'!H149,"")</f>
        <v>0.17</v>
      </c>
      <c r="J148" s="254">
        <f>IF(NOT(ISBLANK('RESUMEN VIGILANCIA'!I149)),'RESUMEN VIGILANCIA'!I149,"")</f>
        <v>0.26</v>
      </c>
      <c r="K148" s="254">
        <f>IF(NOT(ISBLANK('RESUMEN VIGILANCIA'!J149)),'RESUMEN VIGILANCIA'!J149,"")</f>
        <v>0.26</v>
      </c>
      <c r="L148" s="254">
        <f>IF(NOT(ISBLANK('RESUMEN VIGILANCIA'!K149)),'RESUMEN VIGILANCIA'!K149,"")</f>
        <v>0.35</v>
      </c>
      <c r="M148" s="254">
        <f>IF(NOT(ISBLANK('RESUMEN VIGILANCIA'!L149)),'RESUMEN VIGILANCIA'!L149,"")</f>
        <v>0.35</v>
      </c>
      <c r="N148" s="254">
        <f>IF(NOT(ISBLANK('RESUMEN VIGILANCIA'!M149)),'RESUMEN VIGILANCIA'!M149,"")</f>
        <v>0.35</v>
      </c>
      <c r="O148" s="254">
        <f>IF(NOT(ISBLANK('RESUMEN VIGILANCIA'!N149)),'RESUMEN VIGILANCIA'!N149,"")</f>
        <v>0.35</v>
      </c>
      <c r="P148" s="254">
        <f>IF(NOT(ISBLANK('RESUMEN VIGILANCIA'!O149)),'RESUMEN VIGILANCIA'!O149,"")</f>
        <v>0.5</v>
      </c>
      <c r="Q148" s="252">
        <f>IF(NOT(ISBLANK('RESUMEN VIGILANCIA'!P149)),'RESUMEN VIGILANCIA'!P149,"")</f>
        <v>0.5</v>
      </c>
      <c r="R148" s="258">
        <f>IF(NOT(ISBLANK('RESUMEN VIGILANCIA'!Q149)),'RESUMEN VIGILANCIA'!Q149,"")</f>
        <v>0.8</v>
      </c>
      <c r="S148" s="259">
        <f>IF(NOT(ISBLANK('RESUMEN VIGILANCIA'!R149)),'RESUMEN VIGILANCIA'!R149,"")</f>
        <v>0.8</v>
      </c>
      <c r="T148" s="259">
        <f>IF(NOT(ISBLANK('RESUMEN VIGILANCIA'!S149)),'RESUMEN VIGILANCIA'!S149,"")</f>
        <v>1.4</v>
      </c>
      <c r="U148" s="259">
        <f>IF(NOT(ISBLANK('RESUMEN VIGILANCIA'!T149)),'RESUMEN VIGILANCIA'!T149,"")</f>
        <v>1.4</v>
      </c>
      <c r="V148" s="259">
        <f>IF(NOT(ISBLANK('RESUMEN VIGILANCIA'!U149)),'RESUMEN VIGILANCIA'!U149,"")</f>
        <v>4</v>
      </c>
      <c r="W148" s="259">
        <f>IF(NOT(ISBLANK('RESUMEN VIGILANCIA'!V149)),'RESUMEN VIGILANCIA'!V149,"")</f>
        <v>6.25</v>
      </c>
      <c r="X148" s="259">
        <f>IF(NOT(ISBLANK('RESUMEN VIGILANCIA'!W149)),'RESUMEN VIGILANCIA'!W149,"")</f>
        <v>10</v>
      </c>
      <c r="Y148" s="259">
        <f>IF(NOT(ISBLANK('RESUMEN VIGILANCIA'!X149)),'RESUMEN VIGILANCIA'!X149,"")</f>
        <v>12</v>
      </c>
      <c r="Z148" s="480">
        <f>IF(NOT(ISBLANK('RESUMEN VIGILANCIA'!Y149)),'RESUMEN VIGILANCIA'!Y149,"")</f>
        <v>320</v>
      </c>
      <c r="AA148" s="480">
        <f>IF(NOT(ISBLANK('RESUMEN VIGILANCIA'!Z149)),'RESUMEN VIGILANCIA'!Z149,"")</f>
        <v>320</v>
      </c>
      <c r="AB148" s="480">
        <f>IF(NOT(ISBLANK('RESUMEN VIGILANCIA'!AA149)),'RESUMEN VIGILANCIA'!AA149,"")</f>
        <v>320</v>
      </c>
      <c r="AC148" s="366">
        <f>IF(NOT(ISBLANK('RESUMEN VIGILANCIA'!AB149)),'RESUMEN VIGILANCIA'!AB149,"")</f>
        <v>800</v>
      </c>
      <c r="AD148" s="364">
        <f>IF(NOT(ISBLANK('RESUMEN VIGILANCIA'!AC149)),'RESUMEN VIGILANCIA'!AC149,"")</f>
        <v>3000</v>
      </c>
      <c r="AE148" s="365">
        <f>IF(NOT(ISBLANK('RESUMEN VIGILANCIA'!AD149)),'RESUMEN VIGILANCIA'!AD149,"")</f>
        <v>3000</v>
      </c>
      <c r="AF148" s="365">
        <f>IF(NOT(ISBLANK('RESUMEN VIGILANCIA'!AE149)),'RESUMEN VIGILANCIA'!AE149,"")</f>
        <v>3000</v>
      </c>
      <c r="AG148" s="365">
        <f>IF(NOT(ISBLANK('RESUMEN VIGILANCIA'!AF149)),'RESUMEN VIGILANCIA'!AF149,"")</f>
        <v>5000</v>
      </c>
      <c r="AH148" s="365">
        <f>IF(NOT(ISBLANK('RESUMEN VIGILANCIA'!AG149)),'RESUMEN VIGILANCIA'!AG149,"")</f>
        <v>8000</v>
      </c>
      <c r="AI148" s="365">
        <f>IF(NOT(ISBLANK('RESUMEN VIGILANCIA'!AH149)),'RESUMEN VIGILANCIA'!AH149,"")</f>
        <v>8000</v>
      </c>
      <c r="AJ148" s="365">
        <f>IF(NOT(ISBLANK('RESUMEN VIGILANCIA'!AI149)),'RESUMEN VIGILANCIA'!AI149,"")</f>
        <v>10000</v>
      </c>
      <c r="AK148" s="365">
        <f>IF(NOT(ISBLANK('RESUMEN VIGILANCIA'!AJ149)),'RESUMEN VIGILANCIA'!AJ149,"")</f>
        <v>10000</v>
      </c>
      <c r="AL148" s="365">
        <f>IF(NOT(ISBLANK('RESUMEN VIGILANCIA'!AK149)),'RESUMEN VIGILANCIA'!AK149,"")</f>
        <v>20720</v>
      </c>
      <c r="AM148" s="365">
        <f>IF(NOT(ISBLANK('RESUMEN VIGILANCIA'!AL149)),'RESUMEN VIGILANCIA'!AL149,"")</f>
        <v>50250</v>
      </c>
      <c r="AN148" s="365">
        <f>IF(NOT(ISBLANK('RESUMEN VIGILANCIA'!AM149)),'RESUMEN VIGILANCIA'!AM149,"")</f>
        <v>65450</v>
      </c>
      <c r="AO148" s="366">
        <f>IF(NOT(ISBLANK('RESUMEN VIGILANCIA'!AN149)),'RESUMEN VIGILANCIA'!AN149,"")</f>
        <v>100041.66666666667</v>
      </c>
      <c r="AP148" s="364">
        <f>IF(NOT(ISBLANK('RESUMEN VIGILANCIA'!AO149)),'RESUMEN VIGILANCIA'!AO149,"")</f>
        <v>130050</v>
      </c>
      <c r="AQ148" s="365">
        <f>IF(NOT(ISBLANK('RESUMEN VIGILANCIA'!AP149)),'RESUMEN VIGILANCIA'!AP149,"")</f>
        <v>136250</v>
      </c>
      <c r="AR148" s="365">
        <f>IF(NOT(ISBLANK('RESUMEN VIGILANCIA'!AQ149)),'RESUMEN VIGILANCIA'!AQ149,"")</f>
        <v>185250</v>
      </c>
      <c r="AS148" s="365">
        <f>IF(NOT(ISBLANK('RESUMEN VIGILANCIA'!AR149)),'RESUMEN VIGILANCIA'!AR149,"")</f>
        <v>185250</v>
      </c>
      <c r="AT148" s="365">
        <f>IF(NOT(ISBLANK('RESUMEN VIGILANCIA'!AS149)),'RESUMEN VIGILANCIA'!AS149,"")</f>
        <v>250000</v>
      </c>
      <c r="AU148" s="365">
        <f>IF(NOT(ISBLANK('RESUMEN VIGILANCIA'!AT149)),'RESUMEN VIGILANCIA'!AT149,"")</f>
        <v>250000</v>
      </c>
      <c r="AV148" s="365">
        <f>IF(NOT(ISBLANK('RESUMEN VIGILANCIA'!AU149)),'RESUMEN VIGILANCIA'!AU149,"")</f>
        <v>320000</v>
      </c>
      <c r="AW148" s="365">
        <f>IF(NOT(ISBLANK('RESUMEN VIGILANCIA'!AV149)),'RESUMEN VIGILANCIA'!AV149,"")</f>
        <v>0</v>
      </c>
      <c r="AX148" s="365">
        <f>IF(NOT(ISBLANK('RESUMEN VIGILANCIA'!AW149)),'RESUMEN VIGILANCIA'!AW149,"")</f>
        <v>0</v>
      </c>
      <c r="AY148" s="365">
        <f>IF(NOT(ISBLANK('RESUMEN VIGILANCIA'!AX149)),'RESUMEN VIGILANCIA'!AX149,"")</f>
        <v>0</v>
      </c>
      <c r="AZ148" s="365">
        <f>IF(NOT(ISBLANK('RESUMEN VIGILANCIA'!AY149)),'RESUMEN VIGILANCIA'!AY149,"")</f>
        <v>0</v>
      </c>
      <c r="BA148" s="366">
        <f>IF(NOT(ISBLANK('RESUMEN VIGILANCIA'!AZ149)),'RESUMEN VIGILANCIA'!AZ149,"")</f>
        <v>0</v>
      </c>
      <c r="BB148" s="260"/>
      <c r="BC148" s="118"/>
      <c r="BD148" s="118"/>
    </row>
    <row r="149" spans="1:56">
      <c r="A149" s="80" t="s">
        <v>1264</v>
      </c>
      <c r="B149" s="55"/>
      <c r="C149" s="482"/>
      <c r="D149" s="441"/>
      <c r="E149" s="423"/>
      <c r="F149" s="257">
        <f>IF(NOT(ISBLANK('RESUMEN VIGILANCIA'!E150)),'RESUMEN VIGILANCIA'!E150,"")</f>
        <v>0.12</v>
      </c>
      <c r="G149" s="254">
        <f>IF(NOT(ISBLANK('RESUMEN VIGILANCIA'!F150)),'RESUMEN VIGILANCIA'!F150,"")</f>
        <v>0.2</v>
      </c>
      <c r="H149" s="254">
        <f>IF(NOT(ISBLANK('RESUMEN VIGILANCIA'!G150)),'RESUMEN VIGILANCIA'!G150,"")</f>
        <v>0.2</v>
      </c>
      <c r="I149" s="254">
        <f>IF(NOT(ISBLANK('RESUMEN VIGILANCIA'!H150)),'RESUMEN VIGILANCIA'!H150,"")</f>
        <v>0.2</v>
      </c>
      <c r="J149" s="254">
        <f>IF(NOT(ISBLANK('RESUMEN VIGILANCIA'!I150)),'RESUMEN VIGILANCIA'!I150,"")</f>
        <v>0.3</v>
      </c>
      <c r="K149" s="254">
        <f>IF(NOT(ISBLANK('RESUMEN VIGILANCIA'!J150)),'RESUMEN VIGILANCIA'!J150,"")</f>
        <v>0.3</v>
      </c>
      <c r="L149" s="254">
        <f>IF(NOT(ISBLANK('RESUMEN VIGILANCIA'!K150)),'RESUMEN VIGILANCIA'!K150,"")</f>
        <v>0.4</v>
      </c>
      <c r="M149" s="254">
        <f>IF(NOT(ISBLANK('RESUMEN VIGILANCIA'!L150)),'RESUMEN VIGILANCIA'!L150,"")</f>
        <v>0.4</v>
      </c>
      <c r="N149" s="254">
        <f>IF(NOT(ISBLANK('RESUMEN VIGILANCIA'!M150)),'RESUMEN VIGILANCIA'!M150,"")</f>
        <v>0.4</v>
      </c>
      <c r="O149" s="254">
        <f>IF(NOT(ISBLANK('RESUMEN VIGILANCIA'!N150)),'RESUMEN VIGILANCIA'!N150,"")</f>
        <v>0.4</v>
      </c>
      <c r="P149" s="254">
        <f>IF(NOT(ISBLANK('RESUMEN VIGILANCIA'!O150)),'RESUMEN VIGILANCIA'!O150,"")</f>
        <v>0.54</v>
      </c>
      <c r="Q149" s="252">
        <f>IF(NOT(ISBLANK('RESUMEN VIGILANCIA'!P150)),'RESUMEN VIGILANCIA'!P150,"")</f>
        <v>0.54</v>
      </c>
      <c r="R149" s="258">
        <f>IF(NOT(ISBLANK('RESUMEN VIGILANCIA'!Q150)),'RESUMEN VIGILANCIA'!Q150,"")</f>
        <v>0.86399999999999999</v>
      </c>
      <c r="S149" s="259">
        <f>IF(NOT(ISBLANK('RESUMEN VIGILANCIA'!R150)),'RESUMEN VIGILANCIA'!R150,"")</f>
        <v>0.86399999999999999</v>
      </c>
      <c r="T149" s="259">
        <f>IF(NOT(ISBLANK('RESUMEN VIGILANCIA'!S150)),'RESUMEN VIGILANCIA'!S150,"")</f>
        <v>1.55</v>
      </c>
      <c r="U149" s="259">
        <f>IF(NOT(ISBLANK('RESUMEN VIGILANCIA'!T150)),'RESUMEN VIGILANCIA'!T150,"")</f>
        <v>1.55</v>
      </c>
      <c r="V149" s="259">
        <f>IF(NOT(ISBLANK('RESUMEN VIGILANCIA'!U150)),'RESUMEN VIGILANCIA'!U150,"")</f>
        <v>4.4000000000000004</v>
      </c>
      <c r="W149" s="259">
        <f>IF(NOT(ISBLANK('RESUMEN VIGILANCIA'!V150)),'RESUMEN VIGILANCIA'!V150,"")</f>
        <v>6.875</v>
      </c>
      <c r="X149" s="259">
        <f>IF(NOT(ISBLANK('RESUMEN VIGILANCIA'!W150)),'RESUMEN VIGILANCIA'!W150,"")</f>
        <v>11</v>
      </c>
      <c r="Y149" s="259">
        <f>IF(NOT(ISBLANK('RESUMEN VIGILANCIA'!X150)),'RESUMEN VIGILANCIA'!X150,"")</f>
        <v>13.2</v>
      </c>
      <c r="Z149" s="480">
        <f>IF(NOT(ISBLANK('RESUMEN VIGILANCIA'!Y150)),'RESUMEN VIGILANCIA'!Y150,"")</f>
        <v>355</v>
      </c>
      <c r="AA149" s="480">
        <f>IF(NOT(ISBLANK('RESUMEN VIGILANCIA'!Z150)),'RESUMEN VIGILANCIA'!Z150,"")</f>
        <v>355</v>
      </c>
      <c r="AB149" s="480">
        <f>IF(NOT(ISBLANK('RESUMEN VIGILANCIA'!AA150)),'RESUMEN VIGILANCIA'!AA150,"")</f>
        <v>355</v>
      </c>
      <c r="AC149" s="366">
        <f>IF(NOT(ISBLANK('RESUMEN VIGILANCIA'!AB150)),'RESUMEN VIGILANCIA'!AB150,"")</f>
        <v>880</v>
      </c>
      <c r="AD149" s="364">
        <f>IF(NOT(ISBLANK('RESUMEN VIGILANCIA'!AC150)),'RESUMEN VIGILANCIA'!AC150,"")</f>
        <v>3300</v>
      </c>
      <c r="AE149" s="365">
        <f>IF(NOT(ISBLANK('RESUMEN VIGILANCIA'!AD150)),'RESUMEN VIGILANCIA'!AD150,"")</f>
        <v>3300</v>
      </c>
      <c r="AF149" s="365">
        <f>IF(NOT(ISBLANK('RESUMEN VIGILANCIA'!AE150)),'RESUMEN VIGILANCIA'!AE150,"")</f>
        <v>3300</v>
      </c>
      <c r="AG149" s="365">
        <f>IF(NOT(ISBLANK('RESUMEN VIGILANCIA'!AF150)),'RESUMEN VIGILANCIA'!AF150,"")</f>
        <v>5500</v>
      </c>
      <c r="AH149" s="365">
        <f>IF(NOT(ISBLANK('RESUMEN VIGILANCIA'!AG150)),'RESUMEN VIGILANCIA'!AG150,"")</f>
        <v>8800</v>
      </c>
      <c r="AI149" s="365">
        <f>IF(NOT(ISBLANK('RESUMEN VIGILANCIA'!AH150)),'RESUMEN VIGILANCIA'!AH150,"")</f>
        <v>8800</v>
      </c>
      <c r="AJ149" s="365">
        <f>IF(NOT(ISBLANK('RESUMEN VIGILANCIA'!AI150)),'RESUMEN VIGILANCIA'!AI150,"")</f>
        <v>11000</v>
      </c>
      <c r="AK149" s="365">
        <f>IF(NOT(ISBLANK('RESUMEN VIGILANCIA'!AJ150)),'RESUMEN VIGILANCIA'!AJ150,"")</f>
        <v>11000</v>
      </c>
      <c r="AL149" s="365">
        <f>IF(NOT(ISBLANK('RESUMEN VIGILANCIA'!AK150)),'RESUMEN VIGILANCIA'!AK150,"")</f>
        <v>22795</v>
      </c>
      <c r="AM149" s="365">
        <f>IF(NOT(ISBLANK('RESUMEN VIGILANCIA'!AL150)),'RESUMEN VIGILANCIA'!AL150,"")</f>
        <v>55275</v>
      </c>
      <c r="AN149" s="365">
        <f>IF(NOT(ISBLANK('RESUMEN VIGILANCIA'!AM150)),'RESUMEN VIGILANCIA'!AM150,"")</f>
        <v>71995</v>
      </c>
      <c r="AO149" s="366">
        <f>IF(NOT(ISBLANK('RESUMEN VIGILANCIA'!AN150)),'RESUMEN VIGILANCIA'!AN150,"")</f>
        <v>110050</v>
      </c>
      <c r="AP149" s="364">
        <f>IF(NOT(ISBLANK('RESUMEN VIGILANCIA'!AO150)),'RESUMEN VIGILANCIA'!AO150,"")</f>
        <v>143055</v>
      </c>
      <c r="AQ149" s="365">
        <f>IF(NOT(ISBLANK('RESUMEN VIGILANCIA'!AP150)),'RESUMEN VIGILANCIA'!AP150,"")</f>
        <v>149875</v>
      </c>
      <c r="AR149" s="365">
        <f>IF(NOT(ISBLANK('RESUMEN VIGILANCIA'!AQ150)),'RESUMEN VIGILANCIA'!AQ150,"")</f>
        <v>203775</v>
      </c>
      <c r="AS149" s="365">
        <f>IF(NOT(ISBLANK('RESUMEN VIGILANCIA'!AR150)),'RESUMEN VIGILANCIA'!AR150,"")</f>
        <v>203775</v>
      </c>
      <c r="AT149" s="365">
        <f>IF(NOT(ISBLANK('RESUMEN VIGILANCIA'!AS150)),'RESUMEN VIGILANCIA'!AS150,"")</f>
        <v>275000</v>
      </c>
      <c r="AU149" s="365">
        <f>IF(NOT(ISBLANK('RESUMEN VIGILANCIA'!AT150)),'RESUMEN VIGILANCIA'!AT150,"")</f>
        <v>275000</v>
      </c>
      <c r="AV149" s="365">
        <f>IF(NOT(ISBLANK('RESUMEN VIGILANCIA'!AU150)),'RESUMEN VIGILANCIA'!AU150,"")</f>
        <v>352000</v>
      </c>
      <c r="AW149" s="365">
        <f>IF(NOT(ISBLANK('RESUMEN VIGILANCIA'!AV150)),'RESUMEN VIGILANCIA'!AV150,"")</f>
        <v>0</v>
      </c>
      <c r="AX149" s="365">
        <f>IF(NOT(ISBLANK('RESUMEN VIGILANCIA'!AW150)),'RESUMEN VIGILANCIA'!AW150,"")</f>
        <v>0</v>
      </c>
      <c r="AY149" s="365">
        <f>IF(NOT(ISBLANK('RESUMEN VIGILANCIA'!AX150)),'RESUMEN VIGILANCIA'!AX150,"")</f>
        <v>0</v>
      </c>
      <c r="AZ149" s="365">
        <f>IF(NOT(ISBLANK('RESUMEN VIGILANCIA'!AY150)),'RESUMEN VIGILANCIA'!AY150,"")</f>
        <v>0</v>
      </c>
      <c r="BA149" s="366">
        <f>IF(NOT(ISBLANK('RESUMEN VIGILANCIA'!AZ150)),'RESUMEN VIGILANCIA'!AZ150,"")</f>
        <v>0</v>
      </c>
      <c r="BB149" s="260"/>
      <c r="BC149" s="118"/>
      <c r="BD149" s="118"/>
    </row>
    <row r="150" spans="1:56">
      <c r="A150" s="80" t="s">
        <v>1265</v>
      </c>
      <c r="B150" s="55"/>
      <c r="C150" s="482"/>
      <c r="D150" s="441"/>
      <c r="E150" s="423"/>
      <c r="F150" s="257">
        <f>IF(NOT(ISBLANK('RESUMEN VIGILANCIA'!E151)),'RESUMEN VIGILANCIA'!E151,"")</f>
        <v>0.3</v>
      </c>
      <c r="G150" s="254">
        <f>IF(NOT(ISBLANK('RESUMEN VIGILANCIA'!F151)),'RESUMEN VIGILANCIA'!F151,"")</f>
        <v>0.3</v>
      </c>
      <c r="H150" s="254">
        <f>IF(NOT(ISBLANK('RESUMEN VIGILANCIA'!G151)),'RESUMEN VIGILANCIA'!G151,"")</f>
        <v>0.3</v>
      </c>
      <c r="I150" s="254">
        <f>IF(NOT(ISBLANK('RESUMEN VIGILANCIA'!H151)),'RESUMEN VIGILANCIA'!H151,"")</f>
        <v>0.3</v>
      </c>
      <c r="J150" s="254">
        <f>IF(NOT(ISBLANK('RESUMEN VIGILANCIA'!I151)),'RESUMEN VIGILANCIA'!I151,"")</f>
        <v>0.4</v>
      </c>
      <c r="K150" s="254">
        <f>IF(NOT(ISBLANK('RESUMEN VIGILANCIA'!J151)),'RESUMEN VIGILANCIA'!J151,"")</f>
        <v>0.4</v>
      </c>
      <c r="L150" s="254">
        <f>IF(NOT(ISBLANK('RESUMEN VIGILANCIA'!K151)),'RESUMEN VIGILANCIA'!K151,"")</f>
        <v>0.54</v>
      </c>
      <c r="M150" s="254">
        <f>IF(NOT(ISBLANK('RESUMEN VIGILANCIA'!L151)),'RESUMEN VIGILANCIA'!L151,"")</f>
        <v>0.54</v>
      </c>
      <c r="N150" s="254">
        <f>IF(NOT(ISBLANK('RESUMEN VIGILANCIA'!M151)),'RESUMEN VIGILANCIA'!M151,"")</f>
        <v>0.54</v>
      </c>
      <c r="O150" s="254">
        <f>IF(NOT(ISBLANK('RESUMEN VIGILANCIA'!N151)),'RESUMEN VIGILANCIA'!N151,"")</f>
        <v>0.54</v>
      </c>
      <c r="P150" s="254">
        <f>IF(NOT(ISBLANK('RESUMEN VIGILANCIA'!O151)),'RESUMEN VIGILANCIA'!O151,"")</f>
        <v>0.71</v>
      </c>
      <c r="Q150" s="252">
        <f>IF(NOT(ISBLANK('RESUMEN VIGILANCIA'!P151)),'RESUMEN VIGILANCIA'!P151,"")</f>
        <v>0.71</v>
      </c>
      <c r="R150" s="258">
        <f>IF(NOT(ISBLANK('RESUMEN VIGILANCIA'!Q151)),'RESUMEN VIGILANCIA'!Q151,"")</f>
        <v>1.1359999999999999</v>
      </c>
      <c r="S150" s="259">
        <f>IF(NOT(ISBLANK('RESUMEN VIGILANCIA'!R151)),'RESUMEN VIGILANCIA'!R151,"")</f>
        <v>1.1359999999999999</v>
      </c>
      <c r="T150" s="259">
        <f>IF(NOT(ISBLANK('RESUMEN VIGILANCIA'!S151)),'RESUMEN VIGILANCIA'!S151,"")</f>
        <v>2</v>
      </c>
      <c r="U150" s="259">
        <f>IF(NOT(ISBLANK('RESUMEN VIGILANCIA'!T151)),'RESUMEN VIGILANCIA'!T151,"")</f>
        <v>2</v>
      </c>
      <c r="V150" s="259">
        <f>IF(NOT(ISBLANK('RESUMEN VIGILANCIA'!U151)),'RESUMEN VIGILANCIA'!U151,"")</f>
        <v>5.8</v>
      </c>
      <c r="W150" s="259">
        <f>IF(NOT(ISBLANK('RESUMEN VIGILANCIA'!V151)),'RESUMEN VIGILANCIA'!V151,"")</f>
        <v>9.0649999999999995</v>
      </c>
      <c r="X150" s="259">
        <f>IF(NOT(ISBLANK('RESUMEN VIGILANCIA'!W151)),'RESUMEN VIGILANCIA'!W151,"")</f>
        <v>14.5</v>
      </c>
      <c r="Y150" s="259">
        <f>IF(NOT(ISBLANK('RESUMEN VIGILANCIA'!X151)),'RESUMEN VIGILANCIA'!X151,"")</f>
        <v>17.399999999999999</v>
      </c>
      <c r="Z150" s="480">
        <f>IF(NOT(ISBLANK('RESUMEN VIGILANCIA'!Y151)),'RESUMEN VIGILANCIA'!Y151,"")</f>
        <v>465</v>
      </c>
      <c r="AA150" s="480">
        <f>IF(NOT(ISBLANK('RESUMEN VIGILANCIA'!Z151)),'RESUMEN VIGILANCIA'!Z151,"")</f>
        <v>465</v>
      </c>
      <c r="AB150" s="480">
        <f>IF(NOT(ISBLANK('RESUMEN VIGILANCIA'!AA151)),'RESUMEN VIGILANCIA'!AA151,"")</f>
        <v>465</v>
      </c>
      <c r="AC150" s="366">
        <f>IF(NOT(ISBLANK('RESUMEN VIGILANCIA'!AB151)),'RESUMEN VIGILANCIA'!AB151,"")</f>
        <v>1160</v>
      </c>
      <c r="AD150" s="364">
        <f>IF(NOT(ISBLANK('RESUMEN VIGILANCIA'!AC151)),'RESUMEN VIGILANCIA'!AC151,"")</f>
        <v>4350</v>
      </c>
      <c r="AE150" s="365">
        <f>IF(NOT(ISBLANK('RESUMEN VIGILANCIA'!AD151)),'RESUMEN VIGILANCIA'!AD151,"")</f>
        <v>4350</v>
      </c>
      <c r="AF150" s="365">
        <f>IF(NOT(ISBLANK('RESUMEN VIGILANCIA'!AE151)),'RESUMEN VIGILANCIA'!AE151,"")</f>
        <v>4350</v>
      </c>
      <c r="AG150" s="365">
        <f>IF(NOT(ISBLANK('RESUMEN VIGILANCIA'!AF151)),'RESUMEN VIGILANCIA'!AF151,"")</f>
        <v>7250</v>
      </c>
      <c r="AH150" s="365">
        <f>IF(NOT(ISBLANK('RESUMEN VIGILANCIA'!AG151)),'RESUMEN VIGILANCIA'!AG151,"")</f>
        <v>11600</v>
      </c>
      <c r="AI150" s="365">
        <f>IF(NOT(ISBLANK('RESUMEN VIGILANCIA'!AH151)),'RESUMEN VIGILANCIA'!AH151,"")</f>
        <v>11600</v>
      </c>
      <c r="AJ150" s="365">
        <f>IF(NOT(ISBLANK('RESUMEN VIGILANCIA'!AI151)),'RESUMEN VIGILANCIA'!AI151,"")</f>
        <v>14500</v>
      </c>
      <c r="AK150" s="365">
        <f>IF(NOT(ISBLANK('RESUMEN VIGILANCIA'!AJ151)),'RESUMEN VIGILANCIA'!AJ151,"")</f>
        <v>14500</v>
      </c>
      <c r="AL150" s="365">
        <f>IF(NOT(ISBLANK('RESUMEN VIGILANCIA'!AK151)),'RESUMEN VIGILANCIA'!AK151,"")</f>
        <v>30045</v>
      </c>
      <c r="AM150" s="365">
        <f>IF(NOT(ISBLANK('RESUMEN VIGILANCIA'!AL151)),'RESUMEN VIGILANCIA'!AL151,"")</f>
        <v>72865</v>
      </c>
      <c r="AN150" s="365">
        <f>IF(NOT(ISBLANK('RESUMEN VIGILANCIA'!AM151)),'RESUMEN VIGILANCIA'!AM151,"")</f>
        <v>94905</v>
      </c>
      <c r="AO150" s="366">
        <f>IF(NOT(ISBLANK('RESUMEN VIGILANCIA'!AN151)),'RESUMEN VIGILANCIA'!AN151,"")</f>
        <v>145060</v>
      </c>
      <c r="AP150" s="364">
        <f>IF(NOT(ISBLANK('RESUMEN VIGILANCIA'!AO151)),'RESUMEN VIGILANCIA'!AO151,"")</f>
        <v>188575</v>
      </c>
      <c r="AQ150" s="365">
        <f>IF(NOT(ISBLANK('RESUMEN VIGILANCIA'!AP151)),'RESUMEN VIGILANCIA'!AP151,"")</f>
        <v>197565</v>
      </c>
      <c r="AR150" s="365">
        <f>IF(NOT(ISBLANK('RESUMEN VIGILANCIA'!AQ151)),'RESUMEN VIGILANCIA'!AQ151,"")</f>
        <v>268615</v>
      </c>
      <c r="AS150" s="365">
        <f>IF(NOT(ISBLANK('RESUMEN VIGILANCIA'!AR151)),'RESUMEN VIGILANCIA'!AR151,"")</f>
        <v>268615</v>
      </c>
      <c r="AT150" s="365">
        <f>IF(NOT(ISBLANK('RESUMEN VIGILANCIA'!AS151)),'RESUMEN VIGILANCIA'!AS151,"")</f>
        <v>362500</v>
      </c>
      <c r="AU150" s="365">
        <f>IF(NOT(ISBLANK('RESUMEN VIGILANCIA'!AT151)),'RESUMEN VIGILANCIA'!AT151,"")</f>
        <v>362500</v>
      </c>
      <c r="AV150" s="365">
        <f>IF(NOT(ISBLANK('RESUMEN VIGILANCIA'!AU151)),'RESUMEN VIGILANCIA'!AU151,"")</f>
        <v>464000</v>
      </c>
      <c r="AW150" s="365">
        <f>IF(NOT(ISBLANK('RESUMEN VIGILANCIA'!AV151)),'RESUMEN VIGILANCIA'!AV151,"")</f>
        <v>0</v>
      </c>
      <c r="AX150" s="365">
        <f>IF(NOT(ISBLANK('RESUMEN VIGILANCIA'!AW151)),'RESUMEN VIGILANCIA'!AW151,"")</f>
        <v>0</v>
      </c>
      <c r="AY150" s="365">
        <f>IF(NOT(ISBLANK('RESUMEN VIGILANCIA'!AX151)),'RESUMEN VIGILANCIA'!AX151,"")</f>
        <v>0</v>
      </c>
      <c r="AZ150" s="365">
        <f>IF(NOT(ISBLANK('RESUMEN VIGILANCIA'!AY151)),'RESUMEN VIGILANCIA'!AY151,"")</f>
        <v>0</v>
      </c>
      <c r="BA150" s="366">
        <f>IF(NOT(ISBLANK('RESUMEN VIGILANCIA'!AZ151)),'RESUMEN VIGILANCIA'!AZ151,"")</f>
        <v>0</v>
      </c>
      <c r="BB150" s="260"/>
      <c r="BC150" s="118"/>
      <c r="BD150" s="118"/>
    </row>
  </sheetData>
  <autoFilter ref="A1:BB150" xr:uid="{00000000-0009-0000-0000-000004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M157"/>
  <sheetViews>
    <sheetView showGridLines="0" workbookViewId="0">
      <pane xSplit="2" ySplit="1" topLeftCell="C78" activePane="bottomRight" state="frozen"/>
      <selection pane="bottomRight" activeCell="L1" sqref="L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2" width="11.28515625" customWidth="1"/>
    <col min="13" max="13" width="1.7109375" customWidth="1"/>
    <col min="14" max="42" width="10.7109375" customWidth="1"/>
  </cols>
  <sheetData>
    <row r="1" spans="1:13" s="615" customFormat="1" ht="30">
      <c r="A1" s="577" t="s">
        <v>5</v>
      </c>
      <c r="B1" s="577" t="s">
        <v>7</v>
      </c>
      <c r="C1" s="578" t="s">
        <v>452</v>
      </c>
      <c r="D1" s="578" t="s">
        <v>673</v>
      </c>
      <c r="E1" s="578" t="s">
        <v>745</v>
      </c>
      <c r="F1" s="578" t="s">
        <v>828</v>
      </c>
      <c r="G1" s="578" t="s">
        <v>1218</v>
      </c>
      <c r="H1" s="578" t="s">
        <v>368</v>
      </c>
      <c r="I1" s="578" t="s">
        <v>459</v>
      </c>
      <c r="J1" s="578" t="s">
        <v>733</v>
      </c>
      <c r="K1" s="578" t="s">
        <v>780</v>
      </c>
      <c r="L1" s="578" t="s">
        <v>652</v>
      </c>
    </row>
    <row r="2" spans="1:13">
      <c r="A2" s="29" t="str">
        <f>'RESUMEN VIGILANCIA'!A2</f>
        <v>Familia Scabuzzo Gómez</v>
      </c>
      <c r="B2" s="30" t="str">
        <f>'RESUMEN VIGILANCIA'!B2</f>
        <v>Av. "I" Nro. 146-20</v>
      </c>
      <c r="C2" s="179">
        <f>SUMIFS(Vigilancia!$E:$E,Vigilancia!$F:$F,$A2,Vigilancia!$J:$J,C$1)</f>
        <v>0</v>
      </c>
      <c r="D2" s="179">
        <f>SUMIFS(Vigilancia!$E:$E,Vigilancia!$F:$F,$A2,Vigilancia!$J:$J,D$1)</f>
        <v>4</v>
      </c>
      <c r="E2" s="179">
        <f>SUMIFS(Vigilancia!$E:$E,Vigilancia!$F:$F,$A2,Vigilancia!$J:$J,E$1)</f>
        <v>0</v>
      </c>
      <c r="F2" s="179">
        <f>SUMIFS(Vigilancia!$E:$E,Vigilancia!$F:$F,$A2,Vigilancia!$J:$J,F$1)</f>
        <v>10</v>
      </c>
      <c r="G2" s="179">
        <f>SUMIFS(Vigilancia!$E:$E,Vigilancia!$F:$F,$A2,Vigilancia!$J:$J,G$1)</f>
        <v>0</v>
      </c>
      <c r="H2" s="179">
        <f>SUMIFS(Vigilancia!$E:$E,Vigilancia!$F:$F,$A2,Vigilancia!$J:$J,H$1)</f>
        <v>0</v>
      </c>
      <c r="I2" s="179">
        <f>SUMIFS(Vigilancia!$E:$E,Vigilancia!$F:$F,$A2,Vigilancia!$J:$J,I$1)</f>
        <v>0</v>
      </c>
      <c r="J2" s="179">
        <f>SUMIFS(Vigilancia!$E:$E,Vigilancia!$F:$F,$A2,Vigilancia!$J:$J,J$1)</f>
        <v>0</v>
      </c>
      <c r="K2" s="179">
        <f>SUMIFS(Vigilancia!$E:$E,Vigilancia!$F:$F,$A2,Vigilancia!$J:$J,K$1)</f>
        <v>0</v>
      </c>
      <c r="L2" s="179">
        <f>SUMIFS(Vigilancia!$E:$E,Vigilancia!$F:$F,$A2,Vigilancia!$J:$J,L$1)</f>
        <v>0</v>
      </c>
    </row>
    <row r="3" spans="1:13">
      <c r="A3" s="29" t="str">
        <f>'RESUMEN VIGILANCIA'!A3</f>
        <v>Familia Hoyte Rafmari</v>
      </c>
      <c r="B3" s="30" t="str">
        <f>'RESUMEN VIGILANCIA'!B3</f>
        <v>Av. "I" Nro. 146-30</v>
      </c>
      <c r="C3" s="179">
        <f>SUMIFS(Vigilancia!$E:$E,Vigilancia!$F:$F,$A3,Vigilancia!$J:$J,C$1)</f>
        <v>0</v>
      </c>
      <c r="D3" s="179">
        <f>SUMIFS(Vigilancia!$E:$E,Vigilancia!$F:$F,$A3,Vigilancia!$J:$J,D$1)</f>
        <v>0</v>
      </c>
      <c r="E3" s="179">
        <f>SUMIFS(Vigilancia!$E:$E,Vigilancia!$F:$F,$A3,Vigilancia!$J:$J,E$1)</f>
        <v>0</v>
      </c>
      <c r="F3" s="179">
        <f>SUMIFS(Vigilancia!$E:$E,Vigilancia!$F:$F,$A3,Vigilancia!$J:$J,F$1)</f>
        <v>0</v>
      </c>
      <c r="G3" s="179">
        <f>SUMIFS(Vigilancia!$E:$E,Vigilancia!$F:$F,$A3,Vigilancia!$J:$J,G$1)</f>
        <v>0</v>
      </c>
      <c r="H3" s="179">
        <f>SUMIFS(Vigilancia!$E:$E,Vigilancia!$F:$F,$A3,Vigilancia!$J:$J,H$1)</f>
        <v>0</v>
      </c>
      <c r="I3" s="179">
        <f>SUMIFS(Vigilancia!$E:$E,Vigilancia!$F:$F,$A3,Vigilancia!$J:$J,I$1)</f>
        <v>0</v>
      </c>
      <c r="J3" s="179">
        <f>SUMIFS(Vigilancia!$E:$E,Vigilancia!$F:$F,$A3,Vigilancia!$J:$J,J$1)</f>
        <v>0</v>
      </c>
      <c r="K3" s="179">
        <f>SUMIFS(Vigilancia!$E:$E,Vigilancia!$F:$F,$A3,Vigilancia!$J:$J,K$1)</f>
        <v>0</v>
      </c>
      <c r="L3" s="179">
        <f>SUMIFS(Vigilancia!$E:$E,Vigilancia!$F:$F,$A3,Vigilancia!$J:$J,L$1)</f>
        <v>0</v>
      </c>
    </row>
    <row r="4" spans="1:13">
      <c r="A4" s="29" t="str">
        <f>'RESUMEN VIGILANCIA'!A4</f>
        <v>Familia Il Grande Franceschi</v>
      </c>
      <c r="B4" s="30" t="str">
        <f>'RESUMEN VIGILANCIA'!B4</f>
        <v>Av. "I" Nro. 146-40</v>
      </c>
      <c r="C4" s="179">
        <f>SUMIFS(Vigilancia!$E:$E,Vigilancia!$F:$F,$A4,Vigilancia!$J:$J,C$1)</f>
        <v>0</v>
      </c>
      <c r="D4" s="179">
        <f>SUMIFS(Vigilancia!$E:$E,Vigilancia!$F:$F,$A4,Vigilancia!$J:$J,D$1)</f>
        <v>3.5</v>
      </c>
      <c r="E4" s="179">
        <f>SUMIFS(Vigilancia!$E:$E,Vigilancia!$F:$F,$A4,Vigilancia!$J:$J,E$1)</f>
        <v>0</v>
      </c>
      <c r="F4" s="179">
        <f>SUMIFS(Vigilancia!$E:$E,Vigilancia!$F:$F,$A4,Vigilancia!$J:$J,F$1)</f>
        <v>0</v>
      </c>
      <c r="G4" s="179">
        <f>SUMIFS(Vigilancia!$E:$E,Vigilancia!$F:$F,$A4,Vigilancia!$J:$J,G$1)</f>
        <v>50000</v>
      </c>
      <c r="H4" s="179">
        <f>SUMIFS(Vigilancia!$E:$E,Vigilancia!$F:$F,$A4,Vigilancia!$J:$J,H$1)</f>
        <v>0</v>
      </c>
      <c r="I4" s="179">
        <f>SUMIFS(Vigilancia!$E:$E,Vigilancia!$F:$F,$A4,Vigilancia!$J:$J,I$1)</f>
        <v>0</v>
      </c>
      <c r="J4" s="179">
        <f>SUMIFS(Vigilancia!$E:$E,Vigilancia!$F:$F,$A4,Vigilancia!$J:$J,J$1)</f>
        <v>0</v>
      </c>
      <c r="K4" s="179">
        <f>SUMIFS(Vigilancia!$E:$E,Vigilancia!$F:$F,$A4,Vigilancia!$J:$J,K$1)</f>
        <v>0</v>
      </c>
      <c r="L4" s="179">
        <f>SUMIFS(Vigilancia!$E:$E,Vigilancia!$F:$F,$A4,Vigilancia!$J:$J,L$1)</f>
        <v>0</v>
      </c>
    </row>
    <row r="5" spans="1:13">
      <c r="A5" s="29" t="str">
        <f>'RESUMEN VIGILANCIA'!A5</f>
        <v>Jocsan Orta Correa</v>
      </c>
      <c r="B5" s="30" t="str">
        <f>'RESUMEN VIGILANCIA'!B5</f>
        <v>Av. "L" anexo de Los Tronquitos</v>
      </c>
      <c r="C5" s="179">
        <f>SUMIFS(Vigilancia!$E:$E,Vigilancia!$F:$F,$A5,Vigilancia!$J:$J,C$1)</f>
        <v>0</v>
      </c>
      <c r="D5" s="179">
        <f>SUMIFS(Vigilancia!$E:$E,Vigilancia!$F:$F,$A5,Vigilancia!$J:$J,D$1)</f>
        <v>0</v>
      </c>
      <c r="E5" s="302">
        <f>SUMIFS(Vigilancia!$E:$E,Vigilancia!$F:$F,$A5,Vigilancia!$J:$J,E$1)</f>
        <v>0</v>
      </c>
      <c r="F5" s="302">
        <f>SUMIFS(Vigilancia!$E:$E,Vigilancia!$F:$F,$A5,Vigilancia!$J:$J,F$1)</f>
        <v>0</v>
      </c>
      <c r="G5" s="179">
        <f>SUMIFS(Vigilancia!$E:$E,Vigilancia!$F:$F,$A5,Vigilancia!$J:$J,G$1)</f>
        <v>0</v>
      </c>
      <c r="H5" s="179">
        <f>SUMIFS(Vigilancia!$E:$E,Vigilancia!$F:$F,$A5,Vigilancia!$J:$J,H$1)</f>
        <v>0</v>
      </c>
      <c r="I5" s="179">
        <f>SUMIFS(Vigilancia!$E:$E,Vigilancia!$F:$F,$A5,Vigilancia!$J:$J,I$1)</f>
        <v>0</v>
      </c>
      <c r="J5" s="179">
        <f>SUMIFS(Vigilancia!$E:$E,Vigilancia!$F:$F,$A5,Vigilancia!$J:$J,J$1)</f>
        <v>0</v>
      </c>
      <c r="K5" s="179">
        <f>SUMIFS(Vigilancia!$E:$E,Vigilancia!$F:$F,$A5,Vigilancia!$J:$J,K$1)</f>
        <v>0</v>
      </c>
      <c r="L5" s="179">
        <f>SUMIFS(Vigilancia!$E:$E,Vigilancia!$F:$F,$A5,Vigilancia!$J:$J,L$1)</f>
        <v>0</v>
      </c>
    </row>
    <row r="6" spans="1:13">
      <c r="A6" s="29" t="str">
        <f>'RESUMEN VIGILANCIA'!A6</f>
        <v>Sra. Reina Meléndez</v>
      </c>
      <c r="B6" s="30" t="str">
        <f>'RESUMEN VIGILANCIA'!B6</f>
        <v>Av. "M" Nro. 145-10</v>
      </c>
      <c r="C6" s="179">
        <f>SUMIFS(Vigilancia!$E:$E,Vigilancia!$F:$F,$A6,Vigilancia!$J:$J,C$1)</f>
        <v>7.0000000000000007E-2</v>
      </c>
      <c r="D6" s="179">
        <f>SUMIFS(Vigilancia!$E:$E,Vigilancia!$F:$F,$A6,Vigilancia!$J:$J,D$1)</f>
        <v>3.5</v>
      </c>
      <c r="E6" s="302">
        <f>SUMIFS(Vigilancia!$E:$E,Vigilancia!$F:$F,$A6,Vigilancia!$J:$J,E$1)</f>
        <v>12.2</v>
      </c>
      <c r="F6" s="302">
        <f>SUMIFS(Vigilancia!$E:$E,Vigilancia!$F:$F,$A6,Vigilancia!$J:$J,F$1)</f>
        <v>10</v>
      </c>
      <c r="G6" s="179">
        <f>SUMIFS(Vigilancia!$E:$E,Vigilancia!$F:$F,$A6,Vigilancia!$J:$J,G$1)</f>
        <v>50000</v>
      </c>
      <c r="H6" s="179">
        <f>SUMIFS(Vigilancia!$E:$E,Vigilancia!$F:$F,$A6,Vigilancia!$J:$J,H$1)</f>
        <v>0</v>
      </c>
      <c r="I6" s="179">
        <f>SUMIFS(Vigilancia!$E:$E,Vigilancia!$F:$F,$A6,Vigilancia!$J:$J,I$1)</f>
        <v>0</v>
      </c>
      <c r="J6" s="179">
        <f>SUMIFS(Vigilancia!$E:$E,Vigilancia!$F:$F,$A6,Vigilancia!$J:$J,J$1)</f>
        <v>0</v>
      </c>
      <c r="K6" s="179">
        <f>SUMIFS(Vigilancia!$E:$E,Vigilancia!$F:$F,$A6,Vigilancia!$J:$J,K$1)</f>
        <v>0</v>
      </c>
      <c r="L6" s="179">
        <f>SUMIFS(Vigilancia!$E:$E,Vigilancia!$F:$F,$A6,Vigilancia!$J:$J,L$1)</f>
        <v>0</v>
      </c>
    </row>
    <row r="7" spans="1:13">
      <c r="A7" s="29" t="str">
        <f>'RESUMEN VIGILANCIA'!A7</f>
        <v>Familia Barreto Pérez</v>
      </c>
      <c r="B7" s="30" t="str">
        <f>'RESUMEN VIGILANCIA'!B7</f>
        <v>Av. "M" Nro. 146-15</v>
      </c>
      <c r="C7" s="179">
        <f>SUMIFS(Vigilancia!$E:$E,Vigilancia!$F:$F,$A7,Vigilancia!$J:$J,C$1)</f>
        <v>0</v>
      </c>
      <c r="D7" s="179">
        <f>SUMIFS(Vigilancia!$E:$E,Vigilancia!$F:$F,$A7,Vigilancia!$J:$J,D$1)</f>
        <v>3.5</v>
      </c>
      <c r="E7" s="302">
        <f>SUMIFS(Vigilancia!$E:$E,Vigilancia!$F:$F,$A7,Vigilancia!$J:$J,E$1)</f>
        <v>0</v>
      </c>
      <c r="F7" s="302">
        <f>SUMIFS(Vigilancia!$E:$E,Vigilancia!$F:$F,$A7,Vigilancia!$J:$J,F$1)</f>
        <v>10</v>
      </c>
      <c r="G7" s="179">
        <f>SUMIFS(Vigilancia!$E:$E,Vigilancia!$F:$F,$A7,Vigilancia!$J:$J,G$1)</f>
        <v>50000</v>
      </c>
      <c r="H7" s="179">
        <f>SUMIFS(Vigilancia!$E:$E,Vigilancia!$F:$F,$A7,Vigilancia!$J:$J,H$1)</f>
        <v>0</v>
      </c>
      <c r="I7" s="179">
        <f>SUMIFS(Vigilancia!$E:$E,Vigilancia!$F:$F,$A7,Vigilancia!$J:$J,I$1)</f>
        <v>0</v>
      </c>
      <c r="J7" s="179">
        <f>SUMIFS(Vigilancia!$E:$E,Vigilancia!$F:$F,$A7,Vigilancia!$J:$J,J$1)</f>
        <v>0</v>
      </c>
      <c r="K7" s="179">
        <f>SUMIFS(Vigilancia!$E:$E,Vigilancia!$F:$F,$A7,Vigilancia!$J:$J,K$1)</f>
        <v>0</v>
      </c>
      <c r="L7" s="179">
        <f>SUMIFS(Vigilancia!$E:$E,Vigilancia!$F:$F,$A7,Vigilancia!$J:$J,L$1)</f>
        <v>0</v>
      </c>
    </row>
    <row r="8" spans="1:13">
      <c r="A8" s="29" t="str">
        <f>'RESUMEN VIGILANCIA'!A8</f>
        <v>Familia Flores Montagne</v>
      </c>
      <c r="B8" s="30" t="str">
        <f>'RESUMEN VIGILANCIA'!B8</f>
        <v>Av. "M" Nro. 146-20</v>
      </c>
      <c r="C8" s="179">
        <f>SUMIFS(Vigilancia!$E:$E,Vigilancia!$F:$F,$A8,Vigilancia!$J:$J,C$1)</f>
        <v>0</v>
      </c>
      <c r="D8" s="179">
        <f>SUMIFS(Vigilancia!$E:$E,Vigilancia!$F:$F,$A8,Vigilancia!$J:$J,D$1)</f>
        <v>0</v>
      </c>
      <c r="E8" s="302">
        <f>SUMIFS(Vigilancia!$E:$E,Vigilancia!$F:$F,$A8,Vigilancia!$J:$J,E$1)</f>
        <v>0</v>
      </c>
      <c r="F8" s="302">
        <f>SUMIFS(Vigilancia!$E:$E,Vigilancia!$F:$F,$A8,Vigilancia!$J:$J,F$1)</f>
        <v>10</v>
      </c>
      <c r="G8" s="179">
        <f>SUMIFS(Vigilancia!$E:$E,Vigilancia!$F:$F,$A8,Vigilancia!$J:$J,G$1)</f>
        <v>555750</v>
      </c>
      <c r="H8" s="179">
        <f>SUMIFS(Vigilancia!$E:$E,Vigilancia!$F:$F,$A8,Vigilancia!$J:$J,H$1)</f>
        <v>0</v>
      </c>
      <c r="I8" s="179">
        <f>SUMIFS(Vigilancia!$E:$E,Vigilancia!$F:$F,$A8,Vigilancia!$J:$J,I$1)</f>
        <v>0</v>
      </c>
      <c r="J8" s="179">
        <f>SUMIFS(Vigilancia!$E:$E,Vigilancia!$F:$F,$A8,Vigilancia!$J:$J,J$1)</f>
        <v>0</v>
      </c>
      <c r="K8" s="179">
        <f>SUMIFS(Vigilancia!$E:$E,Vigilancia!$F:$F,$A8,Vigilancia!$J:$J,K$1)</f>
        <v>0</v>
      </c>
      <c r="L8" s="179">
        <f>SUMIFS(Vigilancia!$E:$E,Vigilancia!$F:$F,$A8,Vigilancia!$J:$J,L$1)</f>
        <v>0</v>
      </c>
    </row>
    <row r="9" spans="1:13">
      <c r="A9" s="29" t="str">
        <f>'RESUMEN VIGILANCIA'!A9</f>
        <v>Judith Lazo</v>
      </c>
      <c r="B9" s="30" t="str">
        <f>'RESUMEN VIGILANCIA'!B9</f>
        <v>Av. "M" Nro. 146-25</v>
      </c>
      <c r="C9" s="179">
        <f>SUMIFS(Vigilancia!$E:$E,Vigilancia!$F:$F,$A9,Vigilancia!$J:$J,C$1)</f>
        <v>0</v>
      </c>
      <c r="D9" s="179">
        <f>SUMIFS(Vigilancia!$E:$E,Vigilancia!$F:$F,$A9,Vigilancia!$J:$J,D$1)</f>
        <v>0</v>
      </c>
      <c r="E9" s="302">
        <f>SUMIFS(Vigilancia!$E:$E,Vigilancia!$F:$F,$A9,Vigilancia!$J:$J,E$1)</f>
        <v>0</v>
      </c>
      <c r="F9" s="302">
        <f>SUMIFS(Vigilancia!$E:$E,Vigilancia!$F:$F,$A9,Vigilancia!$J:$J,F$1)</f>
        <v>10</v>
      </c>
      <c r="G9" s="179">
        <f>SUMIFS(Vigilancia!$E:$E,Vigilancia!$F:$F,$A9,Vigilancia!$J:$J,G$1)</f>
        <v>50000</v>
      </c>
      <c r="H9" s="179">
        <f>SUMIFS(Vigilancia!$E:$E,Vigilancia!$F:$F,$A9,Vigilancia!$J:$J,H$1)</f>
        <v>0</v>
      </c>
      <c r="I9" s="179">
        <f>SUMIFS(Vigilancia!$E:$E,Vigilancia!$F:$F,$A9,Vigilancia!$J:$J,I$1)</f>
        <v>0</v>
      </c>
      <c r="J9" s="179">
        <f>SUMIFS(Vigilancia!$E:$E,Vigilancia!$F:$F,$A9,Vigilancia!$J:$J,J$1)</f>
        <v>0</v>
      </c>
      <c r="K9" s="179">
        <f>SUMIFS(Vigilancia!$E:$E,Vigilancia!$F:$F,$A9,Vigilancia!$J:$J,K$1)</f>
        <v>0</v>
      </c>
      <c r="L9" s="179">
        <f>SUMIFS(Vigilancia!$E:$E,Vigilancia!$F:$F,$A9,Vigilancia!$J:$J,L$1)</f>
        <v>0</v>
      </c>
    </row>
    <row r="10" spans="1:13">
      <c r="A10" s="57" t="str">
        <f>'RESUMEN VIGILANCIA'!A10</f>
        <v>La Casita Encantada</v>
      </c>
      <c r="B10" s="58" t="str">
        <f>'RESUMEN VIGILANCIA'!B10</f>
        <v>Av. "M" Nro. 146-30</v>
      </c>
      <c r="C10" s="211">
        <f>SUMIFS(Vigilancia!$E:$E,Vigilancia!$F:$F,$A10,Vigilancia!$J:$J,C$1)</f>
        <v>7.0000000000000007E-2</v>
      </c>
      <c r="D10" s="211">
        <f>SUMIFS(Vigilancia!$E:$E,Vigilancia!$F:$F,$A10,Vigilancia!$J:$J,D$1)</f>
        <v>3.5</v>
      </c>
      <c r="E10" s="211">
        <f>SUMIFS(Vigilancia!$E:$E,Vigilancia!$F:$F,$A10,Vigilancia!$J:$J,E$1)</f>
        <v>12.2</v>
      </c>
      <c r="F10" s="211">
        <f>SUMIFS(Vigilancia!$E:$E,Vigilancia!$F:$F,$A10,Vigilancia!$J:$J,F$1)</f>
        <v>0</v>
      </c>
      <c r="G10" s="211">
        <f>SUMIFS(Vigilancia!$E:$E,Vigilancia!$F:$F,$A10,Vigilancia!$J:$J,G$1)</f>
        <v>0</v>
      </c>
      <c r="H10" s="211">
        <f>SUMIFS(Vigilancia!$E:$E,Vigilancia!$F:$F,$A10,Vigilancia!$J:$J,H$1)</f>
        <v>0</v>
      </c>
      <c r="I10" s="211">
        <f>SUMIFS(Vigilancia!$E:$E,Vigilancia!$F:$F,$A10,Vigilancia!$J:$J,I$1)</f>
        <v>0</v>
      </c>
      <c r="J10" s="211">
        <f>SUMIFS(Vigilancia!$E:$E,Vigilancia!$F:$F,$A10,Vigilancia!$J:$J,J$1)</f>
        <v>0</v>
      </c>
      <c r="K10" s="211">
        <f>SUMIFS(Vigilancia!$E:$E,Vigilancia!$F:$F,$A10,Vigilancia!$J:$J,K$1)</f>
        <v>0</v>
      </c>
      <c r="L10" s="211">
        <f>SUMIFS(Vigilancia!$E:$E,Vigilancia!$F:$F,$A10,Vigilancia!$J:$J,L$1)</f>
        <v>0</v>
      </c>
      <c r="M10" s="120"/>
    </row>
    <row r="11" spans="1:13">
      <c r="A11" s="57" t="str">
        <f>'RESUMEN VIGILANCIA'!A11</f>
        <v>Familia Calzadilla Trujillo</v>
      </c>
      <c r="B11" s="58" t="str">
        <f>'RESUMEN VIGILANCIA'!B11</f>
        <v>Av. "M" Nro. 146-30</v>
      </c>
      <c r="C11" s="211">
        <f>SUMIFS(Vigilancia!$E:$E,Vigilancia!$F:$F,$A11,Vigilancia!$J:$J,C$1)</f>
        <v>0</v>
      </c>
      <c r="D11" s="211">
        <f>SUMIFS(Vigilancia!$E:$E,Vigilancia!$F:$F,$A11,Vigilancia!$J:$J,D$1)</f>
        <v>0</v>
      </c>
      <c r="E11" s="211">
        <f>SUMIFS(Vigilancia!$E:$E,Vigilancia!$F:$F,$A11,Vigilancia!$J:$J,E$1)</f>
        <v>0</v>
      </c>
      <c r="F11" s="211">
        <f>SUMIFS(Vigilancia!$E:$E,Vigilancia!$F:$F,$A11,Vigilancia!$J:$J,F$1)</f>
        <v>0</v>
      </c>
      <c r="G11" s="211">
        <f>SUMIFS(Vigilancia!$E:$E,Vigilancia!$F:$F,$A11,Vigilancia!$J:$J,G$1)</f>
        <v>0</v>
      </c>
      <c r="H11" s="211">
        <f>SUMIFS(Vigilancia!$E:$E,Vigilancia!$F:$F,$A11,Vigilancia!$J:$J,H$1)</f>
        <v>0</v>
      </c>
      <c r="I11" s="211">
        <f>SUMIFS(Vigilancia!$E:$E,Vigilancia!$F:$F,$A11,Vigilancia!$J:$J,I$1)</f>
        <v>0</v>
      </c>
      <c r="J11" s="211">
        <f>SUMIFS(Vigilancia!$E:$E,Vigilancia!$F:$F,$A11,Vigilancia!$J:$J,J$1)</f>
        <v>0</v>
      </c>
      <c r="K11" s="211">
        <f>SUMIFS(Vigilancia!$E:$E,Vigilancia!$F:$F,$A11,Vigilancia!$J:$J,K$1)</f>
        <v>0</v>
      </c>
      <c r="L11" s="211">
        <f>SUMIFS(Vigilancia!$E:$E,Vigilancia!$F:$F,$A11,Vigilancia!$J:$J,L$1)</f>
        <v>0</v>
      </c>
      <c r="M11" s="121"/>
    </row>
    <row r="12" spans="1:13">
      <c r="A12" s="29" t="str">
        <f>'RESUMEN VIGILANCIA'!A12</f>
        <v>Santiago Varela</v>
      </c>
      <c r="B12" s="30" t="str">
        <f>'RESUMEN VIGILANCIA'!B12</f>
        <v>Av. "M" Nro. 146-30</v>
      </c>
      <c r="C12" s="179">
        <f>SUMIFS(Vigilancia!$E:$E,Vigilancia!$F:$F,$A12,Vigilancia!$J:$J,C$1)</f>
        <v>0</v>
      </c>
      <c r="D12" s="179">
        <f>SUMIFS(Vigilancia!$E:$E,Vigilancia!$F:$F,$A12,Vigilancia!$J:$J,D$1)</f>
        <v>0</v>
      </c>
      <c r="E12" s="302">
        <f>SUMIFS(Vigilancia!$E:$E,Vigilancia!$F:$F,$A12,Vigilancia!$J:$J,E$1)</f>
        <v>0</v>
      </c>
      <c r="F12" s="302">
        <f>SUMIFS(Vigilancia!$E:$E,Vigilancia!$F:$F,$A12,Vigilancia!$J:$J,F$1)</f>
        <v>0</v>
      </c>
      <c r="G12" s="179">
        <f>SUMIFS(Vigilancia!$E:$E,Vigilancia!$F:$F,$A12,Vigilancia!$J:$J,G$1)</f>
        <v>50000</v>
      </c>
      <c r="H12" s="179">
        <f>SUMIFS(Vigilancia!$E:$E,Vigilancia!$F:$F,$A12,Vigilancia!$J:$J,H$1)</f>
        <v>0</v>
      </c>
      <c r="I12" s="179">
        <f>SUMIFS(Vigilancia!$E:$E,Vigilancia!$F:$F,$A12,Vigilancia!$J:$J,I$1)</f>
        <v>0</v>
      </c>
      <c r="J12" s="179">
        <f>SUMIFS(Vigilancia!$E:$E,Vigilancia!$F:$F,$A12,Vigilancia!$J:$J,J$1)</f>
        <v>0</v>
      </c>
      <c r="K12" s="179">
        <f>SUMIFS(Vigilancia!$E:$E,Vigilancia!$F:$F,$A12,Vigilancia!$J:$J,K$1)</f>
        <v>0</v>
      </c>
      <c r="L12" s="179">
        <f>SUMIFS(Vigilancia!$E:$E,Vigilancia!$F:$F,$A12,Vigilancia!$J:$J,L$1)</f>
        <v>0</v>
      </c>
      <c r="M12" s="122"/>
    </row>
    <row r="13" spans="1:13">
      <c r="A13" s="29" t="str">
        <f>'RESUMEN VIGILANCIA'!A13</f>
        <v>Ely Saúl Rivero Gómez</v>
      </c>
      <c r="B13" s="30" t="str">
        <f>'RESUMEN VIGILANCIA'!B13</f>
        <v>Av. "Ñ" Nro. 145-25</v>
      </c>
      <c r="C13" s="179">
        <f>SUMIFS(Vigilancia!$E:$E,Vigilancia!$F:$F,$A13,Vigilancia!$J:$J,C$1)</f>
        <v>7.0000000000000007E-2</v>
      </c>
      <c r="D13" s="179">
        <f>SUMIFS(Vigilancia!$E:$E,Vigilancia!$F:$F,$A13,Vigilancia!$J:$J,D$1)</f>
        <v>3.5</v>
      </c>
      <c r="E13" s="302">
        <f>SUMIFS(Vigilancia!$E:$E,Vigilancia!$F:$F,$A13,Vigilancia!$J:$J,E$1)</f>
        <v>12.2</v>
      </c>
      <c r="F13" s="302">
        <f>SUMIFS(Vigilancia!$E:$E,Vigilancia!$F:$F,$A13,Vigilancia!$J:$J,F$1)</f>
        <v>10</v>
      </c>
      <c r="G13" s="179">
        <f>SUMIFS(Vigilancia!$E:$E,Vigilancia!$F:$F,$A13,Vigilancia!$J:$J,G$1)</f>
        <v>50000</v>
      </c>
      <c r="H13" s="179">
        <f>SUMIFS(Vigilancia!$E:$E,Vigilancia!$F:$F,$A13,Vigilancia!$J:$J,H$1)</f>
        <v>0</v>
      </c>
      <c r="I13" s="179">
        <f>SUMIFS(Vigilancia!$E:$E,Vigilancia!$F:$F,$A13,Vigilancia!$J:$J,I$1)</f>
        <v>0</v>
      </c>
      <c r="J13" s="179">
        <f>SUMIFS(Vigilancia!$E:$E,Vigilancia!$F:$F,$A13,Vigilancia!$J:$J,J$1)</f>
        <v>0</v>
      </c>
      <c r="K13" s="179">
        <f>SUMIFS(Vigilancia!$E:$E,Vigilancia!$F:$F,$A13,Vigilancia!$J:$J,K$1)</f>
        <v>0</v>
      </c>
      <c r="L13" s="179">
        <f>SUMIFS(Vigilancia!$E:$E,Vigilancia!$F:$F,$A13,Vigilancia!$J:$J,L$1)</f>
        <v>0</v>
      </c>
    </row>
    <row r="14" spans="1:13">
      <c r="A14" s="29" t="str">
        <f>'RESUMEN VIGILANCIA'!A14</f>
        <v>Familia González López</v>
      </c>
      <c r="B14" s="30" t="str">
        <f>'RESUMEN VIGILANCIA'!B14</f>
        <v>Av. "Ñ" Nro. 145-27</v>
      </c>
      <c r="C14" s="179">
        <f>SUMIFS(Vigilancia!$E:$E,Vigilancia!$F:$F,$A14,Vigilancia!$J:$J,C$1)</f>
        <v>0</v>
      </c>
      <c r="D14" s="179">
        <f>SUMIFS(Vigilancia!$E:$E,Vigilancia!$F:$F,$A14,Vigilancia!$J:$J,D$1)</f>
        <v>0</v>
      </c>
      <c r="E14" s="302">
        <f>SUMIFS(Vigilancia!$E:$E,Vigilancia!$F:$F,$A14,Vigilancia!$J:$J,E$1)</f>
        <v>0</v>
      </c>
      <c r="F14" s="302">
        <f>SUMIFS(Vigilancia!$E:$E,Vigilancia!$F:$F,$A14,Vigilancia!$J:$J,F$1)</f>
        <v>0</v>
      </c>
      <c r="G14" s="179">
        <f>SUMIFS(Vigilancia!$E:$E,Vigilancia!$F:$F,$A14,Vigilancia!$J:$J,G$1)</f>
        <v>0</v>
      </c>
      <c r="H14" s="179">
        <f>SUMIFS(Vigilancia!$E:$E,Vigilancia!$F:$F,$A14,Vigilancia!$J:$J,H$1)</f>
        <v>0</v>
      </c>
      <c r="I14" s="179">
        <f>SUMIFS(Vigilancia!$E:$E,Vigilancia!$F:$F,$A14,Vigilancia!$J:$J,I$1)</f>
        <v>0</v>
      </c>
      <c r="J14" s="179">
        <f>SUMIFS(Vigilancia!$E:$E,Vigilancia!$F:$F,$A14,Vigilancia!$J:$J,J$1)</f>
        <v>0</v>
      </c>
      <c r="K14" s="179">
        <f>SUMIFS(Vigilancia!$E:$E,Vigilancia!$F:$F,$A14,Vigilancia!$J:$J,K$1)</f>
        <v>0</v>
      </c>
      <c r="L14" s="179">
        <f>SUMIFS(Vigilancia!$E:$E,Vigilancia!$F:$F,$A14,Vigilancia!$J:$J,L$1)</f>
        <v>0</v>
      </c>
    </row>
    <row r="15" spans="1:13">
      <c r="A15" s="29" t="str">
        <f>'RESUMEN VIGILANCIA'!A15</f>
        <v>Familia Coronel</v>
      </c>
      <c r="B15" s="30" t="str">
        <f>'RESUMEN VIGILANCIA'!B15</f>
        <v>Av. "O" Nro. 146-10</v>
      </c>
      <c r="C15" s="179">
        <f>SUMIFS(Vigilancia!$E:$E,Vigilancia!$F:$F,$A15,Vigilancia!$J:$J,C$1)</f>
        <v>0</v>
      </c>
      <c r="D15" s="179">
        <f>SUMIFS(Vigilancia!$E:$E,Vigilancia!$F:$F,$A15,Vigilancia!$J:$J,D$1)</f>
        <v>0</v>
      </c>
      <c r="E15" s="302">
        <f>SUMIFS(Vigilancia!$E:$E,Vigilancia!$F:$F,$A15,Vigilancia!$J:$J,E$1)</f>
        <v>0</v>
      </c>
      <c r="F15" s="302">
        <f>SUMIFS(Vigilancia!$E:$E,Vigilancia!$F:$F,$A15,Vigilancia!$J:$J,F$1)</f>
        <v>0</v>
      </c>
      <c r="G15" s="179">
        <f>SUMIFS(Vigilancia!$E:$E,Vigilancia!$F:$F,$A15,Vigilancia!$J:$J,G$1)</f>
        <v>0</v>
      </c>
      <c r="H15" s="179">
        <f>SUMIFS(Vigilancia!$E:$E,Vigilancia!$F:$F,$A15,Vigilancia!$J:$J,H$1)</f>
        <v>0</v>
      </c>
      <c r="I15" s="179">
        <f>SUMIFS(Vigilancia!$E:$E,Vigilancia!$F:$F,$A15,Vigilancia!$J:$J,I$1)</f>
        <v>0</v>
      </c>
      <c r="J15" s="179">
        <f>SUMIFS(Vigilancia!$E:$E,Vigilancia!$F:$F,$A15,Vigilancia!$J:$J,J$1)</f>
        <v>0</v>
      </c>
      <c r="K15" s="179">
        <f>SUMIFS(Vigilancia!$E:$E,Vigilancia!$F:$F,$A15,Vigilancia!$J:$J,K$1)</f>
        <v>0</v>
      </c>
      <c r="L15" s="179">
        <f>SUMIFS(Vigilancia!$E:$E,Vigilancia!$F:$F,$A15,Vigilancia!$J:$J,L$1)</f>
        <v>0</v>
      </c>
    </row>
    <row r="16" spans="1:13">
      <c r="A16" s="29" t="str">
        <f>'RESUMEN VIGILANCIA'!A16</f>
        <v>Familia Hurtado</v>
      </c>
      <c r="B16" s="30" t="str">
        <f>'RESUMEN VIGILANCIA'!B16</f>
        <v>Av. "O" Nro. 146-11</v>
      </c>
      <c r="C16" s="179">
        <f>SUMIFS(Vigilancia!$E:$E,Vigilancia!$F:$F,$A16,Vigilancia!$J:$J,C$1)</f>
        <v>7.0000000000000007E-2</v>
      </c>
      <c r="D16" s="179">
        <f>SUMIFS(Vigilancia!$E:$E,Vigilancia!$F:$F,$A16,Vigilancia!$J:$J,D$1)</f>
        <v>0</v>
      </c>
      <c r="E16" s="302">
        <f>SUMIFS(Vigilancia!$E:$E,Vigilancia!$F:$F,$A16,Vigilancia!$J:$J,E$1)</f>
        <v>0</v>
      </c>
      <c r="F16" s="302">
        <f>SUMIFS(Vigilancia!$E:$E,Vigilancia!$F:$F,$A16,Vigilancia!$J:$J,F$1)</f>
        <v>10</v>
      </c>
      <c r="G16" s="179">
        <f>SUMIFS(Vigilancia!$E:$E,Vigilancia!$F:$F,$A16,Vigilancia!$J:$J,G$1)</f>
        <v>0</v>
      </c>
      <c r="H16" s="179">
        <f>SUMIFS(Vigilancia!$E:$E,Vigilancia!$F:$F,$A16,Vigilancia!$J:$J,H$1)</f>
        <v>0</v>
      </c>
      <c r="I16" s="179">
        <f>SUMIFS(Vigilancia!$E:$E,Vigilancia!$F:$F,$A16,Vigilancia!$J:$J,I$1)</f>
        <v>0</v>
      </c>
      <c r="J16" s="179">
        <f>SUMIFS(Vigilancia!$E:$E,Vigilancia!$F:$F,$A16,Vigilancia!$J:$J,J$1)</f>
        <v>0</v>
      </c>
      <c r="K16" s="179">
        <f>SUMIFS(Vigilancia!$E:$E,Vigilancia!$F:$F,$A16,Vigilancia!$J:$J,K$1)</f>
        <v>0</v>
      </c>
      <c r="L16" s="179">
        <f>SUMIFS(Vigilancia!$E:$E,Vigilancia!$F:$F,$A16,Vigilancia!$J:$J,L$1)</f>
        <v>0</v>
      </c>
    </row>
    <row r="17" spans="1:12">
      <c r="A17" s="29" t="str">
        <f>'RESUMEN VIGILANCIA'!A17</f>
        <v>Ana de González</v>
      </c>
      <c r="B17" s="30" t="str">
        <f>'RESUMEN VIGILANCIA'!B17</f>
        <v>Av. "O" Nro. 146-17</v>
      </c>
      <c r="C17" s="179">
        <f>SUMIFS(Vigilancia!$E:$E,Vigilancia!$F:$F,$A17,Vigilancia!$J:$J,C$1)</f>
        <v>7.0000000000000007E-2</v>
      </c>
      <c r="D17" s="179">
        <f>SUMIFS(Vigilancia!$E:$E,Vigilancia!$F:$F,$A17,Vigilancia!$J:$J,D$1)</f>
        <v>3.5</v>
      </c>
      <c r="E17" s="302">
        <f>SUMIFS(Vigilancia!$E:$E,Vigilancia!$F:$F,$A17,Vigilancia!$J:$J,E$1)</f>
        <v>0</v>
      </c>
      <c r="F17" s="302">
        <f>SUMIFS(Vigilancia!$E:$E,Vigilancia!$F:$F,$A17,Vigilancia!$J:$J,F$1)</f>
        <v>0</v>
      </c>
      <c r="G17" s="179">
        <f>SUMIFS(Vigilancia!$E:$E,Vigilancia!$F:$F,$A17,Vigilancia!$J:$J,G$1)</f>
        <v>50000</v>
      </c>
      <c r="H17" s="179">
        <f>SUMIFS(Vigilancia!$E:$E,Vigilancia!$F:$F,$A17,Vigilancia!$J:$J,H$1)</f>
        <v>0.18</v>
      </c>
      <c r="I17" s="179">
        <f>SUMIFS(Vigilancia!$E:$E,Vigilancia!$F:$F,$A17,Vigilancia!$J:$J,I$1)</f>
        <v>0</v>
      </c>
      <c r="J17" s="179">
        <f>SUMIFS(Vigilancia!$E:$E,Vigilancia!$F:$F,$A17,Vigilancia!$J:$J,J$1)</f>
        <v>0</v>
      </c>
      <c r="K17" s="179">
        <f>SUMIFS(Vigilancia!$E:$E,Vigilancia!$F:$F,$A17,Vigilancia!$J:$J,K$1)</f>
        <v>0</v>
      </c>
      <c r="L17" s="179">
        <f>SUMIFS(Vigilancia!$E:$E,Vigilancia!$F:$F,$A17,Vigilancia!$J:$J,L$1)</f>
        <v>0</v>
      </c>
    </row>
    <row r="18" spans="1:12">
      <c r="A18" s="29" t="str">
        <f>'RESUMEN VIGILANCIA'!A18</f>
        <v>María Luisa Gornés</v>
      </c>
      <c r="B18" s="30" t="str">
        <f>'RESUMEN VIGILANCIA'!B18</f>
        <v>Calle Guacara Nro. 87-05</v>
      </c>
      <c r="C18" s="179">
        <f>SUMIFS(Vigilancia!$E:$E,Vigilancia!$F:$F,$A18,Vigilancia!$J:$J,C$1)</f>
        <v>0</v>
      </c>
      <c r="D18" s="179">
        <f>SUMIFS(Vigilancia!$E:$E,Vigilancia!$F:$F,$A18,Vigilancia!$J:$J,D$1)</f>
        <v>0</v>
      </c>
      <c r="E18" s="302">
        <f>SUMIFS(Vigilancia!$E:$E,Vigilancia!$F:$F,$A18,Vigilancia!$J:$J,E$1)</f>
        <v>0</v>
      </c>
      <c r="F18" s="302">
        <f>SUMIFS(Vigilancia!$E:$E,Vigilancia!$F:$F,$A18,Vigilancia!$J:$J,F$1)</f>
        <v>0</v>
      </c>
      <c r="G18" s="179">
        <f>SUMIFS(Vigilancia!$E:$E,Vigilancia!$F:$F,$A18,Vigilancia!$J:$J,G$1)</f>
        <v>0</v>
      </c>
      <c r="H18" s="179">
        <f>SUMIFS(Vigilancia!$E:$E,Vigilancia!$F:$F,$A18,Vigilancia!$J:$J,H$1)</f>
        <v>0</v>
      </c>
      <c r="I18" s="179">
        <f>SUMIFS(Vigilancia!$E:$E,Vigilancia!$F:$F,$A18,Vigilancia!$J:$J,I$1)</f>
        <v>0</v>
      </c>
      <c r="J18" s="179">
        <f>SUMIFS(Vigilancia!$E:$E,Vigilancia!$F:$F,$A18,Vigilancia!$J:$J,J$1)</f>
        <v>0</v>
      </c>
      <c r="K18" s="179">
        <f>SUMIFS(Vigilancia!$E:$E,Vigilancia!$F:$F,$A18,Vigilancia!$J:$J,K$1)</f>
        <v>0</v>
      </c>
      <c r="L18" s="179">
        <f>SUMIFS(Vigilancia!$E:$E,Vigilancia!$F:$F,$A18,Vigilancia!$J:$J,L$1)</f>
        <v>0</v>
      </c>
    </row>
    <row r="19" spans="1:12">
      <c r="A19" s="29" t="str">
        <f>'RESUMEN VIGILANCIA'!A19</f>
        <v>Familia Aponte . Anexo</v>
      </c>
      <c r="B19" s="30" t="str">
        <f>'RESUMEN VIGILANCIA'!B19</f>
        <v>Calle Guacara Nro. 87-05</v>
      </c>
      <c r="C19" s="179">
        <f>SUMIFS(Vigilancia!$E:$E,Vigilancia!$F:$F,$A19,Vigilancia!$J:$J,C$1)</f>
        <v>0</v>
      </c>
      <c r="D19" s="179">
        <f>SUMIFS(Vigilancia!$E:$E,Vigilancia!$F:$F,$A19,Vigilancia!$J:$J,D$1)</f>
        <v>0</v>
      </c>
      <c r="E19" s="302">
        <f>SUMIFS(Vigilancia!$E:$E,Vigilancia!$F:$F,$A19,Vigilancia!$J:$J,E$1)</f>
        <v>0</v>
      </c>
      <c r="F19" s="302">
        <f>SUMIFS(Vigilancia!$E:$E,Vigilancia!$F:$F,$A19,Vigilancia!$J:$J,F$1)</f>
        <v>0</v>
      </c>
      <c r="G19" s="179">
        <f>SUMIFS(Vigilancia!$E:$E,Vigilancia!$F:$F,$A19,Vigilancia!$J:$J,G$1)</f>
        <v>0</v>
      </c>
      <c r="H19" s="179">
        <f>SUMIFS(Vigilancia!$E:$E,Vigilancia!$F:$F,$A19,Vigilancia!$J:$J,H$1)</f>
        <v>0</v>
      </c>
      <c r="I19" s="179">
        <f>SUMIFS(Vigilancia!$E:$E,Vigilancia!$F:$F,$A19,Vigilancia!$J:$J,I$1)</f>
        <v>0</v>
      </c>
      <c r="J19" s="179">
        <f>SUMIFS(Vigilancia!$E:$E,Vigilancia!$F:$F,$A19,Vigilancia!$J:$J,J$1)</f>
        <v>0</v>
      </c>
      <c r="K19" s="179">
        <f>SUMIFS(Vigilancia!$E:$E,Vigilancia!$F:$F,$A19,Vigilancia!$J:$J,K$1)</f>
        <v>0</v>
      </c>
      <c r="L19" s="179">
        <f>SUMIFS(Vigilancia!$E:$E,Vigilancia!$F:$F,$A19,Vigilancia!$J:$J,L$1)</f>
        <v>0</v>
      </c>
    </row>
    <row r="20" spans="1:12">
      <c r="A20" s="29" t="str">
        <f>'RESUMEN VIGILANCIA'!A20</f>
        <v>Familia Franco Gómez</v>
      </c>
      <c r="B20" s="30" t="str">
        <f>'RESUMEN VIGILANCIA'!B20</f>
        <v>Calle Guacara Nro. 87-07</v>
      </c>
      <c r="C20" s="179">
        <f>SUMIFS(Vigilancia!$E:$E,Vigilancia!$F:$F,$A20,Vigilancia!$J:$J,C$1)</f>
        <v>7.0000000000000007E-2</v>
      </c>
      <c r="D20" s="179">
        <f>SUMIFS(Vigilancia!$E:$E,Vigilancia!$F:$F,$A20,Vigilancia!$J:$J,D$1)</f>
        <v>3.5</v>
      </c>
      <c r="E20" s="302">
        <f>SUMIFS(Vigilancia!$E:$E,Vigilancia!$F:$F,$A20,Vigilancia!$J:$J,E$1)</f>
        <v>12.2</v>
      </c>
      <c r="F20" s="302">
        <f>SUMIFS(Vigilancia!$E:$E,Vigilancia!$F:$F,$A20,Vigilancia!$J:$J,F$1)</f>
        <v>10</v>
      </c>
      <c r="G20" s="179">
        <f>SUMIFS(Vigilancia!$E:$E,Vigilancia!$F:$F,$A20,Vigilancia!$J:$J,G$1)</f>
        <v>50000</v>
      </c>
      <c r="H20" s="179">
        <f>SUMIFS(Vigilancia!$E:$E,Vigilancia!$F:$F,$A20,Vigilancia!$J:$J,H$1)</f>
        <v>0</v>
      </c>
      <c r="I20" s="179">
        <f>SUMIFS(Vigilancia!$E:$E,Vigilancia!$F:$F,$A20,Vigilancia!$J:$J,I$1)</f>
        <v>0</v>
      </c>
      <c r="J20" s="179">
        <f>SUMIFS(Vigilancia!$E:$E,Vigilancia!$F:$F,$A20,Vigilancia!$J:$J,J$1)</f>
        <v>0</v>
      </c>
      <c r="K20" s="179">
        <f>SUMIFS(Vigilancia!$E:$E,Vigilancia!$F:$F,$A20,Vigilancia!$J:$J,K$1)</f>
        <v>0</v>
      </c>
      <c r="L20" s="179">
        <f>SUMIFS(Vigilancia!$E:$E,Vigilancia!$F:$F,$A20,Vigilancia!$J:$J,L$1)</f>
        <v>0</v>
      </c>
    </row>
    <row r="21" spans="1:12">
      <c r="A21" s="36" t="str">
        <f>'RESUMEN VIGILANCIA'!A21</f>
        <v>Doris Valderrama</v>
      </c>
      <c r="B21" s="37" t="str">
        <f>'RESUMEN VIGILANCIA'!B21</f>
        <v>Calle Guacara Nro. 87-15</v>
      </c>
      <c r="C21" s="197">
        <f>SUMIFS(Vigilancia!$E:$E,Vigilancia!$F:$F,$A21,Vigilancia!$J:$J,C$1)</f>
        <v>0</v>
      </c>
      <c r="D21" s="197">
        <f>SUMIFS(Vigilancia!$E:$E,Vigilancia!$F:$F,$A21,Vigilancia!$J:$J,D$1)</f>
        <v>0</v>
      </c>
      <c r="E21" s="197">
        <f>SUMIFS(Vigilancia!$E:$E,Vigilancia!$F:$F,$A21,Vigilancia!$J:$J,E$1)</f>
        <v>0</v>
      </c>
      <c r="F21" s="197">
        <f>SUMIFS(Vigilancia!$E:$E,Vigilancia!$F:$F,$A21,Vigilancia!$J:$J,F$1)</f>
        <v>0</v>
      </c>
      <c r="G21" s="197">
        <f>SUMIFS(Vigilancia!$E:$E,Vigilancia!$F:$F,$A21,Vigilancia!$J:$J,G$1)</f>
        <v>0</v>
      </c>
      <c r="H21" s="197">
        <f>SUMIFS(Vigilancia!$E:$E,Vigilancia!$F:$F,$A21,Vigilancia!$J:$J,H$1)</f>
        <v>0</v>
      </c>
      <c r="I21" s="197">
        <f>SUMIFS(Vigilancia!$E:$E,Vigilancia!$F:$F,$A21,Vigilancia!$J:$J,I$1)</f>
        <v>0</v>
      </c>
      <c r="J21" s="197">
        <f>SUMIFS(Vigilancia!$E:$E,Vigilancia!$F:$F,$A21,Vigilancia!$J:$J,J$1)</f>
        <v>0</v>
      </c>
      <c r="K21" s="197">
        <f>SUMIFS(Vigilancia!$E:$E,Vigilancia!$F:$F,$A21,Vigilancia!$J:$J,K$1)</f>
        <v>0</v>
      </c>
      <c r="L21" s="197">
        <f>SUMIFS(Vigilancia!$E:$E,Vigilancia!$F:$F,$A21,Vigilancia!$J:$J,L$1)</f>
        <v>0</v>
      </c>
    </row>
    <row r="22" spans="1:12">
      <c r="A22" s="36" t="str">
        <f>'RESUMEN VIGILANCIA'!A22</f>
        <v>Familia Delgado</v>
      </c>
      <c r="B22" s="37" t="str">
        <f>'RESUMEN VIGILANCIA'!B22</f>
        <v>Calle Guacara Nro. 87-19</v>
      </c>
      <c r="C22" s="197">
        <f>SUMIFS(Vigilancia!$E:$E,Vigilancia!$F:$F,$A22,Vigilancia!$J:$J,C$1)</f>
        <v>0</v>
      </c>
      <c r="D22" s="197">
        <f>SUMIFS(Vigilancia!$E:$E,Vigilancia!$F:$F,$A22,Vigilancia!$J:$J,D$1)</f>
        <v>0</v>
      </c>
      <c r="E22" s="197">
        <f>SUMIFS(Vigilancia!$E:$E,Vigilancia!$F:$F,$A22,Vigilancia!$J:$J,E$1)</f>
        <v>0</v>
      </c>
      <c r="F22" s="197">
        <f>SUMIFS(Vigilancia!$E:$E,Vigilancia!$F:$F,$A22,Vigilancia!$J:$J,F$1)</f>
        <v>0</v>
      </c>
      <c r="G22" s="197">
        <f>SUMIFS(Vigilancia!$E:$E,Vigilancia!$F:$F,$A22,Vigilancia!$J:$J,G$1)</f>
        <v>0</v>
      </c>
      <c r="H22" s="197">
        <f>SUMIFS(Vigilancia!$E:$E,Vigilancia!$F:$F,$A22,Vigilancia!$J:$J,H$1)</f>
        <v>0</v>
      </c>
      <c r="I22" s="197">
        <f>SUMIFS(Vigilancia!$E:$E,Vigilancia!$F:$F,$A22,Vigilancia!$J:$J,I$1)</f>
        <v>0</v>
      </c>
      <c r="J22" s="197">
        <f>SUMIFS(Vigilancia!$E:$E,Vigilancia!$F:$F,$A22,Vigilancia!$J:$J,J$1)</f>
        <v>0</v>
      </c>
      <c r="K22" s="197">
        <f>SUMIFS(Vigilancia!$E:$E,Vigilancia!$F:$F,$A22,Vigilancia!$J:$J,K$1)</f>
        <v>0</v>
      </c>
      <c r="L22" s="197">
        <f>SUMIFS(Vigilancia!$E:$E,Vigilancia!$F:$F,$A22,Vigilancia!$J:$J,L$1)</f>
        <v>0</v>
      </c>
    </row>
    <row r="23" spans="1:12">
      <c r="A23" s="36" t="str">
        <f>'RESUMEN VIGILANCIA'!A23</f>
        <v>Familia Pereira</v>
      </c>
      <c r="B23" s="37" t="str">
        <f>'RESUMEN VIGILANCIA'!B23</f>
        <v>Calle Guacara Nro. 87-27</v>
      </c>
      <c r="C23" s="197">
        <f>SUMIFS(Vigilancia!$E:$E,Vigilancia!$F:$F,$A23,Vigilancia!$J:$J,C$1)</f>
        <v>0</v>
      </c>
      <c r="D23" s="197">
        <f>SUMIFS(Vigilancia!$E:$E,Vigilancia!$F:$F,$A23,Vigilancia!$J:$J,D$1)</f>
        <v>0</v>
      </c>
      <c r="E23" s="197">
        <f>SUMIFS(Vigilancia!$E:$E,Vigilancia!$F:$F,$A23,Vigilancia!$J:$J,E$1)</f>
        <v>0</v>
      </c>
      <c r="F23" s="197">
        <f>SUMIFS(Vigilancia!$E:$E,Vigilancia!$F:$F,$A23,Vigilancia!$J:$J,F$1)</f>
        <v>0</v>
      </c>
      <c r="G23" s="197">
        <f>SUMIFS(Vigilancia!$E:$E,Vigilancia!$F:$F,$A23,Vigilancia!$J:$J,G$1)</f>
        <v>0</v>
      </c>
      <c r="H23" s="197">
        <f>SUMIFS(Vigilancia!$E:$E,Vigilancia!$F:$F,$A23,Vigilancia!$J:$J,H$1)</f>
        <v>0</v>
      </c>
      <c r="I23" s="197">
        <f>SUMIFS(Vigilancia!$E:$E,Vigilancia!$F:$F,$A23,Vigilancia!$J:$J,I$1)</f>
        <v>0</v>
      </c>
      <c r="J23" s="197">
        <f>SUMIFS(Vigilancia!$E:$E,Vigilancia!$F:$F,$A23,Vigilancia!$J:$J,J$1)</f>
        <v>0</v>
      </c>
      <c r="K23" s="197">
        <f>SUMIFS(Vigilancia!$E:$E,Vigilancia!$F:$F,$A23,Vigilancia!$J:$J,K$1)</f>
        <v>0</v>
      </c>
      <c r="L23" s="197">
        <f>SUMIFS(Vigilancia!$E:$E,Vigilancia!$F:$F,$A23,Vigilancia!$J:$J,L$1)</f>
        <v>0</v>
      </c>
    </row>
    <row r="24" spans="1:12">
      <c r="A24" s="36" t="str">
        <f>'RESUMEN VIGILANCIA'!A24</f>
        <v>Familia Padrón C. Bollingher</v>
      </c>
      <c r="B24" s="37" t="str">
        <f>'RESUMEN VIGILANCIA'!B24</f>
        <v>Calle Guacara Nro. 87-30</v>
      </c>
      <c r="C24" s="197">
        <f>SUMIFS(Vigilancia!$E:$E,Vigilancia!$F:$F,$A24,Vigilancia!$J:$J,C$1)</f>
        <v>0</v>
      </c>
      <c r="D24" s="197">
        <f>SUMIFS(Vigilancia!$E:$E,Vigilancia!$F:$F,$A24,Vigilancia!$J:$J,D$1)</f>
        <v>0</v>
      </c>
      <c r="E24" s="197">
        <f>SUMIFS(Vigilancia!$E:$E,Vigilancia!$F:$F,$A24,Vigilancia!$J:$J,E$1)</f>
        <v>0</v>
      </c>
      <c r="F24" s="197">
        <f>SUMIFS(Vigilancia!$E:$E,Vigilancia!$F:$F,$A24,Vigilancia!$J:$J,F$1)</f>
        <v>0</v>
      </c>
      <c r="G24" s="197">
        <f>SUMIFS(Vigilancia!$E:$E,Vigilancia!$F:$F,$A24,Vigilancia!$J:$J,G$1)</f>
        <v>0</v>
      </c>
      <c r="H24" s="197">
        <f>SUMIFS(Vigilancia!$E:$E,Vigilancia!$F:$F,$A24,Vigilancia!$J:$J,H$1)</f>
        <v>0</v>
      </c>
      <c r="I24" s="197">
        <f>SUMIFS(Vigilancia!$E:$E,Vigilancia!$F:$F,$A24,Vigilancia!$J:$J,I$1)</f>
        <v>0</v>
      </c>
      <c r="J24" s="197">
        <f>SUMIFS(Vigilancia!$E:$E,Vigilancia!$F:$F,$A24,Vigilancia!$J:$J,J$1)</f>
        <v>0</v>
      </c>
      <c r="K24" s="197">
        <f>SUMIFS(Vigilancia!$E:$E,Vigilancia!$F:$F,$A24,Vigilancia!$J:$J,K$1)</f>
        <v>0</v>
      </c>
      <c r="L24" s="197">
        <f>SUMIFS(Vigilancia!$E:$E,Vigilancia!$F:$F,$A24,Vigilancia!$J:$J,L$1)</f>
        <v>0</v>
      </c>
    </row>
    <row r="25" spans="1:12">
      <c r="A25" s="36" t="str">
        <f>'RESUMEN VIGILANCIA'!A25</f>
        <v>Familia Morillo</v>
      </c>
      <c r="B25" s="37" t="str">
        <f>'RESUMEN VIGILANCIA'!B25</f>
        <v>Calle Guacara Nro. 87-35</v>
      </c>
      <c r="C25" s="197">
        <f>SUMIFS(Vigilancia!$E:$E,Vigilancia!$F:$F,$A25,Vigilancia!$J:$J,C$1)</f>
        <v>0</v>
      </c>
      <c r="D25" s="197">
        <f>SUMIFS(Vigilancia!$E:$E,Vigilancia!$F:$F,$A25,Vigilancia!$J:$J,D$1)</f>
        <v>0</v>
      </c>
      <c r="E25" s="197">
        <f>SUMIFS(Vigilancia!$E:$E,Vigilancia!$F:$F,$A25,Vigilancia!$J:$J,E$1)</f>
        <v>0</v>
      </c>
      <c r="F25" s="197">
        <f>SUMIFS(Vigilancia!$E:$E,Vigilancia!$F:$F,$A25,Vigilancia!$J:$J,F$1)</f>
        <v>0</v>
      </c>
      <c r="G25" s="197">
        <f>SUMIFS(Vigilancia!$E:$E,Vigilancia!$F:$F,$A25,Vigilancia!$J:$J,G$1)</f>
        <v>0</v>
      </c>
      <c r="H25" s="197">
        <f>SUMIFS(Vigilancia!$E:$E,Vigilancia!$F:$F,$A25,Vigilancia!$J:$J,H$1)</f>
        <v>0</v>
      </c>
      <c r="I25" s="197">
        <f>SUMIFS(Vigilancia!$E:$E,Vigilancia!$F:$F,$A25,Vigilancia!$J:$J,I$1)</f>
        <v>0</v>
      </c>
      <c r="J25" s="197">
        <f>SUMIFS(Vigilancia!$E:$E,Vigilancia!$F:$F,$A25,Vigilancia!$J:$J,J$1)</f>
        <v>0</v>
      </c>
      <c r="K25" s="197">
        <f>SUMIFS(Vigilancia!$E:$E,Vigilancia!$F:$F,$A25,Vigilancia!$J:$J,K$1)</f>
        <v>0</v>
      </c>
      <c r="L25" s="197">
        <f>SUMIFS(Vigilancia!$E:$E,Vigilancia!$F:$F,$A25,Vigilancia!$J:$J,L$1)</f>
        <v>0</v>
      </c>
    </row>
    <row r="26" spans="1:12">
      <c r="A26" s="36" t="str">
        <f>'RESUMEN VIGILANCIA'!A26</f>
        <v>Familia Gorrín Gianfrancesco</v>
      </c>
      <c r="B26" s="37" t="str">
        <f>'RESUMEN VIGILANCIA'!B26</f>
        <v>Calle Guacara Nro. 87-40</v>
      </c>
      <c r="C26" s="197">
        <f>SUMIFS(Vigilancia!$E:$E,Vigilancia!$F:$F,$A26,Vigilancia!$J:$J,C$1)</f>
        <v>0</v>
      </c>
      <c r="D26" s="197">
        <f>SUMIFS(Vigilancia!$E:$E,Vigilancia!$F:$F,$A26,Vigilancia!$J:$J,D$1)</f>
        <v>0</v>
      </c>
      <c r="E26" s="197">
        <f>SUMIFS(Vigilancia!$E:$E,Vigilancia!$F:$F,$A26,Vigilancia!$J:$J,E$1)</f>
        <v>0</v>
      </c>
      <c r="F26" s="197">
        <f>SUMIFS(Vigilancia!$E:$E,Vigilancia!$F:$F,$A26,Vigilancia!$J:$J,F$1)</f>
        <v>0</v>
      </c>
      <c r="G26" s="197">
        <f>SUMIFS(Vigilancia!$E:$E,Vigilancia!$F:$F,$A26,Vigilancia!$J:$J,G$1)</f>
        <v>0</v>
      </c>
      <c r="H26" s="197">
        <f>SUMIFS(Vigilancia!$E:$E,Vigilancia!$F:$F,$A26,Vigilancia!$J:$J,H$1)</f>
        <v>0</v>
      </c>
      <c r="I26" s="197">
        <f>SUMIFS(Vigilancia!$E:$E,Vigilancia!$F:$F,$A26,Vigilancia!$J:$J,I$1)</f>
        <v>0</v>
      </c>
      <c r="J26" s="197">
        <f>SUMIFS(Vigilancia!$E:$E,Vigilancia!$F:$F,$A26,Vigilancia!$J:$J,J$1)</f>
        <v>0</v>
      </c>
      <c r="K26" s="197">
        <f>SUMIFS(Vigilancia!$E:$E,Vigilancia!$F:$F,$A26,Vigilancia!$J:$J,K$1)</f>
        <v>0</v>
      </c>
      <c r="L26" s="197">
        <f>SUMIFS(Vigilancia!$E:$E,Vigilancia!$F:$F,$A26,Vigilancia!$J:$J,L$1)</f>
        <v>0</v>
      </c>
    </row>
    <row r="27" spans="1:12">
      <c r="A27" s="36" t="str">
        <f>'RESUMEN VIGILANCIA'!A27</f>
        <v>Familia Moretti</v>
      </c>
      <c r="B27" s="37" t="str">
        <f>'RESUMEN VIGILANCIA'!B27</f>
        <v>Calle Guacara Nro. 87-51</v>
      </c>
      <c r="C27" s="197">
        <f>SUMIFS(Vigilancia!$E:$E,Vigilancia!$F:$F,$A27,Vigilancia!$J:$J,C$1)</f>
        <v>0</v>
      </c>
      <c r="D27" s="197">
        <f>SUMIFS(Vigilancia!$E:$E,Vigilancia!$F:$F,$A27,Vigilancia!$J:$J,D$1)</f>
        <v>0</v>
      </c>
      <c r="E27" s="197">
        <f>SUMIFS(Vigilancia!$E:$E,Vigilancia!$F:$F,$A27,Vigilancia!$J:$J,E$1)</f>
        <v>0</v>
      </c>
      <c r="F27" s="197">
        <f>SUMIFS(Vigilancia!$E:$E,Vigilancia!$F:$F,$A27,Vigilancia!$J:$J,F$1)</f>
        <v>0</v>
      </c>
      <c r="G27" s="197">
        <f>SUMIFS(Vigilancia!$E:$E,Vigilancia!$F:$F,$A27,Vigilancia!$J:$J,G$1)</f>
        <v>0</v>
      </c>
      <c r="H27" s="197">
        <f>SUMIFS(Vigilancia!$E:$E,Vigilancia!$F:$F,$A27,Vigilancia!$J:$J,H$1)</f>
        <v>0</v>
      </c>
      <c r="I27" s="197">
        <f>SUMIFS(Vigilancia!$E:$E,Vigilancia!$F:$F,$A27,Vigilancia!$J:$J,I$1)</f>
        <v>0</v>
      </c>
      <c r="J27" s="197">
        <f>SUMIFS(Vigilancia!$E:$E,Vigilancia!$F:$F,$A27,Vigilancia!$J:$J,J$1)</f>
        <v>0</v>
      </c>
      <c r="K27" s="197">
        <f>SUMIFS(Vigilancia!$E:$E,Vigilancia!$F:$F,$A27,Vigilancia!$J:$J,K$1)</f>
        <v>0</v>
      </c>
      <c r="L27" s="197">
        <f>SUMIFS(Vigilancia!$E:$E,Vigilancia!$F:$F,$A27,Vigilancia!$J:$J,L$1)</f>
        <v>0</v>
      </c>
    </row>
    <row r="28" spans="1:12">
      <c r="A28" s="36" t="str">
        <f>'RESUMEN VIGILANCIA'!A28</f>
        <v>Familia Ramírez (Guacara)</v>
      </c>
      <c r="B28" s="37" t="str">
        <f>'RESUMEN VIGILANCIA'!B28</f>
        <v>Calle Guacara Nro. 87-59</v>
      </c>
      <c r="C28" s="197">
        <f>SUMIFS(Vigilancia!$E:$E,Vigilancia!$F:$F,$A28,Vigilancia!$J:$J,C$1)</f>
        <v>0</v>
      </c>
      <c r="D28" s="197">
        <f>SUMIFS(Vigilancia!$E:$E,Vigilancia!$F:$F,$A28,Vigilancia!$J:$J,D$1)</f>
        <v>0</v>
      </c>
      <c r="E28" s="197">
        <f>SUMIFS(Vigilancia!$E:$E,Vigilancia!$F:$F,$A28,Vigilancia!$J:$J,E$1)</f>
        <v>0</v>
      </c>
      <c r="F28" s="197">
        <f>SUMIFS(Vigilancia!$E:$E,Vigilancia!$F:$F,$A28,Vigilancia!$J:$J,F$1)</f>
        <v>0</v>
      </c>
      <c r="G28" s="197">
        <f>SUMIFS(Vigilancia!$E:$E,Vigilancia!$F:$F,$A28,Vigilancia!$J:$J,G$1)</f>
        <v>0</v>
      </c>
      <c r="H28" s="197">
        <f>SUMIFS(Vigilancia!$E:$E,Vigilancia!$F:$F,$A28,Vigilancia!$J:$J,H$1)</f>
        <v>0</v>
      </c>
      <c r="I28" s="197">
        <f>SUMIFS(Vigilancia!$E:$E,Vigilancia!$F:$F,$A28,Vigilancia!$J:$J,I$1)</f>
        <v>0</v>
      </c>
      <c r="J28" s="197">
        <f>SUMIFS(Vigilancia!$E:$E,Vigilancia!$F:$F,$A28,Vigilancia!$J:$J,J$1)</f>
        <v>0</v>
      </c>
      <c r="K28" s="197">
        <f>SUMIFS(Vigilancia!$E:$E,Vigilancia!$F:$F,$A28,Vigilancia!$J:$J,K$1)</f>
        <v>0</v>
      </c>
      <c r="L28" s="197">
        <f>SUMIFS(Vigilancia!$E:$E,Vigilancia!$F:$F,$A28,Vigilancia!$J:$J,L$1)</f>
        <v>0</v>
      </c>
    </row>
    <row r="29" spans="1:12">
      <c r="A29" s="36" t="str">
        <f>'RESUMEN VIGILANCIA'!A29</f>
        <v>Familia De Sousa Pereira</v>
      </c>
      <c r="B29" s="37" t="str">
        <f>'RESUMEN VIGILANCIA'!B29</f>
        <v>Calle Guacara Nro. 87-65</v>
      </c>
      <c r="C29" s="197">
        <f>SUMIFS(Vigilancia!$E:$E,Vigilancia!$F:$F,$A29,Vigilancia!$J:$J,C$1)</f>
        <v>0</v>
      </c>
      <c r="D29" s="197">
        <f>SUMIFS(Vigilancia!$E:$E,Vigilancia!$F:$F,$A29,Vigilancia!$J:$J,D$1)</f>
        <v>0</v>
      </c>
      <c r="E29" s="197">
        <f>SUMIFS(Vigilancia!$E:$E,Vigilancia!$F:$F,$A29,Vigilancia!$J:$J,E$1)</f>
        <v>0</v>
      </c>
      <c r="F29" s="197">
        <f>SUMIFS(Vigilancia!$E:$E,Vigilancia!$F:$F,$A29,Vigilancia!$J:$J,F$1)</f>
        <v>0</v>
      </c>
      <c r="G29" s="197">
        <f>SUMIFS(Vigilancia!$E:$E,Vigilancia!$F:$F,$A29,Vigilancia!$J:$J,G$1)</f>
        <v>0</v>
      </c>
      <c r="H29" s="197">
        <f>SUMIFS(Vigilancia!$E:$E,Vigilancia!$F:$F,$A29,Vigilancia!$J:$J,H$1)</f>
        <v>0</v>
      </c>
      <c r="I29" s="197">
        <f>SUMIFS(Vigilancia!$E:$E,Vigilancia!$F:$F,$A29,Vigilancia!$J:$J,I$1)</f>
        <v>0</v>
      </c>
      <c r="J29" s="197">
        <f>SUMIFS(Vigilancia!$E:$E,Vigilancia!$F:$F,$A29,Vigilancia!$J:$J,J$1)</f>
        <v>0</v>
      </c>
      <c r="K29" s="197">
        <f>SUMIFS(Vigilancia!$E:$E,Vigilancia!$F:$F,$A29,Vigilancia!$J:$J,K$1)</f>
        <v>0</v>
      </c>
      <c r="L29" s="197">
        <f>SUMIFS(Vigilancia!$E:$E,Vigilancia!$F:$F,$A29,Vigilancia!$J:$J,L$1)</f>
        <v>0</v>
      </c>
    </row>
    <row r="30" spans="1:12">
      <c r="A30" s="36" t="str">
        <f>'RESUMEN VIGILANCIA'!A30</f>
        <v>Familia De Libero Marinelli</v>
      </c>
      <c r="B30" s="37" t="str">
        <f>'RESUMEN VIGILANCIA'!B30</f>
        <v>Calle Guacara Nro. 87-70</v>
      </c>
      <c r="C30" s="197">
        <f>SUMIFS(Vigilancia!$E:$E,Vigilancia!$F:$F,$A30,Vigilancia!$J:$J,C$1)</f>
        <v>0</v>
      </c>
      <c r="D30" s="197">
        <f>SUMIFS(Vigilancia!$E:$E,Vigilancia!$F:$F,$A30,Vigilancia!$J:$J,D$1)</f>
        <v>0</v>
      </c>
      <c r="E30" s="197">
        <f>SUMIFS(Vigilancia!$E:$E,Vigilancia!$F:$F,$A30,Vigilancia!$J:$J,E$1)</f>
        <v>0</v>
      </c>
      <c r="F30" s="197">
        <f>SUMIFS(Vigilancia!$E:$E,Vigilancia!$F:$F,$A30,Vigilancia!$J:$J,F$1)</f>
        <v>0</v>
      </c>
      <c r="G30" s="197">
        <f>SUMIFS(Vigilancia!$E:$E,Vigilancia!$F:$F,$A30,Vigilancia!$J:$J,G$1)</f>
        <v>0</v>
      </c>
      <c r="H30" s="197">
        <f>SUMIFS(Vigilancia!$E:$E,Vigilancia!$F:$F,$A30,Vigilancia!$J:$J,H$1)</f>
        <v>0</v>
      </c>
      <c r="I30" s="197">
        <f>SUMIFS(Vigilancia!$E:$E,Vigilancia!$F:$F,$A30,Vigilancia!$J:$J,I$1)</f>
        <v>0</v>
      </c>
      <c r="J30" s="197">
        <f>SUMIFS(Vigilancia!$E:$E,Vigilancia!$F:$F,$A30,Vigilancia!$J:$J,J$1)</f>
        <v>0</v>
      </c>
      <c r="K30" s="197">
        <f>SUMIFS(Vigilancia!$E:$E,Vigilancia!$F:$F,$A30,Vigilancia!$J:$J,K$1)</f>
        <v>0</v>
      </c>
      <c r="L30" s="197">
        <f>SUMIFS(Vigilancia!$E:$E,Vigilancia!$F:$F,$A30,Vigilancia!$J:$J,L$1)</f>
        <v>0</v>
      </c>
    </row>
    <row r="31" spans="1:12">
      <c r="A31" s="36" t="str">
        <f>'RESUMEN VIGILANCIA'!A31</f>
        <v>Familia Martínez</v>
      </c>
      <c r="B31" s="37" t="str">
        <f>'RESUMEN VIGILANCIA'!B31</f>
        <v>Calle Guacara Nro. 87-80</v>
      </c>
      <c r="C31" s="197">
        <f>SUMIFS(Vigilancia!$E:$E,Vigilancia!$F:$F,$A31,Vigilancia!$J:$J,C$1)</f>
        <v>0</v>
      </c>
      <c r="D31" s="197">
        <f>SUMIFS(Vigilancia!$E:$E,Vigilancia!$F:$F,$A31,Vigilancia!$J:$J,D$1)</f>
        <v>0</v>
      </c>
      <c r="E31" s="197">
        <f>SUMIFS(Vigilancia!$E:$E,Vigilancia!$F:$F,$A31,Vigilancia!$J:$J,E$1)</f>
        <v>0</v>
      </c>
      <c r="F31" s="197">
        <f>SUMIFS(Vigilancia!$E:$E,Vigilancia!$F:$F,$A31,Vigilancia!$J:$J,F$1)</f>
        <v>0</v>
      </c>
      <c r="G31" s="197">
        <f>SUMIFS(Vigilancia!$E:$E,Vigilancia!$F:$F,$A31,Vigilancia!$J:$J,G$1)</f>
        <v>0</v>
      </c>
      <c r="H31" s="197">
        <f>SUMIFS(Vigilancia!$E:$E,Vigilancia!$F:$F,$A31,Vigilancia!$J:$J,H$1)</f>
        <v>0</v>
      </c>
      <c r="I31" s="197">
        <f>SUMIFS(Vigilancia!$E:$E,Vigilancia!$F:$F,$A31,Vigilancia!$J:$J,I$1)</f>
        <v>0</v>
      </c>
      <c r="J31" s="197">
        <f>SUMIFS(Vigilancia!$E:$E,Vigilancia!$F:$F,$A31,Vigilancia!$J:$J,J$1)</f>
        <v>0</v>
      </c>
      <c r="K31" s="197">
        <f>SUMIFS(Vigilancia!$E:$E,Vigilancia!$F:$F,$A31,Vigilancia!$J:$J,K$1)</f>
        <v>0</v>
      </c>
      <c r="L31" s="197">
        <f>SUMIFS(Vigilancia!$E:$E,Vigilancia!$F:$F,$A31,Vigilancia!$J:$J,L$1)</f>
        <v>0</v>
      </c>
    </row>
    <row r="32" spans="1:12">
      <c r="A32" s="36" t="str">
        <f>'RESUMEN VIGILANCIA'!A32</f>
        <v>Familia Suarez</v>
      </c>
      <c r="B32" s="37" t="str">
        <f>'RESUMEN VIGILANCIA'!B32</f>
        <v>Calle Guacara Nro. 87-82</v>
      </c>
      <c r="C32" s="197">
        <f>SUMIFS(Vigilancia!$E:$E,Vigilancia!$F:$F,$A32,Vigilancia!$J:$J,C$1)</f>
        <v>0</v>
      </c>
      <c r="D32" s="197">
        <f>SUMIFS(Vigilancia!$E:$E,Vigilancia!$F:$F,$A32,Vigilancia!$J:$J,D$1)</f>
        <v>0</v>
      </c>
      <c r="E32" s="197">
        <f>SUMIFS(Vigilancia!$E:$E,Vigilancia!$F:$F,$A32,Vigilancia!$J:$J,E$1)</f>
        <v>0</v>
      </c>
      <c r="F32" s="197">
        <f>SUMIFS(Vigilancia!$E:$E,Vigilancia!$F:$F,$A32,Vigilancia!$J:$J,F$1)</f>
        <v>0</v>
      </c>
      <c r="G32" s="197">
        <f>SUMIFS(Vigilancia!$E:$E,Vigilancia!$F:$F,$A32,Vigilancia!$J:$J,G$1)</f>
        <v>0</v>
      </c>
      <c r="H32" s="197">
        <f>SUMIFS(Vigilancia!$E:$E,Vigilancia!$F:$F,$A32,Vigilancia!$J:$J,H$1)</f>
        <v>0</v>
      </c>
      <c r="I32" s="197">
        <f>SUMIFS(Vigilancia!$E:$E,Vigilancia!$F:$F,$A32,Vigilancia!$J:$J,I$1)</f>
        <v>0</v>
      </c>
      <c r="J32" s="197">
        <f>SUMIFS(Vigilancia!$E:$E,Vigilancia!$F:$F,$A32,Vigilancia!$J:$J,J$1)</f>
        <v>0</v>
      </c>
      <c r="K32" s="197">
        <f>SUMIFS(Vigilancia!$E:$E,Vigilancia!$F:$F,$A32,Vigilancia!$J:$J,K$1)</f>
        <v>0</v>
      </c>
      <c r="L32" s="197">
        <f>SUMIFS(Vigilancia!$E:$E,Vigilancia!$F:$F,$A32,Vigilancia!$J:$J,L$1)</f>
        <v>0</v>
      </c>
    </row>
    <row r="33" spans="1:13">
      <c r="A33" s="29" t="str">
        <f>'RESUMEN VIGILANCIA'!A33</f>
        <v>Chin Chun Ya (Goya)</v>
      </c>
      <c r="B33" s="30" t="str">
        <f>'RESUMEN VIGILANCIA'!B33</f>
        <v>Calle Guacara Nro. 87-86</v>
      </c>
      <c r="C33" s="179">
        <f>SUMIFS(Vigilancia!$E:$E,Vigilancia!$F:$F,$A33,Vigilancia!$J:$J,C$1)</f>
        <v>7.0000000000000007E-2</v>
      </c>
      <c r="D33" s="179">
        <f>SUMIFS(Vigilancia!$E:$E,Vigilancia!$F:$F,$A33,Vigilancia!$J:$J,D$1)</f>
        <v>3.5</v>
      </c>
      <c r="E33" s="302">
        <f>SUMIFS(Vigilancia!$E:$E,Vigilancia!$F:$F,$A33,Vigilancia!$J:$J,E$1)</f>
        <v>12.2</v>
      </c>
      <c r="F33" s="302">
        <f>SUMIFS(Vigilancia!$E:$E,Vigilancia!$F:$F,$A33,Vigilancia!$J:$J,F$1)</f>
        <v>10</v>
      </c>
      <c r="G33" s="179">
        <f>SUMIFS(Vigilancia!$E:$E,Vigilancia!$F:$F,$A33,Vigilancia!$J:$J,G$1)</f>
        <v>0</v>
      </c>
      <c r="H33" s="179">
        <f>SUMIFS(Vigilancia!$E:$E,Vigilancia!$F:$F,$A33,Vigilancia!$J:$J,H$1)</f>
        <v>0</v>
      </c>
      <c r="I33" s="179">
        <f>SUMIFS(Vigilancia!$E:$E,Vigilancia!$F:$F,$A33,Vigilancia!$J:$J,I$1)</f>
        <v>0</v>
      </c>
      <c r="J33" s="179">
        <f>SUMIFS(Vigilancia!$E:$E,Vigilancia!$F:$F,$A33,Vigilancia!$J:$J,J$1)</f>
        <v>0</v>
      </c>
      <c r="K33" s="179">
        <f>SUMIFS(Vigilancia!$E:$E,Vigilancia!$F:$F,$A33,Vigilancia!$J:$J,K$1)</f>
        <v>0</v>
      </c>
      <c r="L33" s="179">
        <f>SUMIFS(Vigilancia!$E:$E,Vigilancia!$F:$F,$A33,Vigilancia!$J:$J,L$1)</f>
        <v>0</v>
      </c>
    </row>
    <row r="34" spans="1:13">
      <c r="A34" s="29" t="str">
        <f>'RESUMEN VIGILANCIA'!A34</f>
        <v>Familia Ríos Sambrano</v>
      </c>
      <c r="B34" s="30" t="str">
        <f>'RESUMEN VIGILANCIA'!B34</f>
        <v>Calle Guacara Nro. 87-86</v>
      </c>
      <c r="C34" s="179">
        <f>SUMIFS(Vigilancia!$E:$E,Vigilancia!$F:$F,$A34,Vigilancia!$J:$J,C$1)</f>
        <v>0</v>
      </c>
      <c r="D34" s="179">
        <f>SUMIFS(Vigilancia!$E:$E,Vigilancia!$F:$F,$A34,Vigilancia!$J:$J,D$1)</f>
        <v>0</v>
      </c>
      <c r="E34" s="302">
        <f>SUMIFS(Vigilancia!$E:$E,Vigilancia!$F:$F,$A34,Vigilancia!$J:$J,E$1)</f>
        <v>0</v>
      </c>
      <c r="F34" s="302">
        <f>SUMIFS(Vigilancia!$E:$E,Vigilancia!$F:$F,$A34,Vigilancia!$J:$J,F$1)</f>
        <v>0</v>
      </c>
      <c r="G34" s="179">
        <f>SUMIFS(Vigilancia!$E:$E,Vigilancia!$F:$F,$A34,Vigilancia!$J:$J,G$1)</f>
        <v>50000</v>
      </c>
      <c r="H34" s="179">
        <f>SUMIFS(Vigilancia!$E:$E,Vigilancia!$F:$F,$A34,Vigilancia!$J:$J,H$1)</f>
        <v>0</v>
      </c>
      <c r="I34" s="179">
        <f>SUMIFS(Vigilancia!$E:$E,Vigilancia!$F:$F,$A34,Vigilancia!$J:$J,I$1)</f>
        <v>0</v>
      </c>
      <c r="J34" s="179">
        <f>SUMIFS(Vigilancia!$E:$E,Vigilancia!$F:$F,$A34,Vigilancia!$J:$J,J$1)</f>
        <v>0</v>
      </c>
      <c r="K34" s="179">
        <f>SUMIFS(Vigilancia!$E:$E,Vigilancia!$F:$F,$A34,Vigilancia!$J:$J,K$1)</f>
        <v>0</v>
      </c>
      <c r="L34" s="179">
        <f>SUMIFS(Vigilancia!$E:$E,Vigilancia!$F:$F,$A34,Vigilancia!$J:$J,L$1)</f>
        <v>0</v>
      </c>
    </row>
    <row r="35" spans="1:13">
      <c r="A35" s="29" t="str">
        <f>'RESUMEN VIGILANCIA'!A35</f>
        <v>Teresita Román</v>
      </c>
      <c r="B35" s="30" t="str">
        <f>'RESUMEN VIGILANCIA'!B35</f>
        <v>Calle Guacara Nro. 87-90</v>
      </c>
      <c r="C35" s="179">
        <f>SUMIFS(Vigilancia!$E:$E,Vigilancia!$F:$F,$A35,Vigilancia!$J:$J,C$1)</f>
        <v>0</v>
      </c>
      <c r="D35" s="179">
        <f>SUMIFS(Vigilancia!$E:$E,Vigilancia!$F:$F,$A35,Vigilancia!$J:$J,D$1)</f>
        <v>0</v>
      </c>
      <c r="E35" s="302">
        <f>SUMIFS(Vigilancia!$E:$E,Vigilancia!$F:$F,$A35,Vigilancia!$J:$J,E$1)</f>
        <v>0</v>
      </c>
      <c r="F35" s="302">
        <f>SUMIFS(Vigilancia!$E:$E,Vigilancia!$F:$F,$A35,Vigilancia!$J:$J,F$1)</f>
        <v>0</v>
      </c>
      <c r="G35" s="179">
        <f>SUMIFS(Vigilancia!$E:$E,Vigilancia!$F:$F,$A35,Vigilancia!$J:$J,G$1)</f>
        <v>0</v>
      </c>
      <c r="H35" s="179">
        <f>SUMIFS(Vigilancia!$E:$E,Vigilancia!$F:$F,$A35,Vigilancia!$J:$J,H$1)</f>
        <v>0</v>
      </c>
      <c r="I35" s="179">
        <f>SUMIFS(Vigilancia!$E:$E,Vigilancia!$F:$F,$A35,Vigilancia!$J:$J,I$1)</f>
        <v>0</v>
      </c>
      <c r="J35" s="179">
        <f>SUMIFS(Vigilancia!$E:$E,Vigilancia!$F:$F,$A35,Vigilancia!$J:$J,J$1)</f>
        <v>0</v>
      </c>
      <c r="K35" s="179">
        <f>SUMIFS(Vigilancia!$E:$E,Vigilancia!$F:$F,$A35,Vigilancia!$J:$J,K$1)</f>
        <v>0</v>
      </c>
      <c r="L35" s="179">
        <f>SUMIFS(Vigilancia!$E:$E,Vigilancia!$F:$F,$A35,Vigilancia!$J:$J,L$1)</f>
        <v>0</v>
      </c>
    </row>
    <row r="36" spans="1:13">
      <c r="A36" s="29" t="str">
        <f>'RESUMEN VIGILANCIA'!A36</f>
        <v>Familia Puerta Burguillos</v>
      </c>
      <c r="B36" s="30" t="str">
        <f>'RESUMEN VIGILANCIA'!B36</f>
        <v>Calle Guacara Nro. 87-100</v>
      </c>
      <c r="C36" s="179">
        <f>SUMIFS(Vigilancia!$E:$E,Vigilancia!$F:$F,$A36,Vigilancia!$J:$J,C$1)</f>
        <v>7.0000000000000007E-2</v>
      </c>
      <c r="D36" s="179">
        <f>SUMIFS(Vigilancia!$E:$E,Vigilancia!$F:$F,$A36,Vigilancia!$J:$J,D$1)</f>
        <v>3.5</v>
      </c>
      <c r="E36" s="302">
        <f>SUMIFS(Vigilancia!$E:$E,Vigilancia!$F:$F,$A36,Vigilancia!$J:$J,E$1)</f>
        <v>12.2</v>
      </c>
      <c r="F36" s="302">
        <f>SUMIFS(Vigilancia!$E:$E,Vigilancia!$F:$F,$A36,Vigilancia!$J:$J,F$1)</f>
        <v>10</v>
      </c>
      <c r="G36" s="179">
        <f>SUMIFS(Vigilancia!$E:$E,Vigilancia!$F:$F,$A36,Vigilancia!$J:$J,G$1)</f>
        <v>50000</v>
      </c>
      <c r="H36" s="179">
        <f>SUMIFS(Vigilancia!$E:$E,Vigilancia!$F:$F,$A36,Vigilancia!$J:$J,H$1)</f>
        <v>0</v>
      </c>
      <c r="I36" s="179">
        <f>SUMIFS(Vigilancia!$E:$E,Vigilancia!$F:$F,$A36,Vigilancia!$J:$J,I$1)</f>
        <v>0</v>
      </c>
      <c r="J36" s="179">
        <f>SUMIFS(Vigilancia!$E:$E,Vigilancia!$F:$F,$A36,Vigilancia!$J:$J,J$1)</f>
        <v>0</v>
      </c>
      <c r="K36" s="179">
        <f>SUMIFS(Vigilancia!$E:$E,Vigilancia!$F:$F,$A36,Vigilancia!$J:$J,K$1)</f>
        <v>0</v>
      </c>
      <c r="L36" s="179">
        <f>SUMIFS(Vigilancia!$E:$E,Vigilancia!$F:$F,$A36,Vigilancia!$J:$J,L$1)</f>
        <v>0</v>
      </c>
    </row>
    <row r="37" spans="1:13">
      <c r="A37" s="29" t="str">
        <f>'RESUMEN VIGILANCIA'!A37</f>
        <v>Familia Méndez Parra</v>
      </c>
      <c r="B37" s="30" t="str">
        <f>'RESUMEN VIGILANCIA'!B37</f>
        <v>Calle Guacara Nro. 88-19</v>
      </c>
      <c r="C37" s="179">
        <f>SUMIFS(Vigilancia!$E:$E,Vigilancia!$F:$F,$A37,Vigilancia!$J:$J,C$1)</f>
        <v>4.3200000000000002E-2</v>
      </c>
      <c r="D37" s="179">
        <f>SUMIFS(Vigilancia!$E:$E,Vigilancia!$F:$F,$A37,Vigilancia!$J:$J,D$1)</f>
        <v>3.5</v>
      </c>
      <c r="E37" s="302">
        <f>SUMIFS(Vigilancia!$E:$E,Vigilancia!$F:$F,$A37,Vigilancia!$J:$J,E$1)</f>
        <v>12</v>
      </c>
      <c r="F37" s="302">
        <f>SUMIFS(Vigilancia!$E:$E,Vigilancia!$F:$F,$A37,Vigilancia!$J:$J,F$1)</f>
        <v>0</v>
      </c>
      <c r="G37" s="179">
        <f>SUMIFS(Vigilancia!$E:$E,Vigilancia!$F:$F,$A37,Vigilancia!$J:$J,G$1)</f>
        <v>20000</v>
      </c>
      <c r="H37" s="179">
        <f>SUMIFS(Vigilancia!$E:$E,Vigilancia!$F:$F,$A37,Vigilancia!$J:$J,H$1)</f>
        <v>0</v>
      </c>
      <c r="I37" s="179">
        <f>SUMIFS(Vigilancia!$E:$E,Vigilancia!$F:$F,$A37,Vigilancia!$J:$J,I$1)</f>
        <v>0</v>
      </c>
      <c r="J37" s="179">
        <f>SUMIFS(Vigilancia!$E:$E,Vigilancia!$F:$F,$A37,Vigilancia!$J:$J,J$1)</f>
        <v>0</v>
      </c>
      <c r="K37" s="179">
        <f>SUMIFS(Vigilancia!$E:$E,Vigilancia!$F:$F,$A37,Vigilancia!$J:$J,K$1)</f>
        <v>0</v>
      </c>
      <c r="L37" s="179">
        <f>SUMIFS(Vigilancia!$E:$E,Vigilancia!$F:$F,$A37,Vigilancia!$J:$J,L$1)</f>
        <v>0</v>
      </c>
    </row>
    <row r="38" spans="1:13">
      <c r="A38" s="29" t="str">
        <f>'RESUMEN VIGILANCIA'!A38</f>
        <v>Victoria Francischiello</v>
      </c>
      <c r="B38" s="30" t="str">
        <f>'RESUMEN VIGILANCIA'!B38</f>
        <v>Calle Guacara Nro. 88-25</v>
      </c>
      <c r="C38" s="179">
        <f>SUMIFS(Vigilancia!$E:$E,Vigilancia!$F:$F,$A38,Vigilancia!$J:$J,C$1)</f>
        <v>0.05</v>
      </c>
      <c r="D38" s="179">
        <f>SUMIFS(Vigilancia!$E:$E,Vigilancia!$F:$F,$A38,Vigilancia!$J:$J,D$1)</f>
        <v>3.5</v>
      </c>
      <c r="E38" s="302">
        <f>SUMIFS(Vigilancia!$E:$E,Vigilancia!$F:$F,$A38,Vigilancia!$J:$J,E$1)</f>
        <v>0</v>
      </c>
      <c r="F38" s="302">
        <f>SUMIFS(Vigilancia!$E:$E,Vigilancia!$F:$F,$A38,Vigilancia!$J:$J,F$1)</f>
        <v>10</v>
      </c>
      <c r="G38" s="179">
        <f>SUMIFS(Vigilancia!$E:$E,Vigilancia!$F:$F,$A38,Vigilancia!$J:$J,G$1)</f>
        <v>50000</v>
      </c>
      <c r="H38" s="179">
        <f>SUMIFS(Vigilancia!$E:$E,Vigilancia!$F:$F,$A38,Vigilancia!$J:$J,H$1)</f>
        <v>0</v>
      </c>
      <c r="I38" s="179">
        <f>SUMIFS(Vigilancia!$E:$E,Vigilancia!$F:$F,$A38,Vigilancia!$J:$J,I$1)</f>
        <v>0</v>
      </c>
      <c r="J38" s="179">
        <f>SUMIFS(Vigilancia!$E:$E,Vigilancia!$F:$F,$A38,Vigilancia!$J:$J,J$1)</f>
        <v>0</v>
      </c>
      <c r="K38" s="179">
        <f>SUMIFS(Vigilancia!$E:$E,Vigilancia!$F:$F,$A38,Vigilancia!$J:$J,K$1)</f>
        <v>0</v>
      </c>
      <c r="L38" s="179">
        <f>SUMIFS(Vigilancia!$E:$E,Vigilancia!$F:$F,$A38,Vigilancia!$J:$J,L$1)</f>
        <v>0</v>
      </c>
    </row>
    <row r="39" spans="1:13">
      <c r="A39" s="29" t="str">
        <f>'RESUMEN VIGILANCIA'!A39</f>
        <v>Familia Cegarra Villamizar</v>
      </c>
      <c r="B39" s="30" t="str">
        <f>'RESUMEN VIGILANCIA'!B39</f>
        <v>Calle Guacara Nro. 88-35</v>
      </c>
      <c r="C39" s="179">
        <f>SUMIFS(Vigilancia!$E:$E,Vigilancia!$F:$F,$A39,Vigilancia!$J:$J,C$1)</f>
        <v>7.0000000000000007E-2</v>
      </c>
      <c r="D39" s="179">
        <f>SUMIFS(Vigilancia!$E:$E,Vigilancia!$F:$F,$A39,Vigilancia!$J:$J,D$1)</f>
        <v>0</v>
      </c>
      <c r="E39" s="302">
        <f>SUMIFS(Vigilancia!$E:$E,Vigilancia!$F:$F,$A39,Vigilancia!$J:$J,E$1)</f>
        <v>0</v>
      </c>
      <c r="F39" s="302">
        <f>SUMIFS(Vigilancia!$E:$E,Vigilancia!$F:$F,$A39,Vigilancia!$J:$J,F$1)</f>
        <v>0</v>
      </c>
      <c r="G39" s="179">
        <f>SUMIFS(Vigilancia!$E:$E,Vigilancia!$F:$F,$A39,Vigilancia!$J:$J,G$1)</f>
        <v>0</v>
      </c>
      <c r="H39" s="179">
        <f>SUMIFS(Vigilancia!$E:$E,Vigilancia!$F:$F,$A39,Vigilancia!$J:$J,H$1)</f>
        <v>0</v>
      </c>
      <c r="I39" s="179">
        <f>SUMIFS(Vigilancia!$E:$E,Vigilancia!$F:$F,$A39,Vigilancia!$J:$J,I$1)</f>
        <v>0</v>
      </c>
      <c r="J39" s="179">
        <f>SUMIFS(Vigilancia!$E:$E,Vigilancia!$F:$F,$A39,Vigilancia!$J:$J,J$1)</f>
        <v>0</v>
      </c>
      <c r="K39" s="179">
        <f>SUMIFS(Vigilancia!$E:$E,Vigilancia!$F:$F,$A39,Vigilancia!$J:$J,K$1)</f>
        <v>0</v>
      </c>
      <c r="L39" s="179">
        <f>SUMIFS(Vigilancia!$E:$E,Vigilancia!$F:$F,$A39,Vigilancia!$J:$J,L$1)</f>
        <v>0</v>
      </c>
    </row>
    <row r="40" spans="1:13">
      <c r="A40" s="29" t="str">
        <f>'RESUMEN VIGILANCIA'!A40</f>
        <v>Familia Del Negro Palermo</v>
      </c>
      <c r="B40" s="30" t="str">
        <f>'RESUMEN VIGILANCIA'!B40</f>
        <v>Calle Guacara Nro. 88-45</v>
      </c>
      <c r="C40" s="179">
        <f>SUMIFS(Vigilancia!$E:$E,Vigilancia!$F:$F,$A40,Vigilancia!$J:$J,C$1)</f>
        <v>0</v>
      </c>
      <c r="D40" s="179">
        <f>SUMIFS(Vigilancia!$E:$E,Vigilancia!$F:$F,$A40,Vigilancia!$J:$J,D$1)</f>
        <v>0</v>
      </c>
      <c r="E40" s="313">
        <f>SUMIFS(Vigilancia!$E:$E,Vigilancia!$F:$F,$A40,Vigilancia!$J:$J,E$1)</f>
        <v>0</v>
      </c>
      <c r="F40" s="313">
        <f>SUMIFS(Vigilancia!$E:$E,Vigilancia!$F:$F,$A40,Vigilancia!$J:$J,F$1)</f>
        <v>0</v>
      </c>
      <c r="G40" s="179">
        <f>SUMIFS(Vigilancia!$E:$E,Vigilancia!$F:$F,$A40,Vigilancia!$J:$J,G$1)</f>
        <v>50000</v>
      </c>
      <c r="H40" s="179">
        <f>SUMIFS(Vigilancia!$E:$E,Vigilancia!$F:$F,$A40,Vigilancia!$J:$J,H$1)</f>
        <v>0</v>
      </c>
      <c r="I40" s="179">
        <f>SUMIFS(Vigilancia!$E:$E,Vigilancia!$F:$F,$A40,Vigilancia!$J:$J,I$1)</f>
        <v>0</v>
      </c>
      <c r="J40" s="179">
        <f>SUMIFS(Vigilancia!$E:$E,Vigilancia!$F:$F,$A40,Vigilancia!$J:$J,J$1)</f>
        <v>0</v>
      </c>
      <c r="K40" s="179">
        <f>SUMIFS(Vigilancia!$E:$E,Vigilancia!$F:$F,$A40,Vigilancia!$J:$J,K$1)</f>
        <v>0</v>
      </c>
      <c r="L40" s="179">
        <f>SUMIFS(Vigilancia!$E:$E,Vigilancia!$F:$F,$A40,Vigilancia!$J:$J,L$1)</f>
        <v>0</v>
      </c>
    </row>
    <row r="41" spans="1:13">
      <c r="A41" s="29" t="str">
        <f>'RESUMEN VIGILANCIA'!A41</f>
        <v>Familia Hatem Medina</v>
      </c>
      <c r="B41" s="30" t="str">
        <f>'RESUMEN VIGILANCIA'!B41</f>
        <v>Calle Guacara Nro. 88-51</v>
      </c>
      <c r="C41" s="179">
        <f>SUMIFS(Vigilancia!$E:$E,Vigilancia!$F:$F,$A41,Vigilancia!$J:$J,C$1)</f>
        <v>0.03</v>
      </c>
      <c r="D41" s="179">
        <f>SUMIFS(Vigilancia!$E:$E,Vigilancia!$F:$F,$A41,Vigilancia!$J:$J,D$1)</f>
        <v>5</v>
      </c>
      <c r="E41" s="302">
        <f>SUMIFS(Vigilancia!$E:$E,Vigilancia!$F:$F,$A41,Vigilancia!$J:$J,E$1)</f>
        <v>8.5</v>
      </c>
      <c r="F41" s="302">
        <f>SUMIFS(Vigilancia!$E:$E,Vigilancia!$F:$F,$A41,Vigilancia!$J:$J,F$1)</f>
        <v>72</v>
      </c>
      <c r="G41" s="179">
        <f>SUMIFS(Vigilancia!$E:$E,Vigilancia!$F:$F,$A41,Vigilancia!$J:$J,G$1)</f>
        <v>50000</v>
      </c>
      <c r="H41" s="179">
        <f>SUMIFS(Vigilancia!$E:$E,Vigilancia!$F:$F,$A41,Vigilancia!$J:$J,H$1)</f>
        <v>0</v>
      </c>
      <c r="I41" s="179">
        <f>SUMIFS(Vigilancia!$E:$E,Vigilancia!$F:$F,$A41,Vigilancia!$J:$J,I$1)</f>
        <v>0</v>
      </c>
      <c r="J41" s="179">
        <f>SUMIFS(Vigilancia!$E:$E,Vigilancia!$F:$F,$A41,Vigilancia!$J:$J,J$1)</f>
        <v>0</v>
      </c>
      <c r="K41" s="179">
        <f>SUMIFS(Vigilancia!$E:$E,Vigilancia!$F:$F,$A41,Vigilancia!$J:$J,K$1)</f>
        <v>0</v>
      </c>
      <c r="L41" s="179">
        <f>SUMIFS(Vigilancia!$E:$E,Vigilancia!$F:$F,$A41,Vigilancia!$J:$J,L$1)</f>
        <v>0</v>
      </c>
    </row>
    <row r="42" spans="1:13">
      <c r="A42" s="29" t="str">
        <f>'RESUMEN VIGILANCIA'!A42</f>
        <v>Familia Leung</v>
      </c>
      <c r="B42" s="30" t="str">
        <f>'RESUMEN VIGILANCIA'!B42</f>
        <v>Calle Guacara Nro. 88-55</v>
      </c>
      <c r="C42" s="179">
        <f>SUMIFS(Vigilancia!$E:$E,Vigilancia!$F:$F,$A42,Vigilancia!$J:$J,C$1)</f>
        <v>0</v>
      </c>
      <c r="D42" s="179">
        <f>SUMIFS(Vigilancia!$E:$E,Vigilancia!$F:$F,$A42,Vigilancia!$J:$J,D$1)</f>
        <v>0</v>
      </c>
      <c r="E42" s="302">
        <f>SUMIFS(Vigilancia!$E:$E,Vigilancia!$F:$F,$A42,Vigilancia!$J:$J,E$1)</f>
        <v>0</v>
      </c>
      <c r="F42" s="302">
        <f>SUMIFS(Vigilancia!$E:$E,Vigilancia!$F:$F,$A42,Vigilancia!$J:$J,F$1)</f>
        <v>0</v>
      </c>
      <c r="G42" s="179">
        <f>SUMIFS(Vigilancia!$E:$E,Vigilancia!$F:$F,$A42,Vigilancia!$J:$J,G$1)</f>
        <v>0</v>
      </c>
      <c r="H42" s="179">
        <f>SUMIFS(Vigilancia!$E:$E,Vigilancia!$F:$F,$A42,Vigilancia!$J:$J,H$1)</f>
        <v>0</v>
      </c>
      <c r="I42" s="179">
        <f>SUMIFS(Vigilancia!$E:$E,Vigilancia!$F:$F,$A42,Vigilancia!$J:$J,I$1)</f>
        <v>0</v>
      </c>
      <c r="J42" s="179">
        <f>SUMIFS(Vigilancia!$E:$E,Vigilancia!$F:$F,$A42,Vigilancia!$J:$J,J$1)</f>
        <v>0</v>
      </c>
      <c r="K42" s="179">
        <f>SUMIFS(Vigilancia!$E:$E,Vigilancia!$F:$F,$A42,Vigilancia!$J:$J,K$1)</f>
        <v>0</v>
      </c>
      <c r="L42" s="179">
        <f>SUMIFS(Vigilancia!$E:$E,Vigilancia!$F:$F,$A42,Vigilancia!$J:$J,L$1)</f>
        <v>0</v>
      </c>
    </row>
    <row r="43" spans="1:13">
      <c r="A43" s="29" t="str">
        <f>'RESUMEN VIGILANCIA'!A43</f>
        <v>Familia Zhen</v>
      </c>
      <c r="B43" s="30" t="str">
        <f>'RESUMEN VIGILANCIA'!B43</f>
        <v>Calle Guacara Nro. 88-55</v>
      </c>
      <c r="C43" s="179">
        <f>SUMIFS(Vigilancia!$E:$E,Vigilancia!$F:$F,$A43,Vigilancia!$J:$J,C$1)</f>
        <v>0</v>
      </c>
      <c r="D43" s="179">
        <f>SUMIFS(Vigilancia!$E:$E,Vigilancia!$F:$F,$A43,Vigilancia!$J:$J,D$1)</f>
        <v>0</v>
      </c>
      <c r="E43" s="302">
        <f>SUMIFS(Vigilancia!$E:$E,Vigilancia!$F:$F,$A43,Vigilancia!$J:$J,E$1)</f>
        <v>0</v>
      </c>
      <c r="F43" s="302">
        <f>SUMIFS(Vigilancia!$E:$E,Vigilancia!$F:$F,$A43,Vigilancia!$J:$J,F$1)</f>
        <v>0</v>
      </c>
      <c r="G43" s="179">
        <f>SUMIFS(Vigilancia!$E:$E,Vigilancia!$F:$F,$A43,Vigilancia!$J:$J,G$1)</f>
        <v>0</v>
      </c>
      <c r="H43" s="179">
        <f>SUMIFS(Vigilancia!$E:$E,Vigilancia!$F:$F,$A43,Vigilancia!$J:$J,H$1)</f>
        <v>0</v>
      </c>
      <c r="I43" s="179">
        <f>SUMIFS(Vigilancia!$E:$E,Vigilancia!$F:$F,$A43,Vigilancia!$J:$J,I$1)</f>
        <v>0</v>
      </c>
      <c r="J43" s="179">
        <f>SUMIFS(Vigilancia!$E:$E,Vigilancia!$F:$F,$A43,Vigilancia!$J:$J,J$1)</f>
        <v>0</v>
      </c>
      <c r="K43" s="179">
        <f>SUMIFS(Vigilancia!$E:$E,Vigilancia!$F:$F,$A43,Vigilancia!$J:$J,K$1)</f>
        <v>0</v>
      </c>
      <c r="L43" s="179">
        <f>SUMIFS(Vigilancia!$E:$E,Vigilancia!$F:$F,$A43,Vigilancia!$J:$J,L$1)</f>
        <v>0</v>
      </c>
    </row>
    <row r="44" spans="1:13">
      <c r="A44" s="64" t="str">
        <f>'RESUMEN VIGILANCIA'!A44</f>
        <v>Amparo Acosta</v>
      </c>
      <c r="B44" s="62" t="str">
        <f>'RESUMEN VIGILANCIA'!B44</f>
        <v>Calle Guacara Nro. 88-65</v>
      </c>
      <c r="C44" s="179">
        <f>SUMIFS(Vigilancia!$E:$E,Vigilancia!$F:$F,$A44,Vigilancia!$J:$J,C$1)</f>
        <v>7.0000000000000007E-2</v>
      </c>
      <c r="D44" s="179">
        <f>SUMIFS(Vigilancia!$E:$E,Vigilancia!$F:$F,$A44,Vigilancia!$J:$J,D$1)</f>
        <v>0</v>
      </c>
      <c r="E44" s="302">
        <f>SUMIFS(Vigilancia!$E:$E,Vigilancia!$F:$F,$A44,Vigilancia!$J:$J,E$1)</f>
        <v>12.2</v>
      </c>
      <c r="F44" s="302">
        <f>SUMIFS(Vigilancia!$E:$E,Vigilancia!$F:$F,$A44,Vigilancia!$J:$J,F$1)</f>
        <v>10</v>
      </c>
      <c r="G44" s="179">
        <f>SUMIFS(Vigilancia!$E:$E,Vigilancia!$F:$F,$A44,Vigilancia!$J:$J,G$1)</f>
        <v>50000</v>
      </c>
      <c r="H44" s="179">
        <f>SUMIFS(Vigilancia!$E:$E,Vigilancia!$F:$F,$A44,Vigilancia!$J:$J,H$1)</f>
        <v>0</v>
      </c>
      <c r="I44" s="179">
        <f>SUMIFS(Vigilancia!$E:$E,Vigilancia!$F:$F,$A44,Vigilancia!$J:$J,I$1)</f>
        <v>0</v>
      </c>
      <c r="J44" s="179">
        <f>SUMIFS(Vigilancia!$E:$E,Vigilancia!$F:$F,$A44,Vigilancia!$J:$J,J$1)</f>
        <v>0</v>
      </c>
      <c r="K44" s="179">
        <f>SUMIFS(Vigilancia!$E:$E,Vigilancia!$F:$F,$A44,Vigilancia!$J:$J,K$1)</f>
        <v>0</v>
      </c>
      <c r="L44" s="179">
        <f>SUMIFS(Vigilancia!$E:$E,Vigilancia!$F:$F,$A44,Vigilancia!$J:$J,L$1)</f>
        <v>0</v>
      </c>
    </row>
    <row r="45" spans="1:13">
      <c r="A45" s="57" t="str">
        <f>'RESUMEN VIGILANCIA'!A45</f>
        <v>Familia Fernández Parés</v>
      </c>
      <c r="B45" s="58" t="str">
        <f>'RESUMEN VIGILANCIA'!B45</f>
        <v>Calle Guacara Nro. 88-75</v>
      </c>
      <c r="C45" s="211">
        <f>SUMIFS(Vigilancia!$E:$E,Vigilancia!$F:$F,$A45,Vigilancia!$J:$J,C$1)</f>
        <v>7.0000000000000007E-2</v>
      </c>
      <c r="D45" s="211">
        <f>SUMIFS(Vigilancia!$E:$E,Vigilancia!$F:$F,$A45,Vigilancia!$J:$J,D$1)</f>
        <v>0</v>
      </c>
      <c r="E45" s="211">
        <f>SUMIFS(Vigilancia!$E:$E,Vigilancia!$F:$F,$A45,Vigilancia!$J:$J,E$1)</f>
        <v>0</v>
      </c>
      <c r="F45" s="211">
        <f>SUMIFS(Vigilancia!$E:$E,Vigilancia!$F:$F,$A45,Vigilancia!$J:$J,F$1)</f>
        <v>0</v>
      </c>
      <c r="G45" s="303">
        <f>SUMIFS(Vigilancia!$E:$E,Vigilancia!$F:$F,$A45,Vigilancia!$J:$J,G$1)</f>
        <v>0</v>
      </c>
      <c r="H45" s="303">
        <f>SUMIFS(Vigilancia!$E:$E,Vigilancia!$F:$F,$A45,Vigilancia!$J:$J,H$1)</f>
        <v>0</v>
      </c>
      <c r="I45" s="211">
        <f>SUMIFS(Vigilancia!$E:$E,Vigilancia!$F:$F,$A45,Vigilancia!$J:$J,I$1)</f>
        <v>0</v>
      </c>
      <c r="J45" s="211">
        <f>SUMIFS(Vigilancia!$E:$E,Vigilancia!$F:$F,$A45,Vigilancia!$J:$J,J$1)</f>
        <v>0</v>
      </c>
      <c r="K45" s="211">
        <f>SUMIFS(Vigilancia!$E:$E,Vigilancia!$F:$F,$A45,Vigilancia!$J:$J,K$1)</f>
        <v>0</v>
      </c>
      <c r="L45" s="203">
        <f>SUMIFS(Vigilancia!$E:$E,Vigilancia!$F:$F,$A45,Vigilancia!$J:$J,L$1)</f>
        <v>0</v>
      </c>
      <c r="M45" s="120"/>
    </row>
    <row r="46" spans="1:13">
      <c r="A46" s="57" t="str">
        <f>'RESUMEN VIGILANCIA'!A46</f>
        <v>Isbeth Palacios</v>
      </c>
      <c r="B46" s="58" t="str">
        <f>'RESUMEN VIGILANCIA'!B46</f>
        <v>Calle Guacara Nro. 88-75</v>
      </c>
      <c r="C46" s="211">
        <f>SUMIFS(Vigilancia!$E:$E,Vigilancia!$F:$F,$A46,Vigilancia!$J:$J,C$1)</f>
        <v>0</v>
      </c>
      <c r="D46" s="211">
        <f>SUMIFS(Vigilancia!$E:$E,Vigilancia!$F:$F,$A46,Vigilancia!$J:$J,D$1)</f>
        <v>3.5</v>
      </c>
      <c r="E46" s="211">
        <f>SUMIFS(Vigilancia!$E:$E,Vigilancia!$F:$F,$A46,Vigilancia!$J:$J,E$1)</f>
        <v>12.2</v>
      </c>
      <c r="F46" s="211">
        <f>SUMIFS(Vigilancia!$E:$E,Vigilancia!$F:$F,$A46,Vigilancia!$J:$J,F$1)</f>
        <v>0</v>
      </c>
      <c r="G46" s="303">
        <f>SUMIFS(Vigilancia!$E:$E,Vigilancia!$F:$F,$A46,Vigilancia!$J:$J,G$1)</f>
        <v>0</v>
      </c>
      <c r="H46" s="303">
        <f>SUMIFS(Vigilancia!$E:$E,Vigilancia!$F:$F,$A46,Vigilancia!$J:$J,H$1)</f>
        <v>0</v>
      </c>
      <c r="I46" s="211">
        <f>SUMIFS(Vigilancia!$E:$E,Vigilancia!$F:$F,$A46,Vigilancia!$J:$J,I$1)</f>
        <v>0</v>
      </c>
      <c r="J46" s="211">
        <f>SUMIFS(Vigilancia!$E:$E,Vigilancia!$F:$F,$A46,Vigilancia!$J:$J,J$1)</f>
        <v>0</v>
      </c>
      <c r="K46" s="211">
        <f>SUMIFS(Vigilancia!$E:$E,Vigilancia!$F:$F,$A46,Vigilancia!$J:$J,K$1)</f>
        <v>0</v>
      </c>
      <c r="L46" s="203">
        <f>SUMIFS(Vigilancia!$E:$E,Vigilancia!$F:$F,$A46,Vigilancia!$J:$J,L$1)</f>
        <v>0</v>
      </c>
      <c r="M46" s="121"/>
    </row>
    <row r="47" spans="1:13">
      <c r="A47" s="29" t="str">
        <f>'RESUMEN VIGILANCIA'!A47</f>
        <v>Andrea Valor</v>
      </c>
      <c r="B47" s="30" t="str">
        <f>'RESUMEN VIGILANCIA'!B47</f>
        <v>Calle Guacara Nro. 88-75</v>
      </c>
      <c r="C47" s="179">
        <f>SUMIFS(Vigilancia!$E:$E,Vigilancia!$F:$F,$A47,Vigilancia!$J:$J,C$1)</f>
        <v>0</v>
      </c>
      <c r="D47" s="179">
        <f>SUMIFS(Vigilancia!$E:$E,Vigilancia!$F:$F,$A47,Vigilancia!$J:$J,D$1)</f>
        <v>0</v>
      </c>
      <c r="E47" s="302">
        <f>SUMIFS(Vigilancia!$E:$E,Vigilancia!$F:$F,$A47,Vigilancia!$J:$J,E$1)</f>
        <v>0</v>
      </c>
      <c r="F47" s="302">
        <f>SUMIFS(Vigilancia!$E:$E,Vigilancia!$F:$F,$A47,Vigilancia!$J:$J,F$1)</f>
        <v>0</v>
      </c>
      <c r="G47" s="179">
        <f>SUMIFS(Vigilancia!$E:$E,Vigilancia!$F:$F,$A47,Vigilancia!$J:$J,G$1)</f>
        <v>50000</v>
      </c>
      <c r="H47" s="179">
        <f>SUMIFS(Vigilancia!$E:$E,Vigilancia!$F:$F,$A47,Vigilancia!$J:$J,H$1)</f>
        <v>0</v>
      </c>
      <c r="I47" s="179">
        <f>SUMIFS(Vigilancia!$E:$E,Vigilancia!$F:$F,$A47,Vigilancia!$J:$J,I$1)</f>
        <v>0</v>
      </c>
      <c r="J47" s="179">
        <f>SUMIFS(Vigilancia!$E:$E,Vigilancia!$F:$F,$A47,Vigilancia!$J:$J,J$1)</f>
        <v>0</v>
      </c>
      <c r="K47" s="179">
        <f>SUMIFS(Vigilancia!$E:$E,Vigilancia!$F:$F,$A47,Vigilancia!$J:$J,K$1)</f>
        <v>0</v>
      </c>
      <c r="L47" s="179">
        <f>SUMIFS(Vigilancia!$E:$E,Vigilancia!$F:$F,$A47,Vigilancia!$J:$J,L$1)</f>
        <v>0</v>
      </c>
      <c r="M47" s="122"/>
    </row>
    <row r="48" spans="1:13">
      <c r="A48" s="29" t="str">
        <f>'RESUMEN VIGILANCIA'!A48</f>
        <v>Familia Machado Stoppa</v>
      </c>
      <c r="B48" s="30" t="str">
        <f>'RESUMEN VIGILANCIA'!B48</f>
        <v>Calle Guacara Nro. 88-85</v>
      </c>
      <c r="C48" s="179">
        <f>SUMIFS(Vigilancia!$E:$E,Vigilancia!$F:$F,$A48,Vigilancia!$J:$J,C$1)</f>
        <v>0</v>
      </c>
      <c r="D48" s="179">
        <f>SUMIFS(Vigilancia!$E:$E,Vigilancia!$F:$F,$A48,Vigilancia!$J:$J,D$1)</f>
        <v>3.5</v>
      </c>
      <c r="E48" s="302">
        <f>SUMIFS(Vigilancia!$E:$E,Vigilancia!$F:$F,$A48,Vigilancia!$J:$J,E$1)</f>
        <v>12.2</v>
      </c>
      <c r="F48" s="302">
        <f>SUMIFS(Vigilancia!$E:$E,Vigilancia!$F:$F,$A48,Vigilancia!$J:$J,F$1)</f>
        <v>10</v>
      </c>
      <c r="G48" s="178">
        <f>SUMIFS(Vigilancia!$E:$E,Vigilancia!$F:$F,$A48,Vigilancia!$J:$J,G$1)</f>
        <v>50000</v>
      </c>
      <c r="H48" s="178">
        <f>SUMIFS(Vigilancia!$E:$E,Vigilancia!$F:$F,$A48,Vigilancia!$J:$J,H$1)</f>
        <v>0</v>
      </c>
      <c r="I48" s="179">
        <f>SUMIFS(Vigilancia!$E:$E,Vigilancia!$F:$F,$A48,Vigilancia!$J:$J,I$1)</f>
        <v>0</v>
      </c>
      <c r="J48" s="179">
        <f>SUMIFS(Vigilancia!$E:$E,Vigilancia!$F:$F,$A48,Vigilancia!$J:$J,J$1)</f>
        <v>0</v>
      </c>
      <c r="K48" s="179">
        <f>SUMIFS(Vigilancia!$E:$E,Vigilancia!$F:$F,$A48,Vigilancia!$J:$J,K$1)</f>
        <v>0</v>
      </c>
      <c r="L48" s="179">
        <f>SUMIFS(Vigilancia!$E:$E,Vigilancia!$F:$F,$A48,Vigilancia!$J:$J,L$1)</f>
        <v>0</v>
      </c>
    </row>
    <row r="49" spans="1:13">
      <c r="A49" s="29" t="str">
        <f>'RESUMEN VIGILANCIA'!A49</f>
        <v>Familia Zavarce Barón</v>
      </c>
      <c r="B49" s="30" t="str">
        <f>'RESUMEN VIGILANCIA'!B49</f>
        <v>Calle Guacara Nro. 88-91</v>
      </c>
      <c r="C49" s="179">
        <f>SUMIFS(Vigilancia!$E:$E,Vigilancia!$F:$F,$A49,Vigilancia!$J:$J,C$1)</f>
        <v>0</v>
      </c>
      <c r="D49" s="179">
        <f>SUMIFS(Vigilancia!$E:$E,Vigilancia!$F:$F,$A49,Vigilancia!$J:$J,D$1)</f>
        <v>3.5</v>
      </c>
      <c r="E49" s="302">
        <f>SUMIFS(Vigilancia!$E:$E,Vigilancia!$F:$F,$A49,Vigilancia!$J:$J,E$1)</f>
        <v>12</v>
      </c>
      <c r="F49" s="302">
        <f>SUMIFS(Vigilancia!$E:$E,Vigilancia!$F:$F,$A49,Vigilancia!$J:$J,F$1)</f>
        <v>10</v>
      </c>
      <c r="G49" s="178">
        <f>SUMIFS(Vigilancia!$E:$E,Vigilancia!$F:$F,$A49,Vigilancia!$J:$J,G$1)</f>
        <v>50000</v>
      </c>
      <c r="H49" s="178">
        <f>SUMIFS(Vigilancia!$E:$E,Vigilancia!$F:$F,$A49,Vigilancia!$J:$J,H$1)</f>
        <v>0</v>
      </c>
      <c r="I49" s="179">
        <f>SUMIFS(Vigilancia!$E:$E,Vigilancia!$F:$F,$A49,Vigilancia!$J:$J,I$1)</f>
        <v>0</v>
      </c>
      <c r="J49" s="179">
        <f>SUMIFS(Vigilancia!$E:$E,Vigilancia!$F:$F,$A49,Vigilancia!$J:$J,J$1)</f>
        <v>0</v>
      </c>
      <c r="K49" s="179">
        <f>SUMIFS(Vigilancia!$E:$E,Vigilancia!$F:$F,$A49,Vigilancia!$J:$J,K$1)</f>
        <v>0</v>
      </c>
      <c r="L49" s="179">
        <f>SUMIFS(Vigilancia!$E:$E,Vigilancia!$F:$F,$A49,Vigilancia!$J:$J,L$1)</f>
        <v>0</v>
      </c>
    </row>
    <row r="50" spans="1:13">
      <c r="A50" s="57" t="str">
        <f>'RESUMEN VIGILANCIA'!A50</f>
        <v>Familia Chávez Moncada</v>
      </c>
      <c r="B50" s="58" t="str">
        <f>'RESUMEN VIGILANCIA'!B50</f>
        <v>Calle Guacara Nro. 88-95</v>
      </c>
      <c r="C50" s="211">
        <f>SUMIFS(Vigilancia!$E:$E,Vigilancia!$F:$F,$A50,Vigilancia!$J:$J,C$1)</f>
        <v>0</v>
      </c>
      <c r="D50" s="211">
        <f>SUMIFS(Vigilancia!$E:$E,Vigilancia!$F:$F,$A50,Vigilancia!$J:$J,D$1)</f>
        <v>0</v>
      </c>
      <c r="E50" s="211">
        <f>SUMIFS(Vigilancia!$E:$E,Vigilancia!$F:$F,$A50,Vigilancia!$J:$J,E$1)</f>
        <v>0</v>
      </c>
      <c r="F50" s="211">
        <f>SUMIFS(Vigilancia!$E:$E,Vigilancia!$F:$F,$A50,Vigilancia!$J:$J,F$1)</f>
        <v>0</v>
      </c>
      <c r="G50" s="303">
        <f>SUMIFS(Vigilancia!$E:$E,Vigilancia!$F:$F,$A50,Vigilancia!$J:$J,G$1)</f>
        <v>0</v>
      </c>
      <c r="H50" s="303">
        <f>SUMIFS(Vigilancia!$E:$E,Vigilancia!$F:$F,$A50,Vigilancia!$J:$J,H$1)</f>
        <v>0</v>
      </c>
      <c r="I50" s="211">
        <f>SUMIFS(Vigilancia!$E:$E,Vigilancia!$F:$F,$A50,Vigilancia!$J:$J,I$1)</f>
        <v>0</v>
      </c>
      <c r="J50" s="211">
        <f>SUMIFS(Vigilancia!$E:$E,Vigilancia!$F:$F,$A50,Vigilancia!$J:$J,J$1)</f>
        <v>0</v>
      </c>
      <c r="K50" s="211">
        <f>SUMIFS(Vigilancia!$E:$E,Vigilancia!$F:$F,$A50,Vigilancia!$J:$J,K$1)</f>
        <v>0</v>
      </c>
      <c r="L50" s="211">
        <f>SUMIFS(Vigilancia!$E:$E,Vigilancia!$F:$F,$A50,Vigilancia!$J:$J,L$1)</f>
        <v>0</v>
      </c>
      <c r="M50" s="120"/>
    </row>
    <row r="51" spans="1:13">
      <c r="A51" s="29" t="str">
        <f>'RESUMEN VIGILANCIA'!A51</f>
        <v>Familia Brito Viana</v>
      </c>
      <c r="B51" s="30" t="str">
        <f>'RESUMEN VIGILANCIA'!B51</f>
        <v>Calle Guacara Nro. 88-95</v>
      </c>
      <c r="C51" s="179">
        <f>SUMIFS(Vigilancia!$E:$E,Vigilancia!$F:$F,$A51,Vigilancia!$J:$J,C$1)</f>
        <v>0</v>
      </c>
      <c r="D51" s="179">
        <f>SUMIFS(Vigilancia!$E:$E,Vigilancia!$F:$F,$A51,Vigilancia!$J:$J,D$1)</f>
        <v>0</v>
      </c>
      <c r="E51" s="179">
        <f>SUMIFS(Vigilancia!$E:$E,Vigilancia!$F:$F,$A51,Vigilancia!$J:$J,E$1)</f>
        <v>0</v>
      </c>
      <c r="F51" s="179">
        <f>SUMIFS(Vigilancia!$E:$E,Vigilancia!$F:$F,$A51,Vigilancia!$J:$J,F$1)</f>
        <v>0</v>
      </c>
      <c r="G51" s="178">
        <f>SUMIFS(Vigilancia!$E:$E,Vigilancia!$F:$F,$A51,Vigilancia!$J:$J,G$1)</f>
        <v>50000</v>
      </c>
      <c r="H51" s="178">
        <f>SUMIFS(Vigilancia!$E:$E,Vigilancia!$F:$F,$A51,Vigilancia!$J:$J,H$1)</f>
        <v>0</v>
      </c>
      <c r="I51" s="179">
        <f>SUMIFS(Vigilancia!$E:$E,Vigilancia!$F:$F,$A51,Vigilancia!$J:$J,I$1)</f>
        <v>0</v>
      </c>
      <c r="J51" s="179">
        <f>SUMIFS(Vigilancia!$E:$E,Vigilancia!$F:$F,$A51,Vigilancia!$J:$J,J$1)</f>
        <v>0</v>
      </c>
      <c r="K51" s="179">
        <f>SUMIFS(Vigilancia!$E:$E,Vigilancia!$F:$F,$A51,Vigilancia!$J:$J,K$1)</f>
        <v>0</v>
      </c>
      <c r="L51" s="179">
        <f>SUMIFS(Vigilancia!$E:$E,Vigilancia!$F:$F,$A51,Vigilancia!$J:$J,L$1)</f>
        <v>0</v>
      </c>
      <c r="M51" s="122"/>
    </row>
    <row r="52" spans="1:13">
      <c r="A52" s="57" t="str">
        <f>'RESUMEN VIGILANCIA'!A52</f>
        <v>Familia Zampini Scaccia</v>
      </c>
      <c r="B52" s="58" t="str">
        <f>'RESUMEN VIGILANCIA'!B52</f>
        <v>Calle Guacara Nro. 88-A-10</v>
      </c>
      <c r="C52" s="211">
        <f>SUMIFS(Vigilancia!$E:$E,Vigilancia!$F:$F,$A52,Vigilancia!$J:$J,C$1)</f>
        <v>0</v>
      </c>
      <c r="D52" s="211">
        <f>SUMIFS(Vigilancia!$E:$E,Vigilancia!$F:$F,$A52,Vigilancia!$J:$J,D$1)</f>
        <v>0</v>
      </c>
      <c r="E52" s="211">
        <f>SUMIFS(Vigilancia!$E:$E,Vigilancia!$F:$F,$A52,Vigilancia!$J:$J,E$1)</f>
        <v>0</v>
      </c>
      <c r="F52" s="211">
        <f>SUMIFS(Vigilancia!$E:$E,Vigilancia!$F:$F,$A52,Vigilancia!$J:$J,F$1)</f>
        <v>0</v>
      </c>
      <c r="G52" s="303">
        <f>SUMIFS(Vigilancia!$E:$E,Vigilancia!$F:$F,$A52,Vigilancia!$J:$J,G$1)</f>
        <v>0</v>
      </c>
      <c r="H52" s="303">
        <f>SUMIFS(Vigilancia!$E:$E,Vigilancia!$F:$F,$A52,Vigilancia!$J:$J,H$1)</f>
        <v>0</v>
      </c>
      <c r="I52" s="211">
        <f>SUMIFS(Vigilancia!$E:$E,Vigilancia!$F:$F,$A52,Vigilancia!$J:$J,I$1)</f>
        <v>0</v>
      </c>
      <c r="J52" s="211">
        <f>SUMIFS(Vigilancia!$E:$E,Vigilancia!$F:$F,$A52,Vigilancia!$J:$J,J$1)</f>
        <v>0</v>
      </c>
      <c r="K52" s="211">
        <f>SUMIFS(Vigilancia!$E:$E,Vigilancia!$F:$F,$A52,Vigilancia!$J:$J,K$1)</f>
        <v>0</v>
      </c>
      <c r="L52" s="203">
        <f>SUMIFS(Vigilancia!$E:$E,Vigilancia!$F:$F,$A52,Vigilancia!$J:$J,L$1)</f>
        <v>0</v>
      </c>
      <c r="M52" s="120"/>
    </row>
    <row r="53" spans="1:13">
      <c r="A53" s="29" t="str">
        <f>'RESUMEN VIGILANCIA'!A53</f>
        <v>Familia Wu Acevedo</v>
      </c>
      <c r="B53" s="30" t="str">
        <f>'RESUMEN VIGILANCIA'!B53</f>
        <v>Calle Guacara Nro. 88-A-10</v>
      </c>
      <c r="C53" s="179">
        <f>SUMIFS(Vigilancia!$E:$E,Vigilancia!$F:$F,$A53,Vigilancia!$J:$J,C$1)</f>
        <v>0</v>
      </c>
      <c r="D53" s="179">
        <f>SUMIFS(Vigilancia!$E:$E,Vigilancia!$F:$F,$A53,Vigilancia!$J:$J,D$1)</f>
        <v>0</v>
      </c>
      <c r="E53" s="302">
        <f>SUMIFS(Vigilancia!$E:$E,Vigilancia!$F:$F,$A53,Vigilancia!$J:$J,E$1)</f>
        <v>12.2</v>
      </c>
      <c r="F53" s="302">
        <f>SUMIFS(Vigilancia!$E:$E,Vigilancia!$F:$F,$A53,Vigilancia!$J:$J,F$1)</f>
        <v>10</v>
      </c>
      <c r="G53" s="178">
        <f>SUMIFS(Vigilancia!$E:$E,Vigilancia!$F:$F,$A53,Vigilancia!$J:$J,G$1)</f>
        <v>0</v>
      </c>
      <c r="H53" s="178">
        <f>SUMIFS(Vigilancia!$E:$E,Vigilancia!$F:$F,$A53,Vigilancia!$J:$J,H$1)</f>
        <v>0</v>
      </c>
      <c r="I53" s="179">
        <f>SUMIFS(Vigilancia!$E:$E,Vigilancia!$F:$F,$A53,Vigilancia!$J:$J,I$1)</f>
        <v>0</v>
      </c>
      <c r="J53" s="179">
        <f>SUMIFS(Vigilancia!$E:$E,Vigilancia!$F:$F,$A53,Vigilancia!$J:$J,J$1)</f>
        <v>0</v>
      </c>
      <c r="K53" s="179">
        <f>SUMIFS(Vigilancia!$E:$E,Vigilancia!$F:$F,$A53,Vigilancia!$J:$J,K$1)</f>
        <v>0</v>
      </c>
      <c r="L53" s="182">
        <f>SUMIFS(Vigilancia!$E:$E,Vigilancia!$F:$F,$A53,Vigilancia!$J:$J,L$1)</f>
        <v>0</v>
      </c>
      <c r="M53" s="122"/>
    </row>
    <row r="54" spans="1:13">
      <c r="A54" s="65" t="str">
        <f>'RESUMEN VIGILANCIA'!A54</f>
        <v>Familia Arcia Polanco</v>
      </c>
      <c r="B54" s="63" t="str">
        <f>'RESUMEN VIGILANCIA'!B54</f>
        <v>Calle Guacara Nro. 89-20</v>
      </c>
      <c r="C54" s="179">
        <f>SUMIFS(Vigilancia!$E:$E,Vigilancia!$F:$F,$A54,Vigilancia!$J:$J,C$1)</f>
        <v>7.0000000000000007E-2</v>
      </c>
      <c r="D54" s="179">
        <f>SUMIFS(Vigilancia!$E:$E,Vigilancia!$F:$F,$A54,Vigilancia!$J:$J,D$1)</f>
        <v>3.5</v>
      </c>
      <c r="E54" s="302">
        <f>SUMIFS(Vigilancia!$E:$E,Vigilancia!$F:$F,$A54,Vigilancia!$J:$J,E$1)</f>
        <v>12.2</v>
      </c>
      <c r="F54" s="302">
        <f>SUMIFS(Vigilancia!$E:$E,Vigilancia!$F:$F,$A54,Vigilancia!$J:$J,F$1)</f>
        <v>10</v>
      </c>
      <c r="G54" s="179">
        <f>SUMIFS(Vigilancia!$E:$E,Vigilancia!$F:$F,$A54,Vigilancia!$J:$J,G$1)</f>
        <v>50000</v>
      </c>
      <c r="H54" s="179">
        <f>SUMIFS(Vigilancia!$E:$E,Vigilancia!$F:$F,$A54,Vigilancia!$J:$J,H$1)</f>
        <v>0</v>
      </c>
      <c r="I54" s="179">
        <f>SUMIFS(Vigilancia!$E:$E,Vigilancia!$F:$F,$A54,Vigilancia!$J:$J,I$1)</f>
        <v>0</v>
      </c>
      <c r="J54" s="179">
        <f>SUMIFS(Vigilancia!$E:$E,Vigilancia!$F:$F,$A54,Vigilancia!$J:$J,J$1)</f>
        <v>0</v>
      </c>
      <c r="K54" s="179">
        <f>SUMIFS(Vigilancia!$E:$E,Vigilancia!$F:$F,$A54,Vigilancia!$J:$J,K$1)</f>
        <v>0</v>
      </c>
      <c r="L54" s="179">
        <f>SUMIFS(Vigilancia!$E:$E,Vigilancia!$F:$F,$A54,Vigilancia!$J:$J,L$1)</f>
        <v>0</v>
      </c>
    </row>
    <row r="55" spans="1:13">
      <c r="A55" s="29" t="str">
        <f>'RESUMEN VIGILANCIA'!A55</f>
        <v>Familia Lomeña Agudo</v>
      </c>
      <c r="B55" s="30" t="str">
        <f>'RESUMEN VIGILANCIA'!B55</f>
        <v>Calle Guacara Nro. 89-30</v>
      </c>
      <c r="C55" s="179">
        <f>SUMIFS(Vigilancia!$E:$E,Vigilancia!$F:$F,$A55,Vigilancia!$J:$J,C$1)</f>
        <v>7.0000000000000007E-2</v>
      </c>
      <c r="D55" s="179">
        <f>SUMIFS(Vigilancia!$E:$E,Vigilancia!$F:$F,$A55,Vigilancia!$J:$J,D$1)</f>
        <v>3.5</v>
      </c>
      <c r="E55" s="302">
        <f>SUMIFS(Vigilancia!$E:$E,Vigilancia!$F:$F,$A55,Vigilancia!$J:$J,E$1)</f>
        <v>12.2</v>
      </c>
      <c r="F55" s="302">
        <f>SUMIFS(Vigilancia!$E:$E,Vigilancia!$F:$F,$A55,Vigilancia!$J:$J,F$1)</f>
        <v>10</v>
      </c>
      <c r="G55" s="179">
        <f>SUMIFS(Vigilancia!$E:$E,Vigilancia!$F:$F,$A55,Vigilancia!$J:$J,G$1)</f>
        <v>50000</v>
      </c>
      <c r="H55" s="179">
        <f>SUMIFS(Vigilancia!$E:$E,Vigilancia!$F:$F,$A55,Vigilancia!$J:$J,H$1)</f>
        <v>0</v>
      </c>
      <c r="I55" s="179">
        <f>SUMIFS(Vigilancia!$E:$E,Vigilancia!$F:$F,$A55,Vigilancia!$J:$J,I$1)</f>
        <v>1.4999999999999999E-2</v>
      </c>
      <c r="J55" s="179">
        <f>SUMIFS(Vigilancia!$E:$E,Vigilancia!$F:$F,$A55,Vigilancia!$J:$J,J$1)</f>
        <v>0</v>
      </c>
      <c r="K55" s="179">
        <f>SUMIFS(Vigilancia!$E:$E,Vigilancia!$F:$F,$A55,Vigilancia!$J:$J,K$1)</f>
        <v>0</v>
      </c>
      <c r="L55" s="179">
        <f>SUMIFS(Vigilancia!$E:$E,Vigilancia!$F:$F,$A55,Vigilancia!$J:$J,L$1)</f>
        <v>0</v>
      </c>
    </row>
    <row r="56" spans="1:13">
      <c r="A56" s="29" t="str">
        <f>'RESUMEN VIGILANCIA'!A56</f>
        <v>Familia Manrique Riera</v>
      </c>
      <c r="B56" s="30" t="str">
        <f>'RESUMEN VIGILANCIA'!B56</f>
        <v>Calle Guacara Nro. 89-40</v>
      </c>
      <c r="C56" s="179">
        <f>SUMIFS(Vigilancia!$E:$E,Vigilancia!$F:$F,$A56,Vigilancia!$J:$J,C$1)</f>
        <v>7.0000000000000007E-2</v>
      </c>
      <c r="D56" s="179">
        <f>SUMIFS(Vigilancia!$E:$E,Vigilancia!$F:$F,$A56,Vigilancia!$J:$J,D$1)</f>
        <v>0</v>
      </c>
      <c r="E56" s="302">
        <f>SUMIFS(Vigilancia!$E:$E,Vigilancia!$F:$F,$A56,Vigilancia!$J:$J,E$1)</f>
        <v>0</v>
      </c>
      <c r="F56" s="302">
        <f>SUMIFS(Vigilancia!$E:$E,Vigilancia!$F:$F,$A56,Vigilancia!$J:$J,F$1)</f>
        <v>0</v>
      </c>
      <c r="G56" s="179">
        <f>SUMIFS(Vigilancia!$E:$E,Vigilancia!$F:$F,$A56,Vigilancia!$J:$J,G$1)</f>
        <v>50000</v>
      </c>
      <c r="H56" s="179">
        <f>SUMIFS(Vigilancia!$E:$E,Vigilancia!$F:$F,$A56,Vigilancia!$J:$J,H$1)</f>
        <v>0</v>
      </c>
      <c r="I56" s="179">
        <f>SUMIFS(Vigilancia!$E:$E,Vigilancia!$F:$F,$A56,Vigilancia!$J:$J,I$1)</f>
        <v>0</v>
      </c>
      <c r="J56" s="179">
        <f>SUMIFS(Vigilancia!$E:$E,Vigilancia!$F:$F,$A56,Vigilancia!$J:$J,J$1)</f>
        <v>0</v>
      </c>
      <c r="K56" s="179">
        <f>SUMIFS(Vigilancia!$E:$E,Vigilancia!$F:$F,$A56,Vigilancia!$J:$J,K$1)</f>
        <v>0</v>
      </c>
      <c r="L56" s="179">
        <f>SUMIFS(Vigilancia!$E:$E,Vigilancia!$F:$F,$A56,Vigilancia!$J:$J,L$1)</f>
        <v>0</v>
      </c>
    </row>
    <row r="57" spans="1:13">
      <c r="A57" s="29" t="str">
        <f>'RESUMEN VIGILANCIA'!A57</f>
        <v>Familia Romero</v>
      </c>
      <c r="B57" s="30" t="str">
        <f>'RESUMEN VIGILANCIA'!B57</f>
        <v>Calle Guacara Nro. 89-50</v>
      </c>
      <c r="C57" s="179">
        <f>SUMIFS(Vigilancia!$E:$E,Vigilancia!$F:$F,$A57,Vigilancia!$J:$J,C$1)</f>
        <v>0</v>
      </c>
      <c r="D57" s="179">
        <f>SUMIFS(Vigilancia!$E:$E,Vigilancia!$F:$F,$A57,Vigilancia!$J:$J,D$1)</f>
        <v>3.5</v>
      </c>
      <c r="E57" s="302">
        <f>SUMIFS(Vigilancia!$E:$E,Vigilancia!$F:$F,$A57,Vigilancia!$J:$J,E$1)</f>
        <v>12.2</v>
      </c>
      <c r="F57" s="302">
        <f>SUMIFS(Vigilancia!$E:$E,Vigilancia!$F:$F,$A57,Vigilancia!$J:$J,F$1)</f>
        <v>0</v>
      </c>
      <c r="G57" s="179">
        <f>SUMIFS(Vigilancia!$E:$E,Vigilancia!$F:$F,$A57,Vigilancia!$J:$J,G$1)</f>
        <v>0</v>
      </c>
      <c r="H57" s="179">
        <f>SUMIFS(Vigilancia!$E:$E,Vigilancia!$F:$F,$A57,Vigilancia!$J:$J,H$1)</f>
        <v>0</v>
      </c>
      <c r="I57" s="179">
        <f>SUMIFS(Vigilancia!$E:$E,Vigilancia!$F:$F,$A57,Vigilancia!$J:$J,I$1)</f>
        <v>0</v>
      </c>
      <c r="J57" s="179">
        <f>SUMIFS(Vigilancia!$E:$E,Vigilancia!$F:$F,$A57,Vigilancia!$J:$J,J$1)</f>
        <v>0</v>
      </c>
      <c r="K57" s="179">
        <f>SUMIFS(Vigilancia!$E:$E,Vigilancia!$F:$F,$A57,Vigilancia!$J:$J,K$1)</f>
        <v>0</v>
      </c>
      <c r="L57" s="179">
        <f>SUMIFS(Vigilancia!$E:$E,Vigilancia!$F:$F,$A57,Vigilancia!$J:$J,L$1)</f>
        <v>0</v>
      </c>
    </row>
    <row r="58" spans="1:13">
      <c r="A58" s="29" t="str">
        <f>'RESUMEN VIGILANCIA'!A58</f>
        <v>Familia Durvelle Serrano</v>
      </c>
      <c r="B58" s="30" t="str">
        <f>'RESUMEN VIGILANCIA'!B58</f>
        <v>Calle Guacara Nro. 89-60</v>
      </c>
      <c r="C58" s="179">
        <f>SUMIFS(Vigilancia!$E:$E,Vigilancia!$F:$F,$A58,Vigilancia!$J:$J,C$1)</f>
        <v>7.0000000000000007E-2</v>
      </c>
      <c r="D58" s="179">
        <f>SUMIFS(Vigilancia!$E:$E,Vigilancia!$F:$F,$A58,Vigilancia!$J:$J,D$1)</f>
        <v>3.5</v>
      </c>
      <c r="E58" s="313">
        <f>SUMIFS(Vigilancia!$E:$E,Vigilancia!$F:$F,$A58,Vigilancia!$J:$J,E$1)</f>
        <v>0</v>
      </c>
      <c r="F58" s="302">
        <f>SUMIFS(Vigilancia!$E:$E,Vigilancia!$F:$F,$A58,Vigilancia!$J:$J,F$1)</f>
        <v>50</v>
      </c>
      <c r="G58" s="179">
        <f>SUMIFS(Vigilancia!$E:$E,Vigilancia!$F:$F,$A58,Vigilancia!$J:$J,G$1)</f>
        <v>50000</v>
      </c>
      <c r="H58" s="179">
        <f>SUMIFS(Vigilancia!$E:$E,Vigilancia!$F:$F,$A58,Vigilancia!$J:$J,H$1)</f>
        <v>6.2E-2</v>
      </c>
      <c r="I58" s="179">
        <f>SUMIFS(Vigilancia!$E:$E,Vigilancia!$F:$F,$A58,Vigilancia!$J:$J,I$1)</f>
        <v>0</v>
      </c>
      <c r="J58" s="179">
        <f>SUMIFS(Vigilancia!$E:$E,Vigilancia!$F:$F,$A58,Vigilancia!$J:$J,J$1)</f>
        <v>0</v>
      </c>
      <c r="K58" s="179">
        <f>SUMIFS(Vigilancia!$E:$E,Vigilancia!$F:$F,$A58,Vigilancia!$J:$J,K$1)</f>
        <v>0</v>
      </c>
      <c r="L58" s="179">
        <f>SUMIFS(Vigilancia!$E:$E,Vigilancia!$F:$F,$A58,Vigilancia!$J:$J,L$1)</f>
        <v>0</v>
      </c>
    </row>
    <row r="59" spans="1:13">
      <c r="A59" s="29" t="str">
        <f>'RESUMEN VIGILANCIA'!A59</f>
        <v>Yuraima Rodríguez</v>
      </c>
      <c r="B59" s="30" t="str">
        <f>'RESUMEN VIGILANCIA'!B59</f>
        <v>Calle Guacara Nro. 89-70</v>
      </c>
      <c r="C59" s="179">
        <f>SUMIFS(Vigilancia!$E:$E,Vigilancia!$F:$F,$A59,Vigilancia!$J:$J,C$1)</f>
        <v>0</v>
      </c>
      <c r="D59" s="179">
        <f>SUMIFS(Vigilancia!$E:$E,Vigilancia!$F:$F,$A59,Vigilancia!$J:$J,D$1)</f>
        <v>0</v>
      </c>
      <c r="E59" s="302">
        <f>SUMIFS(Vigilancia!$E:$E,Vigilancia!$F:$F,$A59,Vigilancia!$J:$J,E$1)</f>
        <v>0</v>
      </c>
      <c r="F59" s="302">
        <f>SUMIFS(Vigilancia!$E:$E,Vigilancia!$F:$F,$A59,Vigilancia!$J:$J,F$1)</f>
        <v>0</v>
      </c>
      <c r="G59" s="179">
        <f>SUMIFS(Vigilancia!$E:$E,Vigilancia!$F:$F,$A59,Vigilancia!$J:$J,G$1)</f>
        <v>0</v>
      </c>
      <c r="H59" s="179">
        <f>SUMIFS(Vigilancia!$E:$E,Vigilancia!$F:$F,$A59,Vigilancia!$J:$J,H$1)</f>
        <v>0</v>
      </c>
      <c r="I59" s="179">
        <f>SUMIFS(Vigilancia!$E:$E,Vigilancia!$F:$F,$A59,Vigilancia!$J:$J,I$1)</f>
        <v>0</v>
      </c>
      <c r="J59" s="179">
        <f>SUMIFS(Vigilancia!$E:$E,Vigilancia!$F:$F,$A59,Vigilancia!$J:$J,J$1)</f>
        <v>0</v>
      </c>
      <c r="K59" s="179">
        <f>SUMIFS(Vigilancia!$E:$E,Vigilancia!$F:$F,$A59,Vigilancia!$J:$J,K$1)</f>
        <v>0</v>
      </c>
      <c r="L59" s="179">
        <f>SUMIFS(Vigilancia!$E:$E,Vigilancia!$F:$F,$A59,Vigilancia!$J:$J,L$1)</f>
        <v>0</v>
      </c>
    </row>
    <row r="60" spans="1:13">
      <c r="A60" s="29" t="str">
        <f>'RESUMEN VIGILANCIA'!A60</f>
        <v>Familia Nava Gordon</v>
      </c>
      <c r="B60" s="30" t="str">
        <f>'RESUMEN VIGILANCIA'!B60</f>
        <v>Calle Guacara Nro. 89-78</v>
      </c>
      <c r="C60" s="179">
        <f>SUMIFS(Vigilancia!$E:$E,Vigilancia!$F:$F,$A60,Vigilancia!$J:$J,C$1)</f>
        <v>7.0000000000000007E-2</v>
      </c>
      <c r="D60" s="179">
        <f>SUMIFS(Vigilancia!$E:$E,Vigilancia!$F:$F,$A60,Vigilancia!$J:$J,D$1)</f>
        <v>4.0999999999999996</v>
      </c>
      <c r="E60" s="302">
        <f>SUMIFS(Vigilancia!$E:$E,Vigilancia!$F:$F,$A60,Vigilancia!$J:$J,E$1)</f>
        <v>12.2</v>
      </c>
      <c r="F60" s="302">
        <f>SUMIFS(Vigilancia!$E:$E,Vigilancia!$F:$F,$A60,Vigilancia!$J:$J,F$1)</f>
        <v>10</v>
      </c>
      <c r="G60" s="179">
        <f>SUMIFS(Vigilancia!$E:$E,Vigilancia!$F:$F,$A60,Vigilancia!$J:$J,G$1)</f>
        <v>50000</v>
      </c>
      <c r="H60" s="179">
        <f>SUMIFS(Vigilancia!$E:$E,Vigilancia!$F:$F,$A60,Vigilancia!$J:$J,H$1)</f>
        <v>0</v>
      </c>
      <c r="I60" s="179">
        <f>SUMIFS(Vigilancia!$E:$E,Vigilancia!$F:$F,$A60,Vigilancia!$J:$J,I$1)</f>
        <v>0</v>
      </c>
      <c r="J60" s="179">
        <f>SUMIFS(Vigilancia!$E:$E,Vigilancia!$F:$F,$A60,Vigilancia!$J:$J,J$1)</f>
        <v>0</v>
      </c>
      <c r="K60" s="179">
        <f>SUMIFS(Vigilancia!$E:$E,Vigilancia!$F:$F,$A60,Vigilancia!$J:$J,K$1)</f>
        <v>0</v>
      </c>
      <c r="L60" s="179">
        <f>SUMIFS(Vigilancia!$E:$E,Vigilancia!$F:$F,$A60,Vigilancia!$J:$J,L$1)</f>
        <v>0</v>
      </c>
    </row>
    <row r="61" spans="1:13">
      <c r="A61" s="29" t="str">
        <f>'RESUMEN VIGILANCIA'!A61</f>
        <v>Familia González Arévalo</v>
      </c>
      <c r="B61" s="30" t="str">
        <f>'RESUMEN VIGILANCIA'!B61</f>
        <v>Calle Guacara Nro. 89-86</v>
      </c>
      <c r="C61" s="179">
        <f>SUMIFS(Vigilancia!$E:$E,Vigilancia!$F:$F,$A61,Vigilancia!$J:$J,C$1)</f>
        <v>7.0000000000000007E-2</v>
      </c>
      <c r="D61" s="179">
        <f>SUMIFS(Vigilancia!$E:$E,Vigilancia!$F:$F,$A61,Vigilancia!$J:$J,D$1)</f>
        <v>3.5</v>
      </c>
      <c r="E61" s="302">
        <f>SUMIFS(Vigilancia!$E:$E,Vigilancia!$F:$F,$A61,Vigilancia!$J:$J,E$1)</f>
        <v>12.2</v>
      </c>
      <c r="F61" s="302">
        <f>SUMIFS(Vigilancia!$E:$E,Vigilancia!$F:$F,$A61,Vigilancia!$J:$J,F$1)</f>
        <v>10</v>
      </c>
      <c r="G61" s="179">
        <f>SUMIFS(Vigilancia!$E:$E,Vigilancia!$F:$F,$A61,Vigilancia!$J:$J,G$1)</f>
        <v>50000</v>
      </c>
      <c r="H61" s="179">
        <f>SUMIFS(Vigilancia!$E:$E,Vigilancia!$F:$F,$A61,Vigilancia!$J:$J,H$1)</f>
        <v>0</v>
      </c>
      <c r="I61" s="179">
        <f>SUMIFS(Vigilancia!$E:$E,Vigilancia!$F:$F,$A61,Vigilancia!$J:$J,I$1)</f>
        <v>0</v>
      </c>
      <c r="J61" s="179">
        <f>SUMIFS(Vigilancia!$E:$E,Vigilancia!$F:$F,$A61,Vigilancia!$J:$J,J$1)</f>
        <v>0</v>
      </c>
      <c r="K61" s="179">
        <f>SUMIFS(Vigilancia!$E:$E,Vigilancia!$F:$F,$A61,Vigilancia!$J:$J,K$1)</f>
        <v>0</v>
      </c>
      <c r="L61" s="179">
        <f>SUMIFS(Vigilancia!$E:$E,Vigilancia!$F:$F,$A61,Vigilancia!$J:$J,L$1)</f>
        <v>0</v>
      </c>
    </row>
    <row r="62" spans="1:13">
      <c r="A62" s="29" t="str">
        <f>'RESUMEN VIGILANCIA'!A62</f>
        <v>Héctor Hernández</v>
      </c>
      <c r="B62" s="30" t="str">
        <f>'RESUMEN VIGILANCIA'!B62</f>
        <v>Calle Guacara Nro. 89-94</v>
      </c>
      <c r="C62" s="179">
        <f>SUMIFS(Vigilancia!$E:$E,Vigilancia!$F:$F,$A62,Vigilancia!$J:$J,C$1)</f>
        <v>7.0000000000000007E-2</v>
      </c>
      <c r="D62" s="179">
        <f>SUMIFS(Vigilancia!$E:$E,Vigilancia!$F:$F,$A62,Vigilancia!$J:$J,D$1)</f>
        <v>3.5</v>
      </c>
      <c r="E62" s="302">
        <f>SUMIFS(Vigilancia!$E:$E,Vigilancia!$F:$F,$A62,Vigilancia!$J:$J,E$1)</f>
        <v>12.2</v>
      </c>
      <c r="F62" s="302">
        <f>SUMIFS(Vigilancia!$E:$E,Vigilancia!$F:$F,$A62,Vigilancia!$J:$J,F$1)</f>
        <v>10</v>
      </c>
      <c r="G62" s="179">
        <f>SUMIFS(Vigilancia!$E:$E,Vigilancia!$F:$F,$A62,Vigilancia!$J:$J,G$1)</f>
        <v>50000</v>
      </c>
      <c r="H62" s="179">
        <f>SUMIFS(Vigilancia!$E:$E,Vigilancia!$F:$F,$A62,Vigilancia!$J:$J,H$1)</f>
        <v>0</v>
      </c>
      <c r="I62" s="179">
        <f>SUMIFS(Vigilancia!$E:$E,Vigilancia!$F:$F,$A62,Vigilancia!$J:$J,I$1)</f>
        <v>0</v>
      </c>
      <c r="J62" s="179">
        <f>SUMIFS(Vigilancia!$E:$E,Vigilancia!$F:$F,$A62,Vigilancia!$J:$J,J$1)</f>
        <v>0</v>
      </c>
      <c r="K62" s="179">
        <f>SUMIFS(Vigilancia!$E:$E,Vigilancia!$F:$F,$A62,Vigilancia!$J:$J,K$1)</f>
        <v>0</v>
      </c>
      <c r="L62" s="179">
        <f>SUMIFS(Vigilancia!$E:$E,Vigilancia!$F:$F,$A62,Vigilancia!$J:$J,L$1)</f>
        <v>0</v>
      </c>
    </row>
    <row r="63" spans="1:13">
      <c r="A63" s="29" t="str">
        <f>'RESUMEN VIGILANCIA'!A63</f>
        <v>Familia Soto Urdaneta</v>
      </c>
      <c r="B63" s="30" t="str">
        <f>'RESUMEN VIGILANCIA'!B63</f>
        <v>Calle Guacara Nro. 89-102</v>
      </c>
      <c r="C63" s="179">
        <f>SUMIFS(Vigilancia!$E:$E,Vigilancia!$F:$F,$A63,Vigilancia!$J:$J,C$1)</f>
        <v>0</v>
      </c>
      <c r="D63" s="179">
        <f>SUMIFS(Vigilancia!$E:$E,Vigilancia!$F:$F,$A63,Vigilancia!$J:$J,D$1)</f>
        <v>0</v>
      </c>
      <c r="E63" s="302">
        <f>SUMIFS(Vigilancia!$E:$E,Vigilancia!$F:$F,$A63,Vigilancia!$J:$J,E$1)</f>
        <v>0</v>
      </c>
      <c r="F63" s="302">
        <f>SUMIFS(Vigilancia!$E:$E,Vigilancia!$F:$F,$A63,Vigilancia!$J:$J,F$1)</f>
        <v>0</v>
      </c>
      <c r="G63" s="179">
        <f>SUMIFS(Vigilancia!$E:$E,Vigilancia!$F:$F,$A63,Vigilancia!$J:$J,G$1)</f>
        <v>50000</v>
      </c>
      <c r="H63" s="179">
        <f>SUMIFS(Vigilancia!$E:$E,Vigilancia!$F:$F,$A63,Vigilancia!$J:$J,H$1)</f>
        <v>0</v>
      </c>
      <c r="I63" s="179">
        <f>SUMIFS(Vigilancia!$E:$E,Vigilancia!$F:$F,$A63,Vigilancia!$J:$J,I$1)</f>
        <v>0</v>
      </c>
      <c r="J63" s="179">
        <f>SUMIFS(Vigilancia!$E:$E,Vigilancia!$F:$F,$A63,Vigilancia!$J:$J,J$1)</f>
        <v>0</v>
      </c>
      <c r="K63" s="179">
        <f>SUMIFS(Vigilancia!$E:$E,Vigilancia!$F:$F,$A63,Vigilancia!$J:$J,K$1)</f>
        <v>0</v>
      </c>
      <c r="L63" s="179">
        <f>SUMIFS(Vigilancia!$E:$E,Vigilancia!$F:$F,$A63,Vigilancia!$J:$J,L$1)</f>
        <v>0</v>
      </c>
    </row>
    <row r="64" spans="1:13">
      <c r="A64" s="29" t="str">
        <f>'RESUMEN VIGILANCIA'!A64</f>
        <v>Familia Aparicio. Anexo</v>
      </c>
      <c r="B64" s="30" t="str">
        <f>'RESUMEN VIGILANCIA'!B64</f>
        <v>Calle Guacara Nro. 89-129</v>
      </c>
      <c r="C64" s="179">
        <f>SUMIFS(Vigilancia!$E:$E,Vigilancia!$F:$F,$A64,Vigilancia!$J:$J,C$1)</f>
        <v>0</v>
      </c>
      <c r="D64" s="313">
        <f>SUMIFS(Vigilancia!$E:$E,Vigilancia!$F:$F,$A64,Vigilancia!$J:$J,D$1)</f>
        <v>0</v>
      </c>
      <c r="E64" s="302">
        <f>SUMIFS(Vigilancia!$E:$E,Vigilancia!$F:$F,$A64,Vigilancia!$J:$J,E$1)</f>
        <v>0</v>
      </c>
      <c r="F64" s="302">
        <f>SUMIFS(Vigilancia!$E:$E,Vigilancia!$F:$F,$A64,Vigilancia!$J:$J,F$1)</f>
        <v>0</v>
      </c>
      <c r="G64" s="179">
        <f>SUMIFS(Vigilancia!$E:$E,Vigilancia!$F:$F,$A64,Vigilancia!$J:$J,G$1)</f>
        <v>0</v>
      </c>
      <c r="H64" s="179">
        <f>SUMIFS(Vigilancia!$E:$E,Vigilancia!$F:$F,$A64,Vigilancia!$J:$J,H$1)</f>
        <v>0</v>
      </c>
      <c r="I64" s="179">
        <f>SUMIFS(Vigilancia!$E:$E,Vigilancia!$F:$F,$A64,Vigilancia!$J:$J,I$1)</f>
        <v>0</v>
      </c>
      <c r="J64" s="179">
        <f>SUMIFS(Vigilancia!$E:$E,Vigilancia!$F:$F,$A64,Vigilancia!$J:$J,J$1)</f>
        <v>0</v>
      </c>
      <c r="K64" s="179">
        <f>SUMIFS(Vigilancia!$E:$E,Vigilancia!$F:$F,$A64,Vigilancia!$J:$J,K$1)</f>
        <v>0</v>
      </c>
      <c r="L64" s="179">
        <f>SUMIFS(Vigilancia!$E:$E,Vigilancia!$F:$F,$A64,Vigilancia!$J:$J,L$1)</f>
        <v>0</v>
      </c>
    </row>
    <row r="65" spans="1:13">
      <c r="A65" s="29" t="str">
        <f>'RESUMEN VIGILANCIA'!A65</f>
        <v>Beatriz Lara</v>
      </c>
      <c r="B65" s="30" t="str">
        <f>'RESUMEN VIGILANCIA'!B65</f>
        <v>Calle Guacara Nro. 89-130</v>
      </c>
      <c r="C65" s="179">
        <f>SUMIFS(Vigilancia!$E:$E,Vigilancia!$F:$F,$A65,Vigilancia!$J:$J,C$1)</f>
        <v>7.0000000000000007E-2</v>
      </c>
      <c r="D65" s="179">
        <f>SUMIFS(Vigilancia!$E:$E,Vigilancia!$F:$F,$A65,Vigilancia!$J:$J,D$1)</f>
        <v>3.5</v>
      </c>
      <c r="E65" s="302">
        <f>SUMIFS(Vigilancia!$E:$E,Vigilancia!$F:$F,$A65,Vigilancia!$J:$J,E$1)</f>
        <v>12.2</v>
      </c>
      <c r="F65" s="302">
        <f>SUMIFS(Vigilancia!$E:$E,Vigilancia!$F:$F,$A65,Vigilancia!$J:$J,F$1)</f>
        <v>10</v>
      </c>
      <c r="G65" s="179">
        <f>SUMIFS(Vigilancia!$E:$E,Vigilancia!$F:$F,$A65,Vigilancia!$J:$J,G$1)</f>
        <v>50000</v>
      </c>
      <c r="H65" s="179">
        <f>SUMIFS(Vigilancia!$E:$E,Vigilancia!$F:$F,$A65,Vigilancia!$J:$J,H$1)</f>
        <v>0</v>
      </c>
      <c r="I65" s="179">
        <f>SUMIFS(Vigilancia!$E:$E,Vigilancia!$F:$F,$A65,Vigilancia!$J:$J,I$1)</f>
        <v>0</v>
      </c>
      <c r="J65" s="179">
        <f>SUMIFS(Vigilancia!$E:$E,Vigilancia!$F:$F,$A65,Vigilancia!$J:$J,J$1)</f>
        <v>0</v>
      </c>
      <c r="K65" s="179">
        <f>SUMIFS(Vigilancia!$E:$E,Vigilancia!$F:$F,$A65,Vigilancia!$J:$J,K$1)</f>
        <v>0</v>
      </c>
      <c r="L65" s="179">
        <f>SUMIFS(Vigilancia!$E:$E,Vigilancia!$F:$F,$A65,Vigilancia!$J:$J,L$1)</f>
        <v>0</v>
      </c>
      <c r="M65" s="120"/>
    </row>
    <row r="66" spans="1:13">
      <c r="A66" s="29" t="str">
        <f>'RESUMEN VIGILANCIA'!A66</f>
        <v>Familia Saade Gómez</v>
      </c>
      <c r="B66" s="30" t="str">
        <f>'RESUMEN VIGILANCIA'!B66</f>
        <v>Calle Guacara Nro. 89-130</v>
      </c>
      <c r="C66" s="179">
        <f>SUMIFS(Vigilancia!$E:$E,Vigilancia!$F:$F,$A66,Vigilancia!$J:$J,C$1)</f>
        <v>0</v>
      </c>
      <c r="D66" s="179">
        <f>SUMIFS(Vigilancia!$E:$E,Vigilancia!$F:$F,$A66,Vigilancia!$J:$J,D$1)</f>
        <v>0</v>
      </c>
      <c r="E66" s="302">
        <f>SUMIFS(Vigilancia!$E:$E,Vigilancia!$F:$F,$A66,Vigilancia!$J:$J,E$1)</f>
        <v>0</v>
      </c>
      <c r="F66" s="302">
        <f>SUMIFS(Vigilancia!$E:$E,Vigilancia!$F:$F,$A66,Vigilancia!$J:$J,F$1)</f>
        <v>0</v>
      </c>
      <c r="G66" s="179">
        <f>SUMIFS(Vigilancia!$E:$E,Vigilancia!$F:$F,$A66,Vigilancia!$J:$J,G$1)</f>
        <v>0</v>
      </c>
      <c r="H66" s="179">
        <f>SUMIFS(Vigilancia!$E:$E,Vigilancia!$F:$F,$A66,Vigilancia!$J:$J,H$1)</f>
        <v>0</v>
      </c>
      <c r="I66" s="179">
        <f>SUMIFS(Vigilancia!$E:$E,Vigilancia!$F:$F,$A66,Vigilancia!$J:$J,I$1)</f>
        <v>0</v>
      </c>
      <c r="J66" s="179">
        <f>SUMIFS(Vigilancia!$E:$E,Vigilancia!$F:$F,$A66,Vigilancia!$J:$J,J$1)</f>
        <v>0</v>
      </c>
      <c r="K66" s="179">
        <f>SUMIFS(Vigilancia!$E:$E,Vigilancia!$F:$F,$A66,Vigilancia!$J:$J,K$1)</f>
        <v>0</v>
      </c>
      <c r="L66" s="179">
        <f>SUMIFS(Vigilancia!$E:$E,Vigilancia!$F:$F,$A66,Vigilancia!$J:$J,L$1)</f>
        <v>0</v>
      </c>
      <c r="M66" s="122"/>
    </row>
    <row r="67" spans="1:13">
      <c r="A67" s="51" t="str">
        <f>'RESUMEN VIGILANCIA'!A67</f>
        <v>Familia Zavarce Pérez</v>
      </c>
      <c r="B67" s="30" t="str">
        <f>'RESUMEN VIGILANCIA'!B67</f>
        <v>Calle Guacara Nro. 90-35</v>
      </c>
      <c r="C67" s="179">
        <f>SUMIFS(Vigilancia!$E:$E,Vigilancia!$F:$F,$A67,Vigilancia!$J:$J,C$1)</f>
        <v>7.0000000000000007E-2</v>
      </c>
      <c r="D67" s="179">
        <f>SUMIFS(Vigilancia!$E:$E,Vigilancia!$F:$F,$A67,Vigilancia!$J:$J,D$1)</f>
        <v>0</v>
      </c>
      <c r="E67" s="302">
        <f>SUMIFS(Vigilancia!$E:$E,Vigilancia!$F:$F,$A67,Vigilancia!$J:$J,E$1)</f>
        <v>0</v>
      </c>
      <c r="F67" s="302">
        <f>SUMIFS(Vigilancia!$E:$E,Vigilancia!$F:$F,$A67,Vigilancia!$J:$J,F$1)</f>
        <v>0</v>
      </c>
      <c r="G67" s="179">
        <f>SUMIFS(Vigilancia!$E:$E,Vigilancia!$F:$F,$A67,Vigilancia!$J:$J,G$1)</f>
        <v>50000</v>
      </c>
      <c r="H67" s="179">
        <f>SUMIFS(Vigilancia!$E:$E,Vigilancia!$F:$F,$A67,Vigilancia!$J:$J,H$1)</f>
        <v>0</v>
      </c>
      <c r="I67" s="179">
        <f>SUMIFS(Vigilancia!$E:$E,Vigilancia!$F:$F,$A67,Vigilancia!$J:$J,I$1)</f>
        <v>0</v>
      </c>
      <c r="J67" s="179">
        <f>SUMIFS(Vigilancia!$E:$E,Vigilancia!$F:$F,$A67,Vigilancia!$J:$J,J$1)</f>
        <v>0</v>
      </c>
      <c r="K67" s="179">
        <f>SUMIFS(Vigilancia!$E:$E,Vigilancia!$F:$F,$A67,Vigilancia!$J:$J,K$1)</f>
        <v>0</v>
      </c>
      <c r="L67" s="179">
        <f>SUMIFS(Vigilancia!$E:$E,Vigilancia!$F:$F,$A67,Vigilancia!$J:$J,L$1)</f>
        <v>0</v>
      </c>
    </row>
    <row r="68" spans="1:13">
      <c r="A68" s="29" t="str">
        <f>'RESUMEN VIGILANCIA'!A68</f>
        <v>Familia Castro Jiménez</v>
      </c>
      <c r="B68" s="30" t="str">
        <f>'RESUMEN VIGILANCIA'!B68</f>
        <v>Calle Guacara Nro. 90-51</v>
      </c>
      <c r="C68" s="179">
        <f>SUMIFS(Vigilancia!$E:$E,Vigilancia!$F:$F,$A68,Vigilancia!$J:$J,C$1)</f>
        <v>0</v>
      </c>
      <c r="D68" s="179">
        <f>SUMIFS(Vigilancia!$E:$E,Vigilancia!$F:$F,$A68,Vigilancia!$J:$J,D$1)</f>
        <v>3.5</v>
      </c>
      <c r="E68" s="302">
        <f>SUMIFS(Vigilancia!$E:$E,Vigilancia!$F:$F,$A68,Vigilancia!$J:$J,E$1)</f>
        <v>12.5</v>
      </c>
      <c r="F68" s="302">
        <f>SUMIFS(Vigilancia!$E:$E,Vigilancia!$F:$F,$A68,Vigilancia!$J:$J,F$1)</f>
        <v>0</v>
      </c>
      <c r="G68" s="179">
        <f>SUMIFS(Vigilancia!$E:$E,Vigilancia!$F:$F,$A68,Vigilancia!$J:$J,G$1)</f>
        <v>50000</v>
      </c>
      <c r="H68" s="179">
        <f>SUMIFS(Vigilancia!$E:$E,Vigilancia!$F:$F,$A68,Vigilancia!$J:$J,H$1)</f>
        <v>0</v>
      </c>
      <c r="I68" s="179">
        <f>SUMIFS(Vigilancia!$E:$E,Vigilancia!$F:$F,$A68,Vigilancia!$J:$J,I$1)</f>
        <v>0</v>
      </c>
      <c r="J68" s="179">
        <f>SUMIFS(Vigilancia!$E:$E,Vigilancia!$F:$F,$A68,Vigilancia!$J:$J,J$1)</f>
        <v>34703.5</v>
      </c>
      <c r="K68" s="179">
        <f>SUMIFS(Vigilancia!$E:$E,Vigilancia!$F:$F,$A68,Vigilancia!$J:$J,K$1)</f>
        <v>0</v>
      </c>
      <c r="L68" s="179">
        <f>SUMIFS(Vigilancia!$E:$E,Vigilancia!$F:$F,$A68,Vigilancia!$J:$J,L$1)</f>
        <v>0</v>
      </c>
    </row>
    <row r="69" spans="1:13">
      <c r="A69" s="29" t="str">
        <f>'RESUMEN VIGILANCIA'!A69</f>
        <v>Familia Triana González</v>
      </c>
      <c r="B69" s="30" t="str">
        <f>'RESUMEN VIGILANCIA'!B69</f>
        <v>Calle Guacara Nro. 90-61</v>
      </c>
      <c r="C69" s="179">
        <f>SUMIFS(Vigilancia!$E:$E,Vigilancia!$F:$F,$A69,Vigilancia!$J:$J,C$1)</f>
        <v>0</v>
      </c>
      <c r="D69" s="179">
        <f>SUMIFS(Vigilancia!$E:$E,Vigilancia!$F:$F,$A69,Vigilancia!$J:$J,D$1)</f>
        <v>0</v>
      </c>
      <c r="E69" s="179">
        <f>SUMIFS(Vigilancia!$E:$E,Vigilancia!$F:$F,$A69,Vigilancia!$J:$J,E$1)</f>
        <v>0</v>
      </c>
      <c r="F69" s="179">
        <f>SUMIFS(Vigilancia!$E:$E,Vigilancia!$F:$F,$A69,Vigilancia!$J:$J,F$1)</f>
        <v>0</v>
      </c>
      <c r="G69" s="179">
        <f>SUMIFS(Vigilancia!$E:$E,Vigilancia!$F:$F,$A69,Vigilancia!$J:$J,G$1)</f>
        <v>50000</v>
      </c>
      <c r="H69" s="179">
        <f>SUMIFS(Vigilancia!$E:$E,Vigilancia!$F:$F,$A69,Vigilancia!$J:$J,H$1)</f>
        <v>0</v>
      </c>
      <c r="I69" s="179">
        <f>SUMIFS(Vigilancia!$E:$E,Vigilancia!$F:$F,$A69,Vigilancia!$J:$J,I$1)</f>
        <v>0</v>
      </c>
      <c r="J69" s="179">
        <f>SUMIFS(Vigilancia!$E:$E,Vigilancia!$F:$F,$A69,Vigilancia!$J:$J,J$1)</f>
        <v>0</v>
      </c>
      <c r="K69" s="179">
        <f>SUMIFS(Vigilancia!$E:$E,Vigilancia!$F:$F,$A69,Vigilancia!$J:$J,K$1)</f>
        <v>0</v>
      </c>
      <c r="L69" s="179">
        <f>SUMIFS(Vigilancia!$E:$E,Vigilancia!$F:$F,$A69,Vigilancia!$J:$J,L$1)</f>
        <v>0</v>
      </c>
    </row>
    <row r="70" spans="1:13">
      <c r="A70" s="29" t="str">
        <f>'RESUMEN VIGILANCIA'!A70</f>
        <v>Neira Chacón</v>
      </c>
      <c r="B70" s="30" t="str">
        <f>'RESUMEN VIGILANCIA'!B70</f>
        <v>Calle Guacara Nro. 90-71</v>
      </c>
      <c r="C70" s="179">
        <f>SUMIFS(Vigilancia!$E:$E,Vigilancia!$F:$F,$A70,Vigilancia!$J:$J,C$1)</f>
        <v>0</v>
      </c>
      <c r="D70" s="179">
        <f>SUMIFS(Vigilancia!$E:$E,Vigilancia!$F:$F,$A70,Vigilancia!$J:$J,D$1)</f>
        <v>0</v>
      </c>
      <c r="E70" s="179">
        <f>SUMIFS(Vigilancia!$E:$E,Vigilancia!$F:$F,$A70,Vigilancia!$J:$J,E$1)</f>
        <v>0</v>
      </c>
      <c r="F70" s="179">
        <f>SUMIFS(Vigilancia!$E:$E,Vigilancia!$F:$F,$A70,Vigilancia!$J:$J,F$1)</f>
        <v>0</v>
      </c>
      <c r="G70" s="179">
        <f>SUMIFS(Vigilancia!$E:$E,Vigilancia!$F:$F,$A70,Vigilancia!$J:$J,G$1)</f>
        <v>0</v>
      </c>
      <c r="H70" s="179">
        <f>SUMIFS(Vigilancia!$E:$E,Vigilancia!$F:$F,$A70,Vigilancia!$J:$J,H$1)</f>
        <v>0</v>
      </c>
      <c r="I70" s="179">
        <f>SUMIFS(Vigilancia!$E:$E,Vigilancia!$F:$F,$A70,Vigilancia!$J:$J,I$1)</f>
        <v>0</v>
      </c>
      <c r="J70" s="179">
        <f>SUMIFS(Vigilancia!$E:$E,Vigilancia!$F:$F,$A70,Vigilancia!$J:$J,J$1)</f>
        <v>0</v>
      </c>
      <c r="K70" s="179">
        <f>SUMIFS(Vigilancia!$E:$E,Vigilancia!$F:$F,$A70,Vigilancia!$J:$J,K$1)</f>
        <v>0</v>
      </c>
      <c r="L70" s="179">
        <f>SUMIFS(Vigilancia!$E:$E,Vigilancia!$F:$F,$A70,Vigilancia!$J:$J,L$1)</f>
        <v>0</v>
      </c>
    </row>
    <row r="71" spans="1:13">
      <c r="A71" s="29" t="str">
        <f>'RESUMEN VIGILANCIA'!A71</f>
        <v>Wu Hung Fung</v>
      </c>
      <c r="B71" s="30" t="str">
        <f>'RESUMEN VIGILANCIA'!B71</f>
        <v>Calle Guacara Nro. 90-81</v>
      </c>
      <c r="C71" s="179">
        <f>SUMIFS(Vigilancia!$E:$E,Vigilancia!$F:$F,$A71,Vigilancia!$J:$J,C$1)</f>
        <v>7.0000000000000007E-2</v>
      </c>
      <c r="D71" s="179">
        <f>SUMIFS(Vigilancia!$E:$E,Vigilancia!$F:$F,$A71,Vigilancia!$J:$J,D$1)</f>
        <v>5.7</v>
      </c>
      <c r="E71" s="179">
        <f>SUMIFS(Vigilancia!$E:$E,Vigilancia!$F:$F,$A71,Vigilancia!$J:$J,E$1)</f>
        <v>0</v>
      </c>
      <c r="F71" s="179">
        <f>SUMIFS(Vigilancia!$E:$E,Vigilancia!$F:$F,$A71,Vigilancia!$J:$J,F$1)</f>
        <v>15</v>
      </c>
      <c r="G71" s="179">
        <f>SUMIFS(Vigilancia!$E:$E,Vigilancia!$F:$F,$A71,Vigilancia!$J:$J,G$1)</f>
        <v>50000</v>
      </c>
      <c r="H71" s="179">
        <f>SUMIFS(Vigilancia!$E:$E,Vigilancia!$F:$F,$A71,Vigilancia!$J:$J,H$1)</f>
        <v>0</v>
      </c>
      <c r="I71" s="179">
        <f>SUMIFS(Vigilancia!$E:$E,Vigilancia!$F:$F,$A71,Vigilancia!$J:$J,I$1)</f>
        <v>0</v>
      </c>
      <c r="J71" s="179">
        <f>SUMIFS(Vigilancia!$E:$E,Vigilancia!$F:$F,$A71,Vigilancia!$J:$J,J$1)</f>
        <v>0</v>
      </c>
      <c r="K71" s="179">
        <f>SUMIFS(Vigilancia!$E:$E,Vigilancia!$F:$F,$A71,Vigilancia!$J:$J,K$1)</f>
        <v>0</v>
      </c>
      <c r="L71" s="179">
        <f>SUMIFS(Vigilancia!$E:$E,Vigilancia!$F:$F,$A71,Vigilancia!$J:$J,L$1)</f>
        <v>0</v>
      </c>
    </row>
    <row r="72" spans="1:13">
      <c r="A72" s="29" t="str">
        <f>'RESUMEN VIGILANCIA'!A72</f>
        <v>Familia Santos Carrillo</v>
      </c>
      <c r="B72" s="30" t="str">
        <f>'RESUMEN VIGILANCIA'!B72</f>
        <v>Calle Guacara Nro. 90-93</v>
      </c>
      <c r="C72" s="179">
        <f>SUMIFS(Vigilancia!$E:$E,Vigilancia!$F:$F,$A72,Vigilancia!$J:$J,C$1)</f>
        <v>0.05</v>
      </c>
      <c r="D72" s="179">
        <f>SUMIFS(Vigilancia!$E:$E,Vigilancia!$F:$F,$A72,Vigilancia!$J:$J,D$1)</f>
        <v>0</v>
      </c>
      <c r="E72" s="179">
        <f>SUMIFS(Vigilancia!$E:$E,Vigilancia!$F:$F,$A72,Vigilancia!$J:$J,E$1)</f>
        <v>0</v>
      </c>
      <c r="F72" s="179">
        <f>SUMIFS(Vigilancia!$E:$E,Vigilancia!$F:$F,$A72,Vigilancia!$J:$J,F$1)</f>
        <v>0</v>
      </c>
      <c r="G72" s="179">
        <f>SUMIFS(Vigilancia!$E:$E,Vigilancia!$F:$F,$A72,Vigilancia!$J:$J,G$1)</f>
        <v>0</v>
      </c>
      <c r="H72" s="179">
        <f>SUMIFS(Vigilancia!$E:$E,Vigilancia!$F:$F,$A72,Vigilancia!$J:$J,H$1)</f>
        <v>0</v>
      </c>
      <c r="I72" s="179">
        <f>SUMIFS(Vigilancia!$E:$E,Vigilancia!$F:$F,$A72,Vigilancia!$J:$J,I$1)</f>
        <v>0</v>
      </c>
      <c r="J72" s="179">
        <f>SUMIFS(Vigilancia!$E:$E,Vigilancia!$F:$F,$A72,Vigilancia!$J:$J,J$1)</f>
        <v>0</v>
      </c>
      <c r="K72" s="179">
        <f>SUMIFS(Vigilancia!$E:$E,Vigilancia!$F:$F,$A72,Vigilancia!$J:$J,K$1)</f>
        <v>0</v>
      </c>
      <c r="L72" s="179">
        <f>SUMIFS(Vigilancia!$E:$E,Vigilancia!$F:$F,$A72,Vigilancia!$J:$J,L$1)</f>
        <v>0</v>
      </c>
    </row>
    <row r="73" spans="1:13">
      <c r="A73" s="29" t="str">
        <f>'RESUMEN VIGILANCIA'!A73</f>
        <v>Familia García Hurtado</v>
      </c>
      <c r="B73" s="30" t="str">
        <f>'RESUMEN VIGILANCIA'!B73</f>
        <v>Calle Guacara Nro. 90-110</v>
      </c>
      <c r="C73" s="179">
        <f>SUMIFS(Vigilancia!$E:$E,Vigilancia!$F:$F,$A73,Vigilancia!$J:$J,C$1)</f>
        <v>0</v>
      </c>
      <c r="D73" s="179">
        <f>SUMIFS(Vigilancia!$E:$E,Vigilancia!$F:$F,$A73,Vigilancia!$J:$J,D$1)</f>
        <v>0</v>
      </c>
      <c r="E73" s="179">
        <f>SUMIFS(Vigilancia!$E:$E,Vigilancia!$F:$F,$A73,Vigilancia!$J:$J,E$1)</f>
        <v>0</v>
      </c>
      <c r="F73" s="179">
        <f>SUMIFS(Vigilancia!$E:$E,Vigilancia!$F:$F,$A73,Vigilancia!$J:$J,F$1)</f>
        <v>0</v>
      </c>
      <c r="G73" s="179">
        <f>SUMIFS(Vigilancia!$E:$E,Vigilancia!$F:$F,$A73,Vigilancia!$J:$J,G$1)</f>
        <v>0</v>
      </c>
      <c r="H73" s="179">
        <f>SUMIFS(Vigilancia!$E:$E,Vigilancia!$F:$F,$A73,Vigilancia!$J:$J,H$1)</f>
        <v>0</v>
      </c>
      <c r="I73" s="179">
        <f>SUMIFS(Vigilancia!$E:$E,Vigilancia!$F:$F,$A73,Vigilancia!$J:$J,I$1)</f>
        <v>0</v>
      </c>
      <c r="J73" s="179">
        <f>SUMIFS(Vigilancia!$E:$E,Vigilancia!$F:$F,$A73,Vigilancia!$J:$J,J$1)</f>
        <v>0</v>
      </c>
      <c r="K73" s="179">
        <f>SUMIFS(Vigilancia!$E:$E,Vigilancia!$F:$F,$A73,Vigilancia!$J:$J,K$1)</f>
        <v>0</v>
      </c>
      <c r="L73" s="179">
        <f>SUMIFS(Vigilancia!$E:$E,Vigilancia!$F:$F,$A73,Vigilancia!$J:$J,L$1)</f>
        <v>0</v>
      </c>
    </row>
    <row r="74" spans="1:13">
      <c r="A74" s="29" t="str">
        <f>'RESUMEN VIGILANCIA'!A74</f>
        <v>Familia Rodríguez Chiappeta</v>
      </c>
      <c r="B74" s="30" t="str">
        <f>'RESUMEN VIGILANCIA'!B74</f>
        <v>Calle Guacara Nro. 90-120</v>
      </c>
      <c r="C74" s="179">
        <f>SUMIFS(Vigilancia!$E:$E,Vigilancia!$F:$F,$A74,Vigilancia!$J:$J,C$1)</f>
        <v>0</v>
      </c>
      <c r="D74" s="179">
        <f>SUMIFS(Vigilancia!$E:$E,Vigilancia!$F:$F,$A74,Vigilancia!$J:$J,D$1)</f>
        <v>0</v>
      </c>
      <c r="E74" s="179">
        <f>SUMIFS(Vigilancia!$E:$E,Vigilancia!$F:$F,$A74,Vigilancia!$J:$J,E$1)</f>
        <v>0</v>
      </c>
      <c r="F74" s="179">
        <f>SUMIFS(Vigilancia!$E:$E,Vigilancia!$F:$F,$A74,Vigilancia!$J:$J,F$1)</f>
        <v>0</v>
      </c>
      <c r="G74" s="179">
        <f>SUMIFS(Vigilancia!$E:$E,Vigilancia!$F:$F,$A74,Vigilancia!$J:$J,G$1)</f>
        <v>0</v>
      </c>
      <c r="H74" s="179">
        <f>SUMIFS(Vigilancia!$E:$E,Vigilancia!$F:$F,$A74,Vigilancia!$J:$J,H$1)</f>
        <v>0</v>
      </c>
      <c r="I74" s="179">
        <f>SUMIFS(Vigilancia!$E:$E,Vigilancia!$F:$F,$A74,Vigilancia!$J:$J,I$1)</f>
        <v>0</v>
      </c>
      <c r="J74" s="179">
        <f>SUMIFS(Vigilancia!$E:$E,Vigilancia!$F:$F,$A74,Vigilancia!$J:$J,J$1)</f>
        <v>0</v>
      </c>
      <c r="K74" s="179">
        <f>SUMIFS(Vigilancia!$E:$E,Vigilancia!$F:$F,$A74,Vigilancia!$J:$J,K$1)</f>
        <v>0</v>
      </c>
      <c r="L74" s="179">
        <f>SUMIFS(Vigilancia!$E:$E,Vigilancia!$F:$F,$A74,Vigilancia!$J:$J,L$1)</f>
        <v>0</v>
      </c>
    </row>
    <row r="75" spans="1:13">
      <c r="A75" s="29" t="str">
        <f>'RESUMEN VIGILANCIA'!A75</f>
        <v>Familia Ledezma Hernández</v>
      </c>
      <c r="B75" s="30" t="str">
        <f>'RESUMEN VIGILANCIA'!B75</f>
        <v>Calle Guacara Nro. 145-30</v>
      </c>
      <c r="C75" s="179">
        <f>SUMIFS(Vigilancia!$E:$E,Vigilancia!$F:$F,$A75,Vigilancia!$J:$J,C$1)</f>
        <v>0</v>
      </c>
      <c r="D75" s="179">
        <f>SUMIFS(Vigilancia!$E:$E,Vigilancia!$F:$F,$A75,Vigilancia!$J:$J,D$1)</f>
        <v>0</v>
      </c>
      <c r="E75" s="179">
        <f>SUMIFS(Vigilancia!$E:$E,Vigilancia!$F:$F,$A75,Vigilancia!$J:$J,E$1)</f>
        <v>0</v>
      </c>
      <c r="F75" s="179">
        <f>SUMIFS(Vigilancia!$E:$E,Vigilancia!$F:$F,$A75,Vigilancia!$J:$J,F$1)</f>
        <v>0</v>
      </c>
      <c r="G75" s="179">
        <f>SUMIFS(Vigilancia!$E:$E,Vigilancia!$F:$F,$A75,Vigilancia!$J:$J,G$1)</f>
        <v>0</v>
      </c>
      <c r="H75" s="179">
        <f>SUMIFS(Vigilancia!$E:$E,Vigilancia!$F:$F,$A75,Vigilancia!$J:$J,H$1)</f>
        <v>0</v>
      </c>
      <c r="I75" s="179">
        <f>SUMIFS(Vigilancia!$E:$E,Vigilancia!$F:$F,$A75,Vigilancia!$J:$J,I$1)</f>
        <v>0</v>
      </c>
      <c r="J75" s="179">
        <f>SUMIFS(Vigilancia!$E:$E,Vigilancia!$F:$F,$A75,Vigilancia!$J:$J,J$1)</f>
        <v>0</v>
      </c>
      <c r="K75" s="179">
        <f>SUMIFS(Vigilancia!$E:$E,Vigilancia!$F:$F,$A75,Vigilancia!$J:$J,K$1)</f>
        <v>0</v>
      </c>
      <c r="L75" s="179">
        <f>SUMIFS(Vigilancia!$E:$E,Vigilancia!$F:$F,$A75,Vigilancia!$J:$J,L$1)</f>
        <v>0</v>
      </c>
    </row>
    <row r="76" spans="1:13">
      <c r="A76" s="28" t="str">
        <f>'RESUMEN VIGILANCIA'!A76</f>
        <v>Familia Narváez Caldera</v>
      </c>
      <c r="B76" s="62" t="str">
        <f>'RESUMEN VIGILANCIA'!B76</f>
        <v>Calle Güigüe Nro. 87-A-11</v>
      </c>
      <c r="C76" s="179">
        <f>SUMIFS(Vigilancia!$E:$E,Vigilancia!$F:$F,$A76,Vigilancia!$J:$J,C$1)</f>
        <v>7.0000000000000007E-2</v>
      </c>
      <c r="D76" s="179">
        <f>SUMIFS(Vigilancia!$E:$E,Vigilancia!$F:$F,$A76,Vigilancia!$J:$J,D$1)</f>
        <v>3.5</v>
      </c>
      <c r="E76" s="302">
        <f>SUMIFS(Vigilancia!$E:$E,Vigilancia!$F:$F,$A76,Vigilancia!$J:$J,E$1)</f>
        <v>12.2</v>
      </c>
      <c r="F76" s="302">
        <f>SUMIFS(Vigilancia!$E:$E,Vigilancia!$F:$F,$A76,Vigilancia!$J:$J,F$1)</f>
        <v>10</v>
      </c>
      <c r="G76" s="179">
        <f>SUMIFS(Vigilancia!$E:$E,Vigilancia!$F:$F,$A76,Vigilancia!$J:$J,G$1)</f>
        <v>50000</v>
      </c>
      <c r="H76" s="179">
        <f>SUMIFS(Vigilancia!$E:$E,Vigilancia!$F:$F,$A76,Vigilancia!$J:$J,H$1)</f>
        <v>0</v>
      </c>
      <c r="I76" s="179">
        <f>SUMIFS(Vigilancia!$E:$E,Vigilancia!$F:$F,$A76,Vigilancia!$J:$J,I$1)</f>
        <v>0</v>
      </c>
      <c r="J76" s="179">
        <f>SUMIFS(Vigilancia!$E:$E,Vigilancia!$F:$F,$A76,Vigilancia!$J:$J,J$1)</f>
        <v>0</v>
      </c>
      <c r="K76" s="179">
        <f>SUMIFS(Vigilancia!$E:$E,Vigilancia!$F:$F,$A76,Vigilancia!$J:$J,K$1)</f>
        <v>0</v>
      </c>
      <c r="L76" s="179">
        <f>SUMIFS(Vigilancia!$E:$E,Vigilancia!$F:$F,$A76,Vigilancia!$J:$J,L$1)</f>
        <v>0</v>
      </c>
    </row>
    <row r="77" spans="1:13">
      <c r="A77" s="57" t="str">
        <f>'RESUMEN VIGILANCIA'!A77</f>
        <v>Claudia González</v>
      </c>
      <c r="B77" s="58" t="str">
        <f>'RESUMEN VIGILANCIA'!B77</f>
        <v>Calle Güigüe Nro. 88-06</v>
      </c>
      <c r="C77" s="211">
        <f>SUMIFS(Vigilancia!$E:$E,Vigilancia!$F:$F,$A77,Vigilancia!$J:$J,C$1)</f>
        <v>0</v>
      </c>
      <c r="D77" s="211">
        <f>SUMIFS(Vigilancia!$E:$E,Vigilancia!$F:$F,$A77,Vigilancia!$J:$J,D$1)</f>
        <v>0</v>
      </c>
      <c r="E77" s="211">
        <f>SUMIFS(Vigilancia!$E:$E,Vigilancia!$F:$F,$A77,Vigilancia!$J:$J,E$1)</f>
        <v>0</v>
      </c>
      <c r="F77" s="211">
        <f>SUMIFS(Vigilancia!$E:$E,Vigilancia!$F:$F,$A77,Vigilancia!$J:$J,F$1)</f>
        <v>0</v>
      </c>
      <c r="G77" s="303">
        <f>SUMIFS(Vigilancia!$E:$E,Vigilancia!$F:$F,$A77,Vigilancia!$J:$J,G$1)</f>
        <v>0</v>
      </c>
      <c r="H77" s="303">
        <f>SUMIFS(Vigilancia!$E:$E,Vigilancia!$F:$F,$A77,Vigilancia!$J:$J,H$1)</f>
        <v>0</v>
      </c>
      <c r="I77" s="211">
        <f>SUMIFS(Vigilancia!$E:$E,Vigilancia!$F:$F,$A77,Vigilancia!$J:$J,I$1)</f>
        <v>0</v>
      </c>
      <c r="J77" s="211">
        <f>SUMIFS(Vigilancia!$E:$E,Vigilancia!$F:$F,$A77,Vigilancia!$J:$J,J$1)</f>
        <v>0</v>
      </c>
      <c r="K77" s="211">
        <f>SUMIFS(Vigilancia!$E:$E,Vigilancia!$F:$F,$A77,Vigilancia!$J:$J,K$1)</f>
        <v>0</v>
      </c>
      <c r="L77" s="203">
        <f>SUMIFS(Vigilancia!$E:$E,Vigilancia!$F:$F,$A77,Vigilancia!$J:$J,L$1)</f>
        <v>0</v>
      </c>
      <c r="M77" s="120"/>
    </row>
    <row r="78" spans="1:13">
      <c r="A78" s="29" t="str">
        <f>'RESUMEN VIGILANCIA'!A78</f>
        <v>Familia Ozar Rivero</v>
      </c>
      <c r="B78" s="30" t="str">
        <f>'RESUMEN VIGILANCIA'!B78</f>
        <v>Calle Güigüe Nro. 88-06</v>
      </c>
      <c r="C78" s="179">
        <f>SUMIFS(Vigilancia!$E:$E,Vigilancia!$F:$F,$A78,Vigilancia!$J:$J,C$1)</f>
        <v>0</v>
      </c>
      <c r="D78" s="179">
        <f>SUMIFS(Vigilancia!$E:$E,Vigilancia!$F:$F,$A78,Vigilancia!$J:$J,D$1)</f>
        <v>0</v>
      </c>
      <c r="E78" s="302">
        <f>SUMIFS(Vigilancia!$E:$E,Vigilancia!$F:$F,$A78,Vigilancia!$J:$J,E$1)</f>
        <v>12.2</v>
      </c>
      <c r="F78" s="302">
        <f>SUMIFS(Vigilancia!$E:$E,Vigilancia!$F:$F,$A78,Vigilancia!$J:$J,F$1)</f>
        <v>0</v>
      </c>
      <c r="G78" s="178">
        <f>SUMIFS(Vigilancia!$E:$E,Vigilancia!$F:$F,$A78,Vigilancia!$J:$J,G$1)</f>
        <v>50000</v>
      </c>
      <c r="H78" s="178">
        <f>SUMIFS(Vigilancia!$E:$E,Vigilancia!$F:$F,$A78,Vigilancia!$J:$J,H$1)</f>
        <v>0</v>
      </c>
      <c r="I78" s="179">
        <f>SUMIFS(Vigilancia!$E:$E,Vigilancia!$F:$F,$A78,Vigilancia!$J:$J,I$1)</f>
        <v>0</v>
      </c>
      <c r="J78" s="179">
        <f>SUMIFS(Vigilancia!$E:$E,Vigilancia!$F:$F,$A78,Vigilancia!$J:$J,J$1)</f>
        <v>0</v>
      </c>
      <c r="K78" s="179">
        <f>SUMIFS(Vigilancia!$E:$E,Vigilancia!$F:$F,$A78,Vigilancia!$J:$J,K$1)</f>
        <v>0</v>
      </c>
      <c r="L78" s="182">
        <f>SUMIFS(Vigilancia!$E:$E,Vigilancia!$F:$F,$A78,Vigilancia!$J:$J,L$1)</f>
        <v>0</v>
      </c>
      <c r="M78" s="122"/>
    </row>
    <row r="79" spans="1:13">
      <c r="A79" s="65" t="str">
        <f>'RESUMEN VIGILANCIA'!A79</f>
        <v>Familia Delgado Hidalgo</v>
      </c>
      <c r="B79" s="63" t="str">
        <f>'RESUMEN VIGILANCIA'!B79</f>
        <v>Calle Güigüe Nro. 88-10</v>
      </c>
      <c r="C79" s="179">
        <f>SUMIFS(Vigilancia!$E:$E,Vigilancia!$F:$F,$A79,Vigilancia!$J:$J,C$1)</f>
        <v>7.0000000000000007E-2</v>
      </c>
      <c r="D79" s="179">
        <f>SUMIFS(Vigilancia!$E:$E,Vigilancia!$F:$F,$A79,Vigilancia!$J:$J,D$1)</f>
        <v>3.5</v>
      </c>
      <c r="E79" s="302">
        <f>SUMIFS(Vigilancia!$E:$E,Vigilancia!$F:$F,$A79,Vigilancia!$J:$J,E$1)</f>
        <v>12.2</v>
      </c>
      <c r="F79" s="302">
        <f>SUMIFS(Vigilancia!$E:$E,Vigilancia!$F:$F,$A79,Vigilancia!$J:$J,F$1)</f>
        <v>10</v>
      </c>
      <c r="G79" s="179">
        <f>SUMIFS(Vigilancia!$E:$E,Vigilancia!$F:$F,$A79,Vigilancia!$J:$J,G$1)</f>
        <v>50000</v>
      </c>
      <c r="H79" s="179">
        <f>SUMIFS(Vigilancia!$E:$E,Vigilancia!$F:$F,$A79,Vigilancia!$J:$J,H$1)</f>
        <v>0</v>
      </c>
      <c r="I79" s="179">
        <f>SUMIFS(Vigilancia!$E:$E,Vigilancia!$F:$F,$A79,Vigilancia!$J:$J,I$1)</f>
        <v>0</v>
      </c>
      <c r="J79" s="179">
        <f>SUMIFS(Vigilancia!$E:$E,Vigilancia!$F:$F,$A79,Vigilancia!$J:$J,J$1)</f>
        <v>0</v>
      </c>
      <c r="K79" s="179">
        <f>SUMIFS(Vigilancia!$E:$E,Vigilancia!$F:$F,$A79,Vigilancia!$J:$J,K$1)</f>
        <v>0</v>
      </c>
      <c r="L79" s="179">
        <f>SUMIFS(Vigilancia!$E:$E,Vigilancia!$F:$F,$A79,Vigilancia!$J:$J,L$1)</f>
        <v>0</v>
      </c>
    </row>
    <row r="80" spans="1:13">
      <c r="A80" s="29" t="str">
        <f>'RESUMEN VIGILANCIA'!A80</f>
        <v>Familia Costermani Terrer</v>
      </c>
      <c r="B80" s="30" t="str">
        <f>'RESUMEN VIGILANCIA'!B80</f>
        <v>Calle Güigüe Nro. 88-11</v>
      </c>
      <c r="C80" s="179">
        <f>SUMIFS(Vigilancia!$E:$E,Vigilancia!$F:$F,$A80,Vigilancia!$J:$J,C$1)</f>
        <v>0</v>
      </c>
      <c r="D80" s="179">
        <f>SUMIFS(Vigilancia!$E:$E,Vigilancia!$F:$F,$A80,Vigilancia!$J:$J,D$1)</f>
        <v>3.5</v>
      </c>
      <c r="E80" s="302">
        <f>SUMIFS(Vigilancia!$E:$E,Vigilancia!$F:$F,$A80,Vigilancia!$J:$J,E$1)</f>
        <v>12.2</v>
      </c>
      <c r="F80" s="302">
        <f>SUMIFS(Vigilancia!$E:$E,Vigilancia!$F:$F,$A80,Vigilancia!$J:$J,F$1)</f>
        <v>10</v>
      </c>
      <c r="G80" s="179">
        <f>SUMIFS(Vigilancia!$E:$E,Vigilancia!$F:$F,$A80,Vigilancia!$J:$J,G$1)</f>
        <v>50000</v>
      </c>
      <c r="H80" s="179">
        <f>SUMIFS(Vigilancia!$E:$E,Vigilancia!$F:$F,$A80,Vigilancia!$J:$J,H$1)</f>
        <v>0</v>
      </c>
      <c r="I80" s="179">
        <f>SUMIFS(Vigilancia!$E:$E,Vigilancia!$F:$F,$A80,Vigilancia!$J:$J,I$1)</f>
        <v>0</v>
      </c>
      <c r="J80" s="179">
        <f>SUMIFS(Vigilancia!$E:$E,Vigilancia!$F:$F,$A80,Vigilancia!$J:$J,J$1)</f>
        <v>0</v>
      </c>
      <c r="K80" s="179">
        <f>SUMIFS(Vigilancia!$E:$E,Vigilancia!$F:$F,$A80,Vigilancia!$J:$J,K$1)</f>
        <v>0</v>
      </c>
      <c r="L80" s="179">
        <f>SUMIFS(Vigilancia!$E:$E,Vigilancia!$F:$F,$A80,Vigilancia!$J:$J,L$1)</f>
        <v>0</v>
      </c>
    </row>
    <row r="81" spans="1:12">
      <c r="A81" s="29" t="str">
        <f>'RESUMEN VIGILANCIA'!A81</f>
        <v>Familia Chávez Hernández</v>
      </c>
      <c r="B81" s="30" t="str">
        <f>'RESUMEN VIGILANCIA'!B81</f>
        <v>Calle Güigüe Nro. 88-20</v>
      </c>
      <c r="C81" s="179">
        <f>SUMIFS(Vigilancia!$E:$E,Vigilancia!$F:$F,$A81,Vigilancia!$J:$J,C$1)</f>
        <v>0</v>
      </c>
      <c r="D81" s="179">
        <f>SUMIFS(Vigilancia!$E:$E,Vigilancia!$F:$F,$A81,Vigilancia!$J:$J,D$1)</f>
        <v>1</v>
      </c>
      <c r="E81" s="302">
        <f>SUMIFS(Vigilancia!$E:$E,Vigilancia!$F:$F,$A81,Vigilancia!$J:$J,E$1)</f>
        <v>0</v>
      </c>
      <c r="F81" s="302">
        <f>SUMIFS(Vigilancia!$E:$E,Vigilancia!$F:$F,$A81,Vigilancia!$J:$J,F$1)</f>
        <v>0</v>
      </c>
      <c r="G81" s="179">
        <f>SUMIFS(Vigilancia!$E:$E,Vigilancia!$F:$F,$A81,Vigilancia!$J:$J,G$1)</f>
        <v>50000</v>
      </c>
      <c r="H81" s="179">
        <f>SUMIFS(Vigilancia!$E:$E,Vigilancia!$F:$F,$A81,Vigilancia!$J:$J,H$1)</f>
        <v>0</v>
      </c>
      <c r="I81" s="179">
        <f>SUMIFS(Vigilancia!$E:$E,Vigilancia!$F:$F,$A81,Vigilancia!$J:$J,I$1)</f>
        <v>0</v>
      </c>
      <c r="J81" s="179">
        <f>SUMIFS(Vigilancia!$E:$E,Vigilancia!$F:$F,$A81,Vigilancia!$J:$J,J$1)</f>
        <v>0</v>
      </c>
      <c r="K81" s="179">
        <f>SUMIFS(Vigilancia!$E:$E,Vigilancia!$F:$F,$A81,Vigilancia!$J:$J,K$1)</f>
        <v>0</v>
      </c>
      <c r="L81" s="179">
        <f>SUMIFS(Vigilancia!$E:$E,Vigilancia!$F:$F,$A81,Vigilancia!$J:$J,L$1)</f>
        <v>0</v>
      </c>
    </row>
    <row r="82" spans="1:12">
      <c r="A82" s="29" t="str">
        <f>'RESUMEN VIGILANCIA'!A82</f>
        <v>Ma. de Jesus Alonso</v>
      </c>
      <c r="B82" s="30" t="str">
        <f>'RESUMEN VIGILANCIA'!B82</f>
        <v>Calle Güigüe Nro. 88-30</v>
      </c>
      <c r="C82" s="179">
        <f>SUMIFS(Vigilancia!$E:$E,Vigilancia!$F:$F,$A82,Vigilancia!$J:$J,C$1)</f>
        <v>0</v>
      </c>
      <c r="D82" s="179">
        <f>SUMIFS(Vigilancia!$E:$E,Vigilancia!$F:$F,$A82,Vigilancia!$J:$J,D$1)</f>
        <v>3.5</v>
      </c>
      <c r="E82" s="302">
        <f>SUMIFS(Vigilancia!$E:$E,Vigilancia!$F:$F,$A82,Vigilancia!$J:$J,E$1)</f>
        <v>0</v>
      </c>
      <c r="F82" s="302">
        <f>SUMIFS(Vigilancia!$E:$E,Vigilancia!$F:$F,$A82,Vigilancia!$J:$J,F$1)</f>
        <v>0</v>
      </c>
      <c r="G82" s="179">
        <f>SUMIFS(Vigilancia!$E:$E,Vigilancia!$F:$F,$A82,Vigilancia!$J:$J,G$1)</f>
        <v>0</v>
      </c>
      <c r="H82" s="179">
        <f>SUMIFS(Vigilancia!$E:$E,Vigilancia!$F:$F,$A82,Vigilancia!$J:$J,H$1)</f>
        <v>0</v>
      </c>
      <c r="I82" s="179">
        <f>SUMIFS(Vigilancia!$E:$E,Vigilancia!$F:$F,$A82,Vigilancia!$J:$J,I$1)</f>
        <v>0</v>
      </c>
      <c r="J82" s="179">
        <f>SUMIFS(Vigilancia!$E:$E,Vigilancia!$F:$F,$A82,Vigilancia!$J:$J,J$1)</f>
        <v>0</v>
      </c>
      <c r="K82" s="179">
        <f>SUMIFS(Vigilancia!$E:$E,Vigilancia!$F:$F,$A82,Vigilancia!$J:$J,K$1)</f>
        <v>0</v>
      </c>
      <c r="L82" s="179">
        <f>SUMIFS(Vigilancia!$E:$E,Vigilancia!$F:$F,$A82,Vigilancia!$J:$J,L$1)</f>
        <v>0</v>
      </c>
    </row>
    <row r="83" spans="1:12">
      <c r="A83" s="29" t="str">
        <f>'RESUMEN VIGILANCIA'!A83</f>
        <v>Familia Moyetones</v>
      </c>
      <c r="B83" s="30" t="str">
        <f>'RESUMEN VIGILANCIA'!B83</f>
        <v>Calle Güigüe Nro. 88-36</v>
      </c>
      <c r="C83" s="179">
        <f>SUMIFS(Vigilancia!$E:$E,Vigilancia!$F:$F,$A83,Vigilancia!$J:$J,C$1)</f>
        <v>0</v>
      </c>
      <c r="D83" s="179">
        <f>SUMIFS(Vigilancia!$E:$E,Vigilancia!$F:$F,$A83,Vigilancia!$J:$J,D$1)</f>
        <v>0</v>
      </c>
      <c r="E83" s="302">
        <f>SUMIFS(Vigilancia!$E:$E,Vigilancia!$F:$F,$A83,Vigilancia!$J:$J,E$1)</f>
        <v>0</v>
      </c>
      <c r="F83" s="302">
        <f>SUMIFS(Vigilancia!$E:$E,Vigilancia!$F:$F,$A83,Vigilancia!$J:$J,F$1)</f>
        <v>0</v>
      </c>
      <c r="G83" s="179">
        <f>SUMIFS(Vigilancia!$E:$E,Vigilancia!$F:$F,$A83,Vigilancia!$J:$J,G$1)</f>
        <v>0</v>
      </c>
      <c r="H83" s="179">
        <f>SUMIFS(Vigilancia!$E:$E,Vigilancia!$F:$F,$A83,Vigilancia!$J:$J,H$1)</f>
        <v>0</v>
      </c>
      <c r="I83" s="179">
        <f>SUMIFS(Vigilancia!$E:$E,Vigilancia!$F:$F,$A83,Vigilancia!$J:$J,I$1)</f>
        <v>0</v>
      </c>
      <c r="J83" s="179">
        <f>SUMIFS(Vigilancia!$E:$E,Vigilancia!$F:$F,$A83,Vigilancia!$J:$J,J$1)</f>
        <v>0</v>
      </c>
      <c r="K83" s="179">
        <f>SUMIFS(Vigilancia!$E:$E,Vigilancia!$F:$F,$A83,Vigilancia!$J:$J,K$1)</f>
        <v>0</v>
      </c>
      <c r="L83" s="179">
        <f>SUMIFS(Vigilancia!$E:$E,Vigilancia!$F:$F,$A83,Vigilancia!$J:$J,L$1)</f>
        <v>0</v>
      </c>
    </row>
    <row r="84" spans="1:12">
      <c r="A84" s="29" t="str">
        <f>'RESUMEN VIGILANCIA'!A84</f>
        <v>Familia Rivero</v>
      </c>
      <c r="B84" s="30" t="str">
        <f>'RESUMEN VIGILANCIA'!B84</f>
        <v>Calle Güigüe Nro. 88-40</v>
      </c>
      <c r="C84" s="179">
        <f>SUMIFS(Vigilancia!$E:$E,Vigilancia!$F:$F,$A84,Vigilancia!$J:$J,C$1)</f>
        <v>7.0000000000000007E-2</v>
      </c>
      <c r="D84" s="179">
        <f>SUMIFS(Vigilancia!$E:$E,Vigilancia!$F:$F,$A84,Vigilancia!$J:$J,D$1)</f>
        <v>0</v>
      </c>
      <c r="E84" s="302">
        <f>SUMIFS(Vigilancia!$E:$E,Vigilancia!$F:$F,$A84,Vigilancia!$J:$J,E$1)</f>
        <v>0</v>
      </c>
      <c r="F84" s="302">
        <f>SUMIFS(Vigilancia!$E:$E,Vigilancia!$F:$F,$A84,Vigilancia!$J:$J,F$1)</f>
        <v>0</v>
      </c>
      <c r="G84" s="179">
        <f>SUMIFS(Vigilancia!$E:$E,Vigilancia!$F:$F,$A84,Vigilancia!$J:$J,G$1)</f>
        <v>0</v>
      </c>
      <c r="H84" s="179">
        <f>SUMIFS(Vigilancia!$E:$E,Vigilancia!$F:$F,$A84,Vigilancia!$J:$J,H$1)</f>
        <v>0</v>
      </c>
      <c r="I84" s="179">
        <f>SUMIFS(Vigilancia!$E:$E,Vigilancia!$F:$F,$A84,Vigilancia!$J:$J,I$1)</f>
        <v>0</v>
      </c>
      <c r="J84" s="179">
        <f>SUMIFS(Vigilancia!$E:$E,Vigilancia!$F:$F,$A84,Vigilancia!$J:$J,J$1)</f>
        <v>0</v>
      </c>
      <c r="K84" s="179">
        <f>SUMIFS(Vigilancia!$E:$E,Vigilancia!$F:$F,$A84,Vigilancia!$J:$J,K$1)</f>
        <v>0</v>
      </c>
      <c r="L84" s="179">
        <f>SUMIFS(Vigilancia!$E:$E,Vigilancia!$F:$F,$A84,Vigilancia!$J:$J,L$1)</f>
        <v>0</v>
      </c>
    </row>
    <row r="85" spans="1:12">
      <c r="A85" s="29" t="str">
        <f>'RESUMEN VIGILANCIA'!A85</f>
        <v>Thanya Albornoz</v>
      </c>
      <c r="B85" s="30" t="str">
        <f>'RESUMEN VIGILANCIA'!B85</f>
        <v>Calle Güigüe Nro. 88-42</v>
      </c>
      <c r="C85" s="179">
        <f>SUMIFS(Vigilancia!$E:$E,Vigilancia!$F:$F,$A85,Vigilancia!$J:$J,C$1)</f>
        <v>0</v>
      </c>
      <c r="D85" s="179">
        <f>SUMIFS(Vigilancia!$E:$E,Vigilancia!$F:$F,$A85,Vigilancia!$J:$J,D$1)</f>
        <v>0</v>
      </c>
      <c r="E85" s="302">
        <f>SUMIFS(Vigilancia!$E:$E,Vigilancia!$F:$F,$A85,Vigilancia!$J:$J,E$1)</f>
        <v>0</v>
      </c>
      <c r="F85" s="302">
        <f>SUMIFS(Vigilancia!$E:$E,Vigilancia!$F:$F,$A85,Vigilancia!$J:$J,F$1)</f>
        <v>0</v>
      </c>
      <c r="G85" s="179">
        <f>SUMIFS(Vigilancia!$E:$E,Vigilancia!$F:$F,$A85,Vigilancia!$J:$J,G$1)</f>
        <v>0</v>
      </c>
      <c r="H85" s="179">
        <f>SUMIFS(Vigilancia!$E:$E,Vigilancia!$F:$F,$A85,Vigilancia!$J:$J,H$1)</f>
        <v>0</v>
      </c>
      <c r="I85" s="179">
        <f>SUMIFS(Vigilancia!$E:$E,Vigilancia!$F:$F,$A85,Vigilancia!$J:$J,I$1)</f>
        <v>0</v>
      </c>
      <c r="J85" s="179">
        <f>SUMIFS(Vigilancia!$E:$E,Vigilancia!$F:$F,$A85,Vigilancia!$J:$J,J$1)</f>
        <v>0</v>
      </c>
      <c r="K85" s="179">
        <f>SUMIFS(Vigilancia!$E:$E,Vigilancia!$F:$F,$A85,Vigilancia!$J:$J,K$1)</f>
        <v>0</v>
      </c>
      <c r="L85" s="179">
        <f>SUMIFS(Vigilancia!$E:$E,Vigilancia!$F:$F,$A85,Vigilancia!$J:$J,L$1)</f>
        <v>0</v>
      </c>
    </row>
    <row r="86" spans="1:12">
      <c r="A86" s="29" t="str">
        <f>'RESUMEN VIGILANCIA'!A86</f>
        <v>Familia Colosso Delgado</v>
      </c>
      <c r="B86" s="30" t="str">
        <f>'RESUMEN VIGILANCIA'!B86</f>
        <v>Calle Güigüe Nro. 88-44</v>
      </c>
      <c r="C86" s="179">
        <f>SUMIFS(Vigilancia!$E:$E,Vigilancia!$F:$F,$A86,Vigilancia!$J:$J,C$1)</f>
        <v>7.0000000000000007E-2</v>
      </c>
      <c r="D86" s="179">
        <f>SUMIFS(Vigilancia!$E:$E,Vigilancia!$F:$F,$A86,Vigilancia!$J:$J,D$1)</f>
        <v>3.5</v>
      </c>
      <c r="E86" s="302">
        <f>SUMIFS(Vigilancia!$E:$E,Vigilancia!$F:$F,$A86,Vigilancia!$J:$J,E$1)</f>
        <v>12.2</v>
      </c>
      <c r="F86" s="302">
        <f>SUMIFS(Vigilancia!$E:$E,Vigilancia!$F:$F,$A86,Vigilancia!$J:$J,F$1)</f>
        <v>10</v>
      </c>
      <c r="G86" s="179">
        <f>SUMIFS(Vigilancia!$E:$E,Vigilancia!$F:$F,$A86,Vigilancia!$J:$J,G$1)</f>
        <v>50000</v>
      </c>
      <c r="H86" s="179">
        <f>SUMIFS(Vigilancia!$E:$E,Vigilancia!$F:$F,$A86,Vigilancia!$J:$J,H$1)</f>
        <v>0</v>
      </c>
      <c r="I86" s="179">
        <f>SUMIFS(Vigilancia!$E:$E,Vigilancia!$F:$F,$A86,Vigilancia!$J:$J,I$1)</f>
        <v>0</v>
      </c>
      <c r="J86" s="179">
        <f>SUMIFS(Vigilancia!$E:$E,Vigilancia!$F:$F,$A86,Vigilancia!$J:$J,J$1)</f>
        <v>0</v>
      </c>
      <c r="K86" s="179">
        <f>SUMIFS(Vigilancia!$E:$E,Vigilancia!$F:$F,$A86,Vigilancia!$J:$J,K$1)</f>
        <v>0</v>
      </c>
      <c r="L86" s="179">
        <f>SUMIFS(Vigilancia!$E:$E,Vigilancia!$F:$F,$A86,Vigilancia!$J:$J,L$1)</f>
        <v>0</v>
      </c>
    </row>
    <row r="87" spans="1:12">
      <c r="A87" s="29" t="str">
        <f>'RESUMEN VIGILANCIA'!A87</f>
        <v>Familia Jiménez Navarro</v>
      </c>
      <c r="B87" s="30" t="str">
        <f>'RESUMEN VIGILANCIA'!B87</f>
        <v>Calle Güigüe Nro. 88-50</v>
      </c>
      <c r="C87" s="179">
        <f>SUMIFS(Vigilancia!$E:$E,Vigilancia!$F:$F,$A87,Vigilancia!$J:$J,C$1)</f>
        <v>0.1</v>
      </c>
      <c r="D87" s="179">
        <f>SUMIFS(Vigilancia!$E:$E,Vigilancia!$F:$F,$A87,Vigilancia!$J:$J,D$1)</f>
        <v>3.5</v>
      </c>
      <c r="E87" s="302">
        <f>SUMIFS(Vigilancia!$E:$E,Vigilancia!$F:$F,$A87,Vigilancia!$J:$J,E$1)</f>
        <v>15</v>
      </c>
      <c r="F87" s="302">
        <f>SUMIFS(Vigilancia!$E:$E,Vigilancia!$F:$F,$A87,Vigilancia!$J:$J,F$1)</f>
        <v>10</v>
      </c>
      <c r="G87" s="179">
        <f>SUMIFS(Vigilancia!$E:$E,Vigilancia!$F:$F,$A87,Vigilancia!$J:$J,G$1)</f>
        <v>50000</v>
      </c>
      <c r="H87" s="179">
        <f>SUMIFS(Vigilancia!$E:$E,Vigilancia!$F:$F,$A87,Vigilancia!$J:$J,H$1)</f>
        <v>0</v>
      </c>
      <c r="I87" s="179">
        <f>SUMIFS(Vigilancia!$E:$E,Vigilancia!$F:$F,$A87,Vigilancia!$J:$J,I$1)</f>
        <v>0</v>
      </c>
      <c r="J87" s="179">
        <f>SUMIFS(Vigilancia!$E:$E,Vigilancia!$F:$F,$A87,Vigilancia!$J:$J,J$1)</f>
        <v>0</v>
      </c>
      <c r="K87" s="179">
        <f>SUMIFS(Vigilancia!$E:$E,Vigilancia!$F:$F,$A87,Vigilancia!$J:$J,K$1)</f>
        <v>0</v>
      </c>
      <c r="L87" s="179">
        <f>SUMIFS(Vigilancia!$E:$E,Vigilancia!$F:$F,$A87,Vigilancia!$J:$J,L$1)</f>
        <v>0</v>
      </c>
    </row>
    <row r="88" spans="1:12">
      <c r="A88" s="29" t="str">
        <f>'RESUMEN VIGILANCIA'!A88</f>
        <v>Dra. Lilia Magallanes</v>
      </c>
      <c r="B88" s="30" t="str">
        <f>'RESUMEN VIGILANCIA'!B88</f>
        <v>Calle Güigüe Nro. 88-51</v>
      </c>
      <c r="C88" s="179">
        <f>SUMIFS(Vigilancia!$E:$E,Vigilancia!$F:$F,$A88,Vigilancia!$J:$J,C$1)</f>
        <v>7.0000000000000007E-2</v>
      </c>
      <c r="D88" s="313">
        <f>SUMIFS(Vigilancia!$E:$E,Vigilancia!$F:$F,$A88,Vigilancia!$J:$J,D$1)</f>
        <v>0</v>
      </c>
      <c r="E88" s="302">
        <f>SUMIFS(Vigilancia!$E:$E,Vigilancia!$F:$F,$A88,Vigilancia!$J:$J,E$1)</f>
        <v>0</v>
      </c>
      <c r="F88" s="302">
        <f>SUMIFS(Vigilancia!$E:$E,Vigilancia!$F:$F,$A88,Vigilancia!$J:$J,F$1)</f>
        <v>0</v>
      </c>
      <c r="G88" s="179">
        <f>SUMIFS(Vigilancia!$E:$E,Vigilancia!$F:$F,$A88,Vigilancia!$J:$J,G$1)</f>
        <v>50000</v>
      </c>
      <c r="H88" s="179">
        <f>SUMIFS(Vigilancia!$E:$E,Vigilancia!$F:$F,$A88,Vigilancia!$J:$J,H$1)</f>
        <v>0</v>
      </c>
      <c r="I88" s="179">
        <f>SUMIFS(Vigilancia!$E:$E,Vigilancia!$F:$F,$A88,Vigilancia!$J:$J,I$1)</f>
        <v>0</v>
      </c>
      <c r="J88" s="179">
        <f>SUMIFS(Vigilancia!$E:$E,Vigilancia!$F:$F,$A88,Vigilancia!$J:$J,J$1)</f>
        <v>0</v>
      </c>
      <c r="K88" s="179">
        <f>SUMIFS(Vigilancia!$E:$E,Vigilancia!$F:$F,$A88,Vigilancia!$J:$J,K$1)</f>
        <v>0</v>
      </c>
      <c r="L88" s="179">
        <f>SUMIFS(Vigilancia!$E:$E,Vigilancia!$F:$F,$A88,Vigilancia!$J:$J,L$1)</f>
        <v>0</v>
      </c>
    </row>
    <row r="89" spans="1:12">
      <c r="A89" s="29" t="str">
        <f>'RESUMEN VIGILANCIA'!A89</f>
        <v>Familia Navarro Assing</v>
      </c>
      <c r="B89" s="30" t="str">
        <f>'RESUMEN VIGILANCIA'!B89</f>
        <v>Calle Güigüe Nro. 88-54</v>
      </c>
      <c r="C89" s="179">
        <f>SUMIFS(Vigilancia!$E:$E,Vigilancia!$F:$F,$A89,Vigilancia!$J:$J,C$1)</f>
        <v>7.0000000000000007E-2</v>
      </c>
      <c r="D89" s="179">
        <f>SUMIFS(Vigilancia!$E:$E,Vigilancia!$F:$F,$A89,Vigilancia!$J:$J,D$1)</f>
        <v>3.5</v>
      </c>
      <c r="E89" s="302">
        <f>SUMIFS(Vigilancia!$E:$E,Vigilancia!$F:$F,$A89,Vigilancia!$J:$J,E$1)</f>
        <v>12</v>
      </c>
      <c r="F89" s="302">
        <f>SUMIFS(Vigilancia!$E:$E,Vigilancia!$F:$F,$A89,Vigilancia!$J:$J,F$1)</f>
        <v>10</v>
      </c>
      <c r="G89" s="179">
        <f>SUMIFS(Vigilancia!$E:$E,Vigilancia!$F:$F,$A89,Vigilancia!$J:$J,G$1)</f>
        <v>50000</v>
      </c>
      <c r="H89" s="179">
        <f>SUMIFS(Vigilancia!$E:$E,Vigilancia!$F:$F,$A89,Vigilancia!$J:$J,H$1)</f>
        <v>0</v>
      </c>
      <c r="I89" s="179">
        <f>SUMIFS(Vigilancia!$E:$E,Vigilancia!$F:$F,$A89,Vigilancia!$J:$J,I$1)</f>
        <v>0</v>
      </c>
      <c r="J89" s="179">
        <f>SUMIFS(Vigilancia!$E:$E,Vigilancia!$F:$F,$A89,Vigilancia!$J:$J,J$1)</f>
        <v>0</v>
      </c>
      <c r="K89" s="179">
        <f>SUMIFS(Vigilancia!$E:$E,Vigilancia!$F:$F,$A89,Vigilancia!$J:$J,K$1)</f>
        <v>0</v>
      </c>
      <c r="L89" s="179">
        <f>SUMIFS(Vigilancia!$E:$E,Vigilancia!$F:$F,$A89,Vigilancia!$J:$J,L$1)</f>
        <v>3</v>
      </c>
    </row>
    <row r="90" spans="1:12">
      <c r="A90" s="29" t="str">
        <f>'RESUMEN VIGILANCIA'!A90</f>
        <v>Familia Rodríguez Aular</v>
      </c>
      <c r="B90" s="30" t="str">
        <f>'RESUMEN VIGILANCIA'!B90</f>
        <v>Calle Güigüe Nro. 88-58</v>
      </c>
      <c r="C90" s="179">
        <f>SUMIFS(Vigilancia!$E:$E,Vigilancia!$F:$F,$A90,Vigilancia!$J:$J,C$1)</f>
        <v>0</v>
      </c>
      <c r="D90" s="179">
        <f>SUMIFS(Vigilancia!$E:$E,Vigilancia!$F:$F,$A90,Vigilancia!$J:$J,D$1)</f>
        <v>0</v>
      </c>
      <c r="E90" s="179">
        <f>SUMIFS(Vigilancia!$E:$E,Vigilancia!$F:$F,$A90,Vigilancia!$J:$J,E$1)</f>
        <v>0</v>
      </c>
      <c r="F90" s="179">
        <f>SUMIFS(Vigilancia!$E:$E,Vigilancia!$F:$F,$A90,Vigilancia!$J:$J,F$1)</f>
        <v>0</v>
      </c>
      <c r="G90" s="179">
        <f>SUMIFS(Vigilancia!$E:$E,Vigilancia!$F:$F,$A90,Vigilancia!$J:$J,G$1)</f>
        <v>50000</v>
      </c>
      <c r="H90" s="179">
        <f>SUMIFS(Vigilancia!$E:$E,Vigilancia!$F:$F,$A90,Vigilancia!$J:$J,H$1)</f>
        <v>0</v>
      </c>
      <c r="I90" s="179">
        <f>SUMIFS(Vigilancia!$E:$E,Vigilancia!$F:$F,$A90,Vigilancia!$J:$J,I$1)</f>
        <v>0</v>
      </c>
      <c r="J90" s="179">
        <f>SUMIFS(Vigilancia!$E:$E,Vigilancia!$F:$F,$A90,Vigilancia!$J:$J,J$1)</f>
        <v>0</v>
      </c>
      <c r="K90" s="179">
        <f>SUMIFS(Vigilancia!$E:$E,Vigilancia!$F:$F,$A90,Vigilancia!$J:$J,K$1)</f>
        <v>0</v>
      </c>
      <c r="L90" s="179">
        <f>SUMIFS(Vigilancia!$E:$E,Vigilancia!$F:$F,$A90,Vigilancia!$J:$J,L$1)</f>
        <v>0</v>
      </c>
    </row>
    <row r="91" spans="1:12">
      <c r="A91" s="29" t="str">
        <f>'RESUMEN VIGILANCIA'!A91</f>
        <v>Familia Ramírez</v>
      </c>
      <c r="B91" s="30" t="str">
        <f>'RESUMEN VIGILANCIA'!B91</f>
        <v>Calle Güigüe Nro. 88-61</v>
      </c>
      <c r="C91" s="179">
        <f>SUMIFS(Vigilancia!$E:$E,Vigilancia!$F:$F,$A91,Vigilancia!$J:$J,C$1)</f>
        <v>7.4999999999999997E-2</v>
      </c>
      <c r="D91" s="179">
        <f>SUMIFS(Vigilancia!$E:$E,Vigilancia!$F:$F,$A91,Vigilancia!$J:$J,D$1)</f>
        <v>0</v>
      </c>
      <c r="E91" s="179">
        <f>SUMIFS(Vigilancia!$E:$E,Vigilancia!$F:$F,$A91,Vigilancia!$J:$J,E$1)</f>
        <v>0</v>
      </c>
      <c r="F91" s="179">
        <f>SUMIFS(Vigilancia!$E:$E,Vigilancia!$F:$F,$A91,Vigilancia!$J:$J,F$1)</f>
        <v>0</v>
      </c>
      <c r="G91" s="179">
        <f>SUMIFS(Vigilancia!$E:$E,Vigilancia!$F:$F,$A91,Vigilancia!$J:$J,G$1)</f>
        <v>0</v>
      </c>
      <c r="H91" s="179">
        <f>SUMIFS(Vigilancia!$E:$E,Vigilancia!$F:$F,$A91,Vigilancia!$J:$J,H$1)</f>
        <v>0</v>
      </c>
      <c r="I91" s="179">
        <f>SUMIFS(Vigilancia!$E:$E,Vigilancia!$F:$F,$A91,Vigilancia!$J:$J,I$1)</f>
        <v>0</v>
      </c>
      <c r="J91" s="179">
        <f>SUMIFS(Vigilancia!$E:$E,Vigilancia!$F:$F,$A91,Vigilancia!$J:$J,J$1)</f>
        <v>0</v>
      </c>
      <c r="K91" s="179">
        <f>SUMIFS(Vigilancia!$E:$E,Vigilancia!$F:$F,$A91,Vigilancia!$J:$J,K$1)</f>
        <v>0</v>
      </c>
      <c r="L91" s="179">
        <f>SUMIFS(Vigilancia!$E:$E,Vigilancia!$F:$F,$A91,Vigilancia!$J:$J,L$1)</f>
        <v>0</v>
      </c>
    </row>
    <row r="92" spans="1:12">
      <c r="A92" s="29" t="str">
        <f>'RESUMEN VIGILANCIA'!A92</f>
        <v>Familia Martínez Boada</v>
      </c>
      <c r="B92" s="30" t="str">
        <f>'RESUMEN VIGILANCIA'!B92</f>
        <v>Calle Güigüe Nro. 88-62</v>
      </c>
      <c r="C92" s="179">
        <f>SUMIFS(Vigilancia!$E:$E,Vigilancia!$F:$F,$A92,Vigilancia!$J:$J,C$1)</f>
        <v>0</v>
      </c>
      <c r="D92" s="179">
        <f>SUMIFS(Vigilancia!$E:$E,Vigilancia!$F:$F,$A92,Vigilancia!$J:$J,D$1)</f>
        <v>0</v>
      </c>
      <c r="E92" s="179">
        <f>SUMIFS(Vigilancia!$E:$E,Vigilancia!$F:$F,$A92,Vigilancia!$J:$J,E$1)</f>
        <v>0</v>
      </c>
      <c r="F92" s="179">
        <f>SUMIFS(Vigilancia!$E:$E,Vigilancia!$F:$F,$A92,Vigilancia!$J:$J,F$1)</f>
        <v>0</v>
      </c>
      <c r="G92" s="179">
        <f>SUMIFS(Vigilancia!$E:$E,Vigilancia!$F:$F,$A92,Vigilancia!$J:$J,G$1)</f>
        <v>50000</v>
      </c>
      <c r="H92" s="179">
        <f>SUMIFS(Vigilancia!$E:$E,Vigilancia!$F:$F,$A92,Vigilancia!$J:$J,H$1)</f>
        <v>0</v>
      </c>
      <c r="I92" s="179">
        <f>SUMIFS(Vigilancia!$E:$E,Vigilancia!$F:$F,$A92,Vigilancia!$J:$J,I$1)</f>
        <v>0</v>
      </c>
      <c r="J92" s="179">
        <f>SUMIFS(Vigilancia!$E:$E,Vigilancia!$F:$F,$A92,Vigilancia!$J:$J,J$1)</f>
        <v>0</v>
      </c>
      <c r="K92" s="179">
        <f>SUMIFS(Vigilancia!$E:$E,Vigilancia!$F:$F,$A92,Vigilancia!$J:$J,K$1)</f>
        <v>0</v>
      </c>
      <c r="L92" s="179">
        <f>SUMIFS(Vigilancia!$E:$E,Vigilancia!$F:$F,$A92,Vigilancia!$J:$J,L$1)</f>
        <v>0</v>
      </c>
    </row>
    <row r="93" spans="1:12">
      <c r="A93" s="29" t="str">
        <f>'RESUMEN VIGILANCIA'!A93</f>
        <v>Familia Gascón Domínguez</v>
      </c>
      <c r="B93" s="30" t="str">
        <f>'RESUMEN VIGILANCIA'!B93</f>
        <v>Calle Güigüe Nro. 88-70</v>
      </c>
      <c r="C93" s="179">
        <f>SUMIFS(Vigilancia!$E:$E,Vigilancia!$F:$F,$A93,Vigilancia!$J:$J,C$1)</f>
        <v>7.0000000000000007E-2</v>
      </c>
      <c r="D93" s="179">
        <f>SUMIFS(Vigilancia!$E:$E,Vigilancia!$F:$F,$A93,Vigilancia!$J:$J,D$1)</f>
        <v>3.5</v>
      </c>
      <c r="E93" s="302">
        <f>SUMIFS(Vigilancia!$E:$E,Vigilancia!$F:$F,$A93,Vigilancia!$J:$J,E$1)</f>
        <v>13</v>
      </c>
      <c r="F93" s="302">
        <f>SUMIFS(Vigilancia!$E:$E,Vigilancia!$F:$F,$A93,Vigilancia!$J:$J,F$1)</f>
        <v>10</v>
      </c>
      <c r="G93" s="179">
        <f>SUMIFS(Vigilancia!$E:$E,Vigilancia!$F:$F,$A93,Vigilancia!$J:$J,G$1)</f>
        <v>50000</v>
      </c>
      <c r="H93" s="179">
        <f>SUMIFS(Vigilancia!$E:$E,Vigilancia!$F:$F,$A93,Vigilancia!$J:$J,H$1)</f>
        <v>0</v>
      </c>
      <c r="I93" s="179">
        <f>SUMIFS(Vigilancia!$E:$E,Vigilancia!$F:$F,$A93,Vigilancia!$J:$J,I$1)</f>
        <v>0</v>
      </c>
      <c r="J93" s="179">
        <f>SUMIFS(Vigilancia!$E:$E,Vigilancia!$F:$F,$A93,Vigilancia!$J:$J,J$1)</f>
        <v>0</v>
      </c>
      <c r="K93" s="179">
        <f>SUMIFS(Vigilancia!$E:$E,Vigilancia!$F:$F,$A93,Vigilancia!$J:$J,K$1)</f>
        <v>30</v>
      </c>
      <c r="L93" s="179">
        <f>SUMIFS(Vigilancia!$E:$E,Vigilancia!$F:$F,$A93,Vigilancia!$J:$J,L$1)</f>
        <v>0</v>
      </c>
    </row>
    <row r="94" spans="1:12">
      <c r="A94" s="29" t="str">
        <f>'RESUMEN VIGILANCIA'!A94</f>
        <v>Colegio El Trigal</v>
      </c>
      <c r="B94" s="30" t="str">
        <f>'RESUMEN VIGILANCIA'!B94</f>
        <v>Calle Güigüe Nros. 88-71 y 88-81</v>
      </c>
      <c r="C94" s="179">
        <f>SUMIFS(Vigilancia!$E:$E,Vigilancia!$F:$F,$A94,Vigilancia!$J:$J,C$1)</f>
        <v>7.0000000000000007E-2</v>
      </c>
      <c r="D94" s="179">
        <f>SUMIFS(Vigilancia!$E:$E,Vigilancia!$F:$F,$A94,Vigilancia!$J:$J,D$1)</f>
        <v>3.5</v>
      </c>
      <c r="E94" s="302">
        <f>SUMIFS(Vigilancia!$E:$E,Vigilancia!$F:$F,$A94,Vigilancia!$J:$J,E$1)</f>
        <v>0</v>
      </c>
      <c r="F94" s="302">
        <f>SUMIFS(Vigilancia!$E:$E,Vigilancia!$F:$F,$A94,Vigilancia!$J:$J,F$1)</f>
        <v>0</v>
      </c>
      <c r="G94" s="179">
        <f>SUMIFS(Vigilancia!$E:$E,Vigilancia!$F:$F,$A94,Vigilancia!$J:$J,G$1)</f>
        <v>50000</v>
      </c>
      <c r="H94" s="179">
        <f>SUMIFS(Vigilancia!$E:$E,Vigilancia!$F:$F,$A94,Vigilancia!$J:$J,H$1)</f>
        <v>0</v>
      </c>
      <c r="I94" s="179">
        <f>SUMIFS(Vigilancia!$E:$E,Vigilancia!$F:$F,$A94,Vigilancia!$J:$J,I$1)</f>
        <v>0</v>
      </c>
      <c r="J94" s="179">
        <f>SUMIFS(Vigilancia!$E:$E,Vigilancia!$F:$F,$A94,Vigilancia!$J:$J,J$1)</f>
        <v>0</v>
      </c>
      <c r="K94" s="179">
        <f>SUMIFS(Vigilancia!$E:$E,Vigilancia!$F:$F,$A94,Vigilancia!$J:$J,K$1)</f>
        <v>0</v>
      </c>
      <c r="L94" s="179">
        <f>SUMIFS(Vigilancia!$E:$E,Vigilancia!$F:$F,$A94,Vigilancia!$J:$J,L$1)</f>
        <v>0</v>
      </c>
    </row>
    <row r="95" spans="1:12">
      <c r="A95" s="29" t="str">
        <f>'RESUMEN VIGILANCIA'!A95</f>
        <v>Zoraida Khair</v>
      </c>
      <c r="B95" s="30" t="str">
        <f>'RESUMEN VIGILANCIA'!B95</f>
        <v>Calle Güigüe Nro. 88-80</v>
      </c>
      <c r="C95" s="179">
        <f>SUMIFS(Vigilancia!$E:$E,Vigilancia!$F:$F,$A95,Vigilancia!$J:$J,C$1)</f>
        <v>0</v>
      </c>
      <c r="D95" s="179">
        <f>SUMIFS(Vigilancia!$E:$E,Vigilancia!$F:$F,$A95,Vigilancia!$J:$J,D$1)</f>
        <v>0</v>
      </c>
      <c r="E95" s="302">
        <f>SUMIFS(Vigilancia!$E:$E,Vigilancia!$F:$F,$A95,Vigilancia!$J:$J,E$1)</f>
        <v>12.2</v>
      </c>
      <c r="F95" s="302">
        <f>SUMIFS(Vigilancia!$E:$E,Vigilancia!$F:$F,$A95,Vigilancia!$J:$J,F$1)</f>
        <v>0</v>
      </c>
      <c r="G95" s="179">
        <f>SUMIFS(Vigilancia!$E:$E,Vigilancia!$F:$F,$A95,Vigilancia!$J:$J,G$1)</f>
        <v>50000</v>
      </c>
      <c r="H95" s="179">
        <f>SUMIFS(Vigilancia!$E:$E,Vigilancia!$F:$F,$A95,Vigilancia!$J:$J,H$1)</f>
        <v>0</v>
      </c>
      <c r="I95" s="179">
        <f>SUMIFS(Vigilancia!$E:$E,Vigilancia!$F:$F,$A95,Vigilancia!$J:$J,I$1)</f>
        <v>0</v>
      </c>
      <c r="J95" s="179">
        <f>SUMIFS(Vigilancia!$E:$E,Vigilancia!$F:$F,$A95,Vigilancia!$J:$J,J$1)</f>
        <v>0</v>
      </c>
      <c r="K95" s="179">
        <f>SUMIFS(Vigilancia!$E:$E,Vigilancia!$F:$F,$A95,Vigilancia!$J:$J,K$1)</f>
        <v>0</v>
      </c>
      <c r="L95" s="179">
        <f>SUMIFS(Vigilancia!$E:$E,Vigilancia!$F:$F,$A95,Vigilancia!$J:$J,L$1)</f>
        <v>0</v>
      </c>
    </row>
    <row r="96" spans="1:12">
      <c r="A96" s="29" t="str">
        <f>'RESUMEN VIGILANCIA'!A96</f>
        <v>Familia Matta Palomino</v>
      </c>
      <c r="B96" s="30" t="str">
        <f>'RESUMEN VIGILANCIA'!B96</f>
        <v>Calle Güigüe Nro. 88-90</v>
      </c>
      <c r="C96" s="179">
        <f>SUMIFS(Vigilancia!$E:$E,Vigilancia!$F:$F,$A96,Vigilancia!$J:$J,C$1)</f>
        <v>7.0000000000000007E-2</v>
      </c>
      <c r="D96" s="179">
        <f>SUMIFS(Vigilancia!$E:$E,Vigilancia!$F:$F,$A96,Vigilancia!$J:$J,D$1)</f>
        <v>0</v>
      </c>
      <c r="E96" s="179">
        <f>SUMIFS(Vigilancia!$E:$E,Vigilancia!$F:$F,$A96,Vigilancia!$J:$J,E$1)</f>
        <v>0</v>
      </c>
      <c r="F96" s="179">
        <f>SUMIFS(Vigilancia!$E:$E,Vigilancia!$F:$F,$A96,Vigilancia!$J:$J,F$1)</f>
        <v>0</v>
      </c>
      <c r="G96" s="179">
        <f>SUMIFS(Vigilancia!$E:$E,Vigilancia!$F:$F,$A96,Vigilancia!$J:$J,G$1)</f>
        <v>50000</v>
      </c>
      <c r="H96" s="179">
        <f>SUMIFS(Vigilancia!$E:$E,Vigilancia!$F:$F,$A96,Vigilancia!$J:$J,H$1)</f>
        <v>0</v>
      </c>
      <c r="I96" s="179">
        <f>SUMIFS(Vigilancia!$E:$E,Vigilancia!$F:$F,$A96,Vigilancia!$J:$J,I$1)</f>
        <v>0</v>
      </c>
      <c r="J96" s="179">
        <f>SUMIFS(Vigilancia!$E:$E,Vigilancia!$F:$F,$A96,Vigilancia!$J:$J,J$1)</f>
        <v>0</v>
      </c>
      <c r="K96" s="179">
        <f>SUMIFS(Vigilancia!$E:$E,Vigilancia!$F:$F,$A96,Vigilancia!$J:$J,K$1)</f>
        <v>0</v>
      </c>
      <c r="L96" s="179">
        <f>SUMIFS(Vigilancia!$E:$E,Vigilancia!$F:$F,$A96,Vigilancia!$J:$J,L$1)</f>
        <v>0</v>
      </c>
    </row>
    <row r="97" spans="1:13">
      <c r="A97" s="29" t="str">
        <f>'RESUMEN VIGILANCIA'!A97</f>
        <v>Familia Castillo Rodríguez</v>
      </c>
      <c r="B97" s="30" t="str">
        <f>'RESUMEN VIGILANCIA'!B97</f>
        <v>Calle Güigüe Nro. 88-91</v>
      </c>
      <c r="C97" s="179">
        <f>SUMIFS(Vigilancia!$E:$E,Vigilancia!$F:$F,$A97,Vigilancia!$J:$J,C$1)</f>
        <v>0</v>
      </c>
      <c r="D97" s="179">
        <f>SUMIFS(Vigilancia!$E:$E,Vigilancia!$F:$F,$A97,Vigilancia!$J:$J,D$1)</f>
        <v>0</v>
      </c>
      <c r="E97" s="179">
        <f>SUMIFS(Vigilancia!$E:$E,Vigilancia!$F:$F,$A97,Vigilancia!$J:$J,E$1)</f>
        <v>0</v>
      </c>
      <c r="F97" s="179">
        <f>SUMIFS(Vigilancia!$E:$E,Vigilancia!$F:$F,$A97,Vigilancia!$J:$J,F$1)</f>
        <v>0</v>
      </c>
      <c r="G97" s="179">
        <f>SUMIFS(Vigilancia!$E:$E,Vigilancia!$F:$F,$A97,Vigilancia!$J:$J,G$1)</f>
        <v>0</v>
      </c>
      <c r="H97" s="179">
        <f>SUMIFS(Vigilancia!$E:$E,Vigilancia!$F:$F,$A97,Vigilancia!$J:$J,H$1)</f>
        <v>0</v>
      </c>
      <c r="I97" s="179">
        <f>SUMIFS(Vigilancia!$E:$E,Vigilancia!$F:$F,$A97,Vigilancia!$J:$J,I$1)</f>
        <v>0</v>
      </c>
      <c r="J97" s="179">
        <f>SUMIFS(Vigilancia!$E:$E,Vigilancia!$F:$F,$A97,Vigilancia!$J:$J,J$1)</f>
        <v>0</v>
      </c>
      <c r="K97" s="179">
        <f>SUMIFS(Vigilancia!$E:$E,Vigilancia!$F:$F,$A97,Vigilancia!$J:$J,K$1)</f>
        <v>0</v>
      </c>
      <c r="L97" s="179">
        <f>SUMIFS(Vigilancia!$E:$E,Vigilancia!$F:$F,$A97,Vigilancia!$J:$J,L$1)</f>
        <v>0</v>
      </c>
    </row>
    <row r="98" spans="1:13">
      <c r="A98" s="29" t="str">
        <f>'RESUMEN VIGILANCIA'!A98</f>
        <v>Familia Hernández Castillo</v>
      </c>
      <c r="B98" s="30" t="str">
        <f>'RESUMEN VIGILANCIA'!B98</f>
        <v>Calle Güigüe Nro. 88-94</v>
      </c>
      <c r="C98" s="179">
        <f>SUMIFS(Vigilancia!$E:$E,Vigilancia!$F:$F,$A98,Vigilancia!$J:$J,C$1)</f>
        <v>0</v>
      </c>
      <c r="D98" s="179">
        <f>SUMIFS(Vigilancia!$E:$E,Vigilancia!$F:$F,$A98,Vigilancia!$J:$J,D$1)</f>
        <v>0</v>
      </c>
      <c r="E98" s="179">
        <f>SUMIFS(Vigilancia!$E:$E,Vigilancia!$F:$F,$A98,Vigilancia!$J:$J,E$1)</f>
        <v>0</v>
      </c>
      <c r="F98" s="179">
        <f>SUMIFS(Vigilancia!$E:$E,Vigilancia!$F:$F,$A98,Vigilancia!$J:$J,F$1)</f>
        <v>0</v>
      </c>
      <c r="G98" s="179">
        <f>SUMIFS(Vigilancia!$E:$E,Vigilancia!$F:$F,$A98,Vigilancia!$J:$J,G$1)</f>
        <v>0</v>
      </c>
      <c r="H98" s="179">
        <f>SUMIFS(Vigilancia!$E:$E,Vigilancia!$F:$F,$A98,Vigilancia!$J:$J,H$1)</f>
        <v>0</v>
      </c>
      <c r="I98" s="179">
        <f>SUMIFS(Vigilancia!$E:$E,Vigilancia!$F:$F,$A98,Vigilancia!$J:$J,I$1)</f>
        <v>0</v>
      </c>
      <c r="J98" s="179">
        <f>SUMIFS(Vigilancia!$E:$E,Vigilancia!$F:$F,$A98,Vigilancia!$J:$J,J$1)</f>
        <v>0</v>
      </c>
      <c r="K98" s="179">
        <f>SUMIFS(Vigilancia!$E:$E,Vigilancia!$F:$F,$A98,Vigilancia!$J:$J,K$1)</f>
        <v>0</v>
      </c>
      <c r="L98" s="179">
        <f>SUMIFS(Vigilancia!$E:$E,Vigilancia!$F:$F,$A98,Vigilancia!$J:$J,L$1)</f>
        <v>0</v>
      </c>
    </row>
    <row r="99" spans="1:13">
      <c r="A99" s="29" t="str">
        <f>'RESUMEN VIGILANCIA'!A99</f>
        <v>Familia Castillo Mena</v>
      </c>
      <c r="B99" s="30" t="str">
        <f>'RESUMEN VIGILANCIA'!B99</f>
        <v>Calle Güigüe Nro. 88-101</v>
      </c>
      <c r="C99" s="179">
        <f>SUMIFS(Vigilancia!$E:$E,Vigilancia!$F:$F,$A99,Vigilancia!$J:$J,C$1)</f>
        <v>7.0000000000000007E-2</v>
      </c>
      <c r="D99" s="179">
        <f>SUMIFS(Vigilancia!$E:$E,Vigilancia!$F:$F,$A99,Vigilancia!$J:$J,D$1)</f>
        <v>0</v>
      </c>
      <c r="E99" s="179">
        <f>SUMIFS(Vigilancia!$E:$E,Vigilancia!$F:$F,$A99,Vigilancia!$J:$J,E$1)</f>
        <v>0</v>
      </c>
      <c r="F99" s="179">
        <f>SUMIFS(Vigilancia!$E:$E,Vigilancia!$F:$F,$A99,Vigilancia!$J:$J,F$1)</f>
        <v>10</v>
      </c>
      <c r="G99" s="179">
        <f>SUMIFS(Vigilancia!$E:$E,Vigilancia!$F:$F,$A99,Vigilancia!$J:$J,G$1)</f>
        <v>50000</v>
      </c>
      <c r="H99" s="179">
        <f>SUMIFS(Vigilancia!$E:$E,Vigilancia!$F:$F,$A99,Vigilancia!$J:$J,H$1)</f>
        <v>0</v>
      </c>
      <c r="I99" s="179">
        <f>SUMIFS(Vigilancia!$E:$E,Vigilancia!$F:$F,$A99,Vigilancia!$J:$J,I$1)</f>
        <v>0</v>
      </c>
      <c r="J99" s="179">
        <f>SUMIFS(Vigilancia!$E:$E,Vigilancia!$F:$F,$A99,Vigilancia!$J:$J,J$1)</f>
        <v>0</v>
      </c>
      <c r="K99" s="179">
        <f>SUMIFS(Vigilancia!$E:$E,Vigilancia!$F:$F,$A99,Vigilancia!$J:$J,K$1)</f>
        <v>0</v>
      </c>
      <c r="L99" s="179">
        <f>SUMIFS(Vigilancia!$E:$E,Vigilancia!$F:$F,$A99,Vigilancia!$J:$J,L$1)</f>
        <v>0</v>
      </c>
    </row>
    <row r="100" spans="1:13">
      <c r="A100" s="29" t="str">
        <f>'RESUMEN VIGILANCIA'!A100</f>
        <v>Familia Centeno Rizzo</v>
      </c>
      <c r="B100" s="30" t="str">
        <f>'RESUMEN VIGILANCIA'!B100</f>
        <v>Calle Güigüe Nro. 88-102</v>
      </c>
      <c r="C100" s="179">
        <f>SUMIFS(Vigilancia!$E:$E,Vigilancia!$F:$F,$A100,Vigilancia!$J:$J,C$1)</f>
        <v>0</v>
      </c>
      <c r="D100" s="179">
        <f>SUMIFS(Vigilancia!$E:$E,Vigilancia!$F:$F,$A100,Vigilancia!$J:$J,D$1)</f>
        <v>0</v>
      </c>
      <c r="E100" s="179">
        <f>SUMIFS(Vigilancia!$E:$E,Vigilancia!$F:$F,$A100,Vigilancia!$J:$J,E$1)</f>
        <v>0</v>
      </c>
      <c r="F100" s="179">
        <f>SUMIFS(Vigilancia!$E:$E,Vigilancia!$F:$F,$A100,Vigilancia!$J:$J,F$1)</f>
        <v>0</v>
      </c>
      <c r="G100" s="179">
        <f>SUMIFS(Vigilancia!$E:$E,Vigilancia!$F:$F,$A100,Vigilancia!$J:$J,G$1)</f>
        <v>0</v>
      </c>
      <c r="H100" s="179">
        <f>SUMIFS(Vigilancia!$E:$E,Vigilancia!$F:$F,$A100,Vigilancia!$J:$J,H$1)</f>
        <v>0</v>
      </c>
      <c r="I100" s="179">
        <f>SUMIFS(Vigilancia!$E:$E,Vigilancia!$F:$F,$A100,Vigilancia!$J:$J,I$1)</f>
        <v>0</v>
      </c>
      <c r="J100" s="179">
        <f>SUMIFS(Vigilancia!$E:$E,Vigilancia!$F:$F,$A100,Vigilancia!$J:$J,J$1)</f>
        <v>0</v>
      </c>
      <c r="K100" s="179">
        <f>SUMIFS(Vigilancia!$E:$E,Vigilancia!$F:$F,$A100,Vigilancia!$J:$J,K$1)</f>
        <v>0</v>
      </c>
      <c r="L100" s="179">
        <f>SUMIFS(Vigilancia!$E:$E,Vigilancia!$F:$F,$A100,Vigilancia!$J:$J,L$1)</f>
        <v>0</v>
      </c>
    </row>
    <row r="101" spans="1:13">
      <c r="A101" s="29" t="str">
        <f>'RESUMEN VIGILANCIA'!A101</f>
        <v>Familia Pérez Malpica</v>
      </c>
      <c r="B101" s="30" t="str">
        <f>'RESUMEN VIGILANCIA'!B101</f>
        <v>Calle Güigüe Nro. 88-110</v>
      </c>
      <c r="C101" s="179">
        <f>SUMIFS(Vigilancia!$E:$E,Vigilancia!$F:$F,$A101,Vigilancia!$J:$J,C$1)</f>
        <v>0</v>
      </c>
      <c r="D101" s="179">
        <f>SUMIFS(Vigilancia!$E:$E,Vigilancia!$F:$F,$A101,Vigilancia!$J:$J,D$1)</f>
        <v>0</v>
      </c>
      <c r="E101" s="179">
        <f>SUMIFS(Vigilancia!$E:$E,Vigilancia!$F:$F,$A101,Vigilancia!$J:$J,E$1)</f>
        <v>0</v>
      </c>
      <c r="F101" s="179">
        <f>SUMIFS(Vigilancia!$E:$E,Vigilancia!$F:$F,$A101,Vigilancia!$J:$J,F$1)</f>
        <v>0</v>
      </c>
      <c r="G101" s="179">
        <f>SUMIFS(Vigilancia!$E:$E,Vigilancia!$F:$F,$A101,Vigilancia!$J:$J,G$1)</f>
        <v>0</v>
      </c>
      <c r="H101" s="179">
        <f>SUMIFS(Vigilancia!$E:$E,Vigilancia!$F:$F,$A101,Vigilancia!$J:$J,H$1)</f>
        <v>0</v>
      </c>
      <c r="I101" s="179">
        <f>SUMIFS(Vigilancia!$E:$E,Vigilancia!$F:$F,$A101,Vigilancia!$J:$J,I$1)</f>
        <v>0</v>
      </c>
      <c r="J101" s="179">
        <f>SUMIFS(Vigilancia!$E:$E,Vigilancia!$F:$F,$A101,Vigilancia!$J:$J,J$1)</f>
        <v>0</v>
      </c>
      <c r="K101" s="179">
        <f>SUMIFS(Vigilancia!$E:$E,Vigilancia!$F:$F,$A101,Vigilancia!$J:$J,K$1)</f>
        <v>0</v>
      </c>
      <c r="L101" s="179">
        <f>SUMIFS(Vigilancia!$E:$E,Vigilancia!$F:$F,$A101,Vigilancia!$J:$J,L$1)</f>
        <v>0</v>
      </c>
    </row>
    <row r="102" spans="1:13">
      <c r="A102" s="29" t="str">
        <f>'RESUMEN VIGILANCIA'!A102</f>
        <v>Familia Astor Zamora</v>
      </c>
      <c r="B102" s="30" t="str">
        <f>'RESUMEN VIGILANCIA'!B102</f>
        <v>Calle Güigüe Nro. 88-111</v>
      </c>
      <c r="C102" s="179">
        <f>SUMIFS(Vigilancia!$E:$E,Vigilancia!$F:$F,$A102,Vigilancia!$J:$J,C$1)</f>
        <v>0</v>
      </c>
      <c r="D102" s="179">
        <f>SUMIFS(Vigilancia!$E:$E,Vigilancia!$F:$F,$A102,Vigilancia!$J:$J,D$1)</f>
        <v>0</v>
      </c>
      <c r="E102" s="179">
        <f>SUMIFS(Vigilancia!$E:$E,Vigilancia!$F:$F,$A102,Vigilancia!$J:$J,E$1)</f>
        <v>0</v>
      </c>
      <c r="F102" s="179">
        <f>SUMIFS(Vigilancia!$E:$E,Vigilancia!$F:$F,$A102,Vigilancia!$J:$J,F$1)</f>
        <v>0</v>
      </c>
      <c r="G102" s="179">
        <f>SUMIFS(Vigilancia!$E:$E,Vigilancia!$F:$F,$A102,Vigilancia!$J:$J,G$1)</f>
        <v>0</v>
      </c>
      <c r="H102" s="179">
        <f>SUMIFS(Vigilancia!$E:$E,Vigilancia!$F:$F,$A102,Vigilancia!$J:$J,H$1)</f>
        <v>0</v>
      </c>
      <c r="I102" s="179">
        <f>SUMIFS(Vigilancia!$E:$E,Vigilancia!$F:$F,$A102,Vigilancia!$J:$J,I$1)</f>
        <v>0</v>
      </c>
      <c r="J102" s="179">
        <f>SUMIFS(Vigilancia!$E:$E,Vigilancia!$F:$F,$A102,Vigilancia!$J:$J,J$1)</f>
        <v>0</v>
      </c>
      <c r="K102" s="179">
        <f>SUMIFS(Vigilancia!$E:$E,Vigilancia!$F:$F,$A102,Vigilancia!$J:$J,K$1)</f>
        <v>0</v>
      </c>
      <c r="L102" s="179">
        <f>SUMIFS(Vigilancia!$E:$E,Vigilancia!$F:$F,$A102,Vigilancia!$J:$J,L$1)</f>
        <v>0</v>
      </c>
    </row>
    <row r="103" spans="1:13">
      <c r="A103" s="29" t="str">
        <f>'RESUMEN VIGILANCIA'!A103</f>
        <v>Familia Díaz González</v>
      </c>
      <c r="B103" s="30" t="str">
        <f>'RESUMEN VIGILANCIA'!B103</f>
        <v>Calle Güigüe Nro. 88-116</v>
      </c>
      <c r="C103" s="179">
        <f>SUMIFS(Vigilancia!$E:$E,Vigilancia!$F:$F,$A103,Vigilancia!$J:$J,C$1)</f>
        <v>7.0000000000000007E-2</v>
      </c>
      <c r="D103" s="179">
        <f>SUMIFS(Vigilancia!$E:$E,Vigilancia!$F:$F,$A103,Vigilancia!$J:$J,D$1)</f>
        <v>3.5</v>
      </c>
      <c r="E103" s="179">
        <f>SUMIFS(Vigilancia!$E:$E,Vigilancia!$F:$F,$A103,Vigilancia!$J:$J,E$1)</f>
        <v>0</v>
      </c>
      <c r="F103" s="179">
        <f>SUMIFS(Vigilancia!$E:$E,Vigilancia!$F:$F,$A103,Vigilancia!$J:$J,F$1)</f>
        <v>0</v>
      </c>
      <c r="G103" s="179">
        <f>SUMIFS(Vigilancia!$E:$E,Vigilancia!$F:$F,$A103,Vigilancia!$J:$J,G$1)</f>
        <v>50000</v>
      </c>
      <c r="H103" s="179">
        <f>SUMIFS(Vigilancia!$E:$E,Vigilancia!$F:$F,$A103,Vigilancia!$J:$J,H$1)</f>
        <v>0</v>
      </c>
      <c r="I103" s="179">
        <f>SUMIFS(Vigilancia!$E:$E,Vigilancia!$F:$F,$A103,Vigilancia!$J:$J,I$1)</f>
        <v>0</v>
      </c>
      <c r="J103" s="179">
        <f>SUMIFS(Vigilancia!$E:$E,Vigilancia!$F:$F,$A103,Vigilancia!$J:$J,J$1)</f>
        <v>0</v>
      </c>
      <c r="K103" s="179">
        <f>SUMIFS(Vigilancia!$E:$E,Vigilancia!$F:$F,$A103,Vigilancia!$J:$J,K$1)</f>
        <v>0</v>
      </c>
      <c r="L103" s="179">
        <f>SUMIFS(Vigilancia!$E:$E,Vigilancia!$F:$F,$A103,Vigilancia!$J:$J,L$1)</f>
        <v>0</v>
      </c>
    </row>
    <row r="104" spans="1:13">
      <c r="A104" s="64" t="str">
        <f>'RESUMEN VIGILANCIA'!A104</f>
        <v>Familia Loponte Arteaga</v>
      </c>
      <c r="B104" s="62" t="str">
        <f>'RESUMEN VIGILANCIA'!B104</f>
        <v>Calle Güigüe Nro. 88-120</v>
      </c>
      <c r="C104" s="179">
        <f>SUMIFS(Vigilancia!$E:$E,Vigilancia!$F:$F,$A104,Vigilancia!$J:$J,C$1)</f>
        <v>7.0000000000000007E-2</v>
      </c>
      <c r="D104" s="179">
        <f>SUMIFS(Vigilancia!$E:$E,Vigilancia!$F:$F,$A104,Vigilancia!$J:$J,D$1)</f>
        <v>3.6</v>
      </c>
      <c r="E104" s="302">
        <f>SUMIFS(Vigilancia!$E:$E,Vigilancia!$F:$F,$A104,Vigilancia!$J:$J,E$1)</f>
        <v>12.2</v>
      </c>
      <c r="F104" s="302">
        <f>SUMIFS(Vigilancia!$E:$E,Vigilancia!$F:$F,$A104,Vigilancia!$J:$J,F$1)</f>
        <v>0</v>
      </c>
      <c r="G104" s="179">
        <f>SUMIFS(Vigilancia!$E:$E,Vigilancia!$F:$F,$A104,Vigilancia!$J:$J,G$1)</f>
        <v>0</v>
      </c>
      <c r="H104" s="179">
        <f>SUMIFS(Vigilancia!$E:$E,Vigilancia!$F:$F,$A104,Vigilancia!$J:$J,H$1)</f>
        <v>0</v>
      </c>
      <c r="I104" s="179">
        <f>SUMIFS(Vigilancia!$E:$E,Vigilancia!$F:$F,$A104,Vigilancia!$J:$J,I$1)</f>
        <v>0</v>
      </c>
      <c r="J104" s="179">
        <f>SUMIFS(Vigilancia!$E:$E,Vigilancia!$F:$F,$A104,Vigilancia!$J:$J,J$1)</f>
        <v>0</v>
      </c>
      <c r="K104" s="179">
        <f>SUMIFS(Vigilancia!$E:$E,Vigilancia!$F:$F,$A104,Vigilancia!$J:$J,K$1)</f>
        <v>0</v>
      </c>
      <c r="L104" s="179">
        <f>SUMIFS(Vigilancia!$E:$E,Vigilancia!$F:$F,$A104,Vigilancia!$J:$J,L$1)</f>
        <v>0</v>
      </c>
    </row>
    <row r="105" spans="1:13">
      <c r="A105" s="64" t="str">
        <f>'RESUMEN VIGILANCIA'!A105</f>
        <v>Zoraida Arteaga</v>
      </c>
      <c r="B105" s="62" t="str">
        <f>'RESUMEN VIGILANCIA'!B105</f>
        <v>Calle Güigüe Nro. 88-120</v>
      </c>
      <c r="C105" s="179">
        <f>SUMIFS(Vigilancia!$E:$E,Vigilancia!$F:$F,$A105,Vigilancia!$J:$J,C$1)</f>
        <v>0</v>
      </c>
      <c r="D105" s="179">
        <f>SUMIFS(Vigilancia!$E:$E,Vigilancia!$F:$F,$A105,Vigilancia!$J:$J,D$1)</f>
        <v>0</v>
      </c>
      <c r="E105" s="302">
        <f>SUMIFS(Vigilancia!$E:$E,Vigilancia!$F:$F,$A105,Vigilancia!$J:$J,E$1)</f>
        <v>0</v>
      </c>
      <c r="F105" s="302">
        <f>SUMIFS(Vigilancia!$E:$E,Vigilancia!$F:$F,$A105,Vigilancia!$J:$J,F$1)</f>
        <v>0</v>
      </c>
      <c r="G105" s="179">
        <f>SUMIFS(Vigilancia!$E:$E,Vigilancia!$F:$F,$A105,Vigilancia!$J:$J,G$1)</f>
        <v>0</v>
      </c>
      <c r="H105" s="179">
        <f>SUMIFS(Vigilancia!$E:$E,Vigilancia!$F:$F,$A105,Vigilancia!$J:$J,H$1)</f>
        <v>0</v>
      </c>
      <c r="I105" s="179">
        <f>SUMIFS(Vigilancia!$E:$E,Vigilancia!$F:$F,$A105,Vigilancia!$J:$J,I$1)</f>
        <v>0</v>
      </c>
      <c r="J105" s="179">
        <f>SUMIFS(Vigilancia!$E:$E,Vigilancia!$F:$F,$A105,Vigilancia!$J:$J,J$1)</f>
        <v>0</v>
      </c>
      <c r="K105" s="179">
        <f>SUMIFS(Vigilancia!$E:$E,Vigilancia!$F:$F,$A105,Vigilancia!$J:$J,K$1)</f>
        <v>0</v>
      </c>
      <c r="L105" s="179">
        <f>SUMIFS(Vigilancia!$E:$E,Vigilancia!$F:$F,$A105,Vigilancia!$J:$J,L$1)</f>
        <v>0</v>
      </c>
    </row>
    <row r="106" spans="1:13">
      <c r="A106" s="57" t="str">
        <f>'RESUMEN VIGILANCIA'!A106</f>
        <v>Familia Sayago Peñaranda</v>
      </c>
      <c r="B106" s="58" t="str">
        <f>'RESUMEN VIGILANCIA'!B106</f>
        <v>Calle Güigüe Nro. 89-04</v>
      </c>
      <c r="C106" s="211">
        <f>SUMIFS(Vigilancia!$E:$E,Vigilancia!$F:$F,$A106,Vigilancia!$J:$J,C$1)</f>
        <v>7.0000000000000007E-2</v>
      </c>
      <c r="D106" s="211">
        <f>SUMIFS(Vigilancia!$E:$E,Vigilancia!$F:$F,$A106,Vigilancia!$J:$J,D$1)</f>
        <v>0</v>
      </c>
      <c r="E106" s="211">
        <f>SUMIFS(Vigilancia!$E:$E,Vigilancia!$F:$F,$A106,Vigilancia!$J:$J,E$1)</f>
        <v>0</v>
      </c>
      <c r="F106" s="211">
        <f>SUMIFS(Vigilancia!$E:$E,Vigilancia!$F:$F,$A106,Vigilancia!$J:$J,F$1)</f>
        <v>0</v>
      </c>
      <c r="G106" s="303">
        <f>SUMIFS(Vigilancia!$E:$E,Vigilancia!$F:$F,$A106,Vigilancia!$J:$J,G$1)</f>
        <v>0</v>
      </c>
      <c r="H106" s="303">
        <f>SUMIFS(Vigilancia!$E:$E,Vigilancia!$F:$F,$A106,Vigilancia!$J:$J,H$1)</f>
        <v>0</v>
      </c>
      <c r="I106" s="211">
        <f>SUMIFS(Vigilancia!$E:$E,Vigilancia!$F:$F,$A106,Vigilancia!$J:$J,I$1)</f>
        <v>0</v>
      </c>
      <c r="J106" s="211">
        <f>SUMIFS(Vigilancia!$E:$E,Vigilancia!$F:$F,$A106,Vigilancia!$J:$J,J$1)</f>
        <v>0</v>
      </c>
      <c r="K106" s="211">
        <f>SUMIFS(Vigilancia!$E:$E,Vigilancia!$F:$F,$A106,Vigilancia!$J:$J,K$1)</f>
        <v>0</v>
      </c>
      <c r="L106" s="211">
        <f>SUMIFS(Vigilancia!$E:$E,Vigilancia!$F:$F,$A106,Vigilancia!$J:$J,L$1)</f>
        <v>0</v>
      </c>
      <c r="M106" s="120"/>
    </row>
    <row r="107" spans="1:13">
      <c r="A107" s="29" t="str">
        <f>'RESUMEN VIGILANCIA'!A107</f>
        <v>Carmen Moreno</v>
      </c>
      <c r="B107" s="30" t="str">
        <f>'RESUMEN VIGILANCIA'!B107</f>
        <v>Calle Güigüe Nro. 89-04</v>
      </c>
      <c r="C107" s="179">
        <f>SUMIFS(Vigilancia!$E:$E,Vigilancia!$F:$F,$A107,Vigilancia!$J:$J,C$1)</f>
        <v>0</v>
      </c>
      <c r="D107" s="179">
        <f>SUMIFS(Vigilancia!$E:$E,Vigilancia!$F:$F,$A107,Vigilancia!$J:$J,D$1)</f>
        <v>3.5</v>
      </c>
      <c r="E107" s="302">
        <f>SUMIFS(Vigilancia!$E:$E,Vigilancia!$F:$F,$A107,Vigilancia!$J:$J,E$1)</f>
        <v>12.2</v>
      </c>
      <c r="F107" s="302">
        <f>SUMIFS(Vigilancia!$E:$E,Vigilancia!$F:$F,$A107,Vigilancia!$J:$J,F$1)</f>
        <v>10</v>
      </c>
      <c r="G107" s="178">
        <f>SUMIFS(Vigilancia!$E:$E,Vigilancia!$F:$F,$A107,Vigilancia!$J:$J,G$1)</f>
        <v>50000</v>
      </c>
      <c r="H107" s="178">
        <f>SUMIFS(Vigilancia!$E:$E,Vigilancia!$F:$F,$A107,Vigilancia!$J:$J,H$1)</f>
        <v>0</v>
      </c>
      <c r="I107" s="179">
        <f>SUMIFS(Vigilancia!$E:$E,Vigilancia!$F:$F,$A107,Vigilancia!$J:$J,I$1)</f>
        <v>0</v>
      </c>
      <c r="J107" s="179">
        <f>SUMIFS(Vigilancia!$E:$E,Vigilancia!$F:$F,$A107,Vigilancia!$J:$J,J$1)</f>
        <v>0</v>
      </c>
      <c r="K107" s="179">
        <f>SUMIFS(Vigilancia!$E:$E,Vigilancia!$F:$F,$A107,Vigilancia!$J:$J,K$1)</f>
        <v>0</v>
      </c>
      <c r="L107" s="179">
        <f>SUMIFS(Vigilancia!$E:$E,Vigilancia!$F:$F,$A107,Vigilancia!$J:$J,L$1)</f>
        <v>0</v>
      </c>
      <c r="M107" s="122"/>
    </row>
    <row r="108" spans="1:13">
      <c r="A108" s="65" t="str">
        <f>'RESUMEN VIGILANCIA'!A108</f>
        <v>Familia Acosta Carpio</v>
      </c>
      <c r="B108" s="63" t="str">
        <f>'RESUMEN VIGILANCIA'!B108</f>
        <v>Calle Güigüe Nro. 89-10</v>
      </c>
      <c r="C108" s="179">
        <f>SUMIFS(Vigilancia!$E:$E,Vigilancia!$F:$F,$A108,Vigilancia!$J:$J,C$1)</f>
        <v>7.0000000000000007E-2</v>
      </c>
      <c r="D108" s="179">
        <f>SUMIFS(Vigilancia!$E:$E,Vigilancia!$F:$F,$A108,Vigilancia!$J:$J,D$1)</f>
        <v>3.5</v>
      </c>
      <c r="E108" s="302">
        <f>SUMIFS(Vigilancia!$E:$E,Vigilancia!$F:$F,$A108,Vigilancia!$J:$J,E$1)</f>
        <v>12.2</v>
      </c>
      <c r="F108" s="302">
        <f>SUMIFS(Vigilancia!$E:$E,Vigilancia!$F:$F,$A108,Vigilancia!$J:$J,F$1)</f>
        <v>0</v>
      </c>
      <c r="G108" s="179">
        <f>SUMIFS(Vigilancia!$E:$E,Vigilancia!$F:$F,$A108,Vigilancia!$J:$J,G$1)</f>
        <v>0</v>
      </c>
      <c r="H108" s="179">
        <f>SUMIFS(Vigilancia!$E:$E,Vigilancia!$F:$F,$A108,Vigilancia!$J:$J,H$1)</f>
        <v>0</v>
      </c>
      <c r="I108" s="179">
        <f>SUMIFS(Vigilancia!$E:$E,Vigilancia!$F:$F,$A108,Vigilancia!$J:$J,I$1)</f>
        <v>0</v>
      </c>
      <c r="J108" s="179">
        <f>SUMIFS(Vigilancia!$E:$E,Vigilancia!$F:$F,$A108,Vigilancia!$J:$J,J$1)</f>
        <v>0</v>
      </c>
      <c r="K108" s="179">
        <f>SUMIFS(Vigilancia!$E:$E,Vigilancia!$F:$F,$A108,Vigilancia!$J:$J,K$1)</f>
        <v>0</v>
      </c>
      <c r="L108" s="179">
        <f>SUMIFS(Vigilancia!$E:$E,Vigilancia!$F:$F,$A108,Vigilancia!$J:$J,L$1)</f>
        <v>0</v>
      </c>
    </row>
    <row r="109" spans="1:13">
      <c r="A109" s="65" t="str">
        <f>'RESUMEN VIGILANCIA'!A109</f>
        <v>Familia Acosta Saravia</v>
      </c>
      <c r="B109" s="63" t="str">
        <f>'RESUMEN VIGILANCIA'!B109</f>
        <v>Calle Güigüe Nro. 89-10</v>
      </c>
      <c r="C109" s="179">
        <f>SUMIFS(Vigilancia!$E:$E,Vigilancia!$F:$F,$A109,Vigilancia!$J:$J,C$1)</f>
        <v>0</v>
      </c>
      <c r="D109" s="179">
        <f>SUMIFS(Vigilancia!$E:$E,Vigilancia!$F:$F,$A109,Vigilancia!$J:$J,D$1)</f>
        <v>0</v>
      </c>
      <c r="E109" s="302">
        <f>SUMIFS(Vigilancia!$E:$E,Vigilancia!$F:$F,$A109,Vigilancia!$J:$J,E$1)</f>
        <v>0</v>
      </c>
      <c r="F109" s="302">
        <f>SUMIFS(Vigilancia!$E:$E,Vigilancia!$F:$F,$A109,Vigilancia!$J:$J,F$1)</f>
        <v>0</v>
      </c>
      <c r="G109" s="179">
        <f>SUMIFS(Vigilancia!$E:$E,Vigilancia!$F:$F,$A109,Vigilancia!$J:$J,G$1)</f>
        <v>50000</v>
      </c>
      <c r="H109" s="179">
        <f>SUMIFS(Vigilancia!$E:$E,Vigilancia!$F:$F,$A109,Vigilancia!$J:$J,H$1)</f>
        <v>0</v>
      </c>
      <c r="I109" s="179">
        <f>SUMIFS(Vigilancia!$E:$E,Vigilancia!$F:$F,$A109,Vigilancia!$J:$J,I$1)</f>
        <v>0</v>
      </c>
      <c r="J109" s="179">
        <f>SUMIFS(Vigilancia!$E:$E,Vigilancia!$F:$F,$A109,Vigilancia!$J:$J,J$1)</f>
        <v>0</v>
      </c>
      <c r="K109" s="179">
        <f>SUMIFS(Vigilancia!$E:$E,Vigilancia!$F:$F,$A109,Vigilancia!$J:$J,K$1)</f>
        <v>0</v>
      </c>
      <c r="L109" s="179">
        <f>SUMIFS(Vigilancia!$E:$E,Vigilancia!$F:$F,$A109,Vigilancia!$J:$J,L$1)</f>
        <v>0</v>
      </c>
    </row>
    <row r="110" spans="1:13">
      <c r="A110" s="29" t="str">
        <f>'RESUMEN VIGILANCIA'!A110</f>
        <v>Silvia Power</v>
      </c>
      <c r="B110" s="30" t="str">
        <f>'RESUMEN VIGILANCIA'!B110</f>
        <v>Calle Güigüe Nro. 89-16</v>
      </c>
      <c r="C110" s="179">
        <f>SUMIFS(Vigilancia!$E:$E,Vigilancia!$F:$F,$A110,Vigilancia!$J:$J,C$1)</f>
        <v>0.05</v>
      </c>
      <c r="D110" s="179">
        <f>SUMIFS(Vigilancia!$E:$E,Vigilancia!$F:$F,$A110,Vigilancia!$J:$J,D$1)</f>
        <v>0</v>
      </c>
      <c r="E110" s="302">
        <f>SUMIFS(Vigilancia!$E:$E,Vigilancia!$F:$F,$A110,Vigilancia!$J:$J,E$1)</f>
        <v>12.2</v>
      </c>
      <c r="F110" s="302">
        <f>SUMIFS(Vigilancia!$E:$E,Vigilancia!$F:$F,$A110,Vigilancia!$J:$J,F$1)</f>
        <v>0</v>
      </c>
      <c r="G110" s="179">
        <f>SUMIFS(Vigilancia!$E:$E,Vigilancia!$F:$F,$A110,Vigilancia!$J:$J,G$1)</f>
        <v>0</v>
      </c>
      <c r="H110" s="179">
        <f>SUMIFS(Vigilancia!$E:$E,Vigilancia!$F:$F,$A110,Vigilancia!$J:$J,H$1)</f>
        <v>0</v>
      </c>
      <c r="I110" s="179">
        <f>SUMIFS(Vigilancia!$E:$E,Vigilancia!$F:$F,$A110,Vigilancia!$J:$J,I$1)</f>
        <v>0</v>
      </c>
      <c r="J110" s="179">
        <f>SUMIFS(Vigilancia!$E:$E,Vigilancia!$F:$F,$A110,Vigilancia!$J:$J,J$1)</f>
        <v>0</v>
      </c>
      <c r="K110" s="179">
        <f>SUMIFS(Vigilancia!$E:$E,Vigilancia!$F:$F,$A110,Vigilancia!$J:$J,K$1)</f>
        <v>0</v>
      </c>
      <c r="L110" s="179">
        <f>SUMIFS(Vigilancia!$E:$E,Vigilancia!$F:$F,$A110,Vigilancia!$J:$J,L$1)</f>
        <v>0</v>
      </c>
      <c r="M110" s="120"/>
    </row>
    <row r="111" spans="1:13">
      <c r="A111" s="29" t="str">
        <f>'RESUMEN VIGILANCIA'!A111</f>
        <v>Mibzar Cárdenas</v>
      </c>
      <c r="B111" s="30" t="str">
        <f>'RESUMEN VIGILANCIA'!B111</f>
        <v>Calle Güigüe Nro. 89-16</v>
      </c>
      <c r="C111" s="179"/>
      <c r="D111" s="179">
        <f>SUMIFS(Vigilancia!$E:$E,Vigilancia!$F:$F,$A111,Vigilancia!$J:$J,D$1)</f>
        <v>0</v>
      </c>
      <c r="E111" s="302">
        <f>SUMIFS(Vigilancia!$E:$E,Vigilancia!$F:$F,$A111,Vigilancia!$J:$J,E$1)</f>
        <v>0</v>
      </c>
      <c r="F111" s="302">
        <f>SUMIFS(Vigilancia!$E:$E,Vigilancia!$F:$F,$A111,Vigilancia!$J:$J,F$1)</f>
        <v>0</v>
      </c>
      <c r="G111" s="179">
        <f>SUMIFS(Vigilancia!$E:$E,Vigilancia!$F:$F,$A111,Vigilancia!$J:$J,G$1)</f>
        <v>0</v>
      </c>
      <c r="H111" s="179">
        <f>SUMIFS(Vigilancia!$E:$E,Vigilancia!$F:$F,$A111,Vigilancia!$J:$J,H$1)</f>
        <v>0</v>
      </c>
      <c r="I111" s="179">
        <f>SUMIFS(Vigilancia!$E:$E,Vigilancia!$F:$F,$A111,Vigilancia!$J:$J,I$1)</f>
        <v>0</v>
      </c>
      <c r="J111" s="179">
        <f>SUMIFS(Vigilancia!$E:$E,Vigilancia!$F:$F,$A111,Vigilancia!$J:$J,J$1)</f>
        <v>0</v>
      </c>
      <c r="K111" s="179">
        <f>SUMIFS(Vigilancia!$E:$E,Vigilancia!$F:$F,$A111,Vigilancia!$J:$J,K$1)</f>
        <v>0</v>
      </c>
      <c r="L111" s="179">
        <f>SUMIFS(Vigilancia!$E:$E,Vigilancia!$F:$F,$A111,Vigilancia!$J:$J,L$1)</f>
        <v>0</v>
      </c>
      <c r="M111" s="122"/>
    </row>
    <row r="112" spans="1:13">
      <c r="A112" s="29" t="str">
        <f>'RESUMEN VIGILANCIA'!A112</f>
        <v>Familia Piñero Padilla</v>
      </c>
      <c r="B112" s="30" t="str">
        <f>'RESUMEN VIGILANCIA'!B112</f>
        <v>Calle Güigüe Nro. 89-21</v>
      </c>
      <c r="C112" s="179">
        <f>SUMIFS(Vigilancia!$E:$E,Vigilancia!$F:$F,$A112,Vigilancia!$J:$J,C$1)</f>
        <v>7.0000000000000007E-2</v>
      </c>
      <c r="D112" s="179">
        <f>SUMIFS(Vigilancia!$E:$E,Vigilancia!$F:$F,$A112,Vigilancia!$J:$J,D$1)</f>
        <v>3.5</v>
      </c>
      <c r="E112" s="302">
        <f>SUMIFS(Vigilancia!$E:$E,Vigilancia!$F:$F,$A112,Vigilancia!$J:$J,E$1)</f>
        <v>12.2</v>
      </c>
      <c r="F112" s="302">
        <f>SUMIFS(Vigilancia!$E:$E,Vigilancia!$F:$F,$A112,Vigilancia!$J:$J,F$1)</f>
        <v>10</v>
      </c>
      <c r="G112" s="179">
        <f>SUMIFS(Vigilancia!$E:$E,Vigilancia!$F:$F,$A112,Vigilancia!$J:$J,G$1)</f>
        <v>50000</v>
      </c>
      <c r="H112" s="179">
        <f>SUMIFS(Vigilancia!$E:$E,Vigilancia!$F:$F,$A112,Vigilancia!$J:$J,H$1)</f>
        <v>0</v>
      </c>
      <c r="I112" s="179">
        <f>SUMIFS(Vigilancia!$E:$E,Vigilancia!$F:$F,$A112,Vigilancia!$J:$J,I$1)</f>
        <v>0</v>
      </c>
      <c r="J112" s="179">
        <f>SUMIFS(Vigilancia!$E:$E,Vigilancia!$F:$F,$A112,Vigilancia!$J:$J,J$1)</f>
        <v>0</v>
      </c>
      <c r="K112" s="179">
        <f>SUMIFS(Vigilancia!$E:$E,Vigilancia!$F:$F,$A112,Vigilancia!$J:$J,K$1)</f>
        <v>0</v>
      </c>
      <c r="L112" s="179">
        <f>SUMIFS(Vigilancia!$E:$E,Vigilancia!$F:$F,$A112,Vigilancia!$J:$J,L$1)</f>
        <v>0</v>
      </c>
    </row>
    <row r="113" spans="1:13">
      <c r="A113" s="57" t="str">
        <f>'RESUMEN VIGILANCIA'!A113</f>
        <v>Familia Navarrete Medina</v>
      </c>
      <c r="B113" s="58" t="str">
        <f>'RESUMEN VIGILANCIA'!B113</f>
        <v>Calle Güigüe Nro. 89-22</v>
      </c>
      <c r="C113" s="211">
        <f>SUMIFS(Vigilancia!$E:$E,Vigilancia!$F:$F,$A113,Vigilancia!$J:$J,C$1)</f>
        <v>0</v>
      </c>
      <c r="D113" s="211">
        <f>SUMIFS(Vigilancia!$E:$E,Vigilancia!$F:$F,$A113,Vigilancia!$J:$J,D$1)</f>
        <v>0</v>
      </c>
      <c r="E113" s="211">
        <f>SUMIFS(Vigilancia!$E:$E,Vigilancia!$F:$F,$A113,Vigilancia!$J:$J,E$1)</f>
        <v>0</v>
      </c>
      <c r="F113" s="211">
        <f>SUMIFS(Vigilancia!$E:$E,Vigilancia!$F:$F,$A113,Vigilancia!$J:$J,F$1)</f>
        <v>10</v>
      </c>
      <c r="G113" s="303">
        <f>SUMIFS(Vigilancia!$E:$E,Vigilancia!$F:$F,$A113,Vigilancia!$J:$J,G$1)</f>
        <v>0</v>
      </c>
      <c r="H113" s="303">
        <f>SUMIFS(Vigilancia!$E:$E,Vigilancia!$F:$F,$A113,Vigilancia!$J:$J,H$1)</f>
        <v>0</v>
      </c>
      <c r="I113" s="211">
        <f>SUMIFS(Vigilancia!$E:$E,Vigilancia!$F:$F,$A113,Vigilancia!$J:$J,I$1)</f>
        <v>0</v>
      </c>
      <c r="J113" s="211">
        <f>SUMIFS(Vigilancia!$E:$E,Vigilancia!$F:$F,$A113,Vigilancia!$J:$J,J$1)</f>
        <v>0</v>
      </c>
      <c r="K113" s="211">
        <f>SUMIFS(Vigilancia!$E:$E,Vigilancia!$F:$F,$A113,Vigilancia!$J:$J,K$1)</f>
        <v>0</v>
      </c>
      <c r="L113" s="211">
        <f>SUMIFS(Vigilancia!$E:$E,Vigilancia!$F:$F,$A113,Vigilancia!$J:$J,L$1)</f>
        <v>0</v>
      </c>
      <c r="M113" s="120"/>
    </row>
    <row r="114" spans="1:13">
      <c r="A114" s="29" t="str">
        <f>'RESUMEN VIGILANCIA'!A114</f>
        <v>Familia Rodríguez Girón</v>
      </c>
      <c r="B114" s="30" t="str">
        <f>'RESUMEN VIGILANCIA'!B114</f>
        <v>Calle Güigüe Nro. 89-22</v>
      </c>
      <c r="C114" s="179">
        <f>SUMIFS(Vigilancia!$E:$E,Vigilancia!$F:$F,$A114,Vigilancia!$J:$J,C$1)</f>
        <v>0</v>
      </c>
      <c r="D114" s="179">
        <f>SUMIFS(Vigilancia!$E:$E,Vigilancia!$F:$F,$A114,Vigilancia!$J:$J,D$1)</f>
        <v>0</v>
      </c>
      <c r="E114" s="302">
        <f>SUMIFS(Vigilancia!$E:$E,Vigilancia!$F:$F,$A114,Vigilancia!$J:$J,E$1)</f>
        <v>0</v>
      </c>
      <c r="F114" s="302">
        <f>SUMIFS(Vigilancia!$E:$E,Vigilancia!$F:$F,$A114,Vigilancia!$J:$J,F$1)</f>
        <v>0</v>
      </c>
      <c r="G114" s="179">
        <f>SUMIFS(Vigilancia!$E:$E,Vigilancia!$F:$F,$A114,Vigilancia!$J:$J,G$1)</f>
        <v>50000</v>
      </c>
      <c r="H114" s="179">
        <f>SUMIFS(Vigilancia!$E:$E,Vigilancia!$F:$F,$A114,Vigilancia!$J:$J,H$1)</f>
        <v>0</v>
      </c>
      <c r="I114" s="179">
        <f>SUMIFS(Vigilancia!$E:$E,Vigilancia!$F:$F,$A114,Vigilancia!$J:$J,I$1)</f>
        <v>0</v>
      </c>
      <c r="J114" s="179">
        <f>SUMIFS(Vigilancia!$E:$E,Vigilancia!$F:$F,$A114,Vigilancia!$J:$J,J$1)</f>
        <v>0</v>
      </c>
      <c r="K114" s="179">
        <f>SUMIFS(Vigilancia!$E:$E,Vigilancia!$F:$F,$A114,Vigilancia!$J:$J,K$1)</f>
        <v>0</v>
      </c>
      <c r="L114" s="179">
        <f>SUMIFS(Vigilancia!$E:$E,Vigilancia!$F:$F,$A114,Vigilancia!$J:$J,L$1)</f>
        <v>0</v>
      </c>
      <c r="M114" s="122"/>
    </row>
    <row r="115" spans="1:13">
      <c r="A115" s="29" t="str">
        <f>'RESUMEN VIGILANCIA'!A115</f>
        <v>Familia Rodríguez Landaeta</v>
      </c>
      <c r="B115" s="30" t="str">
        <f>'RESUMEN VIGILANCIA'!B115</f>
        <v>Calle Güigüe Nro. 89-29</v>
      </c>
      <c r="C115" s="179">
        <f>SUMIFS(Vigilancia!$E:$E,Vigilancia!$F:$F,$A115,Vigilancia!$J:$J,C$1)</f>
        <v>0</v>
      </c>
      <c r="D115" s="179">
        <f>SUMIFS(Vigilancia!$E:$E,Vigilancia!$F:$F,$A115,Vigilancia!$J:$J,D$1)</f>
        <v>0</v>
      </c>
      <c r="E115" s="302">
        <f>SUMIFS(Vigilancia!$E:$E,Vigilancia!$F:$F,$A115,Vigilancia!$J:$J,E$1)</f>
        <v>0</v>
      </c>
      <c r="F115" s="302">
        <f>SUMIFS(Vigilancia!$E:$E,Vigilancia!$F:$F,$A115,Vigilancia!$J:$J,F$1)</f>
        <v>0</v>
      </c>
      <c r="G115" s="179">
        <f>SUMIFS(Vigilancia!$E:$E,Vigilancia!$F:$F,$A115,Vigilancia!$J:$J,G$1)</f>
        <v>0</v>
      </c>
      <c r="H115" s="179">
        <f>SUMIFS(Vigilancia!$E:$E,Vigilancia!$F:$F,$A115,Vigilancia!$J:$J,H$1)</f>
        <v>0</v>
      </c>
      <c r="I115" s="179">
        <f>SUMIFS(Vigilancia!$E:$E,Vigilancia!$F:$F,$A115,Vigilancia!$J:$J,I$1)</f>
        <v>0</v>
      </c>
      <c r="J115" s="179">
        <f>SUMIFS(Vigilancia!$E:$E,Vigilancia!$F:$F,$A115,Vigilancia!$J:$J,J$1)</f>
        <v>0</v>
      </c>
      <c r="K115" s="179">
        <f>SUMIFS(Vigilancia!$E:$E,Vigilancia!$F:$F,$A115,Vigilancia!$J:$J,K$1)</f>
        <v>0</v>
      </c>
      <c r="L115" s="179">
        <f>SUMIFS(Vigilancia!$E:$E,Vigilancia!$F:$F,$A115,Vigilancia!$J:$J,L$1)</f>
        <v>0</v>
      </c>
    </row>
    <row r="116" spans="1:13">
      <c r="A116" s="29" t="str">
        <f>'RESUMEN VIGILANCIA'!A116</f>
        <v>Familia Molina Estopiñán</v>
      </c>
      <c r="B116" s="30" t="str">
        <f>'RESUMEN VIGILANCIA'!B116</f>
        <v>Calle Güigüe Nro. 89-30</v>
      </c>
      <c r="C116" s="179">
        <f>SUMIFS(Vigilancia!$E:$E,Vigilancia!$F:$F,$A116,Vigilancia!$J:$J,C$1)</f>
        <v>0.05</v>
      </c>
      <c r="D116" s="179">
        <f>SUMIFS(Vigilancia!$E:$E,Vigilancia!$F:$F,$A116,Vigilancia!$J:$J,D$1)</f>
        <v>0</v>
      </c>
      <c r="E116" s="302">
        <f>SUMIFS(Vigilancia!$E:$E,Vigilancia!$F:$F,$A116,Vigilancia!$J:$J,E$1)</f>
        <v>0</v>
      </c>
      <c r="F116" s="302">
        <f>SUMIFS(Vigilancia!$E:$E,Vigilancia!$F:$F,$A116,Vigilancia!$J:$J,F$1)</f>
        <v>0</v>
      </c>
      <c r="G116" s="179">
        <f>SUMIFS(Vigilancia!$E:$E,Vigilancia!$F:$F,$A116,Vigilancia!$J:$J,G$1)</f>
        <v>0</v>
      </c>
      <c r="H116" s="179">
        <f>SUMIFS(Vigilancia!$E:$E,Vigilancia!$F:$F,$A116,Vigilancia!$J:$J,H$1)</f>
        <v>0</v>
      </c>
      <c r="I116" s="179">
        <f>SUMIFS(Vigilancia!$E:$E,Vigilancia!$F:$F,$A116,Vigilancia!$J:$J,I$1)</f>
        <v>0</v>
      </c>
      <c r="J116" s="179">
        <f>SUMIFS(Vigilancia!$E:$E,Vigilancia!$F:$F,$A116,Vigilancia!$J:$J,J$1)</f>
        <v>0</v>
      </c>
      <c r="K116" s="179">
        <f>SUMIFS(Vigilancia!$E:$E,Vigilancia!$F:$F,$A116,Vigilancia!$J:$J,K$1)</f>
        <v>0</v>
      </c>
      <c r="L116" s="179">
        <f>SUMIFS(Vigilancia!$E:$E,Vigilancia!$F:$F,$A116,Vigilancia!$J:$J,L$1)</f>
        <v>0</v>
      </c>
    </row>
    <row r="117" spans="1:13">
      <c r="A117" s="29" t="str">
        <f>'RESUMEN VIGILANCIA'!A117</f>
        <v>Familia Sirit Palencia</v>
      </c>
      <c r="B117" s="30" t="str">
        <f>'RESUMEN VIGILANCIA'!B117</f>
        <v>Calle Güigüe Nro. 89-35</v>
      </c>
      <c r="C117" s="179">
        <f>SUMIFS(Vigilancia!$E:$E,Vigilancia!$F:$F,$A117,Vigilancia!$J:$J,C$1)</f>
        <v>7.0000000000000007E-2</v>
      </c>
      <c r="D117" s="179">
        <f>SUMIFS(Vigilancia!$E:$E,Vigilancia!$F:$F,$A117,Vigilancia!$J:$J,D$1)</f>
        <v>0</v>
      </c>
      <c r="E117" s="302">
        <f>SUMIFS(Vigilancia!$E:$E,Vigilancia!$F:$F,$A117,Vigilancia!$J:$J,E$1)</f>
        <v>0</v>
      </c>
      <c r="F117" s="302">
        <f>SUMIFS(Vigilancia!$E:$E,Vigilancia!$F:$F,$A117,Vigilancia!$J:$J,F$1)</f>
        <v>0</v>
      </c>
      <c r="G117" s="179">
        <f>SUMIFS(Vigilancia!$E:$E,Vigilancia!$F:$F,$A117,Vigilancia!$J:$J,G$1)</f>
        <v>50000</v>
      </c>
      <c r="H117" s="179">
        <f>SUMIFS(Vigilancia!$E:$E,Vigilancia!$F:$F,$A117,Vigilancia!$J:$J,H$1)</f>
        <v>0</v>
      </c>
      <c r="I117" s="179">
        <f>SUMIFS(Vigilancia!$E:$E,Vigilancia!$F:$F,$A117,Vigilancia!$J:$J,I$1)</f>
        <v>0</v>
      </c>
      <c r="J117" s="179">
        <f>SUMIFS(Vigilancia!$E:$E,Vigilancia!$F:$F,$A117,Vigilancia!$J:$J,J$1)</f>
        <v>0</v>
      </c>
      <c r="K117" s="179">
        <f>SUMIFS(Vigilancia!$E:$E,Vigilancia!$F:$F,$A117,Vigilancia!$J:$J,K$1)</f>
        <v>0</v>
      </c>
      <c r="L117" s="179">
        <f>SUMIFS(Vigilancia!$E:$E,Vigilancia!$F:$F,$A117,Vigilancia!$J:$J,L$1)</f>
        <v>0</v>
      </c>
    </row>
    <row r="118" spans="1:13">
      <c r="A118" s="29" t="str">
        <f>'RESUMEN VIGILANCIA'!A118</f>
        <v>Familia Guerra Miret</v>
      </c>
      <c r="B118" s="30" t="str">
        <f>'RESUMEN VIGILANCIA'!B118</f>
        <v>Calle Güigüe Nro. 89-40</v>
      </c>
      <c r="C118" s="179">
        <f>SUMIFS(Vigilancia!$E:$E,Vigilancia!$F:$F,$A118,Vigilancia!$J:$J,C$1)</f>
        <v>7.0000000000000007E-2</v>
      </c>
      <c r="D118" s="179">
        <f>SUMIFS(Vigilancia!$E:$E,Vigilancia!$F:$F,$A118,Vigilancia!$J:$J,D$1)</f>
        <v>0</v>
      </c>
      <c r="E118" s="302">
        <f>SUMIFS(Vigilancia!$E:$E,Vigilancia!$F:$F,$A118,Vigilancia!$J:$J,E$1)</f>
        <v>12.2</v>
      </c>
      <c r="F118" s="302">
        <f>SUMIFS(Vigilancia!$E:$E,Vigilancia!$F:$F,$A118,Vigilancia!$J:$J,F$1)</f>
        <v>0</v>
      </c>
      <c r="G118" s="179">
        <f>SUMIFS(Vigilancia!$E:$E,Vigilancia!$F:$F,$A118,Vigilancia!$J:$J,G$1)</f>
        <v>50000</v>
      </c>
      <c r="H118" s="179">
        <f>SUMIFS(Vigilancia!$E:$E,Vigilancia!$F:$F,$A118,Vigilancia!$J:$J,H$1)</f>
        <v>0</v>
      </c>
      <c r="I118" s="179">
        <f>SUMIFS(Vigilancia!$E:$E,Vigilancia!$F:$F,$A118,Vigilancia!$J:$J,I$1)</f>
        <v>0</v>
      </c>
      <c r="J118" s="179">
        <f>SUMIFS(Vigilancia!$E:$E,Vigilancia!$F:$F,$A118,Vigilancia!$J:$J,J$1)</f>
        <v>0</v>
      </c>
      <c r="K118" s="179">
        <f>SUMIFS(Vigilancia!$E:$E,Vigilancia!$F:$F,$A118,Vigilancia!$J:$J,K$1)</f>
        <v>0</v>
      </c>
      <c r="L118" s="179">
        <f>SUMIFS(Vigilancia!$E:$E,Vigilancia!$F:$F,$A118,Vigilancia!$J:$J,L$1)</f>
        <v>0</v>
      </c>
    </row>
    <row r="119" spans="1:13">
      <c r="A119" s="29" t="str">
        <f>'RESUMEN VIGILANCIA'!A119</f>
        <v>Familia Jiménez Salvatierra</v>
      </c>
      <c r="B119" s="30" t="str">
        <f>'RESUMEN VIGILANCIA'!B119</f>
        <v>Calle Güigüe Nro. 89-45</v>
      </c>
      <c r="C119" s="179">
        <f>SUMIFS(Vigilancia!$E:$E,Vigilancia!$F:$F,$A119,Vigilancia!$J:$J,C$1)</f>
        <v>0</v>
      </c>
      <c r="D119" s="179">
        <f>SUMIFS(Vigilancia!$E:$E,Vigilancia!$F:$F,$A119,Vigilancia!$J:$J,D$1)</f>
        <v>3.5</v>
      </c>
      <c r="E119" s="302">
        <f>SUMIFS(Vigilancia!$E:$E,Vigilancia!$F:$F,$A119,Vigilancia!$J:$J,E$1)</f>
        <v>12.2</v>
      </c>
      <c r="F119" s="302">
        <f>SUMIFS(Vigilancia!$E:$E,Vigilancia!$F:$F,$A119,Vigilancia!$J:$J,F$1)</f>
        <v>0</v>
      </c>
      <c r="G119" s="179">
        <f>SUMIFS(Vigilancia!$E:$E,Vigilancia!$F:$F,$A119,Vigilancia!$J:$J,G$1)</f>
        <v>0</v>
      </c>
      <c r="H119" s="179">
        <f>SUMIFS(Vigilancia!$E:$E,Vigilancia!$F:$F,$A119,Vigilancia!$J:$J,H$1)</f>
        <v>0</v>
      </c>
      <c r="I119" s="179">
        <f>SUMIFS(Vigilancia!$E:$E,Vigilancia!$F:$F,$A119,Vigilancia!$J:$J,I$1)</f>
        <v>0</v>
      </c>
      <c r="J119" s="179">
        <f>SUMIFS(Vigilancia!$E:$E,Vigilancia!$F:$F,$A119,Vigilancia!$J:$J,J$1)</f>
        <v>0</v>
      </c>
      <c r="K119" s="179">
        <f>SUMIFS(Vigilancia!$E:$E,Vigilancia!$F:$F,$A119,Vigilancia!$J:$J,K$1)</f>
        <v>0</v>
      </c>
      <c r="L119" s="179">
        <f>SUMIFS(Vigilancia!$E:$E,Vigilancia!$F:$F,$A119,Vigilancia!$J:$J,L$1)</f>
        <v>0</v>
      </c>
    </row>
    <row r="120" spans="1:13">
      <c r="A120" s="29" t="str">
        <f>'RESUMEN VIGILANCIA'!A120</f>
        <v>Familia Alonso Rojas</v>
      </c>
      <c r="B120" s="30" t="str">
        <f>'RESUMEN VIGILANCIA'!B120</f>
        <v>Calle Güigüe Nro. 89-54</v>
      </c>
      <c r="C120" s="179">
        <f>SUMIFS(Vigilancia!$E:$E,Vigilancia!$F:$F,$A120,Vigilancia!$J:$J,C$1)</f>
        <v>0</v>
      </c>
      <c r="D120" s="179">
        <f>SUMIFS(Vigilancia!$E:$E,Vigilancia!$F:$F,$A120,Vigilancia!$J:$J,D$1)</f>
        <v>4.0999999999999996</v>
      </c>
      <c r="E120" s="302">
        <f>SUMIFS(Vigilancia!$E:$E,Vigilancia!$F:$F,$A120,Vigilancia!$J:$J,E$1)</f>
        <v>12.2</v>
      </c>
      <c r="F120" s="302">
        <f>SUMIFS(Vigilancia!$E:$E,Vigilancia!$F:$F,$A120,Vigilancia!$J:$J,F$1)</f>
        <v>50</v>
      </c>
      <c r="G120" s="179">
        <f>SUMIFS(Vigilancia!$E:$E,Vigilancia!$F:$F,$A120,Vigilancia!$J:$J,G$1)</f>
        <v>100000</v>
      </c>
      <c r="H120" s="179">
        <f>SUMIFS(Vigilancia!$E:$E,Vigilancia!$F:$F,$A120,Vigilancia!$J:$J,H$1)</f>
        <v>0</v>
      </c>
      <c r="I120" s="179">
        <f>SUMIFS(Vigilancia!$E:$E,Vigilancia!$F:$F,$A120,Vigilancia!$J:$J,I$1)</f>
        <v>0</v>
      </c>
      <c r="J120" s="179">
        <f>SUMIFS(Vigilancia!$E:$E,Vigilancia!$F:$F,$A120,Vigilancia!$J:$J,J$1)</f>
        <v>0</v>
      </c>
      <c r="K120" s="179">
        <f>SUMIFS(Vigilancia!$E:$E,Vigilancia!$F:$F,$A120,Vigilancia!$J:$J,K$1)</f>
        <v>0</v>
      </c>
      <c r="L120" s="179">
        <f>SUMIFS(Vigilancia!$E:$E,Vigilancia!$F:$F,$A120,Vigilancia!$J:$J,L$1)</f>
        <v>0</v>
      </c>
    </row>
    <row r="121" spans="1:13">
      <c r="A121" s="29" t="str">
        <f>'RESUMEN VIGILANCIA'!A121</f>
        <v>Familia Fermín Rivas</v>
      </c>
      <c r="B121" s="30" t="str">
        <f>'RESUMEN VIGILANCIA'!B121</f>
        <v>Calle Güigüe Nro. 89-55</v>
      </c>
      <c r="C121" s="179">
        <f>SUMIFS(Vigilancia!$E:$E,Vigilancia!$F:$F,$A121,Vigilancia!$J:$J,C$1)</f>
        <v>7.0000000000000007E-2</v>
      </c>
      <c r="D121" s="179">
        <f>SUMIFS(Vigilancia!$E:$E,Vigilancia!$F:$F,$A121,Vigilancia!$J:$J,D$1)</f>
        <v>3.5</v>
      </c>
      <c r="E121" s="302">
        <f>SUMIFS(Vigilancia!$E:$E,Vigilancia!$F:$F,$A121,Vigilancia!$J:$J,E$1)</f>
        <v>12.2</v>
      </c>
      <c r="F121" s="302">
        <f>SUMIFS(Vigilancia!$E:$E,Vigilancia!$F:$F,$A121,Vigilancia!$J:$J,F$1)</f>
        <v>10</v>
      </c>
      <c r="G121" s="179">
        <f>SUMIFS(Vigilancia!$E:$E,Vigilancia!$F:$F,$A121,Vigilancia!$J:$J,G$1)</f>
        <v>50000</v>
      </c>
      <c r="H121" s="179">
        <f>SUMIFS(Vigilancia!$E:$E,Vigilancia!$F:$F,$A121,Vigilancia!$J:$J,H$1)</f>
        <v>0</v>
      </c>
      <c r="I121" s="179">
        <f>SUMIFS(Vigilancia!$E:$E,Vigilancia!$F:$F,$A121,Vigilancia!$J:$J,I$1)</f>
        <v>0</v>
      </c>
      <c r="J121" s="179">
        <f>SUMIFS(Vigilancia!$E:$E,Vigilancia!$F:$F,$A121,Vigilancia!$J:$J,J$1)</f>
        <v>0</v>
      </c>
      <c r="K121" s="179">
        <f>SUMIFS(Vigilancia!$E:$E,Vigilancia!$F:$F,$A121,Vigilancia!$J:$J,K$1)</f>
        <v>0</v>
      </c>
      <c r="L121" s="179">
        <f>SUMIFS(Vigilancia!$E:$E,Vigilancia!$F:$F,$A121,Vigilancia!$J:$J,L$1)</f>
        <v>0</v>
      </c>
    </row>
    <row r="122" spans="1:13">
      <c r="A122" s="29" t="str">
        <f>'RESUMEN VIGILANCIA'!A122</f>
        <v>Familia Blonval Hernández</v>
      </c>
      <c r="B122" s="30" t="str">
        <f>'RESUMEN VIGILANCIA'!B122</f>
        <v>Calle Güigüe Nro. 89-64</v>
      </c>
      <c r="C122" s="179">
        <f>SUMIFS(Vigilancia!$E:$E,Vigilancia!$F:$F,$A122,Vigilancia!$J:$J,C$1)</f>
        <v>0</v>
      </c>
      <c r="D122" s="179">
        <f>SUMIFS(Vigilancia!$E:$E,Vigilancia!$F:$F,$A122,Vigilancia!$J:$J,D$1)</f>
        <v>0</v>
      </c>
      <c r="E122" s="179">
        <f>SUMIFS(Vigilancia!$E:$E,Vigilancia!$F:$F,$A122,Vigilancia!$J:$J,E$1)</f>
        <v>0</v>
      </c>
      <c r="F122" s="179">
        <f>SUMIFS(Vigilancia!$E:$E,Vigilancia!$F:$F,$A122,Vigilancia!$J:$J,F$1)</f>
        <v>0</v>
      </c>
      <c r="G122" s="179">
        <f>SUMIFS(Vigilancia!$E:$E,Vigilancia!$F:$F,$A122,Vigilancia!$J:$J,G$1)</f>
        <v>0</v>
      </c>
      <c r="H122" s="179">
        <f>SUMIFS(Vigilancia!$E:$E,Vigilancia!$F:$F,$A122,Vigilancia!$J:$J,H$1)</f>
        <v>0</v>
      </c>
      <c r="I122" s="179">
        <f>SUMIFS(Vigilancia!$E:$E,Vigilancia!$F:$F,$A122,Vigilancia!$J:$J,I$1)</f>
        <v>0</v>
      </c>
      <c r="J122" s="179">
        <f>SUMIFS(Vigilancia!$E:$E,Vigilancia!$F:$F,$A122,Vigilancia!$J:$J,J$1)</f>
        <v>0</v>
      </c>
      <c r="K122" s="179">
        <f>SUMIFS(Vigilancia!$E:$E,Vigilancia!$F:$F,$A122,Vigilancia!$J:$J,K$1)</f>
        <v>0</v>
      </c>
      <c r="L122" s="179">
        <f>SUMIFS(Vigilancia!$E:$E,Vigilancia!$F:$F,$A122,Vigilancia!$J:$J,L$1)</f>
        <v>0</v>
      </c>
    </row>
    <row r="123" spans="1:13">
      <c r="A123" s="29" t="str">
        <f>'RESUMEN VIGILANCIA'!A123</f>
        <v>Familia Milanés Carmona</v>
      </c>
      <c r="B123" s="30" t="str">
        <f>'RESUMEN VIGILANCIA'!B123</f>
        <v>Calle Güigüe Nro. 89-65</v>
      </c>
      <c r="C123" s="179">
        <f>SUMIFS(Vigilancia!$E:$E,Vigilancia!$F:$F,$A123,Vigilancia!$J:$J,C$1)</f>
        <v>0.04</v>
      </c>
      <c r="D123" s="179">
        <f>SUMIFS(Vigilancia!$E:$E,Vigilancia!$F:$F,$A123,Vigilancia!$J:$J,D$1)</f>
        <v>0</v>
      </c>
      <c r="E123" s="179">
        <f>SUMIFS(Vigilancia!$E:$E,Vigilancia!$F:$F,$A123,Vigilancia!$J:$J,E$1)</f>
        <v>0</v>
      </c>
      <c r="F123" s="179">
        <f>SUMIFS(Vigilancia!$E:$E,Vigilancia!$F:$F,$A123,Vigilancia!$J:$J,F$1)</f>
        <v>0</v>
      </c>
      <c r="G123" s="179">
        <f>SUMIFS(Vigilancia!$E:$E,Vigilancia!$F:$F,$A123,Vigilancia!$J:$J,G$1)</f>
        <v>50000</v>
      </c>
      <c r="H123" s="179">
        <f>SUMIFS(Vigilancia!$E:$E,Vigilancia!$F:$F,$A123,Vigilancia!$J:$J,H$1)</f>
        <v>0</v>
      </c>
      <c r="I123" s="179">
        <f>SUMIFS(Vigilancia!$E:$E,Vigilancia!$F:$F,$A123,Vigilancia!$J:$J,I$1)</f>
        <v>0</v>
      </c>
      <c r="J123" s="179">
        <f>SUMIFS(Vigilancia!$E:$E,Vigilancia!$F:$F,$A123,Vigilancia!$J:$J,J$1)</f>
        <v>0</v>
      </c>
      <c r="K123" s="179">
        <f>SUMIFS(Vigilancia!$E:$E,Vigilancia!$F:$F,$A123,Vigilancia!$J:$J,K$1)</f>
        <v>0</v>
      </c>
      <c r="L123" s="179">
        <f>SUMIFS(Vigilancia!$E:$E,Vigilancia!$F:$F,$A123,Vigilancia!$J:$J,L$1)</f>
        <v>0</v>
      </c>
    </row>
    <row r="124" spans="1:13">
      <c r="A124" s="29" t="str">
        <f>'RESUMEN VIGILANCIA'!A124</f>
        <v>Familia Medina Colina</v>
      </c>
      <c r="B124" s="30" t="str">
        <f>'RESUMEN VIGILANCIA'!B124</f>
        <v>Calle Güigüe Nro. 89-70</v>
      </c>
      <c r="C124" s="179">
        <f>SUMIFS(Vigilancia!$E:$E,Vigilancia!$F:$F,$A124,Vigilancia!$J:$J,C$1)</f>
        <v>0</v>
      </c>
      <c r="D124" s="179">
        <f>SUMIFS(Vigilancia!$E:$E,Vigilancia!$F:$F,$A124,Vigilancia!$J:$J,D$1)</f>
        <v>0</v>
      </c>
      <c r="E124" s="179">
        <f>SUMIFS(Vigilancia!$E:$E,Vigilancia!$F:$F,$A124,Vigilancia!$J:$J,E$1)</f>
        <v>0</v>
      </c>
      <c r="F124" s="179">
        <f>SUMIFS(Vigilancia!$E:$E,Vigilancia!$F:$F,$A124,Vigilancia!$J:$J,F$1)</f>
        <v>0</v>
      </c>
      <c r="G124" s="179">
        <f>SUMIFS(Vigilancia!$E:$E,Vigilancia!$F:$F,$A124,Vigilancia!$J:$J,G$1)</f>
        <v>0</v>
      </c>
      <c r="H124" s="179">
        <f>SUMIFS(Vigilancia!$E:$E,Vigilancia!$F:$F,$A124,Vigilancia!$J:$J,H$1)</f>
        <v>0</v>
      </c>
      <c r="I124" s="179">
        <f>SUMIFS(Vigilancia!$E:$E,Vigilancia!$F:$F,$A124,Vigilancia!$J:$J,I$1)</f>
        <v>0</v>
      </c>
      <c r="J124" s="179">
        <f>SUMIFS(Vigilancia!$E:$E,Vigilancia!$F:$F,$A124,Vigilancia!$J:$J,J$1)</f>
        <v>0</v>
      </c>
      <c r="K124" s="179">
        <f>SUMIFS(Vigilancia!$E:$E,Vigilancia!$F:$F,$A124,Vigilancia!$J:$J,K$1)</f>
        <v>0</v>
      </c>
      <c r="L124" s="179">
        <f>SUMIFS(Vigilancia!$E:$E,Vigilancia!$F:$F,$A124,Vigilancia!$J:$J,L$1)</f>
        <v>0</v>
      </c>
    </row>
    <row r="125" spans="1:13">
      <c r="A125" s="29" t="str">
        <f>'RESUMEN VIGILANCIA'!A125</f>
        <v>Gloria Molina</v>
      </c>
      <c r="B125" s="30" t="str">
        <f>'RESUMEN VIGILANCIA'!B125</f>
        <v>Calle Güigüe Nro. 89-71</v>
      </c>
      <c r="C125" s="179">
        <f>SUMIFS(Vigilancia!$E:$E,Vigilancia!$F:$F,$A125,Vigilancia!$J:$J,C$1)</f>
        <v>0</v>
      </c>
      <c r="D125" s="179">
        <f>SUMIFS(Vigilancia!$E:$E,Vigilancia!$F:$F,$A125,Vigilancia!$J:$J,D$1)</f>
        <v>3</v>
      </c>
      <c r="E125" s="302">
        <f>SUMIFS(Vigilancia!$E:$E,Vigilancia!$F:$F,$A125,Vigilancia!$J:$J,E$1)</f>
        <v>5</v>
      </c>
      <c r="F125" s="302">
        <f>SUMIFS(Vigilancia!$E:$E,Vigilancia!$F:$F,$A125,Vigilancia!$J:$J,F$1)</f>
        <v>0</v>
      </c>
      <c r="G125" s="179">
        <f>SUMIFS(Vigilancia!$E:$E,Vigilancia!$F:$F,$A125,Vigilancia!$J:$J,G$1)</f>
        <v>50000</v>
      </c>
      <c r="H125" s="179">
        <f>SUMIFS(Vigilancia!$E:$E,Vigilancia!$F:$F,$A125,Vigilancia!$J:$J,H$1)</f>
        <v>0</v>
      </c>
      <c r="I125" s="179">
        <f>SUMIFS(Vigilancia!$E:$E,Vigilancia!$F:$F,$A125,Vigilancia!$J:$J,I$1)</f>
        <v>0</v>
      </c>
      <c r="J125" s="179">
        <f>SUMIFS(Vigilancia!$E:$E,Vigilancia!$F:$F,$A125,Vigilancia!$J:$J,J$1)</f>
        <v>0</v>
      </c>
      <c r="K125" s="179">
        <f>SUMIFS(Vigilancia!$E:$E,Vigilancia!$F:$F,$A125,Vigilancia!$J:$J,K$1)</f>
        <v>0</v>
      </c>
      <c r="L125" s="179">
        <f>SUMIFS(Vigilancia!$E:$E,Vigilancia!$F:$F,$A125,Vigilancia!$J:$J,L$1)</f>
        <v>0</v>
      </c>
    </row>
    <row r="126" spans="1:13">
      <c r="A126" s="29" t="str">
        <f>'RESUMEN VIGILANCIA'!A126</f>
        <v>Familia Gurmeitte</v>
      </c>
      <c r="B126" s="30" t="str">
        <f>'RESUMEN VIGILANCIA'!B126</f>
        <v>Calle Güigüe Nro. 89-74</v>
      </c>
      <c r="C126" s="179">
        <f>SUMIFS(Vigilancia!$E:$E,Vigilancia!$F:$F,$A126,Vigilancia!$J:$J,C$1)</f>
        <v>0</v>
      </c>
      <c r="D126" s="179">
        <f>SUMIFS(Vigilancia!$E:$E,Vigilancia!$F:$F,$A126,Vigilancia!$J:$J,D$1)</f>
        <v>0</v>
      </c>
      <c r="E126" s="302">
        <f>SUMIFS(Vigilancia!$E:$E,Vigilancia!$F:$F,$A126,Vigilancia!$J:$J,E$1)</f>
        <v>0</v>
      </c>
      <c r="F126" s="302">
        <f>SUMIFS(Vigilancia!$E:$E,Vigilancia!$F:$F,$A126,Vigilancia!$J:$J,F$1)</f>
        <v>0</v>
      </c>
      <c r="G126" s="179">
        <f>SUMIFS(Vigilancia!$E:$E,Vigilancia!$F:$F,$A126,Vigilancia!$J:$J,G$1)</f>
        <v>0</v>
      </c>
      <c r="H126" s="179">
        <f>SUMIFS(Vigilancia!$E:$E,Vigilancia!$F:$F,$A126,Vigilancia!$J:$J,H$1)</f>
        <v>0</v>
      </c>
      <c r="I126" s="179">
        <f>SUMIFS(Vigilancia!$E:$E,Vigilancia!$F:$F,$A126,Vigilancia!$J:$J,I$1)</f>
        <v>0</v>
      </c>
      <c r="J126" s="179">
        <f>SUMIFS(Vigilancia!$E:$E,Vigilancia!$F:$F,$A126,Vigilancia!$J:$J,J$1)</f>
        <v>0</v>
      </c>
      <c r="K126" s="179">
        <f>SUMIFS(Vigilancia!$E:$E,Vigilancia!$F:$F,$A126,Vigilancia!$J:$J,K$1)</f>
        <v>0</v>
      </c>
      <c r="L126" s="179">
        <f>SUMIFS(Vigilancia!$E:$E,Vigilancia!$F:$F,$A126,Vigilancia!$J:$J,L$1)</f>
        <v>0</v>
      </c>
    </row>
    <row r="127" spans="1:13">
      <c r="A127" s="29" t="str">
        <f>'RESUMEN VIGILANCIA'!A127</f>
        <v>Familia López Hermoso</v>
      </c>
      <c r="B127" s="30" t="str">
        <f>'RESUMEN VIGILANCIA'!B127</f>
        <v>Calle Güigüe Nro. 89-79</v>
      </c>
      <c r="C127" s="179">
        <f>SUMIFS(Vigilancia!$E:$E,Vigilancia!$F:$F,$A127,Vigilancia!$J:$J,C$1)</f>
        <v>7.0000000000000007E-2</v>
      </c>
      <c r="D127" s="179">
        <f>SUMIFS(Vigilancia!$E:$E,Vigilancia!$F:$F,$A127,Vigilancia!$J:$J,D$1)</f>
        <v>0</v>
      </c>
      <c r="E127" s="302">
        <f>SUMIFS(Vigilancia!$E:$E,Vigilancia!$F:$F,$A127,Vigilancia!$J:$J,E$1)</f>
        <v>12.2</v>
      </c>
      <c r="F127" s="302">
        <f>SUMIFS(Vigilancia!$E:$E,Vigilancia!$F:$F,$A127,Vigilancia!$J:$J,F$1)</f>
        <v>0</v>
      </c>
      <c r="G127" s="179">
        <f>SUMIFS(Vigilancia!$E:$E,Vigilancia!$F:$F,$A127,Vigilancia!$J:$J,G$1)</f>
        <v>50000</v>
      </c>
      <c r="H127" s="179">
        <f>SUMIFS(Vigilancia!$E:$E,Vigilancia!$F:$F,$A127,Vigilancia!$J:$J,H$1)</f>
        <v>0</v>
      </c>
      <c r="I127" s="179">
        <f>SUMIFS(Vigilancia!$E:$E,Vigilancia!$F:$F,$A127,Vigilancia!$J:$J,I$1)</f>
        <v>0</v>
      </c>
      <c r="J127" s="179">
        <f>SUMIFS(Vigilancia!$E:$E,Vigilancia!$F:$F,$A127,Vigilancia!$J:$J,J$1)</f>
        <v>0</v>
      </c>
      <c r="K127" s="179">
        <f>SUMIFS(Vigilancia!$E:$E,Vigilancia!$F:$F,$A127,Vigilancia!$J:$J,K$1)</f>
        <v>0</v>
      </c>
      <c r="L127" s="179">
        <f>SUMIFS(Vigilancia!$E:$E,Vigilancia!$F:$F,$A127,Vigilancia!$J:$J,L$1)</f>
        <v>0</v>
      </c>
    </row>
    <row r="128" spans="1:13">
      <c r="A128" s="29" t="str">
        <f>'RESUMEN VIGILANCIA'!A128</f>
        <v>Familia Kablan Sarmiento</v>
      </c>
      <c r="B128" s="30" t="str">
        <f>'RESUMEN VIGILANCIA'!B128</f>
        <v>Calle Güigüe Nro. 89-80</v>
      </c>
      <c r="C128" s="179">
        <f>SUMIFS(Vigilancia!$E:$E,Vigilancia!$F:$F,$A128,Vigilancia!$J:$J,C$1)</f>
        <v>7.0000000000000007E-2</v>
      </c>
      <c r="D128" s="179">
        <f>SUMIFS(Vigilancia!$E:$E,Vigilancia!$F:$F,$A128,Vigilancia!$J:$J,D$1)</f>
        <v>3.5</v>
      </c>
      <c r="E128" s="302">
        <f>SUMIFS(Vigilancia!$E:$E,Vigilancia!$F:$F,$A128,Vigilancia!$J:$J,E$1)</f>
        <v>12.2</v>
      </c>
      <c r="F128" s="302">
        <f>SUMIFS(Vigilancia!$E:$E,Vigilancia!$F:$F,$A128,Vigilancia!$J:$J,F$1)</f>
        <v>10</v>
      </c>
      <c r="G128" s="179">
        <f>SUMIFS(Vigilancia!$E:$E,Vigilancia!$F:$F,$A128,Vigilancia!$J:$J,G$1)</f>
        <v>50000</v>
      </c>
      <c r="H128" s="179">
        <f>SUMIFS(Vigilancia!$E:$E,Vigilancia!$F:$F,$A128,Vigilancia!$J:$J,H$1)</f>
        <v>0</v>
      </c>
      <c r="I128" s="179">
        <f>SUMIFS(Vigilancia!$E:$E,Vigilancia!$F:$F,$A128,Vigilancia!$J:$J,I$1)</f>
        <v>0</v>
      </c>
      <c r="J128" s="179">
        <f>SUMIFS(Vigilancia!$E:$E,Vigilancia!$F:$F,$A128,Vigilancia!$J:$J,J$1)</f>
        <v>0</v>
      </c>
      <c r="K128" s="179">
        <f>SUMIFS(Vigilancia!$E:$E,Vigilancia!$F:$F,$A128,Vigilancia!$J:$J,K$1)</f>
        <v>0</v>
      </c>
      <c r="L128" s="179">
        <f>SUMIFS(Vigilancia!$E:$E,Vigilancia!$F:$F,$A128,Vigilancia!$J:$J,L$1)</f>
        <v>0</v>
      </c>
    </row>
    <row r="129" spans="1:13">
      <c r="A129" s="64" t="str">
        <f>'RESUMEN VIGILANCIA'!A129</f>
        <v>Familia Ferrer Bahri</v>
      </c>
      <c r="B129" s="62" t="str">
        <f>'RESUMEN VIGILANCIA'!B129</f>
        <v>Calle Güigüe Nro. 89-83</v>
      </c>
      <c r="C129" s="179">
        <f>SUMIFS(Vigilancia!$E:$E,Vigilancia!$F:$F,$A129,Vigilancia!$J:$J,C$1)</f>
        <v>7.0000000000000007E-2</v>
      </c>
      <c r="D129" s="179">
        <f>SUMIFS(Vigilancia!$E:$E,Vigilancia!$F:$F,$A129,Vigilancia!$J:$J,D$1)</f>
        <v>4.0999999999999996</v>
      </c>
      <c r="E129" s="302">
        <f>SUMIFS(Vigilancia!$E:$E,Vigilancia!$F:$F,$A129,Vigilancia!$J:$J,E$1)</f>
        <v>13</v>
      </c>
      <c r="F129" s="302">
        <f>SUMIFS(Vigilancia!$E:$E,Vigilancia!$F:$F,$A129,Vigilancia!$J:$J,F$1)</f>
        <v>10</v>
      </c>
      <c r="G129" s="179">
        <f>SUMIFS(Vigilancia!$E:$E,Vigilancia!$F:$F,$A129,Vigilancia!$J:$J,G$1)</f>
        <v>50000</v>
      </c>
      <c r="H129" s="179">
        <f>SUMIFS(Vigilancia!$E:$E,Vigilancia!$F:$F,$A129,Vigilancia!$J:$J,H$1)</f>
        <v>0</v>
      </c>
      <c r="I129" s="179">
        <f>SUMIFS(Vigilancia!$E:$E,Vigilancia!$F:$F,$A129,Vigilancia!$J:$J,I$1)</f>
        <v>0</v>
      </c>
      <c r="J129" s="179">
        <f>SUMIFS(Vigilancia!$E:$E,Vigilancia!$F:$F,$A129,Vigilancia!$J:$J,J$1)</f>
        <v>0</v>
      </c>
      <c r="K129" s="179">
        <f>SUMIFS(Vigilancia!$E:$E,Vigilancia!$F:$F,$A129,Vigilancia!$J:$J,K$1)</f>
        <v>0</v>
      </c>
      <c r="L129" s="179">
        <f>SUMIFS(Vigilancia!$E:$E,Vigilancia!$F:$F,$A129,Vigilancia!$J:$J,L$1)</f>
        <v>0</v>
      </c>
    </row>
    <row r="130" spans="1:13">
      <c r="A130" s="123" t="str">
        <f>'RESUMEN VIGILANCIA'!A130</f>
        <v>Familia Amirante</v>
      </c>
      <c r="B130" s="124" t="str">
        <f>'RESUMEN VIGILANCIA'!B130</f>
        <v>Calle Güigüe Nro. 89-89</v>
      </c>
      <c r="C130" s="304">
        <f>SUMIFS(Vigilancia!$E:$E,Vigilancia!$F:$F,$A130,Vigilancia!$J:$J,C$1)</f>
        <v>0</v>
      </c>
      <c r="D130" s="304">
        <f>SUMIFS(Vigilancia!$E:$E,Vigilancia!$F:$F,$A130,Vigilancia!$J:$J,D$1)</f>
        <v>0</v>
      </c>
      <c r="E130" s="304">
        <f>SUMIFS(Vigilancia!$E:$E,Vigilancia!$F:$F,$A130,Vigilancia!$J:$J,E$1)</f>
        <v>0</v>
      </c>
      <c r="F130" s="304">
        <f>SUMIFS(Vigilancia!$E:$E,Vigilancia!$F:$F,$A130,Vigilancia!$J:$J,F$1)</f>
        <v>0</v>
      </c>
      <c r="G130" s="305">
        <f>SUMIFS(Vigilancia!$E:$E,Vigilancia!$F:$F,$A130,Vigilancia!$J:$J,G$1)</f>
        <v>0</v>
      </c>
      <c r="H130" s="305">
        <f>SUMIFS(Vigilancia!$E:$E,Vigilancia!$F:$F,$A130,Vigilancia!$J:$J,H$1)</f>
        <v>0</v>
      </c>
      <c r="I130" s="304">
        <f>SUMIFS(Vigilancia!$E:$E,Vigilancia!$F:$F,$A130,Vigilancia!$J:$J,I$1)</f>
        <v>0</v>
      </c>
      <c r="J130" s="304">
        <f>SUMIFS(Vigilancia!$E:$E,Vigilancia!$F:$F,$A130,Vigilancia!$J:$J,J$1)</f>
        <v>0</v>
      </c>
      <c r="K130" s="304">
        <f>SUMIFS(Vigilancia!$E:$E,Vigilancia!$F:$F,$A130,Vigilancia!$J:$J,K$1)</f>
        <v>0</v>
      </c>
      <c r="L130" s="306">
        <f>SUMIFS(Vigilancia!$E:$E,Vigilancia!$F:$F,$A130,Vigilancia!$J:$J,L$1)</f>
        <v>0</v>
      </c>
      <c r="M130" s="120"/>
    </row>
    <row r="131" spans="1:13">
      <c r="A131" s="123" t="str">
        <f>'RESUMEN VIGILANCIA'!A131</f>
        <v>Familia Civitico Rueda</v>
      </c>
      <c r="B131" s="124" t="str">
        <f>'RESUMEN VIGILANCIA'!B131</f>
        <v>Calle Güigüe Nro. 89-89</v>
      </c>
      <c r="C131" s="304">
        <f>SUMIFS(Vigilancia!$E:$E,Vigilancia!$F:$F,$A131,Vigilancia!$J:$J,C$1)</f>
        <v>0</v>
      </c>
      <c r="D131" s="304">
        <f>SUMIFS(Vigilancia!$E:$E,Vigilancia!$F:$F,$A131,Vigilancia!$J:$J,D$1)</f>
        <v>3.5</v>
      </c>
      <c r="E131" s="304">
        <f>SUMIFS(Vigilancia!$E:$E,Vigilancia!$F:$F,$A131,Vigilancia!$J:$J,E$1)</f>
        <v>0</v>
      </c>
      <c r="F131" s="304">
        <f>SUMIFS(Vigilancia!$E:$E,Vigilancia!$F:$F,$A131,Vigilancia!$J:$J,F$1)</f>
        <v>0</v>
      </c>
      <c r="G131" s="305">
        <f>SUMIFS(Vigilancia!$E:$E,Vigilancia!$F:$F,$A131,Vigilancia!$J:$J,G$1)</f>
        <v>0</v>
      </c>
      <c r="H131" s="305">
        <f>SUMIFS(Vigilancia!$E:$E,Vigilancia!$F:$F,$A131,Vigilancia!$J:$J,H$1)</f>
        <v>0</v>
      </c>
      <c r="I131" s="304">
        <f>SUMIFS(Vigilancia!$E:$E,Vigilancia!$F:$F,$A131,Vigilancia!$J:$J,I$1)</f>
        <v>0</v>
      </c>
      <c r="J131" s="304">
        <f>SUMIFS(Vigilancia!$E:$E,Vigilancia!$F:$F,$A131,Vigilancia!$J:$J,J$1)</f>
        <v>0</v>
      </c>
      <c r="K131" s="304">
        <f>SUMIFS(Vigilancia!$E:$E,Vigilancia!$F:$F,$A131,Vigilancia!$J:$J,K$1)</f>
        <v>0</v>
      </c>
      <c r="L131" s="306">
        <f>SUMIFS(Vigilancia!$E:$E,Vigilancia!$F:$F,$A131,Vigilancia!$J:$J,L$1)</f>
        <v>0</v>
      </c>
      <c r="M131" s="121"/>
    </row>
    <row r="132" spans="1:13">
      <c r="A132" s="29" t="str">
        <f>'RESUMEN VIGILANCIA'!A132</f>
        <v>Wilson Escamilla</v>
      </c>
      <c r="B132" s="30" t="str">
        <f>'RESUMEN VIGILANCIA'!B132</f>
        <v>Calle Güigüe Nro. 89-89</v>
      </c>
      <c r="C132" s="179">
        <f>SUMIFS(Vigilancia!$E:$E,Vigilancia!$F:$F,$A132,Vigilancia!$J:$J,C$1)</f>
        <v>0</v>
      </c>
      <c r="D132" s="179">
        <f>SUMIFS(Vigilancia!$E:$E,Vigilancia!$F:$F,$A132,Vigilancia!$J:$J,D$1)</f>
        <v>0</v>
      </c>
      <c r="E132" s="302">
        <f>SUMIFS(Vigilancia!$E:$E,Vigilancia!$F:$F,$A132,Vigilancia!$J:$J,E$1)</f>
        <v>12.2</v>
      </c>
      <c r="F132" s="302">
        <f>SUMIFS(Vigilancia!$E:$E,Vigilancia!$F:$F,$A132,Vigilancia!$J:$J,F$1)</f>
        <v>0</v>
      </c>
      <c r="G132" s="178">
        <f>SUMIFS(Vigilancia!$E:$E,Vigilancia!$F:$F,$A132,Vigilancia!$J:$J,G$1)</f>
        <v>50000</v>
      </c>
      <c r="H132" s="178">
        <f>SUMIFS(Vigilancia!$E:$E,Vigilancia!$F:$F,$A132,Vigilancia!$J:$J,H$1)</f>
        <v>0</v>
      </c>
      <c r="I132" s="179">
        <f>SUMIFS(Vigilancia!$E:$E,Vigilancia!$F:$F,$A132,Vigilancia!$J:$J,I$1)</f>
        <v>0</v>
      </c>
      <c r="J132" s="179">
        <f>SUMIFS(Vigilancia!$E:$E,Vigilancia!$F:$F,$A132,Vigilancia!$J:$J,J$1)</f>
        <v>0</v>
      </c>
      <c r="K132" s="179">
        <f>SUMIFS(Vigilancia!$E:$E,Vigilancia!$F:$F,$A132,Vigilancia!$J:$J,K$1)</f>
        <v>0</v>
      </c>
      <c r="L132" s="182">
        <f>SUMIFS(Vigilancia!$E:$E,Vigilancia!$F:$F,$A132,Vigilancia!$J:$J,L$1)</f>
        <v>0</v>
      </c>
      <c r="M132" s="122"/>
    </row>
    <row r="133" spans="1:13">
      <c r="A133" s="57" t="str">
        <f>'RESUMEN VIGILANCIA'!A133</f>
        <v>Familia Herrera Guada</v>
      </c>
      <c r="B133" s="58" t="str">
        <f>'RESUMEN VIGILANCIA'!B133</f>
        <v>Calle Güigüe Nro. 89-90</v>
      </c>
      <c r="C133" s="211">
        <f>SUMIFS(Vigilancia!$E:$E,Vigilancia!$F:$F,$A133,Vigilancia!$J:$J,C$1)</f>
        <v>0</v>
      </c>
      <c r="D133" s="211">
        <f>SUMIFS(Vigilancia!$E:$E,Vigilancia!$F:$F,$A133,Vigilancia!$J:$J,D$1)</f>
        <v>0</v>
      </c>
      <c r="E133" s="211">
        <f>SUMIFS(Vigilancia!$E:$E,Vigilancia!$F:$F,$A133,Vigilancia!$J:$J,E$1)</f>
        <v>0</v>
      </c>
      <c r="F133" s="211">
        <f>SUMIFS(Vigilancia!$E:$E,Vigilancia!$F:$F,$A133,Vigilancia!$J:$J,F$1)</f>
        <v>0</v>
      </c>
      <c r="G133" s="303">
        <f>SUMIFS(Vigilancia!$E:$E,Vigilancia!$F:$F,$A133,Vigilancia!$J:$J,G$1)</f>
        <v>0</v>
      </c>
      <c r="H133" s="303">
        <f>SUMIFS(Vigilancia!$E:$E,Vigilancia!$F:$F,$A133,Vigilancia!$J:$J,H$1)</f>
        <v>0</v>
      </c>
      <c r="I133" s="211">
        <f>SUMIFS(Vigilancia!$E:$E,Vigilancia!$F:$F,$A133,Vigilancia!$J:$J,I$1)</f>
        <v>0</v>
      </c>
      <c r="J133" s="211">
        <f>SUMIFS(Vigilancia!$E:$E,Vigilancia!$F:$F,$A133,Vigilancia!$J:$J,J$1)</f>
        <v>0</v>
      </c>
      <c r="K133" s="211">
        <f>SUMIFS(Vigilancia!$E:$E,Vigilancia!$F:$F,$A133,Vigilancia!$J:$J,K$1)</f>
        <v>0</v>
      </c>
      <c r="L133" s="203">
        <f>SUMIFS(Vigilancia!$E:$E,Vigilancia!$F:$F,$A133,Vigilancia!$J:$J,L$1)</f>
        <v>0</v>
      </c>
      <c r="M133" s="120"/>
    </row>
    <row r="134" spans="1:13">
      <c r="A134" s="29" t="str">
        <f>'RESUMEN VIGILANCIA'!A134</f>
        <v>Familia Montilla García</v>
      </c>
      <c r="B134" s="30" t="str">
        <f>'RESUMEN VIGILANCIA'!B134</f>
        <v>Calle Güigüe Nro. 89-90</v>
      </c>
      <c r="C134" s="179">
        <f>SUMIFS(Vigilancia!$E:$E,Vigilancia!$F:$F,$A134,Vigilancia!$J:$J,C$1)</f>
        <v>7.0000000000000007E-2</v>
      </c>
      <c r="D134" s="179">
        <f>SUMIFS(Vigilancia!$E:$E,Vigilancia!$F:$F,$A134,Vigilancia!$J:$J,D$1)</f>
        <v>3.5</v>
      </c>
      <c r="E134" s="302">
        <f>SUMIFS(Vigilancia!$E:$E,Vigilancia!$F:$F,$A134,Vigilancia!$J:$J,E$1)</f>
        <v>12.2</v>
      </c>
      <c r="F134" s="302">
        <f>SUMIFS(Vigilancia!$E:$E,Vigilancia!$F:$F,$A134,Vigilancia!$J:$J,F$1)</f>
        <v>30</v>
      </c>
      <c r="G134" s="178">
        <f>SUMIFS(Vigilancia!$E:$E,Vigilancia!$F:$F,$A134,Vigilancia!$J:$J,G$1)</f>
        <v>50000</v>
      </c>
      <c r="H134" s="178">
        <f>SUMIFS(Vigilancia!$E:$E,Vigilancia!$F:$F,$A134,Vigilancia!$J:$J,H$1)</f>
        <v>0</v>
      </c>
      <c r="I134" s="179">
        <f>SUMIFS(Vigilancia!$E:$E,Vigilancia!$F:$F,$A134,Vigilancia!$J:$J,I$1)</f>
        <v>0</v>
      </c>
      <c r="J134" s="179">
        <f>SUMIFS(Vigilancia!$E:$E,Vigilancia!$F:$F,$A134,Vigilancia!$J:$J,J$1)</f>
        <v>0</v>
      </c>
      <c r="K134" s="179">
        <f>SUMIFS(Vigilancia!$E:$E,Vigilancia!$F:$F,$A134,Vigilancia!$J:$J,K$1)</f>
        <v>0</v>
      </c>
      <c r="L134" s="182">
        <f>SUMIFS(Vigilancia!$E:$E,Vigilancia!$F:$F,$A134,Vigilancia!$J:$J,L$1)</f>
        <v>0</v>
      </c>
      <c r="M134" s="122"/>
    </row>
    <row r="135" spans="1:13">
      <c r="A135" s="65" t="str">
        <f>'RESUMEN VIGILANCIA'!A135</f>
        <v>Familia Kattar González</v>
      </c>
      <c r="B135" s="63" t="str">
        <f>'RESUMEN VIGILANCIA'!B135</f>
        <v>Calle Güigüe Nro. 89-95</v>
      </c>
      <c r="C135" s="179">
        <f>SUMIFS(Vigilancia!$E:$E,Vigilancia!$F:$F,$A135,Vigilancia!$J:$J,C$1)</f>
        <v>7.0000000000000007E-2</v>
      </c>
      <c r="D135" s="179">
        <f>SUMIFS(Vigilancia!$E:$E,Vigilancia!$F:$F,$A135,Vigilancia!$J:$J,D$1)</f>
        <v>3.5</v>
      </c>
      <c r="E135" s="302">
        <f>SUMIFS(Vigilancia!$E:$E,Vigilancia!$F:$F,$A135,Vigilancia!$J:$J,E$1)</f>
        <v>12.2</v>
      </c>
      <c r="F135" s="302">
        <f>SUMIFS(Vigilancia!$E:$E,Vigilancia!$F:$F,$A135,Vigilancia!$J:$J,F$1)</f>
        <v>0</v>
      </c>
      <c r="G135" s="179">
        <f>SUMIFS(Vigilancia!$E:$E,Vigilancia!$F:$F,$A135,Vigilancia!$J:$J,G$1)</f>
        <v>50000</v>
      </c>
      <c r="H135" s="179">
        <f>SUMIFS(Vigilancia!$E:$E,Vigilancia!$F:$F,$A135,Vigilancia!$J:$J,H$1)</f>
        <v>0</v>
      </c>
      <c r="I135" s="179">
        <f>SUMIFS(Vigilancia!$E:$E,Vigilancia!$F:$F,$A135,Vigilancia!$J:$J,I$1)</f>
        <v>0</v>
      </c>
      <c r="J135" s="179">
        <f>SUMIFS(Vigilancia!$E:$E,Vigilancia!$F:$F,$A135,Vigilancia!$J:$J,J$1)</f>
        <v>0</v>
      </c>
      <c r="K135" s="179">
        <f>SUMIFS(Vigilancia!$E:$E,Vigilancia!$F:$F,$A135,Vigilancia!$J:$J,K$1)</f>
        <v>30.5</v>
      </c>
      <c r="L135" s="179">
        <f>SUMIFS(Vigilancia!$E:$E,Vigilancia!$F:$F,$A135,Vigilancia!$J:$J,L$1)</f>
        <v>0</v>
      </c>
    </row>
    <row r="136" spans="1:13">
      <c r="A136" s="29" t="str">
        <f>'RESUMEN VIGILANCIA'!A136</f>
        <v>Amarilis Guerra</v>
      </c>
      <c r="B136" s="30" t="str">
        <f>'RESUMEN VIGILANCIA'!B136</f>
        <v>Calle Güigüe Nro. 89-96</v>
      </c>
      <c r="C136" s="179">
        <f>SUMIFS(Vigilancia!$E:$E,Vigilancia!$F:$F,$A136,Vigilancia!$J:$J,C$1)</f>
        <v>0</v>
      </c>
      <c r="D136" s="179">
        <f>SUMIFS(Vigilancia!$E:$E,Vigilancia!$F:$F,$A136,Vigilancia!$J:$J,D$1)</f>
        <v>0</v>
      </c>
      <c r="E136" s="302">
        <f>SUMIFS(Vigilancia!$E:$E,Vigilancia!$F:$F,$A136,Vigilancia!$J:$J,E$1)</f>
        <v>12</v>
      </c>
      <c r="F136" s="302">
        <f>SUMIFS(Vigilancia!$E:$E,Vigilancia!$F:$F,$A136,Vigilancia!$J:$J,F$1)</f>
        <v>10</v>
      </c>
      <c r="G136" s="179">
        <f>SUMIFS(Vigilancia!$E:$E,Vigilancia!$F:$F,$A136,Vigilancia!$J:$J,G$1)</f>
        <v>50000</v>
      </c>
      <c r="H136" s="179">
        <f>SUMIFS(Vigilancia!$E:$E,Vigilancia!$F:$F,$A136,Vigilancia!$J:$J,H$1)</f>
        <v>0</v>
      </c>
      <c r="I136" s="179">
        <f>SUMIFS(Vigilancia!$E:$E,Vigilancia!$F:$F,$A136,Vigilancia!$J:$J,I$1)</f>
        <v>0</v>
      </c>
      <c r="J136" s="179">
        <f>SUMIFS(Vigilancia!$E:$E,Vigilancia!$F:$F,$A136,Vigilancia!$J:$J,J$1)</f>
        <v>0</v>
      </c>
      <c r="K136" s="179">
        <f>SUMIFS(Vigilancia!$E:$E,Vigilancia!$F:$F,$A136,Vigilancia!$J:$J,K$1)</f>
        <v>0</v>
      </c>
      <c r="L136" s="179">
        <f>SUMIFS(Vigilancia!$E:$E,Vigilancia!$F:$F,$A136,Vigilancia!$J:$J,L$1)</f>
        <v>0</v>
      </c>
    </row>
    <row r="137" spans="1:13">
      <c r="A137" s="29" t="str">
        <f>'RESUMEN VIGILANCIA'!A137</f>
        <v>Familia Ochoa Mendoza</v>
      </c>
      <c r="B137" s="30" t="str">
        <f>'RESUMEN VIGILANCIA'!B137</f>
        <v>Calle Güigüe Nro. 89-105</v>
      </c>
      <c r="C137" s="179">
        <f>SUMIFS(Vigilancia!$E:$E,Vigilancia!$F:$F,$A137,Vigilancia!$J:$J,C$1)</f>
        <v>7.0000000000000007E-2</v>
      </c>
      <c r="D137" s="179">
        <f>SUMIFS(Vigilancia!$E:$E,Vigilancia!$F:$F,$A137,Vigilancia!$J:$J,D$1)</f>
        <v>3.5</v>
      </c>
      <c r="E137" s="302">
        <f>SUMIFS(Vigilancia!$E:$E,Vigilancia!$F:$F,$A137,Vigilancia!$J:$J,E$1)</f>
        <v>0</v>
      </c>
      <c r="F137" s="302">
        <f>SUMIFS(Vigilancia!$E:$E,Vigilancia!$F:$F,$A137,Vigilancia!$J:$J,F$1)</f>
        <v>10</v>
      </c>
      <c r="G137" s="179">
        <f>SUMIFS(Vigilancia!$E:$E,Vigilancia!$F:$F,$A137,Vigilancia!$J:$J,G$1)</f>
        <v>50000</v>
      </c>
      <c r="H137" s="179">
        <f>SUMIFS(Vigilancia!$E:$E,Vigilancia!$F:$F,$A137,Vigilancia!$J:$J,H$1)</f>
        <v>0</v>
      </c>
      <c r="I137" s="179">
        <f>SUMIFS(Vigilancia!$E:$E,Vigilancia!$F:$F,$A137,Vigilancia!$J:$J,I$1)</f>
        <v>0</v>
      </c>
      <c r="J137" s="179">
        <f>SUMIFS(Vigilancia!$E:$E,Vigilancia!$F:$F,$A137,Vigilancia!$J:$J,J$1)</f>
        <v>0</v>
      </c>
      <c r="K137" s="179">
        <f>SUMIFS(Vigilancia!$E:$E,Vigilancia!$F:$F,$A137,Vigilancia!$J:$J,K$1)</f>
        <v>0</v>
      </c>
      <c r="L137" s="179">
        <f>SUMIFS(Vigilancia!$E:$E,Vigilancia!$F:$F,$A137,Vigilancia!$J:$J,L$1)</f>
        <v>0</v>
      </c>
    </row>
    <row r="138" spans="1:13">
      <c r="A138" s="57" t="str">
        <f>'RESUMEN VIGILANCIA'!A138</f>
        <v>Anahiz Seijas</v>
      </c>
      <c r="B138" s="58" t="str">
        <f>'RESUMEN VIGILANCIA'!B138</f>
        <v>Calle Güigüe Nro. 89-106</v>
      </c>
      <c r="C138" s="211">
        <f>SUMIFS(Vigilancia!$E:$E,Vigilancia!$F:$F,$A138,Vigilancia!$J:$J,C$1)</f>
        <v>7.0000000000000007E-2</v>
      </c>
      <c r="D138" s="211">
        <f>SUMIFS(Vigilancia!$E:$E,Vigilancia!$F:$F,$A138,Vigilancia!$J:$J,D$1)</f>
        <v>3.5</v>
      </c>
      <c r="E138" s="211">
        <f>SUMIFS(Vigilancia!$E:$E,Vigilancia!$F:$F,$A138,Vigilancia!$J:$J,E$1)</f>
        <v>0</v>
      </c>
      <c r="F138" s="211">
        <f>SUMIFS(Vigilancia!$E:$E,Vigilancia!$F:$F,$A138,Vigilancia!$J:$J,F$1)</f>
        <v>0</v>
      </c>
      <c r="G138" s="303">
        <f>SUMIFS(Vigilancia!$E:$E,Vigilancia!$F:$F,$A138,Vigilancia!$J:$J,G$1)</f>
        <v>0</v>
      </c>
      <c r="H138" s="303">
        <f>SUMIFS(Vigilancia!$E:$E,Vigilancia!$F:$F,$A138,Vigilancia!$J:$J,H$1)</f>
        <v>0</v>
      </c>
      <c r="I138" s="211">
        <f>SUMIFS(Vigilancia!$E:$E,Vigilancia!$F:$F,$A138,Vigilancia!$J:$J,I$1)</f>
        <v>0</v>
      </c>
      <c r="J138" s="211">
        <f>SUMIFS(Vigilancia!$E:$E,Vigilancia!$F:$F,$A138,Vigilancia!$J:$J,J$1)</f>
        <v>0</v>
      </c>
      <c r="K138" s="211">
        <f>SUMIFS(Vigilancia!$E:$E,Vigilancia!$F:$F,$A138,Vigilancia!$J:$J,K$1)</f>
        <v>0</v>
      </c>
      <c r="L138" s="203">
        <f>SUMIFS(Vigilancia!$E:$E,Vigilancia!$F:$F,$A138,Vigilancia!$J:$J,L$1)</f>
        <v>0</v>
      </c>
      <c r="M138" s="120"/>
    </row>
    <row r="139" spans="1:13">
      <c r="A139" s="29" t="str">
        <f>'RESUMEN VIGILANCIA'!A139</f>
        <v>Familia Chan García</v>
      </c>
      <c r="B139" s="30" t="str">
        <f>'RESUMEN VIGILANCIA'!B139</f>
        <v>Calle Güigüe Nro. 89-106</v>
      </c>
      <c r="C139" s="179">
        <f>SUMIFS(Vigilancia!$E:$E,Vigilancia!$F:$F,$A139,Vigilancia!$J:$J,C$1)</f>
        <v>0</v>
      </c>
      <c r="D139" s="179">
        <f>SUMIFS(Vigilancia!$E:$E,Vigilancia!$F:$F,$A139,Vigilancia!$J:$J,D$1)</f>
        <v>0</v>
      </c>
      <c r="E139" s="179">
        <f>SUMIFS(Vigilancia!$E:$E,Vigilancia!$F:$F,$A139,Vigilancia!$J:$J,E$1)</f>
        <v>0</v>
      </c>
      <c r="F139" s="179">
        <f>SUMIFS(Vigilancia!$E:$E,Vigilancia!$F:$F,$A139,Vigilancia!$J:$J,F$1)</f>
        <v>0</v>
      </c>
      <c r="G139" s="179">
        <f>SUMIFS(Vigilancia!$E:$E,Vigilancia!$F:$F,$A139,Vigilancia!$J:$J,G$1)</f>
        <v>50000</v>
      </c>
      <c r="H139" s="179">
        <f>SUMIFS(Vigilancia!$E:$E,Vigilancia!$F:$F,$A139,Vigilancia!$J:$J,H$1)</f>
        <v>0</v>
      </c>
      <c r="I139" s="179">
        <f>SUMIFS(Vigilancia!$E:$E,Vigilancia!$F:$F,$A139,Vigilancia!$J:$J,I$1)</f>
        <v>0</v>
      </c>
      <c r="J139" s="179">
        <f>SUMIFS(Vigilancia!$E:$E,Vigilancia!$F:$F,$A139,Vigilancia!$J:$J,J$1)</f>
        <v>0</v>
      </c>
      <c r="K139" s="179">
        <f>SUMIFS(Vigilancia!$E:$E,Vigilancia!$F:$F,$A139,Vigilancia!$J:$J,K$1)</f>
        <v>0</v>
      </c>
      <c r="L139" s="179">
        <f>SUMIFS(Vigilancia!$E:$E,Vigilancia!$F:$F,$A139,Vigilancia!$J:$J,L$1)</f>
        <v>0</v>
      </c>
      <c r="M139" s="122"/>
    </row>
    <row r="140" spans="1:13">
      <c r="A140" s="29" t="str">
        <f>'RESUMEN VIGILANCIA'!A140</f>
        <v>Familia Jiménez de Avila</v>
      </c>
      <c r="B140" s="30" t="str">
        <f>'RESUMEN VIGILANCIA'!B140</f>
        <v>Calle Güigüe Nro. 89-116</v>
      </c>
      <c r="C140" s="179">
        <f>SUMIFS(Vigilancia!$E:$E,Vigilancia!$F:$F,$A140,Vigilancia!$J:$J,C$1)</f>
        <v>0</v>
      </c>
      <c r="D140" s="179">
        <f>SUMIFS(Vigilancia!$E:$E,Vigilancia!$F:$F,$A140,Vigilancia!$J:$J,D$1)</f>
        <v>0</v>
      </c>
      <c r="E140" s="179">
        <f>SUMIFS(Vigilancia!$E:$E,Vigilancia!$F:$F,$A140,Vigilancia!$J:$J,E$1)</f>
        <v>0</v>
      </c>
      <c r="F140" s="179">
        <f>SUMIFS(Vigilancia!$E:$E,Vigilancia!$F:$F,$A140,Vigilancia!$J:$J,F$1)</f>
        <v>0</v>
      </c>
      <c r="G140" s="179">
        <f>SUMIFS(Vigilancia!$E:$E,Vigilancia!$F:$F,$A140,Vigilancia!$J:$J,G$1)</f>
        <v>0</v>
      </c>
      <c r="H140" s="179">
        <f>SUMIFS(Vigilancia!$E:$E,Vigilancia!$F:$F,$A140,Vigilancia!$J:$J,H$1)</f>
        <v>0</v>
      </c>
      <c r="I140" s="179">
        <f>SUMIFS(Vigilancia!$E:$E,Vigilancia!$F:$F,$A140,Vigilancia!$J:$J,I$1)</f>
        <v>0</v>
      </c>
      <c r="J140" s="179">
        <f>SUMIFS(Vigilancia!$E:$E,Vigilancia!$F:$F,$A140,Vigilancia!$J:$J,J$1)</f>
        <v>0</v>
      </c>
      <c r="K140" s="179">
        <f>SUMIFS(Vigilancia!$E:$E,Vigilancia!$F:$F,$A140,Vigilancia!$J:$J,K$1)</f>
        <v>0</v>
      </c>
      <c r="L140" s="179">
        <f>SUMIFS(Vigilancia!$E:$E,Vigilancia!$F:$F,$A140,Vigilancia!$J:$J,L$1)</f>
        <v>0</v>
      </c>
    </row>
    <row r="141" spans="1:13">
      <c r="A141" s="57" t="str">
        <f>'RESUMEN VIGILANCIA'!A141</f>
        <v>Familia Morales Sesar</v>
      </c>
      <c r="B141" s="58" t="str">
        <f>'RESUMEN VIGILANCIA'!B141</f>
        <v>Calle Güigüe Nro. 89-120</v>
      </c>
      <c r="C141" s="211">
        <f>SUMIFS(Vigilancia!$E:$E,Vigilancia!$F:$F,$A141,Vigilancia!$J:$J,C$1)</f>
        <v>0</v>
      </c>
      <c r="D141" s="211">
        <f>SUMIFS(Vigilancia!$E:$E,Vigilancia!$F:$F,$A141,Vigilancia!$J:$J,D$1)</f>
        <v>0</v>
      </c>
      <c r="E141" s="211">
        <f>SUMIFS(Vigilancia!$E:$E,Vigilancia!$F:$F,$A141,Vigilancia!$J:$J,E$1)</f>
        <v>0</v>
      </c>
      <c r="F141" s="211">
        <f>SUMIFS(Vigilancia!$E:$E,Vigilancia!$F:$F,$A141,Vigilancia!$J:$J,F$1)</f>
        <v>0</v>
      </c>
      <c r="G141" s="303">
        <f>SUMIFS(Vigilancia!$E:$E,Vigilancia!$F:$F,$A141,Vigilancia!$J:$J,G$1)</f>
        <v>0</v>
      </c>
      <c r="H141" s="303">
        <f>SUMIFS(Vigilancia!$E:$E,Vigilancia!$F:$F,$A141,Vigilancia!$J:$J,H$1)</f>
        <v>0</v>
      </c>
      <c r="I141" s="211">
        <f>SUMIFS(Vigilancia!$E:$E,Vigilancia!$F:$F,$A141,Vigilancia!$J:$J,I$1)</f>
        <v>0</v>
      </c>
      <c r="J141" s="211">
        <f>SUMIFS(Vigilancia!$E:$E,Vigilancia!$F:$F,$A141,Vigilancia!$J:$J,J$1)</f>
        <v>0</v>
      </c>
      <c r="K141" s="211">
        <f>SUMIFS(Vigilancia!$E:$E,Vigilancia!$F:$F,$A141,Vigilancia!$J:$J,K$1)</f>
        <v>0</v>
      </c>
      <c r="L141" s="203">
        <f>SUMIFS(Vigilancia!$E:$E,Vigilancia!$F:$F,$A141,Vigilancia!$J:$J,L$1)</f>
        <v>0</v>
      </c>
      <c r="M141" s="120"/>
    </row>
    <row r="142" spans="1:13">
      <c r="A142" s="29" t="str">
        <f>'RESUMEN VIGILANCIA'!A142</f>
        <v>Familia Abbinante Pinto</v>
      </c>
      <c r="B142" s="30" t="str">
        <f>'RESUMEN VIGILANCIA'!B142</f>
        <v>Calle Güigüe Nro. 89-120</v>
      </c>
      <c r="C142" s="179">
        <f>SUMIFS(Vigilancia!$E:$E,Vigilancia!$F:$F,$A142,Vigilancia!$J:$J,C$1)</f>
        <v>0</v>
      </c>
      <c r="D142" s="179">
        <f>SUMIFS(Vigilancia!$E:$E,Vigilancia!$F:$F,$A142,Vigilancia!$J:$J,D$1)</f>
        <v>0</v>
      </c>
      <c r="E142" s="179">
        <f>SUMIFS(Vigilancia!$E:$E,Vigilancia!$F:$F,$A142,Vigilancia!$J:$J,E$1)</f>
        <v>0</v>
      </c>
      <c r="F142" s="179">
        <f>SUMIFS(Vigilancia!$E:$E,Vigilancia!$F:$F,$A142,Vigilancia!$J:$J,F$1)</f>
        <v>10</v>
      </c>
      <c r="G142" s="179">
        <f>SUMIFS(Vigilancia!$E:$E,Vigilancia!$F:$F,$A142,Vigilancia!$J:$J,G$1)</f>
        <v>0</v>
      </c>
      <c r="H142" s="179">
        <f>SUMIFS(Vigilancia!$E:$E,Vigilancia!$F:$F,$A142,Vigilancia!$J:$J,H$1)</f>
        <v>0</v>
      </c>
      <c r="I142" s="179">
        <f>SUMIFS(Vigilancia!$E:$E,Vigilancia!$F:$F,$A142,Vigilancia!$J:$J,I$1)</f>
        <v>0</v>
      </c>
      <c r="J142" s="179">
        <f>SUMIFS(Vigilancia!$E:$E,Vigilancia!$F:$F,$A142,Vigilancia!$J:$J,J$1)</f>
        <v>0</v>
      </c>
      <c r="K142" s="179">
        <f>SUMIFS(Vigilancia!$E:$E,Vigilancia!$F:$F,$A142,Vigilancia!$J:$J,K$1)</f>
        <v>0</v>
      </c>
      <c r="L142" s="179">
        <f>SUMIFS(Vigilancia!$E:$E,Vigilancia!$F:$F,$A142,Vigilancia!$J:$J,L$1)</f>
        <v>0</v>
      </c>
      <c r="M142" s="122"/>
    </row>
    <row r="143" spans="1:13">
      <c r="A143" s="29" t="str">
        <f>'RESUMEN VIGILANCIA'!A143</f>
        <v>Alexander Pena</v>
      </c>
      <c r="B143" s="30" t="str">
        <f>'RESUMEN VIGILANCIA'!B143</f>
        <v>Calle Güigüe Nro. 89-126</v>
      </c>
      <c r="C143" s="179">
        <f>SUMIFS(Vigilancia!$E:$E,Vigilancia!$F:$F,$A143,Vigilancia!$J:$J,C$1)</f>
        <v>0</v>
      </c>
      <c r="D143" s="179">
        <f>SUMIFS(Vigilancia!$E:$E,Vigilancia!$F:$F,$A143,Vigilancia!$J:$J,D$1)</f>
        <v>0</v>
      </c>
      <c r="E143" s="179">
        <f>SUMIFS(Vigilancia!$E:$E,Vigilancia!$F:$F,$A143,Vigilancia!$J:$J,E$1)</f>
        <v>0</v>
      </c>
      <c r="F143" s="179">
        <f>SUMIFS(Vigilancia!$E:$E,Vigilancia!$F:$F,$A143,Vigilancia!$J:$J,F$1)</f>
        <v>0</v>
      </c>
      <c r="G143" s="179">
        <f>SUMIFS(Vigilancia!$E:$E,Vigilancia!$F:$F,$A143,Vigilancia!$J:$J,G$1)</f>
        <v>0</v>
      </c>
      <c r="H143" s="179">
        <f>SUMIFS(Vigilancia!$E:$E,Vigilancia!$F:$F,$A143,Vigilancia!$J:$J,H$1)</f>
        <v>0</v>
      </c>
      <c r="I143" s="179">
        <f>SUMIFS(Vigilancia!$E:$E,Vigilancia!$F:$F,$A143,Vigilancia!$J:$J,I$1)</f>
        <v>0</v>
      </c>
      <c r="J143" s="179">
        <f>SUMIFS(Vigilancia!$E:$E,Vigilancia!$F:$F,$A143,Vigilancia!$J:$J,J$1)</f>
        <v>0</v>
      </c>
      <c r="K143" s="179">
        <f>SUMIFS(Vigilancia!$E:$E,Vigilancia!$F:$F,$A143,Vigilancia!$J:$J,K$1)</f>
        <v>0</v>
      </c>
      <c r="L143" s="179">
        <f>SUMIFS(Vigilancia!$E:$E,Vigilancia!$F:$F,$A143,Vigilancia!$J:$J,L$1)</f>
        <v>0</v>
      </c>
    </row>
    <row r="144" spans="1:13">
      <c r="A144" s="39" t="str">
        <f>'RESUMEN VIGILANCIA'!A144</f>
        <v>Familia Pena Wierman</v>
      </c>
      <c r="B144" s="40" t="str">
        <f>'RESUMEN VIGILANCIA'!B144</f>
        <v>Calle Güigüe Nro. 89-126</v>
      </c>
      <c r="C144" s="235"/>
      <c r="D144" s="235"/>
      <c r="E144" s="235"/>
      <c r="F144" s="235"/>
      <c r="G144" s="235"/>
      <c r="H144" s="235"/>
      <c r="I144" s="235"/>
      <c r="J144" s="235"/>
      <c r="K144" s="235"/>
      <c r="L144" s="235"/>
    </row>
    <row r="145" spans="1:12">
      <c r="A145" s="42"/>
      <c r="B145" s="43" t="s">
        <v>1254</v>
      </c>
      <c r="C145" s="298">
        <f t="shared" ref="C145:L145" si="0">SUM(C2:C144)</f>
        <v>3.7081999999999975</v>
      </c>
      <c r="D145" s="298">
        <f t="shared" si="0"/>
        <v>185.1</v>
      </c>
      <c r="E145" s="298">
        <f t="shared" si="0"/>
        <v>566.39999999999986</v>
      </c>
      <c r="F145" s="298">
        <f t="shared" si="0"/>
        <v>597</v>
      </c>
      <c r="G145" s="298">
        <f t="shared" ref="G145" si="1">SUM(G2:G144)</f>
        <v>3975750</v>
      </c>
      <c r="H145" s="298">
        <f t="shared" si="0"/>
        <v>0.24199999999999999</v>
      </c>
      <c r="I145" s="298">
        <f t="shared" si="0"/>
        <v>1.4999999999999999E-2</v>
      </c>
      <c r="J145" s="298">
        <f t="shared" si="0"/>
        <v>34703.5</v>
      </c>
      <c r="K145" s="298">
        <f t="shared" ref="K145" si="2">SUM(K2:K144)</f>
        <v>60.5</v>
      </c>
      <c r="L145" s="298">
        <f t="shared" si="0"/>
        <v>3</v>
      </c>
    </row>
    <row r="146" spans="1:12">
      <c r="A146" s="42"/>
      <c r="B146" s="43" t="s">
        <v>1260</v>
      </c>
      <c r="C146" s="25">
        <f t="shared" ref="C146:L146" si="3">COUNTIF(C2:C144,"&gt;0")</f>
        <v>55</v>
      </c>
      <c r="D146" s="25">
        <f t="shared" si="3"/>
        <v>52</v>
      </c>
      <c r="E146" s="25">
        <f t="shared" si="3"/>
        <v>47</v>
      </c>
      <c r="F146" s="25">
        <f t="shared" si="3"/>
        <v>43</v>
      </c>
      <c r="G146" s="25">
        <f t="shared" ref="G146" si="4">COUNTIF(G2:G144,"&gt;0")</f>
        <v>69</v>
      </c>
      <c r="H146" s="25">
        <f t="shared" si="3"/>
        <v>2</v>
      </c>
      <c r="I146" s="25">
        <f t="shared" si="3"/>
        <v>1</v>
      </c>
      <c r="J146" s="25">
        <f t="shared" si="3"/>
        <v>1</v>
      </c>
      <c r="K146" s="25">
        <f t="shared" ref="K146" si="5">COUNTIF(K2:K144,"&gt;0")</f>
        <v>2</v>
      </c>
      <c r="L146" s="25">
        <f t="shared" si="3"/>
        <v>1</v>
      </c>
    </row>
    <row r="147" spans="1:12">
      <c r="A147" s="150"/>
      <c r="B147" s="151" t="s">
        <v>1275</v>
      </c>
      <c r="C147" s="307">
        <f>7000/100000</f>
        <v>7.0000000000000007E-2</v>
      </c>
      <c r="D147" s="307">
        <f>350000/100000</f>
        <v>3.5</v>
      </c>
      <c r="E147" s="307">
        <f>1220000/100000</f>
        <v>12.2</v>
      </c>
      <c r="F147" s="307">
        <v>10</v>
      </c>
      <c r="G147" s="307">
        <v>50000</v>
      </c>
      <c r="H147" s="307"/>
      <c r="I147" s="307"/>
      <c r="J147" s="307"/>
      <c r="K147" s="307"/>
      <c r="L147" s="307"/>
    </row>
    <row r="148" spans="1:12">
      <c r="A148" s="152"/>
      <c r="B148" s="155" t="s">
        <v>1363</v>
      </c>
      <c r="C148" s="154">
        <f>IF(ISBLANK(C$147),"",COUNTIF(C$2:C$144,"&lt;"&amp;TEXT(C$147,"0,00"))-COUNTIF(C$2:C$144,"=0,00"))</f>
        <v>7</v>
      </c>
      <c r="D148" s="154">
        <f>IF(ISBLANK(D$147),"",COUNTIF(D$2:D$144,"&lt;"&amp;TEXT(D$147,"0,00"))-COUNTIF(D$2:D$144,"=0,00"))</f>
        <v>2</v>
      </c>
      <c r="E148" s="154">
        <f>IF(ISBLANK(E$147),"",COUNTIF(E$2:E$144,"&lt;"&amp;TEXT(E$147,"0,00"))-COUNTIF(E$2:E$144,"=0,00"))</f>
        <v>6</v>
      </c>
      <c r="F148" s="154">
        <f>IF(ISBLANK(F$147),"",COUNTIF(F$2:F$144,"&lt;"&amp;TEXT(F$147,"0,00"))-COUNTIF(F$2:F$144,"=0,00"))</f>
        <v>0</v>
      </c>
      <c r="G148" s="153">
        <f>IF(ISBLANK(G$147),"",COUNTIF(G$2:G$144,"&lt;"&amp;TEXT(G$147,"0"))-COUNTIF(G$2:G$144,"=0"))</f>
        <v>1</v>
      </c>
      <c r="H148" s="153" t="str">
        <f>IF(ISBLANK(H$147),"",COUNTIF(H$2:H$144,"&lt;"&amp;TEXT(H$147,"0"))-COUNTIF(H$2:H$144,"=0"))</f>
        <v/>
      </c>
      <c r="I148" s="154" t="str">
        <f>IF(ISBLANK(I$147),"",COUNTIF(I$2:I$144,"&lt;"&amp;TEXT(I$147,"0"))-COUNTIF(I$2:I$144,"=0"))</f>
        <v/>
      </c>
      <c r="J148" s="154" t="str">
        <f>IF(ISBLANK(J$147),"",COUNTIF(J$2:J$144,"&lt;"&amp;TEXT(J$147,"0"))-COUNTIF(J$2:J$144,"=0"))</f>
        <v/>
      </c>
      <c r="K148" s="154" t="str">
        <f>IF(ISBLANK(K$147),"",COUNTIF(K$2:K$144,"&lt;"&amp;TEXT(K$147,"0"))-COUNTIF(K$2:K$144,"=0"))</f>
        <v/>
      </c>
      <c r="L148" s="154" t="str">
        <f>IF(ISBLANK(L$147),"",COUNTIF(L$2:L$144,"&lt;"&amp;TEXT(L$147,"0"))-COUNTIF(L$2:L$144,"=0"))</f>
        <v/>
      </c>
    </row>
    <row r="149" spans="1:12">
      <c r="A149" s="126"/>
      <c r="B149" s="156" t="s">
        <v>1364</v>
      </c>
      <c r="C149" s="340">
        <f>IF(ISBLANK(C$147),"",SUMIF(C$2:C$144,"&lt;"&amp;TEXT(C$147,"0,00")))</f>
        <v>0.31319999999999998</v>
      </c>
      <c r="D149" s="340">
        <f>IF(ISBLANK(D$147),"",SUMIF(D$2:D$144,"&lt;"&amp;TEXT(D$147,"0,00")))</f>
        <v>4</v>
      </c>
      <c r="E149" s="340">
        <f>IF(ISBLANK(E$147),"",SUMIF(E$2:E$144,"&lt;"&amp;TEXT(E$147,"0,00")))</f>
        <v>61.5</v>
      </c>
      <c r="F149" s="340">
        <f>IF(ISBLANK(F$147),"",SUMIF(F$2:F$144,"&lt;"&amp;TEXT(F$147,"0,00")))</f>
        <v>0</v>
      </c>
      <c r="G149" s="130">
        <f>IF(ISBLANK(G$147),"",SUMIF(G$2:G$144,"&lt;"&amp;TEXT(G$147,"0")))</f>
        <v>20000</v>
      </c>
      <c r="H149" s="130" t="str">
        <f>IF(ISBLANK(H$147),"",SUMIF(H$2:H$144,"&lt;"&amp;TEXT(H$147,"0")))</f>
        <v/>
      </c>
      <c r="I149" s="128" t="str">
        <f>IF(ISBLANK(I$147),"",SUMIF(I$2:I$144,"&lt;"&amp;TEXT(I$147,"0")))</f>
        <v/>
      </c>
      <c r="J149" s="128" t="str">
        <f>IF(ISBLANK(J$147),"",SUMIF(J$2:J$144,"&lt;"&amp;TEXT(J$147,"0")))</f>
        <v/>
      </c>
      <c r="K149" s="128" t="str">
        <f>IF(ISBLANK(K$147),"",SUMIF(K$2:K$144,"&lt;"&amp;TEXT(K$147,"0")))</f>
        <v/>
      </c>
      <c r="L149" s="128" t="str">
        <f>IF(ISBLANK(L$147),"",SUMIF(L$2:L$144,"&lt;"&amp;TEXT(L$147,"0")))</f>
        <v/>
      </c>
    </row>
    <row r="150" spans="1:12">
      <c r="B150" s="157" t="s">
        <v>1365</v>
      </c>
      <c r="C150" s="127">
        <f>IF(ISBLANK(C$147),"",COUNTIF(C$2:C$144,"="&amp;TEXT(C$147,"0,00")))</f>
        <v>46</v>
      </c>
      <c r="D150" s="127">
        <f>IF(ISBLANK(D$147),"",COUNTIF(D$2:D$144,"="&amp;TEXT(D$147,"0,00")))</f>
        <v>43</v>
      </c>
      <c r="E150" s="127">
        <f>IF(ISBLANK(E$147),"",COUNTIF(E$2:E$144,"="&amp;TEXT(E$147,"0,00")))</f>
        <v>37</v>
      </c>
      <c r="F150" s="127">
        <f>IF(ISBLANK(F$147),"",COUNTIF(F$2:F$144,"="&amp;TEXT(F$147,"0,00")))</f>
        <v>38</v>
      </c>
      <c r="G150" s="129">
        <f>IF(ISBLANK(G$147),"",COUNTIF(G$2:G$144,"="&amp;TEXT(G$147,"0")))</f>
        <v>66</v>
      </c>
      <c r="H150" s="129" t="str">
        <f>IF(ISBLANK(H$147),"",COUNTIF(H$2:H$144,"="&amp;TEXT(H$147,"0")))</f>
        <v/>
      </c>
      <c r="I150" s="127" t="str">
        <f>IF(ISBLANK(I$147),"",COUNTIF(I$2:I$144,"="&amp;TEXT(I$147,"0")))</f>
        <v/>
      </c>
      <c r="J150" s="127" t="str">
        <f>IF(ISBLANK(J$147),"",COUNTIF(J$2:J$144,"="&amp;TEXT(J$147,"0")))</f>
        <v/>
      </c>
      <c r="K150" s="127" t="str">
        <f>IF(ISBLANK(K$147),"",COUNTIF(K$2:K$144,"="&amp;TEXT(K$147,"0")))</f>
        <v/>
      </c>
      <c r="L150" s="127" t="str">
        <f>IF(ISBLANK(L$147),"",COUNTIF(L$2:L$144,"="&amp;TEXT(L$147,"0")))</f>
        <v/>
      </c>
    </row>
    <row r="151" spans="1:12">
      <c r="B151" s="157" t="s">
        <v>1364</v>
      </c>
      <c r="C151" s="340">
        <f>IF(ISBLANK(C$147),"",SUMIF(C$2:C$144,"="&amp;TEXT(C$147,"0,00")))</f>
        <v>3.2199999999999984</v>
      </c>
      <c r="D151" s="340">
        <f>IF(ISBLANK(D$147),"",SUMIF(D$2:D$144,"="&amp;TEXT(D$147,"0,00")))</f>
        <v>150.5</v>
      </c>
      <c r="E151" s="340">
        <f>IF(ISBLANK(E$147),"",SUMIF(E$2:E$144,"="&amp;TEXT(E$147,"0,00")))</f>
        <v>451.39999999999975</v>
      </c>
      <c r="F151" s="340">
        <f>IF(ISBLANK(F$147),"",SUMIF(F$2:F$144,"="&amp;TEXT(F$147,"0,00")))</f>
        <v>380</v>
      </c>
      <c r="G151" s="130">
        <f>IF(ISBLANK(G$147),"",SUMIF(G$2:G$144,"="&amp;TEXT(G$147,"0")))</f>
        <v>3300000</v>
      </c>
      <c r="H151" s="130" t="str">
        <f>IF(ISBLANK(H$147),"",SUMIF(H$2:H$144,"="&amp;TEXT(H$147,"0")))</f>
        <v/>
      </c>
      <c r="I151" s="128" t="str">
        <f>IF(ISBLANK(I$147),"",SUMIF(I$2:I$144,"="&amp;TEXT(I$147,"0")))</f>
        <v/>
      </c>
      <c r="J151" s="128" t="str">
        <f>IF(ISBLANK(J$147),"",SUMIF(J$2:J$144,"="&amp;TEXT(J$147,"0")))</f>
        <v/>
      </c>
      <c r="K151" s="128" t="str">
        <f>IF(ISBLANK(K$147),"",SUMIF(K$2:K$144,"="&amp;TEXT(K$147,"0")))</f>
        <v/>
      </c>
      <c r="L151" s="128" t="str">
        <f>IF(ISBLANK(L$147),"",SUMIF(L$2:L$144,"="&amp;TEXT(L$147,"0")))</f>
        <v/>
      </c>
    </row>
    <row r="152" spans="1:12">
      <c r="A152" s="125"/>
      <c r="B152" s="158" t="s">
        <v>1366</v>
      </c>
      <c r="C152" s="127">
        <f>IF(ISBLANK(C$147),"",COUNTIF(C$2:C$144,"&gt;"&amp;TEXT(C$147,"0,00")))</f>
        <v>2</v>
      </c>
      <c r="D152" s="127">
        <f>IF(ISBLANK(D$147),"",COUNTIF(D$2:D$144,"&gt;"&amp;TEXT(D$147,"0,00")))</f>
        <v>7</v>
      </c>
      <c r="E152" s="127">
        <f>IF(ISBLANK(E$147),"",COUNTIF(E$2:E$144,"&gt;"&amp;TEXT(E$147,"0,00")))</f>
        <v>4</v>
      </c>
      <c r="F152" s="127">
        <f>IF(ISBLANK(F$147),"",COUNTIF(F$2:F$144,"&gt;"&amp;TEXT(F$147,"0,00")))</f>
        <v>5</v>
      </c>
      <c r="G152" s="129">
        <f>IF(ISBLANK(G$147),"",COUNTIF(G$2:G$144,"&gt;"&amp;TEXT(G$147,"0")))</f>
        <v>2</v>
      </c>
      <c r="H152" s="129" t="str">
        <f>IF(ISBLANK(H$147),"",COUNTIF(H$2:H$144,"&gt;"&amp;TEXT(H$147,"0")))</f>
        <v/>
      </c>
      <c r="I152" s="127" t="str">
        <f>IF(ISBLANK(I$147),"",COUNTIF(I$2:I$144,"&gt;"&amp;TEXT(I$147,"0")))</f>
        <v/>
      </c>
      <c r="J152" s="127" t="str">
        <f>IF(ISBLANK(J$147),"",COUNTIF(J$2:J$144,"&gt;"&amp;TEXT(J$147,"0")))</f>
        <v/>
      </c>
      <c r="K152" s="127" t="str">
        <f>IF(ISBLANK(K$147),"",COUNTIF(K$2:K$144,"&gt;"&amp;TEXT(K$147,"0")))</f>
        <v/>
      </c>
      <c r="L152" s="127" t="str">
        <f>IF(ISBLANK(L$147),"",COUNTIF(L$2:L$144,"&gt;"&amp;TEXT(L$147,"0")))</f>
        <v/>
      </c>
    </row>
    <row r="153" spans="1:12">
      <c r="A153" s="126"/>
      <c r="B153" s="156" t="s">
        <v>1364</v>
      </c>
      <c r="C153" s="340">
        <f>IF(ISBLANK(C$147),"",SUMIF(C$2:C$144,"&gt;"&amp;TEXT(C$147,"0,00")))</f>
        <v>0.17499999999999999</v>
      </c>
      <c r="D153" s="340">
        <f>IF(ISBLANK(D$147),"",SUMIF(D$2:D$144,"&gt;"&amp;TEXT(D$147,"0,00")))</f>
        <v>30.6</v>
      </c>
      <c r="E153" s="340">
        <f>IF(ISBLANK(E$147),"",SUMIF(E$2:E$144,"&gt;"&amp;TEXT(E$147,"0,00")))</f>
        <v>53.5</v>
      </c>
      <c r="F153" s="340">
        <f>IF(ISBLANK(F$147),"",SUMIF(F$2:F$144,"&gt;"&amp;TEXT(F$147,"0,00")))</f>
        <v>217</v>
      </c>
      <c r="G153" s="130">
        <f>IF(ISBLANK(G$147),"",SUMIF(G$2:G$144,"&gt;"&amp;TEXT(G$147,"0")))</f>
        <v>655750</v>
      </c>
      <c r="H153" s="130" t="str">
        <f>IF(ISBLANK(H$147),"",SUMIF(H$2:H$144,"&gt;"&amp;TEXT(H$147,"0")))</f>
        <v/>
      </c>
      <c r="I153" s="128" t="str">
        <f>IF(ISBLANK(I$147),"",SUMIF(I$2:I$144,"&gt;"&amp;TEXT(I$147,"0")))</f>
        <v/>
      </c>
      <c r="J153" s="128" t="str">
        <f>IF(ISBLANK(J$147),"",SUMIF(J$2:J$144,"&gt;"&amp;TEXT(J$147,"0")))</f>
        <v/>
      </c>
      <c r="K153" s="128" t="str">
        <f>IF(ISBLANK(K$147),"",SUMIF(K$2:K$144,"&gt;"&amp;TEXT(K$147,"0")))</f>
        <v/>
      </c>
      <c r="L153" s="128" t="str">
        <f>IF(ISBLANK(L$147),"",SUMIF(L$2:L$144,"&gt;"&amp;TEXT(L$147,"0")))</f>
        <v/>
      </c>
    </row>
    <row r="154" spans="1:12">
      <c r="A154" s="42"/>
      <c r="B154" s="616" t="s">
        <v>1367</v>
      </c>
      <c r="C154" s="176">
        <f t="shared" ref="C154:L154" si="6">IF(OR(ISBLANK(C$147),C$146=0),"",ROUND(C145/C147,1))</f>
        <v>53</v>
      </c>
      <c r="D154" s="176">
        <f t="shared" si="6"/>
        <v>52.9</v>
      </c>
      <c r="E154" s="176">
        <f t="shared" si="6"/>
        <v>46.4</v>
      </c>
      <c r="F154" s="176">
        <f t="shared" si="6"/>
        <v>59.7</v>
      </c>
      <c r="G154" s="176">
        <f t="shared" ref="G154" si="7">IF(OR(ISBLANK(G$147),G$146=0),"",ROUND(G145/G147,1))</f>
        <v>79.5</v>
      </c>
      <c r="H154" s="176" t="str">
        <f t="shared" si="6"/>
        <v/>
      </c>
      <c r="I154" s="176" t="str">
        <f t="shared" si="6"/>
        <v/>
      </c>
      <c r="J154" s="176" t="str">
        <f t="shared" si="6"/>
        <v/>
      </c>
      <c r="K154" s="176" t="str">
        <f t="shared" ref="K154" si="8">IF(OR(ISBLANK(K$147),K$146=0),"",ROUND(K145/K147,1))</f>
        <v/>
      </c>
      <c r="L154" s="176" t="str">
        <f t="shared" si="6"/>
        <v/>
      </c>
    </row>
    <row r="155" spans="1:12">
      <c r="B155" s="567" t="s">
        <v>3</v>
      </c>
      <c r="C155" s="568">
        <v>42917</v>
      </c>
      <c r="D155" s="568">
        <v>43221</v>
      </c>
      <c r="E155" s="568">
        <v>43282</v>
      </c>
      <c r="F155" s="568">
        <v>43374</v>
      </c>
      <c r="G155" s="568">
        <v>43952</v>
      </c>
      <c r="H155" s="568"/>
      <c r="I155" s="568"/>
      <c r="J155" s="568"/>
      <c r="K155" s="568"/>
      <c r="L155" s="568"/>
    </row>
    <row r="156" spans="1:12">
      <c r="B156" s="567" t="s">
        <v>1368</v>
      </c>
      <c r="C156" s="569">
        <f>IF(VLOOKUP(C155,CUOTAS!$A$3:$E$73,1)=C155,VLOOKUP(C155,CUOTAS!$A$3:$E$73,5),1)</f>
        <v>19938.2</v>
      </c>
      <c r="D156" s="569">
        <f>IF(VLOOKUP(D155,CUOTAS!$A$3:$E$73,1)=D155,VLOOKUP(D155,CUOTAS!$A$3:$E$73,5),1)</f>
        <v>942481</v>
      </c>
      <c r="E156" s="569">
        <f>IF(VLOOKUP(E155,CUOTAS!$A$3:$E$73,1)=E155,VLOOKUP(E155,CUOTAS!$A$3:$E$73,5),1)</f>
        <v>3362789.7</v>
      </c>
      <c r="F156" s="569">
        <f>IF(VLOOKUP(F155,CUOTAS!$A$3:$E$73,1)=F155,VLOOKUP(F155,CUOTAS!$A$3:$E$73,5),1)</f>
        <v>25355573.699999999</v>
      </c>
      <c r="G156" s="569">
        <f>IF(VLOOKUP(G155,CUOTAS!$A$3:$E$701,1)=G155,VLOOKUP(G155,CUOTAS!$A$3:$E$701,5),1)</f>
        <v>23995112795.700001</v>
      </c>
      <c r="H156" s="569" t="e">
        <f>IF(VLOOKUP(H155,CUOTAS!$A$3:$E$73,1)=H155,VLOOKUP(H155,CUOTAS!$A$3:$E$73,5),1)</f>
        <v>#N/A</v>
      </c>
      <c r="I156" s="569" t="e">
        <f>IF(VLOOKUP(I155,CUOTAS!$A$3:$E$73,1)=I155,VLOOKUP(I155,CUOTAS!$A$3:$E$73,5),1)</f>
        <v>#N/A</v>
      </c>
      <c r="J156" s="569" t="e">
        <f>IF(VLOOKUP(J155,CUOTAS!$A$3:$E$73,1)=J155,VLOOKUP(J155,CUOTAS!$A$3:$E$73,5),1)</f>
        <v>#N/A</v>
      </c>
      <c r="K156" s="569" t="e">
        <f>IF(VLOOKUP(K155,CUOTAS!$A$3:$E$73,1)=K155,VLOOKUP(K155,CUOTAS!$A$3:$E$73,5),1)</f>
        <v>#N/A</v>
      </c>
      <c r="L156" s="569" t="e">
        <f>IF(VLOOKUP(L155,CUOTAS!$A$3:$E$73,1)=L155,VLOOKUP(L155,CUOTAS!$A$3:$E$73,5),1)</f>
        <v>#N/A</v>
      </c>
    </row>
    <row r="157" spans="1:12">
      <c r="B157" s="567" t="s">
        <v>1369</v>
      </c>
      <c r="C157" s="317">
        <f>(CUOTAS!$I$1-'RESUMEN OTROS'!C156)/'RESUMEN OTROS'!C156*'RESUMEN OTROS'!C147</f>
        <v>84243.136292393508</v>
      </c>
      <c r="D157" s="317">
        <f>(CUOTAS!$I$1-'RESUMEN OTROS'!D156)/'RESUMEN OTROS'!D156*'RESUMEN OTROS'!D147</f>
        <v>89104.816013744581</v>
      </c>
      <c r="E157" s="317">
        <f>(CUOTAS!$I$1-'RESUMEN OTROS'!E156)/'RESUMEN OTROS'!E156*'RESUMEN OTROS'!E147</f>
        <v>87040.634766188319</v>
      </c>
      <c r="F157" s="317">
        <f>(CUOTAS!$I$1-'RESUMEN OTROS'!F156)/'RESUMEN OTROS'!F156*'RESUMEN OTROS'!F147</f>
        <v>9453.4470036463827</v>
      </c>
      <c r="G157" s="317">
        <f>IF(CUOTAS!$I$1=G156,1,IFERROR((CUOTAS!$I$1-G156)/G156,1))*G147</f>
        <v>50000</v>
      </c>
      <c r="H157" s="317">
        <f>IFERROR((CUOTAS!$I$1-'RESUMEN OTROS'!H156)/'RESUMEN OTROS'!H156,1)*'RESUMEN OTROS'!H147</f>
        <v>0</v>
      </c>
      <c r="I157" s="317">
        <f>IFERROR((CUOTAS!$I$1-'RESUMEN OTROS'!I156)/'RESUMEN OTROS'!I156,1)*'RESUMEN OTROS'!I147</f>
        <v>0</v>
      </c>
      <c r="J157" s="317">
        <f>IFERROR((CUOTAS!$I$1-'RESUMEN OTROS'!J156)/'RESUMEN OTROS'!J156,1)*'RESUMEN OTROS'!J147</f>
        <v>0</v>
      </c>
      <c r="K157" s="317">
        <f>IFERROR((CUOTAS!$I$1-'RESUMEN OTROS'!K156)/'RESUMEN OTROS'!K156,1)*'RESUMEN OTROS'!K147</f>
        <v>0</v>
      </c>
      <c r="L157" s="317">
        <f>IFERROR((CUOTAS!$I$1-'RESUMEN OTROS'!L156)/'RESUMEN OTROS'!L156,1)*'RESUMEN OTROS'!L147</f>
        <v>0</v>
      </c>
    </row>
  </sheetData>
  <autoFilter ref="A1:L157"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5" t="s">
        <v>1370</v>
      </c>
    </row>
    <row r="2" spans="2:18" s="146" customFormat="1" ht="8.1" customHeight="1"/>
    <row r="3" spans="2:18" ht="8.1" customHeight="1">
      <c r="B3" s="131"/>
      <c r="C3" s="132"/>
      <c r="D3" s="132"/>
      <c r="E3" s="132"/>
      <c r="F3" s="133"/>
      <c r="H3" s="131"/>
      <c r="I3" s="132"/>
      <c r="J3" s="132"/>
      <c r="K3" s="132"/>
      <c r="L3" s="133"/>
      <c r="N3" s="131"/>
      <c r="O3" s="132"/>
      <c r="P3" s="132"/>
      <c r="Q3" s="132"/>
      <c r="R3" s="133"/>
    </row>
    <row r="4" spans="2:18" s="142" customFormat="1">
      <c r="B4" s="143"/>
      <c r="C4" s="624" t="s">
        <v>1371</v>
      </c>
      <c r="D4" s="624"/>
      <c r="E4" s="624"/>
      <c r="F4" s="144"/>
      <c r="H4" s="143"/>
      <c r="I4" s="624" t="s">
        <v>1372</v>
      </c>
      <c r="J4" s="624"/>
      <c r="K4" s="624"/>
      <c r="L4" s="144"/>
      <c r="N4" s="143"/>
      <c r="O4" s="624" t="s">
        <v>1373</v>
      </c>
      <c r="P4" s="624"/>
      <c r="Q4" s="624"/>
      <c r="R4" s="144"/>
    </row>
    <row r="5" spans="2:18" s="149" customFormat="1" ht="20.100000000000001" customHeight="1">
      <c r="B5" s="147"/>
      <c r="C5" s="332" t="s">
        <v>1374</v>
      </c>
      <c r="D5" s="623" t="str">
        <f>"Cuota: Bs. "&amp;TEXT('RESUMEN OTROS'!D$147,"#.##0,00")</f>
        <v>Cuota: Bs. 3,50</v>
      </c>
      <c r="E5" s="623"/>
      <c r="F5" s="148"/>
      <c r="H5" s="147"/>
      <c r="I5" s="332" t="s">
        <v>1375</v>
      </c>
      <c r="J5" s="623" t="str">
        <f>"Cuota: Bs. "&amp;TEXT('RESUMEN OTROS'!E$147,"#.##0,00")</f>
        <v>Cuota: Bs. 12,20</v>
      </c>
      <c r="K5" s="623"/>
      <c r="L5" s="148"/>
      <c r="N5" s="147"/>
      <c r="O5" s="332" t="s">
        <v>1376</v>
      </c>
      <c r="P5" s="623" t="str">
        <f>"Cuota: Bs. "&amp;TEXT('RESUMEN OTROS'!F147,"#.##0,00")</f>
        <v>Cuota: Bs. 10,00</v>
      </c>
      <c r="Q5" s="623"/>
      <c r="R5" s="148"/>
    </row>
    <row r="6" spans="2:18">
      <c r="B6" s="134"/>
      <c r="C6" s="135" t="s">
        <v>1377</v>
      </c>
      <c r="D6" s="136"/>
      <c r="E6" s="136"/>
      <c r="F6" s="137"/>
      <c r="H6" s="134"/>
      <c r="I6" s="135" t="s">
        <v>1377</v>
      </c>
      <c r="J6" s="136"/>
      <c r="K6" s="136"/>
      <c r="L6" s="137"/>
      <c r="N6" s="134"/>
      <c r="O6" s="135" t="s">
        <v>1377</v>
      </c>
      <c r="P6" s="136"/>
      <c r="Q6" s="136"/>
      <c r="R6" s="137"/>
    </row>
    <row r="7" spans="2:18">
      <c r="B7" s="134"/>
      <c r="C7" s="136" t="str">
        <f>" - "&amp;TEXT('RESUMEN OTROS'!D148,"0")&amp;" pagos inferiores a la cuota"</f>
        <v xml:space="preserve"> - 2 pagos inferiores a la cuota</v>
      </c>
      <c r="D7" s="136"/>
      <c r="E7" s="308">
        <f>'RESUMEN OTROS'!D149</f>
        <v>4</v>
      </c>
      <c r="F7" s="137"/>
      <c r="H7" s="134"/>
      <c r="I7" s="136" t="str">
        <f>" - "&amp;TEXT('RESUMEN OTROS'!E148,"0")&amp;" pagos inferiores a la cuota"</f>
        <v xml:space="preserve"> - 6 pagos inferiores a la cuota</v>
      </c>
      <c r="J7" s="136"/>
      <c r="K7" s="308">
        <f>'RESUMEN OTROS'!E149</f>
        <v>61.5</v>
      </c>
      <c r="L7" s="137"/>
      <c r="N7" s="134"/>
      <c r="O7" s="136" t="str">
        <f>" - "&amp;TEXT('RESUMEN OTROS'!F148,"0")&amp;" pagos inferiores a la cuota"</f>
        <v xml:space="preserve"> - 0 pagos inferiores a la cuota</v>
      </c>
      <c r="P7" s="136"/>
      <c r="Q7" s="308">
        <f>'RESUMEN OTROS'!F149</f>
        <v>0</v>
      </c>
      <c r="R7" s="137"/>
    </row>
    <row r="8" spans="2:18">
      <c r="B8" s="134"/>
      <c r="C8" s="136" t="str">
        <f>" - "&amp;TEXT('RESUMEN OTROS'!D150,"0")&amp;" cuotas recibidas"</f>
        <v xml:space="preserve"> - 43 cuotas recibidas</v>
      </c>
      <c r="D8" s="136"/>
      <c r="E8" s="308">
        <f>'RESUMEN OTROS'!D151</f>
        <v>150.5</v>
      </c>
      <c r="F8" s="137"/>
      <c r="H8" s="134"/>
      <c r="I8" s="136" t="str">
        <f>" - "&amp;TEXT('RESUMEN OTROS'!E150,"0")&amp;" cuotas recibidas"</f>
        <v xml:space="preserve"> - 37 cuotas recibidas</v>
      </c>
      <c r="J8" s="136"/>
      <c r="K8" s="308">
        <f>'RESUMEN OTROS'!E151</f>
        <v>451.39999999999975</v>
      </c>
      <c r="L8" s="137"/>
      <c r="N8" s="134"/>
      <c r="O8" s="136" t="str">
        <f>" - "&amp;TEXT('RESUMEN OTROS'!F150,"0")&amp;" cuotas recibidas"</f>
        <v xml:space="preserve"> - 38 cuotas recibidas</v>
      </c>
      <c r="P8" s="136"/>
      <c r="Q8" s="308">
        <f>'RESUMEN OTROS'!F151</f>
        <v>380</v>
      </c>
      <c r="R8" s="137"/>
    </row>
    <row r="9" spans="2:18">
      <c r="B9" s="134"/>
      <c r="C9" s="136" t="str">
        <f>" - "&amp;TEXT('RESUMEN OTROS'!D152,"0")&amp;" pagos superiores a la cuota"</f>
        <v xml:space="preserve"> - 7 pagos superiores a la cuota</v>
      </c>
      <c r="D9" s="136"/>
      <c r="E9" s="309">
        <f>'RESUMEN OTROS'!D153</f>
        <v>30.6</v>
      </c>
      <c r="F9" s="137"/>
      <c r="H9" s="134"/>
      <c r="I9" s="136" t="str">
        <f>" - "&amp;TEXT('RESUMEN OTROS'!E152,"0")&amp;" pagos superiores a la cuota"</f>
        <v xml:space="preserve"> - 4 pagos superiores a la cuota</v>
      </c>
      <c r="J9" s="136"/>
      <c r="K9" s="309">
        <f>'RESUMEN OTROS'!E153</f>
        <v>53.5</v>
      </c>
      <c r="L9" s="137"/>
      <c r="N9" s="134"/>
      <c r="O9" s="136" t="str">
        <f>" - "&amp;TEXT('RESUMEN OTROS'!F152,"0")&amp;" pagos superiores a la cuota"</f>
        <v xml:space="preserve"> - 5 pagos superiores a la cuota</v>
      </c>
      <c r="P9" s="136"/>
      <c r="Q9" s="309">
        <f>'RESUMEN OTROS'!F153</f>
        <v>217</v>
      </c>
      <c r="R9" s="137"/>
    </row>
    <row r="10" spans="2:18">
      <c r="B10" s="134"/>
      <c r="C10" s="136" t="s">
        <v>1378</v>
      </c>
      <c r="D10" s="136"/>
      <c r="E10" s="308">
        <f>SUM(E7:E9)</f>
        <v>185.1</v>
      </c>
      <c r="F10" s="137"/>
      <c r="H10" s="134"/>
      <c r="I10" s="136" t="s">
        <v>1378</v>
      </c>
      <c r="J10" s="136"/>
      <c r="K10" s="308">
        <f>SUM(K7:K9)</f>
        <v>566.39999999999975</v>
      </c>
      <c r="L10" s="137"/>
      <c r="N10" s="134"/>
      <c r="O10" s="136" t="s">
        <v>1378</v>
      </c>
      <c r="P10" s="136"/>
      <c r="Q10" s="308">
        <f>SUM(Q7:Q9)</f>
        <v>597</v>
      </c>
      <c r="R10" s="137"/>
    </row>
    <row r="11" spans="2:18">
      <c r="B11" s="134"/>
      <c r="C11" s="136"/>
      <c r="D11" s="136"/>
      <c r="E11" s="308"/>
      <c r="F11" s="137"/>
      <c r="H11" s="134"/>
      <c r="I11" s="136"/>
      <c r="J11" s="136"/>
      <c r="K11" s="308"/>
      <c r="L11" s="137"/>
      <c r="N11" s="134"/>
      <c r="O11" s="136"/>
      <c r="P11" s="136"/>
      <c r="Q11" s="308"/>
      <c r="R11" s="137"/>
    </row>
    <row r="12" spans="2:18">
      <c r="B12" s="134"/>
      <c r="C12" s="135" t="s">
        <v>1379</v>
      </c>
      <c r="D12" s="136"/>
      <c r="E12" s="308"/>
      <c r="F12" s="137"/>
      <c r="H12" s="134"/>
      <c r="I12" s="135" t="s">
        <v>1379</v>
      </c>
      <c r="J12" s="136"/>
      <c r="K12" s="308"/>
      <c r="L12" s="137"/>
      <c r="N12" s="134"/>
      <c r="O12" s="135" t="s">
        <v>1379</v>
      </c>
      <c r="P12" s="136"/>
      <c r="Q12" s="308"/>
      <c r="R12" s="137"/>
    </row>
    <row r="13" spans="2:18">
      <c r="B13" s="134"/>
      <c r="C13" s="136" t="s">
        <v>1380</v>
      </c>
      <c r="D13" s="136"/>
      <c r="E13" s="308">
        <v>70</v>
      </c>
      <c r="F13" s="137"/>
      <c r="H13" s="134"/>
      <c r="I13" s="136" t="s">
        <v>1381</v>
      </c>
      <c r="J13" s="136"/>
      <c r="K13" s="308">
        <v>60</v>
      </c>
      <c r="L13" s="137"/>
      <c r="N13" s="134"/>
      <c r="O13" s="136" t="s">
        <v>1381</v>
      </c>
      <c r="P13" s="136"/>
      <c r="Q13" s="308">
        <v>300</v>
      </c>
      <c r="R13" s="137"/>
    </row>
    <row r="14" spans="2:18">
      <c r="B14" s="134"/>
      <c r="C14" s="136" t="s">
        <v>1382</v>
      </c>
      <c r="D14" s="136"/>
      <c r="E14" s="308">
        <v>15.1</v>
      </c>
      <c r="F14" s="137"/>
      <c r="H14" s="134"/>
      <c r="I14" s="136" t="s">
        <v>1383</v>
      </c>
      <c r="J14" s="136"/>
      <c r="K14" s="308">
        <v>560</v>
      </c>
      <c r="L14" s="137"/>
      <c r="N14" s="134"/>
      <c r="O14" s="136"/>
      <c r="P14" s="136"/>
      <c r="Q14" s="308"/>
      <c r="R14" s="137"/>
    </row>
    <row r="15" spans="2:18">
      <c r="B15" s="134"/>
      <c r="C15" s="136" t="s">
        <v>1384</v>
      </c>
      <c r="D15" s="136"/>
      <c r="E15" s="308">
        <v>19</v>
      </c>
      <c r="F15" s="137"/>
      <c r="H15" s="134"/>
      <c r="I15" s="136"/>
      <c r="J15" s="136"/>
      <c r="K15" s="308"/>
      <c r="L15" s="137"/>
      <c r="N15" s="134"/>
      <c r="O15" s="136"/>
      <c r="P15" s="136"/>
      <c r="Q15" s="308"/>
      <c r="R15" s="137"/>
    </row>
    <row r="16" spans="2:18">
      <c r="B16" s="134"/>
      <c r="C16" s="136" t="s">
        <v>1385</v>
      </c>
      <c r="D16" s="136"/>
      <c r="E16" s="308">
        <v>30</v>
      </c>
      <c r="F16" s="137"/>
      <c r="H16" s="134"/>
      <c r="I16" s="136"/>
      <c r="J16" s="136"/>
      <c r="K16" s="308"/>
      <c r="L16" s="137"/>
      <c r="N16" s="134"/>
      <c r="O16" s="136"/>
      <c r="P16" s="136"/>
      <c r="Q16" s="308"/>
      <c r="R16" s="137"/>
    </row>
    <row r="17" spans="2:18">
      <c r="B17" s="134"/>
      <c r="C17" s="136" t="s">
        <v>1386</v>
      </c>
      <c r="D17" s="136"/>
      <c r="E17" s="308">
        <v>5.7</v>
      </c>
      <c r="F17" s="137"/>
      <c r="H17" s="134"/>
      <c r="I17" s="136"/>
      <c r="J17" s="136"/>
      <c r="K17" s="308"/>
      <c r="L17" s="137"/>
      <c r="N17" s="134"/>
      <c r="O17" s="136"/>
      <c r="P17" s="136"/>
      <c r="Q17" s="308"/>
      <c r="R17" s="137"/>
    </row>
    <row r="18" spans="2:18">
      <c r="B18" s="134"/>
      <c r="C18" s="136" t="s">
        <v>1387</v>
      </c>
      <c r="D18" s="136"/>
      <c r="E18" s="309">
        <v>4.2</v>
      </c>
      <c r="F18" s="137"/>
      <c r="H18" s="134"/>
      <c r="I18" s="136"/>
      <c r="J18" s="136"/>
      <c r="K18" s="309"/>
      <c r="L18" s="137"/>
      <c r="N18" s="134"/>
      <c r="O18" s="136"/>
      <c r="P18" s="136"/>
      <c r="Q18" s="309"/>
      <c r="R18" s="137"/>
    </row>
    <row r="19" spans="2:18">
      <c r="B19" s="134"/>
      <c r="C19" s="136" t="s">
        <v>1388</v>
      </c>
      <c r="D19" s="136"/>
      <c r="E19" s="308">
        <f>SUM(E13:E18)</f>
        <v>143.99999999999997</v>
      </c>
      <c r="F19" s="137"/>
      <c r="H19" s="134"/>
      <c r="I19" s="136" t="s">
        <v>1388</v>
      </c>
      <c r="J19" s="136"/>
      <c r="K19" s="308">
        <f>SUM(K13:K18)</f>
        <v>620</v>
      </c>
      <c r="L19" s="137"/>
      <c r="N19" s="134"/>
      <c r="O19" s="136" t="s">
        <v>1388</v>
      </c>
      <c r="P19" s="136"/>
      <c r="Q19" s="308">
        <f>SUM(Q13:Q18)</f>
        <v>300</v>
      </c>
      <c r="R19" s="137"/>
    </row>
    <row r="20" spans="2:18">
      <c r="B20" s="134"/>
      <c r="C20" s="136"/>
      <c r="D20" s="136"/>
      <c r="E20" s="308"/>
      <c r="F20" s="137"/>
      <c r="H20" s="134"/>
      <c r="I20" s="136"/>
      <c r="J20" s="136"/>
      <c r="K20" s="308"/>
      <c r="L20" s="137"/>
      <c r="N20" s="134"/>
      <c r="O20" s="136"/>
      <c r="P20" s="136"/>
      <c r="Q20" s="308"/>
      <c r="R20" s="137"/>
    </row>
    <row r="21" spans="2:18">
      <c r="B21" s="134"/>
      <c r="C21" s="135" t="s">
        <v>1389</v>
      </c>
      <c r="D21" s="136"/>
      <c r="E21" s="331">
        <f>E10-E19</f>
        <v>41.100000000000023</v>
      </c>
      <c r="F21" s="137"/>
      <c r="H21" s="134"/>
      <c r="I21" s="135" t="s">
        <v>1389</v>
      </c>
      <c r="J21" s="136"/>
      <c r="K21" s="331">
        <f>K10-K19</f>
        <v>-53.60000000000025</v>
      </c>
      <c r="L21" s="137"/>
      <c r="N21" s="134"/>
      <c r="O21" s="135" t="s">
        <v>1389</v>
      </c>
      <c r="P21" s="136"/>
      <c r="Q21" s="331">
        <f>Q10-Q19</f>
        <v>297</v>
      </c>
      <c r="R21" s="137"/>
    </row>
    <row r="22" spans="2:18">
      <c r="B22" s="134"/>
      <c r="C22" s="136"/>
      <c r="D22" s="136"/>
      <c r="E22" s="136"/>
      <c r="F22" s="137"/>
      <c r="H22" s="134"/>
      <c r="I22" s="136"/>
      <c r="J22" s="136"/>
      <c r="K22" s="136"/>
      <c r="L22" s="137"/>
      <c r="N22" s="134"/>
      <c r="O22" s="136"/>
      <c r="P22" s="136"/>
      <c r="Q22" s="136"/>
      <c r="R22" s="137"/>
    </row>
    <row r="23" spans="2:18">
      <c r="B23" s="134"/>
      <c r="C23" s="135" t="s">
        <v>1390</v>
      </c>
      <c r="D23" s="136"/>
      <c r="E23" s="136"/>
      <c r="F23" s="137"/>
      <c r="H23" s="134"/>
      <c r="I23" s="135" t="s">
        <v>1390</v>
      </c>
      <c r="J23" s="136"/>
      <c r="K23" s="136"/>
      <c r="L23" s="137"/>
      <c r="N23" s="134"/>
      <c r="O23" s="135" t="s">
        <v>1390</v>
      </c>
      <c r="P23" s="136"/>
      <c r="Q23" s="136"/>
      <c r="R23" s="137"/>
    </row>
    <row r="24" spans="2:18">
      <c r="B24" s="134"/>
      <c r="C24" s="136" t="s">
        <v>1391</v>
      </c>
      <c r="D24" s="136"/>
      <c r="E24" s="136"/>
      <c r="F24" s="137"/>
      <c r="H24" s="134"/>
      <c r="I24" s="141"/>
      <c r="J24" s="141"/>
      <c r="K24" s="141"/>
      <c r="L24" s="137"/>
      <c r="N24" s="134"/>
      <c r="O24" s="141"/>
      <c r="P24" s="141"/>
      <c r="Q24" s="141"/>
      <c r="R24" s="137"/>
    </row>
    <row r="25" spans="2:18">
      <c r="B25" s="134"/>
      <c r="C25" s="136" t="s">
        <v>1392</v>
      </c>
      <c r="D25" s="136"/>
      <c r="E25" s="136"/>
      <c r="F25" s="137"/>
      <c r="H25" s="134"/>
      <c r="I25" s="141"/>
      <c r="J25" s="141"/>
      <c r="K25" s="141"/>
      <c r="L25" s="137"/>
      <c r="N25" s="134"/>
      <c r="O25" s="141"/>
      <c r="P25" s="141"/>
      <c r="Q25" s="141"/>
      <c r="R25" s="137"/>
    </row>
    <row r="26" spans="2:18">
      <c r="B26" s="134"/>
      <c r="C26" s="136" t="s">
        <v>1393</v>
      </c>
      <c r="D26" s="136"/>
      <c r="E26" s="136"/>
      <c r="F26" s="137"/>
      <c r="H26" s="134"/>
      <c r="I26" s="141"/>
      <c r="J26" s="141"/>
      <c r="K26" s="141"/>
      <c r="L26" s="137"/>
      <c r="N26" s="134"/>
      <c r="O26" s="141"/>
      <c r="P26" s="141"/>
      <c r="Q26" s="141"/>
      <c r="R26" s="137"/>
    </row>
    <row r="27" spans="2:18">
      <c r="B27" s="134"/>
      <c r="C27" s="136" t="s">
        <v>1394</v>
      </c>
      <c r="D27" s="136"/>
      <c r="E27" s="136"/>
      <c r="F27" s="137"/>
      <c r="H27" s="134"/>
      <c r="I27" s="141"/>
      <c r="J27" s="141"/>
      <c r="K27" s="141"/>
      <c r="L27" s="137"/>
      <c r="N27" s="134"/>
      <c r="O27" s="141"/>
      <c r="P27" s="141"/>
      <c r="Q27" s="141"/>
      <c r="R27" s="137"/>
    </row>
    <row r="28" spans="2:18">
      <c r="B28" s="134"/>
      <c r="C28" s="136" t="s">
        <v>1395</v>
      </c>
      <c r="D28" s="136"/>
      <c r="E28" s="136"/>
      <c r="F28" s="137"/>
      <c r="H28" s="134"/>
      <c r="I28" s="141"/>
      <c r="J28" s="141"/>
      <c r="K28" s="141"/>
      <c r="L28" s="137"/>
      <c r="N28" s="134"/>
      <c r="O28" s="141"/>
      <c r="P28" s="141"/>
      <c r="Q28" s="141"/>
      <c r="R28" s="137"/>
    </row>
    <row r="29" spans="2:18">
      <c r="B29" s="138"/>
      <c r="C29" s="139"/>
      <c r="D29" s="139"/>
      <c r="E29" s="139"/>
      <c r="F29" s="140"/>
      <c r="H29" s="138"/>
      <c r="I29" s="139"/>
      <c r="J29" s="139"/>
      <c r="K29" s="139"/>
      <c r="L29" s="140"/>
      <c r="N29" s="138"/>
      <c r="O29" s="139"/>
      <c r="P29" s="139"/>
      <c r="Q29" s="139"/>
      <c r="R29" s="140"/>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J144"/>
  <sheetViews>
    <sheetView zoomScale="96" zoomScaleNormal="96" workbookViewId="0">
      <pane ySplit="1" topLeftCell="A51" activePane="bottomLeft" state="frozen"/>
      <selection pane="bottomLeft" activeCell="A14" sqref="A14"/>
      <selection activeCell="A14" sqref="A14"/>
    </sheetView>
  </sheetViews>
  <sheetFormatPr defaultColWidth="10.7109375" defaultRowHeight="15"/>
  <cols>
    <col min="1" max="1" width="27.5703125" bestFit="1" customWidth="1"/>
    <col min="2" max="3" width="25.7109375" customWidth="1"/>
    <col min="4" max="4" width="14.7109375" style="494" customWidth="1"/>
    <col min="5" max="5" width="14.7109375" customWidth="1"/>
    <col min="6" max="6" width="20.7109375" customWidth="1"/>
    <col min="7" max="7" width="15.7109375" customWidth="1"/>
    <col min="8" max="8" width="20.7109375" customWidth="1"/>
    <col min="9" max="9" width="15.7109375" customWidth="1"/>
  </cols>
  <sheetData>
    <row r="1" spans="1:9">
      <c r="A1" s="575" t="s">
        <v>5</v>
      </c>
      <c r="B1" s="575" t="s">
        <v>1396</v>
      </c>
      <c r="C1" s="575" t="s">
        <v>7</v>
      </c>
      <c r="D1" s="575" t="s">
        <v>1397</v>
      </c>
      <c r="E1" s="575" t="s">
        <v>1398</v>
      </c>
      <c r="F1" s="575" t="s">
        <v>1399</v>
      </c>
      <c r="G1" s="575" t="s">
        <v>1400</v>
      </c>
      <c r="H1" s="575" t="s">
        <v>1401</v>
      </c>
      <c r="I1" s="575" t="s">
        <v>1402</v>
      </c>
    </row>
    <row r="2" spans="1:9">
      <c r="A2" s="51" t="s">
        <v>248</v>
      </c>
      <c r="B2" s="51" t="s">
        <v>249</v>
      </c>
      <c r="C2" s="51" t="s">
        <v>250</v>
      </c>
      <c r="D2" s="486"/>
      <c r="E2" s="51"/>
      <c r="F2" s="51"/>
      <c r="G2" s="51" t="s">
        <v>1403</v>
      </c>
      <c r="H2" s="51"/>
      <c r="I2" s="51" t="s">
        <v>1404</v>
      </c>
    </row>
    <row r="3" spans="1:9">
      <c r="A3" s="51" t="s">
        <v>270</v>
      </c>
      <c r="B3" s="51" t="s">
        <v>271</v>
      </c>
      <c r="C3" s="51" t="s">
        <v>272</v>
      </c>
      <c r="D3" s="486"/>
      <c r="E3" s="51"/>
      <c r="F3" s="51"/>
      <c r="G3" s="51"/>
      <c r="H3" s="51"/>
      <c r="I3" s="51"/>
    </row>
    <row r="4" spans="1:9">
      <c r="A4" s="51" t="s">
        <v>197</v>
      </c>
      <c r="B4" s="51" t="s">
        <v>198</v>
      </c>
      <c r="C4" s="51" t="s">
        <v>199</v>
      </c>
      <c r="D4" s="486"/>
      <c r="E4" s="51"/>
      <c r="F4" s="51" t="s">
        <v>1405</v>
      </c>
      <c r="G4" s="51" t="s">
        <v>1406</v>
      </c>
      <c r="H4" s="51"/>
      <c r="I4" s="51"/>
    </row>
    <row r="5" spans="1:9">
      <c r="A5" s="51" t="s">
        <v>999</v>
      </c>
      <c r="B5" s="51" t="s">
        <v>1000</v>
      </c>
      <c r="C5" s="51" t="s">
        <v>1001</v>
      </c>
      <c r="D5" s="486" t="s">
        <v>1407</v>
      </c>
      <c r="E5" s="51"/>
      <c r="F5" s="51" t="s">
        <v>1000</v>
      </c>
      <c r="G5" s="51" t="s">
        <v>1407</v>
      </c>
      <c r="H5" s="51"/>
      <c r="I5" s="51"/>
    </row>
    <row r="6" spans="1:9">
      <c r="A6" s="51" t="s">
        <v>337</v>
      </c>
      <c r="B6" s="51" t="s">
        <v>338</v>
      </c>
      <c r="C6" s="51" t="s">
        <v>339</v>
      </c>
      <c r="D6" s="486"/>
      <c r="E6" s="51"/>
      <c r="F6" s="51" t="s">
        <v>1408</v>
      </c>
      <c r="G6" s="51" t="s">
        <v>1409</v>
      </c>
      <c r="H6" s="51"/>
      <c r="I6" s="51"/>
    </row>
    <row r="7" spans="1:9">
      <c r="A7" s="51" t="s">
        <v>62</v>
      </c>
      <c r="B7" s="51" t="s">
        <v>63</v>
      </c>
      <c r="C7" s="51" t="s">
        <v>64</v>
      </c>
      <c r="D7" s="486"/>
      <c r="E7" s="51"/>
      <c r="F7" s="51" t="s">
        <v>1410</v>
      </c>
      <c r="G7" s="51" t="s">
        <v>1411</v>
      </c>
      <c r="H7" s="51" t="s">
        <v>1412</v>
      </c>
      <c r="I7" s="84" t="s">
        <v>1413</v>
      </c>
    </row>
    <row r="8" spans="1:9">
      <c r="A8" s="85" t="s">
        <v>94</v>
      </c>
      <c r="B8" s="51" t="s">
        <v>1414</v>
      </c>
      <c r="C8" s="51" t="s">
        <v>96</v>
      </c>
      <c r="D8" s="486"/>
      <c r="E8" s="51"/>
      <c r="F8" s="51" t="s">
        <v>1415</v>
      </c>
      <c r="G8" s="51" t="s">
        <v>607</v>
      </c>
      <c r="H8" s="51"/>
      <c r="I8" s="51"/>
    </row>
    <row r="9" spans="1:9">
      <c r="A9" s="51" t="s">
        <v>831</v>
      </c>
      <c r="B9" s="51" t="s">
        <v>832</v>
      </c>
      <c r="C9" s="51" t="s">
        <v>833</v>
      </c>
      <c r="D9" s="486"/>
      <c r="E9" s="51"/>
      <c r="F9" s="51"/>
      <c r="G9" s="51"/>
      <c r="H9" s="51"/>
      <c r="I9" s="51"/>
    </row>
    <row r="10" spans="1:9">
      <c r="A10" s="92" t="s">
        <v>57</v>
      </c>
      <c r="B10" s="92" t="s">
        <v>1416</v>
      </c>
      <c r="C10" s="92" t="s">
        <v>59</v>
      </c>
      <c r="D10" s="487"/>
      <c r="E10" s="92"/>
      <c r="F10" s="92" t="s">
        <v>1417</v>
      </c>
      <c r="G10" s="92" t="s">
        <v>1418</v>
      </c>
      <c r="H10" s="92"/>
      <c r="I10" s="92"/>
    </row>
    <row r="11" spans="1:9">
      <c r="A11" s="92" t="s">
        <v>893</v>
      </c>
      <c r="B11" s="92" t="s">
        <v>894</v>
      </c>
      <c r="C11" s="92" t="s">
        <v>59</v>
      </c>
      <c r="D11" s="487"/>
      <c r="E11" s="92"/>
      <c r="F11" s="92" t="s">
        <v>1417</v>
      </c>
      <c r="G11" s="92" t="s">
        <v>1418</v>
      </c>
      <c r="H11" s="92"/>
      <c r="I11" s="92"/>
    </row>
    <row r="12" spans="1:9">
      <c r="A12" s="51" t="s">
        <v>1016</v>
      </c>
      <c r="B12" s="51" t="s">
        <v>1017</v>
      </c>
      <c r="C12" s="51" t="s">
        <v>59</v>
      </c>
      <c r="D12" s="486"/>
      <c r="E12" s="51"/>
      <c r="F12" s="51" t="s">
        <v>1016</v>
      </c>
      <c r="G12" s="51" t="s">
        <v>1419</v>
      </c>
      <c r="H12" s="51"/>
      <c r="I12" s="51"/>
    </row>
    <row r="13" spans="1:9">
      <c r="A13" s="51" t="s">
        <v>438</v>
      </c>
      <c r="B13" s="51" t="s">
        <v>439</v>
      </c>
      <c r="C13" s="51" t="s">
        <v>440</v>
      </c>
      <c r="D13" s="486"/>
      <c r="E13" s="51"/>
      <c r="F13" s="51" t="s">
        <v>1420</v>
      </c>
      <c r="G13" s="51"/>
      <c r="H13" s="51"/>
      <c r="I13" s="86" t="s">
        <v>1421</v>
      </c>
    </row>
    <row r="14" spans="1:9">
      <c r="A14" s="51" t="s">
        <v>1422</v>
      </c>
      <c r="B14" s="51"/>
      <c r="C14" s="51" t="s">
        <v>1423</v>
      </c>
      <c r="D14" s="486"/>
      <c r="E14" s="51"/>
      <c r="F14" s="51"/>
      <c r="G14" s="51"/>
      <c r="H14" s="51"/>
      <c r="I14" s="51"/>
    </row>
    <row r="15" spans="1:9">
      <c r="A15" s="51" t="s">
        <v>1424</v>
      </c>
      <c r="B15" s="51"/>
      <c r="C15" s="51" t="s">
        <v>1425</v>
      </c>
      <c r="D15" s="486"/>
      <c r="E15" s="51"/>
      <c r="F15" s="51"/>
      <c r="G15" s="51"/>
      <c r="H15" s="51"/>
      <c r="I15" s="51"/>
    </row>
    <row r="16" spans="1:9">
      <c r="A16" s="85" t="s">
        <v>177</v>
      </c>
      <c r="B16" s="51" t="s">
        <v>942</v>
      </c>
      <c r="C16" s="51" t="s">
        <v>179</v>
      </c>
      <c r="D16" s="486"/>
      <c r="E16" s="51"/>
      <c r="F16" s="51" t="s">
        <v>1426</v>
      </c>
      <c r="G16" s="51" t="s">
        <v>1427</v>
      </c>
      <c r="H16" s="51" t="s">
        <v>178</v>
      </c>
      <c r="I16" s="51"/>
    </row>
    <row r="17" spans="1:9">
      <c r="A17" s="51" t="s">
        <v>264</v>
      </c>
      <c r="B17" s="51" t="s">
        <v>265</v>
      </c>
      <c r="C17" s="51" t="s">
        <v>266</v>
      </c>
      <c r="D17" s="486"/>
      <c r="E17" s="51"/>
      <c r="F17" s="51" t="s">
        <v>1428</v>
      </c>
      <c r="G17" s="51" t="s">
        <v>1429</v>
      </c>
      <c r="H17" s="51"/>
      <c r="I17" s="51"/>
    </row>
    <row r="18" spans="1:9">
      <c r="A18" s="51" t="s">
        <v>1430</v>
      </c>
      <c r="B18" s="51"/>
      <c r="C18" s="51" t="s">
        <v>1431</v>
      </c>
      <c r="D18" s="486"/>
      <c r="E18" s="51"/>
      <c r="F18" s="51"/>
      <c r="G18" s="51"/>
      <c r="H18" s="51"/>
      <c r="I18" s="51"/>
    </row>
    <row r="19" spans="1:9">
      <c r="A19" s="51" t="s">
        <v>1432</v>
      </c>
      <c r="B19" s="51" t="s">
        <v>1433</v>
      </c>
      <c r="C19" s="51" t="s">
        <v>1431</v>
      </c>
      <c r="D19" s="486"/>
      <c r="E19" s="51"/>
      <c r="F19" s="51"/>
      <c r="G19" s="51"/>
      <c r="H19" s="51"/>
      <c r="I19" s="51"/>
    </row>
    <row r="20" spans="1:9">
      <c r="A20" s="51" t="s">
        <v>334</v>
      </c>
      <c r="B20" s="51" t="s">
        <v>85</v>
      </c>
      <c r="C20" s="51" t="s">
        <v>335</v>
      </c>
      <c r="D20" s="486"/>
      <c r="E20" s="51"/>
      <c r="F20" s="51" t="s">
        <v>1434</v>
      </c>
      <c r="G20" s="51" t="s">
        <v>1435</v>
      </c>
      <c r="H20" s="51"/>
      <c r="I20" s="51"/>
    </row>
    <row r="21" spans="1:9">
      <c r="A21" s="87" t="s">
        <v>1436</v>
      </c>
      <c r="B21" s="87"/>
      <c r="C21" s="87" t="s">
        <v>1437</v>
      </c>
      <c r="D21" s="488"/>
      <c r="E21" s="87"/>
      <c r="F21" s="87"/>
      <c r="G21" s="87"/>
      <c r="H21" s="87"/>
      <c r="I21" s="87"/>
    </row>
    <row r="22" spans="1:9">
      <c r="A22" s="87" t="s">
        <v>1438</v>
      </c>
      <c r="B22" s="87"/>
      <c r="C22" s="87" t="s">
        <v>1439</v>
      </c>
      <c r="D22" s="488"/>
      <c r="E22" s="87"/>
      <c r="F22" s="87"/>
      <c r="G22" s="87"/>
      <c r="H22" s="87"/>
      <c r="I22" s="87"/>
    </row>
    <row r="23" spans="1:9">
      <c r="A23" s="87" t="s">
        <v>1440</v>
      </c>
      <c r="B23" s="87"/>
      <c r="C23" s="87" t="s">
        <v>1441</v>
      </c>
      <c r="D23" s="488"/>
      <c r="E23" s="87"/>
      <c r="F23" s="87"/>
      <c r="G23" s="87"/>
      <c r="H23" s="87"/>
      <c r="I23" s="87"/>
    </row>
    <row r="24" spans="1:9">
      <c r="A24" s="87" t="s">
        <v>1442</v>
      </c>
      <c r="B24" s="87"/>
      <c r="C24" s="87" t="s">
        <v>1443</v>
      </c>
      <c r="D24" s="488"/>
      <c r="E24" s="87"/>
      <c r="F24" s="87"/>
      <c r="G24" s="87"/>
      <c r="H24" s="87"/>
      <c r="I24" s="87"/>
    </row>
    <row r="25" spans="1:9">
      <c r="A25" s="87" t="s">
        <v>1444</v>
      </c>
      <c r="B25" s="87" t="s">
        <v>1445</v>
      </c>
      <c r="C25" s="87" t="s">
        <v>1446</v>
      </c>
      <c r="D25" s="488"/>
      <c r="E25" s="87"/>
      <c r="F25" s="87"/>
      <c r="G25" s="87"/>
      <c r="H25" s="87"/>
      <c r="I25" s="87"/>
    </row>
    <row r="26" spans="1:9">
      <c r="A26" s="87" t="s">
        <v>1447</v>
      </c>
      <c r="B26" s="87"/>
      <c r="C26" s="87" t="s">
        <v>1448</v>
      </c>
      <c r="D26" s="488"/>
      <c r="E26" s="87"/>
      <c r="F26" s="87"/>
      <c r="G26" s="87"/>
      <c r="H26" s="87"/>
      <c r="I26" s="87"/>
    </row>
    <row r="27" spans="1:9">
      <c r="A27" s="87" t="s">
        <v>1449</v>
      </c>
      <c r="B27" s="87"/>
      <c r="C27" s="87" t="s">
        <v>1450</v>
      </c>
      <c r="D27" s="488"/>
      <c r="E27" s="87"/>
      <c r="F27" s="87"/>
      <c r="G27" s="87"/>
      <c r="H27" s="87"/>
      <c r="I27" s="87"/>
    </row>
    <row r="28" spans="1:9">
      <c r="A28" s="87" t="s">
        <v>1451</v>
      </c>
      <c r="B28" s="87"/>
      <c r="C28" s="87" t="s">
        <v>1452</v>
      </c>
      <c r="D28" s="488"/>
      <c r="E28" s="87"/>
      <c r="F28" s="87"/>
      <c r="G28" s="87"/>
      <c r="H28" s="87"/>
      <c r="I28" s="87"/>
    </row>
    <row r="29" spans="1:9">
      <c r="A29" s="87" t="s">
        <v>1453</v>
      </c>
      <c r="B29" s="87"/>
      <c r="C29" s="87" t="s">
        <v>1454</v>
      </c>
      <c r="D29" s="488"/>
      <c r="E29" s="87"/>
      <c r="F29" s="87"/>
      <c r="G29" s="87"/>
      <c r="H29" s="87"/>
      <c r="I29" s="87"/>
    </row>
    <row r="30" spans="1:9">
      <c r="A30" s="87" t="s">
        <v>1455</v>
      </c>
      <c r="B30" s="87"/>
      <c r="C30" s="87" t="s">
        <v>1456</v>
      </c>
      <c r="D30" s="488"/>
      <c r="E30" s="87"/>
      <c r="F30" s="87"/>
      <c r="G30" s="87"/>
      <c r="H30" s="87"/>
      <c r="I30" s="87"/>
    </row>
    <row r="31" spans="1:9">
      <c r="A31" s="87" t="s">
        <v>1457</v>
      </c>
      <c r="B31" s="87"/>
      <c r="C31" s="87" t="s">
        <v>1458</v>
      </c>
      <c r="D31" s="488"/>
      <c r="E31" s="87"/>
      <c r="F31" s="87"/>
      <c r="G31" s="87"/>
      <c r="H31" s="87"/>
      <c r="I31" s="87"/>
    </row>
    <row r="32" spans="1:9">
      <c r="A32" s="87" t="s">
        <v>1459</v>
      </c>
      <c r="B32" s="87"/>
      <c r="C32" s="87" t="s">
        <v>1460</v>
      </c>
      <c r="D32" s="488"/>
      <c r="E32" s="87"/>
      <c r="F32" s="87"/>
      <c r="G32" s="87"/>
      <c r="H32" s="87"/>
      <c r="I32" s="87"/>
    </row>
    <row r="33" spans="1:9" ht="24.75">
      <c r="A33" s="85" t="s">
        <v>48</v>
      </c>
      <c r="B33" s="51" t="s">
        <v>49</v>
      </c>
      <c r="C33" s="51" t="s">
        <v>50</v>
      </c>
      <c r="D33" s="486"/>
      <c r="E33" s="51"/>
      <c r="F33" s="601" t="s">
        <v>1461</v>
      </c>
      <c r="G33" s="51"/>
      <c r="H33" s="51" t="s">
        <v>1462</v>
      </c>
      <c r="I33" s="51"/>
    </row>
    <row r="34" spans="1:9">
      <c r="A34" s="85" t="s">
        <v>1187</v>
      </c>
      <c r="B34" s="51" t="s">
        <v>1188</v>
      </c>
      <c r="C34" s="51" t="s">
        <v>50</v>
      </c>
      <c r="D34" s="486"/>
      <c r="E34" s="51"/>
      <c r="F34" s="51" t="s">
        <v>1462</v>
      </c>
      <c r="G34" s="51"/>
      <c r="I34" s="51"/>
    </row>
    <row r="35" spans="1:9">
      <c r="A35" s="51" t="s">
        <v>1463</v>
      </c>
      <c r="B35" s="51"/>
      <c r="C35" s="51" t="s">
        <v>1464</v>
      </c>
      <c r="D35" s="486"/>
      <c r="E35" s="51"/>
      <c r="F35" s="51"/>
      <c r="G35" s="51"/>
      <c r="H35" s="51"/>
      <c r="I35" s="51"/>
    </row>
    <row r="36" spans="1:9">
      <c r="A36" s="51" t="s">
        <v>100</v>
      </c>
      <c r="B36" s="51" t="s">
        <v>1465</v>
      </c>
      <c r="C36" s="51" t="s">
        <v>101</v>
      </c>
      <c r="D36" s="486"/>
      <c r="E36" s="51"/>
      <c r="F36" s="51"/>
      <c r="G36" s="51" t="s">
        <v>1414</v>
      </c>
      <c r="H36" s="51"/>
      <c r="I36" s="51"/>
    </row>
    <row r="37" spans="1:9">
      <c r="A37" s="51" t="s">
        <v>28</v>
      </c>
      <c r="B37" s="51" t="s">
        <v>716</v>
      </c>
      <c r="C37" s="51" t="s">
        <v>30</v>
      </c>
      <c r="D37" s="486"/>
      <c r="E37" s="51"/>
      <c r="F37" s="51" t="s">
        <v>1466</v>
      </c>
      <c r="G37" s="51" t="s">
        <v>1467</v>
      </c>
      <c r="H37" s="51" t="s">
        <v>29</v>
      </c>
      <c r="I37" s="51"/>
    </row>
    <row r="38" spans="1:9">
      <c r="A38" s="51" t="s">
        <v>118</v>
      </c>
      <c r="B38" s="51" t="s">
        <v>119</v>
      </c>
      <c r="C38" s="51" t="s">
        <v>120</v>
      </c>
      <c r="D38" s="486"/>
      <c r="E38" s="51"/>
      <c r="F38" s="51" t="s">
        <v>118</v>
      </c>
      <c r="G38" s="51" t="s">
        <v>1468</v>
      </c>
      <c r="H38" s="51"/>
      <c r="I38" s="51"/>
    </row>
    <row r="39" spans="1:9">
      <c r="A39" s="51" t="s">
        <v>353</v>
      </c>
      <c r="B39" s="51" t="s">
        <v>354</v>
      </c>
      <c r="C39" s="51" t="s">
        <v>355</v>
      </c>
      <c r="D39" s="486"/>
      <c r="E39" s="51"/>
      <c r="F39" s="51" t="s">
        <v>1469</v>
      </c>
      <c r="G39" s="51" t="s">
        <v>1470</v>
      </c>
      <c r="H39" s="51"/>
      <c r="I39" s="51"/>
    </row>
    <row r="40" spans="1:9">
      <c r="A40" s="51" t="s">
        <v>18</v>
      </c>
      <c r="B40" s="51" t="s">
        <v>19</v>
      </c>
      <c r="C40" s="51" t="s">
        <v>20</v>
      </c>
      <c r="D40" s="486"/>
      <c r="E40" s="51"/>
      <c r="F40" s="51" t="s">
        <v>1471</v>
      </c>
      <c r="G40" s="51" t="s">
        <v>1472</v>
      </c>
      <c r="H40" s="51"/>
      <c r="I40" s="51"/>
    </row>
    <row r="41" spans="1:9">
      <c r="A41" s="51" t="s">
        <v>324</v>
      </c>
      <c r="B41" s="51" t="s">
        <v>325</v>
      </c>
      <c r="C41" s="51" t="s">
        <v>326</v>
      </c>
      <c r="D41" s="486"/>
      <c r="E41" s="51"/>
      <c r="F41" s="51" t="s">
        <v>1473</v>
      </c>
      <c r="G41" s="51" t="s">
        <v>1474</v>
      </c>
      <c r="H41" s="51"/>
      <c r="I41" s="51"/>
    </row>
    <row r="42" spans="1:9">
      <c r="A42" s="92" t="s">
        <v>479</v>
      </c>
      <c r="B42" s="92" t="s">
        <v>480</v>
      </c>
      <c r="C42" s="92" t="s">
        <v>481</v>
      </c>
      <c r="D42" s="487"/>
      <c r="E42" s="92"/>
      <c r="F42" s="92"/>
      <c r="G42" s="92"/>
      <c r="H42" s="92"/>
      <c r="I42" s="92"/>
    </row>
    <row r="43" spans="1:9" ht="15.75" thickBot="1">
      <c r="A43" s="51" t="s">
        <v>1070</v>
      </c>
      <c r="B43" s="51"/>
      <c r="C43" s="51" t="s">
        <v>481</v>
      </c>
      <c r="D43" s="486"/>
      <c r="E43" s="51"/>
      <c r="F43" s="51"/>
      <c r="G43" s="51"/>
      <c r="H43" s="51"/>
      <c r="I43" s="51"/>
    </row>
    <row r="44" spans="1:9" ht="15.75" thickBot="1">
      <c r="A44" s="88" t="s">
        <v>454</v>
      </c>
      <c r="B44" s="89" t="s">
        <v>761</v>
      </c>
      <c r="C44" s="89" t="s">
        <v>455</v>
      </c>
      <c r="D44" s="489"/>
      <c r="E44" s="89"/>
      <c r="F44" s="89"/>
      <c r="G44" s="89"/>
      <c r="H44" s="90" t="s">
        <v>1475</v>
      </c>
      <c r="I44" s="91"/>
    </row>
    <row r="45" spans="1:9">
      <c r="A45" s="92" t="s">
        <v>148</v>
      </c>
      <c r="B45" s="92" t="s">
        <v>149</v>
      </c>
      <c r="C45" s="92" t="s">
        <v>150</v>
      </c>
      <c r="D45" s="487"/>
      <c r="E45" s="92"/>
      <c r="F45" s="92" t="s">
        <v>1476</v>
      </c>
      <c r="G45" s="92" t="s">
        <v>1477</v>
      </c>
      <c r="H45" s="92"/>
      <c r="I45" s="92"/>
    </row>
    <row r="46" spans="1:9">
      <c r="A46" s="92" t="s">
        <v>698</v>
      </c>
      <c r="B46" s="92" t="s">
        <v>699</v>
      </c>
      <c r="C46" s="92" t="s">
        <v>150</v>
      </c>
      <c r="D46" s="487"/>
      <c r="E46" s="92"/>
      <c r="F46" s="92" t="s">
        <v>1476</v>
      </c>
      <c r="G46" s="92" t="s">
        <v>1477</v>
      </c>
      <c r="H46" s="92"/>
      <c r="I46" s="92"/>
    </row>
    <row r="47" spans="1:9">
      <c r="A47" s="51" t="s">
        <v>936</v>
      </c>
      <c r="B47" t="s">
        <v>937</v>
      </c>
      <c r="C47" s="51" t="s">
        <v>150</v>
      </c>
      <c r="D47" s="486"/>
      <c r="E47" s="51"/>
      <c r="F47" s="51" t="s">
        <v>1476</v>
      </c>
      <c r="G47" s="51" t="s">
        <v>1477</v>
      </c>
      <c r="H47" s="51"/>
      <c r="I47" s="51"/>
    </row>
    <row r="48" spans="1:9">
      <c r="A48" s="51" t="s">
        <v>342</v>
      </c>
      <c r="B48" s="51" t="s">
        <v>343</v>
      </c>
      <c r="C48" s="51" t="s">
        <v>344</v>
      </c>
      <c r="D48" s="486"/>
      <c r="E48" s="51"/>
      <c r="F48" s="51"/>
      <c r="G48" s="51" t="s">
        <v>1478</v>
      </c>
      <c r="H48" s="51"/>
      <c r="I48" s="51"/>
    </row>
    <row r="49" spans="1:9">
      <c r="A49" s="51" t="s">
        <v>284</v>
      </c>
      <c r="B49" s="51" t="s">
        <v>687</v>
      </c>
      <c r="C49" s="51" t="s">
        <v>285</v>
      </c>
      <c r="D49" s="486"/>
      <c r="E49" s="51"/>
      <c r="F49" s="51" t="s">
        <v>1479</v>
      </c>
      <c r="G49" s="51" t="s">
        <v>276</v>
      </c>
      <c r="H49" s="51" t="s">
        <v>687</v>
      </c>
      <c r="I49" s="51"/>
    </row>
    <row r="50" spans="1:9">
      <c r="A50" s="92" t="s">
        <v>1114</v>
      </c>
      <c r="B50" s="92" t="s">
        <v>1115</v>
      </c>
      <c r="C50" s="92" t="s">
        <v>1116</v>
      </c>
      <c r="D50" s="487"/>
      <c r="E50" s="92"/>
      <c r="F50" s="92"/>
      <c r="G50" s="92"/>
      <c r="H50" s="92" t="s">
        <v>1480</v>
      </c>
      <c r="I50" s="92"/>
    </row>
    <row r="51" spans="1:9">
      <c r="A51" s="51" t="s">
        <v>1139</v>
      </c>
      <c r="B51" s="51" t="s">
        <v>1140</v>
      </c>
      <c r="C51" s="51" t="s">
        <v>1116</v>
      </c>
      <c r="D51" s="486"/>
      <c r="E51" s="51"/>
      <c r="F51" s="51" t="s">
        <v>1481</v>
      </c>
      <c r="G51" s="51" t="s">
        <v>1482</v>
      </c>
      <c r="H51" s="51"/>
      <c r="I51" s="51"/>
    </row>
    <row r="52" spans="1:9">
      <c r="A52" s="51" t="s">
        <v>1483</v>
      </c>
      <c r="B52" s="51"/>
      <c r="C52" s="51" t="s">
        <v>773</v>
      </c>
      <c r="D52" s="486"/>
      <c r="E52" s="51"/>
      <c r="F52" s="93"/>
      <c r="G52" s="94"/>
      <c r="H52" s="51"/>
      <c r="I52" s="86"/>
    </row>
    <row r="53" spans="1:9" ht="27.75">
      <c r="A53" s="51" t="s">
        <v>771</v>
      </c>
      <c r="B53" s="51" t="s">
        <v>772</v>
      </c>
      <c r="C53" s="51" t="s">
        <v>773</v>
      </c>
      <c r="D53" s="486"/>
      <c r="E53" s="51"/>
      <c r="F53" s="93" t="s">
        <v>1484</v>
      </c>
      <c r="G53" s="94" t="s">
        <v>1485</v>
      </c>
      <c r="H53" s="51"/>
      <c r="I53" s="86" t="s">
        <v>1486</v>
      </c>
    </row>
    <row r="54" spans="1:9">
      <c r="A54" s="51" t="s">
        <v>70</v>
      </c>
      <c r="B54" s="51" t="s">
        <v>71</v>
      </c>
      <c r="C54" s="51" t="s">
        <v>72</v>
      </c>
      <c r="D54" s="486"/>
      <c r="E54" s="51"/>
      <c r="F54" s="51" t="s">
        <v>1487</v>
      </c>
      <c r="G54" s="51"/>
      <c r="H54" s="51"/>
      <c r="I54" s="51"/>
    </row>
    <row r="55" spans="1:9">
      <c r="A55" s="51" t="s">
        <v>107</v>
      </c>
      <c r="B55" s="51" t="s">
        <v>108</v>
      </c>
      <c r="C55" s="51" t="s">
        <v>109</v>
      </c>
      <c r="D55" s="486"/>
      <c r="E55" s="51"/>
      <c r="F55" s="51" t="s">
        <v>1488</v>
      </c>
      <c r="G55" s="51" t="s">
        <v>1489</v>
      </c>
      <c r="H55" s="51"/>
      <c r="I55" s="51"/>
    </row>
    <row r="56" spans="1:9">
      <c r="A56" s="51" t="s">
        <v>239</v>
      </c>
      <c r="B56" s="51" t="s">
        <v>240</v>
      </c>
      <c r="C56" s="51" t="s">
        <v>241</v>
      </c>
      <c r="D56" s="486"/>
      <c r="E56" s="51"/>
      <c r="F56" s="51"/>
      <c r="G56" s="51" t="s">
        <v>1490</v>
      </c>
      <c r="H56" s="51"/>
      <c r="I56" s="51"/>
    </row>
    <row r="57" spans="1:9">
      <c r="A57" s="51" t="s">
        <v>594</v>
      </c>
      <c r="B57" s="51" t="s">
        <v>595</v>
      </c>
      <c r="C57" s="51" t="s">
        <v>596</v>
      </c>
      <c r="D57" s="486"/>
      <c r="E57" s="51"/>
      <c r="F57" s="51"/>
      <c r="G57" s="51"/>
      <c r="H57" s="51"/>
      <c r="I57" s="51"/>
    </row>
    <row r="58" spans="1:9" ht="15.75" thickBot="1">
      <c r="A58" s="51" t="s">
        <v>44</v>
      </c>
      <c r="B58" s="51" t="s">
        <v>45</v>
      </c>
      <c r="C58" s="51" t="s">
        <v>46</v>
      </c>
      <c r="D58" s="486"/>
      <c r="E58" s="51"/>
      <c r="F58" s="51" t="s">
        <v>1491</v>
      </c>
      <c r="G58" s="51"/>
      <c r="H58" s="51" t="s">
        <v>1492</v>
      </c>
      <c r="I58" s="51" t="s">
        <v>1493</v>
      </c>
    </row>
    <row r="59" spans="1:9" ht="15.75" thickBot="1">
      <c r="A59" s="88" t="s">
        <v>410</v>
      </c>
      <c r="B59" s="89" t="s">
        <v>1494</v>
      </c>
      <c r="C59" s="89" t="s">
        <v>411</v>
      </c>
      <c r="D59" s="489" t="s">
        <v>1494</v>
      </c>
      <c r="E59" s="89"/>
      <c r="F59" s="89"/>
      <c r="G59" s="89" t="s">
        <v>1494</v>
      </c>
      <c r="H59" s="90" t="s">
        <v>1475</v>
      </c>
      <c r="I59" s="91"/>
    </row>
    <row r="60" spans="1:9">
      <c r="A60" s="51" t="s">
        <v>201</v>
      </c>
      <c r="B60" s="51" t="s">
        <v>202</v>
      </c>
      <c r="C60" s="51" t="s">
        <v>203</v>
      </c>
      <c r="D60" s="486"/>
      <c r="E60" s="51"/>
      <c r="F60" s="51" t="s">
        <v>1495</v>
      </c>
      <c r="G60" s="51" t="s">
        <v>1496</v>
      </c>
      <c r="H60" s="51"/>
      <c r="I60" s="51"/>
    </row>
    <row r="61" spans="1:9">
      <c r="A61" s="51" t="s">
        <v>66</v>
      </c>
      <c r="B61" s="51" t="s">
        <v>67</v>
      </c>
      <c r="C61" s="51" t="s">
        <v>68</v>
      </c>
      <c r="D61" s="486"/>
      <c r="E61" s="51"/>
      <c r="F61" s="51"/>
      <c r="G61" s="51" t="s">
        <v>1497</v>
      </c>
      <c r="H61" s="51"/>
      <c r="I61" s="51"/>
    </row>
    <row r="62" spans="1:9">
      <c r="A62" s="85" t="s">
        <v>84</v>
      </c>
      <c r="B62" s="51" t="s">
        <v>85</v>
      </c>
      <c r="C62" s="51" t="s">
        <v>86</v>
      </c>
      <c r="D62" s="486"/>
      <c r="E62" s="51"/>
      <c r="F62" s="51"/>
      <c r="G62" s="51" t="s">
        <v>1498</v>
      </c>
      <c r="H62" s="51"/>
      <c r="I62" s="51"/>
    </row>
    <row r="63" spans="1:9">
      <c r="A63" s="51" t="s">
        <v>948</v>
      </c>
      <c r="B63" s="51" t="s">
        <v>949</v>
      </c>
      <c r="C63" s="51" t="s">
        <v>950</v>
      </c>
      <c r="D63" s="486"/>
      <c r="E63" s="51"/>
      <c r="F63" s="51" t="s">
        <v>1499</v>
      </c>
      <c r="G63" s="51"/>
      <c r="H63" s="51" t="s">
        <v>1500</v>
      </c>
      <c r="I63" s="51"/>
    </row>
    <row r="64" spans="1:9">
      <c r="A64" s="51" t="s">
        <v>1501</v>
      </c>
      <c r="B64" s="51"/>
      <c r="C64" s="51" t="s">
        <v>1502</v>
      </c>
      <c r="D64" s="486"/>
      <c r="E64" s="51"/>
      <c r="F64" s="51"/>
      <c r="G64" s="51"/>
      <c r="H64" s="51"/>
      <c r="I64" s="51"/>
    </row>
    <row r="65" spans="1:9" ht="15.75" thickBot="1">
      <c r="A65" s="51" t="s">
        <v>103</v>
      </c>
      <c r="B65" s="51" t="s">
        <v>104</v>
      </c>
      <c r="C65" s="51" t="s">
        <v>105</v>
      </c>
      <c r="D65" s="486"/>
      <c r="E65" s="51"/>
      <c r="F65" s="51"/>
      <c r="G65" s="51" t="s">
        <v>1503</v>
      </c>
      <c r="H65" s="51"/>
      <c r="I65" s="51"/>
    </row>
    <row r="66" spans="1:9">
      <c r="A66" s="51" t="s">
        <v>1239</v>
      </c>
      <c r="B66" s="51" t="s">
        <v>1240</v>
      </c>
      <c r="C66" s="51" t="s">
        <v>105</v>
      </c>
      <c r="D66" s="486"/>
      <c r="E66" s="51"/>
      <c r="F66" s="51" t="s">
        <v>1504</v>
      </c>
      <c r="G66" s="51" t="s">
        <v>1505</v>
      </c>
      <c r="H66" s="51" t="s">
        <v>1506</v>
      </c>
      <c r="I66" s="51" t="s">
        <v>1507</v>
      </c>
    </row>
    <row r="67" spans="1:9" ht="15.75" thickBot="1">
      <c r="A67" s="88" t="s">
        <v>319</v>
      </c>
      <c r="B67" s="89"/>
      <c r="C67" s="89" t="s">
        <v>320</v>
      </c>
      <c r="D67" s="489" t="s">
        <v>1508</v>
      </c>
      <c r="E67" s="89"/>
      <c r="F67" s="89" t="s">
        <v>1509</v>
      </c>
      <c r="G67" s="89" t="s">
        <v>1508</v>
      </c>
      <c r="H67" s="90" t="s">
        <v>1475</v>
      </c>
      <c r="I67" s="91" t="s">
        <v>1510</v>
      </c>
    </row>
    <row r="68" spans="1:9">
      <c r="A68" s="51" t="s">
        <v>53</v>
      </c>
      <c r="B68" s="51" t="s">
        <v>677</v>
      </c>
      <c r="C68" s="51" t="s">
        <v>55</v>
      </c>
      <c r="D68" s="486"/>
      <c r="E68" s="51"/>
      <c r="F68" s="51" t="s">
        <v>1511</v>
      </c>
      <c r="G68" s="51" t="s">
        <v>1512</v>
      </c>
      <c r="H68" s="51"/>
      <c r="I68" s="51" t="s">
        <v>54</v>
      </c>
    </row>
    <row r="69" spans="1:9">
      <c r="A69" s="51" t="s">
        <v>492</v>
      </c>
      <c r="B69" s="51"/>
      <c r="C69" s="51" t="s">
        <v>493</v>
      </c>
      <c r="D69" s="486"/>
      <c r="E69" s="51"/>
      <c r="F69" s="51"/>
      <c r="G69" s="51"/>
      <c r="H69" s="51"/>
      <c r="I69" s="51"/>
    </row>
    <row r="70" spans="1:9">
      <c r="A70" s="51" t="s">
        <v>1513</v>
      </c>
      <c r="B70" s="51"/>
      <c r="C70" s="51" t="s">
        <v>1514</v>
      </c>
      <c r="D70" s="486"/>
      <c r="E70" s="51"/>
      <c r="F70" s="51"/>
      <c r="G70" s="51"/>
      <c r="H70" s="51"/>
      <c r="I70" s="51"/>
    </row>
    <row r="71" spans="1:9" ht="15.75" thickBot="1">
      <c r="A71" s="51" t="s">
        <v>90</v>
      </c>
      <c r="B71" s="51" t="s">
        <v>91</v>
      </c>
      <c r="C71" s="51" t="s">
        <v>92</v>
      </c>
      <c r="D71" s="486"/>
      <c r="E71" s="51"/>
      <c r="F71" s="51" t="s">
        <v>1515</v>
      </c>
      <c r="G71" s="51" t="s">
        <v>1516</v>
      </c>
      <c r="H71" s="51"/>
      <c r="I71" s="51" t="s">
        <v>1517</v>
      </c>
    </row>
    <row r="72" spans="1:9" ht="15.75" thickBot="1">
      <c r="A72" s="95" t="s">
        <v>397</v>
      </c>
      <c r="B72" s="51" t="s">
        <v>682</v>
      </c>
      <c r="C72" s="96" t="s">
        <v>398</v>
      </c>
      <c r="D72" s="490"/>
      <c r="E72" s="97"/>
      <c r="F72" s="97"/>
      <c r="G72" s="97"/>
      <c r="H72" s="90" t="s">
        <v>1475</v>
      </c>
      <c r="I72" s="98" t="s">
        <v>1518</v>
      </c>
    </row>
    <row r="73" spans="1:9">
      <c r="A73" s="51" t="s">
        <v>275</v>
      </c>
      <c r="B73" s="51" t="s">
        <v>276</v>
      </c>
      <c r="C73" s="85" t="s">
        <v>277</v>
      </c>
      <c r="D73" s="486"/>
      <c r="E73" s="51"/>
      <c r="F73" s="51" t="s">
        <v>1479</v>
      </c>
      <c r="G73" s="51" t="s">
        <v>276</v>
      </c>
      <c r="H73" s="51"/>
      <c r="I73" s="51"/>
    </row>
    <row r="74" spans="1:9">
      <c r="A74" s="51" t="s">
        <v>1519</v>
      </c>
      <c r="B74" s="51"/>
      <c r="C74" s="51" t="s">
        <v>1520</v>
      </c>
      <c r="D74" s="486"/>
      <c r="E74" s="51"/>
      <c r="F74" s="51"/>
      <c r="G74" s="51"/>
      <c r="H74" s="51"/>
      <c r="I74" s="51"/>
    </row>
    <row r="75" spans="1:9">
      <c r="A75" s="51" t="s">
        <v>1521</v>
      </c>
      <c r="B75" s="51" t="s">
        <v>1522</v>
      </c>
      <c r="C75" s="51" t="s">
        <v>1523</v>
      </c>
      <c r="D75" s="486"/>
      <c r="E75" s="51"/>
      <c r="F75" s="51"/>
      <c r="G75" s="51"/>
      <c r="H75" s="51"/>
      <c r="I75" s="51"/>
    </row>
    <row r="76" spans="1:9">
      <c r="A76" s="51" t="s">
        <v>243</v>
      </c>
      <c r="B76" s="51" t="s">
        <v>244</v>
      </c>
      <c r="C76" s="51" t="s">
        <v>245</v>
      </c>
      <c r="D76" s="486"/>
      <c r="E76" s="51"/>
      <c r="F76" s="51" t="s">
        <v>1524</v>
      </c>
      <c r="G76" s="51" t="s">
        <v>1525</v>
      </c>
      <c r="H76" s="51"/>
      <c r="I76" s="51" t="s">
        <v>1526</v>
      </c>
    </row>
    <row r="77" spans="1:9">
      <c r="A77" s="51" t="s">
        <v>1527</v>
      </c>
      <c r="B77" s="51"/>
      <c r="C77" s="51" t="s">
        <v>614</v>
      </c>
      <c r="D77" s="486"/>
      <c r="E77" s="51"/>
      <c r="F77" s="51"/>
      <c r="G77" s="51"/>
      <c r="H77" s="51"/>
      <c r="I77" s="51"/>
    </row>
    <row r="78" spans="1:9">
      <c r="A78" s="51" t="s">
        <v>612</v>
      </c>
      <c r="B78" s="51" t="s">
        <v>613</v>
      </c>
      <c r="C78" s="51" t="s">
        <v>614</v>
      </c>
      <c r="D78" s="486"/>
      <c r="E78" s="51"/>
      <c r="F78" s="51"/>
      <c r="G78" s="51"/>
      <c r="H78" s="51"/>
      <c r="I78" s="86" t="s">
        <v>1528</v>
      </c>
    </row>
    <row r="79" spans="1:9">
      <c r="A79" s="51" t="s">
        <v>362</v>
      </c>
      <c r="B79" s="51" t="s">
        <v>363</v>
      </c>
      <c r="C79" s="51" t="s">
        <v>364</v>
      </c>
      <c r="D79" s="486"/>
      <c r="E79" s="51"/>
      <c r="F79" s="51" t="s">
        <v>1529</v>
      </c>
      <c r="G79" s="51" t="s">
        <v>1530</v>
      </c>
      <c r="H79" s="51" t="s">
        <v>1531</v>
      </c>
      <c r="I79" s="51" t="s">
        <v>1532</v>
      </c>
    </row>
    <row r="80" spans="1:9">
      <c r="A80" s="51" t="s">
        <v>633</v>
      </c>
      <c r="B80" s="51" t="s">
        <v>634</v>
      </c>
      <c r="C80" s="51" t="s">
        <v>635</v>
      </c>
      <c r="D80" s="486"/>
      <c r="E80" s="51"/>
      <c r="F80" s="51"/>
      <c r="G80" s="51" t="s">
        <v>1533</v>
      </c>
      <c r="H80" s="51"/>
      <c r="I80" s="51"/>
    </row>
    <row r="81" spans="1:9">
      <c r="A81" s="51" t="s">
        <v>433</v>
      </c>
      <c r="B81" s="51" t="s">
        <v>434</v>
      </c>
      <c r="C81" s="51" t="s">
        <v>435</v>
      </c>
      <c r="D81" s="486"/>
      <c r="E81" s="51"/>
      <c r="F81" s="51" t="s">
        <v>1534</v>
      </c>
      <c r="G81" s="51" t="s">
        <v>1535</v>
      </c>
      <c r="H81" s="51"/>
      <c r="I81" s="51"/>
    </row>
    <row r="82" spans="1:9">
      <c r="A82" s="85" t="s">
        <v>144</v>
      </c>
      <c r="B82" s="51" t="s">
        <v>661</v>
      </c>
      <c r="C82" s="51" t="s">
        <v>146</v>
      </c>
      <c r="D82" s="486"/>
      <c r="E82" s="51"/>
      <c r="F82" s="99" t="s">
        <v>1536</v>
      </c>
      <c r="G82" s="51" t="s">
        <v>1537</v>
      </c>
      <c r="H82" s="51" t="s">
        <v>145</v>
      </c>
      <c r="I82" s="51" t="s">
        <v>661</v>
      </c>
    </row>
    <row r="83" spans="1:9" ht="15.75" thickBot="1">
      <c r="A83" s="85" t="s">
        <v>1538</v>
      </c>
      <c r="B83" s="51" t="s">
        <v>1539</v>
      </c>
      <c r="C83" s="51" t="s">
        <v>1540</v>
      </c>
      <c r="D83" s="486"/>
      <c r="E83" s="51"/>
      <c r="F83" s="51" t="s">
        <v>1541</v>
      </c>
      <c r="G83" s="51" t="s">
        <v>1542</v>
      </c>
      <c r="H83" s="51"/>
      <c r="I83" s="51"/>
    </row>
    <row r="84" spans="1:9" ht="15.75" thickBot="1">
      <c r="A84" s="100" t="s">
        <v>303</v>
      </c>
      <c r="B84" s="89"/>
      <c r="C84" s="89" t="s">
        <v>304</v>
      </c>
      <c r="D84" s="489"/>
      <c r="E84" s="89"/>
      <c r="F84" s="89" t="s">
        <v>1543</v>
      </c>
      <c r="G84" s="89" t="s">
        <v>1544</v>
      </c>
      <c r="H84" s="101" t="s">
        <v>1475</v>
      </c>
      <c r="I84" s="91"/>
    </row>
    <row r="85" spans="1:9">
      <c r="A85" s="85" t="s">
        <v>1545</v>
      </c>
      <c r="B85" s="51" t="s">
        <v>1546</v>
      </c>
      <c r="C85" s="51" t="s">
        <v>1547</v>
      </c>
      <c r="D85" s="486"/>
      <c r="E85" s="51"/>
      <c r="F85" s="51"/>
      <c r="G85" s="51"/>
      <c r="H85" s="51"/>
      <c r="I85" s="51"/>
    </row>
    <row r="86" spans="1:9">
      <c r="A86" s="51" t="s">
        <v>24</v>
      </c>
      <c r="B86" s="51" t="s">
        <v>25</v>
      </c>
      <c r="C86" s="51" t="s">
        <v>26</v>
      </c>
      <c r="D86" s="486"/>
      <c r="E86" s="51"/>
      <c r="F86" s="51" t="s">
        <v>1548</v>
      </c>
      <c r="G86" s="51" t="s">
        <v>1549</v>
      </c>
      <c r="H86" s="51" t="s">
        <v>1550</v>
      </c>
      <c r="I86" s="51" t="s">
        <v>1551</v>
      </c>
    </row>
    <row r="87" spans="1:9">
      <c r="A87" s="51" t="s">
        <v>230</v>
      </c>
      <c r="B87" s="51" t="s">
        <v>231</v>
      </c>
      <c r="C87" s="51" t="s">
        <v>232</v>
      </c>
      <c r="D87" s="486"/>
      <c r="E87" s="51"/>
      <c r="F87" s="51"/>
      <c r="G87" s="51" t="s">
        <v>1552</v>
      </c>
      <c r="H87" s="51" t="s">
        <v>1553</v>
      </c>
      <c r="I87" s="51" t="s">
        <v>231</v>
      </c>
    </row>
    <row r="88" spans="1:9">
      <c r="A88" s="51" t="s">
        <v>312</v>
      </c>
      <c r="B88" s="51" t="s">
        <v>313</v>
      </c>
      <c r="C88" s="51" t="s">
        <v>314</v>
      </c>
      <c r="D88" s="486"/>
      <c r="E88" s="51"/>
      <c r="F88" s="51"/>
      <c r="G88" s="51" t="s">
        <v>1554</v>
      </c>
      <c r="H88" s="51"/>
      <c r="I88" s="51"/>
    </row>
    <row r="89" spans="1:9">
      <c r="A89" s="51" t="s">
        <v>126</v>
      </c>
      <c r="B89" s="51" t="s">
        <v>127</v>
      </c>
      <c r="C89" s="51" t="s">
        <v>128</v>
      </c>
      <c r="D89" s="486"/>
      <c r="E89" s="51"/>
      <c r="F89" s="51"/>
      <c r="G89" s="51" t="s">
        <v>1555</v>
      </c>
      <c r="H89" s="51"/>
      <c r="I89" s="51"/>
    </row>
    <row r="90" spans="1:9">
      <c r="A90" s="85" t="s">
        <v>130</v>
      </c>
      <c r="B90" s="51" t="s">
        <v>131</v>
      </c>
      <c r="C90" s="51" t="s">
        <v>132</v>
      </c>
      <c r="D90" s="486"/>
      <c r="E90" s="51"/>
      <c r="F90" s="51" t="s">
        <v>1556</v>
      </c>
      <c r="G90" s="51" t="s">
        <v>1557</v>
      </c>
      <c r="H90" s="51"/>
      <c r="I90" s="51"/>
    </row>
    <row r="91" spans="1:9">
      <c r="A91" s="51" t="s">
        <v>464</v>
      </c>
      <c r="B91" s="51" t="s">
        <v>465</v>
      </c>
      <c r="C91" s="51" t="s">
        <v>466</v>
      </c>
      <c r="D91" s="486"/>
      <c r="E91" s="51"/>
      <c r="F91" s="51"/>
      <c r="G91" s="51"/>
      <c r="H91" s="51"/>
      <c r="I91" s="51"/>
    </row>
    <row r="92" spans="1:9">
      <c r="A92" s="51" t="s">
        <v>32</v>
      </c>
      <c r="B92" s="51" t="s">
        <v>1558</v>
      </c>
      <c r="C92" s="51" t="s">
        <v>34</v>
      </c>
      <c r="D92" s="486"/>
      <c r="E92" s="51"/>
      <c r="F92" s="51"/>
      <c r="G92" s="51" t="s">
        <v>1559</v>
      </c>
      <c r="H92" s="51"/>
      <c r="I92" s="51"/>
    </row>
    <row r="93" spans="1:9">
      <c r="A93" s="51" t="s">
        <v>296</v>
      </c>
      <c r="B93" s="51" t="s">
        <v>297</v>
      </c>
      <c r="C93" s="51" t="s">
        <v>298</v>
      </c>
      <c r="D93" s="486"/>
      <c r="E93" s="51"/>
      <c r="F93" s="51" t="s">
        <v>1560</v>
      </c>
      <c r="G93" s="51" t="s">
        <v>1561</v>
      </c>
      <c r="H93" s="51"/>
      <c r="I93" s="51"/>
    </row>
    <row r="94" spans="1:9">
      <c r="A94" s="51" t="s">
        <v>422</v>
      </c>
      <c r="B94" s="51" t="s">
        <v>1562</v>
      </c>
      <c r="C94" s="51" t="s">
        <v>423</v>
      </c>
      <c r="D94" s="486"/>
      <c r="E94" s="51"/>
      <c r="F94" s="51" t="s">
        <v>1563</v>
      </c>
      <c r="G94" s="51"/>
      <c r="H94" s="51"/>
      <c r="I94" s="51"/>
    </row>
    <row r="95" spans="1:9">
      <c r="A95" s="85" t="s">
        <v>252</v>
      </c>
      <c r="B95" s="51" t="s">
        <v>1564</v>
      </c>
      <c r="C95" s="51" t="s">
        <v>254</v>
      </c>
      <c r="D95" s="486"/>
      <c r="E95" s="51"/>
      <c r="F95" s="51" t="s">
        <v>252</v>
      </c>
      <c r="G95" s="51" t="s">
        <v>1565</v>
      </c>
      <c r="H95" s="51" t="s">
        <v>253</v>
      </c>
      <c r="I95" s="51"/>
    </row>
    <row r="96" spans="1:9">
      <c r="A96" s="51" t="s">
        <v>259</v>
      </c>
      <c r="B96" s="51" t="s">
        <v>260</v>
      </c>
      <c r="C96" s="51" t="s">
        <v>261</v>
      </c>
      <c r="D96" s="486"/>
      <c r="E96" s="51"/>
      <c r="F96" s="51"/>
      <c r="G96" s="51" t="s">
        <v>1227</v>
      </c>
      <c r="H96" s="51"/>
      <c r="I96" s="51"/>
    </row>
    <row r="97" spans="1:10">
      <c r="A97" s="51" t="s">
        <v>215</v>
      </c>
      <c r="B97" s="51" t="s">
        <v>216</v>
      </c>
      <c r="C97" s="51" t="s">
        <v>217</v>
      </c>
      <c r="D97" s="486"/>
      <c r="E97" s="51"/>
      <c r="F97" s="51"/>
      <c r="G97" s="51" t="s">
        <v>1566</v>
      </c>
      <c r="H97" s="51"/>
      <c r="I97" s="51"/>
    </row>
    <row r="98" spans="1:10">
      <c r="A98" s="51" t="s">
        <v>1567</v>
      </c>
      <c r="B98" s="51" t="s">
        <v>1568</v>
      </c>
      <c r="C98" s="51" t="s">
        <v>1569</v>
      </c>
      <c r="D98" s="486"/>
      <c r="E98" s="51"/>
      <c r="F98" s="51"/>
      <c r="G98" s="51"/>
      <c r="H98" s="51"/>
      <c r="I98" s="51"/>
    </row>
    <row r="99" spans="1:10">
      <c r="A99" s="51" t="s">
        <v>211</v>
      </c>
      <c r="B99" s="51" t="s">
        <v>212</v>
      </c>
      <c r="C99" s="51" t="s">
        <v>213</v>
      </c>
      <c r="D99" s="486"/>
      <c r="E99" s="51"/>
      <c r="F99" s="51" t="s">
        <v>1570</v>
      </c>
      <c r="G99" s="51" t="s">
        <v>1571</v>
      </c>
      <c r="H99" s="51"/>
      <c r="I99" s="51"/>
      <c r="J99" t="s">
        <v>1572</v>
      </c>
    </row>
    <row r="100" spans="1:10" ht="15.75" thickBot="1">
      <c r="A100" s="51" t="s">
        <v>1573</v>
      </c>
      <c r="B100" s="51"/>
      <c r="C100" s="51" t="s">
        <v>1574</v>
      </c>
      <c r="D100" s="486"/>
      <c r="E100" s="51"/>
      <c r="F100" s="51"/>
      <c r="G100" s="51"/>
      <c r="H100" s="51"/>
      <c r="I100" s="51"/>
    </row>
    <row r="101" spans="1:10" ht="15.75" thickBot="1">
      <c r="A101" s="95" t="s">
        <v>171</v>
      </c>
      <c r="B101" s="97"/>
      <c r="C101" s="97" t="s">
        <v>172</v>
      </c>
      <c r="D101" s="490"/>
      <c r="E101" s="97"/>
      <c r="F101" s="97"/>
      <c r="G101" s="97"/>
      <c r="H101" s="90" t="s">
        <v>1475</v>
      </c>
      <c r="I101" s="98"/>
    </row>
    <row r="102" spans="1:10">
      <c r="A102" s="553" t="s">
        <v>206</v>
      </c>
      <c r="B102" s="51" t="s">
        <v>207</v>
      </c>
      <c r="C102" s="51" t="s">
        <v>208</v>
      </c>
      <c r="D102" s="486"/>
      <c r="E102" s="51"/>
      <c r="F102" s="51"/>
      <c r="G102" s="51" t="s">
        <v>1575</v>
      </c>
      <c r="H102" s="51"/>
      <c r="I102" s="51"/>
    </row>
    <row r="103" spans="1:10">
      <c r="A103" s="51" t="s">
        <v>122</v>
      </c>
      <c r="B103" s="51" t="s">
        <v>123</v>
      </c>
      <c r="C103" s="51" t="s">
        <v>124</v>
      </c>
      <c r="D103" s="486"/>
      <c r="E103" s="51"/>
      <c r="F103" s="51" t="s">
        <v>1576</v>
      </c>
      <c r="G103" s="51" t="s">
        <v>1577</v>
      </c>
      <c r="H103" s="51"/>
      <c r="I103" s="51"/>
    </row>
    <row r="104" spans="1:10">
      <c r="A104" s="51" t="s">
        <v>40</v>
      </c>
      <c r="B104" s="51" t="s">
        <v>41</v>
      </c>
      <c r="C104" s="51" t="s">
        <v>42</v>
      </c>
      <c r="D104" s="486"/>
      <c r="E104" s="51"/>
      <c r="F104" s="51"/>
      <c r="G104" s="51" t="s">
        <v>1578</v>
      </c>
      <c r="H104" s="51"/>
      <c r="I104" s="51"/>
    </row>
    <row r="105" spans="1:10">
      <c r="A105" s="51" t="s">
        <v>1579</v>
      </c>
      <c r="B105" s="51"/>
      <c r="C105" s="51" t="s">
        <v>42</v>
      </c>
      <c r="D105" s="486"/>
      <c r="E105" s="51"/>
      <c r="F105" s="51"/>
      <c r="G105" s="51" t="s">
        <v>1578</v>
      </c>
      <c r="H105" s="51"/>
      <c r="I105" s="51"/>
    </row>
    <row r="106" spans="1:10">
      <c r="A106" s="92" t="s">
        <v>152</v>
      </c>
      <c r="B106" s="92" t="s">
        <v>153</v>
      </c>
      <c r="C106" s="92" t="s">
        <v>154</v>
      </c>
      <c r="D106" s="487"/>
      <c r="E106" s="92"/>
      <c r="F106" s="92" t="s">
        <v>1580</v>
      </c>
      <c r="G106" s="92" t="s">
        <v>1581</v>
      </c>
      <c r="H106" s="92"/>
      <c r="I106" s="92"/>
    </row>
    <row r="107" spans="1:10">
      <c r="A107" s="51" t="s">
        <v>713</v>
      </c>
      <c r="B107" s="51" t="s">
        <v>714</v>
      </c>
      <c r="C107" s="51" t="s">
        <v>154</v>
      </c>
      <c r="D107" s="486"/>
      <c r="E107" s="51"/>
      <c r="F107" s="51"/>
      <c r="G107" s="51"/>
      <c r="H107" s="51"/>
      <c r="I107" s="51"/>
    </row>
    <row r="108" spans="1:10">
      <c r="A108" s="51" t="s">
        <v>185</v>
      </c>
      <c r="B108" s="51" t="s">
        <v>186</v>
      </c>
      <c r="C108" s="51" t="s">
        <v>187</v>
      </c>
      <c r="D108" s="486"/>
      <c r="E108" s="51"/>
      <c r="F108" s="51" t="s">
        <v>1582</v>
      </c>
      <c r="G108" s="51" t="s">
        <v>1583</v>
      </c>
      <c r="H108" s="51"/>
      <c r="I108" s="51"/>
    </row>
    <row r="109" spans="1:10">
      <c r="A109" s="51" t="s">
        <v>1174</v>
      </c>
      <c r="B109" s="51" t="s">
        <v>1175</v>
      </c>
      <c r="C109" s="51" t="s">
        <v>187</v>
      </c>
      <c r="D109" s="486"/>
      <c r="E109" s="51"/>
      <c r="F109" s="51"/>
      <c r="G109" s="51" t="s">
        <v>1584</v>
      </c>
      <c r="H109" s="51"/>
      <c r="I109" s="51"/>
    </row>
    <row r="110" spans="1:10">
      <c r="A110" s="51" t="s">
        <v>291</v>
      </c>
      <c r="B110" s="51" t="s">
        <v>292</v>
      </c>
      <c r="C110" s="51" t="s">
        <v>293</v>
      </c>
      <c r="D110" s="486"/>
      <c r="E110" s="51"/>
      <c r="F110" s="51" t="s">
        <v>291</v>
      </c>
      <c r="G110" s="51" t="s">
        <v>1585</v>
      </c>
      <c r="H110" s="51"/>
      <c r="I110" s="51"/>
    </row>
    <row r="111" spans="1:10">
      <c r="A111" s="51" t="s">
        <v>1586</v>
      </c>
      <c r="B111" s="51"/>
      <c r="C111" s="51" t="s">
        <v>293</v>
      </c>
      <c r="D111" s="486"/>
      <c r="E111" s="51"/>
      <c r="F111" s="51"/>
      <c r="G111" s="51"/>
      <c r="H111" s="51"/>
      <c r="I111" s="51"/>
    </row>
    <row r="112" spans="1:10">
      <c r="A112" s="51" t="s">
        <v>287</v>
      </c>
      <c r="B112" s="51" t="s">
        <v>288</v>
      </c>
      <c r="C112" s="51" t="s">
        <v>289</v>
      </c>
      <c r="D112" s="486"/>
      <c r="E112" s="51"/>
      <c r="F112" s="51" t="s">
        <v>1587</v>
      </c>
      <c r="G112" s="51" t="s">
        <v>1588</v>
      </c>
      <c r="H112" s="51" t="s">
        <v>1589</v>
      </c>
      <c r="I112" s="51"/>
    </row>
    <row r="113" spans="1:9">
      <c r="A113" s="92" t="s">
        <v>537</v>
      </c>
      <c r="B113" s="92" t="s">
        <v>538</v>
      </c>
      <c r="C113" s="92" t="s">
        <v>539</v>
      </c>
      <c r="D113" s="487"/>
      <c r="E113" s="92"/>
      <c r="F113" s="92"/>
      <c r="G113" s="92" t="s">
        <v>1590</v>
      </c>
      <c r="H113" s="92"/>
      <c r="I113" s="92"/>
    </row>
    <row r="114" spans="1:9">
      <c r="A114" s="51" t="s">
        <v>1005</v>
      </c>
      <c r="B114" s="51" t="s">
        <v>1006</v>
      </c>
      <c r="C114" s="51" t="s">
        <v>539</v>
      </c>
      <c r="D114" s="486"/>
      <c r="E114" s="51"/>
      <c r="F114" s="51" t="s">
        <v>1591</v>
      </c>
      <c r="G114" s="51" t="s">
        <v>1592</v>
      </c>
      <c r="H114" s="51" t="s">
        <v>1593</v>
      </c>
      <c r="I114" s="51" t="s">
        <v>1594</v>
      </c>
    </row>
    <row r="115" spans="1:9">
      <c r="A115" s="51" t="s">
        <v>401</v>
      </c>
      <c r="B115" s="51" t="s">
        <v>402</v>
      </c>
      <c r="C115" s="51" t="s">
        <v>403</v>
      </c>
      <c r="D115" s="486"/>
      <c r="E115" s="51"/>
      <c r="F115" s="51" t="s">
        <v>1595</v>
      </c>
      <c r="G115" s="51" t="s">
        <v>1596</v>
      </c>
      <c r="H115" s="51" t="s">
        <v>1597</v>
      </c>
      <c r="I115" s="51"/>
    </row>
    <row r="116" spans="1:9">
      <c r="A116" s="51" t="s">
        <v>471</v>
      </c>
      <c r="B116" s="51"/>
      <c r="C116" s="51" t="s">
        <v>472</v>
      </c>
      <c r="D116" s="486"/>
      <c r="E116" s="51"/>
      <c r="F116" s="51"/>
      <c r="G116" s="51"/>
      <c r="H116" s="51"/>
      <c r="I116" s="51"/>
    </row>
    <row r="117" spans="1:9">
      <c r="A117" s="51" t="s">
        <v>417</v>
      </c>
      <c r="B117" s="51" t="s">
        <v>418</v>
      </c>
      <c r="C117" s="51" t="s">
        <v>419</v>
      </c>
      <c r="D117" s="486"/>
      <c r="E117" s="51"/>
      <c r="F117" s="51"/>
      <c r="G117" s="51" t="s">
        <v>1598</v>
      </c>
      <c r="H117" s="51"/>
      <c r="I117" s="51"/>
    </row>
    <row r="118" spans="1:9">
      <c r="A118" s="51" t="s">
        <v>407</v>
      </c>
      <c r="B118" s="51" t="s">
        <v>408</v>
      </c>
      <c r="C118" s="51" t="s">
        <v>409</v>
      </c>
      <c r="D118" s="486"/>
      <c r="E118" s="51"/>
      <c r="F118" s="51"/>
      <c r="G118" s="51" t="s">
        <v>1599</v>
      </c>
      <c r="H118" s="51"/>
      <c r="I118" s="51"/>
    </row>
    <row r="119" spans="1:9">
      <c r="A119" s="51" t="s">
        <v>280</v>
      </c>
      <c r="B119" s="51" t="s">
        <v>281</v>
      </c>
      <c r="C119" s="51" t="s">
        <v>282</v>
      </c>
      <c r="D119" s="486"/>
      <c r="E119" s="51"/>
      <c r="F119" s="51"/>
      <c r="G119" s="51"/>
      <c r="H119" s="51"/>
      <c r="I119" s="51"/>
    </row>
    <row r="120" spans="1:9">
      <c r="A120" s="51" t="s">
        <v>558</v>
      </c>
      <c r="B120" s="51" t="s">
        <v>559</v>
      </c>
      <c r="C120" s="51" t="s">
        <v>560</v>
      </c>
      <c r="D120" s="486"/>
      <c r="E120" s="51"/>
      <c r="F120" s="51"/>
      <c r="G120" s="51" t="s">
        <v>1600</v>
      </c>
      <c r="H120" s="51" t="s">
        <v>1601</v>
      </c>
      <c r="I120" s="51"/>
    </row>
    <row r="121" spans="1:9">
      <c r="A121" s="51" t="s">
        <v>36</v>
      </c>
      <c r="B121" s="51" t="s">
        <v>1602</v>
      </c>
      <c r="C121" s="51" t="s">
        <v>38</v>
      </c>
      <c r="D121" s="486"/>
      <c r="E121" s="51"/>
      <c r="F121" s="51"/>
      <c r="G121" s="51" t="s">
        <v>1603</v>
      </c>
      <c r="H121" s="51"/>
      <c r="I121" s="51"/>
    </row>
    <row r="122" spans="1:9">
      <c r="A122" s="51" t="s">
        <v>1604</v>
      </c>
      <c r="B122" s="51"/>
      <c r="C122" s="51" t="s">
        <v>1605</v>
      </c>
      <c r="D122" s="486"/>
      <c r="E122" s="51"/>
      <c r="F122" s="51"/>
      <c r="G122" s="51"/>
      <c r="H122" s="51"/>
      <c r="I122" s="51"/>
    </row>
    <row r="123" spans="1:9">
      <c r="A123" s="51" t="s">
        <v>483</v>
      </c>
      <c r="B123" s="51" t="s">
        <v>484</v>
      </c>
      <c r="C123" s="51" t="s">
        <v>485</v>
      </c>
      <c r="D123" s="486"/>
      <c r="E123" s="51"/>
      <c r="F123" s="51"/>
      <c r="G123" s="51" t="s">
        <v>1606</v>
      </c>
      <c r="H123" s="51"/>
      <c r="I123" s="51"/>
    </row>
    <row r="124" spans="1:9">
      <c r="A124" s="51" t="s">
        <v>371</v>
      </c>
      <c r="B124" s="51" t="s">
        <v>372</v>
      </c>
      <c r="C124" s="51" t="s">
        <v>373</v>
      </c>
      <c r="D124" s="486"/>
      <c r="E124" s="51"/>
      <c r="F124" s="51"/>
      <c r="G124" s="51"/>
      <c r="H124" s="51"/>
      <c r="I124" s="51"/>
    </row>
    <row r="125" spans="1:9">
      <c r="A125" s="51" t="s">
        <v>412</v>
      </c>
      <c r="B125" s="51" t="s">
        <v>413</v>
      </c>
      <c r="C125" s="51" t="s">
        <v>414</v>
      </c>
      <c r="D125" s="486"/>
      <c r="E125" s="51"/>
      <c r="F125" s="51"/>
      <c r="G125" s="51" t="s">
        <v>1607</v>
      </c>
      <c r="H125" s="51"/>
      <c r="I125" s="51"/>
    </row>
    <row r="126" spans="1:9">
      <c r="A126" s="51" t="s">
        <v>1608</v>
      </c>
      <c r="B126" s="51"/>
      <c r="C126" s="51" t="s">
        <v>1609</v>
      </c>
      <c r="D126" s="486"/>
      <c r="E126" s="51"/>
      <c r="F126" s="51"/>
      <c r="G126" s="51"/>
      <c r="H126" s="51"/>
      <c r="I126" s="51"/>
    </row>
    <row r="127" spans="1:9">
      <c r="A127" s="51" t="s">
        <v>219</v>
      </c>
      <c r="B127" s="51" t="s">
        <v>220</v>
      </c>
      <c r="C127" s="51" t="s">
        <v>221</v>
      </c>
      <c r="D127" s="486"/>
      <c r="E127" s="51"/>
      <c r="F127" s="51"/>
      <c r="G127" s="51" t="s">
        <v>1610</v>
      </c>
      <c r="H127" s="51"/>
      <c r="I127" s="51"/>
    </row>
    <row r="128" spans="1:9">
      <c r="A128" s="312" t="s">
        <v>181</v>
      </c>
      <c r="B128" s="51" t="s">
        <v>182</v>
      </c>
      <c r="C128" s="51" t="s">
        <v>183</v>
      </c>
      <c r="D128" s="486"/>
      <c r="E128" s="51"/>
      <c r="F128" s="51"/>
      <c r="G128" s="51" t="s">
        <v>1611</v>
      </c>
      <c r="H128" s="51"/>
      <c r="I128" s="51"/>
    </row>
    <row r="129" spans="1:9">
      <c r="A129" s="51" t="s">
        <v>80</v>
      </c>
      <c r="B129" s="51" t="s">
        <v>81</v>
      </c>
      <c r="C129" s="51" t="s">
        <v>82</v>
      </c>
      <c r="D129" s="486"/>
      <c r="E129" s="51"/>
      <c r="F129" s="51"/>
      <c r="G129" s="51" t="s">
        <v>1612</v>
      </c>
      <c r="H129" s="51"/>
      <c r="I129" s="51"/>
    </row>
    <row r="130" spans="1:9">
      <c r="A130" s="51" t="s">
        <v>1613</v>
      </c>
      <c r="B130" s="51"/>
      <c r="C130" s="51" t="s">
        <v>719</v>
      </c>
      <c r="D130" s="486"/>
      <c r="E130" s="51"/>
      <c r="F130" s="51"/>
      <c r="G130" s="51"/>
      <c r="H130" s="51"/>
      <c r="I130" s="51"/>
    </row>
    <row r="131" spans="1:9">
      <c r="A131" s="51" t="s">
        <v>717</v>
      </c>
      <c r="B131" s="51" t="s">
        <v>718</v>
      </c>
      <c r="C131" s="51" t="s">
        <v>719</v>
      </c>
      <c r="D131" s="486"/>
      <c r="E131" s="51"/>
      <c r="F131" s="51" t="s">
        <v>1614</v>
      </c>
      <c r="G131" s="51"/>
      <c r="H131" s="51"/>
      <c r="I131" s="51"/>
    </row>
    <row r="132" spans="1:9" ht="15.75" thickBot="1">
      <c r="A132" s="51" t="s">
        <v>786</v>
      </c>
      <c r="B132" s="51" t="s">
        <v>787</v>
      </c>
      <c r="C132" s="51" t="s">
        <v>719</v>
      </c>
      <c r="D132" s="486"/>
      <c r="E132" s="51"/>
      <c r="F132" s="51"/>
      <c r="G132" s="51" t="s">
        <v>1615</v>
      </c>
      <c r="H132" s="51" t="s">
        <v>1616</v>
      </c>
      <c r="I132" s="51"/>
    </row>
    <row r="133" spans="1:9" ht="15.75" thickBot="1">
      <c r="A133" s="102" t="s">
        <v>74</v>
      </c>
      <c r="B133" s="103"/>
      <c r="C133" s="103" t="s">
        <v>75</v>
      </c>
      <c r="D133" s="491"/>
      <c r="E133" s="104"/>
      <c r="F133" s="103"/>
      <c r="G133" s="103"/>
      <c r="H133" s="105" t="s">
        <v>1475</v>
      </c>
      <c r="I133" s="106" t="s">
        <v>1256</v>
      </c>
    </row>
    <row r="134" spans="1:9">
      <c r="A134" s="553" t="s">
        <v>443</v>
      </c>
      <c r="B134" s="51" t="s">
        <v>444</v>
      </c>
      <c r="C134" s="51" t="s">
        <v>75</v>
      </c>
      <c r="D134" s="486"/>
      <c r="E134" s="51"/>
      <c r="F134" s="51" t="s">
        <v>1617</v>
      </c>
      <c r="G134" s="51" t="s">
        <v>1618</v>
      </c>
      <c r="H134" s="51"/>
      <c r="I134" s="51"/>
    </row>
    <row r="135" spans="1:9">
      <c r="A135" s="51" t="s">
        <v>162</v>
      </c>
      <c r="B135" s="51" t="s">
        <v>163</v>
      </c>
      <c r="C135" s="51" t="s">
        <v>164</v>
      </c>
      <c r="D135" s="486"/>
      <c r="E135" s="51"/>
      <c r="F135" s="51" t="s">
        <v>1619</v>
      </c>
      <c r="G135" s="51" t="s">
        <v>1620</v>
      </c>
      <c r="H135" s="51"/>
      <c r="I135" s="51"/>
    </row>
    <row r="136" spans="1:9">
      <c r="A136" s="51" t="s">
        <v>134</v>
      </c>
      <c r="B136" s="51" t="s">
        <v>135</v>
      </c>
      <c r="C136" s="51" t="s">
        <v>136</v>
      </c>
      <c r="D136" s="486"/>
      <c r="E136" s="51"/>
      <c r="F136" s="51"/>
      <c r="G136" s="51" t="s">
        <v>1621</v>
      </c>
      <c r="H136" s="51"/>
      <c r="I136" s="51"/>
    </row>
    <row r="137" spans="1:9" ht="15.75" thickBot="1">
      <c r="A137" s="51" t="s">
        <v>114</v>
      </c>
      <c r="B137" s="51" t="s">
        <v>115</v>
      </c>
      <c r="C137" s="51" t="s">
        <v>116</v>
      </c>
      <c r="D137" s="486"/>
      <c r="E137" s="51"/>
      <c r="F137" s="51"/>
      <c r="G137" s="51" t="s">
        <v>1622</v>
      </c>
      <c r="H137" s="51"/>
      <c r="I137" s="51"/>
    </row>
    <row r="138" spans="1:9" ht="15.75" thickBot="1">
      <c r="A138" s="445" t="s">
        <v>138</v>
      </c>
      <c r="B138" s="103" t="s">
        <v>139</v>
      </c>
      <c r="C138" s="103" t="s">
        <v>140</v>
      </c>
      <c r="D138" s="492"/>
      <c r="E138" s="103"/>
      <c r="F138" s="103"/>
      <c r="G138" s="103" t="s">
        <v>1623</v>
      </c>
      <c r="H138" s="103"/>
      <c r="I138" s="446" t="s">
        <v>1259</v>
      </c>
    </row>
    <row r="139" spans="1:9" ht="27.75">
      <c r="A139" s="553" t="s">
        <v>1018</v>
      </c>
      <c r="B139" s="51" t="s">
        <v>1019</v>
      </c>
      <c r="C139" s="51" t="s">
        <v>140</v>
      </c>
      <c r="D139" s="486"/>
      <c r="E139" s="51"/>
      <c r="F139" s="51" t="s">
        <v>1624</v>
      </c>
      <c r="G139" s="51" t="s">
        <v>1625</v>
      </c>
      <c r="H139" s="93" t="s">
        <v>1626</v>
      </c>
      <c r="I139" s="93" t="s">
        <v>1627</v>
      </c>
    </row>
    <row r="140" spans="1:9" ht="15.75" thickBot="1">
      <c r="A140" s="51" t="s">
        <v>578</v>
      </c>
      <c r="B140" s="51" t="s">
        <v>579</v>
      </c>
      <c r="C140" s="51" t="s">
        <v>580</v>
      </c>
      <c r="D140" s="486"/>
      <c r="E140" s="51"/>
      <c r="F140" s="51"/>
      <c r="G140" s="51"/>
      <c r="H140" s="51"/>
      <c r="I140" s="51"/>
    </row>
    <row r="141" spans="1:9" ht="15.75" thickBot="1">
      <c r="A141" s="333" t="s">
        <v>167</v>
      </c>
      <c r="B141" s="103" t="s">
        <v>168</v>
      </c>
      <c r="C141" s="103" t="s">
        <v>169</v>
      </c>
      <c r="D141" s="492"/>
      <c r="E141" s="103"/>
      <c r="F141" s="103"/>
      <c r="G141" s="103" t="s">
        <v>1628</v>
      </c>
      <c r="H141" s="103" t="s">
        <v>1629</v>
      </c>
      <c r="I141" s="106" t="s">
        <v>1256</v>
      </c>
    </row>
    <row r="142" spans="1:9">
      <c r="A142" s="553" t="s">
        <v>844</v>
      </c>
      <c r="B142" s="51" t="s">
        <v>845</v>
      </c>
      <c r="C142" s="51" t="s">
        <v>169</v>
      </c>
      <c r="D142" s="486"/>
      <c r="E142" s="51"/>
      <c r="F142" s="51" t="s">
        <v>1630</v>
      </c>
      <c r="G142" s="51"/>
      <c r="H142" s="51" t="s">
        <v>1631</v>
      </c>
      <c r="I142" s="51" t="s">
        <v>1632</v>
      </c>
    </row>
    <row r="143" spans="1:9">
      <c r="A143" s="51" t="s">
        <v>1633</v>
      </c>
      <c r="B143" s="51" t="s">
        <v>1634</v>
      </c>
      <c r="C143" s="51" t="s">
        <v>1635</v>
      </c>
      <c r="D143" s="486"/>
      <c r="E143" s="51"/>
      <c r="F143" s="51"/>
      <c r="G143" s="51"/>
      <c r="H143" s="51"/>
      <c r="I143" s="51"/>
    </row>
    <row r="144" spans="1:9">
      <c r="A144" s="107" t="s">
        <v>1636</v>
      </c>
      <c r="B144" s="107" t="s">
        <v>1634</v>
      </c>
      <c r="C144" s="107" t="s">
        <v>1635</v>
      </c>
      <c r="D144" s="493"/>
      <c r="E144" s="107"/>
      <c r="F144" s="107"/>
      <c r="G144" s="107"/>
      <c r="H144" s="107"/>
      <c r="I144" s="107"/>
    </row>
  </sheetData>
  <autoFilter ref="A1:I144" xr:uid="{00000000-0009-0000-0000-000007000000}"/>
  <conditionalFormatting sqref="B2:B4 B68:B71 B83:B104 B137:B138 B73:B81 B135 B132:B133 B48:B49 B142:B144 H16 B13:B33 B140 B6:B9 B115:B130 B53:B64 B110:B112 B35:B38 B106:B108">
    <cfRule type="expression" dxfId="33" priority="47" stopIfTrue="1">
      <formula>ISBLANK(B2)</formula>
    </cfRule>
    <cfRule type="expression" dxfId="32" priority="48">
      <formula>IFERROR(FIND("@",B2),-1)&lt;0</formula>
    </cfRule>
  </conditionalFormatting>
  <conditionalFormatting sqref="B72">
    <cfRule type="expression" dxfId="31" priority="43" stopIfTrue="1">
      <formula>ISBLANK(B72)</formula>
    </cfRule>
    <cfRule type="expression" dxfId="30" priority="44">
      <formula>IFERROR(FIND("@",B72),-1)&lt;0</formula>
    </cfRule>
  </conditionalFormatting>
  <conditionalFormatting sqref="B67">
    <cfRule type="expression" dxfId="29" priority="41" stopIfTrue="1">
      <formula>ISBLANK(B67)</formula>
    </cfRule>
    <cfRule type="expression" dxfId="28" priority="42">
      <formula>IFERROR(FIND("@",B67),-1)&lt;0</formula>
    </cfRule>
  </conditionalFormatting>
  <conditionalFormatting sqref="B134">
    <cfRule type="expression" dxfId="27" priority="39" stopIfTrue="1">
      <formula>ISBLANK(B134)</formula>
    </cfRule>
    <cfRule type="expression" dxfId="26" priority="40">
      <formula>IFERROR(FIND("@",B134),-1)&lt;0</formula>
    </cfRule>
  </conditionalFormatting>
  <conditionalFormatting sqref="B44">
    <cfRule type="expression" dxfId="25" priority="37" stopIfTrue="1">
      <formula>ISBLANK(B44)</formula>
    </cfRule>
    <cfRule type="expression" dxfId="24" priority="38">
      <formula>IFERROR(FIND("@",B44),-1)&lt;0</formula>
    </cfRule>
  </conditionalFormatting>
  <conditionalFormatting sqref="B131">
    <cfRule type="expression" dxfId="23" priority="35" stopIfTrue="1">
      <formula>ISBLANK(B131)</formula>
    </cfRule>
    <cfRule type="expression" dxfId="22" priority="36">
      <formula>IFERROR(FIND("@",B131),-1)&lt;0</formula>
    </cfRule>
  </conditionalFormatting>
  <conditionalFormatting sqref="B141">
    <cfRule type="expression" dxfId="21" priority="33" stopIfTrue="1">
      <formula>ISBLANK(B141)</formula>
    </cfRule>
    <cfRule type="expression" dxfId="20" priority="34">
      <formula>IFERROR(FIND("@",B141),-1)&lt;0</formula>
    </cfRule>
  </conditionalFormatting>
  <conditionalFormatting sqref="B5">
    <cfRule type="expression" dxfId="19" priority="25" stopIfTrue="1">
      <formula>ISBLANK(B5)</formula>
    </cfRule>
    <cfRule type="expression" dxfId="18" priority="26">
      <formula>IFERROR(FIND("@",B5),-1)&lt;0</formula>
    </cfRule>
  </conditionalFormatting>
  <conditionalFormatting sqref="B114">
    <cfRule type="expression" dxfId="17" priority="23" stopIfTrue="1">
      <formula>ISBLANK(B114)</formula>
    </cfRule>
    <cfRule type="expression" dxfId="16" priority="24">
      <formula>IFERROR(FIND("@",B114),-1)&lt;0</formula>
    </cfRule>
  </conditionalFormatting>
  <conditionalFormatting sqref="B113">
    <cfRule type="expression" dxfId="15" priority="21" stopIfTrue="1">
      <formula>ISBLANK(B113)</formula>
    </cfRule>
    <cfRule type="expression" dxfId="14" priority="22">
      <formula>IFERROR(FIND("@",B113),-1)&lt;0</formula>
    </cfRule>
  </conditionalFormatting>
  <conditionalFormatting sqref="B12">
    <cfRule type="expression" dxfId="13" priority="19" stopIfTrue="1">
      <formula>ISBLANK(B12)</formula>
    </cfRule>
    <cfRule type="expression" dxfId="12" priority="20">
      <formula>IFERROR(FIND("@",B12),-1)&lt;0</formula>
    </cfRule>
  </conditionalFormatting>
  <conditionalFormatting sqref="B43">
    <cfRule type="expression" dxfId="11" priority="17" stopIfTrue="1">
      <formula>ISBLANK(B43)</formula>
    </cfRule>
    <cfRule type="expression" dxfId="10" priority="18">
      <formula>IFERROR(FIND("@",B43),-1)&lt;0</formula>
    </cfRule>
  </conditionalFormatting>
  <conditionalFormatting sqref="B52">
    <cfRule type="expression" dxfId="9" priority="15" stopIfTrue="1">
      <formula>ISBLANK(B52)</formula>
    </cfRule>
    <cfRule type="expression" dxfId="8" priority="16">
      <formula>IFERROR(FIND("@",B52),-1)&lt;0</formula>
    </cfRule>
  </conditionalFormatting>
  <conditionalFormatting sqref="B51">
    <cfRule type="expression" dxfId="7" priority="13" stopIfTrue="1">
      <formula>ISBLANK(B51)</formula>
    </cfRule>
    <cfRule type="expression" dxfId="6" priority="14">
      <formula>IFERROR(FIND("@",B51),-1)&lt;0</formula>
    </cfRule>
  </conditionalFormatting>
  <conditionalFormatting sqref="B109">
    <cfRule type="expression" dxfId="5" priority="9" stopIfTrue="1">
      <formula>ISBLANK(B109)</formula>
    </cfRule>
    <cfRule type="expression" dxfId="4" priority="10">
      <formula>IFERROR(FIND("@",B109),-1)&lt;0</formula>
    </cfRule>
  </conditionalFormatting>
  <conditionalFormatting sqref="B34">
    <cfRule type="expression" dxfId="3" priority="3" stopIfTrue="1">
      <formula>ISBLANK(B34)</formula>
    </cfRule>
    <cfRule type="expression" dxfId="2" priority="4">
      <formula>IFERROR(FIND("@",B34),-1)&lt;0</formula>
    </cfRule>
  </conditionalFormatting>
  <conditionalFormatting sqref="B105">
    <cfRule type="expression" dxfId="1" priority="1" stopIfTrue="1">
      <formula>ISBLANK(B105)</formula>
    </cfRule>
    <cfRule type="expression" dxfId="0" priority="2">
      <formula>IFERROR(FIND("@",B105),-1)&lt;0</formula>
    </cfRule>
  </conditionalFormatting>
  <hyperlinks>
    <hyperlink ref="B34" r:id="rId1" xr:uid="{00000000-0004-0000-0700-000000000000}"/>
    <hyperlink ref="B66" r:id="rId2" xr:uid="{00000000-0004-0000-0700-000001000000}"/>
  </hyperlinks>
  <pageMargins left="0.7" right="0.7" top="0.75" bottom="0.75" header="0.3" footer="0.3"/>
  <pageSetup orientation="portrait" r:id="rId3"/>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9" t="s">
        <v>1637</v>
      </c>
    </row>
    <row r="3" spans="1:3">
      <c r="B3" s="23" t="s">
        <v>1638</v>
      </c>
    </row>
    <row r="4" spans="1:3">
      <c r="A4" s="23" t="s">
        <v>1639</v>
      </c>
      <c r="B4" t="s">
        <v>58</v>
      </c>
      <c r="C4" t="s">
        <v>1640</v>
      </c>
    </row>
    <row r="5" spans="1:3">
      <c r="A5" s="68" t="s">
        <v>74</v>
      </c>
    </row>
    <row r="6" spans="1:3">
      <c r="A6" s="68" t="s">
        <v>177</v>
      </c>
    </row>
    <row r="7" spans="1:3">
      <c r="A7" s="68" t="s">
        <v>280</v>
      </c>
    </row>
    <row r="8" spans="1:3">
      <c r="A8" s="68" t="s">
        <v>479</v>
      </c>
    </row>
    <row r="9" spans="1:3">
      <c r="A9" s="68" t="s">
        <v>40</v>
      </c>
    </row>
    <row r="10" spans="1:3">
      <c r="A10" s="68" t="s">
        <v>259</v>
      </c>
    </row>
    <row r="11" spans="1:3">
      <c r="A11" s="68" t="s">
        <v>171</v>
      </c>
    </row>
    <row r="12" spans="1:3">
      <c r="A12" s="68" t="s">
        <v>303</v>
      </c>
    </row>
    <row r="13" spans="1:3">
      <c r="A13" s="68" t="s">
        <v>397</v>
      </c>
    </row>
    <row r="14" spans="1:3">
      <c r="A14" s="68" t="s">
        <v>319</v>
      </c>
    </row>
    <row r="15" spans="1:3">
      <c r="A15" s="68" t="s">
        <v>410</v>
      </c>
    </row>
    <row r="16" spans="1:3">
      <c r="A16" s="68" t="s">
        <v>1640</v>
      </c>
    </row>
    <row r="18" spans="1:1">
      <c r="A18" s="68"/>
    </row>
    <row r="19" spans="1:1">
      <c r="A19" s="68"/>
    </row>
    <row r="20" spans="1:1">
      <c r="A20" s="70" t="s">
        <v>1641</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2020-07-03T01:23:11Z</dcterms:modified>
  <cp:category/>
  <cp:contentStatus/>
</cp:coreProperties>
</file>