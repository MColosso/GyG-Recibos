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924"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53" documentId="11_2B25CD627D6E661BEE266B44399BAF4F4C60C677" xr6:coauthVersionLast="45" xr6:coauthVersionMax="45" xr10:uidLastSave="{38068E9E-2A8F-B24B-9C14-E8B2ED40C87D}"/>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(reordenado)'!$A$1:$BB$149</definedName>
    <definedName name="_xlnm._FilterDatabase" localSheetId="5" hidden="1">'RESUMEN OTROS'!$A$1:$K$153</definedName>
    <definedName name="_xlnm._FilterDatabase" localSheetId="7" hidden="1">Vecinos!$A$1:$I$143</definedName>
    <definedName name="_xlnm._FilterDatabase" localSheetId="0" hidden="1">Vigilancia!$A$1:$Q$2687</definedName>
  </definedNames>
  <calcPr calcId="191028" iterate="1" iterateCount="5" calcCompleted="0"/>
  <pivotCaches>
    <pivotCache cacheId="885"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62" i="1" l="1"/>
  <c r="Q3065" i="1" l="1"/>
  <c r="P3065" i="1"/>
  <c r="O3065" i="1"/>
  <c r="N3065" i="1"/>
  <c r="M3065" i="1"/>
  <c r="Q3064" i="1"/>
  <c r="P3064" i="1"/>
  <c r="O3064" i="1"/>
  <c r="N3064" i="1"/>
  <c r="M3064" i="1"/>
  <c r="A3059" i="1" l="1"/>
  <c r="Q3063" i="1" l="1"/>
  <c r="P3063" i="1"/>
  <c r="O3063" i="1"/>
  <c r="N3063" i="1"/>
  <c r="M3063" i="1"/>
  <c r="Q3062" i="1"/>
  <c r="P3062" i="1"/>
  <c r="O3062" i="1"/>
  <c r="N3062" i="1"/>
  <c r="M3062" i="1"/>
  <c r="Q3061" i="1"/>
  <c r="P3061" i="1"/>
  <c r="O3061" i="1"/>
  <c r="N3061" i="1"/>
  <c r="M3061" i="1"/>
  <c r="A3057" i="1" l="1"/>
  <c r="AS94" i="9" l="1"/>
  <c r="Q3060" i="1"/>
  <c r="P3060" i="1"/>
  <c r="O3060" i="1"/>
  <c r="N3060" i="1"/>
  <c r="M3060" i="1"/>
  <c r="Q3059" i="1"/>
  <c r="P3059" i="1"/>
  <c r="O3059" i="1"/>
  <c r="N3059" i="1"/>
  <c r="M3059" i="1"/>
  <c r="A3055" i="1" l="1"/>
  <c r="Q3058" i="1" l="1"/>
  <c r="P3058" i="1"/>
  <c r="O3058" i="1"/>
  <c r="N3058" i="1"/>
  <c r="M3058" i="1"/>
  <c r="Q3057" i="1"/>
  <c r="P3057" i="1"/>
  <c r="O3057" i="1"/>
  <c r="N3057" i="1"/>
  <c r="M3057" i="1"/>
  <c r="A3053" i="1" l="1"/>
  <c r="Q3056" i="1" l="1"/>
  <c r="P3056" i="1"/>
  <c r="O3056" i="1"/>
  <c r="N3056" i="1"/>
  <c r="M3056" i="1"/>
  <c r="Q3055" i="1"/>
  <c r="P3055" i="1"/>
  <c r="O3055" i="1"/>
  <c r="N3055" i="1"/>
  <c r="M3055" i="1"/>
  <c r="A3051" i="1" l="1"/>
  <c r="A3049" i="1" l="1"/>
  <c r="Q3054" i="1"/>
  <c r="P3054" i="1"/>
  <c r="O3054" i="1"/>
  <c r="N3054" i="1"/>
  <c r="M3054" i="1"/>
  <c r="Q3053" i="1"/>
  <c r="P3053" i="1"/>
  <c r="O3053" i="1"/>
  <c r="N3053" i="1"/>
  <c r="M3053" i="1"/>
  <c r="Q3052" i="1" l="1"/>
  <c r="P3052" i="1"/>
  <c r="O3052" i="1"/>
  <c r="N3052" i="1"/>
  <c r="M3052" i="1"/>
  <c r="Q3051" i="1"/>
  <c r="P3051" i="1"/>
  <c r="O3051" i="1"/>
  <c r="N3051" i="1"/>
  <c r="M3051" i="1"/>
  <c r="A3047" i="1" l="1"/>
  <c r="A3045" i="1" l="1"/>
  <c r="Q3050" i="1"/>
  <c r="P3050" i="1"/>
  <c r="O3050" i="1"/>
  <c r="N3050" i="1"/>
  <c r="M3050" i="1"/>
  <c r="A3046" i="1"/>
  <c r="A3048" i="1"/>
  <c r="A3050" i="1"/>
  <c r="L3050" i="1"/>
  <c r="Q3049" i="1"/>
  <c r="P3049" i="1"/>
  <c r="O3049" i="1"/>
  <c r="N3049" i="1"/>
  <c r="M3049" i="1"/>
  <c r="L3049" i="1"/>
  <c r="Q3048" i="1"/>
  <c r="P3048" i="1"/>
  <c r="O3048" i="1"/>
  <c r="N3048" i="1"/>
  <c r="M3048" i="1"/>
  <c r="L3048" i="1"/>
  <c r="Q3047" i="1"/>
  <c r="P3047" i="1"/>
  <c r="O3047" i="1"/>
  <c r="N3047" i="1"/>
  <c r="M3047" i="1"/>
  <c r="L3047" i="1"/>
  <c r="A3043" i="1"/>
  <c r="A3036" i="1"/>
  <c r="Q3046" i="1"/>
  <c r="P3046" i="1"/>
  <c r="O3046" i="1"/>
  <c r="N3046" i="1"/>
  <c r="M3046" i="1"/>
  <c r="A3035" i="1"/>
  <c r="Q3045" i="1"/>
  <c r="P3045" i="1"/>
  <c r="O3045" i="1"/>
  <c r="N3045" i="1"/>
  <c r="M3045" i="1"/>
  <c r="AQ4" i="9"/>
  <c r="Q3044" i="1"/>
  <c r="P3044" i="1"/>
  <c r="O3044" i="1"/>
  <c r="N3044" i="1"/>
  <c r="M3044" i="1"/>
  <c r="P3043" i="1"/>
  <c r="O3043" i="1"/>
  <c r="N3043" i="1"/>
  <c r="M3043" i="1"/>
  <c r="P3042" i="1"/>
  <c r="O3042" i="1"/>
  <c r="N3042" i="1"/>
  <c r="M3042" i="1"/>
  <c r="P3041" i="1"/>
  <c r="O3041" i="1"/>
  <c r="N3041" i="1"/>
  <c r="M3041" i="1"/>
  <c r="P3040" i="1"/>
  <c r="O3040" i="1"/>
  <c r="N3040" i="1"/>
  <c r="M3040" i="1"/>
  <c r="Q3043" i="1"/>
  <c r="Q3042" i="1"/>
  <c r="Q3041" i="1"/>
  <c r="Q3040" i="1"/>
  <c r="P3039" i="1"/>
  <c r="O3039" i="1"/>
  <c r="N3039" i="1"/>
  <c r="M3039" i="1"/>
  <c r="P3038" i="1"/>
  <c r="O3038" i="1"/>
  <c r="N3038" i="1"/>
  <c r="M3038" i="1"/>
  <c r="Q3038" i="1"/>
  <c r="Q3039" i="1"/>
  <c r="P3037" i="1"/>
  <c r="O3037" i="1"/>
  <c r="N3037" i="1"/>
  <c r="M3037" i="1"/>
  <c r="P3036" i="1"/>
  <c r="O3036" i="1"/>
  <c r="N3036" i="1"/>
  <c r="M3036" i="1"/>
  <c r="Q3036" i="1"/>
  <c r="Q3037" i="1"/>
  <c r="P3035" i="1"/>
  <c r="O3035" i="1"/>
  <c r="N3035" i="1"/>
  <c r="M3035" i="1"/>
  <c r="P3034" i="1"/>
  <c r="O3034" i="1"/>
  <c r="N3034" i="1"/>
  <c r="M3034" i="1"/>
  <c r="Q3034" i="1"/>
  <c r="Q3035" i="1"/>
  <c r="P3033" i="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Q3033" i="1"/>
  <c r="Q3031" i="1"/>
  <c r="Q3029" i="1"/>
  <c r="Q3032" i="1"/>
  <c r="Q3030" i="1"/>
  <c r="Q3028" i="1"/>
  <c r="P3027" i="1"/>
  <c r="O3027" i="1"/>
  <c r="N3027" i="1"/>
  <c r="M3027" i="1"/>
  <c r="Q3027" i="1"/>
  <c r="P3026" i="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BB86" i="5"/>
  <c r="BA104" i="9"/>
  <c r="B104" i="9"/>
  <c r="A104"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c r="BA34" i="9"/>
  <c r="B34" i="9"/>
  <c r="A34" i="9"/>
  <c r="A34" i="8"/>
  <c r="A8" i="5"/>
  <c r="B34" i="8"/>
  <c r="B8" i="5"/>
  <c r="C34" i="9"/>
  <c r="K34" i="8"/>
  <c r="J34" i="8"/>
  <c r="I34" i="8"/>
  <c r="H34" i="8"/>
  <c r="G34" i="8"/>
  <c r="F34" i="8"/>
  <c r="E34" i="8"/>
  <c r="D34" i="8"/>
  <c r="C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5"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T60" i="9"/>
  <c r="AS60" i="9"/>
  <c r="P2944" i="1"/>
  <c r="O2944" i="1"/>
  <c r="N2944" i="1"/>
  <c r="M2944" i="1"/>
  <c r="P2943" i="1"/>
  <c r="O2943" i="1"/>
  <c r="N2943" i="1"/>
  <c r="M2943" i="1"/>
  <c r="P2942" i="1"/>
  <c r="O2942" i="1"/>
  <c r="N2942" i="1"/>
  <c r="M2942" i="1"/>
  <c r="AS119" i="9"/>
  <c r="P2941" i="1"/>
  <c r="O2941" i="1"/>
  <c r="N2941" i="1"/>
  <c r="M2941" i="1"/>
  <c r="P2940" i="1"/>
  <c r="O2940" i="1"/>
  <c r="N2940" i="1"/>
  <c r="M2940" i="1"/>
  <c r="AR89" i="9"/>
  <c r="P2939" i="1"/>
  <c r="O2939" i="1"/>
  <c r="N2939" i="1"/>
  <c r="M2939" i="1"/>
  <c r="P2938" i="1"/>
  <c r="O2938" i="1"/>
  <c r="N2938" i="1"/>
  <c r="M2938" i="1"/>
  <c r="AS61" i="9"/>
  <c r="P2937" i="1"/>
  <c r="O2937" i="1"/>
  <c r="N2937" i="1"/>
  <c r="M2937" i="1"/>
  <c r="P2936" i="1"/>
  <c r="O2936" i="1"/>
  <c r="N2936" i="1"/>
  <c r="M2936" i="1"/>
  <c r="AT103"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1" i="9"/>
  <c r="P2920" i="1"/>
  <c r="O2920" i="1"/>
  <c r="N2920" i="1"/>
  <c r="M2920" i="1"/>
  <c r="H77" i="14"/>
  <c r="L77" i="14"/>
  <c r="G77" i="14"/>
  <c r="F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6" i="9"/>
  <c r="AS77" i="9"/>
  <c r="AR77" i="9"/>
  <c r="P2910" i="1"/>
  <c r="O2910" i="1"/>
  <c r="N2910" i="1"/>
  <c r="M2910" i="1"/>
  <c r="P2909" i="1"/>
  <c r="O2909" i="1"/>
  <c r="N2909" i="1"/>
  <c r="M2909" i="1"/>
  <c r="P2908" i="1"/>
  <c r="O2908" i="1"/>
  <c r="N2908" i="1"/>
  <c r="M2908" i="1"/>
  <c r="O2907" i="1"/>
  <c r="N2907" i="1"/>
  <c r="M2907" i="1"/>
  <c r="P2907" i="1"/>
  <c r="D1" i="4" a="1"/>
  <c r="D1"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c r="S6" i="4"/>
  <c r="S7" i="4"/>
  <c r="S8" i="4"/>
  <c r="D13" i="4" a="1"/>
  <c r="D13" i="4"/>
  <c r="P2906" i="1"/>
  <c r="O2906" i="1"/>
  <c r="N2906" i="1"/>
  <c r="M2906" i="1"/>
  <c r="P2905" i="1"/>
  <c r="O2905" i="1"/>
  <c r="N2905" i="1"/>
  <c r="M2905" i="1"/>
  <c r="G76" i="14"/>
  <c r="F76" i="14"/>
  <c r="O2904" i="1"/>
  <c r="N2904" i="1"/>
  <c r="M2904" i="1"/>
  <c r="E2904" i="1"/>
  <c r="P2904" i="1"/>
  <c r="P2903" i="1"/>
  <c r="O2903" i="1"/>
  <c r="N2903" i="1"/>
  <c r="M2903" i="1"/>
  <c r="P2902" i="1"/>
  <c r="O2902" i="1"/>
  <c r="N2902" i="1"/>
  <c r="M2902" i="1"/>
  <c r="P2901" i="1"/>
  <c r="O2901" i="1"/>
  <c r="N2901" i="1"/>
  <c r="M2901" i="1"/>
  <c r="E2900" i="1"/>
  <c r="P2900" i="1"/>
  <c r="O2900" i="1"/>
  <c r="N2900" i="1"/>
  <c r="M2900" i="1"/>
  <c r="P2899" i="1"/>
  <c r="O2899" i="1"/>
  <c r="N2899" i="1"/>
  <c r="M2899" i="1"/>
  <c r="AL43" i="9"/>
  <c r="P2898" i="1"/>
  <c r="O2898" i="1"/>
  <c r="N2898" i="1"/>
  <c r="M2898" i="1"/>
  <c r="P2897" i="1"/>
  <c r="O2897" i="1"/>
  <c r="N2897" i="1"/>
  <c r="M2897" i="1"/>
  <c r="P2896" i="1"/>
  <c r="O2896" i="1"/>
  <c r="N2896" i="1"/>
  <c r="M2896" i="1"/>
  <c r="P2895" i="1"/>
  <c r="O2895" i="1"/>
  <c r="N2895" i="1"/>
  <c r="M2895" i="1"/>
  <c r="P2894" i="1"/>
  <c r="O2894" i="1"/>
  <c r="N2894" i="1"/>
  <c r="M2894" i="1"/>
  <c r="P2893" i="1"/>
  <c r="O2893" i="1"/>
  <c r="N2893" i="1"/>
  <c r="M2893" i="1"/>
  <c r="P2892" i="1"/>
  <c r="O2892" i="1"/>
  <c r="N2892" i="1"/>
  <c r="M2892" i="1"/>
  <c r="P2891" i="1"/>
  <c r="O2891" i="1"/>
  <c r="N2891" i="1"/>
  <c r="M2891" i="1"/>
  <c r="G75" i="14"/>
  <c r="F75" i="14"/>
  <c r="G74" i="14"/>
  <c r="F74" i="14"/>
  <c r="P2890" i="1"/>
  <c r="O2890" i="1"/>
  <c r="N2890" i="1"/>
  <c r="M2890" i="1"/>
  <c r="P2889" i="1"/>
  <c r="O2889" i="1"/>
  <c r="N2889" i="1"/>
  <c r="M2889" i="1"/>
  <c r="AP49" i="9"/>
  <c r="P2888" i="1"/>
  <c r="O2888" i="1"/>
  <c r="N2888" i="1"/>
  <c r="M2888" i="1"/>
  <c r="AR53" i="9"/>
  <c r="P2887" i="1"/>
  <c r="O2887" i="1"/>
  <c r="N2887" i="1"/>
  <c r="M2887" i="1"/>
  <c r="AP91" i="9"/>
  <c r="O2886" i="1"/>
  <c r="N2886" i="1"/>
  <c r="M2886" i="1"/>
  <c r="P2886" i="1"/>
  <c r="P2885" i="1"/>
  <c r="O2885" i="1"/>
  <c r="N2885" i="1"/>
  <c r="M2885" i="1"/>
  <c r="P2884" i="1"/>
  <c r="O2884" i="1"/>
  <c r="N2884" i="1"/>
  <c r="M2884" i="1"/>
  <c r="P2883" i="1"/>
  <c r="O2883" i="1"/>
  <c r="N2883" i="1"/>
  <c r="M2883" i="1"/>
  <c r="P2882" i="1"/>
  <c r="O2882" i="1"/>
  <c r="N2882" i="1"/>
  <c r="M2882" i="1"/>
  <c r="AQ93" i="9"/>
  <c r="P2881" i="1"/>
  <c r="O2881" i="1"/>
  <c r="N2881" i="1"/>
  <c r="M2881" i="1"/>
  <c r="P2880" i="1"/>
  <c r="O2880" i="1"/>
  <c r="N2880" i="1"/>
  <c r="M2880" i="1"/>
  <c r="P2879" i="1"/>
  <c r="O2879" i="1"/>
  <c r="N2879" i="1"/>
  <c r="M2879" i="1"/>
  <c r="P2878" i="1"/>
  <c r="O2878" i="1"/>
  <c r="N2878" i="1"/>
  <c r="M2878" i="1"/>
  <c r="P2877" i="1"/>
  <c r="O2877" i="1"/>
  <c r="N2877" i="1"/>
  <c r="M2877" i="1"/>
  <c r="AP133" i="9"/>
  <c r="AQ133" i="9"/>
  <c r="P2876" i="1"/>
  <c r="O2876" i="1"/>
  <c r="N2876" i="1"/>
  <c r="M2876" i="1"/>
  <c r="P2875" i="1"/>
  <c r="O2875" i="1"/>
  <c r="N2875" i="1"/>
  <c r="M2875" i="1"/>
  <c r="P2874" i="1"/>
  <c r="O2874" i="1"/>
  <c r="N2874" i="1"/>
  <c r="M2874" i="1"/>
  <c r="P2873" i="1"/>
  <c r="O2873" i="1"/>
  <c r="N2873" i="1"/>
  <c r="M2873" i="1"/>
  <c r="G73" i="14"/>
  <c r="F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0" i="14"/>
  <c r="L79" i="14"/>
  <c r="L78" i="14"/>
  <c r="G72" i="14"/>
  <c r="F72"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c r="O2836" i="1"/>
  <c r="N2836" i="1"/>
  <c r="M2836" i="1"/>
  <c r="P2835" i="1"/>
  <c r="O2835" i="1"/>
  <c r="N2835" i="1"/>
  <c r="M2835" i="1"/>
  <c r="AR20" i="9"/>
  <c r="P2834" i="1"/>
  <c r="O2834" i="1"/>
  <c r="N2834" i="1"/>
  <c r="M2834" i="1"/>
  <c r="O2833" i="1"/>
  <c r="N2833" i="1"/>
  <c r="M2833" i="1"/>
  <c r="E2833" i="1"/>
  <c r="P2833" i="1"/>
  <c r="AP53" i="9"/>
  <c r="P2832" i="1"/>
  <c r="O2832" i="1"/>
  <c r="N2832" i="1"/>
  <c r="M2832" i="1"/>
  <c r="P2831" i="1"/>
  <c r="O2831" i="1"/>
  <c r="N2831" i="1"/>
  <c r="M2831" i="1"/>
  <c r="O2830" i="1"/>
  <c r="N2830" i="1"/>
  <c r="M2830" i="1"/>
  <c r="P2830" i="1"/>
  <c r="E2829" i="1"/>
  <c r="P2829" i="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F70" i="14"/>
  <c r="P2814" i="1"/>
  <c r="O2814" i="1"/>
  <c r="N2814" i="1"/>
  <c r="M2814" i="1"/>
  <c r="P2813" i="1"/>
  <c r="O2813" i="1"/>
  <c r="N2813" i="1"/>
  <c r="M2813" i="1"/>
  <c r="P2812" i="1"/>
  <c r="O2812" i="1"/>
  <c r="N2812" i="1"/>
  <c r="M2812" i="1"/>
  <c r="P2811" i="1"/>
  <c r="O2811" i="1"/>
  <c r="N2811" i="1"/>
  <c r="M2811" i="1"/>
  <c r="G69" i="14"/>
  <c r="F69" i="14"/>
  <c r="G68" i="14"/>
  <c r="F68" i="14"/>
  <c r="E2810" i="1"/>
  <c r="P2810" i="1"/>
  <c r="O2810" i="1"/>
  <c r="N2810" i="1"/>
  <c r="M2810" i="1"/>
  <c r="P2809" i="1"/>
  <c r="O2809" i="1"/>
  <c r="N2809" i="1"/>
  <c r="M2809" i="1"/>
  <c r="P2808" i="1"/>
  <c r="O2808" i="1"/>
  <c r="N2808" i="1"/>
  <c r="M2808" i="1"/>
  <c r="AP94" i="9"/>
  <c r="P2807" i="1"/>
  <c r="O2807" i="1"/>
  <c r="N2807" i="1"/>
  <c r="M2807" i="1"/>
  <c r="E2806" i="1"/>
  <c r="P2806" i="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5"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09" i="9"/>
  <c r="AO109" i="9"/>
  <c r="E2784" i="1"/>
  <c r="P2784" i="1"/>
  <c r="O2784" i="1"/>
  <c r="N2784" i="1"/>
  <c r="M2784" i="1"/>
  <c r="AN111"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9" i="9"/>
  <c r="P2776" i="1"/>
  <c r="O2776" i="1"/>
  <c r="N2776" i="1"/>
  <c r="M2776" i="1"/>
  <c r="P2775" i="1"/>
  <c r="O2775" i="1"/>
  <c r="N2775" i="1"/>
  <c r="M2775" i="1"/>
  <c r="P2774" i="1"/>
  <c r="O2774" i="1"/>
  <c r="N2774" i="1"/>
  <c r="M2774" i="1"/>
  <c r="P2773" i="1"/>
  <c r="O2773" i="1"/>
  <c r="N2773" i="1"/>
  <c r="M2773" i="1"/>
  <c r="P2772" i="1"/>
  <c r="O2772" i="1"/>
  <c r="N2772" i="1"/>
  <c r="M2772" i="1"/>
  <c r="AP78" i="9"/>
  <c r="E2771" i="1"/>
  <c r="P2771" i="1"/>
  <c r="O2771" i="1"/>
  <c r="N2771" i="1"/>
  <c r="M2771" i="1"/>
  <c r="G67" i="14"/>
  <c r="H67" i="14"/>
  <c r="H68" i="14"/>
  <c r="F67" i="14"/>
  <c r="G66" i="14"/>
  <c r="F66" i="14"/>
  <c r="P2770" i="1"/>
  <c r="O2770" i="1"/>
  <c r="N2770" i="1"/>
  <c r="M2770" i="1"/>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BA104" i="5"/>
  <c r="AZ104" i="5"/>
  <c r="AY104" i="5"/>
  <c r="AX104" i="5"/>
  <c r="AW104" i="5"/>
  <c r="AV104" i="5"/>
  <c r="AU104" i="5"/>
  <c r="AT104" i="5"/>
  <c r="AS104" i="5"/>
  <c r="AR104" i="5"/>
  <c r="AQ104" i="5"/>
  <c r="AP104" i="5"/>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BA108" i="9"/>
  <c r="B108" i="9"/>
  <c r="A108" i="9"/>
  <c r="P2756" i="1"/>
  <c r="O2756" i="1"/>
  <c r="N2756" i="1"/>
  <c r="M2756" i="1"/>
  <c r="G65" i="14"/>
  <c r="F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8" i="9"/>
  <c r="E2743" i="1"/>
  <c r="P2743" i="1"/>
  <c r="I1" i="14"/>
  <c r="O2743" i="1"/>
  <c r="N2743" i="1"/>
  <c r="M2743" i="1"/>
  <c r="P2742" i="1"/>
  <c r="O2742" i="1"/>
  <c r="N2742" i="1"/>
  <c r="M2742" i="1"/>
  <c r="G64" i="14"/>
  <c r="M1" i="14" a="1"/>
  <c r="M1" i="14"/>
  <c r="F64" i="14"/>
  <c r="P2741" i="1"/>
  <c r="O2741" i="1"/>
  <c r="N2741" i="1"/>
  <c r="M2741" i="1"/>
  <c r="P2740" i="1"/>
  <c r="O2740" i="1"/>
  <c r="N2740" i="1"/>
  <c r="M2740" i="1"/>
  <c r="P2739" i="1"/>
  <c r="O2739" i="1"/>
  <c r="N2739" i="1"/>
  <c r="M2739" i="1"/>
  <c r="P2738" i="1"/>
  <c r="O2738" i="1"/>
  <c r="N2738" i="1"/>
  <c r="M2738" i="1"/>
  <c r="AO49" i="9"/>
  <c r="E2737" i="1"/>
  <c r="P2737" i="1"/>
  <c r="O2737" i="1"/>
  <c r="N2737" i="1"/>
  <c r="M2737" i="1"/>
  <c r="P2736" i="1"/>
  <c r="O2736" i="1"/>
  <c r="N2736" i="1"/>
  <c r="M2736" i="1"/>
  <c r="P2735" i="1"/>
  <c r="O2735" i="1"/>
  <c r="N2735" i="1"/>
  <c r="M2735" i="1"/>
  <c r="P2734" i="1"/>
  <c r="O2734" i="1"/>
  <c r="N2734" i="1"/>
  <c r="M2734" i="1"/>
  <c r="E2724" i="1"/>
  <c r="E2723" i="1"/>
  <c r="P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c r="AO60" i="9"/>
  <c r="AP17" i="5"/>
  <c r="P2726" i="1"/>
  <c r="O2726" i="1"/>
  <c r="N2726" i="1"/>
  <c r="M2726" i="1"/>
  <c r="P2725" i="1"/>
  <c r="O2725" i="1"/>
  <c r="N2725" i="1"/>
  <c r="M2725" i="1"/>
  <c r="AN61" i="9"/>
  <c r="AO133" i="9"/>
  <c r="AN133" i="9"/>
  <c r="AO127" i="5"/>
  <c r="P2724" i="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4"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F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F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F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c r="A51" i="9"/>
  <c r="C51" i="9"/>
  <c r="P2668" i="1"/>
  <c r="O2668" i="1"/>
  <c r="N2668" i="1"/>
  <c r="M2668" i="1"/>
  <c r="P2667" i="1"/>
  <c r="O2667" i="1"/>
  <c r="N2667" i="1"/>
  <c r="M2667" i="1"/>
  <c r="P2666" i="1"/>
  <c r="O2666" i="1"/>
  <c r="N2666" i="1"/>
  <c r="M2666" i="1"/>
  <c r="P2665" i="1"/>
  <c r="O2665" i="1"/>
  <c r="N2665" i="1"/>
  <c r="M2665" i="1"/>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6" i="9"/>
  <c r="E2627" i="1"/>
  <c r="P2627" i="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c r="H35" i="14"/>
  <c r="H34" i="14"/>
  <c r="L34" i="14"/>
  <c r="H33" i="14"/>
  <c r="L33" i="14"/>
  <c r="H32" i="14"/>
  <c r="L32" i="14"/>
  <c r="H31" i="14"/>
  <c r="L31" i="14"/>
  <c r="H30" i="14"/>
  <c r="L30" i="14"/>
  <c r="H29" i="14"/>
  <c r="H28" i="14"/>
  <c r="L28" i="14"/>
  <c r="H27" i="14"/>
  <c r="H26" i="14"/>
  <c r="H25" i="14"/>
  <c r="H4" i="14"/>
  <c r="G59" i="14"/>
  <c r="H59" i="14"/>
  <c r="F59" i="14"/>
  <c r="P2635" i="1"/>
  <c r="O2635" i="1"/>
  <c r="N2635" i="1"/>
  <c r="M2635" i="1"/>
  <c r="P2634" i="1"/>
  <c r="O2634" i="1"/>
  <c r="N2634" i="1"/>
  <c r="M2634" i="1"/>
  <c r="P2633" i="1"/>
  <c r="O2633" i="1"/>
  <c r="N2633" i="1"/>
  <c r="M2633" i="1"/>
  <c r="P2632" i="1"/>
  <c r="O2632" i="1"/>
  <c r="N2632" i="1"/>
  <c r="M2632" i="1"/>
  <c r="E2556" i="1"/>
  <c r="E2533" i="1"/>
  <c r="P2533" i="1"/>
  <c r="E2511" i="1"/>
  <c r="P2511" i="1"/>
  <c r="BA6" i="4"/>
  <c r="BA5" i="4"/>
  <c r="BA4" i="4"/>
  <c r="AV9" i="4"/>
  <c r="AV8" i="4"/>
  <c r="AV7" i="4"/>
  <c r="AV6" i="4"/>
  <c r="AV5" i="4"/>
  <c r="AV4" i="4"/>
  <c r="AW4" i="4"/>
  <c r="AQ12" i="4"/>
  <c r="AQ11" i="4"/>
  <c r="AQ10" i="4"/>
  <c r="AQ9" i="4"/>
  <c r="AQ8" i="4"/>
  <c r="AQ7" i="4"/>
  <c r="AQ6" i="4"/>
  <c r="AQ5" i="4"/>
  <c r="AR5" i="4"/>
  <c r="AR6" i="4"/>
  <c r="AQ4" i="4"/>
  <c r="AR4" i="4"/>
  <c r="AL17" i="4"/>
  <c r="AL16" i="4"/>
  <c r="AL15" i="4"/>
  <c r="AL14" i="4"/>
  <c r="AL13" i="4"/>
  <c r="AL12" i="4"/>
  <c r="AL11" i="4"/>
  <c r="AL10" i="4"/>
  <c r="AL9" i="4"/>
  <c r="AL8" i="4"/>
  <c r="AL7" i="4"/>
  <c r="AL6" i="4"/>
  <c r="AL5" i="4"/>
  <c r="AL4" i="4"/>
  <c r="AG20" i="4"/>
  <c r="AG19" i="4"/>
  <c r="AG18" i="4"/>
  <c r="AG17" i="4"/>
  <c r="AG16" i="4"/>
  <c r="AG15" i="4"/>
  <c r="AG14" i="4"/>
  <c r="AG13" i="4"/>
  <c r="AG12" i="4"/>
  <c r="AG11" i="4"/>
  <c r="AG10" i="4"/>
  <c r="AG9" i="4"/>
  <c r="AG8" i="4"/>
  <c r="AG7" i="4"/>
  <c r="AG6" i="4"/>
  <c r="AG5" i="4"/>
  <c r="AG4" i="4"/>
  <c r="AB7" i="4"/>
  <c r="AB6" i="4"/>
  <c r="AB5" i="4"/>
  <c r="AB4" i="4"/>
  <c r="W7" i="4"/>
  <c r="W6" i="4"/>
  <c r="W5" i="4"/>
  <c r="W4" i="4"/>
  <c r="X4" i="4"/>
  <c r="X5" i="4"/>
  <c r="M30" i="4"/>
  <c r="M29" i="4"/>
  <c r="M28" i="4"/>
  <c r="M27" i="4"/>
  <c r="M26" i="4"/>
  <c r="M25" i="4"/>
  <c r="M24" i="4"/>
  <c r="M23" i="4"/>
  <c r="M22" i="4"/>
  <c r="M21" i="4"/>
  <c r="M20" i="4"/>
  <c r="M19" i="4"/>
  <c r="M18" i="4"/>
  <c r="M17" i="4"/>
  <c r="M16" i="4"/>
  <c r="M15" i="4"/>
  <c r="M14" i="4"/>
  <c r="M13" i="4"/>
  <c r="M12" i="4"/>
  <c r="M11" i="4"/>
  <c r="M10" i="4"/>
  <c r="M9" i="4"/>
  <c r="M8" i="4"/>
  <c r="M7" i="4"/>
  <c r="M6" i="4"/>
  <c r="M5" i="4"/>
  <c r="M4" i="4"/>
  <c r="N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7" i="9"/>
  <c r="Z134" i="9"/>
  <c r="Y134" i="9"/>
  <c r="Z128" i="5"/>
  <c r="AB128" i="9"/>
  <c r="AB126" i="9"/>
  <c r="AB122" i="9"/>
  <c r="Z122" i="9"/>
  <c r="Y122" i="9"/>
  <c r="AB103" i="9"/>
  <c r="AC85" i="5"/>
  <c r="Y103" i="9"/>
  <c r="Y94" i="9"/>
  <c r="Z91" i="9"/>
  <c r="AA98" i="5"/>
  <c r="Y87" i="9"/>
  <c r="AB85" i="9"/>
  <c r="Y83" i="9"/>
  <c r="Z90" i="5"/>
  <c r="Z70" i="9"/>
  <c r="AB61" i="9"/>
  <c r="AB60" i="9"/>
  <c r="AC17" i="5"/>
  <c r="AA60" i="9"/>
  <c r="Y58" i="9"/>
  <c r="Y4" i="9"/>
  <c r="Z66" i="5"/>
  <c r="Y41" i="9"/>
  <c r="Y55" i="9"/>
  <c r="AB44" i="9"/>
  <c r="AC39" i="5"/>
  <c r="AA44" i="9"/>
  <c r="AB39" i="5"/>
  <c r="AB42" i="9"/>
  <c r="Z42" i="9"/>
  <c r="AA37" i="5"/>
  <c r="AB41" i="9"/>
  <c r="AB40" i="9"/>
  <c r="AB36" i="9"/>
  <c r="AC10" i="5"/>
  <c r="AB10" i="9"/>
  <c r="AB2" i="9"/>
  <c r="AA10" i="9"/>
  <c r="Z10" i="9"/>
  <c r="AA2" i="9"/>
  <c r="X137" i="9"/>
  <c r="X136" i="9"/>
  <c r="X135" i="9"/>
  <c r="X134" i="9"/>
  <c r="Y128" i="5"/>
  <c r="X133" i="9"/>
  <c r="X128" i="9"/>
  <c r="X127" i="9"/>
  <c r="Y124" i="5"/>
  <c r="X126" i="9"/>
  <c r="X122" i="9"/>
  <c r="X120" i="9"/>
  <c r="Y116" i="5"/>
  <c r="X118" i="9"/>
  <c r="X117" i="9"/>
  <c r="X112" i="9"/>
  <c r="Y134" i="5"/>
  <c r="X107" i="9"/>
  <c r="X106" i="9"/>
  <c r="X103" i="9"/>
  <c r="Y85" i="5"/>
  <c r="X102" i="9"/>
  <c r="X95" i="9"/>
  <c r="X94" i="9"/>
  <c r="Y100" i="5"/>
  <c r="X93" i="9"/>
  <c r="X85" i="9"/>
  <c r="X79" i="9"/>
  <c r="X78" i="9"/>
  <c r="X77" i="9"/>
  <c r="X75" i="9"/>
  <c r="Y76" i="5"/>
  <c r="X70" i="9"/>
  <c r="X65" i="9"/>
  <c r="X62" i="9"/>
  <c r="Y19" i="5"/>
  <c r="X60" i="9"/>
  <c r="X59" i="9"/>
  <c r="X58" i="9"/>
  <c r="Y15" i="5"/>
  <c r="X57" i="9"/>
  <c r="X55" i="9"/>
  <c r="X54" i="9"/>
  <c r="Y11" i="5"/>
  <c r="X53" i="9"/>
  <c r="X48" i="9"/>
  <c r="X46" i="9"/>
  <c r="Y41" i="5"/>
  <c r="X40" i="9"/>
  <c r="X39" i="9"/>
  <c r="X33" i="9"/>
  <c r="X20" i="9"/>
  <c r="X16" i="9"/>
  <c r="X13" i="9"/>
  <c r="X10" i="9"/>
  <c r="X8" i="9"/>
  <c r="X7" i="9"/>
  <c r="Y62" i="5"/>
  <c r="X6" i="9"/>
  <c r="X4" i="9"/>
  <c r="X2" i="9"/>
  <c r="V140" i="9"/>
  <c r="U140" i="9"/>
  <c r="T140" i="9"/>
  <c r="U122" i="5"/>
  <c r="S140" i="9"/>
  <c r="R140" i="9"/>
  <c r="Q140" i="9"/>
  <c r="R122" i="5"/>
  <c r="N140" i="9"/>
  <c r="M140" i="9"/>
  <c r="L140" i="9"/>
  <c r="M122" i="5"/>
  <c r="K140" i="9"/>
  <c r="J140" i="9"/>
  <c r="I140" i="9"/>
  <c r="J122" i="5"/>
  <c r="H140" i="9"/>
  <c r="G140" i="9"/>
  <c r="F140" i="9"/>
  <c r="E140" i="9"/>
  <c r="A140"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P50" i="1"/>
  <c r="E51" i="1"/>
  <c r="E52" i="1"/>
  <c r="E53" i="1"/>
  <c r="P53" i="1"/>
  <c r="E54" i="1"/>
  <c r="E55" i="1"/>
  <c r="E56" i="1"/>
  <c r="P56" i="1"/>
  <c r="E57" i="1"/>
  <c r="E58" i="1"/>
  <c r="E59" i="1"/>
  <c r="P59" i="1"/>
  <c r="E60" i="1"/>
  <c r="E61" i="1"/>
  <c r="E62" i="1"/>
  <c r="P62" i="1"/>
  <c r="E63" i="1"/>
  <c r="E64" i="1"/>
  <c r="E65" i="1"/>
  <c r="P65" i="1"/>
  <c r="E66" i="1"/>
  <c r="E67" i="1"/>
  <c r="E68" i="1"/>
  <c r="P68" i="1"/>
  <c r="E69" i="1"/>
  <c r="E70" i="1"/>
  <c r="E71" i="1"/>
  <c r="E72" i="1"/>
  <c r="E73" i="1"/>
  <c r="E74" i="1"/>
  <c r="E75" i="1"/>
  <c r="E76" i="1"/>
  <c r="E77" i="1"/>
  <c r="E78" i="1"/>
  <c r="E79" i="1"/>
  <c r="E80" i="1"/>
  <c r="E81" i="1"/>
  <c r="E82" i="1"/>
  <c r="E83" i="1"/>
  <c r="E84" i="1"/>
  <c r="E85" i="1"/>
  <c r="E86" i="1"/>
  <c r="E87" i="1"/>
  <c r="E88" i="1"/>
  <c r="E89" i="1"/>
  <c r="E90" i="1"/>
  <c r="E91" i="1"/>
  <c r="E92" i="1"/>
  <c r="E94" i="1"/>
  <c r="E95" i="1"/>
  <c r="E96" i="1"/>
  <c r="P96" i="1"/>
  <c r="E97" i="1"/>
  <c r="E98" i="1"/>
  <c r="E99" i="1"/>
  <c r="E100" i="1"/>
  <c r="E101" i="1"/>
  <c r="E102" i="1"/>
  <c r="E103" i="1"/>
  <c r="E104" i="1"/>
  <c r="E105" i="1"/>
  <c r="E106" i="1"/>
  <c r="E107" i="1"/>
  <c r="E108" i="1"/>
  <c r="E109" i="1"/>
  <c r="E110" i="1"/>
  <c r="E111" i="1"/>
  <c r="E112" i="1"/>
  <c r="E113" i="1"/>
  <c r="E114" i="1"/>
  <c r="E115" i="1"/>
  <c r="E116" i="1"/>
  <c r="E117" i="1"/>
  <c r="P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P151" i="1"/>
  <c r="E152" i="1"/>
  <c r="E153" i="1"/>
  <c r="E154" i="1"/>
  <c r="P154" i="1"/>
  <c r="E155" i="1"/>
  <c r="E156" i="1"/>
  <c r="E157" i="1"/>
  <c r="P157" i="1"/>
  <c r="E158" i="1"/>
  <c r="E159" i="1"/>
  <c r="E160" i="1"/>
  <c r="P160" i="1"/>
  <c r="E161" i="1"/>
  <c r="E162" i="1"/>
  <c r="E163" i="1"/>
  <c r="P163" i="1"/>
  <c r="E164" i="1"/>
  <c r="E165" i="1"/>
  <c r="E166" i="1"/>
  <c r="P166" i="1"/>
  <c r="E167" i="1"/>
  <c r="E168" i="1"/>
  <c r="E169" i="1"/>
  <c r="P169" i="1"/>
  <c r="E170" i="1"/>
  <c r="E171" i="1"/>
  <c r="E172" i="1"/>
  <c r="P172" i="1"/>
  <c r="E173" i="1"/>
  <c r="E174" i="1"/>
  <c r="E175" i="1"/>
  <c r="P175" i="1"/>
  <c r="E176" i="1"/>
  <c r="E177" i="1"/>
  <c r="E178" i="1"/>
  <c r="P178" i="1"/>
  <c r="E179" i="1"/>
  <c r="E180" i="1"/>
  <c r="E181" i="1"/>
  <c r="P181" i="1"/>
  <c r="E182" i="1"/>
  <c r="E183" i="1"/>
  <c r="E184" i="1"/>
  <c r="P184" i="1"/>
  <c r="E185" i="1"/>
  <c r="E186" i="1"/>
  <c r="E187" i="1"/>
  <c r="P187" i="1"/>
  <c r="E188" i="1"/>
  <c r="E189" i="1"/>
  <c r="E190" i="1"/>
  <c r="P190" i="1"/>
  <c r="E191" i="1"/>
  <c r="E192" i="1"/>
  <c r="E193" i="1"/>
  <c r="P193" i="1"/>
  <c r="E194" i="1"/>
  <c r="E195" i="1"/>
  <c r="E196" i="1"/>
  <c r="P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P223" i="1"/>
  <c r="E224" i="1"/>
  <c r="E225" i="1"/>
  <c r="E226" i="1"/>
  <c r="P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c r="E267" i="1"/>
  <c r="E268" i="1"/>
  <c r="E269" i="1"/>
  <c r="P269" i="1"/>
  <c r="E270" i="1"/>
  <c r="E271" i="1"/>
  <c r="E272" i="1"/>
  <c r="P272" i="1"/>
  <c r="E273" i="1"/>
  <c r="E274" i="1"/>
  <c r="E275" i="1"/>
  <c r="E276" i="1"/>
  <c r="E277" i="1"/>
  <c r="E278" i="1"/>
  <c r="P278" i="1"/>
  <c r="E279" i="1"/>
  <c r="E280" i="1"/>
  <c r="E281" i="1"/>
  <c r="P281" i="1"/>
  <c r="E282" i="1"/>
  <c r="E283" i="1"/>
  <c r="E284" i="1"/>
  <c r="P284" i="1"/>
  <c r="E285" i="1"/>
  <c r="E286" i="1"/>
  <c r="E287" i="1"/>
  <c r="P287" i="1"/>
  <c r="E288" i="1"/>
  <c r="E289" i="1"/>
  <c r="E290" i="1"/>
  <c r="P290" i="1"/>
  <c r="E291" i="1"/>
  <c r="E292" i="1"/>
  <c r="E293" i="1"/>
  <c r="P293" i="1"/>
  <c r="E294" i="1"/>
  <c r="E295" i="1"/>
  <c r="E296" i="1"/>
  <c r="P296" i="1"/>
  <c r="E297" i="1"/>
  <c r="E298" i="1"/>
  <c r="E299" i="1"/>
  <c r="P299" i="1"/>
  <c r="E300" i="1"/>
  <c r="E301" i="1"/>
  <c r="E302" i="1"/>
  <c r="P302" i="1"/>
  <c r="E303" i="1"/>
  <c r="P303" i="1"/>
  <c r="E304" i="1"/>
  <c r="E305" i="1"/>
  <c r="E306" i="1"/>
  <c r="P306" i="1"/>
  <c r="E307" i="1"/>
  <c r="E308" i="1"/>
  <c r="E309" i="1"/>
  <c r="E310" i="1"/>
  <c r="E311" i="1"/>
  <c r="P311" i="1"/>
  <c r="E312" i="1"/>
  <c r="E313" i="1"/>
  <c r="E314" i="1"/>
  <c r="E315" i="1"/>
  <c r="E316" i="1"/>
  <c r="E317" i="1"/>
  <c r="E318" i="1"/>
  <c r="E319" i="1"/>
  <c r="E320" i="1"/>
  <c r="E321" i="1"/>
  <c r="E322" i="1"/>
  <c r="E323" i="1"/>
  <c r="E324" i="1"/>
  <c r="E325" i="1"/>
  <c r="E326" i="1"/>
  <c r="E327" i="1"/>
  <c r="E328" i="1"/>
  <c r="E329" i="1"/>
  <c r="P329" i="1"/>
  <c r="E330" i="1"/>
  <c r="E331" i="1"/>
  <c r="E332" i="1"/>
  <c r="E333" i="1"/>
  <c r="E334" i="1"/>
  <c r="E335" i="1"/>
  <c r="E336" i="1"/>
  <c r="E337" i="1"/>
  <c r="E338" i="1"/>
  <c r="E339" i="1"/>
  <c r="E340" i="1"/>
  <c r="E341" i="1"/>
  <c r="P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c r="E378" i="1"/>
  <c r="E379" i="1"/>
  <c r="E380" i="1"/>
  <c r="E381" i="1"/>
  <c r="E382" i="1"/>
  <c r="E383" i="1"/>
  <c r="E384" i="1"/>
  <c r="E385" i="1"/>
  <c r="E386" i="1"/>
  <c r="P386" i="1"/>
  <c r="E387" i="1"/>
  <c r="E388" i="1"/>
  <c r="E389" i="1"/>
  <c r="E390" i="1"/>
  <c r="E391" i="1"/>
  <c r="E392" i="1"/>
  <c r="E393" i="1"/>
  <c r="E394" i="1"/>
  <c r="E395" i="1"/>
  <c r="E396" i="1"/>
  <c r="E397" i="1"/>
  <c r="E398" i="1"/>
  <c r="E399" i="1"/>
  <c r="E400" i="1"/>
  <c r="E401" i="1"/>
  <c r="E402" i="1"/>
  <c r="E403" i="1"/>
  <c r="E404" i="1"/>
  <c r="P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c r="E574" i="1"/>
  <c r="E575" i="1"/>
  <c r="E576" i="1"/>
  <c r="P576" i="1"/>
  <c r="E577" i="1"/>
  <c r="E578" i="1"/>
  <c r="E579" i="1"/>
  <c r="P579" i="1"/>
  <c r="E580" i="1"/>
  <c r="E581" i="1"/>
  <c r="E582" i="1"/>
  <c r="E583" i="1"/>
  <c r="P583" i="1"/>
  <c r="E584" i="1"/>
  <c r="E585" i="1"/>
  <c r="E586" i="1"/>
  <c r="P586" i="1"/>
  <c r="E587" i="1"/>
  <c r="E588" i="1"/>
  <c r="E589" i="1"/>
  <c r="P589" i="1"/>
  <c r="E590" i="1"/>
  <c r="E591" i="1"/>
  <c r="E592" i="1"/>
  <c r="P592" i="1"/>
  <c r="E593" i="1"/>
  <c r="E594" i="1"/>
  <c r="E595" i="1"/>
  <c r="P595" i="1"/>
  <c r="E596" i="1"/>
  <c r="E597" i="1"/>
  <c r="E598" i="1"/>
  <c r="P598" i="1"/>
  <c r="E599" i="1"/>
  <c r="E600" i="1"/>
  <c r="E601" i="1"/>
  <c r="P601" i="1"/>
  <c r="E602" i="1"/>
  <c r="E603" i="1"/>
  <c r="E604" i="1"/>
  <c r="P604" i="1"/>
  <c r="E605" i="1"/>
  <c r="E606" i="1"/>
  <c r="E607" i="1"/>
  <c r="P607" i="1"/>
  <c r="E608" i="1"/>
  <c r="E609" i="1"/>
  <c r="E610" i="1"/>
  <c r="P610" i="1"/>
  <c r="E611" i="1"/>
  <c r="E612" i="1"/>
  <c r="E613" i="1"/>
  <c r="E614" i="1"/>
  <c r="E615" i="1"/>
  <c r="E616" i="1"/>
  <c r="E617" i="1"/>
  <c r="E618" i="1"/>
  <c r="E619" i="1"/>
  <c r="E620" i="1"/>
  <c r="E621" i="1"/>
  <c r="E622" i="1"/>
  <c r="E623" i="1"/>
  <c r="E624" i="1"/>
  <c r="E625" i="1"/>
  <c r="E626" i="1"/>
  <c r="E627" i="1"/>
  <c r="P627" i="1"/>
  <c r="E628" i="1"/>
  <c r="E629" i="1"/>
  <c r="E630" i="1"/>
  <c r="P630" i="1"/>
  <c r="E631" i="1"/>
  <c r="E632" i="1"/>
  <c r="E633" i="1"/>
  <c r="P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P663" i="1"/>
  <c r="E664" i="1"/>
  <c r="E665" i="1"/>
  <c r="E666" i="1"/>
  <c r="P666" i="1"/>
  <c r="E667" i="1"/>
  <c r="E668" i="1"/>
  <c r="E669" i="1"/>
  <c r="P669" i="1"/>
  <c r="E670" i="1"/>
  <c r="E671" i="1"/>
  <c r="E672" i="1"/>
  <c r="P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P705" i="1"/>
  <c r="E706" i="1"/>
  <c r="E707" i="1"/>
  <c r="E708" i="1"/>
  <c r="P708" i="1"/>
  <c r="E709" i="1"/>
  <c r="E710" i="1"/>
  <c r="E711" i="1"/>
  <c r="P711" i="1"/>
  <c r="E712" i="1"/>
  <c r="E713" i="1"/>
  <c r="E714" i="1"/>
  <c r="P714" i="1"/>
  <c r="E715" i="1"/>
  <c r="E716" i="1"/>
  <c r="E717" i="1"/>
  <c r="P717" i="1"/>
  <c r="E718" i="1"/>
  <c r="E719" i="1"/>
  <c r="E720" i="1"/>
  <c r="E721" i="1"/>
  <c r="E722" i="1"/>
  <c r="E723" i="1"/>
  <c r="E724" i="1"/>
  <c r="E725" i="1"/>
  <c r="E726" i="1"/>
  <c r="E727" i="1"/>
  <c r="E728" i="1"/>
  <c r="E729" i="1"/>
  <c r="E730" i="1"/>
  <c r="E731" i="1"/>
  <c r="E732" i="1"/>
  <c r="E733" i="1"/>
  <c r="E734" i="1"/>
  <c r="E735" i="1"/>
  <c r="P735" i="1"/>
  <c r="E736" i="1"/>
  <c r="E737" i="1"/>
  <c r="E738" i="1"/>
  <c r="P738" i="1"/>
  <c r="E739" i="1"/>
  <c r="E740" i="1"/>
  <c r="E741" i="1"/>
  <c r="P741" i="1"/>
  <c r="E742" i="1"/>
  <c r="E743" i="1"/>
  <c r="E744" i="1"/>
  <c r="P744" i="1"/>
  <c r="E745" i="1"/>
  <c r="E746" i="1"/>
  <c r="E747" i="1"/>
  <c r="P747" i="1"/>
  <c r="E748" i="1"/>
  <c r="E749" i="1"/>
  <c r="E750" i="1"/>
  <c r="P750" i="1"/>
  <c r="E751" i="1"/>
  <c r="P751" i="1"/>
  <c r="E752" i="1"/>
  <c r="E753" i="1"/>
  <c r="P753" i="1"/>
  <c r="E754" i="1"/>
  <c r="E755" i="1"/>
  <c r="E756" i="1"/>
  <c r="P756" i="1"/>
  <c r="E757" i="1"/>
  <c r="E758" i="1"/>
  <c r="E759" i="1"/>
  <c r="P759" i="1"/>
  <c r="E760" i="1"/>
  <c r="E761" i="1"/>
  <c r="E762" i="1"/>
  <c r="P762" i="1"/>
  <c r="E763" i="1"/>
  <c r="E764" i="1"/>
  <c r="E765" i="1"/>
  <c r="P765" i="1"/>
  <c r="E766" i="1"/>
  <c r="E767" i="1"/>
  <c r="E768" i="1"/>
  <c r="P768" i="1"/>
  <c r="E769" i="1"/>
  <c r="E770" i="1"/>
  <c r="E771" i="1"/>
  <c r="E772" i="1"/>
  <c r="E773" i="1"/>
  <c r="E774" i="1"/>
  <c r="P774" i="1"/>
  <c r="E775" i="1"/>
  <c r="E776" i="1"/>
  <c r="E777" i="1"/>
  <c r="P777" i="1"/>
  <c r="E778" i="1"/>
  <c r="E779" i="1"/>
  <c r="E780" i="1"/>
  <c r="P780" i="1"/>
  <c r="E781" i="1"/>
  <c r="P781" i="1"/>
  <c r="E782" i="1"/>
  <c r="E783" i="1"/>
  <c r="P783" i="1"/>
  <c r="E784" i="1"/>
  <c r="E785" i="1"/>
  <c r="E786" i="1"/>
  <c r="P786" i="1"/>
  <c r="E787" i="1"/>
  <c r="E788" i="1"/>
  <c r="E789" i="1"/>
  <c r="P789" i="1"/>
  <c r="E790" i="1"/>
  <c r="E791" i="1"/>
  <c r="E792" i="1"/>
  <c r="P792" i="1"/>
  <c r="E793" i="1"/>
  <c r="E794" i="1"/>
  <c r="E795" i="1"/>
  <c r="P795" i="1"/>
  <c r="E796" i="1"/>
  <c r="E797" i="1"/>
  <c r="P797" i="1"/>
  <c r="E798" i="1"/>
  <c r="E799" i="1"/>
  <c r="E800" i="1"/>
  <c r="P800" i="1"/>
  <c r="E801" i="1"/>
  <c r="P801" i="1"/>
  <c r="E802" i="1"/>
  <c r="E803" i="1"/>
  <c r="E804" i="1"/>
  <c r="E805" i="1"/>
  <c r="E806" i="1"/>
  <c r="E807" i="1"/>
  <c r="E808" i="1"/>
  <c r="E809" i="1"/>
  <c r="E810" i="1"/>
  <c r="E811" i="1"/>
  <c r="E812" i="1"/>
  <c r="E813" i="1"/>
  <c r="E814" i="1"/>
  <c r="E815" i="1"/>
  <c r="E816" i="1"/>
  <c r="P816" i="1"/>
  <c r="E817" i="1"/>
  <c r="E818" i="1"/>
  <c r="E819" i="1"/>
  <c r="P819" i="1"/>
  <c r="E820" i="1"/>
  <c r="E821" i="1"/>
  <c r="E822" i="1"/>
  <c r="P822" i="1"/>
  <c r="E823" i="1"/>
  <c r="P823" i="1"/>
  <c r="E824" i="1"/>
  <c r="E825" i="1"/>
  <c r="P825" i="1"/>
  <c r="E826" i="1"/>
  <c r="E827" i="1"/>
  <c r="E828" i="1"/>
  <c r="E829" i="1"/>
  <c r="E830" i="1"/>
  <c r="E831" i="1"/>
  <c r="E832" i="1"/>
  <c r="E833" i="1"/>
  <c r="E834" i="1"/>
  <c r="P834" i="1"/>
  <c r="E835" i="1"/>
  <c r="E836" i="1"/>
  <c r="E837" i="1"/>
  <c r="P837" i="1"/>
  <c r="E838" i="1"/>
  <c r="E839" i="1"/>
  <c r="E840" i="1"/>
  <c r="P840" i="1"/>
  <c r="E841" i="1"/>
  <c r="E842" i="1"/>
  <c r="E843" i="1"/>
  <c r="P843" i="1"/>
  <c r="E844" i="1"/>
  <c r="E845" i="1"/>
  <c r="E846" i="1"/>
  <c r="P846" i="1"/>
  <c r="E847" i="1"/>
  <c r="E848" i="1"/>
  <c r="E849" i="1"/>
  <c r="P849" i="1"/>
  <c r="E850" i="1"/>
  <c r="E851" i="1"/>
  <c r="E852" i="1"/>
  <c r="P852" i="1"/>
  <c r="E853" i="1"/>
  <c r="E854" i="1"/>
  <c r="E855" i="1"/>
  <c r="P855" i="1"/>
  <c r="E856" i="1"/>
  <c r="P856" i="1"/>
  <c r="E857" i="1"/>
  <c r="E858" i="1"/>
  <c r="P858" i="1"/>
  <c r="E859" i="1"/>
  <c r="E860" i="1"/>
  <c r="E861" i="1"/>
  <c r="P861" i="1"/>
  <c r="E862" i="1"/>
  <c r="E863" i="1"/>
  <c r="E864" i="1"/>
  <c r="P864" i="1"/>
  <c r="E865" i="1"/>
  <c r="E866" i="1"/>
  <c r="E867" i="1"/>
  <c r="P867" i="1"/>
  <c r="E868" i="1"/>
  <c r="E869" i="1"/>
  <c r="E870" i="1"/>
  <c r="P870" i="1"/>
  <c r="E871" i="1"/>
  <c r="E872" i="1"/>
  <c r="E873" i="1"/>
  <c r="P873" i="1"/>
  <c r="E874" i="1"/>
  <c r="E875" i="1"/>
  <c r="E876" i="1"/>
  <c r="E877" i="1"/>
  <c r="E878" i="1"/>
  <c r="E879" i="1"/>
  <c r="E880" i="1"/>
  <c r="E881" i="1"/>
  <c r="E882" i="1"/>
  <c r="P882" i="1"/>
  <c r="E883" i="1"/>
  <c r="E884" i="1"/>
  <c r="E885" i="1"/>
  <c r="E886" i="1"/>
  <c r="E887" i="1"/>
  <c r="E888" i="1"/>
  <c r="E889" i="1"/>
  <c r="E890" i="1"/>
  <c r="E891" i="1"/>
  <c r="E892" i="1"/>
  <c r="E893" i="1"/>
  <c r="E894" i="1"/>
  <c r="E895" i="1"/>
  <c r="E896" i="1"/>
  <c r="E897" i="1"/>
  <c r="E898" i="1"/>
  <c r="E899" i="1"/>
  <c r="E900" i="1"/>
  <c r="E901" i="1"/>
  <c r="E902" i="1"/>
  <c r="E903" i="1"/>
  <c r="E904" i="1"/>
  <c r="E905" i="1"/>
  <c r="E906" i="1"/>
  <c r="P906" i="1"/>
  <c r="E907" i="1"/>
  <c r="E908" i="1"/>
  <c r="E909" i="1"/>
  <c r="P909" i="1"/>
  <c r="E910" i="1"/>
  <c r="E911" i="1"/>
  <c r="E912" i="1"/>
  <c r="P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c r="E955" i="1"/>
  <c r="E956" i="1"/>
  <c r="E957" i="1"/>
  <c r="P957" i="1"/>
  <c r="E958" i="1"/>
  <c r="E959" i="1"/>
  <c r="E960" i="1"/>
  <c r="P960" i="1"/>
  <c r="E961" i="1"/>
  <c r="E962" i="1"/>
  <c r="E963" i="1"/>
  <c r="P963" i="1"/>
  <c r="E964" i="1"/>
  <c r="E965" i="1"/>
  <c r="E966" i="1"/>
  <c r="P966" i="1"/>
  <c r="E967" i="1"/>
  <c r="E968" i="1"/>
  <c r="E969" i="1"/>
  <c r="P969" i="1"/>
  <c r="E970" i="1"/>
  <c r="E971" i="1"/>
  <c r="E972" i="1"/>
  <c r="P972" i="1"/>
  <c r="E973" i="1"/>
  <c r="E974" i="1"/>
  <c r="E975" i="1"/>
  <c r="P975" i="1"/>
  <c r="E976" i="1"/>
  <c r="E977" i="1"/>
  <c r="E978" i="1"/>
  <c r="E979" i="1"/>
  <c r="E980" i="1"/>
  <c r="E981" i="1"/>
  <c r="P981" i="1"/>
  <c r="E982" i="1"/>
  <c r="E983" i="1"/>
  <c r="E984" i="1"/>
  <c r="P984" i="1"/>
  <c r="E985" i="1"/>
  <c r="E986" i="1"/>
  <c r="E987" i="1"/>
  <c r="P987" i="1"/>
  <c r="E988" i="1"/>
  <c r="E989" i="1"/>
  <c r="E990" i="1"/>
  <c r="P990" i="1"/>
  <c r="E991" i="1"/>
  <c r="E992" i="1"/>
  <c r="E993" i="1"/>
  <c r="P993" i="1"/>
  <c r="E994" i="1"/>
  <c r="E995" i="1"/>
  <c r="E996" i="1"/>
  <c r="E997" i="1"/>
  <c r="E998" i="1"/>
  <c r="E999" i="1"/>
  <c r="P999" i="1"/>
  <c r="E1000" i="1"/>
  <c r="E1001" i="1"/>
  <c r="E1002" i="1"/>
  <c r="P1002" i="1"/>
  <c r="E1003" i="1"/>
  <c r="E1004" i="1"/>
  <c r="E1005" i="1"/>
  <c r="P1005" i="1"/>
  <c r="E1006" i="1"/>
  <c r="E1007" i="1"/>
  <c r="E1008" i="1"/>
  <c r="P1008" i="1"/>
  <c r="E1009" i="1"/>
  <c r="E1010" i="1"/>
  <c r="E1011" i="1"/>
  <c r="P1011" i="1"/>
  <c r="E1012" i="1"/>
  <c r="E1013" i="1"/>
  <c r="E1014" i="1"/>
  <c r="P1014" i="1"/>
  <c r="E1015" i="1"/>
  <c r="E1016" i="1"/>
  <c r="E1017" i="1"/>
  <c r="P1017" i="1"/>
  <c r="E1018" i="1"/>
  <c r="E1019" i="1"/>
  <c r="E1020" i="1"/>
  <c r="P1020" i="1"/>
  <c r="E1021" i="1"/>
  <c r="E1022" i="1"/>
  <c r="P1022" i="1"/>
  <c r="E1023" i="1"/>
  <c r="P1023" i="1"/>
  <c r="E1024" i="1"/>
  <c r="E1025" i="1"/>
  <c r="E1026" i="1"/>
  <c r="P1026" i="1"/>
  <c r="E1027" i="1"/>
  <c r="E1028" i="1"/>
  <c r="E1029" i="1"/>
  <c r="P1029" i="1"/>
  <c r="E1030" i="1"/>
  <c r="E1031" i="1"/>
  <c r="E1032" i="1"/>
  <c r="P1032" i="1"/>
  <c r="E1033" i="1"/>
  <c r="P1033" i="1"/>
  <c r="E1034" i="1"/>
  <c r="E1035" i="1"/>
  <c r="P1035" i="1"/>
  <c r="E1036" i="1"/>
  <c r="E1037" i="1"/>
  <c r="E1038" i="1"/>
  <c r="P1038" i="1"/>
  <c r="E1039" i="1"/>
  <c r="E1040" i="1"/>
  <c r="E1041" i="1"/>
  <c r="P1041" i="1"/>
  <c r="E1042" i="1"/>
  <c r="E1043" i="1"/>
  <c r="E1044" i="1"/>
  <c r="P1044" i="1"/>
  <c r="E1045" i="1"/>
  <c r="E1046" i="1"/>
  <c r="E1047" i="1"/>
  <c r="P1047" i="1"/>
  <c r="E1048" i="1"/>
  <c r="E1049" i="1"/>
  <c r="P1049" i="1"/>
  <c r="E1050" i="1"/>
  <c r="P1050" i="1"/>
  <c r="E1051" i="1"/>
  <c r="E1052" i="1"/>
  <c r="E1053" i="1"/>
  <c r="P1053" i="1"/>
  <c r="E1054" i="1"/>
  <c r="E1055" i="1"/>
  <c r="E1056" i="1"/>
  <c r="P1056" i="1"/>
  <c r="E1057" i="1"/>
  <c r="E1058" i="1"/>
  <c r="E1059" i="1"/>
  <c r="P1059" i="1"/>
  <c r="E1060" i="1"/>
  <c r="P1060" i="1"/>
  <c r="E1061" i="1"/>
  <c r="E1062" i="1"/>
  <c r="P1062" i="1"/>
  <c r="E1063" i="1"/>
  <c r="E1064" i="1"/>
  <c r="E1065" i="1"/>
  <c r="P1065" i="1"/>
  <c r="E1066" i="1"/>
  <c r="E1067" i="1"/>
  <c r="E1068" i="1"/>
  <c r="P1068" i="1"/>
  <c r="E1069" i="1"/>
  <c r="E1070" i="1"/>
  <c r="E1071" i="1"/>
  <c r="P1071" i="1"/>
  <c r="E1072" i="1"/>
  <c r="E1073" i="1"/>
  <c r="E1074" i="1"/>
  <c r="P1074" i="1"/>
  <c r="E1075" i="1"/>
  <c r="E1076" i="1"/>
  <c r="E1077" i="1"/>
  <c r="P1077" i="1"/>
  <c r="E1078" i="1"/>
  <c r="E1079" i="1"/>
  <c r="E1080" i="1"/>
  <c r="E1081" i="1"/>
  <c r="E1082" i="1"/>
  <c r="E1083" i="1"/>
  <c r="P1083" i="1"/>
  <c r="E1084" i="1"/>
  <c r="E1085" i="1"/>
  <c r="P1085" i="1"/>
  <c r="E1086" i="1"/>
  <c r="P1086" i="1"/>
  <c r="E1087" i="1"/>
  <c r="E1088" i="1"/>
  <c r="E1089" i="1"/>
  <c r="P1089" i="1"/>
  <c r="E1090" i="1"/>
  <c r="E1091" i="1"/>
  <c r="E1092" i="1"/>
  <c r="P1092" i="1"/>
  <c r="E1093" i="1"/>
  <c r="E1094" i="1"/>
  <c r="E1095" i="1"/>
  <c r="P1095" i="1"/>
  <c r="E1096" i="1"/>
  <c r="P1096" i="1"/>
  <c r="E1097" i="1"/>
  <c r="E1098" i="1"/>
  <c r="P1098" i="1"/>
  <c r="E1099" i="1"/>
  <c r="E1100" i="1"/>
  <c r="E1101" i="1"/>
  <c r="E1102" i="1"/>
  <c r="E1103" i="1"/>
  <c r="E1104" i="1"/>
  <c r="E1105" i="1"/>
  <c r="E1106" i="1"/>
  <c r="E1107" i="1"/>
  <c r="E1108" i="1"/>
  <c r="E1109" i="1"/>
  <c r="E1110" i="1"/>
  <c r="E1111" i="1"/>
  <c r="E1112" i="1"/>
  <c r="E1113" i="1"/>
  <c r="E1114" i="1"/>
  <c r="E1115" i="1"/>
  <c r="E1116" i="1"/>
  <c r="P1116" i="1"/>
  <c r="E1117" i="1"/>
  <c r="E1118" i="1"/>
  <c r="E1119" i="1"/>
  <c r="P1119" i="1"/>
  <c r="E1120" i="1"/>
  <c r="E1121" i="1"/>
  <c r="E1122" i="1"/>
  <c r="P1122" i="1"/>
  <c r="E1123" i="1"/>
  <c r="E1124" i="1"/>
  <c r="E1125" i="1"/>
  <c r="P1125" i="1"/>
  <c r="E1126" i="1"/>
  <c r="E1127" i="1"/>
  <c r="P1127" i="1"/>
  <c r="E1128" i="1"/>
  <c r="E1129" i="1"/>
  <c r="E1130" i="1"/>
  <c r="P1130" i="1"/>
  <c r="E1131" i="1"/>
  <c r="P1131" i="1"/>
  <c r="E1132" i="1"/>
  <c r="E1133" i="1"/>
  <c r="E1134" i="1"/>
  <c r="P1134" i="1"/>
  <c r="E1135" i="1"/>
  <c r="E1136" i="1"/>
  <c r="E1137" i="1"/>
  <c r="P1137" i="1"/>
  <c r="E1138" i="1"/>
  <c r="E1139" i="1"/>
  <c r="E1140" i="1"/>
  <c r="P1140" i="1"/>
  <c r="E1141" i="1"/>
  <c r="P1141" i="1"/>
  <c r="E1142" i="1"/>
  <c r="E1143" i="1"/>
  <c r="P1143" i="1"/>
  <c r="E1144" i="1"/>
  <c r="E1145" i="1"/>
  <c r="E1146" i="1"/>
  <c r="P1146" i="1"/>
  <c r="E1147" i="1"/>
  <c r="E1148" i="1"/>
  <c r="E1149" i="1"/>
  <c r="P1149" i="1"/>
  <c r="E1150" i="1"/>
  <c r="E1151" i="1"/>
  <c r="E1152" i="1"/>
  <c r="P1152" i="1"/>
  <c r="E1153" i="1"/>
  <c r="E1154" i="1"/>
  <c r="E1155" i="1"/>
  <c r="P1155" i="1"/>
  <c r="E1156" i="1"/>
  <c r="E1157" i="1"/>
  <c r="P1157" i="1"/>
  <c r="E1158" i="1"/>
  <c r="P1158" i="1"/>
  <c r="E1159" i="1"/>
  <c r="E1160" i="1"/>
  <c r="E1161" i="1"/>
  <c r="P1161" i="1"/>
  <c r="E1162" i="1"/>
  <c r="E1163" i="1"/>
  <c r="E1164" i="1"/>
  <c r="P1164" i="1"/>
  <c r="E1165" i="1"/>
  <c r="E1166" i="1"/>
  <c r="E1167" i="1"/>
  <c r="P1167" i="1"/>
  <c r="E1168" i="1"/>
  <c r="P1168" i="1"/>
  <c r="E1169" i="1"/>
  <c r="E1170" i="1"/>
  <c r="E1171" i="1"/>
  <c r="P1171" i="1"/>
  <c r="E1172" i="1"/>
  <c r="E1173" i="1"/>
  <c r="E1174" i="1"/>
  <c r="E1175" i="1"/>
  <c r="E1176" i="1"/>
  <c r="E1177" i="1"/>
  <c r="P1177" i="1"/>
  <c r="E1178" i="1"/>
  <c r="E1179" i="1"/>
  <c r="P1179" i="1"/>
  <c r="E1180" i="1"/>
  <c r="E1181" i="1"/>
  <c r="E1182" i="1"/>
  <c r="P1182" i="1"/>
  <c r="E1183" i="1"/>
  <c r="E1184" i="1"/>
  <c r="E1185" i="1"/>
  <c r="P1185" i="1"/>
  <c r="E1186" i="1"/>
  <c r="E1187" i="1"/>
  <c r="E1188" i="1"/>
  <c r="P1188" i="1"/>
  <c r="E1189" i="1"/>
  <c r="E1190" i="1"/>
  <c r="E1191" i="1"/>
  <c r="P1191" i="1"/>
  <c r="E1192" i="1"/>
  <c r="E1193" i="1"/>
  <c r="P1193" i="1"/>
  <c r="E1194" i="1"/>
  <c r="E1195" i="1"/>
  <c r="E1196" i="1"/>
  <c r="E1197" i="1"/>
  <c r="E1198" i="1"/>
  <c r="E1199" i="1"/>
  <c r="E1200" i="1"/>
  <c r="P1200" i="1"/>
  <c r="E1201" i="1"/>
  <c r="E1202" i="1"/>
  <c r="E1203" i="1"/>
  <c r="P1203" i="1"/>
  <c r="E1204" i="1"/>
  <c r="E1205" i="1"/>
  <c r="E1206" i="1"/>
  <c r="P1206" i="1"/>
  <c r="E1207" i="1"/>
  <c r="E1208" i="1"/>
  <c r="E1209" i="1"/>
  <c r="P1209" i="1"/>
  <c r="E1210" i="1"/>
  <c r="E1211" i="1"/>
  <c r="E1212" i="1"/>
  <c r="E1213" i="1"/>
  <c r="P1213" i="1"/>
  <c r="E1214" i="1"/>
  <c r="E1215" i="1"/>
  <c r="E1216" i="1"/>
  <c r="P1216" i="1"/>
  <c r="E1217" i="1"/>
  <c r="E1218" i="1"/>
  <c r="E1219" i="1"/>
  <c r="P1219" i="1"/>
  <c r="E1220" i="1"/>
  <c r="E1221" i="1"/>
  <c r="E1222" i="1"/>
  <c r="P1222" i="1"/>
  <c r="E1223" i="1"/>
  <c r="E1224" i="1"/>
  <c r="E1225" i="1"/>
  <c r="P1225" i="1"/>
  <c r="E1226" i="1"/>
  <c r="E1227" i="1"/>
  <c r="P1227" i="1"/>
  <c r="E1228" i="1"/>
  <c r="E1229" i="1"/>
  <c r="E1230" i="1"/>
  <c r="P1230" i="1"/>
  <c r="E1231" i="1"/>
  <c r="E1232" i="1"/>
  <c r="E1233" i="1"/>
  <c r="P1233" i="1"/>
  <c r="E1234" i="1"/>
  <c r="E1235" i="1"/>
  <c r="E1236" i="1"/>
  <c r="P1236" i="1"/>
  <c r="E1237" i="1"/>
  <c r="E1238" i="1"/>
  <c r="E1239" i="1"/>
  <c r="P1239" i="1"/>
  <c r="E1240" i="1"/>
  <c r="E1241" i="1"/>
  <c r="E1242" i="1"/>
  <c r="P1242" i="1"/>
  <c r="E1243" i="1"/>
  <c r="E1244" i="1"/>
  <c r="E1245" i="1"/>
  <c r="P1245" i="1"/>
  <c r="E1246" i="1"/>
  <c r="E1247" i="1"/>
  <c r="E1248" i="1"/>
  <c r="P1248" i="1"/>
  <c r="E1249" i="1"/>
  <c r="E1250" i="1"/>
  <c r="E1251" i="1"/>
  <c r="E1252" i="1"/>
  <c r="E1253" i="1"/>
  <c r="E1254" i="1"/>
  <c r="P1254" i="1"/>
  <c r="E1255" i="1"/>
  <c r="E1256" i="1"/>
  <c r="E1257" i="1"/>
  <c r="P1257" i="1"/>
  <c r="E1258" i="1"/>
  <c r="E1259" i="1"/>
  <c r="E1260" i="1"/>
  <c r="P1260" i="1"/>
  <c r="E1261" i="1"/>
  <c r="E1262" i="1"/>
  <c r="E1263" i="1"/>
  <c r="E1264" i="1"/>
  <c r="E1265" i="1"/>
  <c r="E1266" i="1"/>
  <c r="E1267" i="1"/>
  <c r="E1268" i="1"/>
  <c r="E1269" i="1"/>
  <c r="E1270" i="1"/>
  <c r="E1271" i="1"/>
  <c r="E1272" i="1"/>
  <c r="E1273" i="1"/>
  <c r="E1274" i="1"/>
  <c r="E1275" i="1"/>
  <c r="P1275" i="1"/>
  <c r="E1276" i="1"/>
  <c r="E1277" i="1"/>
  <c r="E1278" i="1"/>
  <c r="P1278" i="1"/>
  <c r="E1279" i="1"/>
  <c r="E1280" i="1"/>
  <c r="E1281" i="1"/>
  <c r="P1281" i="1"/>
  <c r="E1282" i="1"/>
  <c r="E1283" i="1"/>
  <c r="P1283" i="1"/>
  <c r="E1284" i="1"/>
  <c r="P1284" i="1"/>
  <c r="E1285" i="1"/>
  <c r="E1286" i="1"/>
  <c r="E1287" i="1"/>
  <c r="P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P1314" i="1"/>
  <c r="E1315" i="1"/>
  <c r="E1316" i="1"/>
  <c r="E1317" i="1"/>
  <c r="P1317" i="1"/>
  <c r="E1318" i="1"/>
  <c r="P1318" i="1"/>
  <c r="E1319" i="1"/>
  <c r="E1320" i="1"/>
  <c r="P1320" i="1"/>
  <c r="E1321" i="1"/>
  <c r="E1322" i="1"/>
  <c r="E1323" i="1"/>
  <c r="P1323" i="1"/>
  <c r="E1324" i="1"/>
  <c r="E1325" i="1"/>
  <c r="E1326" i="1"/>
  <c r="P1326" i="1"/>
  <c r="E1327" i="1"/>
  <c r="E1328" i="1"/>
  <c r="E1329" i="1"/>
  <c r="P1329" i="1"/>
  <c r="E1330" i="1"/>
  <c r="E1331" i="1"/>
  <c r="E1332" i="1"/>
  <c r="P1332" i="1"/>
  <c r="E1333" i="1"/>
  <c r="E1334" i="1"/>
  <c r="P1334" i="1"/>
  <c r="E1335" i="1"/>
  <c r="P1335" i="1"/>
  <c r="E1336" i="1"/>
  <c r="E1337" i="1"/>
  <c r="E1338" i="1"/>
  <c r="P1338" i="1"/>
  <c r="E1339" i="1"/>
  <c r="E1340" i="1"/>
  <c r="E1341" i="1"/>
  <c r="P1341" i="1"/>
  <c r="E1342" i="1"/>
  <c r="E1343" i="1"/>
  <c r="E1344" i="1"/>
  <c r="P1344" i="1"/>
  <c r="E1345" i="1"/>
  <c r="P1345" i="1"/>
  <c r="E1346" i="1"/>
  <c r="E1347" i="1"/>
  <c r="P1347" i="1"/>
  <c r="E1348" i="1"/>
  <c r="E1349" i="1"/>
  <c r="E1350" i="1"/>
  <c r="P1350" i="1"/>
  <c r="E1351" i="1"/>
  <c r="E1352" i="1"/>
  <c r="E1353" i="1"/>
  <c r="P1353" i="1"/>
  <c r="E1354" i="1"/>
  <c r="E1355" i="1"/>
  <c r="E1356" i="1"/>
  <c r="P1356" i="1"/>
  <c r="E1357" i="1"/>
  <c r="E1358" i="1"/>
  <c r="E1359" i="1"/>
  <c r="P1359" i="1"/>
  <c r="E1360" i="1"/>
  <c r="E1361" i="1"/>
  <c r="P1361" i="1"/>
  <c r="E1362" i="1"/>
  <c r="P1362" i="1"/>
  <c r="E1363" i="1"/>
  <c r="E1364" i="1"/>
  <c r="E1365" i="1"/>
  <c r="P1365" i="1"/>
  <c r="E1366" i="1"/>
  <c r="E1367" i="1"/>
  <c r="E1368" i="1"/>
  <c r="P1368" i="1"/>
  <c r="E1369" i="1"/>
  <c r="E1370" i="1"/>
  <c r="E1371" i="1"/>
  <c r="E1372" i="1"/>
  <c r="E1373" i="1"/>
  <c r="E1374" i="1"/>
  <c r="P1374" i="1"/>
  <c r="E1375" i="1"/>
  <c r="P1375" i="1"/>
  <c r="E1376" i="1"/>
  <c r="E1377" i="1"/>
  <c r="P1377" i="1"/>
  <c r="E1378" i="1"/>
  <c r="E1379" i="1"/>
  <c r="E1380" i="1"/>
  <c r="E1416" i="1"/>
  <c r="E1428" i="1"/>
  <c r="E1429" i="1"/>
  <c r="P1429" i="1"/>
  <c r="E1430" i="1"/>
  <c r="E1439" i="1"/>
  <c r="E1479" i="1"/>
  <c r="E1480" i="1"/>
  <c r="E1481" i="1"/>
  <c r="E1520" i="1"/>
  <c r="P1520" i="1"/>
  <c r="E1538" i="1"/>
  <c r="E1557" i="1"/>
  <c r="E1568" i="1"/>
  <c r="P1568" i="1"/>
  <c r="E1579" i="1"/>
  <c r="E1582" i="1"/>
  <c r="E1592" i="1"/>
  <c r="P1592" i="1"/>
  <c r="E1611" i="1"/>
  <c r="E1667" i="1"/>
  <c r="P1667" i="1"/>
  <c r="E1672" i="1"/>
  <c r="P1672" i="1"/>
  <c r="E1677" i="1"/>
  <c r="E1701" i="1"/>
  <c r="E1727" i="1"/>
  <c r="P1727" i="1"/>
  <c r="E1732" i="1"/>
  <c r="E1870" i="1"/>
  <c r="P1870" i="1"/>
  <c r="E1880" i="1"/>
  <c r="P1880" i="1"/>
  <c r="E1884" i="1"/>
  <c r="E1947" i="1"/>
  <c r="E1968" i="1"/>
  <c r="P1968" i="1"/>
  <c r="E2001" i="1"/>
  <c r="E2006" i="1"/>
  <c r="E2036" i="1"/>
  <c r="P2036" i="1"/>
  <c r="E2062" i="1"/>
  <c r="E2067" i="1"/>
  <c r="E2070" i="1"/>
  <c r="P2070" i="1"/>
  <c r="E2075" i="1"/>
  <c r="E2096" i="1"/>
  <c r="P2096" i="1"/>
  <c r="E2141" i="1"/>
  <c r="P2141" i="1"/>
  <c r="E2156" i="1"/>
  <c r="E2188" i="1"/>
  <c r="P2188" i="1"/>
  <c r="E2207" i="1"/>
  <c r="P2207" i="1"/>
  <c r="E2392" i="1"/>
  <c r="E2400" i="1"/>
  <c r="E2524" i="1"/>
  <c r="P2524" i="1"/>
  <c r="E2558" i="1"/>
  <c r="P2558" i="1"/>
  <c r="E2585" i="1"/>
  <c r="P2585" i="1"/>
  <c r="E2586" i="1"/>
  <c r="P2586" i="1"/>
  <c r="O139" i="9"/>
  <c r="BA139" i="9"/>
  <c r="W137" i="9"/>
  <c r="V137" i="9"/>
  <c r="U137" i="9"/>
  <c r="V129" i="5"/>
  <c r="T137" i="9"/>
  <c r="S137" i="9"/>
  <c r="R137" i="9"/>
  <c r="S129" i="5"/>
  <c r="Q137" i="9"/>
  <c r="P137" i="9"/>
  <c r="O137" i="9"/>
  <c r="P129" i="5"/>
  <c r="N137" i="9"/>
  <c r="O129" i="5"/>
  <c r="M137" i="9"/>
  <c r="L137" i="9"/>
  <c r="M129" i="5"/>
  <c r="K137" i="9"/>
  <c r="J137" i="9"/>
  <c r="I137" i="9"/>
  <c r="J129" i="5"/>
  <c r="H137" i="9"/>
  <c r="G137" i="9"/>
  <c r="F137" i="9"/>
  <c r="G129" i="5"/>
  <c r="E137" i="9"/>
  <c r="W136" i="9"/>
  <c r="V136" i="9"/>
  <c r="W137" i="5"/>
  <c r="U136" i="9"/>
  <c r="T136" i="9"/>
  <c r="S136" i="9"/>
  <c r="T137" i="5"/>
  <c r="R136" i="9"/>
  <c r="Q136" i="9"/>
  <c r="P136" i="9"/>
  <c r="Q137" i="5"/>
  <c r="O136" i="9"/>
  <c r="N136" i="9"/>
  <c r="M136" i="9"/>
  <c r="L136" i="9"/>
  <c r="K136" i="9"/>
  <c r="J136" i="9"/>
  <c r="K137" i="5"/>
  <c r="I136" i="9"/>
  <c r="H136" i="9"/>
  <c r="G136" i="9"/>
  <c r="H137" i="5"/>
  <c r="F136" i="9"/>
  <c r="E136" i="9"/>
  <c r="W135" i="9"/>
  <c r="X131" i="5"/>
  <c r="V135" i="9"/>
  <c r="W131" i="5"/>
  <c r="U135" i="9"/>
  <c r="T135" i="9"/>
  <c r="U131" i="5"/>
  <c r="S135" i="9"/>
  <c r="R135" i="9"/>
  <c r="Q135" i="9"/>
  <c r="R131" i="5"/>
  <c r="P135" i="9"/>
  <c r="O135" i="9"/>
  <c r="N135" i="9"/>
  <c r="O131" i="5"/>
  <c r="M135" i="9"/>
  <c r="L135" i="9"/>
  <c r="K135" i="9"/>
  <c r="L131" i="5"/>
  <c r="J135" i="9"/>
  <c r="I135" i="9"/>
  <c r="H135" i="9"/>
  <c r="I131" i="5"/>
  <c r="G135" i="9"/>
  <c r="F135" i="9"/>
  <c r="E135" i="9"/>
  <c r="W134" i="9"/>
  <c r="V134" i="9"/>
  <c r="U134" i="9"/>
  <c r="V128" i="5"/>
  <c r="T134" i="9"/>
  <c r="S134" i="9"/>
  <c r="R134" i="9"/>
  <c r="S128" i="5"/>
  <c r="Q134" i="9"/>
  <c r="P134" i="9"/>
  <c r="O134" i="9"/>
  <c r="P128" i="5"/>
  <c r="N134" i="9"/>
  <c r="M134" i="9"/>
  <c r="L134" i="9"/>
  <c r="M128" i="5"/>
  <c r="K134" i="9"/>
  <c r="J134" i="9"/>
  <c r="I134" i="9"/>
  <c r="J128" i="5"/>
  <c r="F134" i="9"/>
  <c r="E134" i="9"/>
  <c r="W133" i="9"/>
  <c r="X127" i="5"/>
  <c r="V133" i="9"/>
  <c r="U133" i="9"/>
  <c r="T133" i="9"/>
  <c r="U127" i="5"/>
  <c r="S133" i="9"/>
  <c r="R133" i="9"/>
  <c r="Q133" i="9"/>
  <c r="R127" i="5"/>
  <c r="P133" i="9"/>
  <c r="O133" i="9"/>
  <c r="N133" i="9"/>
  <c r="O127" i="5"/>
  <c r="M133" i="9"/>
  <c r="L133" i="9"/>
  <c r="K133" i="9"/>
  <c r="L127" i="5"/>
  <c r="J133" i="9"/>
  <c r="I132" i="9"/>
  <c r="H132" i="9"/>
  <c r="I126" i="5"/>
  <c r="G132" i="9"/>
  <c r="F132" i="9"/>
  <c r="E132" i="9"/>
  <c r="F126" i="5"/>
  <c r="W131" i="9"/>
  <c r="V131" i="9"/>
  <c r="V130" i="9"/>
  <c r="U130" i="9"/>
  <c r="T130" i="9"/>
  <c r="W128" i="9"/>
  <c r="X125" i="5"/>
  <c r="V128" i="9"/>
  <c r="U128" i="9"/>
  <c r="T128" i="9"/>
  <c r="U125" i="5"/>
  <c r="S128" i="9"/>
  <c r="R128" i="9"/>
  <c r="Q128" i="9"/>
  <c r="R125" i="5"/>
  <c r="P128" i="9"/>
  <c r="O128" i="9"/>
  <c r="N128" i="9"/>
  <c r="O125" i="5"/>
  <c r="M128" i="9"/>
  <c r="L128" i="9"/>
  <c r="K128" i="9"/>
  <c r="L125" i="5"/>
  <c r="J128" i="9"/>
  <c r="I128" i="9"/>
  <c r="J125" i="5"/>
  <c r="H128" i="9"/>
  <c r="I125" i="5"/>
  <c r="G128" i="9"/>
  <c r="F128" i="9"/>
  <c r="E128" i="9"/>
  <c r="F125" i="5"/>
  <c r="W127" i="9"/>
  <c r="V127" i="9"/>
  <c r="U127" i="9"/>
  <c r="V124" i="5"/>
  <c r="T127" i="9"/>
  <c r="S127" i="9"/>
  <c r="R127" i="9"/>
  <c r="S124" i="5"/>
  <c r="Q127" i="9"/>
  <c r="P127" i="9"/>
  <c r="O127" i="9"/>
  <c r="N127" i="9"/>
  <c r="O124" i="5"/>
  <c r="M127" i="9"/>
  <c r="L127" i="9"/>
  <c r="K127" i="9"/>
  <c r="L124" i="5"/>
  <c r="J127" i="9"/>
  <c r="I127" i="9"/>
  <c r="H127" i="9"/>
  <c r="G127" i="9"/>
  <c r="F127" i="9"/>
  <c r="E127" i="9"/>
  <c r="F124" i="5"/>
  <c r="AL127" i="9"/>
  <c r="AM127" i="9"/>
  <c r="A127" i="9"/>
  <c r="W126" i="9"/>
  <c r="V126" i="9"/>
  <c r="W141" i="5"/>
  <c r="U126" i="9"/>
  <c r="T126" i="9"/>
  <c r="S126" i="9"/>
  <c r="T141" i="5"/>
  <c r="R126" i="9"/>
  <c r="Q126" i="9"/>
  <c r="P126" i="9"/>
  <c r="Q141" i="5"/>
  <c r="O126" i="9"/>
  <c r="N126" i="9"/>
  <c r="M126" i="9"/>
  <c r="N141" i="5"/>
  <c r="L126" i="9"/>
  <c r="K126" i="9"/>
  <c r="J126" i="9"/>
  <c r="K141" i="5"/>
  <c r="I126" i="9"/>
  <c r="H126" i="9"/>
  <c r="G126" i="9"/>
  <c r="H141" i="5"/>
  <c r="F126" i="9"/>
  <c r="E126" i="9"/>
  <c r="W124" i="9"/>
  <c r="X120" i="5"/>
  <c r="V124" i="9"/>
  <c r="U124" i="9"/>
  <c r="T124" i="9"/>
  <c r="S124" i="9"/>
  <c r="R124" i="9"/>
  <c r="Q124" i="9"/>
  <c r="R120" i="5"/>
  <c r="P124" i="9"/>
  <c r="Q120" i="5"/>
  <c r="O124" i="9"/>
  <c r="N124" i="9"/>
  <c r="M124" i="9"/>
  <c r="N120" i="5"/>
  <c r="L124" i="9"/>
  <c r="K124" i="9"/>
  <c r="L120" i="5"/>
  <c r="J124" i="9"/>
  <c r="I124" i="9"/>
  <c r="H124" i="9"/>
  <c r="I120" i="5"/>
  <c r="G124" i="9"/>
  <c r="F124" i="9"/>
  <c r="E124" i="9"/>
  <c r="F123" i="9"/>
  <c r="E123" i="9"/>
  <c r="BA123" i="9"/>
  <c r="W122" i="9"/>
  <c r="X118" i="5"/>
  <c r="V122" i="9"/>
  <c r="U122" i="9"/>
  <c r="T122" i="9"/>
  <c r="U118" i="5"/>
  <c r="S122" i="9"/>
  <c r="R122" i="9"/>
  <c r="Q122" i="9"/>
  <c r="R118" i="5"/>
  <c r="P122" i="9"/>
  <c r="O122" i="9"/>
  <c r="P118" i="5"/>
  <c r="N122" i="9"/>
  <c r="O118" i="5"/>
  <c r="M122" i="9"/>
  <c r="L122" i="9"/>
  <c r="K122" i="9"/>
  <c r="J122" i="9"/>
  <c r="W120" i="9"/>
  <c r="V120" i="9"/>
  <c r="W116" i="5"/>
  <c r="U120" i="9"/>
  <c r="T120" i="9"/>
  <c r="S120" i="9"/>
  <c r="T116" i="5"/>
  <c r="R120" i="9"/>
  <c r="Q120" i="9"/>
  <c r="P120" i="9"/>
  <c r="Q116" i="5"/>
  <c r="O120" i="9"/>
  <c r="N120" i="9"/>
  <c r="M120" i="9"/>
  <c r="L120" i="9"/>
  <c r="M116" i="5"/>
  <c r="K120" i="9"/>
  <c r="J120" i="9"/>
  <c r="K116" i="5"/>
  <c r="I120" i="9"/>
  <c r="H120" i="9"/>
  <c r="G120" i="9"/>
  <c r="H116" i="5"/>
  <c r="F120" i="9"/>
  <c r="E120" i="9"/>
  <c r="W119" i="9"/>
  <c r="X115" i="5"/>
  <c r="V119" i="9"/>
  <c r="U119" i="9"/>
  <c r="T119" i="9"/>
  <c r="U115" i="5"/>
  <c r="S119" i="9"/>
  <c r="R119" i="9"/>
  <c r="Q119" i="9"/>
  <c r="P119" i="9"/>
  <c r="O119" i="9"/>
  <c r="W118" i="9"/>
  <c r="X114" i="5"/>
  <c r="V118" i="9"/>
  <c r="U118" i="9"/>
  <c r="T118" i="9"/>
  <c r="U114" i="5"/>
  <c r="S118" i="9"/>
  <c r="R118" i="9"/>
  <c r="Q118" i="9"/>
  <c r="R114" i="5"/>
  <c r="P118" i="9"/>
  <c r="O118" i="9"/>
  <c r="N118" i="9"/>
  <c r="O114" i="5"/>
  <c r="M118" i="9"/>
  <c r="L118" i="9"/>
  <c r="K118" i="9"/>
  <c r="L114" i="5"/>
  <c r="J118" i="9"/>
  <c r="K114" i="5"/>
  <c r="I118" i="9"/>
  <c r="H118" i="9"/>
  <c r="G118" i="9"/>
  <c r="F118" i="9"/>
  <c r="E118" i="9"/>
  <c r="F114" i="5"/>
  <c r="W117" i="9"/>
  <c r="V117" i="9"/>
  <c r="U117" i="9"/>
  <c r="V113" i="5"/>
  <c r="T117" i="9"/>
  <c r="S117" i="9"/>
  <c r="R117" i="9"/>
  <c r="S113" i="5"/>
  <c r="Q117" i="9"/>
  <c r="P117" i="9"/>
  <c r="O117" i="9"/>
  <c r="P113" i="5"/>
  <c r="N117" i="9"/>
  <c r="M117" i="9"/>
  <c r="L117" i="9"/>
  <c r="M113" i="5"/>
  <c r="K117" i="9"/>
  <c r="J117" i="9"/>
  <c r="K113" i="5"/>
  <c r="H117" i="9"/>
  <c r="I113" i="5"/>
  <c r="G117" i="9"/>
  <c r="F117" i="9"/>
  <c r="E117" i="9"/>
  <c r="F113" i="5"/>
  <c r="W116" i="9"/>
  <c r="M116" i="9"/>
  <c r="L116" i="9"/>
  <c r="H116" i="9"/>
  <c r="W114" i="9"/>
  <c r="V114" i="9"/>
  <c r="W142" i="5"/>
  <c r="U114" i="9"/>
  <c r="T114" i="9"/>
  <c r="S114" i="9"/>
  <c r="T142" i="5"/>
  <c r="R114" i="9"/>
  <c r="S142" i="5"/>
  <c r="Q114" i="9"/>
  <c r="P114" i="9"/>
  <c r="Q142" i="5"/>
  <c r="O114" i="9"/>
  <c r="N114" i="9"/>
  <c r="M114" i="9"/>
  <c r="N142" i="5"/>
  <c r="L114" i="9"/>
  <c r="K114" i="9"/>
  <c r="J114" i="9"/>
  <c r="I114" i="9"/>
  <c r="H114" i="9"/>
  <c r="W112" i="9"/>
  <c r="X134" i="5"/>
  <c r="V112" i="9"/>
  <c r="U112" i="9"/>
  <c r="T112" i="9"/>
  <c r="U134" i="5"/>
  <c r="S112" i="9"/>
  <c r="R112" i="9"/>
  <c r="Q112" i="9"/>
  <c r="R134" i="5"/>
  <c r="P112" i="9"/>
  <c r="O112" i="9"/>
  <c r="P134" i="5"/>
  <c r="N112" i="9"/>
  <c r="O134" i="5"/>
  <c r="M112" i="9"/>
  <c r="L112" i="9"/>
  <c r="K112" i="9"/>
  <c r="W111" i="9"/>
  <c r="V111" i="9"/>
  <c r="U111" i="9"/>
  <c r="V132" i="5"/>
  <c r="T111" i="9"/>
  <c r="S111" i="9"/>
  <c r="R111" i="9"/>
  <c r="S132" i="5"/>
  <c r="Q111" i="9"/>
  <c r="P111" i="9"/>
  <c r="O111" i="9"/>
  <c r="P132" i="5"/>
  <c r="N111" i="9"/>
  <c r="O132" i="5"/>
  <c r="M111" i="9"/>
  <c r="L111" i="9"/>
  <c r="M132" i="5"/>
  <c r="K111" i="9"/>
  <c r="J111" i="9"/>
  <c r="I111" i="9"/>
  <c r="J132" i="5"/>
  <c r="H111" i="9"/>
  <c r="G111" i="9"/>
  <c r="F111" i="9"/>
  <c r="G132" i="5"/>
  <c r="E111" i="9"/>
  <c r="AC111" i="9"/>
  <c r="A111" i="9"/>
  <c r="W109" i="9"/>
  <c r="V109" i="9"/>
  <c r="U109" i="9"/>
  <c r="V105" i="5"/>
  <c r="T109" i="9"/>
  <c r="S109" i="9"/>
  <c r="R109" i="9"/>
  <c r="S105" i="5"/>
  <c r="F109" i="9"/>
  <c r="E109" i="9"/>
  <c r="W107" i="9"/>
  <c r="X103" i="5"/>
  <c r="V107" i="9"/>
  <c r="U107" i="9"/>
  <c r="T107" i="9"/>
  <c r="U103" i="5"/>
  <c r="S107" i="9"/>
  <c r="R107" i="9"/>
  <c r="Q107" i="9"/>
  <c r="R103" i="5"/>
  <c r="P107" i="9"/>
  <c r="O107" i="9"/>
  <c r="N107" i="9"/>
  <c r="O103" i="5"/>
  <c r="M107" i="9"/>
  <c r="N103" i="5"/>
  <c r="L107" i="9"/>
  <c r="K107" i="9"/>
  <c r="L103" i="5"/>
  <c r="J107" i="9"/>
  <c r="I107" i="9"/>
  <c r="H107" i="9"/>
  <c r="I103" i="5"/>
  <c r="G107" i="9"/>
  <c r="F107" i="9"/>
  <c r="E107" i="9"/>
  <c r="W106" i="9"/>
  <c r="V106" i="9"/>
  <c r="U106" i="9"/>
  <c r="T105" i="9"/>
  <c r="S105" i="9"/>
  <c r="R105" i="9"/>
  <c r="S111" i="5"/>
  <c r="Q105" i="9"/>
  <c r="P105" i="9"/>
  <c r="O105" i="9"/>
  <c r="P111" i="5"/>
  <c r="N105" i="9"/>
  <c r="M105" i="9"/>
  <c r="L105" i="9"/>
  <c r="M111" i="5"/>
  <c r="K105" i="9"/>
  <c r="J105" i="9"/>
  <c r="K111" i="5"/>
  <c r="I105" i="9"/>
  <c r="J111" i="5"/>
  <c r="H105" i="9"/>
  <c r="G105" i="9"/>
  <c r="F105" i="9"/>
  <c r="G111" i="5"/>
  <c r="E105" i="9"/>
  <c r="W103" i="9"/>
  <c r="V103" i="9"/>
  <c r="W85" i="5"/>
  <c r="U103" i="9"/>
  <c r="T103" i="9"/>
  <c r="S103" i="9"/>
  <c r="T85" i="5"/>
  <c r="R103" i="9"/>
  <c r="Q103" i="9"/>
  <c r="P103" i="9"/>
  <c r="Q85" i="5"/>
  <c r="O103" i="9"/>
  <c r="N103" i="9"/>
  <c r="M103" i="9"/>
  <c r="N85" i="5"/>
  <c r="L103" i="9"/>
  <c r="K103" i="9"/>
  <c r="J103" i="9"/>
  <c r="K85" i="5"/>
  <c r="I103" i="9"/>
  <c r="H103" i="9"/>
  <c r="G103" i="9"/>
  <c r="H85" i="5"/>
  <c r="F103" i="9"/>
  <c r="E103" i="9"/>
  <c r="W102" i="9"/>
  <c r="X84" i="5"/>
  <c r="V102" i="9"/>
  <c r="U102" i="9"/>
  <c r="T102" i="9"/>
  <c r="U84" i="5"/>
  <c r="S102" i="9"/>
  <c r="R102" i="9"/>
  <c r="S84" i="5"/>
  <c r="Q102" i="9"/>
  <c r="R84" i="5"/>
  <c r="P102" i="9"/>
  <c r="O102" i="9"/>
  <c r="N102" i="9"/>
  <c r="O84" i="5"/>
  <c r="M102" i="9"/>
  <c r="L102" i="9"/>
  <c r="K102" i="9"/>
  <c r="L84" i="5"/>
  <c r="J102" i="9"/>
  <c r="I102" i="9"/>
  <c r="H102" i="9"/>
  <c r="I84" i="5"/>
  <c r="G102" i="9"/>
  <c r="H84" i="5"/>
  <c r="F102" i="9"/>
  <c r="E102" i="9"/>
  <c r="F84" i="5"/>
  <c r="A102" i="9"/>
  <c r="U101" i="9"/>
  <c r="T101" i="9"/>
  <c r="U83" i="5"/>
  <c r="S101" i="9"/>
  <c r="R101" i="9"/>
  <c r="Q101" i="9"/>
  <c r="R83" i="5"/>
  <c r="L101" i="9"/>
  <c r="K101" i="9"/>
  <c r="J101" i="9"/>
  <c r="K83" i="5"/>
  <c r="I101" i="9"/>
  <c r="H101" i="9"/>
  <c r="G101" i="9"/>
  <c r="H83" i="5"/>
  <c r="F101" i="9"/>
  <c r="E101" i="9"/>
  <c r="F83" i="5"/>
  <c r="E100" i="9"/>
  <c r="W98" i="9"/>
  <c r="V98" i="9"/>
  <c r="W80" i="5"/>
  <c r="U98" i="9"/>
  <c r="V80" i="5"/>
  <c r="T98" i="9"/>
  <c r="S98" i="9"/>
  <c r="R98" i="9"/>
  <c r="S80" i="5"/>
  <c r="Q98" i="9"/>
  <c r="P98" i="9"/>
  <c r="O98" i="9"/>
  <c r="P80" i="5"/>
  <c r="N98" i="9"/>
  <c r="M98" i="9"/>
  <c r="L98" i="9"/>
  <c r="M80" i="5"/>
  <c r="K98" i="9"/>
  <c r="L80" i="5"/>
  <c r="J98" i="9"/>
  <c r="I98" i="9"/>
  <c r="J80" i="5"/>
  <c r="H98" i="9"/>
  <c r="G98" i="9"/>
  <c r="F98" i="9"/>
  <c r="G80" i="5"/>
  <c r="E98" i="9"/>
  <c r="K96" i="9"/>
  <c r="J96" i="9"/>
  <c r="K133" i="5"/>
  <c r="I96" i="9"/>
  <c r="F96" i="9"/>
  <c r="E96" i="9"/>
  <c r="W95" i="9"/>
  <c r="V95" i="9"/>
  <c r="U95" i="9"/>
  <c r="V101" i="5"/>
  <c r="T95" i="9"/>
  <c r="S95" i="9"/>
  <c r="R95" i="9"/>
  <c r="S101" i="5"/>
  <c r="Q95" i="9"/>
  <c r="P95" i="9"/>
  <c r="Q101" i="5"/>
  <c r="O95" i="9"/>
  <c r="P101" i="5"/>
  <c r="N95" i="9"/>
  <c r="M95" i="9"/>
  <c r="L95" i="9"/>
  <c r="M101" i="5"/>
  <c r="K95" i="9"/>
  <c r="J95" i="9"/>
  <c r="I95" i="9"/>
  <c r="J101" i="5"/>
  <c r="H95" i="9"/>
  <c r="G95" i="9"/>
  <c r="F95" i="9"/>
  <c r="G101" i="5"/>
  <c r="E95" i="9"/>
  <c r="F101" i="5"/>
  <c r="W94" i="9"/>
  <c r="V94" i="9"/>
  <c r="W100" i="5"/>
  <c r="U94" i="9"/>
  <c r="T94" i="9"/>
  <c r="S94" i="9"/>
  <c r="T100" i="5"/>
  <c r="R94" i="9"/>
  <c r="Q94" i="9"/>
  <c r="P94" i="9"/>
  <c r="Q100" i="5"/>
  <c r="O94" i="9"/>
  <c r="N94" i="9"/>
  <c r="M94" i="9"/>
  <c r="N100" i="5"/>
  <c r="L94" i="9"/>
  <c r="K94" i="9"/>
  <c r="J94" i="9"/>
  <c r="K100" i="5"/>
  <c r="I94" i="9"/>
  <c r="F94" i="9"/>
  <c r="G100" i="5"/>
  <c r="W93" i="9"/>
  <c r="X143" i="5"/>
  <c r="V93" i="9"/>
  <c r="U93" i="9"/>
  <c r="T93" i="9"/>
  <c r="U143" i="5"/>
  <c r="S93" i="9"/>
  <c r="R93" i="9"/>
  <c r="Q93" i="9"/>
  <c r="R143" i="5"/>
  <c r="P93" i="9"/>
  <c r="O93" i="9"/>
  <c r="N93" i="9"/>
  <c r="O143" i="5"/>
  <c r="M93" i="9"/>
  <c r="N143" i="5"/>
  <c r="L93" i="9"/>
  <c r="K93" i="9"/>
  <c r="L143" i="5"/>
  <c r="J93" i="9"/>
  <c r="I93" i="9"/>
  <c r="H93" i="9"/>
  <c r="I143" i="5"/>
  <c r="G93" i="9"/>
  <c r="F93" i="9"/>
  <c r="E93" i="9"/>
  <c r="F143" i="5"/>
  <c r="W92" i="9"/>
  <c r="V92" i="9"/>
  <c r="U92" i="9"/>
  <c r="V99" i="5"/>
  <c r="T92" i="9"/>
  <c r="S92" i="9"/>
  <c r="R92" i="9"/>
  <c r="S99" i="5"/>
  <c r="Q92" i="9"/>
  <c r="P92" i="9"/>
  <c r="O92" i="9"/>
  <c r="P99" i="5"/>
  <c r="N92" i="9"/>
  <c r="M92" i="9"/>
  <c r="L92" i="9"/>
  <c r="M99" i="5"/>
  <c r="K92" i="9"/>
  <c r="J92" i="9"/>
  <c r="I92" i="9"/>
  <c r="J99" i="5"/>
  <c r="H92" i="9"/>
  <c r="G92" i="9"/>
  <c r="F92" i="9"/>
  <c r="G99" i="5"/>
  <c r="E92" i="9"/>
  <c r="F99" i="5"/>
  <c r="W91" i="9"/>
  <c r="V91" i="9"/>
  <c r="W98" i="5"/>
  <c r="U91" i="9"/>
  <c r="T91" i="9"/>
  <c r="S91" i="9"/>
  <c r="T98" i="5"/>
  <c r="R91" i="9"/>
  <c r="Q91" i="9"/>
  <c r="L91" i="9"/>
  <c r="M98" i="5"/>
  <c r="K91" i="9"/>
  <c r="J91" i="9"/>
  <c r="I91" i="9"/>
  <c r="J98" i="5"/>
  <c r="H91" i="9"/>
  <c r="G91" i="9"/>
  <c r="F91" i="9"/>
  <c r="G98" i="5"/>
  <c r="E91" i="9"/>
  <c r="W89" i="9"/>
  <c r="X97" i="5"/>
  <c r="V89" i="9"/>
  <c r="W97" i="5"/>
  <c r="U89" i="9"/>
  <c r="T89" i="9"/>
  <c r="S89" i="9"/>
  <c r="T97" i="5"/>
  <c r="R89" i="9"/>
  <c r="Q89" i="9"/>
  <c r="P89" i="9"/>
  <c r="Q97" i="5"/>
  <c r="O89" i="9"/>
  <c r="N89" i="9"/>
  <c r="M89" i="9"/>
  <c r="N97" i="5"/>
  <c r="L89" i="9"/>
  <c r="M97" i="5"/>
  <c r="K89" i="9"/>
  <c r="J89" i="9"/>
  <c r="K97" i="5"/>
  <c r="I89" i="9"/>
  <c r="H89" i="9"/>
  <c r="G89" i="9"/>
  <c r="H97" i="5"/>
  <c r="F89" i="9"/>
  <c r="E89" i="9"/>
  <c r="AC89" i="9"/>
  <c r="AD97" i="5"/>
  <c r="A89" i="9"/>
  <c r="A97" i="5"/>
  <c r="W88" i="9"/>
  <c r="V88" i="9"/>
  <c r="W95" i="5"/>
  <c r="U88" i="9"/>
  <c r="T88" i="9"/>
  <c r="S88" i="9"/>
  <c r="R88" i="9"/>
  <c r="Q88" i="9"/>
  <c r="P88" i="9"/>
  <c r="O88" i="9"/>
  <c r="N88" i="9"/>
  <c r="M88" i="9"/>
  <c r="N95" i="5"/>
  <c r="L88" i="9"/>
  <c r="K88" i="9"/>
  <c r="J88" i="9"/>
  <c r="K95" i="5"/>
  <c r="I88" i="9"/>
  <c r="H88" i="9"/>
  <c r="G88" i="9"/>
  <c r="F88" i="9"/>
  <c r="E88" i="9"/>
  <c r="W87" i="9"/>
  <c r="X91" i="5"/>
  <c r="V87" i="9"/>
  <c r="U87" i="9"/>
  <c r="T87" i="9"/>
  <c r="U91" i="5"/>
  <c r="S87" i="9"/>
  <c r="R87" i="9"/>
  <c r="Q87" i="9"/>
  <c r="R91" i="5"/>
  <c r="P87" i="9"/>
  <c r="O87" i="9"/>
  <c r="N87" i="9"/>
  <c r="O91" i="5"/>
  <c r="M87" i="9"/>
  <c r="L87" i="9"/>
  <c r="K87" i="9"/>
  <c r="L91" i="5"/>
  <c r="J87" i="9"/>
  <c r="I87" i="9"/>
  <c r="H87" i="9"/>
  <c r="I91" i="5"/>
  <c r="G87" i="9"/>
  <c r="F87" i="9"/>
  <c r="E87" i="9"/>
  <c r="F91" i="5"/>
  <c r="AL87" i="9"/>
  <c r="A87" i="9"/>
  <c r="A91" i="5"/>
  <c r="W86" i="9"/>
  <c r="V86" i="9"/>
  <c r="U86" i="9"/>
  <c r="V94" i="5"/>
  <c r="T86" i="9"/>
  <c r="U94" i="5"/>
  <c r="S86" i="9"/>
  <c r="R86" i="9"/>
  <c r="S94" i="5"/>
  <c r="Q86" i="9"/>
  <c r="P86" i="9"/>
  <c r="O86" i="9"/>
  <c r="P94" i="5"/>
  <c r="N86" i="9"/>
  <c r="M86" i="9"/>
  <c r="L86" i="9"/>
  <c r="M94" i="5"/>
  <c r="K86" i="9"/>
  <c r="I86" i="9"/>
  <c r="H86" i="9"/>
  <c r="I94" i="5"/>
  <c r="G86" i="9"/>
  <c r="F86" i="9"/>
  <c r="E86" i="9"/>
  <c r="F94" i="5"/>
  <c r="W85" i="9"/>
  <c r="V85" i="9"/>
  <c r="U85" i="9"/>
  <c r="V93" i="5"/>
  <c r="T85" i="9"/>
  <c r="S85" i="9"/>
  <c r="R85" i="9"/>
  <c r="S93" i="5"/>
  <c r="Q85" i="9"/>
  <c r="P85" i="9"/>
  <c r="O85" i="9"/>
  <c r="P93" i="5"/>
  <c r="N85" i="9"/>
  <c r="M85" i="9"/>
  <c r="L85" i="9"/>
  <c r="M93" i="5"/>
  <c r="K85" i="9"/>
  <c r="L93" i="5"/>
  <c r="J85" i="9"/>
  <c r="I85" i="9"/>
  <c r="J93" i="5"/>
  <c r="H85" i="9"/>
  <c r="G85" i="9"/>
  <c r="F85" i="9"/>
  <c r="G93" i="5"/>
  <c r="E85" i="9"/>
  <c r="V83" i="9"/>
  <c r="U83" i="9"/>
  <c r="V90" i="5"/>
  <c r="T83" i="9"/>
  <c r="S83" i="9"/>
  <c r="R83" i="9"/>
  <c r="S90" i="5"/>
  <c r="Q83" i="9"/>
  <c r="P83" i="9"/>
  <c r="O83" i="9"/>
  <c r="P90" i="5"/>
  <c r="N83" i="9"/>
  <c r="M83" i="9"/>
  <c r="N90" i="5"/>
  <c r="L83" i="9"/>
  <c r="M90" i="5"/>
  <c r="K83" i="9"/>
  <c r="J83" i="9"/>
  <c r="I83" i="9"/>
  <c r="J90" i="5"/>
  <c r="H83" i="9"/>
  <c r="G83" i="9"/>
  <c r="F83" i="9"/>
  <c r="E83" i="9"/>
  <c r="W81" i="9"/>
  <c r="V81" i="9"/>
  <c r="U81" i="9"/>
  <c r="T81" i="9"/>
  <c r="S81" i="9"/>
  <c r="T88" i="5"/>
  <c r="R81" i="9"/>
  <c r="Q81" i="9"/>
  <c r="P81" i="9"/>
  <c r="Q88" i="5"/>
  <c r="O81" i="9"/>
  <c r="P88" i="5"/>
  <c r="N81" i="9"/>
  <c r="M81" i="9"/>
  <c r="N88" i="5"/>
  <c r="L81" i="9"/>
  <c r="K81" i="9"/>
  <c r="J81" i="9"/>
  <c r="K88" i="5"/>
  <c r="I81" i="9"/>
  <c r="H81" i="9"/>
  <c r="G81" i="9"/>
  <c r="H88" i="5"/>
  <c r="F81" i="9"/>
  <c r="E81" i="9"/>
  <c r="W80" i="9"/>
  <c r="X87" i="5"/>
  <c r="V80" i="9"/>
  <c r="U80" i="9"/>
  <c r="T80" i="9"/>
  <c r="U87" i="5"/>
  <c r="S80" i="9"/>
  <c r="R80" i="9"/>
  <c r="Q80" i="9"/>
  <c r="P80" i="9"/>
  <c r="O80" i="9"/>
  <c r="N80" i="9"/>
  <c r="M80" i="9"/>
  <c r="L80" i="9"/>
  <c r="K80" i="9"/>
  <c r="L87" i="5"/>
  <c r="J80" i="9"/>
  <c r="I80" i="9"/>
  <c r="H80" i="9"/>
  <c r="I87" i="5"/>
  <c r="G80" i="9"/>
  <c r="F80" i="9"/>
  <c r="E80" i="9"/>
  <c r="D80" i="9"/>
  <c r="W79" i="9"/>
  <c r="X136" i="5"/>
  <c r="V79" i="9"/>
  <c r="W136" i="5"/>
  <c r="U79" i="9"/>
  <c r="T79" i="9"/>
  <c r="U136" i="5"/>
  <c r="S79" i="9"/>
  <c r="T136" i="5"/>
  <c r="R79" i="9"/>
  <c r="A79" i="9"/>
  <c r="W78" i="9"/>
  <c r="V78" i="9"/>
  <c r="U78" i="9"/>
  <c r="T78" i="9"/>
  <c r="U79" i="5"/>
  <c r="S78" i="9"/>
  <c r="R78" i="9"/>
  <c r="Q78" i="9"/>
  <c r="R79" i="5"/>
  <c r="P78" i="9"/>
  <c r="Q79" i="5"/>
  <c r="O78" i="9"/>
  <c r="N78" i="9"/>
  <c r="O79" i="5"/>
  <c r="M78" i="9"/>
  <c r="L78" i="9"/>
  <c r="K78" i="9"/>
  <c r="L79" i="5"/>
  <c r="J78" i="9"/>
  <c r="I78" i="9"/>
  <c r="H78" i="9"/>
  <c r="I79" i="5"/>
  <c r="G78" i="9"/>
  <c r="F78" i="9"/>
  <c r="G79" i="5"/>
  <c r="E78" i="9"/>
  <c r="F79" i="5"/>
  <c r="W77" i="9"/>
  <c r="X78" i="5"/>
  <c r="V77" i="9"/>
  <c r="U77" i="9"/>
  <c r="V78" i="5"/>
  <c r="T77" i="9"/>
  <c r="S77" i="9"/>
  <c r="R77" i="9"/>
  <c r="S78" i="5"/>
  <c r="Q77" i="9"/>
  <c r="P77" i="9"/>
  <c r="O77" i="9"/>
  <c r="P78" i="5"/>
  <c r="N77" i="9"/>
  <c r="W75" i="9"/>
  <c r="V75" i="9"/>
  <c r="W76" i="5"/>
  <c r="U75" i="9"/>
  <c r="T75" i="9"/>
  <c r="S75" i="9"/>
  <c r="T76" i="5"/>
  <c r="R75" i="9"/>
  <c r="S76" i="5"/>
  <c r="Q75" i="9"/>
  <c r="P75" i="9"/>
  <c r="Q76" i="5"/>
  <c r="O75" i="9"/>
  <c r="N75" i="9"/>
  <c r="M75" i="9"/>
  <c r="N76" i="5"/>
  <c r="L75" i="9"/>
  <c r="K75" i="9"/>
  <c r="J75" i="9"/>
  <c r="K76" i="5"/>
  <c r="I75" i="9"/>
  <c r="H75" i="9"/>
  <c r="G75" i="9"/>
  <c r="H76" i="5"/>
  <c r="F75" i="9"/>
  <c r="E75" i="9"/>
  <c r="F72" i="9"/>
  <c r="G21" i="5"/>
  <c r="E72" i="9"/>
  <c r="A72" i="9"/>
  <c r="T71" i="9"/>
  <c r="S71" i="9"/>
  <c r="R71" i="9"/>
  <c r="Q71" i="9"/>
  <c r="R51" i="5"/>
  <c r="P71" i="9"/>
  <c r="Q51" i="5"/>
  <c r="O71" i="9"/>
  <c r="N71" i="9"/>
  <c r="O51" i="5"/>
  <c r="M71" i="9"/>
  <c r="L71" i="9"/>
  <c r="K71" i="9"/>
  <c r="L51" i="5"/>
  <c r="J71" i="9"/>
  <c r="I71" i="9"/>
  <c r="H71" i="9"/>
  <c r="G71" i="9"/>
  <c r="F71" i="9"/>
  <c r="E71" i="9"/>
  <c r="D71" i="9"/>
  <c r="W70" i="9"/>
  <c r="V70" i="9"/>
  <c r="U70" i="9"/>
  <c r="T70" i="9"/>
  <c r="S70" i="9"/>
  <c r="T52" i="5"/>
  <c r="R70" i="9"/>
  <c r="Q70" i="9"/>
  <c r="P70" i="9"/>
  <c r="Q52" i="5"/>
  <c r="O70" i="9"/>
  <c r="N70" i="9"/>
  <c r="M70" i="9"/>
  <c r="N52" i="5"/>
  <c r="L70" i="9"/>
  <c r="M52" i="5"/>
  <c r="K70" i="9"/>
  <c r="J70" i="9"/>
  <c r="K52" i="5"/>
  <c r="I70" i="9"/>
  <c r="H70" i="9"/>
  <c r="G70" i="9"/>
  <c r="H52" i="5"/>
  <c r="F70" i="9"/>
  <c r="E70" i="9"/>
  <c r="F52" i="5"/>
  <c r="W68" i="9"/>
  <c r="X49" i="5"/>
  <c r="V68" i="9"/>
  <c r="U68" i="9"/>
  <c r="V49" i="5"/>
  <c r="T68" i="9"/>
  <c r="U49" i="5"/>
  <c r="I68" i="9"/>
  <c r="J49" i="5"/>
  <c r="H68" i="9"/>
  <c r="G68" i="9"/>
  <c r="H49" i="5"/>
  <c r="F68" i="9"/>
  <c r="E68" i="9"/>
  <c r="AL68" i="9"/>
  <c r="AM49" i="5"/>
  <c r="A68" i="9"/>
  <c r="W67" i="9"/>
  <c r="V67" i="9"/>
  <c r="W48" i="5"/>
  <c r="U67" i="9"/>
  <c r="T67" i="9"/>
  <c r="S67" i="9"/>
  <c r="T48" i="5"/>
  <c r="R67" i="9"/>
  <c r="Q67" i="9"/>
  <c r="P67" i="9"/>
  <c r="Q48" i="5"/>
  <c r="O67" i="9"/>
  <c r="P48" i="5"/>
  <c r="N67" i="9"/>
  <c r="M67" i="9"/>
  <c r="N48" i="5"/>
  <c r="L67" i="9"/>
  <c r="K67" i="9"/>
  <c r="J67" i="9"/>
  <c r="K48" i="5"/>
  <c r="I67" i="9"/>
  <c r="H67" i="9"/>
  <c r="G67" i="9"/>
  <c r="F67" i="9"/>
  <c r="E67" i="9"/>
  <c r="F48" i="5"/>
  <c r="W66" i="9"/>
  <c r="V66" i="9"/>
  <c r="U66" i="9"/>
  <c r="T66" i="9"/>
  <c r="U47" i="5"/>
  <c r="S66" i="9"/>
  <c r="R66" i="9"/>
  <c r="S47" i="5"/>
  <c r="Q66" i="9"/>
  <c r="R47" i="5"/>
  <c r="P66" i="9"/>
  <c r="Q47" i="5"/>
  <c r="O66" i="9"/>
  <c r="N66" i="9"/>
  <c r="O47" i="5"/>
  <c r="M66" i="9"/>
  <c r="L66" i="9"/>
  <c r="K66" i="9"/>
  <c r="L47" i="5"/>
  <c r="J66" i="9"/>
  <c r="I66" i="9"/>
  <c r="H66" i="9"/>
  <c r="I47" i="5"/>
  <c r="G66" i="9"/>
  <c r="F66" i="9"/>
  <c r="E66" i="9"/>
  <c r="F47" i="5"/>
  <c r="W65" i="9"/>
  <c r="V65" i="9"/>
  <c r="U65" i="9"/>
  <c r="V53" i="5"/>
  <c r="T65" i="9"/>
  <c r="U53" i="5"/>
  <c r="S65" i="9"/>
  <c r="R65" i="9"/>
  <c r="S53" i="5"/>
  <c r="Q65" i="9"/>
  <c r="P65" i="9"/>
  <c r="O65" i="9"/>
  <c r="P53" i="5"/>
  <c r="N65" i="9"/>
  <c r="M65" i="9"/>
  <c r="L65" i="9"/>
  <c r="M53" i="5"/>
  <c r="K65" i="9"/>
  <c r="J65" i="9"/>
  <c r="K53" i="5"/>
  <c r="I65" i="9"/>
  <c r="J53" i="5"/>
  <c r="H65" i="9"/>
  <c r="G65" i="9"/>
  <c r="F65" i="9"/>
  <c r="E65" i="9"/>
  <c r="W62" i="9"/>
  <c r="V62" i="9"/>
  <c r="W19" i="5"/>
  <c r="U62" i="9"/>
  <c r="T62" i="9"/>
  <c r="S62" i="9"/>
  <c r="T19" i="5"/>
  <c r="R62" i="9"/>
  <c r="Q62" i="9"/>
  <c r="P62" i="9"/>
  <c r="Q19" i="5"/>
  <c r="O62" i="9"/>
  <c r="N62" i="9"/>
  <c r="M62" i="9"/>
  <c r="N19" i="5"/>
  <c r="L62" i="9"/>
  <c r="K62" i="9"/>
  <c r="H62" i="9"/>
  <c r="I19" i="5"/>
  <c r="G62" i="9"/>
  <c r="F62" i="9"/>
  <c r="E62" i="9"/>
  <c r="F19" i="5"/>
  <c r="W61" i="9"/>
  <c r="V61" i="9"/>
  <c r="W18" i="5"/>
  <c r="U61" i="9"/>
  <c r="V18" i="5"/>
  <c r="T61" i="9"/>
  <c r="S61" i="9"/>
  <c r="R61" i="9"/>
  <c r="S18" i="5"/>
  <c r="Q61" i="9"/>
  <c r="R18" i="5"/>
  <c r="P61" i="9"/>
  <c r="O61" i="9"/>
  <c r="P18" i="5"/>
  <c r="N61" i="9"/>
  <c r="M61" i="9"/>
  <c r="L61" i="9"/>
  <c r="M18" i="5"/>
  <c r="K61" i="9"/>
  <c r="J61" i="9"/>
  <c r="I61" i="9"/>
  <c r="J18" i="5"/>
  <c r="H61" i="9"/>
  <c r="G61" i="9"/>
  <c r="F61" i="9"/>
  <c r="E61" i="9"/>
  <c r="W60" i="9"/>
  <c r="V60" i="9"/>
  <c r="W17" i="5"/>
  <c r="U60" i="9"/>
  <c r="T60" i="9"/>
  <c r="S60" i="9"/>
  <c r="T17" i="5"/>
  <c r="R60" i="9"/>
  <c r="Q60" i="9"/>
  <c r="P60" i="9"/>
  <c r="Q17" i="5"/>
  <c r="O60" i="9"/>
  <c r="N60" i="9"/>
  <c r="M60" i="9"/>
  <c r="N17" i="5"/>
  <c r="L60" i="9"/>
  <c r="K60" i="9"/>
  <c r="L17" i="5"/>
  <c r="J60" i="9"/>
  <c r="K17" i="5"/>
  <c r="I60" i="9"/>
  <c r="H60" i="9"/>
  <c r="I17" i="5"/>
  <c r="G60" i="9"/>
  <c r="H17" i="5"/>
  <c r="F60" i="9"/>
  <c r="G17" i="5"/>
  <c r="E60" i="9"/>
  <c r="W59" i="9"/>
  <c r="X16" i="5"/>
  <c r="V59" i="9"/>
  <c r="U59" i="9"/>
  <c r="H59" i="9"/>
  <c r="I16" i="5"/>
  <c r="G59" i="9"/>
  <c r="F59" i="9"/>
  <c r="E59" i="9"/>
  <c r="W58" i="9"/>
  <c r="V58" i="9"/>
  <c r="U58" i="9"/>
  <c r="V15" i="5"/>
  <c r="T58" i="9"/>
  <c r="S58" i="9"/>
  <c r="R58" i="9"/>
  <c r="S15" i="5"/>
  <c r="Q58" i="9"/>
  <c r="P58" i="9"/>
  <c r="O58" i="9"/>
  <c r="P15" i="5"/>
  <c r="N58" i="9"/>
  <c r="O15" i="5"/>
  <c r="M58" i="9"/>
  <c r="L58" i="9"/>
  <c r="M15" i="5"/>
  <c r="K58" i="9"/>
  <c r="J58" i="9"/>
  <c r="I58" i="9"/>
  <c r="J15" i="5"/>
  <c r="H58" i="9"/>
  <c r="G58" i="9"/>
  <c r="H15" i="5"/>
  <c r="F58" i="9"/>
  <c r="E58" i="9"/>
  <c r="W57" i="9"/>
  <c r="X14" i="5"/>
  <c r="V57" i="9"/>
  <c r="W14" i="5"/>
  <c r="U57" i="9"/>
  <c r="V14" i="5"/>
  <c r="T57" i="9"/>
  <c r="S57" i="9"/>
  <c r="T14" i="5"/>
  <c r="R57" i="9"/>
  <c r="Q57" i="9"/>
  <c r="P57" i="9"/>
  <c r="Q14" i="5"/>
  <c r="W56" i="9"/>
  <c r="V56" i="9"/>
  <c r="U56" i="9"/>
  <c r="V13" i="5"/>
  <c r="T56" i="9"/>
  <c r="S56" i="9"/>
  <c r="R56" i="9"/>
  <c r="S13" i="5"/>
  <c r="Q56" i="9"/>
  <c r="P56" i="9"/>
  <c r="O56" i="9"/>
  <c r="P13" i="5"/>
  <c r="N56" i="9"/>
  <c r="M56" i="9"/>
  <c r="L56" i="9"/>
  <c r="M13" i="5"/>
  <c r="K56" i="9"/>
  <c r="J56" i="9"/>
  <c r="I56" i="9"/>
  <c r="J13" i="5"/>
  <c r="H56" i="9"/>
  <c r="G56" i="9"/>
  <c r="H13" i="5"/>
  <c r="F56" i="9"/>
  <c r="E56" i="9"/>
  <c r="W55" i="9"/>
  <c r="X12" i="5"/>
  <c r="V55" i="9"/>
  <c r="U55" i="9"/>
  <c r="T55" i="9"/>
  <c r="U12" i="5"/>
  <c r="S55" i="9"/>
  <c r="T12" i="5"/>
  <c r="R55" i="9"/>
  <c r="Q55" i="9"/>
  <c r="R12" i="5"/>
  <c r="P55" i="9"/>
  <c r="Q12" i="5"/>
  <c r="O55" i="9"/>
  <c r="N55" i="9"/>
  <c r="M55" i="9"/>
  <c r="N12" i="5"/>
  <c r="L55" i="9"/>
  <c r="K55" i="9"/>
  <c r="J55" i="9"/>
  <c r="K12" i="5"/>
  <c r="I55" i="9"/>
  <c r="H55" i="9"/>
  <c r="G55" i="9"/>
  <c r="H12" i="5"/>
  <c r="F55" i="9"/>
  <c r="E55" i="9"/>
  <c r="W54" i="9"/>
  <c r="X11" i="5"/>
  <c r="V54" i="9"/>
  <c r="U54" i="9"/>
  <c r="T54" i="9"/>
  <c r="U11" i="5"/>
  <c r="S54" i="9"/>
  <c r="R54" i="9"/>
  <c r="Q54" i="9"/>
  <c r="R11" i="5"/>
  <c r="P54" i="9"/>
  <c r="O54" i="9"/>
  <c r="N54" i="9"/>
  <c r="M54" i="9"/>
  <c r="L54" i="9"/>
  <c r="K54" i="9"/>
  <c r="L11" i="5"/>
  <c r="J54" i="9"/>
  <c r="I54" i="9"/>
  <c r="J11" i="5"/>
  <c r="H54" i="9"/>
  <c r="G54" i="9"/>
  <c r="F54" i="9"/>
  <c r="G11" i="5"/>
  <c r="E54" i="9"/>
  <c r="W53" i="9"/>
  <c r="W49" i="9"/>
  <c r="X44" i="5"/>
  <c r="V49" i="9"/>
  <c r="W44" i="5"/>
  <c r="U49" i="9"/>
  <c r="T49" i="9"/>
  <c r="U44" i="5"/>
  <c r="S49" i="9"/>
  <c r="T44" i="5"/>
  <c r="R49" i="9"/>
  <c r="Q49" i="9"/>
  <c r="L49" i="9"/>
  <c r="M44" i="5"/>
  <c r="K49" i="9"/>
  <c r="J49" i="9"/>
  <c r="I49" i="9"/>
  <c r="J44" i="5"/>
  <c r="H49" i="9"/>
  <c r="G49" i="9"/>
  <c r="F49" i="9"/>
  <c r="E49" i="9"/>
  <c r="W48" i="9"/>
  <c r="V48" i="9"/>
  <c r="W43" i="5"/>
  <c r="U48" i="9"/>
  <c r="T48" i="9"/>
  <c r="S48" i="9"/>
  <c r="R48" i="9"/>
  <c r="Q48" i="9"/>
  <c r="P48" i="9"/>
  <c r="Q43" i="5"/>
  <c r="O48" i="9"/>
  <c r="N48" i="9"/>
  <c r="M48" i="9"/>
  <c r="N43" i="5"/>
  <c r="L48" i="9"/>
  <c r="K48" i="9"/>
  <c r="J48" i="9"/>
  <c r="K43" i="5"/>
  <c r="I48" i="9"/>
  <c r="H48" i="9"/>
  <c r="G48" i="9"/>
  <c r="H43" i="5"/>
  <c r="F48" i="9"/>
  <c r="E48" i="9"/>
  <c r="F43" i="5"/>
  <c r="W46" i="9"/>
  <c r="X41" i="5"/>
  <c r="V46" i="9"/>
  <c r="U46" i="9"/>
  <c r="V41" i="5"/>
  <c r="S45" i="9"/>
  <c r="T40" i="5"/>
  <c r="R45" i="9"/>
  <c r="Q45" i="9"/>
  <c r="P45" i="9"/>
  <c r="Q40" i="5"/>
  <c r="O45" i="9"/>
  <c r="N45" i="9"/>
  <c r="M45" i="9"/>
  <c r="N40" i="5"/>
  <c r="L45" i="9"/>
  <c r="K45" i="9"/>
  <c r="J45" i="9"/>
  <c r="K40" i="5"/>
  <c r="I45" i="9"/>
  <c r="H45" i="9"/>
  <c r="G45" i="9"/>
  <c r="H40" i="5"/>
  <c r="F45" i="9"/>
  <c r="E45" i="9"/>
  <c r="W44" i="9"/>
  <c r="X39" i="5"/>
  <c r="V42" i="9"/>
  <c r="W37" i="5"/>
  <c r="U42" i="9"/>
  <c r="T42" i="9"/>
  <c r="U37" i="5"/>
  <c r="S42" i="9"/>
  <c r="R42" i="9"/>
  <c r="Q42" i="9"/>
  <c r="R37" i="5"/>
  <c r="I42" i="9"/>
  <c r="H42" i="9"/>
  <c r="I37" i="5"/>
  <c r="G42" i="9"/>
  <c r="H37" i="5"/>
  <c r="F42" i="9"/>
  <c r="E42" i="9"/>
  <c r="W41" i="9"/>
  <c r="X35" i="5"/>
  <c r="V41" i="9"/>
  <c r="W35" i="5"/>
  <c r="U41" i="9"/>
  <c r="T41" i="9"/>
  <c r="U35" i="5"/>
  <c r="S41" i="9"/>
  <c r="R41" i="9"/>
  <c r="Q41" i="9"/>
  <c r="R35" i="5"/>
  <c r="P41" i="9"/>
  <c r="O41" i="9"/>
  <c r="N41" i="9"/>
  <c r="O35" i="5"/>
  <c r="M41" i="9"/>
  <c r="L41" i="9"/>
  <c r="K41" i="9"/>
  <c r="L35" i="5"/>
  <c r="J41" i="9"/>
  <c r="I41" i="9"/>
  <c r="H41" i="9"/>
  <c r="I35" i="5"/>
  <c r="G41" i="9"/>
  <c r="H35" i="5"/>
  <c r="F41" i="9"/>
  <c r="E41" i="9"/>
  <c r="F35" i="5"/>
  <c r="W40" i="9"/>
  <c r="V40" i="9"/>
  <c r="U40" i="9"/>
  <c r="V36" i="5"/>
  <c r="T40" i="9"/>
  <c r="S40" i="9"/>
  <c r="R40" i="9"/>
  <c r="S36" i="5"/>
  <c r="Q40" i="9"/>
  <c r="P40" i="9"/>
  <c r="Q36" i="5"/>
  <c r="O40" i="9"/>
  <c r="P36" i="5"/>
  <c r="N40" i="9"/>
  <c r="O36" i="5"/>
  <c r="M40" i="9"/>
  <c r="L40" i="9"/>
  <c r="M36" i="5"/>
  <c r="K40" i="9"/>
  <c r="J40" i="9"/>
  <c r="I40" i="9"/>
  <c r="J36" i="5"/>
  <c r="H40" i="9"/>
  <c r="G40" i="9"/>
  <c r="F40" i="9"/>
  <c r="G36" i="5"/>
  <c r="E40" i="9"/>
  <c r="W39" i="9"/>
  <c r="V39" i="9"/>
  <c r="U39" i="9"/>
  <c r="T39" i="9"/>
  <c r="S39" i="9"/>
  <c r="T34" i="5"/>
  <c r="R39" i="9"/>
  <c r="Q39" i="9"/>
  <c r="P39" i="9"/>
  <c r="Q34" i="5"/>
  <c r="O39" i="9"/>
  <c r="N39" i="9"/>
  <c r="M39" i="9"/>
  <c r="N34" i="5"/>
  <c r="L39" i="9"/>
  <c r="K39" i="9"/>
  <c r="J39" i="9"/>
  <c r="K34" i="5"/>
  <c r="I39" i="9"/>
  <c r="H39" i="9"/>
  <c r="G39" i="9"/>
  <c r="H34" i="5"/>
  <c r="F39" i="9"/>
  <c r="E39" i="9"/>
  <c r="F34" i="5"/>
  <c r="W38" i="9"/>
  <c r="X33" i="5"/>
  <c r="V38" i="9"/>
  <c r="U38" i="9"/>
  <c r="T38" i="9"/>
  <c r="U33" i="5"/>
  <c r="S38" i="9"/>
  <c r="R38" i="9"/>
  <c r="Q38" i="9"/>
  <c r="R33" i="5"/>
  <c r="P38" i="9"/>
  <c r="O38" i="9"/>
  <c r="N38" i="9"/>
  <c r="M38" i="9"/>
  <c r="L38" i="9"/>
  <c r="K38" i="9"/>
  <c r="L33" i="5"/>
  <c r="J38" i="9"/>
  <c r="I38" i="9"/>
  <c r="H38" i="9"/>
  <c r="I33" i="5"/>
  <c r="G38" i="9"/>
  <c r="F38" i="9"/>
  <c r="E38" i="9"/>
  <c r="A38" i="9"/>
  <c r="A33" i="5"/>
  <c r="W37" i="9"/>
  <c r="V37" i="9"/>
  <c r="W32" i="5"/>
  <c r="U37" i="9"/>
  <c r="T37" i="9"/>
  <c r="S37" i="9"/>
  <c r="T32" i="5"/>
  <c r="R37" i="9"/>
  <c r="Q37" i="9"/>
  <c r="P37" i="9"/>
  <c r="O37" i="9"/>
  <c r="N37" i="9"/>
  <c r="O32" i="5"/>
  <c r="M37" i="9"/>
  <c r="L37" i="9"/>
  <c r="K37" i="9"/>
  <c r="L32" i="5"/>
  <c r="J37" i="9"/>
  <c r="K32" i="5"/>
  <c r="I37" i="9"/>
  <c r="H37" i="9"/>
  <c r="I32" i="5"/>
  <c r="G37" i="9"/>
  <c r="H32" i="5"/>
  <c r="F37" i="9"/>
  <c r="G32" i="5"/>
  <c r="E37" i="9"/>
  <c r="W36" i="9"/>
  <c r="X10" i="5"/>
  <c r="V36" i="9"/>
  <c r="U36" i="9"/>
  <c r="T36" i="9"/>
  <c r="U10" i="5"/>
  <c r="S36" i="9"/>
  <c r="R36" i="9"/>
  <c r="Q36" i="9"/>
  <c r="R10" i="5"/>
  <c r="P36" i="9"/>
  <c r="O36" i="9"/>
  <c r="N36" i="9"/>
  <c r="O10" i="5"/>
  <c r="M36" i="9"/>
  <c r="L36" i="9"/>
  <c r="K36" i="9"/>
  <c r="L10" i="5"/>
  <c r="J36" i="9"/>
  <c r="I36" i="9"/>
  <c r="H36" i="9"/>
  <c r="I10" i="5"/>
  <c r="G36" i="9"/>
  <c r="F36" i="9"/>
  <c r="E36" i="9"/>
  <c r="F10" i="5"/>
  <c r="W33" i="9"/>
  <c r="V33" i="9"/>
  <c r="W7" i="5"/>
  <c r="U33" i="9"/>
  <c r="V7" i="5"/>
  <c r="T33" i="9"/>
  <c r="S33" i="9"/>
  <c r="R33" i="9"/>
  <c r="S7" i="5"/>
  <c r="Q33" i="9"/>
  <c r="P33" i="9"/>
  <c r="O33" i="9"/>
  <c r="P7" i="5"/>
  <c r="N33" i="9"/>
  <c r="M33" i="9"/>
  <c r="L33" i="9"/>
  <c r="M7" i="5"/>
  <c r="K33" i="9"/>
  <c r="J33" i="9"/>
  <c r="I33" i="9"/>
  <c r="J7" i="5"/>
  <c r="H33" i="9"/>
  <c r="G33" i="9"/>
  <c r="F33" i="9"/>
  <c r="G7" i="5"/>
  <c r="E33" i="9"/>
  <c r="W20" i="9"/>
  <c r="V20" i="9"/>
  <c r="W24" i="5"/>
  <c r="U20" i="9"/>
  <c r="T20" i="9"/>
  <c r="S20" i="9"/>
  <c r="T24" i="5"/>
  <c r="R20" i="9"/>
  <c r="Q20" i="9"/>
  <c r="P20" i="9"/>
  <c r="Q24" i="5"/>
  <c r="O20" i="9"/>
  <c r="N20" i="9"/>
  <c r="M20" i="9"/>
  <c r="N24" i="5"/>
  <c r="L20" i="9"/>
  <c r="K20" i="9"/>
  <c r="J20" i="9"/>
  <c r="K24" i="5"/>
  <c r="I20" i="9"/>
  <c r="J24" i="5"/>
  <c r="H20" i="9"/>
  <c r="G20" i="9"/>
  <c r="F20" i="9"/>
  <c r="E20" i="9"/>
  <c r="W17" i="9"/>
  <c r="V17" i="9"/>
  <c r="W72" i="5"/>
  <c r="U17" i="9"/>
  <c r="T17" i="9"/>
  <c r="U72" i="5"/>
  <c r="S17" i="9"/>
  <c r="R17" i="9"/>
  <c r="Q17" i="9"/>
  <c r="R72" i="5"/>
  <c r="P17" i="9"/>
  <c r="O17" i="9"/>
  <c r="N17" i="9"/>
  <c r="O72" i="5"/>
  <c r="M17" i="9"/>
  <c r="L17" i="9"/>
  <c r="K17" i="9"/>
  <c r="L72" i="5"/>
  <c r="J17" i="9"/>
  <c r="I17" i="9"/>
  <c r="H17" i="9"/>
  <c r="I72" i="5"/>
  <c r="G17" i="9"/>
  <c r="F17" i="9"/>
  <c r="E17" i="9"/>
  <c r="F72" i="5"/>
  <c r="W16" i="9"/>
  <c r="V16" i="9"/>
  <c r="U16" i="9"/>
  <c r="V60" i="5"/>
  <c r="T16" i="9"/>
  <c r="S16" i="9"/>
  <c r="R16" i="9"/>
  <c r="S60" i="5"/>
  <c r="Q16" i="9"/>
  <c r="P16" i="9"/>
  <c r="Q60" i="5"/>
  <c r="O16" i="9"/>
  <c r="P60" i="5"/>
  <c r="N16" i="9"/>
  <c r="M16" i="9"/>
  <c r="L16" i="9"/>
  <c r="M60" i="5"/>
  <c r="K16" i="9"/>
  <c r="L60" i="5"/>
  <c r="J16" i="9"/>
  <c r="I16" i="9"/>
  <c r="J60" i="5"/>
  <c r="H16" i="9"/>
  <c r="G16" i="9"/>
  <c r="F16" i="9"/>
  <c r="G60" i="5"/>
  <c r="E16" i="9"/>
  <c r="W13" i="9"/>
  <c r="V13" i="9"/>
  <c r="W73" i="5"/>
  <c r="U13" i="9"/>
  <c r="T13" i="9"/>
  <c r="S13" i="9"/>
  <c r="T73" i="5"/>
  <c r="R13" i="9"/>
  <c r="Q13" i="9"/>
  <c r="P13" i="9"/>
  <c r="Q73" i="5"/>
  <c r="O13" i="9"/>
  <c r="P73" i="5"/>
  <c r="N13" i="9"/>
  <c r="M13" i="9"/>
  <c r="N73" i="5"/>
  <c r="L13" i="9"/>
  <c r="K13" i="9"/>
  <c r="J13" i="9"/>
  <c r="K73" i="5"/>
  <c r="I13" i="9"/>
  <c r="H13" i="9"/>
  <c r="G13" i="9"/>
  <c r="H73" i="5"/>
  <c r="F13" i="9"/>
  <c r="E13" i="9"/>
  <c r="F73" i="5"/>
  <c r="W10" i="9"/>
  <c r="X68" i="5"/>
  <c r="V10" i="9"/>
  <c r="W68" i="5"/>
  <c r="U10" i="9"/>
  <c r="T10" i="9"/>
  <c r="U68" i="5"/>
  <c r="S10" i="9"/>
  <c r="R10" i="9"/>
  <c r="Q10" i="9"/>
  <c r="P10" i="9"/>
  <c r="O10" i="9"/>
  <c r="N10" i="9"/>
  <c r="O68" i="5"/>
  <c r="M10" i="9"/>
  <c r="L10" i="9"/>
  <c r="K10" i="9"/>
  <c r="L68" i="5"/>
  <c r="J10" i="9"/>
  <c r="I10" i="9"/>
  <c r="H10" i="9"/>
  <c r="I68" i="5"/>
  <c r="G10" i="9"/>
  <c r="F10" i="9"/>
  <c r="E10" i="9"/>
  <c r="F68" i="5"/>
  <c r="W8" i="9"/>
  <c r="X59" i="5"/>
  <c r="V8" i="9"/>
  <c r="U8" i="9"/>
  <c r="V59" i="5"/>
  <c r="T8" i="9"/>
  <c r="S8" i="9"/>
  <c r="R8" i="9"/>
  <c r="S59" i="5"/>
  <c r="Q8" i="9"/>
  <c r="N8" i="9"/>
  <c r="M8" i="9"/>
  <c r="N59" i="5"/>
  <c r="L8" i="9"/>
  <c r="K8" i="9"/>
  <c r="J8" i="9"/>
  <c r="K59" i="5"/>
  <c r="I8" i="9"/>
  <c r="H8" i="9"/>
  <c r="I59" i="5"/>
  <c r="G8" i="9"/>
  <c r="H59" i="5"/>
  <c r="F8" i="9"/>
  <c r="G59" i="5"/>
  <c r="E8" i="9"/>
  <c r="AC8" i="9"/>
  <c r="W7" i="9"/>
  <c r="X62" i="5"/>
  <c r="V7" i="9"/>
  <c r="U7" i="9"/>
  <c r="V62" i="5"/>
  <c r="T7" i="9"/>
  <c r="S7" i="9"/>
  <c r="R7" i="9"/>
  <c r="S62" i="5"/>
  <c r="Q7" i="9"/>
  <c r="P7" i="9"/>
  <c r="O7" i="9"/>
  <c r="P62" i="5"/>
  <c r="N7" i="9"/>
  <c r="M7" i="9"/>
  <c r="L7" i="9"/>
  <c r="M62" i="5"/>
  <c r="K7" i="9"/>
  <c r="J7" i="9"/>
  <c r="I7" i="9"/>
  <c r="H7" i="9"/>
  <c r="G7" i="9"/>
  <c r="F7" i="9"/>
  <c r="G62" i="5"/>
  <c r="E7" i="9"/>
  <c r="AL7" i="9"/>
  <c r="A7" i="9"/>
  <c r="W6" i="9"/>
  <c r="V6" i="9"/>
  <c r="U6" i="9"/>
  <c r="V71" i="5"/>
  <c r="T6" i="9"/>
  <c r="T2" i="9"/>
  <c r="U64" i="5"/>
  <c r="T4" i="9"/>
  <c r="U66" i="5"/>
  <c r="S6" i="9"/>
  <c r="R6" i="9"/>
  <c r="S71" i="5"/>
  <c r="R2" i="9"/>
  <c r="S64" i="5"/>
  <c r="R4" i="9"/>
  <c r="S66" i="5"/>
  <c r="Q6" i="9"/>
  <c r="P6" i="9"/>
  <c r="Q71" i="5"/>
  <c r="O6" i="9"/>
  <c r="N6" i="9"/>
  <c r="M6" i="9"/>
  <c r="N71" i="5"/>
  <c r="L6" i="9"/>
  <c r="K6" i="9"/>
  <c r="J6" i="9"/>
  <c r="K71" i="5"/>
  <c r="I6" i="9"/>
  <c r="H6" i="9"/>
  <c r="G6" i="9"/>
  <c r="H71" i="5"/>
  <c r="F6" i="9"/>
  <c r="E6" i="9"/>
  <c r="W4" i="9"/>
  <c r="X66" i="5"/>
  <c r="V4" i="9"/>
  <c r="W66" i="5"/>
  <c r="U4" i="9"/>
  <c r="S4" i="9"/>
  <c r="T66" i="5"/>
  <c r="Q4" i="9"/>
  <c r="Q2" i="9"/>
  <c r="P4" i="9"/>
  <c r="O4" i="9"/>
  <c r="N4" i="9"/>
  <c r="O66" i="5"/>
  <c r="M4" i="9"/>
  <c r="N66" i="5"/>
  <c r="L4" i="9"/>
  <c r="K4" i="9"/>
  <c r="K2" i="9"/>
  <c r="L64" i="5"/>
  <c r="J4" i="9"/>
  <c r="K66" i="5"/>
  <c r="I4" i="9"/>
  <c r="H4" i="9"/>
  <c r="G4" i="9"/>
  <c r="H66" i="5"/>
  <c r="F4" i="9"/>
  <c r="E4" i="9"/>
  <c r="G3" i="9"/>
  <c r="F3" i="9"/>
  <c r="F2" i="9"/>
  <c r="G64" i="5"/>
  <c r="E3" i="9"/>
  <c r="W2" i="9"/>
  <c r="X64" i="5"/>
  <c r="V2" i="9"/>
  <c r="U2" i="9"/>
  <c r="S2" i="9"/>
  <c r="T64" i="5"/>
  <c r="P2" i="9"/>
  <c r="P145" i="9"/>
  <c r="O2" i="9"/>
  <c r="N2" i="9"/>
  <c r="O64" i="5"/>
  <c r="M2" i="9"/>
  <c r="L2" i="9"/>
  <c r="J2" i="9"/>
  <c r="K64" i="5"/>
  <c r="I2" i="9"/>
  <c r="H2" i="9"/>
  <c r="G2" i="9"/>
  <c r="H64" i="5"/>
  <c r="E2" i="9"/>
  <c r="G58" i="14"/>
  <c r="F58" i="14"/>
  <c r="G57" i="14"/>
  <c r="F57" i="14"/>
  <c r="P2631" i="1"/>
  <c r="O2631" i="1"/>
  <c r="N2631" i="1"/>
  <c r="M2631" i="1"/>
  <c r="AN94" i="9"/>
  <c r="P2630" i="1"/>
  <c r="O2630" i="1"/>
  <c r="N2630" i="1"/>
  <c r="M2630" i="1"/>
  <c r="P2629" i="1"/>
  <c r="O2629" i="1"/>
  <c r="N2629" i="1"/>
  <c r="M2629" i="1"/>
  <c r="P2628" i="1"/>
  <c r="O2628" i="1"/>
  <c r="N2628" i="1"/>
  <c r="M2628" i="1"/>
  <c r="O2627" i="1"/>
  <c r="N2627" i="1"/>
  <c r="M2627" i="1"/>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c r="B23" i="14"/>
  <c r="H23" i="14"/>
  <c r="B22" i="14"/>
  <c r="H22" i="14"/>
  <c r="B21" i="14"/>
  <c r="H21" i="14"/>
  <c r="B20" i="14"/>
  <c r="H20" i="14"/>
  <c r="B19" i="14"/>
  <c r="H19" i="14"/>
  <c r="B18" i="14"/>
  <c r="H18" i="14"/>
  <c r="B17" i="14"/>
  <c r="H17" i="14"/>
  <c r="B16" i="14"/>
  <c r="H16" i="14"/>
  <c r="B15" i="14"/>
  <c r="H15" i="14"/>
  <c r="B14" i="14"/>
  <c r="H14" i="14"/>
  <c r="B13" i="14"/>
  <c r="H13" i="14"/>
  <c r="B12" i="14"/>
  <c r="H12" i="14"/>
  <c r="B11" i="14"/>
  <c r="H11" i="14"/>
  <c r="B10" i="14"/>
  <c r="H10" i="14"/>
  <c r="B9" i="14"/>
  <c r="H9" i="14"/>
  <c r="B8" i="14"/>
  <c r="H8" i="14"/>
  <c r="B7" i="14"/>
  <c r="H7" i="14"/>
  <c r="B6" i="14"/>
  <c r="H6" i="14"/>
  <c r="B5" i="14"/>
  <c r="H5" i="14"/>
  <c r="AL2" i="9"/>
  <c r="AM64" i="5"/>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3" i="9"/>
  <c r="B110" i="5"/>
  <c r="B142" i="9"/>
  <c r="B142" i="8"/>
  <c r="B141" i="9"/>
  <c r="B123" i="5"/>
  <c r="B140" i="9"/>
  <c r="B140" i="8"/>
  <c r="B139" i="9"/>
  <c r="B138" i="9"/>
  <c r="B137" i="9"/>
  <c r="B129" i="5"/>
  <c r="B136" i="9"/>
  <c r="B135" i="9"/>
  <c r="B131" i="5"/>
  <c r="B134" i="9"/>
  <c r="B133" i="9"/>
  <c r="B132" i="9"/>
  <c r="B131" i="9"/>
  <c r="B130" i="9"/>
  <c r="B129" i="9"/>
  <c r="B138" i="5"/>
  <c r="B128" i="9"/>
  <c r="B127" i="9"/>
  <c r="B124" i="5"/>
  <c r="B126" i="9"/>
  <c r="B125" i="9"/>
  <c r="B121" i="5"/>
  <c r="B124" i="9"/>
  <c r="B123" i="9"/>
  <c r="B122" i="9"/>
  <c r="B118" i="5"/>
  <c r="B121" i="9"/>
  <c r="B120" i="9"/>
  <c r="B120" i="8"/>
  <c r="B119" i="9"/>
  <c r="B115" i="5"/>
  <c r="B118" i="9"/>
  <c r="B118" i="8"/>
  <c r="B117" i="9"/>
  <c r="B113" i="5"/>
  <c r="B116" i="9"/>
  <c r="B115" i="9"/>
  <c r="B107" i="5"/>
  <c r="B114" i="9"/>
  <c r="B113" i="9"/>
  <c r="B135" i="5"/>
  <c r="B112" i="9"/>
  <c r="B111" i="9"/>
  <c r="B132" i="5"/>
  <c r="B110" i="9"/>
  <c r="B109" i="9"/>
  <c r="B105" i="5"/>
  <c r="B107" i="9"/>
  <c r="B106" i="9"/>
  <c r="B112" i="5"/>
  <c r="B105" i="9"/>
  <c r="B111" i="5"/>
  <c r="B103" i="9"/>
  <c r="B85" i="5"/>
  <c r="B102" i="9"/>
  <c r="B102" i="8"/>
  <c r="B101" i="9"/>
  <c r="B83" i="5"/>
  <c r="B100" i="9"/>
  <c r="B99" i="9"/>
  <c r="B81" i="5"/>
  <c r="B98" i="9"/>
  <c r="B98" i="8"/>
  <c r="B97" i="9"/>
  <c r="B96" i="9"/>
  <c r="B95" i="9"/>
  <c r="B101" i="5"/>
  <c r="B94" i="9"/>
  <c r="B93" i="9"/>
  <c r="B143" i="5"/>
  <c r="B92" i="9"/>
  <c r="B91" i="9"/>
  <c r="B98" i="5"/>
  <c r="B90" i="9"/>
  <c r="B90" i="8"/>
  <c r="B89" i="9"/>
  <c r="B88" i="9"/>
  <c r="B88" i="8"/>
  <c r="B87" i="9"/>
  <c r="B91" i="5"/>
  <c r="B86" i="9"/>
  <c r="B85" i="9"/>
  <c r="B93" i="5"/>
  <c r="B84" i="9"/>
  <c r="B83" i="9"/>
  <c r="B90" i="5"/>
  <c r="B82" i="9"/>
  <c r="B82" i="8"/>
  <c r="B81" i="9"/>
  <c r="B88" i="5"/>
  <c r="B80" i="9"/>
  <c r="B79" i="9"/>
  <c r="B136" i="5"/>
  <c r="B78" i="9"/>
  <c r="B77" i="9"/>
  <c r="B78" i="5"/>
  <c r="B76" i="9"/>
  <c r="B75" i="9"/>
  <c r="B76" i="5"/>
  <c r="B74" i="9"/>
  <c r="B74" i="8"/>
  <c r="B73" i="9"/>
  <c r="B72" i="9"/>
  <c r="B72" i="8"/>
  <c r="B71" i="9"/>
  <c r="B51" i="5"/>
  <c r="B70" i="9"/>
  <c r="B70" i="8"/>
  <c r="B69" i="9"/>
  <c r="B50" i="5"/>
  <c r="B68" i="9"/>
  <c r="B67" i="9"/>
  <c r="B48" i="5"/>
  <c r="B66" i="9"/>
  <c r="B66" i="8"/>
  <c r="B65" i="9"/>
  <c r="B64" i="9"/>
  <c r="B63" i="9"/>
  <c r="B20" i="5"/>
  <c r="B62" i="9"/>
  <c r="B61" i="9"/>
  <c r="B18" i="5"/>
  <c r="B60" i="9"/>
  <c r="B59" i="9"/>
  <c r="B16" i="5"/>
  <c r="B58" i="9"/>
  <c r="B57" i="9"/>
  <c r="B56" i="9"/>
  <c r="B55" i="9"/>
  <c r="B12" i="5"/>
  <c r="B54" i="9"/>
  <c r="B53" i="9"/>
  <c r="B58" i="5"/>
  <c r="B52" i="9"/>
  <c r="B50" i="9"/>
  <c r="B45" i="5"/>
  <c r="B49" i="9"/>
  <c r="B48" i="9"/>
  <c r="B47" i="9"/>
  <c r="B42" i="5"/>
  <c r="B46" i="9"/>
  <c r="B41" i="5"/>
  <c r="B45" i="9"/>
  <c r="B44" i="9"/>
  <c r="B39" i="5"/>
  <c r="B43" i="9"/>
  <c r="B42" i="9"/>
  <c r="B37" i="5"/>
  <c r="B41" i="9"/>
  <c r="B35" i="5"/>
  <c r="B40" i="9"/>
  <c r="B39" i="9"/>
  <c r="B34" i="5"/>
  <c r="B38" i="9"/>
  <c r="B33" i="5"/>
  <c r="B37" i="9"/>
  <c r="B37" i="8"/>
  <c r="B36" i="9"/>
  <c r="B10" i="5"/>
  <c r="B35" i="9"/>
  <c r="B33" i="9"/>
  <c r="B7" i="5"/>
  <c r="B32" i="9"/>
  <c r="B32" i="8"/>
  <c r="B31" i="9"/>
  <c r="B30" i="9"/>
  <c r="B29" i="9"/>
  <c r="B29" i="5"/>
  <c r="B28" i="9"/>
  <c r="B28" i="8"/>
  <c r="B27" i="9"/>
  <c r="B31" i="5"/>
  <c r="B26" i="9"/>
  <c r="B25" i="9"/>
  <c r="B28" i="5"/>
  <c r="B24" i="9"/>
  <c r="B23" i="9"/>
  <c r="B22" i="9"/>
  <c r="B22" i="8"/>
  <c r="B21" i="9"/>
  <c r="B25" i="5"/>
  <c r="B20" i="9"/>
  <c r="B19" i="9"/>
  <c r="B56" i="5"/>
  <c r="B18" i="9"/>
  <c r="B18" i="8"/>
  <c r="B17" i="9"/>
  <c r="B72" i="5"/>
  <c r="B16" i="9"/>
  <c r="B16" i="8"/>
  <c r="B15" i="9"/>
  <c r="B14" i="9"/>
  <c r="B13" i="9"/>
  <c r="B12" i="9"/>
  <c r="B11" i="9"/>
  <c r="B69" i="5"/>
  <c r="B10" i="9"/>
  <c r="B10" i="8"/>
  <c r="B9" i="9"/>
  <c r="B61" i="5"/>
  <c r="B8" i="9"/>
  <c r="B7" i="9"/>
  <c r="B62" i="5"/>
  <c r="B6" i="9"/>
  <c r="B5" i="9"/>
  <c r="B4" i="9"/>
  <c r="B4" i="8"/>
  <c r="B3" i="9"/>
  <c r="B65" i="5"/>
  <c r="B2" i="9"/>
  <c r="B2" i="8"/>
  <c r="B47" i="8"/>
  <c r="B21" i="5"/>
  <c r="B95" i="5"/>
  <c r="B96" i="5"/>
  <c r="B105" i="8"/>
  <c r="B114" i="5"/>
  <c r="A143" i="9"/>
  <c r="A110" i="5"/>
  <c r="A142" i="9"/>
  <c r="A141" i="9"/>
  <c r="A139" i="9"/>
  <c r="A109" i="5"/>
  <c r="A138" i="9"/>
  <c r="A138" i="8"/>
  <c r="G138" i="8"/>
  <c r="A137" i="9"/>
  <c r="A137" i="8"/>
  <c r="G137" i="8"/>
  <c r="A136" i="9"/>
  <c r="A136" i="8"/>
  <c r="A135" i="9"/>
  <c r="A134" i="9"/>
  <c r="A133" i="9"/>
  <c r="A132" i="9"/>
  <c r="A132" i="8"/>
  <c r="G132" i="8"/>
  <c r="A131" i="9"/>
  <c r="A140" i="5"/>
  <c r="A130" i="9"/>
  <c r="A129" i="9"/>
  <c r="A138" i="5"/>
  <c r="A128" i="9"/>
  <c r="A128" i="8"/>
  <c r="A124" i="5"/>
  <c r="A126" i="9"/>
  <c r="A126" i="8"/>
  <c r="G126" i="8"/>
  <c r="A125" i="9"/>
  <c r="A121" i="5"/>
  <c r="A124" i="9"/>
  <c r="A124" i="8"/>
  <c r="A123" i="9"/>
  <c r="A123" i="8"/>
  <c r="A122" i="9"/>
  <c r="A121" i="9"/>
  <c r="A120" i="9"/>
  <c r="A120" i="8"/>
  <c r="G120" i="8"/>
  <c r="A119" i="9"/>
  <c r="A118" i="9"/>
  <c r="A118" i="8"/>
  <c r="A117" i="9"/>
  <c r="A113" i="5"/>
  <c r="A116" i="9"/>
  <c r="A116" i="8"/>
  <c r="G116" i="8"/>
  <c r="A115" i="9"/>
  <c r="A115" i="8"/>
  <c r="G115" i="8"/>
  <c r="A114" i="9"/>
  <c r="A114" i="8"/>
  <c r="G114" i="8"/>
  <c r="A113" i="9"/>
  <c r="A135" i="5"/>
  <c r="A112" i="9"/>
  <c r="A112" i="8"/>
  <c r="I112" i="8"/>
  <c r="A110" i="9"/>
  <c r="A106" i="5"/>
  <c r="A109" i="9"/>
  <c r="A105" i="5"/>
  <c r="A107" i="9"/>
  <c r="A106" i="9"/>
  <c r="A112" i="5"/>
  <c r="A105" i="9"/>
  <c r="A103" i="9"/>
  <c r="A103" i="8"/>
  <c r="A101" i="9"/>
  <c r="A101" i="8"/>
  <c r="A100" i="9"/>
  <c r="A100" i="8"/>
  <c r="A99" i="9"/>
  <c r="A81" i="5"/>
  <c r="A98" i="9"/>
  <c r="A98" i="8"/>
  <c r="G98" i="8"/>
  <c r="A97" i="9"/>
  <c r="A97" i="8"/>
  <c r="G97" i="8"/>
  <c r="A96" i="9"/>
  <c r="A96" i="8"/>
  <c r="G96" i="8"/>
  <c r="A95" i="9"/>
  <c r="A94" i="9"/>
  <c r="A94" i="8"/>
  <c r="G94" i="8"/>
  <c r="A93" i="9"/>
  <c r="A93" i="8"/>
  <c r="A92" i="9"/>
  <c r="A92" i="8"/>
  <c r="A91" i="9"/>
  <c r="A91" i="8"/>
  <c r="A90" i="9"/>
  <c r="A90" i="8"/>
  <c r="I90" i="8"/>
  <c r="A88" i="9"/>
  <c r="A88" i="8"/>
  <c r="A87" i="8"/>
  <c r="A86" i="9"/>
  <c r="A86" i="8"/>
  <c r="A85" i="9"/>
  <c r="A84" i="9"/>
  <c r="A92" i="5"/>
  <c r="A83" i="9"/>
  <c r="A82" i="9"/>
  <c r="A81" i="9"/>
  <c r="A88" i="5"/>
  <c r="A80" i="9"/>
  <c r="A80" i="8"/>
  <c r="G80" i="8"/>
  <c r="A78" i="9"/>
  <c r="A77" i="9"/>
  <c r="A77" i="8"/>
  <c r="A76" i="9"/>
  <c r="A75" i="9"/>
  <c r="A75" i="8"/>
  <c r="A74" i="9"/>
  <c r="A74" i="8"/>
  <c r="A73" i="9"/>
  <c r="A72" i="8"/>
  <c r="A71" i="9"/>
  <c r="A51" i="5"/>
  <c r="A70" i="9"/>
  <c r="A70" i="8"/>
  <c r="A69" i="9"/>
  <c r="A69" i="8"/>
  <c r="A68" i="8"/>
  <c r="G68" i="8"/>
  <c r="A67" i="9"/>
  <c r="A67" i="8"/>
  <c r="A66" i="9"/>
  <c r="A66" i="8"/>
  <c r="G66" i="8"/>
  <c r="A65" i="9"/>
  <c r="A65" i="8"/>
  <c r="G65" i="8"/>
  <c r="A64" i="9"/>
  <c r="A55" i="5"/>
  <c r="A63" i="9"/>
  <c r="A62" i="9"/>
  <c r="A62" i="8"/>
  <c r="A61" i="9"/>
  <c r="A61" i="8"/>
  <c r="A60" i="9"/>
  <c r="A60" i="8"/>
  <c r="A59" i="9"/>
  <c r="A59" i="8"/>
  <c r="G59" i="8"/>
  <c r="A58" i="9"/>
  <c r="A58" i="8"/>
  <c r="H58" i="8"/>
  <c r="A57" i="9"/>
  <c r="A57" i="8"/>
  <c r="G57" i="8"/>
  <c r="A56" i="9"/>
  <c r="A56" i="8"/>
  <c r="G56" i="8"/>
  <c r="A54" i="9"/>
  <c r="A53" i="9"/>
  <c r="A52" i="9"/>
  <c r="A50" i="9"/>
  <c r="A45" i="5"/>
  <c r="A49" i="9"/>
  <c r="A48" i="9"/>
  <c r="A43" i="5"/>
  <c r="A47" i="9"/>
  <c r="A47" i="8"/>
  <c r="G47" i="8"/>
  <c r="A46" i="9"/>
  <c r="A41" i="5"/>
  <c r="A45" i="9"/>
  <c r="A44" i="9"/>
  <c r="A39" i="5"/>
  <c r="A43" i="9"/>
  <c r="A43" i="8"/>
  <c r="G43" i="8"/>
  <c r="A42" i="9"/>
  <c r="A41" i="9"/>
  <c r="A40" i="9"/>
  <c r="A40" i="8"/>
  <c r="G40" i="8"/>
  <c r="A39" i="9"/>
  <c r="A39" i="8"/>
  <c r="A37" i="9"/>
  <c r="A37" i="8"/>
  <c r="A36" i="9"/>
  <c r="A36" i="8"/>
  <c r="A35" i="9"/>
  <c r="C35" i="9"/>
  <c r="A33" i="9"/>
  <c r="A33" i="8"/>
  <c r="A32" i="9"/>
  <c r="A32" i="8"/>
  <c r="G32" i="8"/>
  <c r="A31" i="9"/>
  <c r="A30" i="9"/>
  <c r="A4" i="5"/>
  <c r="A29" i="9"/>
  <c r="A29" i="5"/>
  <c r="A28" i="9"/>
  <c r="A28" i="8"/>
  <c r="A27" i="9"/>
  <c r="A27" i="8"/>
  <c r="A26" i="9"/>
  <c r="A26" i="8"/>
  <c r="G26" i="8"/>
  <c r="A25" i="9"/>
  <c r="A24" i="9"/>
  <c r="A23" i="9"/>
  <c r="A22" i="9"/>
  <c r="A22" i="8"/>
  <c r="A21" i="9"/>
  <c r="A25" i="5"/>
  <c r="A20" i="9"/>
  <c r="A19" i="9"/>
  <c r="A18" i="9"/>
  <c r="A18" i="8"/>
  <c r="H18" i="8"/>
  <c r="A17" i="9"/>
  <c r="A72" i="5"/>
  <c r="A16" i="9"/>
  <c r="A60" i="5"/>
  <c r="A15" i="9"/>
  <c r="A14" i="9"/>
  <c r="A14" i="8"/>
  <c r="A13" i="9"/>
  <c r="A73" i="5"/>
  <c r="A12" i="9"/>
  <c r="A12" i="8"/>
  <c r="G12" i="8"/>
  <c r="A11" i="9"/>
  <c r="A11" i="8"/>
  <c r="A10" i="9"/>
  <c r="A68" i="5"/>
  <c r="A9" i="9"/>
  <c r="A61" i="5"/>
  <c r="A8" i="9"/>
  <c r="A8" i="8"/>
  <c r="A6" i="9"/>
  <c r="A6" i="8"/>
  <c r="I6" i="8"/>
  <c r="A5" i="9"/>
  <c r="A74" i="5"/>
  <c r="A4" i="9"/>
  <c r="A3" i="9"/>
  <c r="A2" i="9"/>
  <c r="P2607" i="1"/>
  <c r="O2607" i="1"/>
  <c r="N2607" i="1"/>
  <c r="M2607" i="1"/>
  <c r="A143" i="8"/>
  <c r="A129" i="8"/>
  <c r="A113" i="8"/>
  <c r="K113" i="8"/>
  <c r="A55" i="8"/>
  <c r="A38" i="8"/>
  <c r="A29" i="8"/>
  <c r="E29" i="8"/>
  <c r="A16" i="8"/>
  <c r="G16" i="8"/>
  <c r="J11" i="8"/>
  <c r="A137" i="5"/>
  <c r="A107" i="5"/>
  <c r="A69" i="5"/>
  <c r="A49" i="5"/>
  <c r="A48" i="5"/>
  <c r="A18" i="5"/>
  <c r="A12" i="5"/>
  <c r="P2606" i="1"/>
  <c r="O2606" i="1"/>
  <c r="N2606" i="1"/>
  <c r="M2606" i="1"/>
  <c r="P2605" i="1"/>
  <c r="O2605" i="1"/>
  <c r="N2605" i="1"/>
  <c r="M2605" i="1"/>
  <c r="P2604" i="1"/>
  <c r="O2604" i="1"/>
  <c r="N2604" i="1"/>
  <c r="M2604" i="1"/>
  <c r="P2084" i="1"/>
  <c r="O2084" i="1"/>
  <c r="N2084" i="1"/>
  <c r="M2084" i="1"/>
  <c r="P2603" i="1"/>
  <c r="O2603" i="1"/>
  <c r="N2603" i="1"/>
  <c r="M2603" i="1"/>
  <c r="G54" i="14"/>
  <c r="H54" i="14"/>
  <c r="L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c r="P2594" i="1"/>
  <c r="O2594" i="1"/>
  <c r="N2594" i="1"/>
  <c r="M2594" i="1"/>
  <c r="P2593" i="1"/>
  <c r="O2593" i="1"/>
  <c r="N2593" i="1"/>
  <c r="M2593" i="1"/>
  <c r="P2592" i="1"/>
  <c r="O2592" i="1"/>
  <c r="N2592" i="1"/>
  <c r="M2592" i="1"/>
  <c r="P2591" i="1"/>
  <c r="O2591" i="1"/>
  <c r="N2591" i="1"/>
  <c r="M2591" i="1"/>
  <c r="P2590" i="1"/>
  <c r="O2590" i="1"/>
  <c r="N2590" i="1"/>
  <c r="M2590" i="1"/>
  <c r="AM94" i="9"/>
  <c r="AN100" i="5"/>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G53" i="14"/>
  <c r="H53" i="14"/>
  <c r="L53" i="14"/>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G52" i="14"/>
  <c r="H52" i="14"/>
  <c r="L52" i="14"/>
  <c r="F52" i="14"/>
  <c r="P2554" i="1"/>
  <c r="O2554" i="1"/>
  <c r="N2554" i="1"/>
  <c r="M2554" i="1"/>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3" i="9"/>
  <c r="BA142" i="9"/>
  <c r="BA138" i="9"/>
  <c r="C138" i="9"/>
  <c r="BA129" i="9"/>
  <c r="BA125" i="9"/>
  <c r="BA121" i="9"/>
  <c r="BA115" i="9"/>
  <c r="C115" i="9"/>
  <c r="BA110" i="9"/>
  <c r="BA99" i="9"/>
  <c r="BA97" i="9"/>
  <c r="BA90" i="9"/>
  <c r="BA84" i="9"/>
  <c r="BA82" i="9"/>
  <c r="BA76" i="9"/>
  <c r="BA74" i="9"/>
  <c r="BA73" i="9"/>
  <c r="BA69" i="9"/>
  <c r="BA64" i="9"/>
  <c r="BA52" i="9"/>
  <c r="BA50" i="9"/>
  <c r="BA35" i="9"/>
  <c r="BA32" i="9"/>
  <c r="BA31" i="9"/>
  <c r="BA30" i="9"/>
  <c r="BA29" i="9"/>
  <c r="BA28" i="9"/>
  <c r="BA27" i="9"/>
  <c r="BA26" i="9"/>
  <c r="BA25" i="9"/>
  <c r="BA24" i="9"/>
  <c r="BA23" i="9"/>
  <c r="BA22" i="9"/>
  <c r="BA21" i="9"/>
  <c r="BA19" i="9"/>
  <c r="C19"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P2542" i="1"/>
  <c r="O2542" i="1"/>
  <c r="N2542" i="1"/>
  <c r="M2542" i="1"/>
  <c r="P2541" i="1"/>
  <c r="O2541" i="1"/>
  <c r="N2541" i="1"/>
  <c r="M2541" i="1"/>
  <c r="P2540" i="1"/>
  <c r="O2540" i="1"/>
  <c r="N2540" i="1"/>
  <c r="M2540" i="1"/>
  <c r="P2539" i="1"/>
  <c r="O2539" i="1"/>
  <c r="N2539" i="1"/>
  <c r="M2539" i="1"/>
  <c r="P2538" i="1"/>
  <c r="O2538" i="1"/>
  <c r="N2538" i="1"/>
  <c r="M2538" i="1"/>
  <c r="G50" i="14"/>
  <c r="H50" i="14"/>
  <c r="L50" i="14"/>
  <c r="F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8" i="9"/>
  <c r="AN95" i="5"/>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5"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G49" i="14"/>
  <c r="H49" i="14"/>
  <c r="L49" i="14"/>
  <c r="F49" i="14"/>
  <c r="P2517" i="1"/>
  <c r="O2517" i="1"/>
  <c r="N2517" i="1"/>
  <c r="M2517" i="1"/>
  <c r="AL78"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3" i="9"/>
  <c r="AM127" i="5"/>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8" i="4"/>
  <c r="AQ20"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V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G48" i="14"/>
  <c r="H48" i="14"/>
  <c r="L48" i="14"/>
  <c r="F48" i="14"/>
  <c r="AL88" i="9"/>
  <c r="AM95" i="5"/>
  <c r="P2494" i="1"/>
  <c r="O2494" i="1"/>
  <c r="N2494" i="1"/>
  <c r="M2494" i="1"/>
  <c r="F1" i="9"/>
  <c r="F4" i="14"/>
  <c r="F5" i="14"/>
  <c r="A6" i="14"/>
  <c r="F37" i="14"/>
  <c r="F38" i="14"/>
  <c r="F39" i="14"/>
  <c r="F40" i="14"/>
  <c r="F41" i="14"/>
  <c r="F42" i="14"/>
  <c r="F43" i="14"/>
  <c r="F44" i="14"/>
  <c r="F45" i="14"/>
  <c r="F46" i="14"/>
  <c r="F47" i="14"/>
  <c r="G37" i="14"/>
  <c r="G38" i="14"/>
  <c r="H38" i="14"/>
  <c r="L38" i="14"/>
  <c r="G39" i="14"/>
  <c r="H39" i="14"/>
  <c r="L39" i="14"/>
  <c r="G40" i="14"/>
  <c r="H40" i="14"/>
  <c r="L40" i="14"/>
  <c r="G41" i="14"/>
  <c r="H41" i="14"/>
  <c r="L41" i="14"/>
  <c r="G42" i="14"/>
  <c r="H42" i="14"/>
  <c r="L42" i="14"/>
  <c r="G43" i="14"/>
  <c r="H43" i="14"/>
  <c r="L43" i="14"/>
  <c r="G44" i="14"/>
  <c r="H44" i="14"/>
  <c r="L44" i="14"/>
  <c r="G45" i="14"/>
  <c r="H45" i="14"/>
  <c r="L45" i="14"/>
  <c r="G46" i="14"/>
  <c r="H46" i="14"/>
  <c r="L46" i="14"/>
  <c r="G47" i="14"/>
  <c r="H47" i="14"/>
  <c r="L47" i="14"/>
  <c r="AK20" i="9"/>
  <c r="AL24" i="5"/>
  <c r="AK55" i="9"/>
  <c r="AK61" i="9"/>
  <c r="AL18" i="5"/>
  <c r="AK62" i="9"/>
  <c r="AK67" i="9"/>
  <c r="AK70" i="9"/>
  <c r="AL52" i="5"/>
  <c r="AK75" i="9"/>
  <c r="AK94" i="9"/>
  <c r="AK103" i="9"/>
  <c r="AK109" i="9"/>
  <c r="AK120" i="9"/>
  <c r="AL116" i="5"/>
  <c r="AK128" i="9"/>
  <c r="AL125" i="5"/>
  <c r="BB125" i="5"/>
  <c r="AE151" i="9"/>
  <c r="AF151" i="9"/>
  <c r="AG151" i="9"/>
  <c r="AH151" i="9"/>
  <c r="AE77" i="9"/>
  <c r="AF78" i="5"/>
  <c r="AE94" i="9"/>
  <c r="AE103" i="9"/>
  <c r="AF85" i="5"/>
  <c r="AC2" i="9"/>
  <c r="AC13" i="9"/>
  <c r="AC20" i="9"/>
  <c r="AD24" i="5"/>
  <c r="AC33" i="9"/>
  <c r="AC40" i="9"/>
  <c r="AD36" i="5"/>
  <c r="AC41" i="9"/>
  <c r="AD35" i="5"/>
  <c r="AC44" i="9"/>
  <c r="AD39" i="5"/>
  <c r="AC48" i="9"/>
  <c r="AC53" i="9"/>
  <c r="AD58" i="5"/>
  <c r="BB58" i="5"/>
  <c r="AC54" i="9"/>
  <c r="AC55" i="9"/>
  <c r="AC56" i="9"/>
  <c r="AC58" i="9"/>
  <c r="AD15" i="5"/>
  <c r="AC61" i="9"/>
  <c r="AC62" i="9"/>
  <c r="AD19" i="5"/>
  <c r="BB19" i="5"/>
  <c r="AC65" i="9"/>
  <c r="AD53" i="5"/>
  <c r="AC66" i="9"/>
  <c r="AC67" i="9"/>
  <c r="AD48" i="5"/>
  <c r="AC70" i="9"/>
  <c r="AD52" i="5"/>
  <c r="AC77" i="9"/>
  <c r="AC78" i="9"/>
  <c r="AC85" i="9"/>
  <c r="AD93" i="5"/>
  <c r="AC88" i="9"/>
  <c r="AC93" i="9"/>
  <c r="AD143" i="5"/>
  <c r="AC98" i="9"/>
  <c r="AC103" i="9"/>
  <c r="AC106" i="9"/>
  <c r="AD112" i="5"/>
  <c r="AC116" i="9"/>
  <c r="AC117" i="9"/>
  <c r="AD113" i="5"/>
  <c r="AC119" i="9"/>
  <c r="AD115" i="5"/>
  <c r="AC120" i="9"/>
  <c r="AC122" i="9"/>
  <c r="AD118" i="5"/>
  <c r="AC128" i="9"/>
  <c r="AC131" i="9"/>
  <c r="AD140" i="5"/>
  <c r="AC134" i="9"/>
  <c r="AC135" i="9"/>
  <c r="AD131" i="5"/>
  <c r="AC136" i="9"/>
  <c r="AD137"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4" i="9"/>
  <c r="AM100" i="5"/>
  <c r="P2481" i="1"/>
  <c r="O2481" i="1"/>
  <c r="N2481" i="1"/>
  <c r="M2481" i="1"/>
  <c r="P2480" i="1"/>
  <c r="O2480" i="1"/>
  <c r="N2480" i="1"/>
  <c r="M2480" i="1"/>
  <c r="P2479" i="1"/>
  <c r="O2479" i="1"/>
  <c r="N2479" i="1"/>
  <c r="M2479" i="1"/>
  <c r="P2478" i="1"/>
  <c r="O2478" i="1"/>
  <c r="N2478" i="1"/>
  <c r="M2478" i="1"/>
  <c r="AL92" i="9"/>
  <c r="P2477" i="1"/>
  <c r="O2477" i="1"/>
  <c r="N2477" i="1"/>
  <c r="M2477" i="1"/>
  <c r="AL93"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7" i="9"/>
  <c r="AM113" i="5"/>
  <c r="P2470" i="1"/>
  <c r="O2470" i="1"/>
  <c r="N2470" i="1"/>
  <c r="M2470" i="1"/>
  <c r="P2469" i="1"/>
  <c r="O2469" i="1"/>
  <c r="N2469" i="1"/>
  <c r="M2469" i="1"/>
  <c r="P2468" i="1"/>
  <c r="O2468" i="1"/>
  <c r="N2468" i="1"/>
  <c r="M2468" i="1"/>
  <c r="AL77" i="9"/>
  <c r="P2467" i="1"/>
  <c r="O2467" i="1"/>
  <c r="N2467" i="1"/>
  <c r="M2467" i="1"/>
  <c r="AL135" i="9"/>
  <c r="AM131" i="5"/>
  <c r="P2466" i="1"/>
  <c r="O2466" i="1"/>
  <c r="N2466" i="1"/>
  <c r="M2466" i="1"/>
  <c r="AL47" i="9"/>
  <c r="AM42" i="5"/>
  <c r="P2465" i="1"/>
  <c r="O2465" i="1"/>
  <c r="N2465" i="1"/>
  <c r="M2465" i="1"/>
  <c r="P2464" i="1"/>
  <c r="O2464" i="1"/>
  <c r="N2464" i="1"/>
  <c r="M2464" i="1"/>
  <c r="AL57" i="9"/>
  <c r="AM14" i="5"/>
  <c r="P2463" i="1"/>
  <c r="O2463" i="1"/>
  <c r="N2463" i="1"/>
  <c r="M2463" i="1"/>
  <c r="AL58" i="9"/>
  <c r="P2462" i="1"/>
  <c r="O2462" i="1"/>
  <c r="N2462" i="1"/>
  <c r="M2462" i="1"/>
  <c r="P2461" i="1"/>
  <c r="O2461" i="1"/>
  <c r="N2461" i="1"/>
  <c r="M2461" i="1"/>
  <c r="P2460" i="1"/>
  <c r="O2460" i="1"/>
  <c r="N2460" i="1"/>
  <c r="M2460" i="1"/>
  <c r="P2459" i="1"/>
  <c r="O2459" i="1"/>
  <c r="N2459" i="1"/>
  <c r="M2459" i="1"/>
  <c r="AL48" i="9"/>
  <c r="AM43" i="5"/>
  <c r="P2458" i="1"/>
  <c r="O2458" i="1"/>
  <c r="N2458" i="1"/>
  <c r="M2458" i="1"/>
  <c r="AL63" i="9"/>
  <c r="BA63" i="9"/>
  <c r="P2457" i="1"/>
  <c r="O2457" i="1"/>
  <c r="N2457" i="1"/>
  <c r="M2457" i="1"/>
  <c r="P2456" i="1"/>
  <c r="O2456" i="1"/>
  <c r="N2456" i="1"/>
  <c r="M2456" i="1"/>
  <c r="AL6" i="9"/>
  <c r="AM71" i="5"/>
  <c r="P2455" i="1"/>
  <c r="O2455" i="1"/>
  <c r="N2455" i="1"/>
  <c r="M2455" i="1"/>
  <c r="AL128" i="9"/>
  <c r="AM125" i="5"/>
  <c r="P2454" i="1"/>
  <c r="O2454" i="1"/>
  <c r="N2454" i="1"/>
  <c r="M2454" i="1"/>
  <c r="P2453" i="1"/>
  <c r="O2453" i="1"/>
  <c r="N2453" i="1"/>
  <c r="M2453" i="1"/>
  <c r="P2452" i="1"/>
  <c r="O2452" i="1"/>
  <c r="N2452" i="1"/>
  <c r="M2452" i="1"/>
  <c r="P2451" i="1"/>
  <c r="O2451" i="1"/>
  <c r="N2451" i="1"/>
  <c r="M2451" i="1"/>
  <c r="P2450" i="1"/>
  <c r="O2450" i="1"/>
  <c r="N2450" i="1"/>
  <c r="M2450" i="1"/>
  <c r="AL61" i="9"/>
  <c r="AM18" i="5"/>
  <c r="P2449" i="1"/>
  <c r="O2449" i="1"/>
  <c r="N2449" i="1"/>
  <c r="M2449" i="1"/>
  <c r="AL106" i="9"/>
  <c r="AM112" i="5"/>
  <c r="P2448" i="1"/>
  <c r="O2448" i="1"/>
  <c r="N2448" i="1"/>
  <c r="M2448" i="1"/>
  <c r="P2447" i="1"/>
  <c r="O2447" i="1"/>
  <c r="N2447" i="1"/>
  <c r="M2447" i="1"/>
  <c r="AL33" i="9"/>
  <c r="AM7" i="5"/>
  <c r="P2446" i="1"/>
  <c r="O2446" i="1"/>
  <c r="N2446" i="1"/>
  <c r="M2446" i="1"/>
  <c r="AL67" i="9"/>
  <c r="AM48" i="5"/>
  <c r="P2445" i="1"/>
  <c r="O2445" i="1"/>
  <c r="N2445" i="1"/>
  <c r="M2445" i="1"/>
  <c r="AL53" i="9"/>
  <c r="P2444" i="1"/>
  <c r="O2444" i="1"/>
  <c r="N2444" i="1"/>
  <c r="M2444" i="1"/>
  <c r="AL65" i="9"/>
  <c r="P2443" i="1"/>
  <c r="O2443" i="1"/>
  <c r="N2443" i="1"/>
  <c r="M2443" i="1"/>
  <c r="AL60" i="9"/>
  <c r="AM17" i="5"/>
  <c r="P2442" i="1"/>
  <c r="O2442" i="1"/>
  <c r="N2442" i="1"/>
  <c r="M2442" i="1"/>
  <c r="P2441" i="1"/>
  <c r="O2441" i="1"/>
  <c r="N2441" i="1"/>
  <c r="M2441" i="1"/>
  <c r="O2440" i="1"/>
  <c r="N2440" i="1"/>
  <c r="M2440" i="1"/>
  <c r="P2440" i="1"/>
  <c r="P2439" i="1"/>
  <c r="O2439" i="1"/>
  <c r="N2439" i="1"/>
  <c r="M2439" i="1"/>
  <c r="AL85" i="9"/>
  <c r="AL120" i="9"/>
  <c r="AM116" i="5"/>
  <c r="P2438" i="1"/>
  <c r="O2438" i="1"/>
  <c r="N2438" i="1"/>
  <c r="M2438" i="1"/>
  <c r="AL113" i="9"/>
  <c r="BA113" i="9"/>
  <c r="C113" i="9"/>
  <c r="P2437" i="1"/>
  <c r="O2437" i="1"/>
  <c r="N2437" i="1"/>
  <c r="M2437" i="1"/>
  <c r="AL55" i="9"/>
  <c r="AM12" i="5"/>
  <c r="BB12" i="5"/>
  <c r="P2436" i="1"/>
  <c r="O2436" i="1"/>
  <c r="N2436" i="1"/>
  <c r="M2436" i="1"/>
  <c r="AL36" i="9"/>
  <c r="AM10" i="5"/>
  <c r="P2435" i="1"/>
  <c r="O2435" i="1"/>
  <c r="N2435" i="1"/>
  <c r="M2435" i="1"/>
  <c r="P2434" i="1"/>
  <c r="O2434" i="1"/>
  <c r="N2434" i="1"/>
  <c r="M2434" i="1"/>
  <c r="AL86" i="9"/>
  <c r="AM94" i="5"/>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c r="AL13" i="9"/>
  <c r="P2432" i="1"/>
  <c r="O2432" i="1"/>
  <c r="N2432" i="1"/>
  <c r="M2432" i="1"/>
  <c r="AL54" i="9"/>
  <c r="AM11" i="5"/>
  <c r="P2431" i="1"/>
  <c r="O2431" i="1"/>
  <c r="N2431" i="1"/>
  <c r="M2431" i="1"/>
  <c r="AL41" i="9"/>
  <c r="AL116" i="9"/>
  <c r="AM108" i="5"/>
  <c r="AL136" i="9"/>
  <c r="P2430" i="1"/>
  <c r="O2430" i="1"/>
  <c r="N2430" i="1"/>
  <c r="M2430" i="1"/>
  <c r="P2429" i="1"/>
  <c r="O2429" i="1"/>
  <c r="N2429" i="1"/>
  <c r="M2429" i="1"/>
  <c r="AL122"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6"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4" i="9"/>
  <c r="AK128" i="5"/>
  <c r="BB128" i="5"/>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5" i="9"/>
  <c r="BA145" i="5"/>
  <c r="AY145" i="9"/>
  <c r="AZ145" i="5"/>
  <c r="AX145" i="9"/>
  <c r="AY145" i="5"/>
  <c r="AW145" i="9"/>
  <c r="AX145" i="5"/>
  <c r="AV145" i="9"/>
  <c r="AW145" i="5"/>
  <c r="AU145" i="9"/>
  <c r="AV145" i="5"/>
  <c r="AT145" i="9"/>
  <c r="AU145" i="5"/>
  <c r="AS145" i="9"/>
  <c r="AT145" i="5"/>
  <c r="AR145" i="9"/>
  <c r="AS145" i="5"/>
  <c r="AQ145" i="9"/>
  <c r="AR145" i="5"/>
  <c r="AO145" i="9"/>
  <c r="AP145"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4" i="9"/>
  <c r="AY144" i="9"/>
  <c r="AQ144" i="9"/>
  <c r="AS144" i="9"/>
  <c r="AU144" i="9"/>
  <c r="AW144" i="9"/>
  <c r="AR144" i="9"/>
  <c r="AT144" i="9"/>
  <c r="AV144" i="9"/>
  <c r="AX144"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1" i="9"/>
  <c r="BA141" i="9"/>
  <c r="C141"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B73" i="4"/>
  <c r="AX73" i="4"/>
  <c r="AW73" i="4"/>
  <c r="AR73" i="4"/>
  <c r="AM73" i="4"/>
  <c r="AH73" i="4"/>
  <c r="AC73" i="4"/>
  <c r="X73" i="4"/>
  <c r="I73" i="4"/>
  <c r="BB72" i="4"/>
  <c r="AX72" i="4"/>
  <c r="AW72" i="4"/>
  <c r="AR72" i="4"/>
  <c r="AM72" i="4"/>
  <c r="AH72" i="4"/>
  <c r="AC72" i="4"/>
  <c r="X72" i="4"/>
  <c r="I72" i="4"/>
  <c r="BB71" i="4"/>
  <c r="AX71" i="4"/>
  <c r="AW71" i="4"/>
  <c r="AR71" i="4"/>
  <c r="AM71" i="4"/>
  <c r="AH71" i="4"/>
  <c r="AC71" i="4"/>
  <c r="X71" i="4"/>
  <c r="I71" i="4"/>
  <c r="BB70" i="4"/>
  <c r="AX70" i="4"/>
  <c r="AW70" i="4"/>
  <c r="AR70" i="4"/>
  <c r="AM70" i="4"/>
  <c r="AH70" i="4"/>
  <c r="AC70" i="4"/>
  <c r="X70" i="4"/>
  <c r="BB69" i="4"/>
  <c r="AX69" i="4"/>
  <c r="AW69" i="4"/>
  <c r="AR69" i="4"/>
  <c r="AM69" i="4"/>
  <c r="AH69" i="4"/>
  <c r="AC69" i="4"/>
  <c r="X69" i="4"/>
  <c r="BB68" i="4"/>
  <c r="AX68" i="4"/>
  <c r="AW68" i="4"/>
  <c r="AR68" i="4"/>
  <c r="AM68" i="4"/>
  <c r="AH68" i="4"/>
  <c r="AC68" i="4"/>
  <c r="X68" i="4"/>
  <c r="BB67" i="4"/>
  <c r="AX67" i="4"/>
  <c r="AW67" i="4"/>
  <c r="AR67" i="4"/>
  <c r="AM67" i="4"/>
  <c r="AH67" i="4"/>
  <c r="AC67" i="4"/>
  <c r="X67" i="4"/>
  <c r="BB66" i="4"/>
  <c r="AX66" i="4"/>
  <c r="AW66" i="4"/>
  <c r="AR66" i="4"/>
  <c r="AM66" i="4"/>
  <c r="AH66" i="4"/>
  <c r="AC66" i="4"/>
  <c r="X66" i="4"/>
  <c r="BB65" i="4"/>
  <c r="AX65" i="4"/>
  <c r="AW65" i="4"/>
  <c r="AR65" i="4"/>
  <c r="AM65" i="4"/>
  <c r="AH65" i="4"/>
  <c r="AC65" i="4"/>
  <c r="X65" i="4"/>
  <c r="BB64" i="4"/>
  <c r="AX64" i="4"/>
  <c r="AW64" i="4"/>
  <c r="AR64" i="4"/>
  <c r="AM64" i="4"/>
  <c r="AH64" i="4"/>
  <c r="AC64" i="4"/>
  <c r="X64" i="4"/>
  <c r="BB63" i="4"/>
  <c r="AX63" i="4"/>
  <c r="AW63" i="4"/>
  <c r="AR63" i="4"/>
  <c r="AM63" i="4"/>
  <c r="AH63" i="4"/>
  <c r="AC63" i="4"/>
  <c r="X63" i="4"/>
  <c r="BB62" i="4"/>
  <c r="AX62" i="4"/>
  <c r="AW62" i="4"/>
  <c r="AR62" i="4"/>
  <c r="AM62" i="4"/>
  <c r="AH62" i="4"/>
  <c r="AC62" i="4"/>
  <c r="X62" i="4"/>
  <c r="BB61" i="4"/>
  <c r="AX61" i="4"/>
  <c r="AW61" i="4"/>
  <c r="AR61" i="4"/>
  <c r="AM61" i="4"/>
  <c r="AH61" i="4"/>
  <c r="AC61" i="4"/>
  <c r="X61" i="4"/>
  <c r="BB60" i="4"/>
  <c r="AX60" i="4"/>
  <c r="AW60" i="4"/>
  <c r="AR60" i="4"/>
  <c r="AM60" i="4"/>
  <c r="AH60" i="4"/>
  <c r="AC60" i="4"/>
  <c r="X60" i="4"/>
  <c r="BB59" i="4"/>
  <c r="AX59" i="4"/>
  <c r="AW59" i="4"/>
  <c r="AR59" i="4"/>
  <c r="AM59" i="4"/>
  <c r="AH59" i="4"/>
  <c r="AC59" i="4"/>
  <c r="X59" i="4"/>
  <c r="BB58" i="4"/>
  <c r="AX58" i="4"/>
  <c r="AW58" i="4"/>
  <c r="AR58" i="4"/>
  <c r="AM58" i="4"/>
  <c r="AH58" i="4"/>
  <c r="AC58" i="4"/>
  <c r="X58" i="4"/>
  <c r="BB57" i="4"/>
  <c r="AX57" i="4"/>
  <c r="AW57" i="4"/>
  <c r="AR57" i="4"/>
  <c r="AM57" i="4"/>
  <c r="AH57" i="4"/>
  <c r="AC57" i="4"/>
  <c r="X57" i="4"/>
  <c r="BB56" i="4"/>
  <c r="AX56" i="4"/>
  <c r="AW56" i="4"/>
  <c r="AR56" i="4"/>
  <c r="AM56" i="4"/>
  <c r="AH56" i="4"/>
  <c r="AC56" i="4"/>
  <c r="X56" i="4"/>
  <c r="BB55" i="4"/>
  <c r="AX55" i="4"/>
  <c r="AW55" i="4"/>
  <c r="AR55" i="4"/>
  <c r="AM55" i="4"/>
  <c r="AH55" i="4"/>
  <c r="AC55" i="4"/>
  <c r="X55" i="4"/>
  <c r="BB54" i="4"/>
  <c r="AX54" i="4"/>
  <c r="AW54" i="4"/>
  <c r="AR54" i="4"/>
  <c r="AM54" i="4"/>
  <c r="AH54" i="4"/>
  <c r="AC54" i="4"/>
  <c r="X54" i="4"/>
  <c r="BB53" i="4"/>
  <c r="AX53" i="4"/>
  <c r="AW53" i="4"/>
  <c r="AR53" i="4"/>
  <c r="AM53" i="4"/>
  <c r="AH53" i="4"/>
  <c r="AC53" i="4"/>
  <c r="X53" i="4"/>
  <c r="BB52" i="4"/>
  <c r="AX52" i="4"/>
  <c r="AW52" i="4"/>
  <c r="AR52" i="4"/>
  <c r="AM52" i="4"/>
  <c r="AH52" i="4"/>
  <c r="AC52" i="4"/>
  <c r="X52" i="4"/>
  <c r="BB51" i="4"/>
  <c r="AX51" i="4"/>
  <c r="AW51" i="4"/>
  <c r="AR51" i="4"/>
  <c r="AM51" i="4"/>
  <c r="AH51" i="4"/>
  <c r="AC51" i="4"/>
  <c r="X51" i="4"/>
  <c r="BB50" i="4"/>
  <c r="AX50" i="4"/>
  <c r="AW50" i="4"/>
  <c r="AR50" i="4"/>
  <c r="AM50" i="4"/>
  <c r="AH50" i="4"/>
  <c r="AC50" i="4"/>
  <c r="X50" i="4"/>
  <c r="BB49" i="4"/>
  <c r="AX49" i="4"/>
  <c r="AW49" i="4"/>
  <c r="AR49" i="4"/>
  <c r="AM49" i="4"/>
  <c r="AH49" i="4"/>
  <c r="AC49" i="4"/>
  <c r="X49" i="4"/>
  <c r="AX75" i="4"/>
  <c r="AX74"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 r="AX16" i="4"/>
  <c r="AX15" i="4"/>
  <c r="AX14" i="4"/>
  <c r="AX13" i="4"/>
  <c r="AX12" i="4"/>
  <c r="AX11" i="4"/>
  <c r="AX10" i="4"/>
  <c r="AX9" i="4"/>
  <c r="AX8" i="4"/>
  <c r="AX7" i="4"/>
  <c r="AX6" i="4"/>
  <c r="AX5" i="4"/>
  <c r="AX4" i="4"/>
  <c r="P2271" i="1"/>
  <c r="O2271" i="1"/>
  <c r="N2271" i="1"/>
  <c r="M2271" i="1"/>
  <c r="BB4" i="4"/>
  <c r="BB5" i="4"/>
  <c r="BB6" i="4"/>
  <c r="AH4" i="4"/>
  <c r="AC4" i="4"/>
  <c r="AC5" i="4"/>
  <c r="AC6" i="4"/>
  <c r="AC7" i="4"/>
  <c r="AC8" i="4"/>
  <c r="AC9" i="4"/>
  <c r="AC10" i="4"/>
  <c r="AC11" i="4"/>
  <c r="AC12" i="4"/>
  <c r="AC13" i="4"/>
  <c r="AC14" i="4"/>
  <c r="AC15" i="4"/>
  <c r="AC16"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74" i="4"/>
  <c r="AM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7" i="9"/>
  <c r="P2257" i="1"/>
  <c r="O2257" i="1"/>
  <c r="N2257" i="1"/>
  <c r="M2257" i="1"/>
  <c r="P2256" i="1"/>
  <c r="O2256" i="1"/>
  <c r="N2256" i="1"/>
  <c r="M2256" i="1"/>
  <c r="P2255" i="1"/>
  <c r="O2255" i="1"/>
  <c r="N2255" i="1"/>
  <c r="M2255" i="1"/>
  <c r="P2254" i="1"/>
  <c r="O2254" i="1"/>
  <c r="N2254" i="1"/>
  <c r="M2254" i="1"/>
  <c r="P2253" i="1"/>
  <c r="O2253" i="1"/>
  <c r="N2253" i="1"/>
  <c r="M2253" i="1"/>
  <c r="AI78" i="9"/>
  <c r="AJ79" i="5"/>
  <c r="P2252" i="1"/>
  <c r="O2252" i="1"/>
  <c r="N2252" i="1"/>
  <c r="M2252" i="1"/>
  <c r="P2251" i="1"/>
  <c r="O2251" i="1"/>
  <c r="N2251" i="1"/>
  <c r="M2251" i="1"/>
  <c r="P2250" i="1"/>
  <c r="O2250" i="1"/>
  <c r="N2250" i="1"/>
  <c r="M2250" i="1"/>
  <c r="P2249" i="1"/>
  <c r="O2249" i="1"/>
  <c r="N2249" i="1"/>
  <c r="M2249" i="1"/>
  <c r="P2248" i="1"/>
  <c r="O2248" i="1"/>
  <c r="N2248" i="1"/>
  <c r="M2248" i="1"/>
  <c r="AI109"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4" i="5"/>
  <c r="AF4" i="9"/>
  <c r="AG66" i="5"/>
  <c r="AG4" i="9"/>
  <c r="AH66" i="5"/>
  <c r="AG6" i="9"/>
  <c r="AG11" i="9"/>
  <c r="BA11" i="9"/>
  <c r="C11" i="9"/>
  <c r="AF16" i="9"/>
  <c r="AF17" i="9"/>
  <c r="AF20" i="9"/>
  <c r="AG20" i="9"/>
  <c r="AH24" i="5"/>
  <c r="AF33" i="9"/>
  <c r="AG7" i="5"/>
  <c r="AF36" i="9"/>
  <c r="AG36" i="9"/>
  <c r="AH10" i="5"/>
  <c r="AF37" i="9"/>
  <c r="AF39" i="9"/>
  <c r="AG34" i="5"/>
  <c r="AI39" i="9"/>
  <c r="AJ34" i="5"/>
  <c r="AD41" i="9"/>
  <c r="AF41" i="9"/>
  <c r="AG35" i="5"/>
  <c r="AH41" i="9"/>
  <c r="AI35" i="5"/>
  <c r="AF44" i="9"/>
  <c r="AG39" i="5"/>
  <c r="AG44" i="9"/>
  <c r="AH39" i="5"/>
  <c r="AF47" i="9"/>
  <c r="AF48" i="9"/>
  <c r="AG43" i="5"/>
  <c r="BB43" i="5"/>
  <c r="AF54" i="9"/>
  <c r="AG54" i="9"/>
  <c r="AH54" i="9"/>
  <c r="AF55" i="9"/>
  <c r="AG12" i="5"/>
  <c r="AG56" i="9"/>
  <c r="AH13" i="5"/>
  <c r="AI56" i="9"/>
  <c r="AF57" i="9"/>
  <c r="AG14" i="5"/>
  <c r="AG58" i="9"/>
  <c r="AD60" i="9"/>
  <c r="AD61" i="9"/>
  <c r="AE18" i="5"/>
  <c r="AF61" i="9"/>
  <c r="AG18" i="5"/>
  <c r="AG61" i="9"/>
  <c r="AH18" i="5"/>
  <c r="AF62" i="9"/>
  <c r="AG62" i="9"/>
  <c r="AH19" i="5"/>
  <c r="AG65" i="9"/>
  <c r="AH53" i="5"/>
  <c r="AH70" i="9"/>
  <c r="AI52" i="5"/>
  <c r="AG78" i="9"/>
  <c r="AH79" i="5"/>
  <c r="AG81" i="9"/>
  <c r="AH88" i="5"/>
  <c r="AF85" i="9"/>
  <c r="AG93" i="5"/>
  <c r="BB93" i="5"/>
  <c r="AG86" i="9"/>
  <c r="AF88" i="9"/>
  <c r="AG95" i="5"/>
  <c r="AH88" i="9"/>
  <c r="AI95" i="5"/>
  <c r="BB95" i="5"/>
  <c r="AI92" i="9"/>
  <c r="AF93" i="9"/>
  <c r="AG143" i="5"/>
  <c r="AG94" i="9"/>
  <c r="AH100" i="5"/>
  <c r="BB100" i="5"/>
  <c r="AG101" i="9"/>
  <c r="AD103" i="9"/>
  <c r="AE85" i="5"/>
  <c r="BB85" i="5"/>
  <c r="AF103" i="9"/>
  <c r="AG85" i="5"/>
  <c r="AG103" i="9"/>
  <c r="AH103" i="9"/>
  <c r="AI85" i="5"/>
  <c r="AF106" i="9"/>
  <c r="AG112" i="5"/>
  <c r="AG114" i="9"/>
  <c r="AH142" i="5"/>
  <c r="AF116" i="9"/>
  <c r="AF117" i="9"/>
  <c r="AG113" i="5"/>
  <c r="BB113" i="5"/>
  <c r="AG117" i="9"/>
  <c r="AD119" i="9"/>
  <c r="AE115" i="5"/>
  <c r="AJ119" i="9"/>
  <c r="AK115" i="5"/>
  <c r="AD120" i="9"/>
  <c r="AE116" i="5"/>
  <c r="AF120" i="9"/>
  <c r="AG116" i="5"/>
  <c r="BB116" i="5"/>
  <c r="AH120" i="9"/>
  <c r="AI116" i="5"/>
  <c r="AI120" i="9"/>
  <c r="AJ120" i="9"/>
  <c r="AK116" i="5"/>
  <c r="AF124" i="9"/>
  <c r="AG131" i="9"/>
  <c r="AF133" i="9"/>
  <c r="AF135" i="9"/>
  <c r="AG131" i="5"/>
  <c r="AG135" i="9"/>
  <c r="AH131" i="5"/>
  <c r="AH135" i="9"/>
  <c r="AI131" i="5"/>
  <c r="AG136" i="9"/>
  <c r="AH137" i="5"/>
  <c r="AH136" i="9"/>
  <c r="AI137" i="5"/>
  <c r="AF137" i="9"/>
  <c r="AG129" i="5"/>
  <c r="AG137" i="9"/>
  <c r="AH129" i="5"/>
  <c r="P1557" i="1"/>
  <c r="P1579" i="1"/>
  <c r="P2006" i="1"/>
  <c r="P2062" i="1"/>
  <c r="U149" i="9"/>
  <c r="V148" i="5"/>
  <c r="V149" i="9"/>
  <c r="W149" i="9"/>
  <c r="X148" i="5"/>
  <c r="X149" i="9"/>
  <c r="Y149" i="9"/>
  <c r="Z148" i="5"/>
  <c r="Z149" i="9"/>
  <c r="AA148" i="5"/>
  <c r="AA149" i="9"/>
  <c r="AB149" i="9"/>
  <c r="AC148" i="5"/>
  <c r="U150" i="9"/>
  <c r="V150" i="9"/>
  <c r="W149" i="5"/>
  <c r="W150" i="9"/>
  <c r="X149" i="5"/>
  <c r="X150" i="9"/>
  <c r="Y149" i="5"/>
  <c r="Y150" i="9"/>
  <c r="Z149" i="5"/>
  <c r="Z150" i="9"/>
  <c r="AA149" i="5"/>
  <c r="AA150" i="9"/>
  <c r="AB149" i="5"/>
  <c r="AB150" i="9"/>
  <c r="AC149" i="5"/>
  <c r="AC151"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5" i="5"/>
  <c r="AN135" i="5"/>
  <c r="AL135" i="5"/>
  <c r="AK135" i="5"/>
  <c r="AJ135" i="5"/>
  <c r="AI135"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G135" i="5"/>
  <c r="F135" i="5"/>
  <c r="E135" i="5"/>
  <c r="E136" i="5"/>
  <c r="F136" i="5"/>
  <c r="G136" i="5"/>
  <c r="H136" i="5"/>
  <c r="I136" i="5"/>
  <c r="J136" i="5"/>
  <c r="K136" i="5"/>
  <c r="L136" i="5"/>
  <c r="M136" i="5"/>
  <c r="N136" i="5"/>
  <c r="O136" i="5"/>
  <c r="P136" i="5"/>
  <c r="Q136" i="5"/>
  <c r="R136" i="5"/>
  <c r="S136" i="5"/>
  <c r="V136" i="5"/>
  <c r="Y136" i="5"/>
  <c r="Z136" i="5"/>
  <c r="AA136" i="5"/>
  <c r="AB136" i="5"/>
  <c r="AC136" i="5"/>
  <c r="AD136" i="5"/>
  <c r="AE136" i="5"/>
  <c r="AF136" i="5"/>
  <c r="AG136" i="5"/>
  <c r="AH136" i="5"/>
  <c r="AI136" i="5"/>
  <c r="AJ136" i="5"/>
  <c r="AK136" i="5"/>
  <c r="AL136" i="5"/>
  <c r="AM136" i="5"/>
  <c r="AN136" i="5"/>
  <c r="AO136" i="5"/>
  <c r="P2122" i="1"/>
  <c r="M2122" i="1"/>
  <c r="P2121" i="1"/>
  <c r="M2121" i="1"/>
  <c r="P2120" i="1"/>
  <c r="M2120" i="1"/>
  <c r="P2119" i="1"/>
  <c r="M2119" i="1"/>
  <c r="P2118" i="1"/>
  <c r="M2118" i="1"/>
  <c r="M2117" i="1"/>
  <c r="P2117" i="1"/>
  <c r="P2116" i="1"/>
  <c r="M2116" i="1"/>
  <c r="P2115" i="1"/>
  <c r="M2115" i="1"/>
  <c r="P2114" i="1"/>
  <c r="M2114" i="1"/>
  <c r="P2113" i="1"/>
  <c r="M2113" i="1"/>
  <c r="P2112" i="1"/>
  <c r="M2112" i="1"/>
  <c r="AO74" i="5"/>
  <c r="AN74" i="5"/>
  <c r="AL74" i="5"/>
  <c r="AK74" i="5"/>
  <c r="AJ74" i="5"/>
  <c r="AI74" i="5"/>
  <c r="AH74" i="5"/>
  <c r="AG74" i="5"/>
  <c r="AF74" i="5"/>
  <c r="AE74" i="5"/>
  <c r="AD74" i="5"/>
  <c r="AC74" i="5"/>
  <c r="AB74" i="5"/>
  <c r="AA74" i="5"/>
  <c r="Z74" i="5"/>
  <c r="Y74" i="5"/>
  <c r="X74" i="5"/>
  <c r="W74" i="5"/>
  <c r="V74" i="5"/>
  <c r="U74" i="5"/>
  <c r="T74" i="5"/>
  <c r="S74" i="5"/>
  <c r="R74" i="5"/>
  <c r="Q74" i="5"/>
  <c r="P74" i="5"/>
  <c r="O74" i="5"/>
  <c r="N74" i="5"/>
  <c r="M74" i="5"/>
  <c r="L74" i="5"/>
  <c r="K74" i="5"/>
  <c r="J74" i="5"/>
  <c r="I74" i="5"/>
  <c r="H74" i="5"/>
  <c r="G74" i="5"/>
  <c r="F74" i="5"/>
  <c r="E74" i="5"/>
  <c r="P2111" i="1"/>
  <c r="M2111" i="1"/>
  <c r="P2110" i="1"/>
  <c r="M2110" i="1"/>
  <c r="V149" i="5"/>
  <c r="U149" i="5"/>
  <c r="T149" i="5"/>
  <c r="S149" i="5"/>
  <c r="R149" i="5"/>
  <c r="Q149" i="5"/>
  <c r="P149" i="5"/>
  <c r="O149" i="5"/>
  <c r="N149" i="5"/>
  <c r="M149" i="5"/>
  <c r="L149" i="5"/>
  <c r="K149" i="5"/>
  <c r="J149" i="5"/>
  <c r="I149" i="5"/>
  <c r="H149" i="5"/>
  <c r="G149" i="5"/>
  <c r="F149" i="5"/>
  <c r="AB148" i="5"/>
  <c r="Y148" i="5"/>
  <c r="W148" i="5"/>
  <c r="U148" i="5"/>
  <c r="T148" i="5"/>
  <c r="S148" i="5"/>
  <c r="R148" i="5"/>
  <c r="Q148" i="5"/>
  <c r="P148" i="5"/>
  <c r="O148" i="5"/>
  <c r="N148" i="5"/>
  <c r="M148" i="5"/>
  <c r="L148" i="5"/>
  <c r="K148" i="5"/>
  <c r="J148" i="5"/>
  <c r="I148" i="5"/>
  <c r="H148" i="5"/>
  <c r="G148" i="5"/>
  <c r="F148"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6" i="5"/>
  <c r="AN106" i="5"/>
  <c r="AM106" i="5"/>
  <c r="AL106" i="5"/>
  <c r="AK106" i="5"/>
  <c r="AJ106" i="5"/>
  <c r="AI106" i="5"/>
  <c r="AH106" i="5"/>
  <c r="AG106" i="5"/>
  <c r="AF106" i="5"/>
  <c r="AE106" i="5"/>
  <c r="AD106" i="5"/>
  <c r="AC106" i="5"/>
  <c r="AB106" i="5"/>
  <c r="AA106" i="5"/>
  <c r="Z106" i="5"/>
  <c r="Y106" i="5"/>
  <c r="X106" i="5"/>
  <c r="W106" i="5"/>
  <c r="V106" i="5"/>
  <c r="U106" i="5"/>
  <c r="T106" i="5"/>
  <c r="S106" i="5"/>
  <c r="R106" i="5"/>
  <c r="Q106" i="5"/>
  <c r="P106" i="5"/>
  <c r="O106" i="5"/>
  <c r="N106" i="5"/>
  <c r="M106" i="5"/>
  <c r="L106" i="5"/>
  <c r="K106" i="5"/>
  <c r="J106" i="5"/>
  <c r="I106" i="5"/>
  <c r="H106" i="5"/>
  <c r="G106" i="5"/>
  <c r="F106" i="5"/>
  <c r="E106" i="5"/>
  <c r="E107" i="5"/>
  <c r="F107" i="5"/>
  <c r="G107" i="5"/>
  <c r="H107" i="5"/>
  <c r="I107" i="5"/>
  <c r="J107" i="5"/>
  <c r="K107" i="5"/>
  <c r="L107" i="5"/>
  <c r="M107" i="5"/>
  <c r="N107" i="5"/>
  <c r="O107" i="5"/>
  <c r="P107" i="5"/>
  <c r="Q107" i="5"/>
  <c r="R107" i="5"/>
  <c r="S107" i="5"/>
  <c r="T107" i="5"/>
  <c r="U107" i="5"/>
  <c r="V107" i="5"/>
  <c r="W107" i="5"/>
  <c r="X107" i="5"/>
  <c r="Y107" i="5"/>
  <c r="Z107" i="5"/>
  <c r="AA107" i="5"/>
  <c r="AB107" i="5"/>
  <c r="AC107" i="5"/>
  <c r="AD107" i="5"/>
  <c r="AE107" i="5"/>
  <c r="AF107" i="5"/>
  <c r="AG107" i="5"/>
  <c r="AH107" i="5"/>
  <c r="AI107" i="5"/>
  <c r="AJ107" i="5"/>
  <c r="AK107" i="5"/>
  <c r="AL107" i="5"/>
  <c r="AM107" i="5"/>
  <c r="AN107" i="5"/>
  <c r="AO107" i="5"/>
  <c r="C110"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9"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7" i="5"/>
  <c r="AC87" i="5"/>
  <c r="P1783" i="1"/>
  <c r="M1783" i="1"/>
  <c r="P1782" i="1"/>
  <c r="M1782" i="1"/>
  <c r="C11" i="8"/>
  <c r="E69" i="5"/>
  <c r="F69" i="5"/>
  <c r="G69" i="5"/>
  <c r="H69" i="5"/>
  <c r="I69" i="5"/>
  <c r="J69" i="5"/>
  <c r="K69" i="5"/>
  <c r="L69" i="5"/>
  <c r="M69" i="5"/>
  <c r="N69" i="5"/>
  <c r="O69" i="5"/>
  <c r="P69" i="5"/>
  <c r="Q69" i="5"/>
  <c r="R69" i="5"/>
  <c r="S69" i="5"/>
  <c r="T69" i="5"/>
  <c r="U69" i="5"/>
  <c r="V69" i="5"/>
  <c r="W69" i="5"/>
  <c r="X69" i="5"/>
  <c r="Y69" i="5"/>
  <c r="Z69" i="5"/>
  <c r="AA69" i="5"/>
  <c r="AB69" i="5"/>
  <c r="AC69" i="5"/>
  <c r="AD69" i="5"/>
  <c r="AE69" i="5"/>
  <c r="AF69" i="5"/>
  <c r="AG69" i="5"/>
  <c r="AI69" i="5"/>
  <c r="AJ69" i="5"/>
  <c r="AK69" i="5"/>
  <c r="AL69" i="5"/>
  <c r="AM69" i="5"/>
  <c r="AN69" i="5"/>
  <c r="AO69"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4" i="5"/>
  <c r="AI55" i="5"/>
  <c r="AI56" i="5"/>
  <c r="AI57" i="5"/>
  <c r="AI58" i="5"/>
  <c r="AI59" i="5"/>
  <c r="AI60" i="5"/>
  <c r="AI61" i="5"/>
  <c r="AI62" i="5"/>
  <c r="AI63" i="5"/>
  <c r="AI64" i="5"/>
  <c r="AI65" i="5"/>
  <c r="AI66" i="5"/>
  <c r="AI67" i="5"/>
  <c r="AI68" i="5"/>
  <c r="AI71" i="5"/>
  <c r="AI72" i="5"/>
  <c r="AI73" i="5"/>
  <c r="AI75" i="5"/>
  <c r="AI76" i="5"/>
  <c r="AI77" i="5"/>
  <c r="AI78" i="5"/>
  <c r="AI79" i="5"/>
  <c r="AI80" i="5"/>
  <c r="AI81" i="5"/>
  <c r="AI82" i="5"/>
  <c r="AI83" i="5"/>
  <c r="AI84" i="5"/>
  <c r="AI87" i="5"/>
  <c r="AI88" i="5"/>
  <c r="AI89" i="5"/>
  <c r="AI90" i="5"/>
  <c r="AI91" i="5"/>
  <c r="AI92" i="5"/>
  <c r="AI93" i="5"/>
  <c r="AI94" i="5"/>
  <c r="AI96" i="5"/>
  <c r="AI97" i="5"/>
  <c r="AI98" i="5"/>
  <c r="AI99" i="5"/>
  <c r="AI100" i="5"/>
  <c r="AI101" i="5"/>
  <c r="AI102" i="5"/>
  <c r="AI103" i="5"/>
  <c r="AI105" i="5"/>
  <c r="AI108" i="5"/>
  <c r="AI109" i="5"/>
  <c r="AI110" i="5"/>
  <c r="AI111" i="5"/>
  <c r="AI112" i="5"/>
  <c r="AI113" i="5"/>
  <c r="AI114" i="5"/>
  <c r="AI115" i="5"/>
  <c r="AI117" i="5"/>
  <c r="AI118" i="5"/>
  <c r="AI119" i="5"/>
  <c r="AI120" i="5"/>
  <c r="AI121" i="5"/>
  <c r="AI122" i="5"/>
  <c r="AI123" i="5"/>
  <c r="AI124" i="5"/>
  <c r="AI125" i="5"/>
  <c r="AI126" i="5"/>
  <c r="AI127" i="5"/>
  <c r="AI128" i="5"/>
  <c r="AI129" i="5"/>
  <c r="AI132" i="5"/>
  <c r="AI133" i="5"/>
  <c r="AI134" i="5"/>
  <c r="AI138" i="5"/>
  <c r="AI139" i="5"/>
  <c r="AI140" i="5"/>
  <c r="AI141" i="5"/>
  <c r="AI142" i="5"/>
  <c r="AI143" i="5"/>
  <c r="E13" i="5"/>
  <c r="F13" i="5"/>
  <c r="I13" i="5"/>
  <c r="K13" i="5"/>
  <c r="L13" i="5"/>
  <c r="N13" i="5"/>
  <c r="O13" i="5"/>
  <c r="Q13" i="5"/>
  <c r="R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T15" i="5"/>
  <c r="U15" i="5"/>
  <c r="W15" i="5"/>
  <c r="X15" i="5"/>
  <c r="Z15" i="5"/>
  <c r="AA15" i="5"/>
  <c r="AB15" i="5"/>
  <c r="AC15" i="5"/>
  <c r="AE15" i="5"/>
  <c r="AF15" i="5"/>
  <c r="AG15" i="5"/>
  <c r="AH15" i="5"/>
  <c r="AJ15" i="5"/>
  <c r="AK15" i="5"/>
  <c r="AL15" i="5"/>
  <c r="AM15" i="5"/>
  <c r="AN15" i="5"/>
  <c r="E17" i="5"/>
  <c r="F17" i="5"/>
  <c r="J17" i="5"/>
  <c r="M17" i="5"/>
  <c r="O17" i="5"/>
  <c r="P17" i="5"/>
  <c r="R17" i="5"/>
  <c r="S17" i="5"/>
  <c r="U17" i="5"/>
  <c r="V17" i="5"/>
  <c r="X17" i="5"/>
  <c r="Y17" i="5"/>
  <c r="Z17" i="5"/>
  <c r="AA17" i="5"/>
  <c r="AB17" i="5"/>
  <c r="AD17" i="5"/>
  <c r="AE17" i="5"/>
  <c r="AF17" i="5"/>
  <c r="AG17" i="5"/>
  <c r="AH17" i="5"/>
  <c r="AJ17" i="5"/>
  <c r="AK17" i="5"/>
  <c r="AL17" i="5"/>
  <c r="AN17" i="5"/>
  <c r="AO17" i="5"/>
  <c r="E71" i="5"/>
  <c r="F71" i="5"/>
  <c r="G71" i="5"/>
  <c r="I71" i="5"/>
  <c r="J71" i="5"/>
  <c r="L71" i="5"/>
  <c r="M71" i="5"/>
  <c r="O71" i="5"/>
  <c r="P71" i="5"/>
  <c r="R71" i="5"/>
  <c r="T71" i="5"/>
  <c r="U71" i="5"/>
  <c r="W71" i="5"/>
  <c r="X71" i="5"/>
  <c r="Y71" i="5"/>
  <c r="Z71" i="5"/>
  <c r="AA71" i="5"/>
  <c r="AB71" i="5"/>
  <c r="AC71" i="5"/>
  <c r="AD71" i="5"/>
  <c r="AE71" i="5"/>
  <c r="AF71" i="5"/>
  <c r="AG71" i="5"/>
  <c r="AJ71" i="5"/>
  <c r="AK71" i="5"/>
  <c r="AL71" i="5"/>
  <c r="AM2" i="5"/>
  <c r="AM3" i="5"/>
  <c r="AM4" i="5"/>
  <c r="AM5" i="5"/>
  <c r="AM6" i="5"/>
  <c r="AM9" i="5"/>
  <c r="AM16" i="5"/>
  <c r="E18" i="5"/>
  <c r="F18" i="5"/>
  <c r="H18" i="5"/>
  <c r="I18" i="5"/>
  <c r="K18" i="5"/>
  <c r="L18" i="5"/>
  <c r="N18" i="5"/>
  <c r="O18" i="5"/>
  <c r="Q18" i="5"/>
  <c r="T18" i="5"/>
  <c r="U18" i="5"/>
  <c r="X18" i="5"/>
  <c r="Y18" i="5"/>
  <c r="Z18" i="5"/>
  <c r="AA18" i="5"/>
  <c r="AB18" i="5"/>
  <c r="AC18" i="5"/>
  <c r="AD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F53" i="5"/>
  <c r="H53" i="5"/>
  <c r="I53" i="5"/>
  <c r="L53" i="5"/>
  <c r="N53" i="5"/>
  <c r="O53" i="5"/>
  <c r="Q53" i="5"/>
  <c r="R53" i="5"/>
  <c r="T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4" i="5"/>
  <c r="AN55" i="5"/>
  <c r="AN56" i="5"/>
  <c r="AN57" i="5"/>
  <c r="AN58" i="5"/>
  <c r="AN59" i="5"/>
  <c r="AN60" i="5"/>
  <c r="AN61" i="5"/>
  <c r="AN62" i="5"/>
  <c r="AN63" i="5"/>
  <c r="AN64" i="5"/>
  <c r="AN65" i="5"/>
  <c r="AN66" i="5"/>
  <c r="AN67" i="5"/>
  <c r="AN68" i="5"/>
  <c r="AN71" i="5"/>
  <c r="AN72" i="5"/>
  <c r="AN73" i="5"/>
  <c r="AN75" i="5"/>
  <c r="AN76" i="5"/>
  <c r="AN77" i="5"/>
  <c r="AN78" i="5"/>
  <c r="AN79" i="5"/>
  <c r="AN80" i="5"/>
  <c r="AN81" i="5"/>
  <c r="AN82" i="5"/>
  <c r="AN83" i="5"/>
  <c r="AN84" i="5"/>
  <c r="AN85" i="5"/>
  <c r="AN87" i="5"/>
  <c r="AN88" i="5"/>
  <c r="AN89" i="5"/>
  <c r="AN90" i="5"/>
  <c r="AN91" i="5"/>
  <c r="AN92" i="5"/>
  <c r="AN93" i="5"/>
  <c r="AN94" i="5"/>
  <c r="AN96" i="5"/>
  <c r="AN97" i="5"/>
  <c r="AN98" i="5"/>
  <c r="AN99" i="5"/>
  <c r="AN101" i="5"/>
  <c r="AN102" i="5"/>
  <c r="AN103" i="5"/>
  <c r="AN105" i="5"/>
  <c r="AN108" i="5"/>
  <c r="AN109" i="5"/>
  <c r="AN110" i="5"/>
  <c r="AN111" i="5"/>
  <c r="AN112" i="5"/>
  <c r="AN113" i="5"/>
  <c r="AN114" i="5"/>
  <c r="AN115" i="5"/>
  <c r="AN116" i="5"/>
  <c r="AN117" i="5"/>
  <c r="AN118" i="5"/>
  <c r="AN119" i="5"/>
  <c r="AN120" i="5"/>
  <c r="AN121" i="5"/>
  <c r="AN122" i="5"/>
  <c r="AN123" i="5"/>
  <c r="AN125" i="5"/>
  <c r="AN126" i="5"/>
  <c r="AN127" i="5"/>
  <c r="AN128" i="5"/>
  <c r="AN129" i="5"/>
  <c r="AN131" i="5"/>
  <c r="AN132" i="5"/>
  <c r="AN133" i="5"/>
  <c r="AN134" i="5"/>
  <c r="AN137" i="5"/>
  <c r="AN138" i="5"/>
  <c r="AN139" i="5"/>
  <c r="AN140" i="5"/>
  <c r="AN141" i="5"/>
  <c r="AN142" i="5"/>
  <c r="AN143"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4" i="5"/>
  <c r="E55" i="5"/>
  <c r="E56" i="5"/>
  <c r="E57" i="5"/>
  <c r="E58" i="5"/>
  <c r="E59" i="5"/>
  <c r="E60" i="5"/>
  <c r="E61" i="5"/>
  <c r="E62" i="5"/>
  <c r="E63" i="5"/>
  <c r="E64" i="5"/>
  <c r="E65" i="5"/>
  <c r="E66" i="5"/>
  <c r="E67" i="5"/>
  <c r="E68" i="5"/>
  <c r="E72" i="5"/>
  <c r="E73" i="5"/>
  <c r="E75" i="5"/>
  <c r="E76" i="5"/>
  <c r="E77" i="5"/>
  <c r="E78" i="5"/>
  <c r="E79" i="5"/>
  <c r="E80" i="5"/>
  <c r="E81" i="5"/>
  <c r="E82" i="5"/>
  <c r="E83" i="5"/>
  <c r="E84" i="5"/>
  <c r="E85" i="5"/>
  <c r="E87" i="5"/>
  <c r="E88" i="5"/>
  <c r="E89" i="5"/>
  <c r="E90" i="5"/>
  <c r="E91" i="5"/>
  <c r="E92" i="5"/>
  <c r="E93" i="5"/>
  <c r="E94" i="5"/>
  <c r="E95" i="5"/>
  <c r="E96" i="5"/>
  <c r="E97" i="5"/>
  <c r="E98" i="5"/>
  <c r="E99" i="5"/>
  <c r="E100" i="5"/>
  <c r="E101" i="5"/>
  <c r="E102" i="5"/>
  <c r="E103" i="5"/>
  <c r="E105" i="5"/>
  <c r="E108" i="5"/>
  <c r="E109" i="5"/>
  <c r="E110" i="5"/>
  <c r="E111" i="5"/>
  <c r="E112" i="5"/>
  <c r="E113" i="5"/>
  <c r="E114" i="5"/>
  <c r="E115" i="5"/>
  <c r="E116" i="5"/>
  <c r="E117" i="5"/>
  <c r="E118" i="5"/>
  <c r="E119" i="5"/>
  <c r="E120" i="5"/>
  <c r="E121" i="5"/>
  <c r="E122" i="5"/>
  <c r="E123" i="5"/>
  <c r="E124" i="5"/>
  <c r="E125" i="5"/>
  <c r="E126" i="5"/>
  <c r="E127" i="5"/>
  <c r="E128" i="5"/>
  <c r="E129" i="5"/>
  <c r="E131" i="5"/>
  <c r="E132" i="5"/>
  <c r="E133" i="5"/>
  <c r="E134" i="5"/>
  <c r="E137" i="5"/>
  <c r="E138" i="5"/>
  <c r="E139" i="5"/>
  <c r="E140" i="5"/>
  <c r="E141" i="5"/>
  <c r="E142" i="5"/>
  <c r="E143"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4" i="5"/>
  <c r="F55" i="5"/>
  <c r="F56" i="5"/>
  <c r="F57" i="5"/>
  <c r="F58" i="5"/>
  <c r="F59" i="5"/>
  <c r="F60" i="5"/>
  <c r="F61" i="5"/>
  <c r="F62" i="5"/>
  <c r="F63" i="5"/>
  <c r="F64" i="5"/>
  <c r="F65" i="5"/>
  <c r="F67" i="5"/>
  <c r="F75" i="5"/>
  <c r="F76" i="5"/>
  <c r="F77" i="5"/>
  <c r="F78" i="5"/>
  <c r="F80" i="5"/>
  <c r="F81" i="5"/>
  <c r="F85" i="5"/>
  <c r="F88" i="5"/>
  <c r="F89" i="5"/>
  <c r="F90" i="5"/>
  <c r="F92" i="5"/>
  <c r="F93" i="5"/>
  <c r="F95" i="5"/>
  <c r="F96" i="5"/>
  <c r="F97" i="5"/>
  <c r="F98" i="5"/>
  <c r="F100" i="5"/>
  <c r="F102" i="5"/>
  <c r="F105" i="5"/>
  <c r="F108" i="5"/>
  <c r="F109" i="5"/>
  <c r="F110" i="5"/>
  <c r="F111" i="5"/>
  <c r="F112" i="5"/>
  <c r="F115" i="5"/>
  <c r="F116" i="5"/>
  <c r="F117" i="5"/>
  <c r="F118" i="5"/>
  <c r="F119" i="5"/>
  <c r="F121" i="5"/>
  <c r="F122" i="5"/>
  <c r="F123" i="5"/>
  <c r="F127" i="5"/>
  <c r="F128" i="5"/>
  <c r="F129" i="5"/>
  <c r="F132" i="5"/>
  <c r="F133" i="5"/>
  <c r="F134" i="5"/>
  <c r="F137" i="5"/>
  <c r="F138" i="5"/>
  <c r="F139" i="5"/>
  <c r="F140" i="5"/>
  <c r="F141" i="5"/>
  <c r="F142" i="5"/>
  <c r="G2" i="5"/>
  <c r="G3" i="5"/>
  <c r="G4" i="5"/>
  <c r="G5" i="5"/>
  <c r="G6" i="5"/>
  <c r="G9" i="5"/>
  <c r="G10" i="5"/>
  <c r="G12" i="5"/>
  <c r="G14" i="5"/>
  <c r="G16" i="5"/>
  <c r="G19" i="5"/>
  <c r="G20" i="5"/>
  <c r="G22" i="5"/>
  <c r="G23" i="5"/>
  <c r="G24" i="5"/>
  <c r="G25" i="5"/>
  <c r="G26" i="5"/>
  <c r="G27" i="5"/>
  <c r="G28" i="5"/>
  <c r="G29" i="5"/>
  <c r="G30" i="5"/>
  <c r="G31" i="5"/>
  <c r="G33" i="5"/>
  <c r="G34" i="5"/>
  <c r="G35" i="5"/>
  <c r="G37" i="5"/>
  <c r="G39" i="5"/>
  <c r="G40" i="5"/>
  <c r="G41" i="5"/>
  <c r="G43" i="5"/>
  <c r="G45" i="5"/>
  <c r="G47" i="5"/>
  <c r="G48" i="5"/>
  <c r="G49" i="5"/>
  <c r="G50" i="5"/>
  <c r="G51" i="5"/>
  <c r="G52" i="5"/>
  <c r="G54" i="5"/>
  <c r="G55" i="5"/>
  <c r="G56" i="5"/>
  <c r="G57" i="5"/>
  <c r="G58" i="5"/>
  <c r="G61" i="5"/>
  <c r="G63" i="5"/>
  <c r="G65" i="5"/>
  <c r="G66" i="5"/>
  <c r="G67" i="5"/>
  <c r="G68" i="5"/>
  <c r="G72" i="5"/>
  <c r="G73" i="5"/>
  <c r="G75" i="5"/>
  <c r="G76" i="5"/>
  <c r="G77" i="5"/>
  <c r="G78" i="5"/>
  <c r="G81" i="5"/>
  <c r="G82" i="5"/>
  <c r="G83" i="5"/>
  <c r="G84" i="5"/>
  <c r="G85" i="5"/>
  <c r="G87" i="5"/>
  <c r="G88" i="5"/>
  <c r="G89" i="5"/>
  <c r="G91" i="5"/>
  <c r="G92" i="5"/>
  <c r="G94" i="5"/>
  <c r="G95" i="5"/>
  <c r="G96" i="5"/>
  <c r="G97" i="5"/>
  <c r="G102" i="5"/>
  <c r="G103" i="5"/>
  <c r="G105" i="5"/>
  <c r="G108" i="5"/>
  <c r="G109" i="5"/>
  <c r="G110" i="5"/>
  <c r="G112" i="5"/>
  <c r="G113" i="5"/>
  <c r="G114" i="5"/>
  <c r="G115" i="5"/>
  <c r="G116" i="5"/>
  <c r="G117" i="5"/>
  <c r="G118" i="5"/>
  <c r="G119" i="5"/>
  <c r="G120" i="5"/>
  <c r="G121" i="5"/>
  <c r="G123" i="5"/>
  <c r="G124" i="5"/>
  <c r="G125" i="5"/>
  <c r="G126" i="5"/>
  <c r="G127" i="5"/>
  <c r="G128" i="5"/>
  <c r="G131" i="5"/>
  <c r="G133" i="5"/>
  <c r="G134" i="5"/>
  <c r="G137" i="5"/>
  <c r="G138" i="5"/>
  <c r="G139" i="5"/>
  <c r="G140" i="5"/>
  <c r="G141" i="5"/>
  <c r="G142" i="5"/>
  <c r="G143" i="5"/>
  <c r="H2" i="5"/>
  <c r="H3" i="5"/>
  <c r="H4" i="5"/>
  <c r="H5" i="5"/>
  <c r="H6" i="5"/>
  <c r="H7" i="5"/>
  <c r="H9" i="5"/>
  <c r="H10" i="5"/>
  <c r="H11" i="5"/>
  <c r="H14" i="5"/>
  <c r="H16" i="5"/>
  <c r="H19" i="5"/>
  <c r="H20" i="5"/>
  <c r="H21" i="5"/>
  <c r="H22" i="5"/>
  <c r="H23" i="5"/>
  <c r="H25" i="5"/>
  <c r="H26" i="5"/>
  <c r="H27" i="5"/>
  <c r="H28" i="5"/>
  <c r="H29" i="5"/>
  <c r="H30" i="5"/>
  <c r="H31" i="5"/>
  <c r="H33" i="5"/>
  <c r="H36" i="5"/>
  <c r="H39" i="5"/>
  <c r="H41" i="5"/>
  <c r="H44" i="5"/>
  <c r="H45" i="5"/>
  <c r="H47" i="5"/>
  <c r="H50" i="5"/>
  <c r="H51" i="5"/>
  <c r="H54" i="5"/>
  <c r="H55" i="5"/>
  <c r="H56" i="5"/>
  <c r="H57" i="5"/>
  <c r="H58" i="5"/>
  <c r="H60" i="5"/>
  <c r="H61" i="5"/>
  <c r="H62" i="5"/>
  <c r="H63" i="5"/>
  <c r="H67" i="5"/>
  <c r="H68" i="5"/>
  <c r="H75" i="5"/>
  <c r="H77" i="5"/>
  <c r="H78" i="5"/>
  <c r="H79" i="5"/>
  <c r="H80" i="5"/>
  <c r="H81" i="5"/>
  <c r="H82" i="5"/>
  <c r="H87" i="5"/>
  <c r="H89" i="5"/>
  <c r="H90" i="5"/>
  <c r="H91" i="5"/>
  <c r="H92" i="5"/>
  <c r="H93" i="5"/>
  <c r="H94" i="5"/>
  <c r="H95" i="5"/>
  <c r="H96" i="5"/>
  <c r="H98" i="5"/>
  <c r="H99" i="5"/>
  <c r="H100" i="5"/>
  <c r="H101" i="5"/>
  <c r="H102" i="5"/>
  <c r="H103" i="5"/>
  <c r="H105" i="5"/>
  <c r="H108" i="5"/>
  <c r="H109" i="5"/>
  <c r="H110" i="5"/>
  <c r="H111" i="5"/>
  <c r="H112" i="5"/>
  <c r="H113" i="5"/>
  <c r="H114" i="5"/>
  <c r="H115" i="5"/>
  <c r="H117" i="5"/>
  <c r="H118" i="5"/>
  <c r="H119" i="5"/>
  <c r="H120" i="5"/>
  <c r="H121" i="5"/>
  <c r="H122" i="5"/>
  <c r="H123" i="5"/>
  <c r="H124" i="5"/>
  <c r="H125" i="5"/>
  <c r="H126" i="5"/>
  <c r="H127" i="5"/>
  <c r="H128" i="5"/>
  <c r="H129" i="5"/>
  <c r="H131" i="5"/>
  <c r="H132" i="5"/>
  <c r="H133" i="5"/>
  <c r="H134" i="5"/>
  <c r="H138" i="5"/>
  <c r="H139" i="5"/>
  <c r="H140" i="5"/>
  <c r="H142" i="5"/>
  <c r="H143" i="5"/>
  <c r="I2" i="5"/>
  <c r="I3" i="5"/>
  <c r="I4" i="5"/>
  <c r="I5" i="5"/>
  <c r="I6" i="5"/>
  <c r="I7" i="5"/>
  <c r="I9" i="5"/>
  <c r="I11" i="5"/>
  <c r="I12" i="5"/>
  <c r="I14" i="5"/>
  <c r="I20" i="5"/>
  <c r="I21" i="5"/>
  <c r="I22" i="5"/>
  <c r="I23" i="5"/>
  <c r="I24" i="5"/>
  <c r="I25" i="5"/>
  <c r="I26" i="5"/>
  <c r="I27" i="5"/>
  <c r="I28" i="5"/>
  <c r="I29" i="5"/>
  <c r="I30" i="5"/>
  <c r="I31" i="5"/>
  <c r="I34" i="5"/>
  <c r="I36" i="5"/>
  <c r="I39" i="5"/>
  <c r="I40" i="5"/>
  <c r="I41" i="5"/>
  <c r="I43" i="5"/>
  <c r="I44" i="5"/>
  <c r="I45" i="5"/>
  <c r="I48" i="5"/>
  <c r="I49" i="5"/>
  <c r="I50" i="5"/>
  <c r="I51" i="5"/>
  <c r="I52" i="5"/>
  <c r="I54" i="5"/>
  <c r="I55" i="5"/>
  <c r="I56" i="5"/>
  <c r="I57" i="5"/>
  <c r="I58" i="5"/>
  <c r="I60" i="5"/>
  <c r="I61" i="5"/>
  <c r="I62" i="5"/>
  <c r="I63" i="5"/>
  <c r="I64" i="5"/>
  <c r="I65" i="5"/>
  <c r="I67" i="5"/>
  <c r="I73" i="5"/>
  <c r="I75" i="5"/>
  <c r="I76" i="5"/>
  <c r="I77" i="5"/>
  <c r="I78" i="5"/>
  <c r="I80" i="5"/>
  <c r="I81" i="5"/>
  <c r="I82" i="5"/>
  <c r="I83" i="5"/>
  <c r="I85" i="5"/>
  <c r="I88" i="5"/>
  <c r="I89" i="5"/>
  <c r="I90" i="5"/>
  <c r="I92" i="5"/>
  <c r="I93" i="5"/>
  <c r="I95" i="5"/>
  <c r="I96" i="5"/>
  <c r="I97" i="5"/>
  <c r="I98" i="5"/>
  <c r="I99" i="5"/>
  <c r="I100" i="5"/>
  <c r="I101" i="5"/>
  <c r="I102" i="5"/>
  <c r="I105" i="5"/>
  <c r="I108" i="5"/>
  <c r="I109" i="5"/>
  <c r="I110" i="5"/>
  <c r="I111" i="5"/>
  <c r="I112" i="5"/>
  <c r="I114" i="5"/>
  <c r="I115" i="5"/>
  <c r="I116" i="5"/>
  <c r="I117" i="5"/>
  <c r="I118" i="5"/>
  <c r="I119" i="5"/>
  <c r="I121" i="5"/>
  <c r="I122" i="5"/>
  <c r="I123" i="5"/>
  <c r="I124" i="5"/>
  <c r="I127" i="5"/>
  <c r="I128" i="5"/>
  <c r="I129" i="5"/>
  <c r="I132" i="5"/>
  <c r="I133" i="5"/>
  <c r="I134" i="5"/>
  <c r="I137" i="5"/>
  <c r="I138" i="5"/>
  <c r="I139" i="5"/>
  <c r="I140" i="5"/>
  <c r="I141" i="5"/>
  <c r="I142"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0" i="5"/>
  <c r="J41" i="5"/>
  <c r="J43" i="5"/>
  <c r="J45" i="5"/>
  <c r="J47" i="5"/>
  <c r="J48" i="5"/>
  <c r="J50" i="5"/>
  <c r="J51" i="5"/>
  <c r="J52" i="5"/>
  <c r="J54" i="5"/>
  <c r="J55" i="5"/>
  <c r="J56" i="5"/>
  <c r="J57" i="5"/>
  <c r="J58" i="5"/>
  <c r="J59" i="5"/>
  <c r="J61" i="5"/>
  <c r="J63" i="5"/>
  <c r="J65" i="5"/>
  <c r="J66" i="5"/>
  <c r="J67" i="5"/>
  <c r="J68" i="5"/>
  <c r="J72" i="5"/>
  <c r="J73" i="5"/>
  <c r="J75" i="5"/>
  <c r="J76" i="5"/>
  <c r="J77" i="5"/>
  <c r="J78" i="5"/>
  <c r="J79" i="5"/>
  <c r="J81" i="5"/>
  <c r="J82" i="5"/>
  <c r="J83" i="5"/>
  <c r="J84" i="5"/>
  <c r="J85" i="5"/>
  <c r="J87" i="5"/>
  <c r="J88" i="5"/>
  <c r="J89" i="5"/>
  <c r="J91" i="5"/>
  <c r="J92" i="5"/>
  <c r="J94" i="5"/>
  <c r="J95" i="5"/>
  <c r="J96" i="5"/>
  <c r="J97" i="5"/>
  <c r="J100" i="5"/>
  <c r="J102" i="5"/>
  <c r="J103" i="5"/>
  <c r="J105" i="5"/>
  <c r="J108" i="5"/>
  <c r="J109" i="5"/>
  <c r="J110" i="5"/>
  <c r="J112" i="5"/>
  <c r="J113" i="5"/>
  <c r="J114" i="5"/>
  <c r="J115" i="5"/>
  <c r="J116" i="5"/>
  <c r="J117" i="5"/>
  <c r="J118" i="5"/>
  <c r="J119" i="5"/>
  <c r="J120" i="5"/>
  <c r="J121" i="5"/>
  <c r="J123" i="5"/>
  <c r="J124" i="5"/>
  <c r="J126" i="5"/>
  <c r="J127" i="5"/>
  <c r="J131" i="5"/>
  <c r="J133" i="5"/>
  <c r="J134" i="5"/>
  <c r="J137" i="5"/>
  <c r="J138" i="5"/>
  <c r="J139" i="5"/>
  <c r="J140" i="5"/>
  <c r="J141" i="5"/>
  <c r="J142" i="5"/>
  <c r="J143" i="5"/>
  <c r="K2" i="5"/>
  <c r="K3" i="5"/>
  <c r="K4" i="5"/>
  <c r="K5" i="5"/>
  <c r="K6" i="5"/>
  <c r="K7" i="5"/>
  <c r="K9" i="5"/>
  <c r="K10" i="5"/>
  <c r="K11" i="5"/>
  <c r="K14" i="5"/>
  <c r="K16" i="5"/>
  <c r="K19" i="5"/>
  <c r="K20" i="5"/>
  <c r="K21" i="5"/>
  <c r="K22" i="5"/>
  <c r="K23" i="5"/>
  <c r="K25" i="5"/>
  <c r="K26" i="5"/>
  <c r="K27" i="5"/>
  <c r="K28" i="5"/>
  <c r="K29" i="5"/>
  <c r="K30" i="5"/>
  <c r="K31" i="5"/>
  <c r="K33" i="5"/>
  <c r="K35" i="5"/>
  <c r="K36" i="5"/>
  <c r="K37" i="5"/>
  <c r="K39" i="5"/>
  <c r="K41" i="5"/>
  <c r="K44" i="5"/>
  <c r="K45" i="5"/>
  <c r="K47" i="5"/>
  <c r="K49" i="5"/>
  <c r="K50" i="5"/>
  <c r="K51" i="5"/>
  <c r="K54" i="5"/>
  <c r="K55" i="5"/>
  <c r="K56" i="5"/>
  <c r="K57" i="5"/>
  <c r="K58" i="5"/>
  <c r="K60" i="5"/>
  <c r="K61" i="5"/>
  <c r="K62" i="5"/>
  <c r="K63" i="5"/>
  <c r="K65" i="5"/>
  <c r="K67" i="5"/>
  <c r="K68" i="5"/>
  <c r="K72" i="5"/>
  <c r="K75" i="5"/>
  <c r="K77" i="5"/>
  <c r="K78" i="5"/>
  <c r="K79" i="5"/>
  <c r="K80" i="5"/>
  <c r="K81" i="5"/>
  <c r="K82" i="5"/>
  <c r="K84" i="5"/>
  <c r="K87" i="5"/>
  <c r="K89" i="5"/>
  <c r="K90" i="5"/>
  <c r="K91" i="5"/>
  <c r="K92" i="5"/>
  <c r="K93" i="5"/>
  <c r="K94" i="5"/>
  <c r="K96" i="5"/>
  <c r="K98" i="5"/>
  <c r="K99" i="5"/>
  <c r="K101" i="5"/>
  <c r="K102" i="5"/>
  <c r="K103" i="5"/>
  <c r="K105" i="5"/>
  <c r="K108" i="5"/>
  <c r="K109" i="5"/>
  <c r="K110" i="5"/>
  <c r="K112" i="5"/>
  <c r="K115" i="5"/>
  <c r="K117" i="5"/>
  <c r="K118" i="5"/>
  <c r="K119" i="5"/>
  <c r="K120" i="5"/>
  <c r="K121" i="5"/>
  <c r="K122" i="5"/>
  <c r="K123" i="5"/>
  <c r="K124" i="5"/>
  <c r="K125" i="5"/>
  <c r="K126" i="5"/>
  <c r="K127" i="5"/>
  <c r="K128" i="5"/>
  <c r="K129" i="5"/>
  <c r="K131" i="5"/>
  <c r="K132" i="5"/>
  <c r="K134" i="5"/>
  <c r="K138" i="5"/>
  <c r="K139" i="5"/>
  <c r="K140" i="5"/>
  <c r="K143"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3" i="5"/>
  <c r="L44" i="5"/>
  <c r="L45" i="5"/>
  <c r="L48" i="5"/>
  <c r="L49" i="5"/>
  <c r="L50" i="5"/>
  <c r="L52" i="5"/>
  <c r="L54" i="5"/>
  <c r="L55" i="5"/>
  <c r="L56" i="5"/>
  <c r="L57" i="5"/>
  <c r="L58" i="5"/>
  <c r="L59" i="5"/>
  <c r="L61" i="5"/>
  <c r="L62" i="5"/>
  <c r="L63" i="5"/>
  <c r="L65" i="5"/>
  <c r="L66" i="5"/>
  <c r="L67" i="5"/>
  <c r="L73" i="5"/>
  <c r="L75" i="5"/>
  <c r="L76" i="5"/>
  <c r="L77" i="5"/>
  <c r="L78" i="5"/>
  <c r="L81" i="5"/>
  <c r="L82" i="5"/>
  <c r="L83" i="5"/>
  <c r="L85" i="5"/>
  <c r="L88" i="5"/>
  <c r="L89" i="5"/>
  <c r="L90" i="5"/>
  <c r="L92" i="5"/>
  <c r="L94" i="5"/>
  <c r="L95" i="5"/>
  <c r="L96" i="5"/>
  <c r="L97" i="5"/>
  <c r="L98" i="5"/>
  <c r="L99" i="5"/>
  <c r="L100" i="5"/>
  <c r="L101" i="5"/>
  <c r="L102" i="5"/>
  <c r="L105" i="5"/>
  <c r="L108" i="5"/>
  <c r="L109" i="5"/>
  <c r="L110" i="5"/>
  <c r="L111" i="5"/>
  <c r="L112" i="5"/>
  <c r="L113" i="5"/>
  <c r="L115" i="5"/>
  <c r="L116" i="5"/>
  <c r="L117" i="5"/>
  <c r="L119" i="5"/>
  <c r="L121" i="5"/>
  <c r="L122" i="5"/>
  <c r="L123" i="5"/>
  <c r="L126" i="5"/>
  <c r="L128" i="5"/>
  <c r="L129" i="5"/>
  <c r="L132" i="5"/>
  <c r="L133" i="5"/>
  <c r="L137" i="5"/>
  <c r="L138" i="5"/>
  <c r="L139" i="5"/>
  <c r="L140" i="5"/>
  <c r="L142" i="5"/>
  <c r="M2" i="5"/>
  <c r="M3" i="5"/>
  <c r="M4" i="5"/>
  <c r="M5" i="5"/>
  <c r="M6" i="5"/>
  <c r="M9" i="5"/>
  <c r="M10" i="5"/>
  <c r="M11" i="5"/>
  <c r="M12" i="5"/>
  <c r="M14" i="5"/>
  <c r="M16" i="5"/>
  <c r="M19" i="5"/>
  <c r="M20" i="5"/>
  <c r="M21" i="5"/>
  <c r="M22" i="5"/>
  <c r="M23" i="5"/>
  <c r="M24" i="5"/>
  <c r="M25" i="5"/>
  <c r="M26" i="5"/>
  <c r="M27" i="5"/>
  <c r="M28" i="5"/>
  <c r="M29" i="5"/>
  <c r="M30" i="5"/>
  <c r="M31" i="5"/>
  <c r="M32" i="5"/>
  <c r="M33" i="5"/>
  <c r="M34" i="5"/>
  <c r="M35" i="5"/>
  <c r="M37" i="5"/>
  <c r="M39" i="5"/>
  <c r="M40" i="5"/>
  <c r="M41" i="5"/>
  <c r="M43" i="5"/>
  <c r="M45" i="5"/>
  <c r="M47" i="5"/>
  <c r="M48" i="5"/>
  <c r="M49" i="5"/>
  <c r="M50" i="5"/>
  <c r="M51" i="5"/>
  <c r="M54" i="5"/>
  <c r="M55" i="5"/>
  <c r="M56" i="5"/>
  <c r="M57" i="5"/>
  <c r="M58" i="5"/>
  <c r="M59" i="5"/>
  <c r="M61" i="5"/>
  <c r="M63" i="5"/>
  <c r="M64" i="5"/>
  <c r="M65" i="5"/>
  <c r="M66" i="5"/>
  <c r="M67" i="5"/>
  <c r="M68" i="5"/>
  <c r="M72" i="5"/>
  <c r="M73" i="5"/>
  <c r="M75" i="5"/>
  <c r="M76" i="5"/>
  <c r="M77" i="5"/>
  <c r="M78" i="5"/>
  <c r="M79" i="5"/>
  <c r="M81" i="5"/>
  <c r="M82" i="5"/>
  <c r="M83" i="5"/>
  <c r="M84" i="5"/>
  <c r="M85" i="5"/>
  <c r="M87" i="5"/>
  <c r="M88" i="5"/>
  <c r="M89" i="5"/>
  <c r="M91" i="5"/>
  <c r="M92" i="5"/>
  <c r="M95" i="5"/>
  <c r="M96" i="5"/>
  <c r="M100" i="5"/>
  <c r="M102" i="5"/>
  <c r="M103" i="5"/>
  <c r="M105" i="5"/>
  <c r="M109" i="5"/>
  <c r="M110" i="5"/>
  <c r="M112" i="5"/>
  <c r="M114" i="5"/>
  <c r="M115" i="5"/>
  <c r="M117" i="5"/>
  <c r="M118" i="5"/>
  <c r="M119" i="5"/>
  <c r="M120" i="5"/>
  <c r="M121" i="5"/>
  <c r="M123" i="5"/>
  <c r="M124" i="5"/>
  <c r="M125" i="5"/>
  <c r="M126" i="5"/>
  <c r="M127" i="5"/>
  <c r="M131" i="5"/>
  <c r="M133" i="5"/>
  <c r="M134" i="5"/>
  <c r="M137" i="5"/>
  <c r="M138" i="5"/>
  <c r="M139" i="5"/>
  <c r="M140" i="5"/>
  <c r="M141" i="5"/>
  <c r="M142" i="5"/>
  <c r="M143"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4" i="5"/>
  <c r="N55" i="5"/>
  <c r="N56" i="5"/>
  <c r="N57" i="5"/>
  <c r="N58" i="5"/>
  <c r="N60" i="5"/>
  <c r="N61" i="5"/>
  <c r="N62" i="5"/>
  <c r="N63" i="5"/>
  <c r="N64" i="5"/>
  <c r="N65" i="5"/>
  <c r="N67" i="5"/>
  <c r="N68" i="5"/>
  <c r="N72" i="5"/>
  <c r="N75" i="5"/>
  <c r="N77" i="5"/>
  <c r="N78" i="5"/>
  <c r="N79" i="5"/>
  <c r="N80" i="5"/>
  <c r="N81" i="5"/>
  <c r="N82" i="5"/>
  <c r="N83" i="5"/>
  <c r="N84" i="5"/>
  <c r="N87" i="5"/>
  <c r="N89" i="5"/>
  <c r="N91" i="5"/>
  <c r="N92" i="5"/>
  <c r="N93" i="5"/>
  <c r="N94" i="5"/>
  <c r="N96" i="5"/>
  <c r="N98" i="5"/>
  <c r="N99" i="5"/>
  <c r="N101" i="5"/>
  <c r="N102" i="5"/>
  <c r="N105" i="5"/>
  <c r="N108" i="5"/>
  <c r="N109" i="5"/>
  <c r="N110" i="5"/>
  <c r="N111" i="5"/>
  <c r="N112" i="5"/>
  <c r="N113" i="5"/>
  <c r="N114" i="5"/>
  <c r="N115" i="5"/>
  <c r="N116" i="5"/>
  <c r="N117" i="5"/>
  <c r="N118" i="5"/>
  <c r="N119" i="5"/>
  <c r="N121" i="5"/>
  <c r="N122" i="5"/>
  <c r="N123" i="5"/>
  <c r="N124" i="5"/>
  <c r="N125" i="5"/>
  <c r="N126" i="5"/>
  <c r="N127" i="5"/>
  <c r="N128" i="5"/>
  <c r="N129" i="5"/>
  <c r="N131" i="5"/>
  <c r="N132" i="5"/>
  <c r="N133" i="5"/>
  <c r="N134" i="5"/>
  <c r="N137" i="5"/>
  <c r="N138" i="5"/>
  <c r="N139" i="5"/>
  <c r="N140"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3" i="5"/>
  <c r="O44" i="5"/>
  <c r="O45" i="5"/>
  <c r="O48" i="5"/>
  <c r="O49" i="5"/>
  <c r="O50" i="5"/>
  <c r="O52" i="5"/>
  <c r="O54" i="5"/>
  <c r="O55" i="5"/>
  <c r="O56" i="5"/>
  <c r="O57" i="5"/>
  <c r="O58" i="5"/>
  <c r="O59" i="5"/>
  <c r="O60" i="5"/>
  <c r="O61" i="5"/>
  <c r="O62" i="5"/>
  <c r="O63" i="5"/>
  <c r="O65" i="5"/>
  <c r="O67" i="5"/>
  <c r="O73" i="5"/>
  <c r="O75" i="5"/>
  <c r="O76" i="5"/>
  <c r="O77" i="5"/>
  <c r="O78" i="5"/>
  <c r="O80" i="5"/>
  <c r="O81" i="5"/>
  <c r="O82" i="5"/>
  <c r="O83" i="5"/>
  <c r="O85" i="5"/>
  <c r="O87" i="5"/>
  <c r="O88" i="5"/>
  <c r="O89" i="5"/>
  <c r="O90" i="5"/>
  <c r="O92" i="5"/>
  <c r="O93" i="5"/>
  <c r="O94" i="5"/>
  <c r="O95" i="5"/>
  <c r="O96" i="5"/>
  <c r="O97" i="5"/>
  <c r="O98" i="5"/>
  <c r="O99" i="5"/>
  <c r="O100" i="5"/>
  <c r="O101" i="5"/>
  <c r="O102" i="5"/>
  <c r="O105" i="5"/>
  <c r="O108" i="5"/>
  <c r="O109" i="5"/>
  <c r="O110" i="5"/>
  <c r="O111" i="5"/>
  <c r="O112" i="5"/>
  <c r="O113" i="5"/>
  <c r="O115" i="5"/>
  <c r="O116" i="5"/>
  <c r="O117" i="5"/>
  <c r="O119" i="5"/>
  <c r="O120" i="5"/>
  <c r="O121" i="5"/>
  <c r="O122" i="5"/>
  <c r="O123" i="5"/>
  <c r="O126" i="5"/>
  <c r="O128" i="5"/>
  <c r="O133" i="5"/>
  <c r="O137" i="5"/>
  <c r="O138" i="5"/>
  <c r="O139" i="5"/>
  <c r="O140" i="5"/>
  <c r="O141" i="5"/>
  <c r="O142" i="5"/>
  <c r="P2" i="5"/>
  <c r="P3" i="5"/>
  <c r="P4" i="5"/>
  <c r="P5" i="5"/>
  <c r="P6" i="5"/>
  <c r="P9" i="5"/>
  <c r="P10" i="5"/>
  <c r="P11" i="5"/>
  <c r="P12" i="5"/>
  <c r="P14" i="5"/>
  <c r="P16" i="5"/>
  <c r="P19" i="5"/>
  <c r="P20" i="5"/>
  <c r="P21" i="5"/>
  <c r="P22" i="5"/>
  <c r="P23" i="5"/>
  <c r="P24" i="5"/>
  <c r="P25" i="5"/>
  <c r="P26" i="5"/>
  <c r="P27" i="5"/>
  <c r="P28" i="5"/>
  <c r="P29" i="5"/>
  <c r="P30" i="5"/>
  <c r="P31" i="5"/>
  <c r="P32" i="5"/>
  <c r="P33" i="5"/>
  <c r="P34" i="5"/>
  <c r="P35" i="5"/>
  <c r="P37" i="5"/>
  <c r="P39" i="5"/>
  <c r="P40" i="5"/>
  <c r="P41" i="5"/>
  <c r="P43" i="5"/>
  <c r="P44" i="5"/>
  <c r="P45" i="5"/>
  <c r="P47" i="5"/>
  <c r="P49" i="5"/>
  <c r="P50" i="5"/>
  <c r="P51" i="5"/>
  <c r="P52" i="5"/>
  <c r="P54" i="5"/>
  <c r="P55" i="5"/>
  <c r="P56" i="5"/>
  <c r="P57" i="5"/>
  <c r="P58" i="5"/>
  <c r="P59" i="5"/>
  <c r="P61" i="5"/>
  <c r="P63" i="5"/>
  <c r="P64" i="5"/>
  <c r="P65" i="5"/>
  <c r="P66" i="5"/>
  <c r="P67" i="5"/>
  <c r="P68" i="5"/>
  <c r="P72" i="5"/>
  <c r="P75" i="5"/>
  <c r="P76" i="5"/>
  <c r="P77" i="5"/>
  <c r="P79" i="5"/>
  <c r="P81" i="5"/>
  <c r="P82" i="5"/>
  <c r="P83" i="5"/>
  <c r="P84" i="5"/>
  <c r="P85" i="5"/>
  <c r="P87" i="5"/>
  <c r="P89" i="5"/>
  <c r="P91" i="5"/>
  <c r="P92" i="5"/>
  <c r="P95" i="5"/>
  <c r="P96" i="5"/>
  <c r="P97" i="5"/>
  <c r="P98" i="5"/>
  <c r="P100" i="5"/>
  <c r="P102" i="5"/>
  <c r="P103" i="5"/>
  <c r="P105" i="5"/>
  <c r="P108" i="5"/>
  <c r="P110" i="5"/>
  <c r="P112" i="5"/>
  <c r="P114" i="5"/>
  <c r="P115" i="5"/>
  <c r="P116" i="5"/>
  <c r="P117" i="5"/>
  <c r="P119" i="5"/>
  <c r="P120" i="5"/>
  <c r="P121" i="5"/>
  <c r="P122" i="5"/>
  <c r="P123" i="5"/>
  <c r="P124" i="5"/>
  <c r="P125" i="5"/>
  <c r="P126" i="5"/>
  <c r="P127" i="5"/>
  <c r="P131" i="5"/>
  <c r="P133" i="5"/>
  <c r="P137" i="5"/>
  <c r="P138" i="5"/>
  <c r="P139" i="5"/>
  <c r="P140" i="5"/>
  <c r="P141" i="5"/>
  <c r="P142" i="5"/>
  <c r="P143" i="5"/>
  <c r="Q2" i="5"/>
  <c r="Q3" i="5"/>
  <c r="Q4" i="5"/>
  <c r="Q5" i="5"/>
  <c r="Q6" i="5"/>
  <c r="Q7" i="5"/>
  <c r="Q9" i="5"/>
  <c r="Q10" i="5"/>
  <c r="Q11" i="5"/>
  <c r="Q16" i="5"/>
  <c r="Q20" i="5"/>
  <c r="Q21" i="5"/>
  <c r="Q22" i="5"/>
  <c r="Q23" i="5"/>
  <c r="Q25" i="5"/>
  <c r="Q26" i="5"/>
  <c r="Q27" i="5"/>
  <c r="Q28" i="5"/>
  <c r="Q29" i="5"/>
  <c r="Q30" i="5"/>
  <c r="Q31" i="5"/>
  <c r="Q32" i="5"/>
  <c r="Q33" i="5"/>
  <c r="Q35" i="5"/>
  <c r="Q37" i="5"/>
  <c r="Q39" i="5"/>
  <c r="Q41" i="5"/>
  <c r="Q44" i="5"/>
  <c r="Q45" i="5"/>
  <c r="Q49" i="5"/>
  <c r="Q50" i="5"/>
  <c r="Q54" i="5"/>
  <c r="Q55" i="5"/>
  <c r="Q56" i="5"/>
  <c r="Q57" i="5"/>
  <c r="Q58" i="5"/>
  <c r="Q59" i="5"/>
  <c r="Q61" i="5"/>
  <c r="Q62" i="5"/>
  <c r="Q63" i="5"/>
  <c r="Q64" i="5"/>
  <c r="Q65" i="5"/>
  <c r="Q67" i="5"/>
  <c r="Q68" i="5"/>
  <c r="Q72" i="5"/>
  <c r="Q75" i="5"/>
  <c r="Q77" i="5"/>
  <c r="Q78" i="5"/>
  <c r="Q80" i="5"/>
  <c r="Q81" i="5"/>
  <c r="Q82" i="5"/>
  <c r="Q83" i="5"/>
  <c r="Q84" i="5"/>
  <c r="Q87" i="5"/>
  <c r="Q89" i="5"/>
  <c r="Q90" i="5"/>
  <c r="Q91" i="5"/>
  <c r="Q92" i="5"/>
  <c r="Q93" i="5"/>
  <c r="Q94" i="5"/>
  <c r="Q95" i="5"/>
  <c r="Q96" i="5"/>
  <c r="Q98" i="5"/>
  <c r="Q99" i="5"/>
  <c r="Q102" i="5"/>
  <c r="Q103" i="5"/>
  <c r="Q105" i="5"/>
  <c r="Q108" i="5"/>
  <c r="Q109" i="5"/>
  <c r="Q110" i="5"/>
  <c r="Q111" i="5"/>
  <c r="Q112" i="5"/>
  <c r="Q113" i="5"/>
  <c r="Q114" i="5"/>
  <c r="Q115" i="5"/>
  <c r="Q117" i="5"/>
  <c r="Q118" i="5"/>
  <c r="Q119" i="5"/>
  <c r="Q121" i="5"/>
  <c r="Q122" i="5"/>
  <c r="Q123" i="5"/>
  <c r="Q124" i="5"/>
  <c r="Q125" i="5"/>
  <c r="Q126" i="5"/>
  <c r="Q127" i="5"/>
  <c r="Q128" i="5"/>
  <c r="Q129" i="5"/>
  <c r="Q131" i="5"/>
  <c r="Q132" i="5"/>
  <c r="Q133" i="5"/>
  <c r="Q134" i="5"/>
  <c r="Q138" i="5"/>
  <c r="Q139" i="5"/>
  <c r="Q140" i="5"/>
  <c r="Q143" i="5"/>
  <c r="R2" i="5"/>
  <c r="R3" i="5"/>
  <c r="R4" i="5"/>
  <c r="R5" i="5"/>
  <c r="R6" i="5"/>
  <c r="R7" i="5"/>
  <c r="R9" i="5"/>
  <c r="R14" i="5"/>
  <c r="R16" i="5"/>
  <c r="R19" i="5"/>
  <c r="R20" i="5"/>
  <c r="R21" i="5"/>
  <c r="R22" i="5"/>
  <c r="R23" i="5"/>
  <c r="R24" i="5"/>
  <c r="R25" i="5"/>
  <c r="R26" i="5"/>
  <c r="R27" i="5"/>
  <c r="R28" i="5"/>
  <c r="R29" i="5"/>
  <c r="R30" i="5"/>
  <c r="R31" i="5"/>
  <c r="R32" i="5"/>
  <c r="R34" i="5"/>
  <c r="R36" i="5"/>
  <c r="R39" i="5"/>
  <c r="R40" i="5"/>
  <c r="R41" i="5"/>
  <c r="R43" i="5"/>
  <c r="R44" i="5"/>
  <c r="R45" i="5"/>
  <c r="R48" i="5"/>
  <c r="R49" i="5"/>
  <c r="R50" i="5"/>
  <c r="R52" i="5"/>
  <c r="R54" i="5"/>
  <c r="R55" i="5"/>
  <c r="R56" i="5"/>
  <c r="R57" i="5"/>
  <c r="R58" i="5"/>
  <c r="R59" i="5"/>
  <c r="R60" i="5"/>
  <c r="R61" i="5"/>
  <c r="R62" i="5"/>
  <c r="R63" i="5"/>
  <c r="R64" i="5"/>
  <c r="R65" i="5"/>
  <c r="R66" i="5"/>
  <c r="R67" i="5"/>
  <c r="R73" i="5"/>
  <c r="R75" i="5"/>
  <c r="R76" i="5"/>
  <c r="R77" i="5"/>
  <c r="R78" i="5"/>
  <c r="R80" i="5"/>
  <c r="R81" i="5"/>
  <c r="R82" i="5"/>
  <c r="R85" i="5"/>
  <c r="R87" i="5"/>
  <c r="R88" i="5"/>
  <c r="R89" i="5"/>
  <c r="R90" i="5"/>
  <c r="R92" i="5"/>
  <c r="R93" i="5"/>
  <c r="R94" i="5"/>
  <c r="R95" i="5"/>
  <c r="R96" i="5"/>
  <c r="R97" i="5"/>
  <c r="R98" i="5"/>
  <c r="R99" i="5"/>
  <c r="R100" i="5"/>
  <c r="R101" i="5"/>
  <c r="R102" i="5"/>
  <c r="R105" i="5"/>
  <c r="R108" i="5"/>
  <c r="R109" i="5"/>
  <c r="R110" i="5"/>
  <c r="R111" i="5"/>
  <c r="R112" i="5"/>
  <c r="R113" i="5"/>
  <c r="R116" i="5"/>
  <c r="R117" i="5"/>
  <c r="R119" i="5"/>
  <c r="R121" i="5"/>
  <c r="R123" i="5"/>
  <c r="R124" i="5"/>
  <c r="R126" i="5"/>
  <c r="R128" i="5"/>
  <c r="R129" i="5"/>
  <c r="R132" i="5"/>
  <c r="R133" i="5"/>
  <c r="R137" i="5"/>
  <c r="R138" i="5"/>
  <c r="R139" i="5"/>
  <c r="R140" i="5"/>
  <c r="R141" i="5"/>
  <c r="R142"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0" i="5"/>
  <c r="S41" i="5"/>
  <c r="S43" i="5"/>
  <c r="S44" i="5"/>
  <c r="S45" i="5"/>
  <c r="S48" i="5"/>
  <c r="S49" i="5"/>
  <c r="S50" i="5"/>
  <c r="S51" i="5"/>
  <c r="S52" i="5"/>
  <c r="S54" i="5"/>
  <c r="S55" i="5"/>
  <c r="S56" i="5"/>
  <c r="S57" i="5"/>
  <c r="S58" i="5"/>
  <c r="S61" i="5"/>
  <c r="S63" i="5"/>
  <c r="S65" i="5"/>
  <c r="S67" i="5"/>
  <c r="S68" i="5"/>
  <c r="S72" i="5"/>
  <c r="S73" i="5"/>
  <c r="S75" i="5"/>
  <c r="S77" i="5"/>
  <c r="S79" i="5"/>
  <c r="S81" i="5"/>
  <c r="S82" i="5"/>
  <c r="S83" i="5"/>
  <c r="S85" i="5"/>
  <c r="S87" i="5"/>
  <c r="S88" i="5"/>
  <c r="S89" i="5"/>
  <c r="S91" i="5"/>
  <c r="S92" i="5"/>
  <c r="S95" i="5"/>
  <c r="S96" i="5"/>
  <c r="S97" i="5"/>
  <c r="S98" i="5"/>
  <c r="S100" i="5"/>
  <c r="S102" i="5"/>
  <c r="S103" i="5"/>
  <c r="S108" i="5"/>
  <c r="S109" i="5"/>
  <c r="S110" i="5"/>
  <c r="S112" i="5"/>
  <c r="S114" i="5"/>
  <c r="S115" i="5"/>
  <c r="S116" i="5"/>
  <c r="S117" i="5"/>
  <c r="S118" i="5"/>
  <c r="S119" i="5"/>
  <c r="S120" i="5"/>
  <c r="S121" i="5"/>
  <c r="S122" i="5"/>
  <c r="S123" i="5"/>
  <c r="S125" i="5"/>
  <c r="S126" i="5"/>
  <c r="S127" i="5"/>
  <c r="S131" i="5"/>
  <c r="S133" i="5"/>
  <c r="S134" i="5"/>
  <c r="S137" i="5"/>
  <c r="S138" i="5"/>
  <c r="S139" i="5"/>
  <c r="S140" i="5"/>
  <c r="S141" i="5"/>
  <c r="S143" i="5"/>
  <c r="T2" i="5"/>
  <c r="T3" i="5"/>
  <c r="T4" i="5"/>
  <c r="T5" i="5"/>
  <c r="T6" i="5"/>
  <c r="T7" i="5"/>
  <c r="T9" i="5"/>
  <c r="T10" i="5"/>
  <c r="T11" i="5"/>
  <c r="T16" i="5"/>
  <c r="T20" i="5"/>
  <c r="T21" i="5"/>
  <c r="T22" i="5"/>
  <c r="T23" i="5"/>
  <c r="T25" i="5"/>
  <c r="T26" i="5"/>
  <c r="T27" i="5"/>
  <c r="T28" i="5"/>
  <c r="T29" i="5"/>
  <c r="T30" i="5"/>
  <c r="T31" i="5"/>
  <c r="T33" i="5"/>
  <c r="T35" i="5"/>
  <c r="T36" i="5"/>
  <c r="T37" i="5"/>
  <c r="T39" i="5"/>
  <c r="T41" i="5"/>
  <c r="T43" i="5"/>
  <c r="T45" i="5"/>
  <c r="T47" i="5"/>
  <c r="T49" i="5"/>
  <c r="T50" i="5"/>
  <c r="T51" i="5"/>
  <c r="T54" i="5"/>
  <c r="T55" i="5"/>
  <c r="T56" i="5"/>
  <c r="T57" i="5"/>
  <c r="T58" i="5"/>
  <c r="T59" i="5"/>
  <c r="T60" i="5"/>
  <c r="T61" i="5"/>
  <c r="T62" i="5"/>
  <c r="T63" i="5"/>
  <c r="T65" i="5"/>
  <c r="T67" i="5"/>
  <c r="T68" i="5"/>
  <c r="T72" i="5"/>
  <c r="T75" i="5"/>
  <c r="T77" i="5"/>
  <c r="T78" i="5"/>
  <c r="T79" i="5"/>
  <c r="T80" i="5"/>
  <c r="T81" i="5"/>
  <c r="T82" i="5"/>
  <c r="T83" i="5"/>
  <c r="T84" i="5"/>
  <c r="T87" i="5"/>
  <c r="T89" i="5"/>
  <c r="T90" i="5"/>
  <c r="T91" i="5"/>
  <c r="T92" i="5"/>
  <c r="T93" i="5"/>
  <c r="T94" i="5"/>
  <c r="T95" i="5"/>
  <c r="T96" i="5"/>
  <c r="T99" i="5"/>
  <c r="T101" i="5"/>
  <c r="T102" i="5"/>
  <c r="T103" i="5"/>
  <c r="T105" i="5"/>
  <c r="T108" i="5"/>
  <c r="T109" i="5"/>
  <c r="T110" i="5"/>
  <c r="T111" i="5"/>
  <c r="T112" i="5"/>
  <c r="T113" i="5"/>
  <c r="T114" i="5"/>
  <c r="T115" i="5"/>
  <c r="T117" i="5"/>
  <c r="T118" i="5"/>
  <c r="T119" i="5"/>
  <c r="T120" i="5"/>
  <c r="T121" i="5"/>
  <c r="T122" i="5"/>
  <c r="T123" i="5"/>
  <c r="T124" i="5"/>
  <c r="T125" i="5"/>
  <c r="T126" i="5"/>
  <c r="T127" i="5"/>
  <c r="T128" i="5"/>
  <c r="T129" i="5"/>
  <c r="T131" i="5"/>
  <c r="T132" i="5"/>
  <c r="T133" i="5"/>
  <c r="T134" i="5"/>
  <c r="T138" i="5"/>
  <c r="T139" i="5"/>
  <c r="T140" i="5"/>
  <c r="T143" i="5"/>
  <c r="U2" i="5"/>
  <c r="U3" i="5"/>
  <c r="U4" i="5"/>
  <c r="U5" i="5"/>
  <c r="U6" i="5"/>
  <c r="U7" i="5"/>
  <c r="U9" i="5"/>
  <c r="U14" i="5"/>
  <c r="U16" i="5"/>
  <c r="U19" i="5"/>
  <c r="U20" i="5"/>
  <c r="U21" i="5"/>
  <c r="U22" i="5"/>
  <c r="U23" i="5"/>
  <c r="U24" i="5"/>
  <c r="U25" i="5"/>
  <c r="U26" i="5"/>
  <c r="U27" i="5"/>
  <c r="U28" i="5"/>
  <c r="U29" i="5"/>
  <c r="U30" i="5"/>
  <c r="U31" i="5"/>
  <c r="U32" i="5"/>
  <c r="U34" i="5"/>
  <c r="U36" i="5"/>
  <c r="U39" i="5"/>
  <c r="U40" i="5"/>
  <c r="U41" i="5"/>
  <c r="U43" i="5"/>
  <c r="U45" i="5"/>
  <c r="U48" i="5"/>
  <c r="U50" i="5"/>
  <c r="U51" i="5"/>
  <c r="U52" i="5"/>
  <c r="U54" i="5"/>
  <c r="U55" i="5"/>
  <c r="U56" i="5"/>
  <c r="U57" i="5"/>
  <c r="U58" i="5"/>
  <c r="U59" i="5"/>
  <c r="U60" i="5"/>
  <c r="U61" i="5"/>
  <c r="U62" i="5"/>
  <c r="U63" i="5"/>
  <c r="U65" i="5"/>
  <c r="U67" i="5"/>
  <c r="U73" i="5"/>
  <c r="U75" i="5"/>
  <c r="U76" i="5"/>
  <c r="U77" i="5"/>
  <c r="U78" i="5"/>
  <c r="U80" i="5"/>
  <c r="U81" i="5"/>
  <c r="U82" i="5"/>
  <c r="U85" i="5"/>
  <c r="U88" i="5"/>
  <c r="U89" i="5"/>
  <c r="U90" i="5"/>
  <c r="U92" i="5"/>
  <c r="U93" i="5"/>
  <c r="U95" i="5"/>
  <c r="U96" i="5"/>
  <c r="U97" i="5"/>
  <c r="U98" i="5"/>
  <c r="U99" i="5"/>
  <c r="U100" i="5"/>
  <c r="U101" i="5"/>
  <c r="U102" i="5"/>
  <c r="U105" i="5"/>
  <c r="U108" i="5"/>
  <c r="U109" i="5"/>
  <c r="U110" i="5"/>
  <c r="U111" i="5"/>
  <c r="U112" i="5"/>
  <c r="U113" i="5"/>
  <c r="U116" i="5"/>
  <c r="U117" i="5"/>
  <c r="U119" i="5"/>
  <c r="U120" i="5"/>
  <c r="U121" i="5"/>
  <c r="U123" i="5"/>
  <c r="U124" i="5"/>
  <c r="U126" i="5"/>
  <c r="U128" i="5"/>
  <c r="U129" i="5"/>
  <c r="U132" i="5"/>
  <c r="U133" i="5"/>
  <c r="U137" i="5"/>
  <c r="U138" i="5"/>
  <c r="U139" i="5"/>
  <c r="U140" i="5"/>
  <c r="U141" i="5"/>
  <c r="U142" i="5"/>
  <c r="V2" i="5"/>
  <c r="V3" i="5"/>
  <c r="V4" i="5"/>
  <c r="V5" i="5"/>
  <c r="V6" i="5"/>
  <c r="V9" i="5"/>
  <c r="V10" i="5"/>
  <c r="V11" i="5"/>
  <c r="V12" i="5"/>
  <c r="V16" i="5"/>
  <c r="V19" i="5"/>
  <c r="V20" i="5"/>
  <c r="V21" i="5"/>
  <c r="V22" i="5"/>
  <c r="V23" i="5"/>
  <c r="V24" i="5"/>
  <c r="V25" i="5"/>
  <c r="V26" i="5"/>
  <c r="V27" i="5"/>
  <c r="V28" i="5"/>
  <c r="V29" i="5"/>
  <c r="V30" i="5"/>
  <c r="V31" i="5"/>
  <c r="V32" i="5"/>
  <c r="V33" i="5"/>
  <c r="V34" i="5"/>
  <c r="V35" i="5"/>
  <c r="V37" i="5"/>
  <c r="V39" i="5"/>
  <c r="V43" i="5"/>
  <c r="V44" i="5"/>
  <c r="V45" i="5"/>
  <c r="V47" i="5"/>
  <c r="V48" i="5"/>
  <c r="V50" i="5"/>
  <c r="V51" i="5"/>
  <c r="V52" i="5"/>
  <c r="V54" i="5"/>
  <c r="V55" i="5"/>
  <c r="V56" i="5"/>
  <c r="V57" i="5"/>
  <c r="V58" i="5"/>
  <c r="V61" i="5"/>
  <c r="V63" i="5"/>
  <c r="V64" i="5"/>
  <c r="V65" i="5"/>
  <c r="V66" i="5"/>
  <c r="V67" i="5"/>
  <c r="V68" i="5"/>
  <c r="V72" i="5"/>
  <c r="V73" i="5"/>
  <c r="V75" i="5"/>
  <c r="V76" i="5"/>
  <c r="V77" i="5"/>
  <c r="V79" i="5"/>
  <c r="V81" i="5"/>
  <c r="V82" i="5"/>
  <c r="V83" i="5"/>
  <c r="V84" i="5"/>
  <c r="V85" i="5"/>
  <c r="V87" i="5"/>
  <c r="V88" i="5"/>
  <c r="V89" i="5"/>
  <c r="V91" i="5"/>
  <c r="V92" i="5"/>
  <c r="V95" i="5"/>
  <c r="V96" i="5"/>
  <c r="V97" i="5"/>
  <c r="V98" i="5"/>
  <c r="V100" i="5"/>
  <c r="V102" i="5"/>
  <c r="V103" i="5"/>
  <c r="V108" i="5"/>
  <c r="V109" i="5"/>
  <c r="V110" i="5"/>
  <c r="V114" i="5"/>
  <c r="V115" i="5"/>
  <c r="V116" i="5"/>
  <c r="V117" i="5"/>
  <c r="V118" i="5"/>
  <c r="V119" i="5"/>
  <c r="V120" i="5"/>
  <c r="V121" i="5"/>
  <c r="V122" i="5"/>
  <c r="V123" i="5"/>
  <c r="V125" i="5"/>
  <c r="V126" i="5"/>
  <c r="V127" i="5"/>
  <c r="V131" i="5"/>
  <c r="V133" i="5"/>
  <c r="V134" i="5"/>
  <c r="V137" i="5"/>
  <c r="V138" i="5"/>
  <c r="V139" i="5"/>
  <c r="V140" i="5"/>
  <c r="V141" i="5"/>
  <c r="V142" i="5"/>
  <c r="V143" i="5"/>
  <c r="W2" i="5"/>
  <c r="W3" i="5"/>
  <c r="W4" i="5"/>
  <c r="W5" i="5"/>
  <c r="W6" i="5"/>
  <c r="W9" i="5"/>
  <c r="W10" i="5"/>
  <c r="W11" i="5"/>
  <c r="W12" i="5"/>
  <c r="W16" i="5"/>
  <c r="W20" i="5"/>
  <c r="W21" i="5"/>
  <c r="W22" i="5"/>
  <c r="W23" i="5"/>
  <c r="W25" i="5"/>
  <c r="W26" i="5"/>
  <c r="W27" i="5"/>
  <c r="W28" i="5"/>
  <c r="W29" i="5"/>
  <c r="W30" i="5"/>
  <c r="W31" i="5"/>
  <c r="W33" i="5"/>
  <c r="W34" i="5"/>
  <c r="W36" i="5"/>
  <c r="W39" i="5"/>
  <c r="W40" i="5"/>
  <c r="W41" i="5"/>
  <c r="W45" i="5"/>
  <c r="W47" i="5"/>
  <c r="W49" i="5"/>
  <c r="W50" i="5"/>
  <c r="W51" i="5"/>
  <c r="W52" i="5"/>
  <c r="W54" i="5"/>
  <c r="W55" i="5"/>
  <c r="W56" i="5"/>
  <c r="W57" i="5"/>
  <c r="W58" i="5"/>
  <c r="W59" i="5"/>
  <c r="W60" i="5"/>
  <c r="W61" i="5"/>
  <c r="W62" i="5"/>
  <c r="W63" i="5"/>
  <c r="W64" i="5"/>
  <c r="W65" i="5"/>
  <c r="W67" i="5"/>
  <c r="W75" i="5"/>
  <c r="W77" i="5"/>
  <c r="W78" i="5"/>
  <c r="W79" i="5"/>
  <c r="W81" i="5"/>
  <c r="W82" i="5"/>
  <c r="W83" i="5"/>
  <c r="W84" i="5"/>
  <c r="W87" i="5"/>
  <c r="W88" i="5"/>
  <c r="W89" i="5"/>
  <c r="W90" i="5"/>
  <c r="W91" i="5"/>
  <c r="W92" i="5"/>
  <c r="W93" i="5"/>
  <c r="W94" i="5"/>
  <c r="W96" i="5"/>
  <c r="W99" i="5"/>
  <c r="W101" i="5"/>
  <c r="W102" i="5"/>
  <c r="W103" i="5"/>
  <c r="W105" i="5"/>
  <c r="W108" i="5"/>
  <c r="W109" i="5"/>
  <c r="W110" i="5"/>
  <c r="W111" i="5"/>
  <c r="W112" i="5"/>
  <c r="W113" i="5"/>
  <c r="W114" i="5"/>
  <c r="W115" i="5"/>
  <c r="W117" i="5"/>
  <c r="W118" i="5"/>
  <c r="W119" i="5"/>
  <c r="W120" i="5"/>
  <c r="W121" i="5"/>
  <c r="W122" i="5"/>
  <c r="W123" i="5"/>
  <c r="W124" i="5"/>
  <c r="W125" i="5"/>
  <c r="W126" i="5"/>
  <c r="W127" i="5"/>
  <c r="W128" i="5"/>
  <c r="W129" i="5"/>
  <c r="W132" i="5"/>
  <c r="W133" i="5"/>
  <c r="W134" i="5"/>
  <c r="W138" i="5"/>
  <c r="W140" i="5"/>
  <c r="W143" i="5"/>
  <c r="X2" i="5"/>
  <c r="X3" i="5"/>
  <c r="X4" i="5"/>
  <c r="X5" i="5"/>
  <c r="X6" i="5"/>
  <c r="X7" i="5"/>
  <c r="X9" i="5"/>
  <c r="X19" i="5"/>
  <c r="X20" i="5"/>
  <c r="X21" i="5"/>
  <c r="X22" i="5"/>
  <c r="X23" i="5"/>
  <c r="X24" i="5"/>
  <c r="X25" i="5"/>
  <c r="X26" i="5"/>
  <c r="X27" i="5"/>
  <c r="X28" i="5"/>
  <c r="X29" i="5"/>
  <c r="X30" i="5"/>
  <c r="X31" i="5"/>
  <c r="X32" i="5"/>
  <c r="X34" i="5"/>
  <c r="X36" i="5"/>
  <c r="X37" i="5"/>
  <c r="X40" i="5"/>
  <c r="X43" i="5"/>
  <c r="X45" i="5"/>
  <c r="X47" i="5"/>
  <c r="X48" i="5"/>
  <c r="X50" i="5"/>
  <c r="X51" i="5"/>
  <c r="X52" i="5"/>
  <c r="X54" i="5"/>
  <c r="X55" i="5"/>
  <c r="X56" i="5"/>
  <c r="X57" i="5"/>
  <c r="X58" i="5"/>
  <c r="X60" i="5"/>
  <c r="X61" i="5"/>
  <c r="X63" i="5"/>
  <c r="X65" i="5"/>
  <c r="X67" i="5"/>
  <c r="X72" i="5"/>
  <c r="X73" i="5"/>
  <c r="X75" i="5"/>
  <c r="X76" i="5"/>
  <c r="X77" i="5"/>
  <c r="X79" i="5"/>
  <c r="X80" i="5"/>
  <c r="X81" i="5"/>
  <c r="X82" i="5"/>
  <c r="X83" i="5"/>
  <c r="X85" i="5"/>
  <c r="X88" i="5"/>
  <c r="X89" i="5"/>
  <c r="X90" i="5"/>
  <c r="X92" i="5"/>
  <c r="X93" i="5"/>
  <c r="X94" i="5"/>
  <c r="X95" i="5"/>
  <c r="X96" i="5"/>
  <c r="X98" i="5"/>
  <c r="X99" i="5"/>
  <c r="X100" i="5"/>
  <c r="X101" i="5"/>
  <c r="X102" i="5"/>
  <c r="X105" i="5"/>
  <c r="X108" i="5"/>
  <c r="X109" i="5"/>
  <c r="X110" i="5"/>
  <c r="X111" i="5"/>
  <c r="X112" i="5"/>
  <c r="X113" i="5"/>
  <c r="X116" i="5"/>
  <c r="X117" i="5"/>
  <c r="X119" i="5"/>
  <c r="X121" i="5"/>
  <c r="X122" i="5"/>
  <c r="X123" i="5"/>
  <c r="X124" i="5"/>
  <c r="X126" i="5"/>
  <c r="X128" i="5"/>
  <c r="X129" i="5"/>
  <c r="X132" i="5"/>
  <c r="X133" i="5"/>
  <c r="X137" i="5"/>
  <c r="X138" i="5"/>
  <c r="X139" i="5"/>
  <c r="X140" i="5"/>
  <c r="X141" i="5"/>
  <c r="X142" i="5"/>
  <c r="Y2" i="5"/>
  <c r="Y3" i="5"/>
  <c r="Y4" i="5"/>
  <c r="Y5" i="5"/>
  <c r="Y6" i="5"/>
  <c r="Y7" i="5"/>
  <c r="Y9" i="5"/>
  <c r="Y10" i="5"/>
  <c r="Y12" i="5"/>
  <c r="Y14" i="5"/>
  <c r="Y16" i="5"/>
  <c r="Y20" i="5"/>
  <c r="Y21" i="5"/>
  <c r="Y22" i="5"/>
  <c r="Y23" i="5"/>
  <c r="Y24" i="5"/>
  <c r="Y25" i="5"/>
  <c r="Y26" i="5"/>
  <c r="Y27" i="5"/>
  <c r="Y28" i="5"/>
  <c r="Y29" i="5"/>
  <c r="Y30" i="5"/>
  <c r="Y31" i="5"/>
  <c r="Y32" i="5"/>
  <c r="Y33" i="5"/>
  <c r="Y34" i="5"/>
  <c r="Y35" i="5"/>
  <c r="Y36" i="5"/>
  <c r="Y37" i="5"/>
  <c r="Y39" i="5"/>
  <c r="Y40" i="5"/>
  <c r="Y43" i="5"/>
  <c r="Y44" i="5"/>
  <c r="Y45" i="5"/>
  <c r="Y47" i="5"/>
  <c r="Y48" i="5"/>
  <c r="Y49" i="5"/>
  <c r="Y50" i="5"/>
  <c r="Y51" i="5"/>
  <c r="Y52" i="5"/>
  <c r="Y54" i="5"/>
  <c r="Y55" i="5"/>
  <c r="Y56" i="5"/>
  <c r="Y57" i="5"/>
  <c r="Y58" i="5"/>
  <c r="Y59" i="5"/>
  <c r="Y60" i="5"/>
  <c r="Y61" i="5"/>
  <c r="Y63" i="5"/>
  <c r="Y64" i="5"/>
  <c r="Y65" i="5"/>
  <c r="Y66" i="5"/>
  <c r="Y67" i="5"/>
  <c r="Y68" i="5"/>
  <c r="Y72" i="5"/>
  <c r="Y73" i="5"/>
  <c r="Y75" i="5"/>
  <c r="Y77" i="5"/>
  <c r="Y78" i="5"/>
  <c r="Y79" i="5"/>
  <c r="Y80" i="5"/>
  <c r="Y81" i="5"/>
  <c r="Y82" i="5"/>
  <c r="Y83" i="5"/>
  <c r="Y84" i="5"/>
  <c r="Y87" i="5"/>
  <c r="Y88" i="5"/>
  <c r="Y89" i="5"/>
  <c r="Y90" i="5"/>
  <c r="Y91" i="5"/>
  <c r="Y92" i="5"/>
  <c r="Y93" i="5"/>
  <c r="Y94" i="5"/>
  <c r="Y95" i="5"/>
  <c r="Y96" i="5"/>
  <c r="Y97" i="5"/>
  <c r="Y98" i="5"/>
  <c r="Y99" i="5"/>
  <c r="Y101" i="5"/>
  <c r="Y102" i="5"/>
  <c r="Y103" i="5"/>
  <c r="Y105" i="5"/>
  <c r="Y108" i="5"/>
  <c r="Y109" i="5"/>
  <c r="Y110" i="5"/>
  <c r="Y111" i="5"/>
  <c r="Y112" i="5"/>
  <c r="Y113" i="5"/>
  <c r="Y114" i="5"/>
  <c r="Y115" i="5"/>
  <c r="Y117" i="5"/>
  <c r="Y118" i="5"/>
  <c r="Y119" i="5"/>
  <c r="Y120" i="5"/>
  <c r="Y121" i="5"/>
  <c r="Y122" i="5"/>
  <c r="Y123" i="5"/>
  <c r="Y125" i="5"/>
  <c r="Y126" i="5"/>
  <c r="Y127" i="5"/>
  <c r="Y129" i="5"/>
  <c r="Y131" i="5"/>
  <c r="Y132" i="5"/>
  <c r="Y133" i="5"/>
  <c r="Y137" i="5"/>
  <c r="Y138" i="5"/>
  <c r="Y139" i="5"/>
  <c r="Y140" i="5"/>
  <c r="Y141" i="5"/>
  <c r="Y142" i="5"/>
  <c r="Y143"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4" i="5"/>
  <c r="Z55" i="5"/>
  <c r="Z56" i="5"/>
  <c r="Z57" i="5"/>
  <c r="Z58" i="5"/>
  <c r="Z59" i="5"/>
  <c r="Z60" i="5"/>
  <c r="Z61" i="5"/>
  <c r="Z62" i="5"/>
  <c r="Z63" i="5"/>
  <c r="Z64" i="5"/>
  <c r="Z65" i="5"/>
  <c r="Z67" i="5"/>
  <c r="Z68" i="5"/>
  <c r="Z72" i="5"/>
  <c r="Z73" i="5"/>
  <c r="Z75" i="5"/>
  <c r="Z76" i="5"/>
  <c r="Z77" i="5"/>
  <c r="Z78" i="5"/>
  <c r="Z79" i="5"/>
  <c r="Z80" i="5"/>
  <c r="Z81" i="5"/>
  <c r="Z82" i="5"/>
  <c r="Z83" i="5"/>
  <c r="Z84" i="5"/>
  <c r="Z85" i="5"/>
  <c r="Z87" i="5"/>
  <c r="Z88" i="5"/>
  <c r="Z89" i="5"/>
  <c r="Z91" i="5"/>
  <c r="Z92" i="5"/>
  <c r="Z93" i="5"/>
  <c r="Z94" i="5"/>
  <c r="Z95" i="5"/>
  <c r="Z96" i="5"/>
  <c r="Z97" i="5"/>
  <c r="Z98" i="5"/>
  <c r="Z99" i="5"/>
  <c r="Z100" i="5"/>
  <c r="Z101" i="5"/>
  <c r="Z102" i="5"/>
  <c r="Z103" i="5"/>
  <c r="Z105" i="5"/>
  <c r="Z108" i="5"/>
  <c r="Z109" i="5"/>
  <c r="Z110" i="5"/>
  <c r="Z111" i="5"/>
  <c r="Z112" i="5"/>
  <c r="Z113" i="5"/>
  <c r="Z114" i="5"/>
  <c r="Z115" i="5"/>
  <c r="Z116" i="5"/>
  <c r="Z117" i="5"/>
  <c r="Z118" i="5"/>
  <c r="Z119" i="5"/>
  <c r="Z120" i="5"/>
  <c r="Z121" i="5"/>
  <c r="Z122" i="5"/>
  <c r="Z123" i="5"/>
  <c r="Z124" i="5"/>
  <c r="Z125" i="5"/>
  <c r="Z126" i="5"/>
  <c r="Z127" i="5"/>
  <c r="Z129" i="5"/>
  <c r="Z131" i="5"/>
  <c r="Z132" i="5"/>
  <c r="Z133" i="5"/>
  <c r="Z134" i="5"/>
  <c r="Z137" i="5"/>
  <c r="Z138" i="5"/>
  <c r="Z139" i="5"/>
  <c r="Z140" i="5"/>
  <c r="Z141" i="5"/>
  <c r="Z142" i="5"/>
  <c r="Z143"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4" i="5"/>
  <c r="AA55" i="5"/>
  <c r="AA56" i="5"/>
  <c r="AA57" i="5"/>
  <c r="AA58" i="5"/>
  <c r="AA59" i="5"/>
  <c r="AA60" i="5"/>
  <c r="AA61" i="5"/>
  <c r="AA62" i="5"/>
  <c r="AA63" i="5"/>
  <c r="AA64" i="5"/>
  <c r="AA65" i="5"/>
  <c r="AA66" i="5"/>
  <c r="AA67" i="5"/>
  <c r="AA68" i="5"/>
  <c r="AA72" i="5"/>
  <c r="AA73" i="5"/>
  <c r="AA75" i="5"/>
  <c r="AA77" i="5"/>
  <c r="AA78" i="5"/>
  <c r="AA79" i="5"/>
  <c r="AA80" i="5"/>
  <c r="AA81" i="5"/>
  <c r="AA82" i="5"/>
  <c r="AA83" i="5"/>
  <c r="AA84" i="5"/>
  <c r="AA85" i="5"/>
  <c r="AA87" i="5"/>
  <c r="AA88" i="5"/>
  <c r="AA89" i="5"/>
  <c r="AA90" i="5"/>
  <c r="AA91" i="5"/>
  <c r="AA92" i="5"/>
  <c r="AA93" i="5"/>
  <c r="AA94" i="5"/>
  <c r="AA95" i="5"/>
  <c r="AA96" i="5"/>
  <c r="AA97" i="5"/>
  <c r="AA99" i="5"/>
  <c r="AA100" i="5"/>
  <c r="AA101" i="5"/>
  <c r="AA102" i="5"/>
  <c r="AA103" i="5"/>
  <c r="AA105" i="5"/>
  <c r="AA108" i="5"/>
  <c r="AA109" i="5"/>
  <c r="AA110" i="5"/>
  <c r="AA111" i="5"/>
  <c r="AA112" i="5"/>
  <c r="AA113" i="5"/>
  <c r="AA114" i="5"/>
  <c r="AA115" i="5"/>
  <c r="AA116" i="5"/>
  <c r="AA117" i="5"/>
  <c r="AA118" i="5"/>
  <c r="AA119" i="5"/>
  <c r="AA120" i="5"/>
  <c r="AA121" i="5"/>
  <c r="AA122" i="5"/>
  <c r="AA123" i="5"/>
  <c r="AA124" i="5"/>
  <c r="AA125" i="5"/>
  <c r="AA126" i="5"/>
  <c r="AA127" i="5"/>
  <c r="AA128" i="5"/>
  <c r="AA129" i="5"/>
  <c r="AA131" i="5"/>
  <c r="AA132" i="5"/>
  <c r="AA133" i="5"/>
  <c r="AA134" i="5"/>
  <c r="AA137" i="5"/>
  <c r="AA138" i="5"/>
  <c r="AA139" i="5"/>
  <c r="AA140" i="5"/>
  <c r="AA141" i="5"/>
  <c r="AA142" i="5"/>
  <c r="AA143"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4" i="5"/>
  <c r="AB55" i="5"/>
  <c r="AB56" i="5"/>
  <c r="AB57" i="5"/>
  <c r="AB58" i="5"/>
  <c r="AB59" i="5"/>
  <c r="AB60" i="5"/>
  <c r="AB61" i="5"/>
  <c r="AB62" i="5"/>
  <c r="AB63" i="5"/>
  <c r="AB64" i="5"/>
  <c r="AB65" i="5"/>
  <c r="AB66" i="5"/>
  <c r="AB67" i="5"/>
  <c r="AB68" i="5"/>
  <c r="AB72" i="5"/>
  <c r="AB73" i="5"/>
  <c r="AB75" i="5"/>
  <c r="AB76" i="5"/>
  <c r="AB77" i="5"/>
  <c r="AB78" i="5"/>
  <c r="AB79" i="5"/>
  <c r="AB80" i="5"/>
  <c r="AB81" i="5"/>
  <c r="AB82" i="5"/>
  <c r="AB83" i="5"/>
  <c r="AB84" i="5"/>
  <c r="AB85" i="5"/>
  <c r="AB88" i="5"/>
  <c r="AB89" i="5"/>
  <c r="AB90" i="5"/>
  <c r="AB91" i="5"/>
  <c r="AB92" i="5"/>
  <c r="AB93" i="5"/>
  <c r="AB94" i="5"/>
  <c r="AB95" i="5"/>
  <c r="AB96" i="5"/>
  <c r="AB97" i="5"/>
  <c r="AB98" i="5"/>
  <c r="AB99" i="5"/>
  <c r="AB100" i="5"/>
  <c r="AB101" i="5"/>
  <c r="AB102" i="5"/>
  <c r="AB103" i="5"/>
  <c r="AB105" i="5"/>
  <c r="AB108" i="5"/>
  <c r="AB109" i="5"/>
  <c r="AB110" i="5"/>
  <c r="AB111" i="5"/>
  <c r="AB112" i="5"/>
  <c r="AB113" i="5"/>
  <c r="AB114" i="5"/>
  <c r="AB115" i="5"/>
  <c r="AB116" i="5"/>
  <c r="AB117" i="5"/>
  <c r="AB118" i="5"/>
  <c r="AB119" i="5"/>
  <c r="AB120" i="5"/>
  <c r="AB121" i="5"/>
  <c r="AB122" i="5"/>
  <c r="AB123" i="5"/>
  <c r="AB124" i="5"/>
  <c r="AB125" i="5"/>
  <c r="AB126" i="5"/>
  <c r="AB127" i="5"/>
  <c r="AB128" i="5"/>
  <c r="AB129" i="5"/>
  <c r="AB131" i="5"/>
  <c r="AB132" i="5"/>
  <c r="AB133" i="5"/>
  <c r="AB134" i="5"/>
  <c r="AB137" i="5"/>
  <c r="AB138" i="5"/>
  <c r="AB139" i="5"/>
  <c r="AB140" i="5"/>
  <c r="AB141" i="5"/>
  <c r="AB142" i="5"/>
  <c r="AB143"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4" i="5"/>
  <c r="AC55" i="5"/>
  <c r="AC56" i="5"/>
  <c r="AC57" i="5"/>
  <c r="AC58" i="5"/>
  <c r="AC59" i="5"/>
  <c r="AC60" i="5"/>
  <c r="AC61" i="5"/>
  <c r="AC62" i="5"/>
  <c r="AC63" i="5"/>
  <c r="AC64" i="5"/>
  <c r="AC65" i="5"/>
  <c r="AC66" i="5"/>
  <c r="AC67" i="5"/>
  <c r="AC68" i="5"/>
  <c r="AC72" i="5"/>
  <c r="AC73" i="5"/>
  <c r="AC75" i="5"/>
  <c r="AC76" i="5"/>
  <c r="AC77" i="5"/>
  <c r="AC78" i="5"/>
  <c r="AC79" i="5"/>
  <c r="AC80" i="5"/>
  <c r="AC81" i="5"/>
  <c r="AC82" i="5"/>
  <c r="AC83" i="5"/>
  <c r="AC84" i="5"/>
  <c r="AC88" i="5"/>
  <c r="AC89" i="5"/>
  <c r="AC90" i="5"/>
  <c r="AC91" i="5"/>
  <c r="AC92" i="5"/>
  <c r="AC93" i="5"/>
  <c r="AC94" i="5"/>
  <c r="AC95" i="5"/>
  <c r="AC96" i="5"/>
  <c r="AC97" i="5"/>
  <c r="AC98" i="5"/>
  <c r="AC99" i="5"/>
  <c r="AC100" i="5"/>
  <c r="AC101" i="5"/>
  <c r="AC102" i="5"/>
  <c r="AC103" i="5"/>
  <c r="AC105" i="5"/>
  <c r="AC108" i="5"/>
  <c r="AC109" i="5"/>
  <c r="AC110" i="5"/>
  <c r="AC111" i="5"/>
  <c r="AC112" i="5"/>
  <c r="AC113" i="5"/>
  <c r="AC114" i="5"/>
  <c r="AC115" i="5"/>
  <c r="AC116" i="5"/>
  <c r="AC117" i="5"/>
  <c r="AC118" i="5"/>
  <c r="AC119" i="5"/>
  <c r="AC120" i="5"/>
  <c r="AC121" i="5"/>
  <c r="AC122" i="5"/>
  <c r="AC123" i="5"/>
  <c r="AC124" i="5"/>
  <c r="AC125" i="5"/>
  <c r="AC126" i="5"/>
  <c r="AC127" i="5"/>
  <c r="AC128" i="5"/>
  <c r="AC129" i="5"/>
  <c r="AC131" i="5"/>
  <c r="AC132" i="5"/>
  <c r="AC133" i="5"/>
  <c r="AC134" i="5"/>
  <c r="AC137" i="5"/>
  <c r="AC138" i="5"/>
  <c r="AC139" i="5"/>
  <c r="AC140" i="5"/>
  <c r="AC141" i="5"/>
  <c r="AC142" i="5"/>
  <c r="AC143"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4" i="5"/>
  <c r="AD55" i="5"/>
  <c r="AD56" i="5"/>
  <c r="AD57" i="5"/>
  <c r="AD60" i="5"/>
  <c r="AD61" i="5"/>
  <c r="AD62" i="5"/>
  <c r="AD63" i="5"/>
  <c r="AD64" i="5"/>
  <c r="AD65" i="5"/>
  <c r="AD66" i="5"/>
  <c r="AD67" i="5"/>
  <c r="AD68" i="5"/>
  <c r="AD72" i="5"/>
  <c r="AD73" i="5"/>
  <c r="AD75" i="5"/>
  <c r="AD76" i="5"/>
  <c r="AD77" i="5"/>
  <c r="AD78" i="5"/>
  <c r="AD79" i="5"/>
  <c r="AD80" i="5"/>
  <c r="AD81" i="5"/>
  <c r="AD82" i="5"/>
  <c r="AD83" i="5"/>
  <c r="AD84" i="5"/>
  <c r="AD85" i="5"/>
  <c r="AD87" i="5"/>
  <c r="AD88" i="5"/>
  <c r="AD89" i="5"/>
  <c r="AD90" i="5"/>
  <c r="AD91" i="5"/>
  <c r="AD92" i="5"/>
  <c r="AD94" i="5"/>
  <c r="AD95" i="5"/>
  <c r="AD96" i="5"/>
  <c r="AD98" i="5"/>
  <c r="AD99" i="5"/>
  <c r="AD100" i="5"/>
  <c r="AD101" i="5"/>
  <c r="AD102" i="5"/>
  <c r="AD103" i="5"/>
  <c r="AD105" i="5"/>
  <c r="AD108" i="5"/>
  <c r="AD109" i="5"/>
  <c r="AD110" i="5"/>
  <c r="AD111" i="5"/>
  <c r="AD114" i="5"/>
  <c r="AD116" i="5"/>
  <c r="AD117" i="5"/>
  <c r="AD119" i="5"/>
  <c r="AD120" i="5"/>
  <c r="AD121" i="5"/>
  <c r="AD122" i="5"/>
  <c r="AD123" i="5"/>
  <c r="AD124" i="5"/>
  <c r="AD125" i="5"/>
  <c r="AD126" i="5"/>
  <c r="AD127" i="5"/>
  <c r="AD128" i="5"/>
  <c r="AD132" i="5"/>
  <c r="AD133" i="5"/>
  <c r="AD134" i="5"/>
  <c r="AD138" i="5"/>
  <c r="AD139" i="5"/>
  <c r="AD141" i="5"/>
  <c r="AD142"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4" i="5"/>
  <c r="AE55" i="5"/>
  <c r="AE56" i="5"/>
  <c r="AE57" i="5"/>
  <c r="AE58" i="5"/>
  <c r="AE59" i="5"/>
  <c r="AE60" i="5"/>
  <c r="AE61" i="5"/>
  <c r="AE62" i="5"/>
  <c r="AE63" i="5"/>
  <c r="AE64" i="5"/>
  <c r="AE65" i="5"/>
  <c r="AE66" i="5"/>
  <c r="AE67" i="5"/>
  <c r="AE68" i="5"/>
  <c r="AE72" i="5"/>
  <c r="AE73" i="5"/>
  <c r="AE75" i="5"/>
  <c r="AE76" i="5"/>
  <c r="AE77" i="5"/>
  <c r="AE78" i="5"/>
  <c r="AE79" i="5"/>
  <c r="AE80" i="5"/>
  <c r="AE81" i="5"/>
  <c r="AE82" i="5"/>
  <c r="AE83" i="5"/>
  <c r="AE84" i="5"/>
  <c r="AE87" i="5"/>
  <c r="AE88" i="5"/>
  <c r="AE89" i="5"/>
  <c r="AE90" i="5"/>
  <c r="AE91" i="5"/>
  <c r="AE92" i="5"/>
  <c r="AE93" i="5"/>
  <c r="AE94" i="5"/>
  <c r="AE95" i="5"/>
  <c r="AE96" i="5"/>
  <c r="AE97" i="5"/>
  <c r="AE98" i="5"/>
  <c r="AE99" i="5"/>
  <c r="AE100" i="5"/>
  <c r="AE101" i="5"/>
  <c r="AE102" i="5"/>
  <c r="AE103" i="5"/>
  <c r="AE105" i="5"/>
  <c r="AE108" i="5"/>
  <c r="AE109" i="5"/>
  <c r="AE110" i="5"/>
  <c r="AE111" i="5"/>
  <c r="AE112" i="5"/>
  <c r="AE113" i="5"/>
  <c r="AE114" i="5"/>
  <c r="AE117" i="5"/>
  <c r="AE118" i="5"/>
  <c r="AE119" i="5"/>
  <c r="AE120" i="5"/>
  <c r="AE121" i="5"/>
  <c r="AE122" i="5"/>
  <c r="AE123" i="5"/>
  <c r="AE124" i="5"/>
  <c r="AE125" i="5"/>
  <c r="AE126" i="5"/>
  <c r="AE127" i="5"/>
  <c r="AE128" i="5"/>
  <c r="AE129" i="5"/>
  <c r="AE131" i="5"/>
  <c r="AE132" i="5"/>
  <c r="AE133" i="5"/>
  <c r="AE134" i="5"/>
  <c r="AE137" i="5"/>
  <c r="AE138" i="5"/>
  <c r="AE139" i="5"/>
  <c r="AE140" i="5"/>
  <c r="AE141" i="5"/>
  <c r="AE142" i="5"/>
  <c r="AE143"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4" i="5"/>
  <c r="AF55" i="5"/>
  <c r="AF56" i="5"/>
  <c r="AF57" i="5"/>
  <c r="AF58" i="5"/>
  <c r="AF59" i="5"/>
  <c r="AF60" i="5"/>
  <c r="AF61" i="5"/>
  <c r="AF62" i="5"/>
  <c r="AF63" i="5"/>
  <c r="AF64" i="5"/>
  <c r="AF65" i="5"/>
  <c r="AF66" i="5"/>
  <c r="AF67" i="5"/>
  <c r="AF68" i="5"/>
  <c r="AF72" i="5"/>
  <c r="AF73" i="5"/>
  <c r="AF75" i="5"/>
  <c r="AF76" i="5"/>
  <c r="AF77" i="5"/>
  <c r="AF79" i="5"/>
  <c r="AF80" i="5"/>
  <c r="AF81" i="5"/>
  <c r="AF82" i="5"/>
  <c r="AF83" i="5"/>
  <c r="AF84" i="5"/>
  <c r="AF87" i="5"/>
  <c r="AF88" i="5"/>
  <c r="AF89" i="5"/>
  <c r="AF90" i="5"/>
  <c r="AF91" i="5"/>
  <c r="AF92" i="5"/>
  <c r="AF93" i="5"/>
  <c r="AF94" i="5"/>
  <c r="AF95" i="5"/>
  <c r="AF96" i="5"/>
  <c r="AF97" i="5"/>
  <c r="AF98" i="5"/>
  <c r="AF99" i="5"/>
  <c r="AF100" i="5"/>
  <c r="AF101" i="5"/>
  <c r="AF102" i="5"/>
  <c r="AF103" i="5"/>
  <c r="AF105" i="5"/>
  <c r="AF108" i="5"/>
  <c r="AF109" i="5"/>
  <c r="AF110" i="5"/>
  <c r="AF111" i="5"/>
  <c r="AF112" i="5"/>
  <c r="AF113" i="5"/>
  <c r="AF114" i="5"/>
  <c r="AF115" i="5"/>
  <c r="AF116" i="5"/>
  <c r="AF117" i="5"/>
  <c r="AF118" i="5"/>
  <c r="AF119" i="5"/>
  <c r="AF120" i="5"/>
  <c r="AF121" i="5"/>
  <c r="AF122" i="5"/>
  <c r="AF123" i="5"/>
  <c r="AF124" i="5"/>
  <c r="AF125" i="5"/>
  <c r="AF126" i="5"/>
  <c r="AF127" i="5"/>
  <c r="AF128" i="5"/>
  <c r="AF129" i="5"/>
  <c r="AF131" i="5"/>
  <c r="AF132" i="5"/>
  <c r="AF133" i="5"/>
  <c r="AF134" i="5"/>
  <c r="AF137" i="5"/>
  <c r="AF138" i="5"/>
  <c r="AF139" i="5"/>
  <c r="AF140" i="5"/>
  <c r="AF141" i="5"/>
  <c r="AF142" i="5"/>
  <c r="AF143" i="5"/>
  <c r="AG2" i="5"/>
  <c r="AG3" i="5"/>
  <c r="AG4" i="5"/>
  <c r="AG5" i="5"/>
  <c r="AG6" i="5"/>
  <c r="AG9" i="5"/>
  <c r="AG10"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4" i="5"/>
  <c r="AG55" i="5"/>
  <c r="AG56" i="5"/>
  <c r="AG57" i="5"/>
  <c r="AG58" i="5"/>
  <c r="AG59" i="5"/>
  <c r="AG60" i="5"/>
  <c r="AG61" i="5"/>
  <c r="AG62" i="5"/>
  <c r="AG63" i="5"/>
  <c r="AG65" i="5"/>
  <c r="AG67" i="5"/>
  <c r="AG68" i="5"/>
  <c r="AG73" i="5"/>
  <c r="AG75" i="5"/>
  <c r="AG76" i="5"/>
  <c r="AG77" i="5"/>
  <c r="AG78" i="5"/>
  <c r="AG79" i="5"/>
  <c r="AG80" i="5"/>
  <c r="AG81" i="5"/>
  <c r="AG82" i="5"/>
  <c r="AG83" i="5"/>
  <c r="AG84" i="5"/>
  <c r="AG87" i="5"/>
  <c r="AG88" i="5"/>
  <c r="AG89" i="5"/>
  <c r="AG90" i="5"/>
  <c r="AG91" i="5"/>
  <c r="AG92" i="5"/>
  <c r="AG94" i="5"/>
  <c r="AG96" i="5"/>
  <c r="AG97" i="5"/>
  <c r="AG98" i="5"/>
  <c r="AG99" i="5"/>
  <c r="AG100" i="5"/>
  <c r="AG101" i="5"/>
  <c r="AG102" i="5"/>
  <c r="AG103" i="5"/>
  <c r="AG105" i="5"/>
  <c r="AG108" i="5"/>
  <c r="AG109" i="5"/>
  <c r="AG110" i="5"/>
  <c r="AG111" i="5"/>
  <c r="AG114" i="5"/>
  <c r="AG115" i="5"/>
  <c r="AG117" i="5"/>
  <c r="AG118" i="5"/>
  <c r="AG119" i="5"/>
  <c r="AG120" i="5"/>
  <c r="AG121" i="5"/>
  <c r="AG122" i="5"/>
  <c r="AG123" i="5"/>
  <c r="AG124" i="5"/>
  <c r="AG125" i="5"/>
  <c r="AG126" i="5"/>
  <c r="AG128" i="5"/>
  <c r="AG132" i="5"/>
  <c r="AG133" i="5"/>
  <c r="AG134" i="5"/>
  <c r="AG137" i="5"/>
  <c r="AG138" i="5"/>
  <c r="AG139" i="5"/>
  <c r="AG140" i="5"/>
  <c r="AG141" i="5"/>
  <c r="AG142"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4" i="5"/>
  <c r="AH55" i="5"/>
  <c r="AH56" i="5"/>
  <c r="AH57" i="5"/>
  <c r="AH58" i="5"/>
  <c r="AH59" i="5"/>
  <c r="AH60" i="5"/>
  <c r="AH61" i="5"/>
  <c r="AH62" i="5"/>
  <c r="AH63" i="5"/>
  <c r="AH64" i="5"/>
  <c r="AH65" i="5"/>
  <c r="AH67" i="5"/>
  <c r="AH68" i="5"/>
  <c r="AH72" i="5"/>
  <c r="AH73" i="5"/>
  <c r="AH75" i="5"/>
  <c r="AH76" i="5"/>
  <c r="AH77" i="5"/>
  <c r="AH78" i="5"/>
  <c r="AH80" i="5"/>
  <c r="AH81" i="5"/>
  <c r="AH82" i="5"/>
  <c r="AH83" i="5"/>
  <c r="AH84" i="5"/>
  <c r="AH85" i="5"/>
  <c r="AH87" i="5"/>
  <c r="AH89" i="5"/>
  <c r="AH90" i="5"/>
  <c r="AH91" i="5"/>
  <c r="AH92" i="5"/>
  <c r="AH93" i="5"/>
  <c r="AH95" i="5"/>
  <c r="AH96" i="5"/>
  <c r="AH97" i="5"/>
  <c r="AH98" i="5"/>
  <c r="AH99" i="5"/>
  <c r="AH101" i="5"/>
  <c r="AH102" i="5"/>
  <c r="AH103" i="5"/>
  <c r="AH105" i="5"/>
  <c r="AH108" i="5"/>
  <c r="AH109" i="5"/>
  <c r="AH110" i="5"/>
  <c r="AH111" i="5"/>
  <c r="AH112" i="5"/>
  <c r="AH113" i="5"/>
  <c r="AH114" i="5"/>
  <c r="AH115" i="5"/>
  <c r="AH116" i="5"/>
  <c r="AH117" i="5"/>
  <c r="AH118" i="5"/>
  <c r="AH119" i="5"/>
  <c r="AH120" i="5"/>
  <c r="AH121" i="5"/>
  <c r="AH122" i="5"/>
  <c r="AH123" i="5"/>
  <c r="AH124" i="5"/>
  <c r="AH125" i="5"/>
  <c r="AH126" i="5"/>
  <c r="AH127" i="5"/>
  <c r="AH128" i="5"/>
  <c r="AH132" i="5"/>
  <c r="AH133" i="5"/>
  <c r="AH134" i="5"/>
  <c r="AH138" i="5"/>
  <c r="AH139" i="5"/>
  <c r="AH140" i="5"/>
  <c r="AH141" i="5"/>
  <c r="AH143"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4" i="5"/>
  <c r="AJ55" i="5"/>
  <c r="AJ56" i="5"/>
  <c r="AJ57" i="5"/>
  <c r="AJ58" i="5"/>
  <c r="AJ59" i="5"/>
  <c r="AJ60" i="5"/>
  <c r="AJ61" i="5"/>
  <c r="AJ62" i="5"/>
  <c r="AJ63" i="5"/>
  <c r="AJ64" i="5"/>
  <c r="AJ65" i="5"/>
  <c r="AJ66" i="5"/>
  <c r="AJ67" i="5"/>
  <c r="AJ68" i="5"/>
  <c r="AJ72" i="5"/>
  <c r="AJ73" i="5"/>
  <c r="AJ75" i="5"/>
  <c r="AJ76" i="5"/>
  <c r="AJ77" i="5"/>
  <c r="AJ80" i="5"/>
  <c r="AJ81" i="5"/>
  <c r="AJ82" i="5"/>
  <c r="AJ83" i="5"/>
  <c r="AJ84" i="5"/>
  <c r="AJ85" i="5"/>
  <c r="AJ87" i="5"/>
  <c r="AJ88" i="5"/>
  <c r="AJ89" i="5"/>
  <c r="AJ90" i="5"/>
  <c r="AJ91" i="5"/>
  <c r="AJ92" i="5"/>
  <c r="AJ93" i="5"/>
  <c r="AJ94" i="5"/>
  <c r="AJ95" i="5"/>
  <c r="AJ96" i="5"/>
  <c r="AJ97" i="5"/>
  <c r="AJ98" i="5"/>
  <c r="AJ100" i="5"/>
  <c r="AJ101" i="5"/>
  <c r="AJ102" i="5"/>
  <c r="AJ103" i="5"/>
  <c r="AJ108" i="5"/>
  <c r="AJ109" i="5"/>
  <c r="AJ110" i="5"/>
  <c r="AJ111" i="5"/>
  <c r="AJ112" i="5"/>
  <c r="AJ113" i="5"/>
  <c r="AJ114" i="5"/>
  <c r="AJ115" i="5"/>
  <c r="AJ116" i="5"/>
  <c r="AJ117" i="5"/>
  <c r="AJ118" i="5"/>
  <c r="AJ119" i="5"/>
  <c r="AJ120" i="5"/>
  <c r="AJ121" i="5"/>
  <c r="AJ122" i="5"/>
  <c r="AJ123" i="5"/>
  <c r="AJ124" i="5"/>
  <c r="AJ125" i="5"/>
  <c r="AJ126" i="5"/>
  <c r="AJ127" i="5"/>
  <c r="AJ128" i="5"/>
  <c r="AJ129" i="5"/>
  <c r="AJ131" i="5"/>
  <c r="AJ132" i="5"/>
  <c r="AJ133" i="5"/>
  <c r="AJ134" i="5"/>
  <c r="AJ137" i="5"/>
  <c r="AJ138" i="5"/>
  <c r="AJ139" i="5"/>
  <c r="AJ140" i="5"/>
  <c r="AJ141" i="5"/>
  <c r="AJ142" i="5"/>
  <c r="AJ143"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4" i="5"/>
  <c r="AK55" i="5"/>
  <c r="AK56" i="5"/>
  <c r="AK57" i="5"/>
  <c r="AK58" i="5"/>
  <c r="AK59" i="5"/>
  <c r="AK60" i="5"/>
  <c r="AK61" i="5"/>
  <c r="AK62" i="5"/>
  <c r="AK63" i="5"/>
  <c r="AK64" i="5"/>
  <c r="AK65" i="5"/>
  <c r="AK66" i="5"/>
  <c r="AK67" i="5"/>
  <c r="AK68" i="5"/>
  <c r="AK72" i="5"/>
  <c r="AK73" i="5"/>
  <c r="AK75" i="5"/>
  <c r="AK76" i="5"/>
  <c r="AK77" i="5"/>
  <c r="AK78" i="5"/>
  <c r="AK79" i="5"/>
  <c r="AK80" i="5"/>
  <c r="AK81" i="5"/>
  <c r="AK82" i="5"/>
  <c r="AK83" i="5"/>
  <c r="AK84" i="5"/>
  <c r="AK85" i="5"/>
  <c r="AK87" i="5"/>
  <c r="AK88" i="5"/>
  <c r="AK89" i="5"/>
  <c r="AK90" i="5"/>
  <c r="AK91" i="5"/>
  <c r="AK92" i="5"/>
  <c r="AK93" i="5"/>
  <c r="AK94" i="5"/>
  <c r="AK95" i="5"/>
  <c r="AK96" i="5"/>
  <c r="AK97" i="5"/>
  <c r="AK98" i="5"/>
  <c r="AK99" i="5"/>
  <c r="AK100" i="5"/>
  <c r="AK101" i="5"/>
  <c r="AK102" i="5"/>
  <c r="AK103" i="5"/>
  <c r="AK105" i="5"/>
  <c r="AK108" i="5"/>
  <c r="AK109" i="5"/>
  <c r="AK110" i="5"/>
  <c r="AK111" i="5"/>
  <c r="AK112" i="5"/>
  <c r="AK113" i="5"/>
  <c r="AK114" i="5"/>
  <c r="AK117" i="5"/>
  <c r="AK118" i="5"/>
  <c r="AK119" i="5"/>
  <c r="AK120" i="5"/>
  <c r="AK121" i="5"/>
  <c r="AK122" i="5"/>
  <c r="AK123" i="5"/>
  <c r="AK124" i="5"/>
  <c r="AK125" i="5"/>
  <c r="AK126" i="5"/>
  <c r="AK127" i="5"/>
  <c r="AK129" i="5"/>
  <c r="AK131" i="5"/>
  <c r="AK132" i="5"/>
  <c r="AK133" i="5"/>
  <c r="AK134" i="5"/>
  <c r="AK137" i="5"/>
  <c r="AK138" i="5"/>
  <c r="AK139" i="5"/>
  <c r="AK140" i="5"/>
  <c r="AK141" i="5"/>
  <c r="AK142" i="5"/>
  <c r="AK143" i="5"/>
  <c r="AL2" i="5"/>
  <c r="AL3" i="5"/>
  <c r="AL4" i="5"/>
  <c r="AL5" i="5"/>
  <c r="AL6" i="5"/>
  <c r="AL7" i="5"/>
  <c r="AL9" i="5"/>
  <c r="AL10" i="5"/>
  <c r="AL11" i="5"/>
  <c r="AL12"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4" i="5"/>
  <c r="AL55" i="5"/>
  <c r="AL56" i="5"/>
  <c r="AL57" i="5"/>
  <c r="AL58" i="5"/>
  <c r="AL59" i="5"/>
  <c r="AL60" i="5"/>
  <c r="AL61" i="5"/>
  <c r="AL62" i="5"/>
  <c r="AL63" i="5"/>
  <c r="AL64" i="5"/>
  <c r="AL65" i="5"/>
  <c r="AL66" i="5"/>
  <c r="AL67" i="5"/>
  <c r="AL68" i="5"/>
  <c r="AL72" i="5"/>
  <c r="AL73" i="5"/>
  <c r="AL75" i="5"/>
  <c r="AL76" i="5"/>
  <c r="AL77" i="5"/>
  <c r="AL78" i="5"/>
  <c r="AL79" i="5"/>
  <c r="AL80" i="5"/>
  <c r="AL81" i="5"/>
  <c r="AL82" i="5"/>
  <c r="AL83" i="5"/>
  <c r="AL84" i="5"/>
  <c r="AL85" i="5"/>
  <c r="AL87" i="5"/>
  <c r="AL88" i="5"/>
  <c r="AL89" i="5"/>
  <c r="AL90" i="5"/>
  <c r="AL91" i="5"/>
  <c r="AL92" i="5"/>
  <c r="AL93" i="5"/>
  <c r="AL94" i="5"/>
  <c r="AL95" i="5"/>
  <c r="AL96" i="5"/>
  <c r="AL97" i="5"/>
  <c r="AL98" i="5"/>
  <c r="AL99" i="5"/>
  <c r="AL100" i="5"/>
  <c r="AL101" i="5"/>
  <c r="AL102" i="5"/>
  <c r="AL103" i="5"/>
  <c r="AL105" i="5"/>
  <c r="AL108" i="5"/>
  <c r="AL109" i="5"/>
  <c r="AL110" i="5"/>
  <c r="AL111" i="5"/>
  <c r="AL112" i="5"/>
  <c r="AL113" i="5"/>
  <c r="AL114" i="5"/>
  <c r="AL115" i="5"/>
  <c r="AL117" i="5"/>
  <c r="AL118" i="5"/>
  <c r="AL119" i="5"/>
  <c r="AL120" i="5"/>
  <c r="AL121" i="5"/>
  <c r="AL122" i="5"/>
  <c r="AL123" i="5"/>
  <c r="AL124" i="5"/>
  <c r="AL126" i="5"/>
  <c r="AL127" i="5"/>
  <c r="AL128" i="5"/>
  <c r="AL129" i="5"/>
  <c r="AL131" i="5"/>
  <c r="AL132" i="5"/>
  <c r="AL133" i="5"/>
  <c r="AL134" i="5"/>
  <c r="AL137" i="5"/>
  <c r="AL138" i="5"/>
  <c r="AL139" i="5"/>
  <c r="AL140" i="5"/>
  <c r="AL141" i="5"/>
  <c r="AL142" i="5"/>
  <c r="AL143" i="5"/>
  <c r="AM54" i="5"/>
  <c r="AM55" i="5"/>
  <c r="AM56" i="5"/>
  <c r="AM57" i="5"/>
  <c r="AM58" i="5"/>
  <c r="AM59" i="5"/>
  <c r="AM60" i="5"/>
  <c r="AM61" i="5"/>
  <c r="AM62" i="5"/>
  <c r="AM63" i="5"/>
  <c r="AM65" i="5"/>
  <c r="AM66" i="5"/>
  <c r="AM67" i="5"/>
  <c r="AM68" i="5"/>
  <c r="AM72" i="5"/>
  <c r="AM73" i="5"/>
  <c r="AM75" i="5"/>
  <c r="AM76" i="5"/>
  <c r="AM77" i="5"/>
  <c r="AM78" i="5"/>
  <c r="AM79" i="5"/>
  <c r="AM80" i="5"/>
  <c r="AM81" i="5"/>
  <c r="AM82" i="5"/>
  <c r="AM83" i="5"/>
  <c r="AM84" i="5"/>
  <c r="AM85" i="5"/>
  <c r="AM87" i="5"/>
  <c r="AM88" i="5"/>
  <c r="AM89" i="5"/>
  <c r="AM90" i="5"/>
  <c r="AM91" i="5"/>
  <c r="AM92" i="5"/>
  <c r="AM93" i="5"/>
  <c r="AM96" i="5"/>
  <c r="AM97" i="5"/>
  <c r="AM98" i="5"/>
  <c r="AM99" i="5"/>
  <c r="AM101" i="5"/>
  <c r="AM102" i="5"/>
  <c r="AM103" i="5"/>
  <c r="AM105" i="5"/>
  <c r="AM109" i="5"/>
  <c r="AM110" i="5"/>
  <c r="AM111" i="5"/>
  <c r="AM114" i="5"/>
  <c r="AM115" i="5"/>
  <c r="AM117" i="5"/>
  <c r="AM118" i="5"/>
  <c r="AM119" i="5"/>
  <c r="AM120" i="5"/>
  <c r="AM121" i="5"/>
  <c r="AM122" i="5"/>
  <c r="AM123" i="5"/>
  <c r="AM124" i="5"/>
  <c r="AM126" i="5"/>
  <c r="AM128" i="5"/>
  <c r="AM129" i="5"/>
  <c r="AM132" i="5"/>
  <c r="AM133" i="5"/>
  <c r="AM134" i="5"/>
  <c r="AM137" i="5"/>
  <c r="AM138" i="5"/>
  <c r="AM139" i="5"/>
  <c r="AM140" i="5"/>
  <c r="AM141" i="5"/>
  <c r="AM142" i="5"/>
  <c r="AM143"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4" i="5"/>
  <c r="AO55" i="5"/>
  <c r="AO56" i="5"/>
  <c r="AO57" i="5"/>
  <c r="AO58" i="5"/>
  <c r="AO59" i="5"/>
  <c r="AO60" i="5"/>
  <c r="AO61" i="5"/>
  <c r="AO62" i="5"/>
  <c r="AO63" i="5"/>
  <c r="AO64" i="5"/>
  <c r="AO65" i="5"/>
  <c r="AO66" i="5"/>
  <c r="AO67" i="5"/>
  <c r="AO68" i="5"/>
  <c r="AO71" i="5"/>
  <c r="AO72" i="5"/>
  <c r="AO73" i="5"/>
  <c r="AO75" i="5"/>
  <c r="AO76" i="5"/>
  <c r="AO77" i="5"/>
  <c r="AO78" i="5"/>
  <c r="AO79" i="5"/>
  <c r="AO80" i="5"/>
  <c r="AO81" i="5"/>
  <c r="AO82" i="5"/>
  <c r="AO83" i="5"/>
  <c r="AO84" i="5"/>
  <c r="AO85" i="5"/>
  <c r="AO87" i="5"/>
  <c r="AO88" i="5"/>
  <c r="AO89" i="5"/>
  <c r="AO90" i="5"/>
  <c r="AO91" i="5"/>
  <c r="AO92" i="5"/>
  <c r="AO93" i="5"/>
  <c r="AO94" i="5"/>
  <c r="AO95" i="5"/>
  <c r="AO96" i="5"/>
  <c r="AO97" i="5"/>
  <c r="AO98" i="5"/>
  <c r="AO99" i="5"/>
  <c r="AO100" i="5"/>
  <c r="AO101" i="5"/>
  <c r="AO102" i="5"/>
  <c r="AO103" i="5"/>
  <c r="AO105" i="5"/>
  <c r="AO108" i="5"/>
  <c r="AO109" i="5"/>
  <c r="AO110" i="5"/>
  <c r="AO111" i="5"/>
  <c r="AO112" i="5"/>
  <c r="AO113" i="5"/>
  <c r="AO114" i="5"/>
  <c r="AO115" i="5"/>
  <c r="AO116" i="5"/>
  <c r="AO117" i="5"/>
  <c r="AO118" i="5"/>
  <c r="AO119" i="5"/>
  <c r="AO120" i="5"/>
  <c r="AO121" i="5"/>
  <c r="AO122" i="5"/>
  <c r="AO123" i="5"/>
  <c r="AO124" i="5"/>
  <c r="AO125" i="5"/>
  <c r="AO126" i="5"/>
  <c r="AO128" i="5"/>
  <c r="AO129" i="5"/>
  <c r="AO131" i="5"/>
  <c r="AO132" i="5"/>
  <c r="AO133" i="5"/>
  <c r="AO134" i="5"/>
  <c r="AO137" i="5"/>
  <c r="AO138" i="5"/>
  <c r="AO139" i="5"/>
  <c r="AO140" i="5"/>
  <c r="AO141" i="5"/>
  <c r="AO142" i="5"/>
  <c r="AO143"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9" i="9"/>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14" i="8"/>
  <c r="F16" i="8"/>
  <c r="F29" i="8"/>
  <c r="F33" i="8"/>
  <c r="F55" i="8"/>
  <c r="F56" i="8"/>
  <c r="F68" i="8"/>
  <c r="F72" i="8"/>
  <c r="F80" i="8"/>
  <c r="F93" i="8"/>
  <c r="F96" i="8"/>
  <c r="F103" i="8"/>
  <c r="F115" i="8"/>
  <c r="F116" i="8"/>
  <c r="F120" i="8"/>
  <c r="F123" i="8"/>
  <c r="F129" i="8"/>
  <c r="F137" i="8"/>
  <c r="E146" i="8"/>
  <c r="J5" i="11"/>
  <c r="E16" i="8"/>
  <c r="E38" i="8"/>
  <c r="E56" i="8"/>
  <c r="E68" i="8"/>
  <c r="E80" i="8"/>
  <c r="E86" i="8"/>
  <c r="E96" i="8"/>
  <c r="E100" i="8"/>
  <c r="E115" i="8"/>
  <c r="E116" i="8"/>
  <c r="E123" i="8"/>
  <c r="E129" i="8"/>
  <c r="E137" i="8"/>
  <c r="D146" i="8"/>
  <c r="D5" i="11"/>
  <c r="D16" i="8"/>
  <c r="D27" i="8"/>
  <c r="D55" i="8"/>
  <c r="D68" i="8"/>
  <c r="D90" i="8"/>
  <c r="D93" i="8"/>
  <c r="D96" i="8"/>
  <c r="D103" i="8"/>
  <c r="D115" i="8"/>
  <c r="D116" i="8"/>
  <c r="D120" i="8"/>
  <c r="D124" i="8"/>
  <c r="D137" i="8"/>
  <c r="Q19" i="11"/>
  <c r="C146" i="8"/>
  <c r="C16" i="8"/>
  <c r="C29" i="8"/>
  <c r="C38" i="8"/>
  <c r="C67" i="8"/>
  <c r="C68" i="8"/>
  <c r="C75" i="8"/>
  <c r="C86" i="8"/>
  <c r="C93" i="8"/>
  <c r="C96" i="8"/>
  <c r="C115" i="8"/>
  <c r="C116" i="8"/>
  <c r="C120" i="8"/>
  <c r="C124" i="8"/>
  <c r="C13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B75" i="4"/>
  <c r="BB74"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AR75" i="4"/>
  <c r="AR74" i="4"/>
  <c r="AR48" i="4"/>
  <c r="AR47" i="4"/>
  <c r="AR46" i="4"/>
  <c r="AR45" i="4"/>
  <c r="AR44" i="4"/>
  <c r="AR43" i="4"/>
  <c r="AR42" i="4"/>
  <c r="AR41" i="4"/>
  <c r="AR40" i="4"/>
  <c r="AR39" i="4"/>
  <c r="AR38" i="4"/>
  <c r="AR37" i="4"/>
  <c r="AR36" i="4"/>
  <c r="AR35" i="4"/>
  <c r="AR34" i="4"/>
  <c r="AR33" i="4"/>
  <c r="AR32" i="4"/>
  <c r="AR31" i="4"/>
  <c r="AR30" i="4"/>
  <c r="AR29" i="4"/>
  <c r="AR28" i="4"/>
  <c r="AM4" i="4"/>
  <c r="AM5" i="4"/>
  <c r="AM6" i="4"/>
  <c r="AM7" i="4"/>
  <c r="AM8" i="4"/>
  <c r="AM9" i="4"/>
  <c r="AM10" i="4"/>
  <c r="AM11" i="4"/>
  <c r="AM12" i="4"/>
  <c r="AM13" i="4"/>
  <c r="AM14" i="4"/>
  <c r="AM15" i="4"/>
  <c r="AM16" i="4"/>
  <c r="AH75" i="4"/>
  <c r="AH74"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C75" i="4"/>
  <c r="AC74" i="4"/>
  <c r="AC48" i="4"/>
  <c r="AC47" i="4"/>
  <c r="AC46" i="4"/>
  <c r="AC45" i="4"/>
  <c r="AC44" i="4"/>
  <c r="AC43" i="4"/>
  <c r="AC42" i="4"/>
  <c r="AC41" i="4"/>
  <c r="AC40" i="4"/>
  <c r="AC39" i="4"/>
  <c r="AC38" i="4"/>
  <c r="AC37" i="4"/>
  <c r="AC36" i="4"/>
  <c r="AC35" i="4"/>
  <c r="AC34" i="4"/>
  <c r="AC33" i="4"/>
  <c r="AC32" i="4"/>
  <c r="AC26" i="4"/>
  <c r="AC27" i="4"/>
  <c r="AC28" i="4"/>
  <c r="AC29" i="4"/>
  <c r="AC30" i="4"/>
  <c r="AC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P1357" i="1"/>
  <c r="M1357" i="1"/>
  <c r="M1356" i="1"/>
  <c r="P1355" i="1"/>
  <c r="M1355" i="1"/>
  <c r="P1354" i="1"/>
  <c r="M1354" i="1"/>
  <c r="M1353" i="1"/>
  <c r="P1352" i="1"/>
  <c r="M1352" i="1"/>
  <c r="P1351" i="1"/>
  <c r="M1351" i="1"/>
  <c r="M1350" i="1"/>
  <c r="P1349" i="1"/>
  <c r="M1349" i="1"/>
  <c r="P1348" i="1"/>
  <c r="M1348" i="1"/>
  <c r="M1347" i="1"/>
  <c r="P1346" i="1"/>
  <c r="M1346" i="1"/>
  <c r="M1345" i="1"/>
  <c r="M1344" i="1"/>
  <c r="P1343" i="1"/>
  <c r="M1343" i="1"/>
  <c r="P1342"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P1327" i="1"/>
  <c r="M1327" i="1"/>
  <c r="M1326" i="1"/>
  <c r="P1325" i="1"/>
  <c r="M1325" i="1"/>
  <c r="P1324" i="1"/>
  <c r="M1324" i="1"/>
  <c r="M1323" i="1"/>
  <c r="P1322" i="1"/>
  <c r="M1322" i="1"/>
  <c r="P1321" i="1"/>
  <c r="M1321" i="1"/>
  <c r="M1320" i="1"/>
  <c r="P1319" i="1"/>
  <c r="M1319" i="1"/>
  <c r="M1318" i="1"/>
  <c r="M1317" i="1"/>
  <c r="P1315" i="1"/>
  <c r="P1316" i="1"/>
  <c r="M1316" i="1"/>
  <c r="M1315" i="1"/>
  <c r="M1314" i="1"/>
  <c r="K16" i="8"/>
  <c r="K36" i="8"/>
  <c r="K55" i="8"/>
  <c r="K56" i="8"/>
  <c r="K68" i="8"/>
  <c r="K74" i="8"/>
  <c r="K91" i="8"/>
  <c r="K96" i="8"/>
  <c r="K98" i="8"/>
  <c r="K101" i="8"/>
  <c r="K114" i="8"/>
  <c r="K115" i="8"/>
  <c r="K116" i="8"/>
  <c r="K120" i="8"/>
  <c r="K126" i="8"/>
  <c r="K132" i="8"/>
  <c r="K136" i="8"/>
  <c r="K137" i="8"/>
  <c r="J16" i="8"/>
  <c r="J38" i="8"/>
  <c r="J55" i="8"/>
  <c r="J56" i="8"/>
  <c r="J57" i="8"/>
  <c r="J60" i="8"/>
  <c r="J67" i="8"/>
  <c r="J68" i="8"/>
  <c r="J70" i="8"/>
  <c r="J74" i="8"/>
  <c r="J80" i="8"/>
  <c r="J87" i="8"/>
  <c r="J88" i="8"/>
  <c r="J92" i="8"/>
  <c r="J96" i="8"/>
  <c r="J98" i="8"/>
  <c r="J103" i="8"/>
  <c r="J114" i="8"/>
  <c r="J115" i="8"/>
  <c r="J116" i="8"/>
  <c r="J118" i="8"/>
  <c r="J120" i="8"/>
  <c r="J123" i="8"/>
  <c r="J126" i="8"/>
  <c r="J128" i="8"/>
  <c r="J132" i="8"/>
  <c r="J137" i="8"/>
  <c r="I8" i="8"/>
  <c r="I14" i="8"/>
  <c r="I16" i="8"/>
  <c r="I27" i="8"/>
  <c r="I37" i="8"/>
  <c r="I56" i="8"/>
  <c r="I57" i="8"/>
  <c r="I68" i="8"/>
  <c r="I75" i="8"/>
  <c r="I80" i="8"/>
  <c r="I87" i="8"/>
  <c r="I88" i="8"/>
  <c r="I91" i="8"/>
  <c r="I96" i="8"/>
  <c r="I98" i="8"/>
  <c r="I101" i="8"/>
  <c r="I114" i="8"/>
  <c r="I115" i="8"/>
  <c r="I116" i="8"/>
  <c r="I120" i="8"/>
  <c r="I124" i="8"/>
  <c r="I126" i="8"/>
  <c r="I129" i="8"/>
  <c r="I132" i="8"/>
  <c r="I137" i="8"/>
  <c r="H6" i="8"/>
  <c r="H16" i="8"/>
  <c r="H27" i="8"/>
  <c r="H28" i="8"/>
  <c r="H36" i="8"/>
  <c r="H39" i="8"/>
  <c r="H56" i="8"/>
  <c r="H57" i="8"/>
  <c r="H62" i="8"/>
  <c r="H68" i="8"/>
  <c r="H72" i="8"/>
  <c r="H80" i="8"/>
  <c r="H86" i="8"/>
  <c r="H88" i="8"/>
  <c r="H91" i="8"/>
  <c r="H96" i="8"/>
  <c r="H98" i="8"/>
  <c r="H101" i="8"/>
  <c r="H114" i="8"/>
  <c r="H115" i="8"/>
  <c r="H116" i="8"/>
  <c r="H120" i="8"/>
  <c r="H126" i="8"/>
  <c r="H132" i="8"/>
  <c r="H137"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M1287" i="1"/>
  <c r="P1286" i="1"/>
  <c r="M1286" i="1"/>
  <c r="P1285" i="1"/>
  <c r="M1285" i="1"/>
  <c r="M1284" i="1"/>
  <c r="K19" i="11"/>
  <c r="K152" i="8"/>
  <c r="J152" i="8"/>
  <c r="K151" i="8"/>
  <c r="J151" i="8"/>
  <c r="K150" i="8"/>
  <c r="J150" i="8"/>
  <c r="K149" i="8"/>
  <c r="J149" i="8"/>
  <c r="K148" i="8"/>
  <c r="J148" i="8"/>
  <c r="K147" i="8"/>
  <c r="J147" i="8"/>
  <c r="I152" i="8"/>
  <c r="H152" i="8"/>
  <c r="I151" i="8"/>
  <c r="H151" i="8"/>
  <c r="I150" i="8"/>
  <c r="H150" i="8"/>
  <c r="I149" i="8"/>
  <c r="H149" i="8"/>
  <c r="I148" i="8"/>
  <c r="H148" i="8"/>
  <c r="I147" i="8"/>
  <c r="H147"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P1249" i="1"/>
  <c r="M1249" i="1"/>
  <c r="M1248" i="1"/>
  <c r="P1247" i="1"/>
  <c r="M1247" i="1"/>
  <c r="P1246" i="1"/>
  <c r="M1246" i="1"/>
  <c r="M1245" i="1"/>
  <c r="P1244" i="1"/>
  <c r="M1244" i="1"/>
  <c r="P1243" i="1"/>
  <c r="M1243" i="1"/>
  <c r="M1242" i="1"/>
  <c r="P1241" i="1"/>
  <c r="M1241" i="1"/>
  <c r="P1240"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P1220" i="1"/>
  <c r="M1220" i="1"/>
  <c r="M1219" i="1"/>
  <c r="P1218" i="1"/>
  <c r="M1218" i="1"/>
  <c r="P1217" i="1"/>
  <c r="M1217" i="1"/>
  <c r="M1216" i="1"/>
  <c r="P1215" i="1"/>
  <c r="M1215" i="1"/>
  <c r="P1214" i="1"/>
  <c r="M1214" i="1"/>
  <c r="M1213" i="1"/>
  <c r="P1212" i="1"/>
  <c r="M1212" i="1"/>
  <c r="P544" i="1"/>
  <c r="P658" i="1"/>
  <c r="P661" i="1"/>
  <c r="P676" i="1"/>
  <c r="P695" i="1"/>
  <c r="P713" i="1"/>
  <c r="P719" i="1"/>
  <c r="P740" i="1"/>
  <c r="P802" i="1"/>
  <c r="P815" i="1"/>
  <c r="P818" i="1"/>
  <c r="P830" i="1"/>
  <c r="P977" i="1"/>
  <c r="P1009" i="1"/>
  <c r="P1099" i="1"/>
  <c r="P1114"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P1192" i="1"/>
  <c r="M1192" i="1"/>
  <c r="M1191" i="1"/>
  <c r="P1190" i="1"/>
  <c r="M1190" i="1"/>
  <c r="P1189" i="1"/>
  <c r="M1189" i="1"/>
  <c r="M1188" i="1"/>
  <c r="P1187" i="1"/>
  <c r="M1187" i="1"/>
  <c r="P1186" i="1"/>
  <c r="M1186" i="1"/>
  <c r="M1185" i="1"/>
  <c r="P1184" i="1"/>
  <c r="M1184" i="1"/>
  <c r="P1183"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P1166" i="1"/>
  <c r="M1166" i="1"/>
  <c r="P1165" i="1"/>
  <c r="M1165" i="1"/>
  <c r="M1164" i="1"/>
  <c r="P1163" i="1"/>
  <c r="M1163" i="1"/>
  <c r="P1162" i="1"/>
  <c r="M1162" i="1"/>
  <c r="M1161" i="1"/>
  <c r="P1160" i="1"/>
  <c r="M1160" i="1"/>
  <c r="P1159" i="1"/>
  <c r="M1159" i="1"/>
  <c r="M1158" i="1"/>
  <c r="M1157" i="1"/>
  <c r="P1156" i="1"/>
  <c r="M1156" i="1"/>
  <c r="C129" i="9"/>
  <c r="M1155" i="1"/>
  <c r="P1154" i="1"/>
  <c r="M1154" i="1"/>
  <c r="P1153" i="1"/>
  <c r="M1153" i="1"/>
  <c r="M1152" i="1"/>
  <c r="M1151" i="1"/>
  <c r="P1151" i="1"/>
  <c r="P1150"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P1133" i="1"/>
  <c r="M1133" i="1"/>
  <c r="P1132" i="1"/>
  <c r="M1132" i="1"/>
  <c r="M1131" i="1"/>
  <c r="M1130" i="1"/>
  <c r="P1129"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P1088" i="1"/>
  <c r="M1088" i="1"/>
  <c r="P1087" i="1"/>
  <c r="M1087" i="1"/>
  <c r="M1086" i="1"/>
  <c r="M1085" i="1"/>
  <c r="P1084" i="1"/>
  <c r="M1084" i="1"/>
  <c r="M1083" i="1"/>
  <c r="P1082" i="1"/>
  <c r="M1082" i="1"/>
  <c r="P1081" i="1"/>
  <c r="M1081" i="1"/>
  <c r="M1080" i="1"/>
  <c r="P1079" i="1"/>
  <c r="M1079" i="1"/>
  <c r="M1078" i="1"/>
  <c r="P1078" i="1"/>
  <c r="M1077" i="1"/>
  <c r="P1076" i="1"/>
  <c r="M1076" i="1"/>
  <c r="P1075" i="1"/>
  <c r="M1075" i="1"/>
  <c r="M1074" i="1"/>
  <c r="P1073" i="1"/>
  <c r="M1073" i="1"/>
  <c r="P1072" i="1"/>
  <c r="M1072" i="1"/>
  <c r="M1071" i="1"/>
  <c r="P1070" i="1"/>
  <c r="M1070" i="1"/>
  <c r="P1069" i="1"/>
  <c r="M1069" i="1"/>
  <c r="M1068" i="1"/>
  <c r="P1067" i="1"/>
  <c r="M1067" i="1"/>
  <c r="P1066" i="1"/>
  <c r="M1066" i="1"/>
  <c r="M1065" i="1"/>
  <c r="P1064" i="1"/>
  <c r="M1064" i="1"/>
  <c r="P1063" i="1"/>
  <c r="M1063" i="1"/>
  <c r="M1062" i="1"/>
  <c r="P1061" i="1"/>
  <c r="M1061" i="1"/>
  <c r="M1060" i="1"/>
  <c r="M1059" i="1"/>
  <c r="P1058" i="1"/>
  <c r="M1058" i="1"/>
  <c r="P1057" i="1"/>
  <c r="M1057" i="1"/>
  <c r="M1056" i="1"/>
  <c r="P1055" i="1"/>
  <c r="M1055" i="1"/>
  <c r="P1054" i="1"/>
  <c r="M1054" i="1"/>
  <c r="M1053" i="1"/>
  <c r="P1052" i="1"/>
  <c r="M1052" i="1"/>
  <c r="P1051" i="1"/>
  <c r="M1051" i="1"/>
  <c r="M1050" i="1"/>
  <c r="M1049" i="1"/>
  <c r="P1048" i="1"/>
  <c r="M1048" i="1"/>
  <c r="M1047" i="1"/>
  <c r="P1046" i="1"/>
  <c r="M1046" i="1"/>
  <c r="P1045" i="1"/>
  <c r="M1045" i="1"/>
  <c r="M1044" i="1"/>
  <c r="M1043" i="1"/>
  <c r="P1043" i="1"/>
  <c r="M1042" i="1"/>
  <c r="P1042" i="1"/>
  <c r="M1041" i="1"/>
  <c r="P1040" i="1"/>
  <c r="M1040" i="1"/>
  <c r="P1039" i="1"/>
  <c r="M1039" i="1"/>
  <c r="M1038" i="1"/>
  <c r="P1037" i="1"/>
  <c r="M1037" i="1"/>
  <c r="P1036" i="1"/>
  <c r="M1036" i="1"/>
  <c r="M1035" i="1"/>
  <c r="P1034" i="1"/>
  <c r="M1034" i="1"/>
  <c r="M1033" i="1"/>
  <c r="AC147" i="5"/>
  <c r="AB147" i="5"/>
  <c r="AA147" i="5"/>
  <c r="Z147" i="5"/>
  <c r="Y147" i="5"/>
  <c r="X147" i="5"/>
  <c r="W147" i="5"/>
  <c r="V147" i="5"/>
  <c r="U147" i="5"/>
  <c r="T147" i="5"/>
  <c r="S147" i="5"/>
  <c r="R147" i="5"/>
  <c r="Q147" i="5"/>
  <c r="P147" i="5"/>
  <c r="O147" i="5"/>
  <c r="N147" i="5"/>
  <c r="M147" i="5"/>
  <c r="L147" i="5"/>
  <c r="K147" i="5"/>
  <c r="J147" i="5"/>
  <c r="I147" i="5"/>
  <c r="H147" i="5"/>
  <c r="G147" i="5"/>
  <c r="F147"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P994"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P973" i="1"/>
  <c r="M973" i="1"/>
  <c r="M972" i="1"/>
  <c r="P971" i="1"/>
  <c r="M971" i="1"/>
  <c r="P970" i="1"/>
  <c r="M970" i="1"/>
  <c r="M969" i="1"/>
  <c r="P968" i="1"/>
  <c r="M968" i="1"/>
  <c r="M967" i="1"/>
  <c r="P967" i="1"/>
  <c r="M966" i="1"/>
  <c r="P965" i="1"/>
  <c r="M965" i="1"/>
  <c r="P964" i="1"/>
  <c r="M964" i="1"/>
  <c r="M963" i="1"/>
  <c r="P962"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P907" i="1"/>
  <c r="M907" i="1"/>
  <c r="M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M873" i="1"/>
  <c r="P872" i="1"/>
  <c r="M872" i="1"/>
  <c r="P871" i="1"/>
  <c r="M871" i="1"/>
  <c r="M870" i="1"/>
  <c r="P869" i="1"/>
  <c r="M869" i="1"/>
  <c r="M868" i="1"/>
  <c r="P868" i="1"/>
  <c r="M867" i="1"/>
  <c r="P866" i="1"/>
  <c r="M866" i="1"/>
  <c r="P865" i="1"/>
  <c r="M865" i="1"/>
  <c r="M864" i="1"/>
  <c r="P863" i="1"/>
  <c r="M863" i="1"/>
  <c r="P862" i="1"/>
  <c r="M862" i="1"/>
  <c r="M861" i="1"/>
  <c r="P860" i="1"/>
  <c r="M860" i="1"/>
  <c r="P859" i="1"/>
  <c r="M859" i="1"/>
  <c r="M858" i="1"/>
  <c r="P857" i="1"/>
  <c r="M857" i="1"/>
  <c r="M856" i="1"/>
  <c r="M855" i="1"/>
  <c r="P854" i="1"/>
  <c r="M854" i="1"/>
  <c r="M853" i="1"/>
  <c r="P853" i="1"/>
  <c r="M852" i="1"/>
  <c r="P851" i="1"/>
  <c r="M851" i="1"/>
  <c r="P850" i="1"/>
  <c r="M850" i="1"/>
  <c r="M849" i="1"/>
  <c r="P848" i="1"/>
  <c r="M848" i="1"/>
  <c r="P847" i="1"/>
  <c r="M847" i="1"/>
  <c r="M846" i="1"/>
  <c r="P845" i="1"/>
  <c r="M845" i="1"/>
  <c r="P844" i="1"/>
  <c r="M844" i="1"/>
  <c r="M843" i="1"/>
  <c r="P842" i="1"/>
  <c r="M842" i="1"/>
  <c r="P841" i="1"/>
  <c r="M841" i="1"/>
  <c r="M840" i="1"/>
  <c r="P839" i="1"/>
  <c r="M839" i="1"/>
  <c r="P838" i="1"/>
  <c r="M838" i="1"/>
  <c r="M837" i="1"/>
  <c r="P836" i="1"/>
  <c r="M836" i="1"/>
  <c r="P835" i="1"/>
  <c r="M835" i="1"/>
  <c r="M834" i="1"/>
  <c r="P833" i="1"/>
  <c r="M833" i="1"/>
  <c r="P832" i="1"/>
  <c r="M832" i="1"/>
  <c r="P831" i="1"/>
  <c r="M831" i="1"/>
  <c r="M830" i="1"/>
  <c r="M829" i="1"/>
  <c r="P829" i="1"/>
  <c r="M828" i="1"/>
  <c r="P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P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P736" i="1"/>
  <c r="M736"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P712" i="1"/>
  <c r="M712" i="1"/>
  <c r="M711" i="1"/>
  <c r="P710" i="1"/>
  <c r="M710" i="1"/>
  <c r="P709" i="1"/>
  <c r="M709" i="1"/>
  <c r="M708" i="1"/>
  <c r="P707" i="1"/>
  <c r="M707" i="1"/>
  <c r="M706" i="1"/>
  <c r="P706" i="1"/>
  <c r="F1" i="5"/>
  <c r="E1" i="5"/>
  <c r="M705" i="1"/>
  <c r="P704" i="1"/>
  <c r="M704" i="1"/>
  <c r="P703" i="1"/>
  <c r="M703" i="1"/>
  <c r="P702" i="1"/>
  <c r="M702" i="1"/>
  <c r="P701" i="1"/>
  <c r="M701" i="1"/>
  <c r="P700" i="1"/>
  <c r="M700" i="1"/>
  <c r="P698" i="1"/>
  <c r="M698" i="1"/>
  <c r="P699" i="1"/>
  <c r="M699" i="1"/>
  <c r="P697" i="1"/>
  <c r="M697" i="1"/>
  <c r="P696" i="1"/>
  <c r="M696" i="1"/>
  <c r="C123" i="9"/>
  <c r="P581" i="1"/>
  <c r="P612" i="1"/>
  <c r="P624" i="1"/>
  <c r="P635" i="1"/>
  <c r="P645" i="1"/>
  <c r="P659" i="1"/>
  <c r="P670" i="1"/>
  <c r="P675" i="1"/>
  <c r="P688" i="1"/>
  <c r="P689" i="1"/>
  <c r="P693" i="1"/>
  <c r="C142" i="9"/>
  <c r="C139" i="9"/>
  <c r="C99" i="9"/>
  <c r="C84" i="9"/>
  <c r="C76" i="9"/>
  <c r="C64" i="9"/>
  <c r="C29" i="9"/>
  <c r="C27"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P605" i="1"/>
  <c r="M605" i="1"/>
  <c r="M604" i="1"/>
  <c r="P603"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P587" i="1"/>
  <c r="M587" i="1"/>
  <c r="M586" i="1"/>
  <c r="P585" i="1"/>
  <c r="M585" i="1"/>
  <c r="P584" i="1"/>
  <c r="M584" i="1"/>
  <c r="M583" i="1"/>
  <c r="P582" i="1"/>
  <c r="M582" i="1"/>
  <c r="M581" i="1"/>
  <c r="P580" i="1"/>
  <c r="M580" i="1"/>
  <c r="M579" i="1"/>
  <c r="P578" i="1"/>
  <c r="M578" i="1"/>
  <c r="P577" i="1"/>
  <c r="M577" i="1"/>
  <c r="M576" i="1"/>
  <c r="P575" i="1"/>
  <c r="M575" i="1"/>
  <c r="P574" i="1"/>
  <c r="M574" i="1"/>
  <c r="M573" i="1"/>
  <c r="P572" i="1"/>
  <c r="M572" i="1"/>
  <c r="C97" i="9"/>
  <c r="C90" i="9"/>
  <c r="C74"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P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P322" i="1"/>
  <c r="M322" i="1"/>
  <c r="P321" i="1"/>
  <c r="M321" i="1"/>
  <c r="P320" i="1"/>
  <c r="M320" i="1"/>
  <c r="P319" i="1"/>
  <c r="M319" i="1"/>
  <c r="P318" i="1"/>
  <c r="M318" i="1"/>
  <c r="P317" i="1"/>
  <c r="M317" i="1"/>
  <c r="M316" i="1"/>
  <c r="P316" i="1"/>
  <c r="P315" i="1"/>
  <c r="M315" i="1"/>
  <c r="P314" i="1"/>
  <c r="M314" i="1"/>
  <c r="P313" i="1"/>
  <c r="M313" i="1"/>
  <c r="P312" i="1"/>
  <c r="M312" i="1"/>
  <c r="M311" i="1"/>
  <c r="M310" i="1"/>
  <c r="M309" i="1"/>
  <c r="P309" i="1"/>
  <c r="M308" i="1"/>
  <c r="P308" i="1"/>
  <c r="P307" i="1"/>
  <c r="M307"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300" i="1"/>
  <c r="P298" i="1"/>
  <c r="P297" i="1"/>
  <c r="P295" i="1"/>
  <c r="P294" i="1"/>
  <c r="P292" i="1"/>
  <c r="P291" i="1"/>
  <c r="P289" i="1"/>
  <c r="P288" i="1"/>
  <c r="P286" i="1"/>
  <c r="P285" i="1"/>
  <c r="P283" i="1"/>
  <c r="P282" i="1"/>
  <c r="P280" i="1"/>
  <c r="P277" i="1"/>
  <c r="P279" i="1"/>
  <c r="P9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1" i="1"/>
  <c r="P52" i="1"/>
  <c r="P54" i="1"/>
  <c r="P55" i="1"/>
  <c r="P57" i="1"/>
  <c r="P58" i="1"/>
  <c r="P60" i="1"/>
  <c r="P61" i="1"/>
  <c r="P63" i="1"/>
  <c r="P64" i="1"/>
  <c r="P66" i="1"/>
  <c r="P67" i="1"/>
  <c r="P70" i="1"/>
  <c r="P71" i="1"/>
  <c r="P72" i="1"/>
  <c r="P73" i="1"/>
  <c r="P74" i="1"/>
  <c r="P75" i="1"/>
  <c r="P76" i="1"/>
  <c r="P77" i="1"/>
  <c r="P78" i="1"/>
  <c r="P79" i="1"/>
  <c r="P80" i="1"/>
  <c r="P81" i="1"/>
  <c r="P82" i="1"/>
  <c r="P83" i="1"/>
  <c r="P84" i="1"/>
  <c r="P85" i="1"/>
  <c r="P86" i="1"/>
  <c r="P87" i="1"/>
  <c r="P88" i="1"/>
  <c r="P89" i="1"/>
  <c r="P90" i="1"/>
  <c r="P91" i="1"/>
  <c r="P92" i="1"/>
  <c r="P93" i="1"/>
  <c r="P94" i="1"/>
  <c r="P95"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2" i="1"/>
  <c r="P153" i="1"/>
  <c r="P155" i="1"/>
  <c r="P156" i="1"/>
  <c r="P158" i="1"/>
  <c r="P159" i="1"/>
  <c r="P161" i="1"/>
  <c r="P162" i="1"/>
  <c r="P164" i="1"/>
  <c r="P165" i="1"/>
  <c r="P167" i="1"/>
  <c r="P168" i="1"/>
  <c r="P170" i="1"/>
  <c r="P171" i="1"/>
  <c r="P173" i="1"/>
  <c r="P174" i="1"/>
  <c r="P176" i="1"/>
  <c r="P177" i="1"/>
  <c r="P179" i="1"/>
  <c r="P180" i="1"/>
  <c r="P182" i="1"/>
  <c r="P183" i="1"/>
  <c r="P185" i="1"/>
  <c r="P186" i="1"/>
  <c r="P188" i="1"/>
  <c r="P189" i="1"/>
  <c r="P191" i="1"/>
  <c r="P192" i="1"/>
  <c r="P194" i="1"/>
  <c r="P195" i="1"/>
  <c r="P198" i="1"/>
  <c r="P199" i="1"/>
  <c r="P200" i="1"/>
  <c r="P202" i="1"/>
  <c r="P203" i="1"/>
  <c r="P204" i="1"/>
  <c r="P205" i="1"/>
  <c r="P206" i="1"/>
  <c r="P207" i="1"/>
  <c r="P208" i="1"/>
  <c r="P209" i="1"/>
  <c r="P210" i="1"/>
  <c r="P211" i="1"/>
  <c r="P212" i="1"/>
  <c r="P213" i="1"/>
  <c r="P214" i="1"/>
  <c r="P215" i="1"/>
  <c r="P216" i="1"/>
  <c r="P217" i="1"/>
  <c r="P218"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68" i="1"/>
  <c r="P270" i="1"/>
  <c r="P271" i="1"/>
  <c r="P274" i="1"/>
  <c r="L2" i="1"/>
  <c r="P2" i="1"/>
  <c r="P273" i="1"/>
  <c r="P263" i="1"/>
  <c r="P221" i="1"/>
  <c r="P201" i="1"/>
  <c r="P197" i="1"/>
  <c r="P119" i="1"/>
  <c r="P99" i="1"/>
  <c r="P69" i="1"/>
  <c r="P694" i="1"/>
  <c r="P715" i="1"/>
  <c r="P571" i="1"/>
  <c r="P732" i="1"/>
  <c r="BB96" i="5"/>
  <c r="BB23" i="5"/>
  <c r="P2067" i="1"/>
  <c r="BB49" i="5"/>
  <c r="BA137" i="9"/>
  <c r="C137" i="9"/>
  <c r="BA136" i="9"/>
  <c r="C136" i="9"/>
  <c r="BA134" i="9"/>
  <c r="C134" i="9"/>
  <c r="BA120" i="9"/>
  <c r="C120" i="9"/>
  <c r="BA117" i="9"/>
  <c r="C117" i="9"/>
  <c r="BA103" i="9"/>
  <c r="C103" i="9"/>
  <c r="BA94" i="9"/>
  <c r="C94" i="9"/>
  <c r="BA85" i="9"/>
  <c r="C85" i="9"/>
  <c r="BA70" i="9"/>
  <c r="C70" i="9"/>
  <c r="BA60" i="9"/>
  <c r="C60" i="9"/>
  <c r="BA55" i="9"/>
  <c r="C55" i="9"/>
  <c r="BA42" i="9"/>
  <c r="C42" i="9"/>
  <c r="BA41" i="9"/>
  <c r="C41" i="9"/>
  <c r="BA39" i="9"/>
  <c r="C39" i="9"/>
  <c r="BA36" i="9"/>
  <c r="C36" i="9"/>
  <c r="BA16" i="9"/>
  <c r="C16" i="9"/>
  <c r="BA10" i="9"/>
  <c r="C10" i="9"/>
  <c r="BA2" i="9"/>
  <c r="C2" i="9"/>
  <c r="BA131" i="9"/>
  <c r="C131" i="9"/>
  <c r="BA93" i="9"/>
  <c r="C93" i="9"/>
  <c r="BA88" i="9"/>
  <c r="C88" i="9"/>
  <c r="BA78" i="9"/>
  <c r="BA77" i="9"/>
  <c r="C77" i="9"/>
  <c r="BA66" i="9"/>
  <c r="C66" i="9"/>
  <c r="BA62" i="9"/>
  <c r="C62" i="9"/>
  <c r="BA54" i="9"/>
  <c r="BA53" i="9"/>
  <c r="C53" i="9"/>
  <c r="BA48" i="9"/>
  <c r="C48" i="9"/>
  <c r="BA33" i="9"/>
  <c r="C33" i="9"/>
  <c r="BA13" i="9"/>
  <c r="C13" i="9"/>
  <c r="AC144" i="5"/>
  <c r="BB67" i="5"/>
  <c r="Z144" i="5"/>
  <c r="BB29" i="5"/>
  <c r="BB70" i="5"/>
  <c r="Y144" i="5"/>
  <c r="BB60" i="5"/>
  <c r="H37" i="14"/>
  <c r="L37" i="14"/>
  <c r="BB41" i="5"/>
  <c r="BB26" i="5"/>
  <c r="BB140" i="5"/>
  <c r="BB57" i="5"/>
  <c r="BB37" i="5"/>
  <c r="BB17" i="5"/>
  <c r="AL145" i="9"/>
  <c r="AM145" i="5"/>
  <c r="AJ145" i="9"/>
  <c r="AK145" i="5"/>
  <c r="AF145" i="9"/>
  <c r="AG145" i="5"/>
  <c r="BA43" i="9"/>
  <c r="C43" i="9"/>
  <c r="AM38" i="5"/>
  <c r="F6" i="14"/>
  <c r="A7" i="14"/>
  <c r="A8" i="14"/>
  <c r="A9" i="14"/>
  <c r="L4" i="1"/>
  <c r="BB121" i="5"/>
  <c r="BB27" i="5"/>
  <c r="BB25" i="5"/>
  <c r="BB102" i="5"/>
  <c r="BB81" i="5"/>
  <c r="BB61" i="5"/>
  <c r="BB55" i="5"/>
  <c r="BB45" i="5"/>
  <c r="BB56" i="5"/>
  <c r="BB36" i="5"/>
  <c r="BB22" i="5"/>
  <c r="AO144" i="5"/>
  <c r="BB88" i="5"/>
  <c r="BB110" i="5"/>
  <c r="BB91" i="5"/>
  <c r="BB73" i="5"/>
  <c r="BB54" i="5"/>
  <c r="BB30" i="5"/>
  <c r="E144" i="5"/>
  <c r="AB144" i="5"/>
  <c r="AF144" i="5"/>
  <c r="AG24" i="5"/>
  <c r="AJ105" i="5"/>
  <c r="BB92" i="5"/>
  <c r="BB77" i="5"/>
  <c r="BB3" i="5"/>
  <c r="BB138" i="5"/>
  <c r="BB119"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H60" i="14"/>
  <c r="L60" i="14"/>
  <c r="L2691" i="1"/>
  <c r="AD145" i="9"/>
  <c r="AE145" i="5"/>
  <c r="AG144" i="9"/>
  <c r="AJ144" i="9"/>
  <c r="AQ144" i="5"/>
  <c r="AS144" i="5"/>
  <c r="AW144" i="5"/>
  <c r="AY144" i="5"/>
  <c r="BA40" i="9"/>
  <c r="C40" i="9"/>
  <c r="AK144" i="9"/>
  <c r="A13" i="5"/>
  <c r="A15" i="5"/>
  <c r="A17" i="5"/>
  <c r="A19" i="5"/>
  <c r="A21" i="5"/>
  <c r="A52" i="5"/>
  <c r="A54" i="5"/>
  <c r="A80" i="5"/>
  <c r="A82" i="5"/>
  <c r="A84" i="5"/>
  <c r="A94" i="5"/>
  <c r="A133" i="5"/>
  <c r="A139" i="5"/>
  <c r="A142" i="5"/>
  <c r="B141" i="8"/>
  <c r="B137" i="8"/>
  <c r="B129" i="8"/>
  <c r="B125" i="8"/>
  <c r="B117" i="8"/>
  <c r="B113" i="8"/>
  <c r="B109" i="8"/>
  <c r="B103" i="8"/>
  <c r="B99" i="8"/>
  <c r="B95" i="8"/>
  <c r="B91" i="8"/>
  <c r="B87" i="8"/>
  <c r="B83" i="8"/>
  <c r="B79" i="8"/>
  <c r="B75" i="8"/>
  <c r="B71" i="8"/>
  <c r="B67" i="8"/>
  <c r="B63" i="8"/>
  <c r="B59" i="8"/>
  <c r="B55" i="8"/>
  <c r="B50" i="8"/>
  <c r="B46" i="8"/>
  <c r="B42" i="8"/>
  <c r="B38" i="8"/>
  <c r="B33" i="8"/>
  <c r="B29" i="8"/>
  <c r="B25" i="8"/>
  <c r="B21" i="8"/>
  <c r="B17" i="8"/>
  <c r="B11" i="8"/>
  <c r="B7" i="8"/>
  <c r="B3" i="8"/>
  <c r="W146" i="9"/>
  <c r="X146" i="5"/>
  <c r="J145" i="9"/>
  <c r="K145" i="5"/>
  <c r="Q145" i="5"/>
  <c r="R145" i="9"/>
  <c r="S145" i="5"/>
  <c r="V146" i="9"/>
  <c r="W146" i="5"/>
  <c r="W145" i="9"/>
  <c r="X145" i="5"/>
  <c r="Y144" i="9"/>
  <c r="Y147" i="9"/>
  <c r="U146" i="9"/>
  <c r="V146" i="5"/>
  <c r="M146" i="9"/>
  <c r="N146" i="5"/>
  <c r="E146" i="9"/>
  <c r="F146" i="5"/>
  <c r="L2693" i="1"/>
  <c r="L2692" i="1"/>
  <c r="D18" i="8"/>
  <c r="K18" i="8"/>
  <c r="C18" i="8"/>
  <c r="E26" i="8"/>
  <c r="D26" i="8"/>
  <c r="K26" i="8"/>
  <c r="F26" i="8"/>
  <c r="C26" i="8"/>
  <c r="E28" i="8"/>
  <c r="D28" i="8"/>
  <c r="F28" i="8"/>
  <c r="C28" i="8"/>
  <c r="E32" i="8"/>
  <c r="D32" i="8"/>
  <c r="K32" i="8"/>
  <c r="F32" i="8"/>
  <c r="C32" i="8"/>
  <c r="E37" i="8"/>
  <c r="D37" i="8"/>
  <c r="K37" i="8"/>
  <c r="F37" i="8"/>
  <c r="C37" i="8"/>
  <c r="K47" i="8"/>
  <c r="I47" i="8"/>
  <c r="F47" i="8"/>
  <c r="D47" i="8"/>
  <c r="J47" i="8"/>
  <c r="H47" i="8"/>
  <c r="E47" i="8"/>
  <c r="C47" i="8"/>
  <c r="E57" i="8"/>
  <c r="D57" i="8"/>
  <c r="K57" i="8"/>
  <c r="F57" i="8"/>
  <c r="C57" i="8"/>
  <c r="F62" i="8"/>
  <c r="C62" i="8"/>
  <c r="E62" i="8"/>
  <c r="D62" i="8"/>
  <c r="E65" i="8"/>
  <c r="D65" i="8"/>
  <c r="F65" i="8"/>
  <c r="C65" i="8"/>
  <c r="F70" i="8"/>
  <c r="C70" i="8"/>
  <c r="E70" i="8"/>
  <c r="D70" i="8"/>
  <c r="F88" i="8"/>
  <c r="C88" i="8"/>
  <c r="E88" i="8"/>
  <c r="D88" i="8"/>
  <c r="F98" i="8"/>
  <c r="C98" i="8"/>
  <c r="E98" i="8"/>
  <c r="D98" i="8"/>
  <c r="E101" i="8"/>
  <c r="D101" i="8"/>
  <c r="F101" i="8"/>
  <c r="C101" i="8"/>
  <c r="E118" i="8"/>
  <c r="D118" i="8"/>
  <c r="F118" i="8"/>
  <c r="C118" i="8"/>
  <c r="E126" i="8"/>
  <c r="D126" i="8"/>
  <c r="F126" i="8"/>
  <c r="C126" i="8"/>
  <c r="H55" i="14"/>
  <c r="E6" i="8"/>
  <c r="D6" i="8"/>
  <c r="K6" i="8"/>
  <c r="F6" i="8"/>
  <c r="C6" i="8"/>
  <c r="E22" i="8"/>
  <c r="D22" i="8"/>
  <c r="K22" i="8"/>
  <c r="F22" i="8"/>
  <c r="C22" i="8"/>
  <c r="K43" i="8"/>
  <c r="I43" i="8"/>
  <c r="F43" i="8"/>
  <c r="D43" i="8"/>
  <c r="J43" i="8"/>
  <c r="H43" i="8"/>
  <c r="E43" i="8"/>
  <c r="C43" i="8"/>
  <c r="F58" i="8"/>
  <c r="C58" i="8"/>
  <c r="E58" i="8"/>
  <c r="D58" i="8"/>
  <c r="E61" i="8"/>
  <c r="D61" i="8"/>
  <c r="F61" i="8"/>
  <c r="C61" i="8"/>
  <c r="F66" i="8"/>
  <c r="C66" i="8"/>
  <c r="E66" i="8"/>
  <c r="D66" i="8"/>
  <c r="E69" i="8"/>
  <c r="D69" i="8"/>
  <c r="F69" i="8"/>
  <c r="C69" i="8"/>
  <c r="F74" i="8"/>
  <c r="C74" i="8"/>
  <c r="E74" i="8"/>
  <c r="D74" i="8"/>
  <c r="E77" i="8"/>
  <c r="D77" i="8"/>
  <c r="F77" i="8"/>
  <c r="C77" i="8"/>
  <c r="E87" i="8"/>
  <c r="D87" i="8"/>
  <c r="F87" i="8"/>
  <c r="C87" i="8"/>
  <c r="E97" i="8"/>
  <c r="D97" i="8"/>
  <c r="F97" i="8"/>
  <c r="C97" i="8"/>
  <c r="E114" i="8"/>
  <c r="D114" i="8"/>
  <c r="F114" i="8"/>
  <c r="C114" i="8"/>
  <c r="E132" i="8"/>
  <c r="D132" i="8"/>
  <c r="F132" i="8"/>
  <c r="C132" i="8"/>
  <c r="E136" i="8"/>
  <c r="D136" i="8"/>
  <c r="F136" i="8"/>
  <c r="C136" i="8"/>
  <c r="J138" i="8"/>
  <c r="H138" i="8"/>
  <c r="E138" i="8"/>
  <c r="C138" i="8"/>
  <c r="K138" i="8"/>
  <c r="I138" i="8"/>
  <c r="F138" i="8"/>
  <c r="D138" i="8"/>
  <c r="AG145" i="9"/>
  <c r="AH145" i="5"/>
  <c r="AE145" i="9"/>
  <c r="AF145" i="5"/>
  <c r="A109" i="8"/>
  <c r="A127" i="8"/>
  <c r="H127" i="8"/>
  <c r="C9" i="9"/>
  <c r="C28" i="9"/>
  <c r="C32" i="9"/>
  <c r="BA71" i="9"/>
  <c r="C71" i="9"/>
  <c r="C125" i="9"/>
  <c r="C143" i="9"/>
  <c r="A3" i="5"/>
  <c r="A23" i="5"/>
  <c r="A26" i="5"/>
  <c r="A32" i="5"/>
  <c r="A38" i="5"/>
  <c r="A42" i="5"/>
  <c r="A47" i="5"/>
  <c r="A78" i="5"/>
  <c r="A102" i="5"/>
  <c r="A141" i="5"/>
  <c r="B143" i="8"/>
  <c r="B135" i="8"/>
  <c r="B127" i="8"/>
  <c r="B119" i="8"/>
  <c r="B111" i="8"/>
  <c r="B101" i="8"/>
  <c r="B93" i="8"/>
  <c r="B85" i="8"/>
  <c r="B77" i="8"/>
  <c r="B69" i="8"/>
  <c r="B61" i="8"/>
  <c r="B53" i="8"/>
  <c r="B44" i="8"/>
  <c r="B36" i="8"/>
  <c r="B27" i="8"/>
  <c r="B19" i="8"/>
  <c r="B9" i="8"/>
  <c r="D145" i="9"/>
  <c r="E145" i="5"/>
  <c r="F145" i="9"/>
  <c r="G145" i="5"/>
  <c r="T145" i="9"/>
  <c r="U145" i="5"/>
  <c r="D146" i="9"/>
  <c r="E146" i="5"/>
  <c r="Z145" i="9"/>
  <c r="AA145" i="5"/>
  <c r="S146" i="9"/>
  <c r="T146" i="5"/>
  <c r="K146" i="9"/>
  <c r="L146" i="5"/>
  <c r="S145" i="9"/>
  <c r="T145" i="5"/>
  <c r="I144" i="9"/>
  <c r="I147" i="9"/>
  <c r="H144" i="9"/>
  <c r="H147" i="9"/>
  <c r="B51" i="8"/>
  <c r="AH144" i="9"/>
  <c r="AF144" i="9"/>
  <c r="AL144"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4" i="5"/>
  <c r="AV144" i="5"/>
  <c r="BA128" i="9"/>
  <c r="C128" i="9"/>
  <c r="AC145" i="9"/>
  <c r="AD145" i="5"/>
  <c r="AK145" i="9"/>
  <c r="AL145" i="5"/>
  <c r="AE144" i="9"/>
  <c r="B63" i="5"/>
  <c r="B15" i="8"/>
  <c r="E144" i="9"/>
  <c r="E147" i="9"/>
  <c r="E145" i="9"/>
  <c r="F145" i="5"/>
  <c r="K145" i="9"/>
  <c r="L145" i="5"/>
  <c r="K144" i="9"/>
  <c r="K147" i="9"/>
  <c r="BA8" i="9"/>
  <c r="C8" i="9"/>
  <c r="F144" i="9"/>
  <c r="F147" i="9"/>
  <c r="F146" i="9"/>
  <c r="G146" i="5"/>
  <c r="C50" i="9"/>
  <c r="A5" i="5"/>
  <c r="A10" i="5"/>
  <c r="A16" i="5"/>
  <c r="A34" i="5"/>
  <c r="A65" i="5"/>
  <c r="A76" i="5"/>
  <c r="A79" i="5"/>
  <c r="A83" i="5"/>
  <c r="A87" i="5"/>
  <c r="A98" i="5"/>
  <c r="A108" i="5"/>
  <c r="A114" i="5"/>
  <c r="A119" i="5"/>
  <c r="A126" i="5"/>
  <c r="A143" i="5"/>
  <c r="A21" i="8"/>
  <c r="G21" i="8"/>
  <c r="A50" i="8"/>
  <c r="G50" i="8"/>
  <c r="A131" i="8"/>
  <c r="G131" i="8"/>
  <c r="B122" i="5"/>
  <c r="B84" i="5"/>
  <c r="B80" i="5"/>
  <c r="B52" i="5"/>
  <c r="B47" i="5"/>
  <c r="B32" i="5"/>
  <c r="B6" i="5"/>
  <c r="B64" i="5"/>
  <c r="G146" i="9"/>
  <c r="H146" i="5"/>
  <c r="N144" i="9"/>
  <c r="N147" i="9"/>
  <c r="L144" i="9"/>
  <c r="L147" i="9"/>
  <c r="L146" i="9"/>
  <c r="M146" i="5"/>
  <c r="N146" i="9"/>
  <c r="O146" i="5"/>
  <c r="P146" i="9"/>
  <c r="Q146" i="5"/>
  <c r="V144" i="9"/>
  <c r="V147" i="9"/>
  <c r="Q145" i="9"/>
  <c r="R145" i="5"/>
  <c r="U144" i="9"/>
  <c r="U147" i="9"/>
  <c r="J146" i="9"/>
  <c r="K146" i="5"/>
  <c r="T146" i="9"/>
  <c r="U146" i="5"/>
  <c r="T144" i="9"/>
  <c r="T147" i="9"/>
  <c r="O145" i="9"/>
  <c r="P145" i="5"/>
  <c r="O146" i="9"/>
  <c r="P146" i="5"/>
  <c r="BA111" i="9"/>
  <c r="C111" i="9"/>
  <c r="AB146" i="9"/>
  <c r="AC146" i="5"/>
  <c r="AB145" i="9"/>
  <c r="AC145" i="5"/>
  <c r="I5" i="4"/>
  <c r="I6" i="4"/>
  <c r="I7" i="4"/>
  <c r="I8" i="4"/>
  <c r="I9" i="4"/>
  <c r="I10" i="4"/>
  <c r="I11" i="4"/>
  <c r="I12" i="4"/>
  <c r="I13" i="4"/>
  <c r="I14" i="4"/>
  <c r="I15" i="4"/>
  <c r="I16" i="4"/>
  <c r="I17" i="4"/>
  <c r="I18" i="4"/>
  <c r="I19" i="4"/>
  <c r="I20" i="4"/>
  <c r="I21" i="4"/>
  <c r="I22" i="4"/>
  <c r="I23" i="4"/>
  <c r="I24" i="4"/>
  <c r="I25" i="4"/>
  <c r="I26" i="4"/>
  <c r="I27" i="4"/>
  <c r="I28" i="4"/>
  <c r="I29" i="4"/>
  <c r="I30" i="4"/>
  <c r="I31" i="4"/>
  <c r="I32" i="4"/>
  <c r="BA127" i="9"/>
  <c r="C127" i="9"/>
  <c r="AA145" i="9"/>
  <c r="AB145" i="5"/>
  <c r="AA146" i="9"/>
  <c r="AB146" i="5"/>
  <c r="Y146" i="9"/>
  <c r="Z146" i="5"/>
  <c r="D33" i="8"/>
  <c r="C33" i="8"/>
  <c r="K33" i="8"/>
  <c r="J33" i="8"/>
  <c r="F36" i="8"/>
  <c r="E36" i="8"/>
  <c r="J36" i="8"/>
  <c r="D56" i="8"/>
  <c r="C56" i="8"/>
  <c r="D60" i="8"/>
  <c r="C60" i="8"/>
  <c r="K60" i="8"/>
  <c r="D80" i="8"/>
  <c r="C80" i="8"/>
  <c r="K80" i="8"/>
  <c r="F91" i="8"/>
  <c r="E91" i="8"/>
  <c r="D8" i="8"/>
  <c r="C8" i="8"/>
  <c r="K8" i="8"/>
  <c r="J8" i="8"/>
  <c r="D14" i="8"/>
  <c r="C14" i="8"/>
  <c r="K14" i="8"/>
  <c r="J14" i="8"/>
  <c r="F27" i="8"/>
  <c r="E27" i="8"/>
  <c r="J27" i="8"/>
  <c r="D40" i="8"/>
  <c r="C40" i="8"/>
  <c r="K40" i="8"/>
  <c r="F59" i="8"/>
  <c r="E59" i="8"/>
  <c r="A7" i="5"/>
  <c r="A14" i="5"/>
  <c r="A31" i="5"/>
  <c r="A30" i="5"/>
  <c r="A36" i="5"/>
  <c r="A50" i="5"/>
  <c r="A59" i="5"/>
  <c r="A67" i="5"/>
  <c r="A71" i="5"/>
  <c r="A95" i="5"/>
  <c r="A116" i="5"/>
  <c r="A120" i="5"/>
  <c r="A5" i="8"/>
  <c r="F5" i="8"/>
  <c r="A25" i="8"/>
  <c r="G25" i="8"/>
  <c r="A71" i="8"/>
  <c r="G71" i="8"/>
  <c r="A81" i="8"/>
  <c r="F81" i="8"/>
  <c r="A89" i="8"/>
  <c r="G89" i="8"/>
  <c r="B30" i="5"/>
  <c r="B26" i="5"/>
  <c r="B68" i="5"/>
  <c r="B66" i="5"/>
  <c r="B74" i="5"/>
  <c r="B5" i="8"/>
  <c r="B27" i="5"/>
  <c r="B23" i="8"/>
  <c r="B49" i="8"/>
  <c r="B44" i="5"/>
  <c r="B54" i="8"/>
  <c r="B11" i="5"/>
  <c r="B22" i="5"/>
  <c r="B73" i="8"/>
  <c r="B92" i="8"/>
  <c r="B99" i="5"/>
  <c r="B133" i="5"/>
  <c r="B96" i="8"/>
  <c r="B100" i="8"/>
  <c r="B82" i="5"/>
  <c r="B132" i="8"/>
  <c r="B126" i="5"/>
  <c r="B136" i="8"/>
  <c r="B137" i="5"/>
  <c r="Q144" i="9"/>
  <c r="Q147" i="9"/>
  <c r="U145" i="9"/>
  <c r="V145" i="5"/>
  <c r="M144" i="9"/>
  <c r="M147" i="9"/>
  <c r="X145" i="9"/>
  <c r="Y145" i="5"/>
  <c r="X144" i="9"/>
  <c r="X147" i="9"/>
  <c r="AJ99" i="5"/>
  <c r="BB99" i="5"/>
  <c r="AJ78" i="5"/>
  <c r="AG127" i="5"/>
  <c r="BB127" i="5"/>
  <c r="AG72" i="5"/>
  <c r="AH71" i="5"/>
  <c r="AG42" i="5"/>
  <c r="BB42" i="5"/>
  <c r="B8" i="8"/>
  <c r="B59" i="5"/>
  <c r="B12" i="8"/>
  <c r="B70" i="5"/>
  <c r="B67" i="5"/>
  <c r="B14" i="8"/>
  <c r="B26" i="8"/>
  <c r="B3" i="5"/>
  <c r="B4" i="5"/>
  <c r="B30" i="8"/>
  <c r="B35" i="8"/>
  <c r="B9" i="5"/>
  <c r="A102" i="8"/>
  <c r="G102" i="8"/>
  <c r="N145" i="9"/>
  <c r="O145" i="5"/>
  <c r="O144" i="9"/>
  <c r="O147" i="9"/>
  <c r="V145" i="9"/>
  <c r="W145" i="5"/>
  <c r="R146" i="9"/>
  <c r="S146" i="5"/>
  <c r="BA87" i="9"/>
  <c r="C87" i="9"/>
  <c r="BA89" i="9"/>
  <c r="C89" i="9"/>
  <c r="AA144" i="9"/>
  <c r="AA147" i="9"/>
  <c r="A108" i="8"/>
  <c r="J108" i="8"/>
  <c r="A104" i="5"/>
  <c r="C108" i="9"/>
  <c r="B108" i="8"/>
  <c r="B104" i="5"/>
  <c r="BB38" i="5"/>
  <c r="J21" i="8"/>
  <c r="A45" i="8"/>
  <c r="A40" i="5"/>
  <c r="A48" i="8"/>
  <c r="I48" i="8"/>
  <c r="A57" i="5"/>
  <c r="A52" i="8"/>
  <c r="H52" i="8"/>
  <c r="A9" i="5"/>
  <c r="A35" i="8"/>
  <c r="A20" i="5"/>
  <c r="A63" i="8"/>
  <c r="C63" i="9"/>
  <c r="C30" i="9"/>
  <c r="A85" i="5"/>
  <c r="A96" i="5"/>
  <c r="A125" i="5"/>
  <c r="A134" i="5"/>
  <c r="A99" i="8"/>
  <c r="A110" i="8"/>
  <c r="D110" i="8"/>
  <c r="A84" i="8"/>
  <c r="D84" i="8"/>
  <c r="B36" i="5"/>
  <c r="B40" i="8"/>
  <c r="B52" i="8"/>
  <c r="B57" i="5"/>
  <c r="B68" i="8"/>
  <c r="B49" i="5"/>
  <c r="B116" i="8"/>
  <c r="B108" i="5"/>
  <c r="G145" i="9"/>
  <c r="H145" i="5"/>
  <c r="R144" i="9"/>
  <c r="R147" i="9"/>
  <c r="B13" i="8"/>
  <c r="B73" i="5"/>
  <c r="B62" i="8"/>
  <c r="B19" i="5"/>
  <c r="B78" i="8"/>
  <c r="B79" i="5"/>
  <c r="B94" i="8"/>
  <c r="B100" i="5"/>
  <c r="B107" i="8"/>
  <c r="B103" i="5"/>
  <c r="B139" i="5"/>
  <c r="B130" i="8"/>
  <c r="J144" i="9"/>
  <c r="J147" i="9"/>
  <c r="P144" i="9"/>
  <c r="P147" i="9"/>
  <c r="G144" i="9"/>
  <c r="G147" i="9"/>
  <c r="H146" i="9"/>
  <c r="I146" i="5"/>
  <c r="B43" i="8"/>
  <c r="B38" i="5"/>
  <c r="B53" i="5"/>
  <c r="B65" i="8"/>
  <c r="B86" i="8"/>
  <c r="B94" i="5"/>
  <c r="B124" i="8"/>
  <c r="B120" i="5"/>
  <c r="A51" i="8"/>
  <c r="C51" i="8"/>
  <c r="AR144" i="5"/>
  <c r="E131" i="8"/>
  <c r="BB111" i="5"/>
  <c r="BB106" i="5"/>
  <c r="AU144" i="5"/>
  <c r="BA144" i="5"/>
  <c r="BB39" i="5"/>
  <c r="N144" i="5"/>
  <c r="BB14" i="5"/>
  <c r="O144" i="5"/>
  <c r="BB76" i="5"/>
  <c r="BB136" i="5"/>
  <c r="BB98" i="5"/>
  <c r="BB143" i="5"/>
  <c r="BB101" i="5"/>
  <c r="BB105" i="5"/>
  <c r="BB114" i="5"/>
  <c r="BB129" i="5"/>
  <c r="D52" i="8"/>
  <c r="E92" i="8"/>
  <c r="E33" i="8"/>
  <c r="C103" i="8"/>
  <c r="C39" i="8"/>
  <c r="I55" i="8"/>
  <c r="X144" i="5"/>
  <c r="BB126" i="5"/>
  <c r="AK144" i="5"/>
  <c r="W139" i="5"/>
  <c r="BB139" i="5"/>
  <c r="U144" i="5"/>
  <c r="T144" i="5"/>
  <c r="S144" i="5"/>
  <c r="Q66" i="5"/>
  <c r="Q144" i="5"/>
  <c r="P109" i="5"/>
  <c r="J62" i="5"/>
  <c r="BB62" i="5"/>
  <c r="BB97" i="5"/>
  <c r="BB75" i="5"/>
  <c r="BB5" i="5"/>
  <c r="BB2" i="5"/>
  <c r="BB123" i="5"/>
  <c r="F120" i="5"/>
  <c r="BB120" i="5"/>
  <c r="BB117" i="5"/>
  <c r="BB80" i="5"/>
  <c r="F33" i="5"/>
  <c r="BB21" i="5"/>
  <c r="G53" i="5"/>
  <c r="AM20" i="5"/>
  <c r="BB20" i="5"/>
  <c r="G15" i="5"/>
  <c r="F11" i="8"/>
  <c r="E113" i="8"/>
  <c r="BA91" i="9"/>
  <c r="C91" i="9"/>
  <c r="BA86" i="9"/>
  <c r="C86" i="9"/>
  <c r="AH94" i="5"/>
  <c r="BB94" i="5"/>
  <c r="G75" i="8"/>
  <c r="K75" i="8"/>
  <c r="J75" i="8"/>
  <c r="F75" i="8"/>
  <c r="E75" i="8"/>
  <c r="D75" i="8"/>
  <c r="H75" i="8"/>
  <c r="A78" i="8"/>
  <c r="C78"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83" i="5"/>
  <c r="BB40" i="5"/>
  <c r="BB4" i="5"/>
  <c r="BB132" i="5"/>
  <c r="BB89" i="5"/>
  <c r="BB63" i="5"/>
  <c r="BB50" i="5"/>
  <c r="BB47" i="5"/>
  <c r="BB10" i="5"/>
  <c r="BB6" i="5"/>
  <c r="AN124" i="5"/>
  <c r="AN144" i="5"/>
  <c r="AM74" i="5"/>
  <c r="BB74" i="5"/>
  <c r="BA5" i="9"/>
  <c r="C5" i="9"/>
  <c r="G8" i="8"/>
  <c r="F8" i="8"/>
  <c r="E8" i="8"/>
  <c r="H8" i="8"/>
  <c r="A63" i="5"/>
  <c r="C15" i="9"/>
  <c r="G18" i="8"/>
  <c r="I18" i="8"/>
  <c r="J18" i="8"/>
  <c r="E18" i="8"/>
  <c r="F18" i="8"/>
  <c r="H70" i="8"/>
  <c r="I70" i="8"/>
  <c r="A73" i="8"/>
  <c r="C73" i="9"/>
  <c r="G90" i="8"/>
  <c r="F90" i="8"/>
  <c r="E90" i="8"/>
  <c r="C90" i="8"/>
  <c r="J90" i="8"/>
  <c r="K90" i="8"/>
  <c r="H90" i="8"/>
  <c r="G112" i="8"/>
  <c r="F112" i="8"/>
  <c r="E112" i="8"/>
  <c r="D112" i="8"/>
  <c r="J112" i="8"/>
  <c r="C112" i="8"/>
  <c r="K112" i="8"/>
  <c r="H112" i="8"/>
  <c r="A130" i="8"/>
  <c r="A133" i="8"/>
  <c r="A127" i="5"/>
  <c r="G136" i="8"/>
  <c r="I136" i="8"/>
  <c r="H136" i="8"/>
  <c r="J136" i="8"/>
  <c r="G122" i="5"/>
  <c r="BB122" i="5"/>
  <c r="BA140" i="9"/>
  <c r="C140" i="9"/>
  <c r="L27" i="14"/>
  <c r="J27" i="14"/>
  <c r="AP145" i="9"/>
  <c r="AQ145" i="5"/>
  <c r="AP144" i="9"/>
  <c r="AN144" i="9"/>
  <c r="AN145" i="9"/>
  <c r="AO145" i="5"/>
  <c r="BB71" i="5"/>
  <c r="D50" i="8"/>
  <c r="D81" i="8"/>
  <c r="E50" i="8"/>
  <c r="E5" i="8"/>
  <c r="AA144" i="5"/>
  <c r="W144" i="5"/>
  <c r="BB124" i="5"/>
  <c r="BB34" i="5"/>
  <c r="BB31" i="5"/>
  <c r="BB28" i="5"/>
  <c r="BB133" i="5"/>
  <c r="BB51" i="5"/>
  <c r="BB107" i="5"/>
  <c r="AJ13" i="5"/>
  <c r="AI145" i="9"/>
  <c r="AJ145" i="5"/>
  <c r="AI11" i="5"/>
  <c r="AH145" i="9"/>
  <c r="AI145" i="5"/>
  <c r="AE35" i="5"/>
  <c r="AE144" i="5"/>
  <c r="AD144" i="9"/>
  <c r="BA37" i="9"/>
  <c r="C37" i="9"/>
  <c r="AG32" i="5"/>
  <c r="BB32" i="5"/>
  <c r="G11" i="8"/>
  <c r="I11" i="8"/>
  <c r="E11" i="8"/>
  <c r="K11" i="8"/>
  <c r="H11" i="8"/>
  <c r="D11" i="8"/>
  <c r="G29" i="8"/>
  <c r="H29" i="8"/>
  <c r="D29" i="8"/>
  <c r="K29" i="8"/>
  <c r="J29" i="8"/>
  <c r="I29" i="8"/>
  <c r="G113" i="8"/>
  <c r="J113" i="8"/>
  <c r="F113" i="8"/>
  <c r="C113" i="8"/>
  <c r="I113" i="8"/>
  <c r="D113" i="8"/>
  <c r="H113" i="8"/>
  <c r="A3" i="8"/>
  <c r="G28" i="8"/>
  <c r="J28" i="8"/>
  <c r="I28" i="8"/>
  <c r="K28" i="8"/>
  <c r="A31" i="8"/>
  <c r="C31" i="9"/>
  <c r="A11" i="5"/>
  <c r="A54" i="8"/>
  <c r="C54" i="8"/>
  <c r="C54" i="9"/>
  <c r="I58" i="8"/>
  <c r="J58" i="8"/>
  <c r="G60" i="8"/>
  <c r="F60" i="8"/>
  <c r="E60" i="8"/>
  <c r="H60" i="8"/>
  <c r="I60" i="8"/>
  <c r="I62" i="8"/>
  <c r="J62" i="8"/>
  <c r="G67" i="8"/>
  <c r="K67" i="8"/>
  <c r="H67" i="8"/>
  <c r="F67" i="8"/>
  <c r="E67" i="8"/>
  <c r="D67" i="8"/>
  <c r="I67" i="8"/>
  <c r="G69" i="8"/>
  <c r="I69" i="8"/>
  <c r="J69" i="8"/>
  <c r="A111" i="5"/>
  <c r="A105" i="8"/>
  <c r="B45" i="8"/>
  <c r="B40" i="5"/>
  <c r="B43" i="5"/>
  <c r="B48" i="8"/>
  <c r="B58" i="8"/>
  <c r="B15" i="5"/>
  <c r="B102" i="5"/>
  <c r="B97" i="8"/>
  <c r="B117" i="5"/>
  <c r="B121" i="8"/>
  <c r="B127" i="5"/>
  <c r="B133" i="8"/>
  <c r="B109" i="5"/>
  <c r="B139" i="8"/>
  <c r="L23" i="14"/>
  <c r="J23" i="14"/>
  <c r="F66" i="5"/>
  <c r="BA4" i="9"/>
  <c r="C4" i="9"/>
  <c r="I66" i="5"/>
  <c r="I144" i="5"/>
  <c r="H145" i="9"/>
  <c r="I145" i="5"/>
  <c r="A7" i="8"/>
  <c r="A62" i="5"/>
  <c r="AD59" i="5"/>
  <c r="BB59" i="5"/>
  <c r="AC144" i="9"/>
  <c r="R68" i="5"/>
  <c r="BB68" i="5"/>
  <c r="Q146" i="9"/>
  <c r="R146" i="5"/>
  <c r="H24" i="5"/>
  <c r="BA20" i="9"/>
  <c r="C20" i="9"/>
  <c r="BA44" i="9"/>
  <c r="C44" i="9"/>
  <c r="BA49" i="9"/>
  <c r="C49" i="9"/>
  <c r="G44" i="5"/>
  <c r="BB44" i="5"/>
  <c r="G13" i="5"/>
  <c r="BA56" i="9"/>
  <c r="C56" i="9"/>
  <c r="G18" i="5"/>
  <c r="BB18" i="5"/>
  <c r="BA61" i="9"/>
  <c r="C61" i="9"/>
  <c r="H48" i="5"/>
  <c r="BB48" i="5"/>
  <c r="BA67" i="9"/>
  <c r="C67" i="9"/>
  <c r="BA83" i="9"/>
  <c r="C83" i="9"/>
  <c r="G90" i="5"/>
  <c r="BB90" i="5"/>
  <c r="BA100" i="9"/>
  <c r="C100" i="9"/>
  <c r="F82" i="5"/>
  <c r="BB82" i="5"/>
  <c r="BB84" i="5"/>
  <c r="V112" i="5"/>
  <c r="BB112" i="5"/>
  <c r="BA106" i="9"/>
  <c r="C106" i="9"/>
  <c r="BA107" i="9"/>
  <c r="C107" i="9"/>
  <c r="F103" i="5"/>
  <c r="BB103" i="5"/>
  <c r="A111" i="8"/>
  <c r="A132" i="5"/>
  <c r="BA112" i="9"/>
  <c r="C112" i="9"/>
  <c r="L134" i="5"/>
  <c r="BB134" i="5"/>
  <c r="BA114" i="9"/>
  <c r="C114" i="9"/>
  <c r="K142" i="5"/>
  <c r="M108" i="5"/>
  <c r="BA116" i="9"/>
  <c r="C116" i="9"/>
  <c r="R115" i="5"/>
  <c r="BA119" i="9"/>
  <c r="C119" i="9"/>
  <c r="L118" i="5"/>
  <c r="BA122" i="9"/>
  <c r="C122" i="9"/>
  <c r="F131" i="5"/>
  <c r="BB131" i="5"/>
  <c r="BA135" i="9"/>
  <c r="C135" i="9"/>
  <c r="P1380" i="1"/>
  <c r="P1371" i="1"/>
  <c r="E120" i="8"/>
  <c r="P1251" i="1"/>
  <c r="P1080" i="1"/>
  <c r="D36" i="8"/>
  <c r="P978" i="1"/>
  <c r="C36" i="8"/>
  <c r="P323" i="1"/>
  <c r="A140" i="8"/>
  <c r="A122" i="5"/>
  <c r="A2749" i="1"/>
  <c r="A2750" i="1"/>
  <c r="L2748" i="1"/>
  <c r="BA109" i="9"/>
  <c r="C109" i="9"/>
  <c r="AH5" i="4"/>
  <c r="AH6" i="4"/>
  <c r="AH7" i="4"/>
  <c r="AH8" i="4"/>
  <c r="AH9" i="4"/>
  <c r="AH10" i="4"/>
  <c r="AH11" i="4"/>
  <c r="AH12" i="4"/>
  <c r="AH13" i="4"/>
  <c r="AH14" i="4"/>
  <c r="AH15" i="4"/>
  <c r="AH16" i="4"/>
  <c r="A19" i="8"/>
  <c r="A56" i="5"/>
  <c r="A30" i="8"/>
  <c r="H30" i="8"/>
  <c r="A37" i="5"/>
  <c r="A42" i="8"/>
  <c r="B6" i="8"/>
  <c r="B71" i="5"/>
  <c r="B13" i="5"/>
  <c r="B56" i="8"/>
  <c r="BA75" i="9"/>
  <c r="C75" i="9"/>
  <c r="BA105" i="9"/>
  <c r="C105" i="9"/>
  <c r="BA118" i="9"/>
  <c r="C118" i="9"/>
  <c r="X146" i="9"/>
  <c r="Y146" i="5"/>
  <c r="AP15" i="5"/>
  <c r="AP144" i="5"/>
  <c r="AO144" i="9"/>
  <c r="BA81" i="9"/>
  <c r="C81" i="9"/>
  <c r="BA57" i="9"/>
  <c r="C57" i="9"/>
  <c r="BA98" i="9"/>
  <c r="C98" i="9"/>
  <c r="A2" i="8"/>
  <c r="A64" i="5"/>
  <c r="B23" i="5"/>
  <c r="G156"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3" i="9"/>
  <c r="C133" i="9"/>
  <c r="BA101" i="9"/>
  <c r="C101" i="9"/>
  <c r="BA92" i="9"/>
  <c r="C92" i="9"/>
  <c r="BA47" i="9"/>
  <c r="C47" i="9"/>
  <c r="BA95" i="9"/>
  <c r="C95" i="9"/>
  <c r="BA96" i="9"/>
  <c r="L67" i="14"/>
  <c r="C127" i="8"/>
  <c r="H108" i="8"/>
  <c r="D102" i="8"/>
  <c r="J81" i="8"/>
  <c r="C102" i="8"/>
  <c r="BB137" i="5"/>
  <c r="AZ144" i="5"/>
  <c r="BB130" i="5"/>
  <c r="BB7" i="5"/>
  <c r="F102" i="8"/>
  <c r="BB52" i="5"/>
  <c r="BB35" i="5"/>
  <c r="J52" i="8"/>
  <c r="H25" i="8"/>
  <c r="D99" i="8"/>
  <c r="E102" i="8"/>
  <c r="H102" i="8"/>
  <c r="C89" i="8"/>
  <c r="J25" i="8"/>
  <c r="C131" i="8"/>
  <c r="C52" i="8"/>
  <c r="I52" i="8"/>
  <c r="C25" i="8"/>
  <c r="F89" i="8"/>
  <c r="I131" i="8"/>
  <c r="C96" i="9"/>
  <c r="E71" i="8"/>
  <c r="E52" i="8"/>
  <c r="E25" i="8"/>
  <c r="D89" i="8"/>
  <c r="F25" i="8"/>
  <c r="K25" i="8"/>
  <c r="E21" i="8"/>
  <c r="J89" i="8"/>
  <c r="E89" i="8"/>
  <c r="I25" i="8"/>
  <c r="D25" i="8"/>
  <c r="J99" i="8"/>
  <c r="J110" i="8"/>
  <c r="K52" i="8"/>
  <c r="G52" i="8"/>
  <c r="F71" i="8"/>
  <c r="I108" i="8"/>
  <c r="G108" i="8"/>
  <c r="E81" i="8"/>
  <c r="G81" i="8"/>
  <c r="G5" i="8"/>
  <c r="H131" i="8"/>
  <c r="K131" i="8"/>
  <c r="D131" i="8"/>
  <c r="K21" i="8"/>
  <c r="G51" i="8"/>
  <c r="E99" i="8"/>
  <c r="E84" i="8"/>
  <c r="G84" i="8"/>
  <c r="K63" i="8"/>
  <c r="G63" i="8"/>
  <c r="K48" i="8"/>
  <c r="G48" i="8"/>
  <c r="C71" i="8"/>
  <c r="K71" i="8"/>
  <c r="J131" i="8"/>
  <c r="F131" i="8"/>
  <c r="I21" i="8"/>
  <c r="I50" i="8"/>
  <c r="J6" i="8"/>
  <c r="G6" i="8"/>
  <c r="K58" i="8"/>
  <c r="G58" i="8"/>
  <c r="K62" i="8"/>
  <c r="G62" i="8"/>
  <c r="K70" i="8"/>
  <c r="G70" i="8"/>
  <c r="K88" i="8"/>
  <c r="G88" i="8"/>
  <c r="H61" i="14"/>
  <c r="F7" i="14"/>
  <c r="F52" i="8"/>
  <c r="K84" i="8"/>
  <c r="F127" i="8"/>
  <c r="K127" i="8"/>
  <c r="F8" i="14"/>
  <c r="E108" i="8"/>
  <c r="BB78" i="5"/>
  <c r="F21" i="8"/>
  <c r="C21" i="8"/>
  <c r="H21" i="8"/>
  <c r="D127" i="8"/>
  <c r="I127" i="8"/>
  <c r="E127" i="8"/>
  <c r="K108" i="8"/>
  <c r="C108" i="8"/>
  <c r="I81" i="8"/>
  <c r="H81" i="8"/>
  <c r="K5" i="8"/>
  <c r="D21" i="8"/>
  <c r="K109" i="8"/>
  <c r="A4" i="8"/>
  <c r="H4" i="8"/>
  <c r="A66" i="5"/>
  <c r="A24" i="8"/>
  <c r="A2" i="5"/>
  <c r="A41" i="8"/>
  <c r="A35" i="5"/>
  <c r="A76" i="8"/>
  <c r="E76" i="8"/>
  <c r="G76" i="8"/>
  <c r="A77" i="5"/>
  <c r="A93" i="5"/>
  <c r="A85" i="8"/>
  <c r="A117" i="5"/>
  <c r="A121" i="8"/>
  <c r="H121" i="8"/>
  <c r="C121" i="9"/>
  <c r="B24" i="8"/>
  <c r="B2" i="5"/>
  <c r="B14" i="5"/>
  <c r="B57" i="8"/>
  <c r="B80" i="8"/>
  <c r="B87" i="5"/>
  <c r="B110" i="8"/>
  <c r="B106" i="5"/>
  <c r="B119" i="5"/>
  <c r="B123" i="8"/>
  <c r="B130" i="5"/>
  <c r="B138" i="8"/>
  <c r="AT144" i="5"/>
  <c r="BA6" i="9"/>
  <c r="C6" i="9"/>
  <c r="C24" i="9"/>
  <c r="C82" i="9"/>
  <c r="A53" i="8"/>
  <c r="I53" i="8"/>
  <c r="G53" i="8"/>
  <c r="A58" i="5"/>
  <c r="A83" i="8"/>
  <c r="G83" i="8"/>
  <c r="A90" i="5"/>
  <c r="A101" i="5"/>
  <c r="A95" i="8"/>
  <c r="A115" i="5"/>
  <c r="A119" i="8"/>
  <c r="J119" i="8"/>
  <c r="B55" i="5"/>
  <c r="B64" i="8"/>
  <c r="B142" i="5"/>
  <c r="B114" i="8"/>
  <c r="S144" i="9"/>
  <c r="S147" i="9"/>
  <c r="BA102" i="9"/>
  <c r="C102" i="9"/>
  <c r="A24" i="5"/>
  <c r="A20" i="8"/>
  <c r="B134" i="8"/>
  <c r="B128" i="5"/>
  <c r="AM145" i="9"/>
  <c r="AN145" i="5"/>
  <c r="A129" i="5"/>
  <c r="A23" i="8"/>
  <c r="G23" i="8"/>
  <c r="A46" i="8"/>
  <c r="A64" i="8"/>
  <c r="G64" i="8"/>
  <c r="A100" i="5"/>
  <c r="B60" i="5"/>
  <c r="B41" i="8"/>
  <c r="BA46" i="9"/>
  <c r="C46" i="9"/>
  <c r="BA72" i="9"/>
  <c r="C72" i="9"/>
  <c r="BA79" i="9"/>
  <c r="C79" i="9"/>
  <c r="D144" i="9"/>
  <c r="Z146" i="9"/>
  <c r="AA146" i="5"/>
  <c r="BB46" i="5"/>
  <c r="I84" i="8"/>
  <c r="C84" i="8"/>
  <c r="F84" i="8"/>
  <c r="J84" i="8"/>
  <c r="F63" i="8"/>
  <c r="E63" i="8"/>
  <c r="J63" i="8"/>
  <c r="I63" i="8"/>
  <c r="H63" i="8"/>
  <c r="H48" i="8"/>
  <c r="D48" i="8"/>
  <c r="F45" i="8"/>
  <c r="AG144" i="5"/>
  <c r="I51" i="8"/>
  <c r="D51" i="8"/>
  <c r="F51" i="8"/>
  <c r="C63" i="8"/>
  <c r="H84" i="8"/>
  <c r="D63" i="8"/>
  <c r="K81" i="8"/>
  <c r="C81" i="8"/>
  <c r="I5" i="8"/>
  <c r="C5" i="8"/>
  <c r="H110" i="8"/>
  <c r="F110" i="8"/>
  <c r="F108" i="8"/>
  <c r="D108" i="8"/>
  <c r="K102" i="8"/>
  <c r="I102" i="8"/>
  <c r="J102" i="8"/>
  <c r="D71" i="8"/>
  <c r="H71" i="8"/>
  <c r="J71" i="8"/>
  <c r="F3" i="8"/>
  <c r="I3" i="8"/>
  <c r="H3" i="8"/>
  <c r="J12" i="8"/>
  <c r="F12" i="8"/>
  <c r="C12" i="8"/>
  <c r="I12" i="8"/>
  <c r="E12" i="8"/>
  <c r="K12" i="8"/>
  <c r="H12" i="8"/>
  <c r="D12" i="8"/>
  <c r="C19" i="8"/>
  <c r="J26" i="8"/>
  <c r="I26" i="8"/>
  <c r="H26" i="8"/>
  <c r="I32" i="8"/>
  <c r="J32" i="8"/>
  <c r="H32" i="8"/>
  <c r="F40" i="8"/>
  <c r="J40" i="8"/>
  <c r="I40" i="8"/>
  <c r="E40" i="8"/>
  <c r="H40" i="8"/>
  <c r="D53" i="8"/>
  <c r="J53" i="8"/>
  <c r="C59" i="8"/>
  <c r="I59" i="8"/>
  <c r="K59" i="8"/>
  <c r="H59" i="8"/>
  <c r="D59" i="8"/>
  <c r="J59" i="8"/>
  <c r="H65" i="8"/>
  <c r="K65" i="8"/>
  <c r="J65" i="8"/>
  <c r="I65" i="8"/>
  <c r="I66" i="8"/>
  <c r="H66" i="8"/>
  <c r="K66" i="8"/>
  <c r="J66" i="8"/>
  <c r="F94" i="8"/>
  <c r="D94" i="8"/>
  <c r="I94" i="8"/>
  <c r="C94" i="8"/>
  <c r="H94" i="8"/>
  <c r="E94" i="8"/>
  <c r="K94" i="8"/>
  <c r="J94" i="8"/>
  <c r="I97" i="8"/>
  <c r="H97" i="8"/>
  <c r="K97" i="8"/>
  <c r="J97" i="8"/>
  <c r="K133" i="8"/>
  <c r="B126" i="8"/>
  <c r="B141" i="5"/>
  <c r="C12" i="9"/>
  <c r="A6" i="5"/>
  <c r="A70" i="5"/>
  <c r="A17" i="8"/>
  <c r="G17" i="8"/>
  <c r="A10" i="8"/>
  <c r="C10" i="8"/>
  <c r="G10" i="8"/>
  <c r="B20" i="8"/>
  <c r="B24" i="5"/>
  <c r="B60" i="8"/>
  <c r="B17" i="5"/>
  <c r="B76" i="8"/>
  <c r="B77" i="5"/>
  <c r="B97" i="5"/>
  <c r="B89" i="8"/>
  <c r="B140" i="5"/>
  <c r="B131" i="8"/>
  <c r="L145" i="9"/>
  <c r="M145" i="5"/>
  <c r="W144" i="9"/>
  <c r="W147" i="9"/>
  <c r="A99" i="5"/>
  <c r="A9" i="8"/>
  <c r="A15" i="8"/>
  <c r="J15" i="8"/>
  <c r="G15" i="8"/>
  <c r="A117" i="8"/>
  <c r="C117" i="8"/>
  <c r="A125" i="8"/>
  <c r="H125" i="8"/>
  <c r="A139" i="8"/>
  <c r="I139" i="8"/>
  <c r="A22" i="5"/>
  <c r="B81" i="8"/>
  <c r="B84" i="8"/>
  <c r="B92" i="5"/>
  <c r="B112" i="8"/>
  <c r="B134" i="5"/>
  <c r="I145" i="9"/>
  <c r="J145" i="5"/>
  <c r="M145" i="9"/>
  <c r="N145" i="5"/>
  <c r="BA7" i="9"/>
  <c r="C7" i="9"/>
  <c r="AB144" i="9"/>
  <c r="AB147" i="9"/>
  <c r="Y145" i="9"/>
  <c r="Z145" i="5"/>
  <c r="BA45" i="9"/>
  <c r="C45" i="9"/>
  <c r="BA68" i="9"/>
  <c r="C68" i="9"/>
  <c r="BA132" i="9"/>
  <c r="C132" i="9"/>
  <c r="Z144" i="9"/>
  <c r="Z147" i="9"/>
  <c r="AI144" i="9"/>
  <c r="H69" i="14"/>
  <c r="L68" i="14"/>
  <c r="BB66" i="5"/>
  <c r="G31" i="8"/>
  <c r="F31" i="8"/>
  <c r="E31" i="8"/>
  <c r="C31" i="8"/>
  <c r="J31" i="8"/>
  <c r="I31" i="8"/>
  <c r="D31" i="8"/>
  <c r="K31" i="8"/>
  <c r="H31" i="8"/>
  <c r="C133" i="8"/>
  <c r="BB33" i="5"/>
  <c r="C2" i="8"/>
  <c r="E2" i="8"/>
  <c r="I2" i="8"/>
  <c r="G42" i="8"/>
  <c r="D42" i="8"/>
  <c r="K42" i="8"/>
  <c r="I42" i="8"/>
  <c r="F42" i="8"/>
  <c r="E42" i="8"/>
  <c r="C42" i="8"/>
  <c r="J42" i="8"/>
  <c r="H42" i="8"/>
  <c r="G140" i="8"/>
  <c r="C140" i="8"/>
  <c r="J140" i="8"/>
  <c r="K140" i="8"/>
  <c r="F140" i="8"/>
  <c r="E140" i="8"/>
  <c r="I140" i="8"/>
  <c r="H140" i="8"/>
  <c r="D140" i="8"/>
  <c r="G54" i="8"/>
  <c r="F54" i="8"/>
  <c r="E54" i="8"/>
  <c r="J54" i="8"/>
  <c r="H54" i="8"/>
  <c r="D54" i="8"/>
  <c r="I54" i="8"/>
  <c r="BB118" i="5"/>
  <c r="E7" i="8"/>
  <c r="H7" i="8"/>
  <c r="I7" i="8"/>
  <c r="G130" i="8"/>
  <c r="C130" i="8"/>
  <c r="J130" i="8"/>
  <c r="K130" i="8"/>
  <c r="H130" i="8"/>
  <c r="F130" i="8"/>
  <c r="E130" i="8"/>
  <c r="D130" i="8"/>
  <c r="I130" i="8"/>
  <c r="V144" i="5"/>
  <c r="H53" i="8"/>
  <c r="C53" i="8"/>
  <c r="F53" i="8"/>
  <c r="E53" i="8"/>
  <c r="G30" i="8"/>
  <c r="F30" i="8"/>
  <c r="J30" i="8"/>
  <c r="K30" i="8"/>
  <c r="I30" i="8"/>
  <c r="L2749" i="1"/>
  <c r="G111" i="8"/>
  <c r="D111" i="8"/>
  <c r="H111" i="8"/>
  <c r="F111" i="8"/>
  <c r="K111" i="8"/>
  <c r="C111" i="8"/>
  <c r="I111" i="8"/>
  <c r="E111" i="8"/>
  <c r="J111" i="8"/>
  <c r="G105" i="8"/>
  <c r="D105" i="8"/>
  <c r="K105" i="8"/>
  <c r="G73" i="8"/>
  <c r="J73" i="8"/>
  <c r="E73" i="8"/>
  <c r="AD144" i="5"/>
  <c r="I78" i="8"/>
  <c r="E78" i="8"/>
  <c r="K78" i="8"/>
  <c r="H117" i="8"/>
  <c r="G117" i="8"/>
  <c r="L61" i="14"/>
  <c r="H62" i="14"/>
  <c r="L62" i="14"/>
  <c r="D20" i="8"/>
  <c r="C119" i="8"/>
  <c r="E41" i="8"/>
  <c r="C4" i="8"/>
  <c r="K4" i="8"/>
  <c r="F64" i="8"/>
  <c r="E64" i="8"/>
  <c r="C64" i="8"/>
  <c r="K64" i="8"/>
  <c r="J64" i="8"/>
  <c r="I64" i="8"/>
  <c r="H64" i="8"/>
  <c r="D64" i="8"/>
  <c r="F83" i="8"/>
  <c r="C83" i="8"/>
  <c r="E83" i="8"/>
  <c r="D83" i="8"/>
  <c r="J83" i="8"/>
  <c r="I83" i="8"/>
  <c r="H83" i="8"/>
  <c r="K83" i="8"/>
  <c r="E121" i="8"/>
  <c r="K121" i="8"/>
  <c r="D46" i="8"/>
  <c r="E95" i="8"/>
  <c r="J95" i="8"/>
  <c r="D95" i="8"/>
  <c r="K76" i="8"/>
  <c r="D76" i="8"/>
  <c r="H76" i="8"/>
  <c r="F76" i="8"/>
  <c r="C24" i="8"/>
  <c r="K24" i="8"/>
  <c r="F24" i="8"/>
  <c r="I24" i="8"/>
  <c r="H24" i="8"/>
  <c r="D23" i="8"/>
  <c r="K23" i="8"/>
  <c r="F23" i="8"/>
  <c r="J23" i="8"/>
  <c r="I23" i="8"/>
  <c r="H23" i="8"/>
  <c r="E23" i="8"/>
  <c r="C23" i="8"/>
  <c r="F85" i="8"/>
  <c r="J85" i="8"/>
  <c r="I85" i="8"/>
  <c r="K10" i="8"/>
  <c r="J10" i="8"/>
  <c r="F139" i="8"/>
  <c r="C139" i="8"/>
  <c r="J139" i="8"/>
  <c r="D139" i="8"/>
  <c r="H139" i="8"/>
  <c r="D125" i="8"/>
  <c r="I117" i="8"/>
  <c r="E117" i="8"/>
  <c r="F117" i="8"/>
  <c r="K117" i="8"/>
  <c r="J117" i="8"/>
  <c r="F15" i="8"/>
  <c r="D15" i="8"/>
  <c r="C15" i="8"/>
  <c r="K15" i="8"/>
  <c r="E15" i="8"/>
  <c r="H15" i="8"/>
  <c r="D9" i="8"/>
  <c r="J9" i="8"/>
  <c r="C9" i="8"/>
  <c r="K9" i="8"/>
  <c r="I10" i="8"/>
  <c r="E10" i="8"/>
  <c r="E17" i="8"/>
  <c r="J17" i="8"/>
  <c r="L2750" i="1"/>
  <c r="A2751" i="1"/>
  <c r="A2752" i="1"/>
  <c r="L2751" i="1"/>
  <c r="L69" i="14"/>
  <c r="H70" i="14"/>
  <c r="E9" i="8"/>
  <c r="G9" i="8"/>
  <c r="I9" i="8"/>
  <c r="H9" i="8"/>
  <c r="J2" i="8"/>
  <c r="D2" i="8"/>
  <c r="F2" i="8"/>
  <c r="G2" i="8"/>
  <c r="H2" i="8"/>
  <c r="K2" i="8"/>
  <c r="BB142" i="5"/>
  <c r="K144" i="5"/>
  <c r="BB13" i="5"/>
  <c r="G144" i="5"/>
  <c r="E133" i="8"/>
  <c r="J133" i="8"/>
  <c r="G133" i="8"/>
  <c r="H133" i="8"/>
  <c r="C109" i="8"/>
  <c r="D109" i="8"/>
  <c r="J109" i="8"/>
  <c r="H109" i="8"/>
  <c r="F109" i="8"/>
  <c r="G109" i="8"/>
  <c r="E109" i="8"/>
  <c r="I109" i="8"/>
  <c r="BB79" i="5"/>
  <c r="AJ144" i="5"/>
  <c r="G95" i="8"/>
  <c r="C95" i="8"/>
  <c r="I95" i="8"/>
  <c r="F95" i="8"/>
  <c r="K95" i="8"/>
  <c r="H95" i="8"/>
  <c r="E85" i="8"/>
  <c r="G85" i="8"/>
  <c r="C85" i="8"/>
  <c r="G24" i="8"/>
  <c r="D24" i="8"/>
  <c r="J24" i="8"/>
  <c r="E24" i="8"/>
  <c r="BB115" i="5"/>
  <c r="R144" i="5"/>
  <c r="G3" i="8"/>
  <c r="D3" i="8"/>
  <c r="C3" i="8"/>
  <c r="E3" i="8"/>
  <c r="J3" i="8"/>
  <c r="K3" i="8"/>
  <c r="G99" i="8"/>
  <c r="H99" i="8"/>
  <c r="I99" i="8"/>
  <c r="C99" i="8"/>
  <c r="F99" i="8"/>
  <c r="K99" i="8"/>
  <c r="I45" i="8"/>
  <c r="K45" i="8"/>
  <c r="D45" i="8"/>
  <c r="C45" i="8"/>
  <c r="E45" i="8"/>
  <c r="L55" i="14"/>
  <c r="H56" i="14"/>
  <c r="G46" i="8"/>
  <c r="J46" i="8"/>
  <c r="K46" i="8"/>
  <c r="I46" i="8"/>
  <c r="F20" i="8"/>
  <c r="G20" i="8"/>
  <c r="I20" i="8"/>
  <c r="C20" i="8"/>
  <c r="H20" i="8"/>
  <c r="G7" i="8"/>
  <c r="D7" i="8"/>
  <c r="C7" i="8"/>
  <c r="F7" i="8"/>
  <c r="K7" i="8"/>
  <c r="J7" i="8"/>
  <c r="BB11" i="5"/>
  <c r="AI144" i="5"/>
  <c r="I73" i="8"/>
  <c r="H73" i="8"/>
  <c r="C73" i="8"/>
  <c r="K73" i="8"/>
  <c r="D73" i="8"/>
  <c r="F73" i="8"/>
  <c r="BB53" i="5"/>
  <c r="P144" i="5"/>
  <c r="BB109" i="5"/>
  <c r="G35" i="8"/>
  <c r="D35" i="8"/>
  <c r="F35" i="8"/>
  <c r="K35" i="8"/>
  <c r="H35" i="8"/>
  <c r="I35" i="8"/>
  <c r="AL144" i="5"/>
  <c r="BB24" i="5"/>
  <c r="G139" i="8"/>
  <c r="K139" i="8"/>
  <c r="E139" i="8"/>
  <c r="G119" i="8"/>
  <c r="I119" i="8"/>
  <c r="E119" i="8"/>
  <c r="G121" i="8"/>
  <c r="C121" i="8"/>
  <c r="J121" i="8"/>
  <c r="F121" i="8"/>
  <c r="D121" i="8"/>
  <c r="I121" i="8"/>
  <c r="G41" i="8"/>
  <c r="I41" i="8"/>
  <c r="F41" i="8"/>
  <c r="H41" i="8"/>
  <c r="G4" i="8"/>
  <c r="J4" i="8"/>
  <c r="E4" i="8"/>
  <c r="F4" i="8"/>
  <c r="I4" i="8"/>
  <c r="D4" i="8"/>
  <c r="G19" i="8"/>
  <c r="I19" i="8"/>
  <c r="F105" i="8"/>
  <c r="J105" i="8"/>
  <c r="H105" i="8"/>
  <c r="E105" i="8"/>
  <c r="C105" i="8"/>
  <c r="I105" i="8"/>
  <c r="G78" i="8"/>
  <c r="F78" i="8"/>
  <c r="J78" i="8"/>
  <c r="H78" i="8"/>
  <c r="D78" i="8"/>
  <c r="C78" i="8"/>
  <c r="BB7" i="4"/>
  <c r="D8" i="4"/>
  <c r="BB15" i="5"/>
  <c r="H10" i="8"/>
  <c r="F10" i="8"/>
  <c r="I15" i="8"/>
  <c r="E125" i="8"/>
  <c r="D10" i="8"/>
  <c r="BA145" i="9"/>
  <c r="K53" i="8"/>
  <c r="BB108" i="5"/>
  <c r="AH69" i="5"/>
  <c r="BB69" i="5"/>
  <c r="AM135" i="5"/>
  <c r="BB135" i="5"/>
  <c r="A44" i="8"/>
  <c r="AM144" i="9"/>
  <c r="A130" i="5"/>
  <c r="A106" i="8"/>
  <c r="B75" i="5"/>
  <c r="B106" i="8"/>
  <c r="BA65" i="9"/>
  <c r="C65" i="9"/>
  <c r="N5" i="4"/>
  <c r="N6" i="4"/>
  <c r="B116" i="5"/>
  <c r="B89" i="5"/>
  <c r="B39" i="8"/>
  <c r="AW5" i="4"/>
  <c r="AW6" i="4"/>
  <c r="BB104" i="5"/>
  <c r="BB145" i="5"/>
  <c r="A10" i="14"/>
  <c r="F9" i="14"/>
  <c r="D11" i="4"/>
  <c r="AM17" i="4"/>
  <c r="AM18" i="4"/>
  <c r="AC17" i="4"/>
  <c r="AC18" i="4"/>
  <c r="AC19" i="4"/>
  <c r="AC20" i="4"/>
  <c r="AC21" i="4"/>
  <c r="AC22" i="4"/>
  <c r="AC23" i="4"/>
  <c r="AC24" i="4"/>
  <c r="AC25" i="4"/>
  <c r="L2752" i="1"/>
  <c r="A2753" i="1"/>
  <c r="I33" i="4"/>
  <c r="I34" i="4"/>
  <c r="I35" i="4"/>
  <c r="I36" i="4"/>
  <c r="I37" i="4"/>
  <c r="I38" i="4"/>
  <c r="I39" i="4"/>
  <c r="I40" i="4"/>
  <c r="I41" i="4"/>
  <c r="I42" i="4"/>
  <c r="I43" i="4"/>
  <c r="I44" i="4"/>
  <c r="I45" i="4"/>
  <c r="I46" i="4"/>
  <c r="I47" i="4"/>
  <c r="I48" i="4"/>
  <c r="I49" i="4"/>
  <c r="I50" i="4"/>
  <c r="I51" i="4"/>
  <c r="I52" i="4"/>
  <c r="I53" i="4"/>
  <c r="I54" i="4"/>
  <c r="I55" i="4"/>
  <c r="I56" i="4"/>
  <c r="I57" i="4"/>
  <c r="I58" i="4"/>
  <c r="I59" i="4"/>
  <c r="AH17" i="4"/>
  <c r="AH18" i="4"/>
  <c r="AH19" i="4"/>
  <c r="AH20" i="4"/>
  <c r="D10" i="4"/>
  <c r="F125" i="8"/>
  <c r="C125" i="8"/>
  <c r="A13" i="8"/>
  <c r="G22" i="8"/>
  <c r="J22" i="8"/>
  <c r="I22" i="8"/>
  <c r="H22" i="8"/>
  <c r="A28" i="5"/>
  <c r="C25" i="9"/>
  <c r="G39" i="8"/>
  <c r="E39" i="8"/>
  <c r="J39" i="8"/>
  <c r="F39" i="8"/>
  <c r="D39" i="8"/>
  <c r="K39" i="8"/>
  <c r="I39" i="8"/>
  <c r="C52" i="9"/>
  <c r="A53" i="5"/>
  <c r="G72" i="8"/>
  <c r="I72" i="8"/>
  <c r="E72" i="8"/>
  <c r="D72" i="8"/>
  <c r="C72" i="8"/>
  <c r="K72" i="8"/>
  <c r="J72" i="8"/>
  <c r="G87" i="8"/>
  <c r="H87" i="8"/>
  <c r="K87" i="8"/>
  <c r="A122" i="8"/>
  <c r="A118" i="5"/>
  <c r="A135" i="8"/>
  <c r="A131" i="5"/>
  <c r="A142" i="8"/>
  <c r="A75" i="5"/>
  <c r="BA59" i="9"/>
  <c r="C59" i="9"/>
  <c r="F16" i="5"/>
  <c r="E19" i="8"/>
  <c r="H19" i="8"/>
  <c r="H63" i="14"/>
  <c r="F17" i="8"/>
  <c r="K17" i="8"/>
  <c r="F9" i="8"/>
  <c r="D117" i="8"/>
  <c r="J125" i="8"/>
  <c r="D85" i="8"/>
  <c r="K85" i="8"/>
  <c r="I76" i="8"/>
  <c r="C76" i="8"/>
  <c r="E46" i="8"/>
  <c r="C46" i="8"/>
  <c r="K41" i="8"/>
  <c r="J41" i="8"/>
  <c r="F119" i="8"/>
  <c r="K119" i="8"/>
  <c r="J20" i="8"/>
  <c r="E20" i="8"/>
  <c r="G125" i="8"/>
  <c r="C30" i="8"/>
  <c r="E30" i="8"/>
  <c r="K54" i="8"/>
  <c r="M144" i="5"/>
  <c r="D133" i="8"/>
  <c r="I133" i="8"/>
  <c r="F133" i="8"/>
  <c r="J19" i="8"/>
  <c r="D19" i="8"/>
  <c r="H51" i="8"/>
  <c r="K51" i="8"/>
  <c r="E48" i="8"/>
  <c r="J48" i="8"/>
  <c r="G127" i="8"/>
  <c r="G45" i="8"/>
  <c r="K110" i="8"/>
  <c r="E51" i="8"/>
  <c r="D5" i="8"/>
  <c r="E35" i="8"/>
  <c r="H89" i="8"/>
  <c r="J35" i="8"/>
  <c r="AM144" i="5"/>
  <c r="H50" i="8"/>
  <c r="K50" i="8"/>
  <c r="J50" i="8"/>
  <c r="I110" i="8"/>
  <c r="F50" i="8"/>
  <c r="G38" i="8"/>
  <c r="F38" i="8"/>
  <c r="D38" i="8"/>
  <c r="K38" i="8"/>
  <c r="I38" i="8"/>
  <c r="H38" i="8"/>
  <c r="G55" i="8"/>
  <c r="H55" i="8"/>
  <c r="E55" i="8"/>
  <c r="C55" i="8"/>
  <c r="A44" i="5"/>
  <c r="A49" i="8"/>
  <c r="G91" i="8"/>
  <c r="D91" i="8"/>
  <c r="C91" i="8"/>
  <c r="J91" i="8"/>
  <c r="G93" i="8"/>
  <c r="E93" i="8"/>
  <c r="J93" i="8"/>
  <c r="K93" i="8"/>
  <c r="I93" i="8"/>
  <c r="H93" i="8"/>
  <c r="G100" i="8"/>
  <c r="J100" i="8"/>
  <c r="F100" i="8"/>
  <c r="D100" i="8"/>
  <c r="C100" i="8"/>
  <c r="K100" i="8"/>
  <c r="I100" i="8"/>
  <c r="H100" i="8"/>
  <c r="G103" i="8"/>
  <c r="E103" i="8"/>
  <c r="K103" i="8"/>
  <c r="I103" i="8"/>
  <c r="H103" i="8"/>
  <c r="G118" i="8"/>
  <c r="K118" i="8"/>
  <c r="H118" i="8"/>
  <c r="I118" i="8"/>
  <c r="K123" i="8"/>
  <c r="H123" i="8"/>
  <c r="G123" i="8"/>
  <c r="D123" i="8"/>
  <c r="C123" i="8"/>
  <c r="I123" i="8"/>
  <c r="D128" i="8"/>
  <c r="C128" i="8"/>
  <c r="K128" i="8"/>
  <c r="H128" i="8"/>
  <c r="G128" i="8"/>
  <c r="F128" i="8"/>
  <c r="E128" i="8"/>
  <c r="I128" i="8"/>
  <c r="B31" i="8"/>
  <c r="B5" i="5"/>
  <c r="I146" i="9"/>
  <c r="J64" i="5"/>
  <c r="BA17" i="9"/>
  <c r="C17" i="9"/>
  <c r="H72" i="5"/>
  <c r="BB72" i="5"/>
  <c r="BA80" i="9"/>
  <c r="C80" i="9"/>
  <c r="F87" i="5"/>
  <c r="BB87" i="5"/>
  <c r="BA126" i="9"/>
  <c r="C126" i="9"/>
  <c r="L141" i="5"/>
  <c r="BB141" i="5"/>
  <c r="BA144" i="9"/>
  <c r="C1" i="9"/>
  <c r="C144" i="9" s="1"/>
  <c r="D17" i="8"/>
  <c r="I17" i="8"/>
  <c r="H17" i="8"/>
  <c r="C17" i="8"/>
  <c r="I125" i="8"/>
  <c r="K125" i="8"/>
  <c r="H85" i="8"/>
  <c r="J76" i="8"/>
  <c r="H46" i="8"/>
  <c r="F46" i="8"/>
  <c r="D41" i="8"/>
  <c r="C41" i="8"/>
  <c r="H119" i="8"/>
  <c r="D119" i="8"/>
  <c r="K20" i="8"/>
  <c r="D30" i="8"/>
  <c r="K19" i="8"/>
  <c r="F19" i="8"/>
  <c r="J5" i="8"/>
  <c r="C48" i="8"/>
  <c r="J51" i="8"/>
  <c r="F48" i="8"/>
  <c r="J45" i="8"/>
  <c r="AH144" i="5"/>
  <c r="H5" i="8"/>
  <c r="J127" i="8"/>
  <c r="H45" i="8"/>
  <c r="E110" i="8"/>
  <c r="I71" i="8"/>
  <c r="G110" i="8"/>
  <c r="C35" i="8"/>
  <c r="I89" i="8"/>
  <c r="K89" i="8"/>
  <c r="C50" i="8"/>
  <c r="G1" i="9"/>
  <c r="G1" i="5"/>
  <c r="G129" i="8"/>
  <c r="J129" i="8"/>
  <c r="D129" i="8"/>
  <c r="C129" i="8"/>
  <c r="K129" i="8"/>
  <c r="H129" i="8"/>
  <c r="E14" i="8"/>
  <c r="G14" i="8"/>
  <c r="H14" i="8"/>
  <c r="A27" i="5"/>
  <c r="C23" i="9"/>
  <c r="C27" i="8"/>
  <c r="G27" i="8"/>
  <c r="K27" i="8"/>
  <c r="G36" i="8"/>
  <c r="I36" i="8"/>
  <c r="J61" i="8"/>
  <c r="G61" i="8"/>
  <c r="K61" i="8"/>
  <c r="I61" i="8"/>
  <c r="H61" i="8"/>
  <c r="G74" i="8"/>
  <c r="H74" i="8"/>
  <c r="I74" i="8"/>
  <c r="G77" i="8"/>
  <c r="K77" i="8"/>
  <c r="J77" i="8"/>
  <c r="I77" i="8"/>
  <c r="H77" i="8"/>
  <c r="A89" i="5"/>
  <c r="A82" i="8"/>
  <c r="G86" i="8"/>
  <c r="F86" i="8"/>
  <c r="K86" i="8"/>
  <c r="D86" i="8"/>
  <c r="J86" i="8"/>
  <c r="I86" i="8"/>
  <c r="A103" i="5"/>
  <c r="A107" i="8"/>
  <c r="F124" i="8"/>
  <c r="E124" i="8"/>
  <c r="J124" i="8"/>
  <c r="G124" i="8"/>
  <c r="K124" i="8"/>
  <c r="H124" i="8"/>
  <c r="B128" i="8"/>
  <c r="B125" i="5"/>
  <c r="H65" i="5"/>
  <c r="BA3" i="9"/>
  <c r="C3" i="9"/>
  <c r="BA124" i="9"/>
  <c r="C124" i="9"/>
  <c r="G106" i="8"/>
  <c r="F106" i="8"/>
  <c r="J106" i="8"/>
  <c r="E106" i="8"/>
  <c r="K106" i="8"/>
  <c r="I106" i="8"/>
  <c r="H106" i="8"/>
  <c r="G33" i="8"/>
  <c r="I33" i="8"/>
  <c r="H33" i="8"/>
  <c r="H37" i="8"/>
  <c r="G37" i="8"/>
  <c r="J37" i="8"/>
  <c r="K69" i="8"/>
  <c r="H69" i="8"/>
  <c r="G92" i="8"/>
  <c r="K92" i="8"/>
  <c r="I92" i="8"/>
  <c r="H92" i="8"/>
  <c r="F92" i="8"/>
  <c r="D92" i="8"/>
  <c r="C92" i="8"/>
  <c r="G101" i="8"/>
  <c r="J101" i="8"/>
  <c r="A134" i="8"/>
  <c r="A128" i="5"/>
  <c r="A123" i="5"/>
  <c r="A141" i="8"/>
  <c r="A136" i="5"/>
  <c r="A79" i="8"/>
  <c r="BA38" i="9"/>
  <c r="C38" i="9"/>
  <c r="BA58" i="9"/>
  <c r="C58" i="9"/>
  <c r="N7" i="4"/>
  <c r="N8" i="4"/>
  <c r="N9" i="4"/>
  <c r="N10" i="4"/>
  <c r="N11" i="4"/>
  <c r="N12" i="4"/>
  <c r="N13" i="4"/>
  <c r="N14" i="4"/>
  <c r="N15" i="4"/>
  <c r="N16" i="4"/>
  <c r="N17" i="4"/>
  <c r="N18" i="4"/>
  <c r="N19" i="4"/>
  <c r="N20" i="4"/>
  <c r="N21" i="4"/>
  <c r="N22" i="4"/>
  <c r="N23" i="4"/>
  <c r="N24" i="4"/>
  <c r="N25" i="4"/>
  <c r="N26" i="4"/>
  <c r="N27" i="4"/>
  <c r="N28" i="4"/>
  <c r="N29" i="4"/>
  <c r="N30" i="4"/>
  <c r="N31" i="4"/>
  <c r="N32" i="4"/>
  <c r="AR7" i="4"/>
  <c r="AR8" i="4"/>
  <c r="AR9" i="4"/>
  <c r="AR10" i="4"/>
  <c r="AR11" i="4"/>
  <c r="AR12" i="4"/>
  <c r="AR13" i="4"/>
  <c r="AR14" i="4"/>
  <c r="AR15" i="4"/>
  <c r="AR16" i="4"/>
  <c r="B122" i="8"/>
  <c r="B115" i="8"/>
  <c r="B54" i="5"/>
  <c r="BA130" i="9"/>
  <c r="C130" i="9"/>
  <c r="X6" i="4"/>
  <c r="X7" i="4"/>
  <c r="X8" i="4"/>
  <c r="D7" i="4"/>
  <c r="AW7" i="4"/>
  <c r="AW8" i="4"/>
  <c r="AW9" i="4"/>
  <c r="AW10" i="4"/>
  <c r="AW11" i="4"/>
  <c r="AW12" i="4"/>
  <c r="AW13" i="4"/>
  <c r="AW14" i="4"/>
  <c r="AW15" i="4"/>
  <c r="AW16" i="4"/>
  <c r="D9" i="4"/>
  <c r="A46" i="5"/>
  <c r="A104" i="8"/>
  <c r="A86" i="5"/>
  <c r="C104" i="9"/>
  <c r="B104" i="8"/>
  <c r="B86" i="5"/>
  <c r="Q3021" i="1"/>
  <c r="Q3018" i="1"/>
  <c r="Q3015" i="1"/>
  <c r="Q3010" i="1"/>
  <c r="Q3007" i="1"/>
  <c r="Q3003" i="1"/>
  <c r="Q3004" i="1"/>
  <c r="Q2997" i="1"/>
  <c r="Q2992" i="1"/>
  <c r="Q2989" i="1"/>
  <c r="Q2982" i="1"/>
  <c r="Q2983" i="1"/>
  <c r="Q2973" i="1"/>
  <c r="Q2978" i="1"/>
  <c r="Q2968" i="1"/>
  <c r="Q2963" i="1"/>
  <c r="Q2955" i="1"/>
  <c r="Q2958" i="1"/>
  <c r="Q2951" i="1"/>
  <c r="Q2946" i="1"/>
  <c r="Q2942" i="1"/>
  <c r="Q2938" i="1"/>
  <c r="Q2935" i="1"/>
  <c r="Q2931" i="1"/>
  <c r="Q2926" i="1"/>
  <c r="Q2922" i="1"/>
  <c r="Q2920" i="1"/>
  <c r="Q2917" i="1"/>
  <c r="Q2913" i="1"/>
  <c r="Q2909" i="1"/>
  <c r="Q2903" i="1"/>
  <c r="Q2896" i="1"/>
  <c r="Q2893" i="1"/>
  <c r="Q2888" i="1"/>
  <c r="Q2882" i="1"/>
  <c r="Q2878" i="1"/>
  <c r="Q2873" i="1"/>
  <c r="Q2869" i="1"/>
  <c r="Q2864" i="1"/>
  <c r="Q2866" i="1"/>
  <c r="Q2860" i="1"/>
  <c r="Q2857" i="1"/>
  <c r="Q2855" i="1"/>
  <c r="Q2850" i="1"/>
  <c r="Q2844" i="1"/>
  <c r="Q2840" i="1"/>
  <c r="Q2834" i="1"/>
  <c r="Q2832" i="1"/>
  <c r="Q2829" i="1"/>
  <c r="Q2819" i="1"/>
  <c r="Q2823" i="1"/>
  <c r="Q2817" i="1"/>
  <c r="Q2813" i="1"/>
  <c r="Q2810" i="1"/>
  <c r="Q2806" i="1"/>
  <c r="Q2802" i="1"/>
  <c r="Q2798" i="1"/>
  <c r="Q2793" i="1"/>
  <c r="Q2776" i="1"/>
  <c r="Q2745" i="1"/>
  <c r="Q2669" i="1"/>
  <c r="Q1486" i="1"/>
  <c r="Q2763" i="1"/>
  <c r="Q3026" i="1"/>
  <c r="Q3023" i="1"/>
  <c r="Q3020" i="1"/>
  <c r="Q3014" i="1"/>
  <c r="Q3008" i="1"/>
  <c r="Q3006" i="1"/>
  <c r="Q3000" i="1"/>
  <c r="Q2996" i="1"/>
  <c r="Q2993" i="1"/>
  <c r="Q2988" i="1"/>
  <c r="Q2984" i="1"/>
  <c r="Q2985" i="1"/>
  <c r="Q2975" i="1"/>
  <c r="Q2970" i="1"/>
  <c r="Q2972" i="1"/>
  <c r="Q2965" i="1"/>
  <c r="Q2961" i="1"/>
  <c r="Q2953" i="1"/>
  <c r="Q2956" i="1"/>
  <c r="Q2950" i="1"/>
  <c r="Q2947" i="1"/>
  <c r="Q2943" i="1"/>
  <c r="Q2939" i="1"/>
  <c r="Q2934" i="1"/>
  <c r="Q2929" i="1"/>
  <c r="Q2924" i="1"/>
  <c r="Q2923" i="1"/>
  <c r="Q2916" i="1"/>
  <c r="Q2912" i="1"/>
  <c r="Q2908" i="1"/>
  <c r="Q2905" i="1"/>
  <c r="Q2902" i="1"/>
  <c r="Q2899" i="1"/>
  <c r="Q2897" i="1"/>
  <c r="Q2894" i="1"/>
  <c r="Q2889" i="1"/>
  <c r="Q2885" i="1"/>
  <c r="Q2883" i="1"/>
  <c r="Q2880" i="1"/>
  <c r="Q2876" i="1"/>
  <c r="Q2868" i="1"/>
  <c r="Q2865" i="1"/>
  <c r="Q2863" i="1"/>
  <c r="Q2858" i="1"/>
  <c r="Q2856" i="1"/>
  <c r="Q2848" i="1"/>
  <c r="Q2846" i="1"/>
  <c r="Q2842" i="1"/>
  <c r="Q2837" i="1"/>
  <c r="Q2836" i="1"/>
  <c r="Q2828" i="1"/>
  <c r="Q2820" i="1"/>
  <c r="Q2824" i="1"/>
  <c r="Q2815" i="1"/>
  <c r="Q2812" i="1"/>
  <c r="Q2807" i="1"/>
  <c r="Q2803" i="1"/>
  <c r="Q2799" i="1"/>
  <c r="Q2796" i="1"/>
  <c r="Q2792" i="1"/>
  <c r="Q2791" i="1"/>
  <c r="Q2619" i="1"/>
  <c r="Q2784" i="1"/>
  <c r="Q319" i="1"/>
  <c r="Q3025" i="1"/>
  <c r="Q3019" i="1"/>
  <c r="Q3016" i="1"/>
  <c r="Q3013" i="1"/>
  <c r="Q3011" i="1"/>
  <c r="Q3005" i="1"/>
  <c r="Q2999" i="1"/>
  <c r="Q2998" i="1"/>
  <c r="Q2994" i="1"/>
  <c r="Q2991" i="1"/>
  <c r="Q2987" i="1"/>
  <c r="Q2981" i="1"/>
  <c r="Q2977" i="1"/>
  <c r="Q2969" i="1"/>
  <c r="Q2974" i="1"/>
  <c r="Q2967" i="1"/>
  <c r="Q2959" i="1"/>
  <c r="Q2962" i="1"/>
  <c r="Q2954" i="1"/>
  <c r="Q2949" i="1"/>
  <c r="Q2945" i="1"/>
  <c r="Q2940" i="1"/>
  <c r="Q2936" i="1"/>
  <c r="Q2933" i="1"/>
  <c r="Q2928" i="1"/>
  <c r="Q2927" i="1"/>
  <c r="Q2921" i="1"/>
  <c r="Q2919" i="1"/>
  <c r="Q2914" i="1"/>
  <c r="Q2910" i="1"/>
  <c r="Q2906" i="1"/>
  <c r="Q2900" i="1"/>
  <c r="Q2895" i="1"/>
  <c r="Q2890" i="1"/>
  <c r="Q2886" i="1"/>
  <c r="Q2879" i="1"/>
  <c r="Q2875" i="1"/>
  <c r="Q2872" i="1"/>
  <c r="Q2870" i="1"/>
  <c r="Q2867" i="1"/>
  <c r="Q2861" i="1"/>
  <c r="Q2852" i="1"/>
  <c r="Q2854" i="1"/>
  <c r="Q2849" i="1"/>
  <c r="Q2845" i="1"/>
  <c r="Q2841" i="1"/>
  <c r="Q2838" i="1"/>
  <c r="Q2833" i="1"/>
  <c r="Q2831" i="1"/>
  <c r="Q2827" i="1"/>
  <c r="Q2821" i="1"/>
  <c r="Q2825" i="1"/>
  <c r="Q2816" i="1"/>
  <c r="Q2811" i="1"/>
  <c r="Q2809" i="1"/>
  <c r="Q2805" i="1"/>
  <c r="Q2800" i="1"/>
  <c r="Q2794" i="1"/>
  <c r="Q2790" i="1"/>
  <c r="Q1418" i="1"/>
  <c r="Q2638" i="1"/>
  <c r="Q95" i="1"/>
  <c r="Q955" i="1"/>
  <c r="Q2709" i="1"/>
  <c r="Q3024" i="1"/>
  <c r="Q3022" i="1"/>
  <c r="Q3017" i="1"/>
  <c r="Q3012" i="1"/>
  <c r="Q3009" i="1"/>
  <c r="Q3001" i="1"/>
  <c r="Q3002" i="1"/>
  <c r="Q2995" i="1"/>
  <c r="Q2990" i="1"/>
  <c r="Q2986" i="1"/>
  <c r="Q2980" i="1"/>
  <c r="Q2979" i="1"/>
  <c r="Q2971" i="1"/>
  <c r="Q2976" i="1"/>
  <c r="Q2966" i="1"/>
  <c r="Q2964" i="1"/>
  <c r="Q2957" i="1"/>
  <c r="Q2960" i="1"/>
  <c r="Q2952" i="1"/>
  <c r="Q2948" i="1"/>
  <c r="Q2944" i="1"/>
  <c r="Q2941" i="1"/>
  <c r="Q2937" i="1"/>
  <c r="Q2932" i="1"/>
  <c r="Q2930" i="1"/>
  <c r="Q2925" i="1"/>
  <c r="Q2918" i="1"/>
  <c r="Q2915" i="1"/>
  <c r="Q2911" i="1"/>
  <c r="Q2907" i="1"/>
  <c r="Q2904" i="1"/>
  <c r="Q2901" i="1"/>
  <c r="Q2898" i="1"/>
  <c r="Q2892" i="1"/>
  <c r="Q2891" i="1"/>
  <c r="Q2887" i="1"/>
  <c r="Q2884" i="1"/>
  <c r="Q2881" i="1"/>
  <c r="Q2877" i="1"/>
  <c r="Q2874" i="1"/>
  <c r="Q2871" i="1"/>
  <c r="Q2862" i="1"/>
  <c r="Q2859" i="1"/>
  <c r="Q2851" i="1"/>
  <c r="Q2853" i="1"/>
  <c r="Q2847" i="1"/>
  <c r="Q2843" i="1"/>
  <c r="Q2839" i="1"/>
  <c r="Q2835" i="1"/>
  <c r="Q2830" i="1"/>
  <c r="Q2818" i="1"/>
  <c r="Q2822" i="1"/>
  <c r="Q2826" i="1"/>
  <c r="Q2814" i="1"/>
  <c r="Q2808" i="1"/>
  <c r="Q2804" i="1"/>
  <c r="Q2801" i="1"/>
  <c r="Q2797" i="1"/>
  <c r="Q2795" i="1"/>
  <c r="Q2789" i="1"/>
  <c r="Q1869" i="1"/>
  <c r="Q2642" i="1"/>
  <c r="Q1808" i="1"/>
  <c r="Q423" i="1"/>
  <c r="Q1021" i="1"/>
  <c r="Q2788" i="1"/>
  <c r="Q618" i="1"/>
  <c r="Q2782" i="1"/>
  <c r="Q1815" i="1"/>
  <c r="Q1686" i="1"/>
  <c r="Q1140" i="1"/>
  <c r="Q1407" i="1"/>
  <c r="Q2424" i="1"/>
  <c r="Q2779" i="1"/>
  <c r="Q1916" i="1"/>
  <c r="Q2767" i="1"/>
  <c r="Q2490" i="1"/>
  <c r="Q2766" i="1"/>
  <c r="Q2730" i="1"/>
  <c r="Q297" i="1"/>
  <c r="Q2021" i="1"/>
  <c r="Q2786" i="1"/>
  <c r="Q1974" i="1"/>
  <c r="Q2778" i="1"/>
  <c r="Q1470" i="1"/>
  <c r="Q457" i="1"/>
  <c r="Q152" i="1"/>
  <c r="Q2269" i="1"/>
  <c r="Q2222" i="1"/>
  <c r="Q2783" i="1"/>
  <c r="Q1867" i="1"/>
  <c r="Q2775" i="1"/>
  <c r="Q1613" i="1"/>
  <c r="Q2772" i="1"/>
  <c r="Q2761" i="1"/>
  <c r="Q1710" i="1"/>
  <c r="Q773" i="1"/>
  <c r="Q2764" i="1"/>
  <c r="Q2143" i="1"/>
  <c r="Q2613" i="1"/>
  <c r="Q1314" i="1"/>
  <c r="Q2771" i="1"/>
  <c r="Q2755" i="1"/>
  <c r="Q2337" i="1"/>
  <c r="Q2370" i="1"/>
  <c r="Q1778" i="1"/>
  <c r="Q1678" i="1"/>
  <c r="Q2534" i="1"/>
  <c r="Q177" i="1"/>
  <c r="Q1840" i="1"/>
  <c r="Q1677" i="1"/>
  <c r="Q159" i="1"/>
  <c r="Q492" i="1"/>
  <c r="Q466" i="1"/>
  <c r="Q502" i="1"/>
  <c r="Q2373" i="1"/>
  <c r="Q1801" i="1"/>
  <c r="Q478" i="1"/>
  <c r="Q1574" i="1"/>
  <c r="Q762" i="1"/>
  <c r="Q69" i="1"/>
  <c r="Q2754" i="1"/>
  <c r="Q2425" i="1"/>
  <c r="Q2701" i="1"/>
  <c r="Q2670" i="1"/>
  <c r="Q2762" i="1"/>
  <c r="Q2481" i="1"/>
  <c r="Q845" i="1"/>
  <c r="Q1924" i="1"/>
  <c r="Q2322" i="1"/>
  <c r="Q2260" i="1"/>
  <c r="Q437" i="1"/>
  <c r="Q2406" i="1"/>
  <c r="Q2681" i="1"/>
  <c r="Q512" i="1"/>
  <c r="Q744" i="1"/>
  <c r="Q1449" i="1"/>
  <c r="Q58" i="1"/>
  <c r="Q2750" i="1"/>
  <c r="Q1876" i="1"/>
  <c r="Q382" i="1"/>
  <c r="Q2698" i="1"/>
  <c r="Q1313" i="1"/>
  <c r="Q806" i="1"/>
  <c r="Q1715" i="1"/>
  <c r="Q2706" i="1"/>
  <c r="Q2715" i="1"/>
  <c r="Q1045" i="1"/>
  <c r="Q1151" i="1"/>
  <c r="Q989" i="1"/>
  <c r="Q1485" i="1"/>
  <c r="Q937" i="1"/>
  <c r="Q1724" i="1"/>
  <c r="Q2327" i="1"/>
  <c r="Q796" i="1"/>
  <c r="Q147" i="1"/>
  <c r="Q248" i="1"/>
  <c r="Q1898" i="1"/>
  <c r="Q2479" i="1"/>
  <c r="Q74" i="1"/>
  <c r="Q2109" i="1"/>
  <c r="Q1966" i="1"/>
  <c r="Q2577" i="1"/>
  <c r="Q2720" i="1"/>
  <c r="Q667" i="1"/>
  <c r="Q2339" i="1"/>
  <c r="Q251" i="1"/>
  <c r="Q1220" i="1"/>
  <c r="Q2201" i="1"/>
  <c r="Q2780" i="1"/>
  <c r="Q2029" i="1"/>
  <c r="Q2785" i="1"/>
  <c r="Q313" i="1"/>
  <c r="Q2274" i="1"/>
  <c r="Q171" i="1"/>
  <c r="Q1638" i="1"/>
  <c r="Q356" i="1"/>
  <c r="Q140" i="1"/>
  <c r="Q334" i="1"/>
  <c r="Q2717" i="1"/>
  <c r="Q1563" i="1"/>
  <c r="Q2724" i="1"/>
  <c r="Q2518" i="1"/>
  <c r="Q447" i="1"/>
  <c r="Q83" i="1"/>
  <c r="Q490" i="1"/>
  <c r="Q306" i="1"/>
  <c r="Q767" i="1"/>
  <c r="Q2746" i="1"/>
  <c r="Q2078" i="1"/>
  <c r="Q2006" i="1"/>
  <c r="Q2298" i="1"/>
  <c r="Q244" i="1"/>
  <c r="Q1942" i="1"/>
  <c r="Q1640" i="1"/>
  <c r="Q2574" i="1"/>
  <c r="Q2739" i="1"/>
  <c r="Q81" i="1"/>
  <c r="Q1188" i="1"/>
  <c r="Q2098" i="1"/>
  <c r="Q2061" i="1"/>
  <c r="Q2708" i="1"/>
  <c r="Q2685" i="1"/>
  <c r="Q1848" i="1"/>
  <c r="Q383" i="1"/>
  <c r="Q2088" i="1"/>
  <c r="Q2477" i="1"/>
  <c r="Q578" i="1"/>
  <c r="Q2380" i="1"/>
  <c r="Q1153" i="1"/>
  <c r="Q1330" i="1"/>
  <c r="Q1131" i="1"/>
  <c r="Q78" i="1"/>
  <c r="Q495" i="1"/>
  <c r="Q2628" i="1"/>
  <c r="Q918" i="1"/>
  <c r="Q797" i="1"/>
  <c r="Q2626" i="1"/>
  <c r="Q1914" i="1"/>
  <c r="Q2593" i="1"/>
  <c r="Q2084" i="1"/>
  <c r="Q285" i="1"/>
  <c r="Q2375" i="1"/>
  <c r="Q1336" i="1"/>
  <c r="Q1453" i="1"/>
  <c r="Q1052" i="1"/>
  <c r="Q377" i="1"/>
  <c r="Q1567" i="1"/>
  <c r="Q1793" i="1"/>
  <c r="Q1868" i="1"/>
  <c r="Q717" i="1"/>
  <c r="Q576" i="1"/>
  <c r="Q1569" i="1"/>
  <c r="Q1050" i="1"/>
  <c r="Q581" i="1"/>
  <c r="Q2089" i="1"/>
  <c r="Q2658" i="1"/>
  <c r="Q2502" i="1"/>
  <c r="Q1934" i="1"/>
  <c r="Q2382" i="1"/>
  <c r="Q111" i="1"/>
  <c r="Q1927" i="1"/>
  <c r="Q328" i="1"/>
  <c r="Q2265" i="1"/>
  <c r="Q1502" i="1"/>
  <c r="Q668" i="1"/>
  <c r="Q325" i="1"/>
  <c r="Q833" i="1"/>
  <c r="Q80" i="1"/>
  <c r="Q333" i="1"/>
  <c r="Q1455" i="1"/>
  <c r="Q1316" i="1"/>
  <c r="Q2751" i="1"/>
  <c r="Q1308" i="1"/>
  <c r="Q2673" i="1"/>
  <c r="Q1816" i="1"/>
  <c r="Q417" i="1"/>
  <c r="Q1415" i="1"/>
  <c r="Q2344" i="1"/>
  <c r="Q653" i="1"/>
  <c r="Q1231" i="1"/>
  <c r="Q1853" i="1"/>
  <c r="Q641" i="1"/>
  <c r="Q1611" i="1"/>
  <c r="Q2616" i="1"/>
  <c r="Q1980" i="1"/>
  <c r="Q2573" i="1"/>
  <c r="Q2198" i="1"/>
  <c r="Q1104" i="1"/>
  <c r="Q1249" i="1"/>
  <c r="Q2732" i="1"/>
  <c r="Q977" i="1"/>
  <c r="Q318" i="1"/>
  <c r="Q738" i="1"/>
  <c r="Q1786" i="1"/>
  <c r="Q2134" i="1"/>
  <c r="Q1382" i="1"/>
  <c r="Q2229" i="1"/>
  <c r="Q155" i="1"/>
  <c r="Q1547" i="1"/>
  <c r="Q654" i="1"/>
  <c r="Q854" i="1"/>
  <c r="Q1604" i="1"/>
  <c r="Q2161" i="1"/>
  <c r="Q817" i="1"/>
  <c r="Q89" i="1"/>
  <c r="Q213" i="1"/>
  <c r="Q843" i="1"/>
  <c r="Q342" i="1"/>
  <c r="Q2193" i="1"/>
  <c r="Q2079" i="1"/>
  <c r="Q1168" i="1"/>
  <c r="Q391" i="1"/>
  <c r="Q1355" i="1"/>
  <c r="Q1163" i="1"/>
  <c r="Q2787" i="1"/>
  <c r="Q2781" i="1"/>
  <c r="Q2212" i="1"/>
  <c r="Q60" i="1"/>
  <c r="Q2040" i="1"/>
  <c r="Q2467" i="1"/>
  <c r="Q2539" i="1"/>
  <c r="Q2391" i="1"/>
  <c r="Q2703" i="1"/>
  <c r="Q2588" i="1"/>
  <c r="Q2540" i="1"/>
  <c r="Q1253" i="1"/>
  <c r="Q1643" i="1"/>
  <c r="Q2668" i="1"/>
  <c r="Q2578" i="1"/>
  <c r="Q1971" i="1"/>
  <c r="Q2770" i="1"/>
  <c r="Q2747" i="1"/>
  <c r="Q535" i="1"/>
  <c r="Q2768" i="1"/>
  <c r="Q1362" i="1"/>
  <c r="Q772" i="1"/>
  <c r="Q365" i="1"/>
  <c r="Q2508" i="1"/>
  <c r="Q643" i="1"/>
  <c r="Q1804" i="1"/>
  <c r="Q637" i="1"/>
  <c r="Q553" i="1"/>
  <c r="Q2253" i="1"/>
  <c r="Q1251" i="1"/>
  <c r="Q54" i="1"/>
  <c r="Q2277" i="1"/>
  <c r="Q1787" i="1"/>
  <c r="Q2223" i="1"/>
  <c r="Q814" i="1"/>
  <c r="Q1863" i="1"/>
  <c r="Q1582" i="1"/>
  <c r="Q453" i="1"/>
  <c r="Q1309" i="1"/>
  <c r="Q914" i="1"/>
  <c r="Q728" i="1"/>
  <c r="Q783" i="1"/>
  <c r="Q1009" i="1"/>
  <c r="Q1237" i="1"/>
  <c r="Q1749" i="1"/>
  <c r="Q1947" i="1"/>
  <c r="Q108" i="1"/>
  <c r="Q1081" i="1"/>
  <c r="Q811" i="1"/>
  <c r="Q350" i="1"/>
  <c r="Q1963" i="1"/>
  <c r="Q2156" i="1"/>
  <c r="Q1584" i="1"/>
  <c r="Q13" i="1"/>
  <c r="Q2475" i="1"/>
  <c r="Q174" i="1"/>
  <c r="Q1464" i="1"/>
  <c r="Q725" i="1"/>
  <c r="Q2773" i="1"/>
  <c r="Q2716" i="1"/>
  <c r="Q2777" i="1"/>
  <c r="Q1246" i="1"/>
  <c r="Q2597" i="1"/>
  <c r="Q787" i="1"/>
  <c r="Q648" i="1"/>
  <c r="Q633" i="1"/>
  <c r="Q239" i="1"/>
  <c r="Q476" i="1"/>
  <c r="Q93" i="1"/>
  <c r="Q750" i="1"/>
  <c r="Q684" i="1"/>
  <c r="Q1795" i="1"/>
  <c r="Q1539" i="1"/>
  <c r="Q1035" i="1"/>
  <c r="Q182" i="1"/>
  <c r="Q2415" i="1"/>
  <c r="Q1068" i="1"/>
  <c r="Q1463" i="1"/>
  <c r="Q2326" i="1"/>
  <c r="Q2636" i="1"/>
  <c r="Q2160" i="1"/>
  <c r="Q340" i="1"/>
  <c r="Q610" i="1"/>
  <c r="Q1902" i="1"/>
  <c r="Q1704" i="1"/>
  <c r="Q1152" i="1"/>
  <c r="Q632" i="1"/>
  <c r="Q2453" i="1"/>
  <c r="Q1586" i="1"/>
  <c r="Q822" i="1"/>
  <c r="Q1830" i="1"/>
  <c r="Q1494" i="1"/>
  <c r="Q1687" i="1"/>
  <c r="Q5" i="1"/>
  <c r="Q669" i="1"/>
  <c r="Q432" i="1"/>
  <c r="Q1762" i="1"/>
  <c r="Q891" i="1"/>
  <c r="Q2290" i="1"/>
  <c r="Q1329" i="1"/>
  <c r="Q2488" i="1"/>
  <c r="Q2504" i="1"/>
  <c r="Q1721" i="1"/>
  <c r="Q1674" i="1"/>
  <c r="Q2150" i="1"/>
  <c r="Q2055" i="1"/>
  <c r="Q2245" i="1"/>
  <c r="Q484" i="1"/>
  <c r="Q2572" i="1"/>
  <c r="Q1323" i="1"/>
  <c r="Q2627" i="1"/>
  <c r="Q1443" i="1"/>
  <c r="Q1520" i="1"/>
  <c r="Q565" i="1"/>
  <c r="Q2124" i="1"/>
  <c r="Q494" i="1"/>
  <c r="Q1925" i="1"/>
  <c r="Q1076" i="1"/>
  <c r="Q1324" i="1"/>
  <c r="Q634" i="1"/>
  <c r="Q1115" i="1"/>
  <c r="Q169" i="1"/>
  <c r="Q2472" i="1"/>
  <c r="Q2661" i="1"/>
  <c r="Q657" i="1"/>
  <c r="Q2371" i="1"/>
  <c r="Q1266" i="1"/>
  <c r="Q22" i="1"/>
  <c r="Q2551" i="1"/>
  <c r="Q2042" i="1"/>
  <c r="Q1380" i="1"/>
  <c r="Q1033" i="1"/>
  <c r="Q471" i="1"/>
  <c r="Q354" i="1"/>
  <c r="Q1381" i="1"/>
  <c r="Q55" i="1"/>
  <c r="Q2343" i="1"/>
  <c r="Q1736" i="1"/>
  <c r="Q2034" i="1"/>
  <c r="Q1837" i="1"/>
  <c r="Q2117" i="1"/>
  <c r="Q1807" i="1"/>
  <c r="Q1508" i="1"/>
  <c r="Q1116" i="1"/>
  <c r="Q729" i="1"/>
  <c r="Q1699" i="1"/>
  <c r="Q1273" i="1"/>
  <c r="Q2305" i="1"/>
  <c r="Q2687" i="1"/>
  <c r="Q2603" i="1"/>
  <c r="Q2741" i="1"/>
  <c r="Q1317" i="1"/>
  <c r="Q780" i="1"/>
  <c r="Q1181" i="1"/>
  <c r="Q148" i="1"/>
  <c r="Q524" i="1"/>
  <c r="Q2108" i="1"/>
  <c r="Q1247" i="1"/>
  <c r="Q709" i="1"/>
  <c r="Q2652" i="1"/>
  <c r="Q408" i="1"/>
  <c r="Q2202" i="1"/>
  <c r="Q713" i="1"/>
  <c r="Q263" i="1"/>
  <c r="Q1432" i="1"/>
  <c r="Q1058" i="1"/>
  <c r="Q1679" i="1"/>
  <c r="Q964" i="1"/>
  <c r="Q1038" i="1"/>
  <c r="Q370" i="1"/>
  <c r="Q692" i="1"/>
  <c r="Q94" i="1"/>
  <c r="Q2203" i="1"/>
  <c r="Q1794" i="1"/>
  <c r="Q2633" i="1"/>
  <c r="Q954" i="1"/>
  <c r="Q1769" i="1"/>
  <c r="Q2187" i="1"/>
  <c r="Q790" i="1"/>
  <c r="Q1301" i="1"/>
  <c r="Q1405" i="1"/>
  <c r="Q1397" i="1"/>
  <c r="Q1722" i="1"/>
  <c r="Q1454" i="1"/>
  <c r="Q823" i="1"/>
  <c r="Q2145" i="1"/>
  <c r="Q2355" i="1"/>
  <c r="Q2599" i="1"/>
  <c r="Q1262" i="1"/>
  <c r="Q388" i="1"/>
  <c r="Q1082" i="1"/>
  <c r="Q1022" i="1"/>
  <c r="Q1342" i="1"/>
  <c r="Q705" i="1"/>
  <c r="Q1172" i="1"/>
  <c r="Q547" i="1"/>
  <c r="Q2035" i="1"/>
  <c r="Q1286" i="1"/>
  <c r="Q2411" i="1"/>
  <c r="Q90" i="1"/>
  <c r="Q1423" i="1"/>
  <c r="Q2248" i="1"/>
  <c r="Q707" i="1"/>
  <c r="Q390" i="1"/>
  <c r="Q2489" i="1"/>
  <c r="Q2244" i="1"/>
  <c r="Q938" i="1"/>
  <c r="Q1276" i="1"/>
  <c r="Q463" i="1"/>
  <c r="Q1495" i="1"/>
  <c r="Q460" i="1"/>
  <c r="Q280" i="1"/>
  <c r="Q296" i="1"/>
  <c r="Q2618" i="1"/>
  <c r="Q2680" i="1"/>
  <c r="Q804" i="1"/>
  <c r="Q2758" i="1"/>
  <c r="Q1233" i="1"/>
  <c r="Q1805" i="1"/>
  <c r="Q1448" i="1"/>
  <c r="Q404" i="1"/>
  <c r="Q2122" i="1"/>
  <c r="Q448" i="1"/>
  <c r="Q996" i="1"/>
  <c r="Q1071" i="1"/>
  <c r="Q287" i="1"/>
  <c r="Q2106" i="1"/>
  <c r="Q1602" i="1"/>
  <c r="Q1049" i="1"/>
  <c r="Q2654" i="1"/>
  <c r="Q888" i="1"/>
  <c r="Q501" i="1"/>
  <c r="Q2677" i="1"/>
  <c r="Q1498" i="1"/>
  <c r="Q1130" i="1"/>
  <c r="Q373" i="1"/>
  <c r="Q2219" i="1"/>
  <c r="Q427" i="1"/>
  <c r="Q1783" i="1"/>
  <c r="Q902" i="1"/>
  <c r="Q426" i="1"/>
  <c r="Q1682" i="1"/>
  <c r="Q2402" i="1"/>
  <c r="Q2297" i="1"/>
  <c r="Q1886" i="1"/>
  <c r="Q2359" i="1"/>
  <c r="Q1552" i="1"/>
  <c r="Q203" i="1"/>
  <c r="Q1985" i="1"/>
  <c r="Q867" i="1"/>
  <c r="Q76" i="1"/>
  <c r="Q337" i="1"/>
  <c r="Q1333" i="1"/>
  <c r="Q2728" i="1"/>
  <c r="Q9" i="1"/>
  <c r="Q1067" i="1"/>
  <c r="Q558" i="1"/>
  <c r="Q834" i="1"/>
  <c r="Q521" i="1"/>
  <c r="Q2324" i="1"/>
  <c r="Q2280" i="1"/>
  <c r="Q2383" i="1"/>
  <c r="Q1968" i="1"/>
  <c r="Q197" i="1"/>
  <c r="Q523" i="1"/>
  <c r="Q792" i="1"/>
  <c r="Q598" i="1"/>
  <c r="Q143" i="1"/>
  <c r="Q1004" i="1"/>
  <c r="Q1471" i="1"/>
  <c r="Q200" i="1"/>
  <c r="Q516" i="1"/>
  <c r="Q1527" i="1"/>
  <c r="Q736" i="1"/>
  <c r="Q583" i="1"/>
  <c r="Q218" i="1"/>
  <c r="Q2759" i="1"/>
  <c r="Q2719" i="1"/>
  <c r="Q31" i="1"/>
  <c r="Q2686" i="1"/>
  <c r="Q795" i="1"/>
  <c r="Q1655" i="1"/>
  <c r="Q2176" i="1"/>
  <c r="Q1893" i="1"/>
  <c r="Q549" i="1"/>
  <c r="Q951" i="1"/>
  <c r="Q527" i="1"/>
  <c r="Q2592" i="1"/>
  <c r="Q2155" i="1"/>
  <c r="Q2194" i="1"/>
  <c r="Q2023" i="1"/>
  <c r="Q2505" i="1"/>
  <c r="Q1315" i="1"/>
  <c r="Q2713" i="1"/>
  <c r="Q2275" i="1"/>
  <c r="Q1719" i="1"/>
  <c r="Q250" i="1"/>
  <c r="Q2722" i="1"/>
  <c r="Q1870" i="1"/>
  <c r="Q2752" i="1"/>
  <c r="Q2725" i="1"/>
  <c r="Q1187" i="1"/>
  <c r="Q699" i="1"/>
  <c r="Q555" i="1"/>
  <c r="Q1010" i="1"/>
  <c r="Q2690" i="1"/>
  <c r="Q743" i="1"/>
  <c r="Q2705" i="1"/>
  <c r="Q168" i="1"/>
  <c r="Q2517" i="1"/>
  <c r="Q1861" i="1"/>
  <c r="Q552" i="1"/>
  <c r="Q1482" i="1"/>
  <c r="Q2769" i="1"/>
  <c r="Q1529" i="1"/>
  <c r="Q2765" i="1"/>
  <c r="Q733" i="1"/>
  <c r="Q317" i="1"/>
  <c r="Q2549" i="1"/>
  <c r="Q2157" i="1"/>
  <c r="Q489" i="1"/>
  <c r="Q2607" i="1"/>
  <c r="Q1937" i="1"/>
  <c r="Q1878" i="1"/>
  <c r="Q1307" i="1"/>
  <c r="Q2648" i="1"/>
  <c r="Q2356" i="1"/>
  <c r="Q2461" i="1"/>
  <c r="Q842" i="1"/>
  <c r="Q2774" i="1"/>
  <c r="Q2620" i="1"/>
  <c r="Q2617" i="1"/>
  <c r="Q2639" i="1"/>
  <c r="Q590" i="1"/>
  <c r="Q409" i="1"/>
  <c r="Q2052" i="1"/>
  <c r="Q2138" i="1"/>
  <c r="Q1581" i="1"/>
  <c r="Q2433" i="1"/>
  <c r="Q1511" i="1"/>
  <c r="Q1597" i="1"/>
  <c r="Q572" i="1"/>
  <c r="Q1367" i="1"/>
  <c r="Q2699" i="1"/>
  <c r="Q2645" i="1"/>
  <c r="Q1875" i="1"/>
  <c r="Q1206" i="1"/>
  <c r="Q2379" i="1"/>
  <c r="Q881" i="1"/>
  <c r="Q898" i="1"/>
  <c r="Q2192" i="1"/>
  <c r="Q2630" i="1"/>
  <c r="Q1595" i="1"/>
  <c r="Q2704" i="1"/>
  <c r="Q1278" i="1"/>
  <c r="Q2743" i="1"/>
  <c r="Q2656" i="1"/>
  <c r="Q2350" i="1"/>
  <c r="Q2756" i="1"/>
  <c r="Q1653" i="1"/>
  <c r="Q715" i="1"/>
  <c r="Q2514" i="1"/>
  <c r="Q295" i="1"/>
  <c r="Q2727" i="1"/>
  <c r="Q1298" i="1"/>
  <c r="Q1320" i="1"/>
  <c r="Q270" i="1"/>
  <c r="Q1885" i="1"/>
  <c r="Q1119" i="1"/>
  <c r="Q1136" i="1"/>
  <c r="Q928" i="1"/>
  <c r="Q1091" i="1"/>
  <c r="Q2735" i="1"/>
  <c r="Q1155" i="1"/>
  <c r="Q984" i="1"/>
  <c r="Q2575" i="1"/>
  <c r="Q2421" i="1"/>
  <c r="Q2102" i="1"/>
  <c r="Q1532" i="1"/>
  <c r="Q1851" i="1"/>
  <c r="Q326" i="1"/>
  <c r="Q1217" i="1"/>
  <c r="Q1652" i="1"/>
  <c r="Q2634" i="1"/>
  <c r="Q46" i="1"/>
  <c r="Q1179" i="1"/>
  <c r="Q1177" i="1"/>
  <c r="Q2734" i="1"/>
  <c r="Q122" i="1"/>
  <c r="Q386" i="1"/>
  <c r="Q932" i="1"/>
  <c r="Q1034" i="1"/>
  <c r="Q893" i="1"/>
  <c r="Q2560" i="1"/>
  <c r="Q360" i="1"/>
  <c r="Q702" i="1"/>
  <c r="Q1935" i="1"/>
  <c r="Q651" i="1"/>
  <c r="Q1503" i="1"/>
  <c r="Q1888" i="1"/>
  <c r="Q2074" i="1"/>
  <c r="Q2300" i="1"/>
  <c r="Q584" i="1"/>
  <c r="Q1910" i="1"/>
  <c r="Q422" i="1"/>
  <c r="Q2303" i="1"/>
  <c r="Q1395" i="1"/>
  <c r="Q1615" i="1"/>
  <c r="Q1489" i="1"/>
  <c r="Q1111" i="1"/>
  <c r="Q2234" i="1"/>
  <c r="Q167" i="1"/>
  <c r="Q1672" i="1"/>
  <c r="Q2550" i="1"/>
  <c r="Q861" i="1"/>
  <c r="Q658" i="1"/>
  <c r="Q949" i="1"/>
  <c r="Q1029" i="1"/>
  <c r="Q741" i="1"/>
  <c r="Q1618" i="1"/>
  <c r="Q163" i="1"/>
  <c r="Q99" i="1"/>
  <c r="Q1545" i="1"/>
  <c r="Q829" i="1"/>
  <c r="Q673" i="1"/>
  <c r="Q346" i="1"/>
  <c r="Q2279" i="1"/>
  <c r="Q1694" i="1"/>
  <c r="Q1588" i="1"/>
  <c r="Q656" i="1"/>
  <c r="Q85" i="1"/>
  <c r="Q835" i="1"/>
  <c r="Q2413" i="1"/>
  <c r="Q1128" i="1"/>
  <c r="Q520" i="1"/>
  <c r="Q2689" i="1"/>
  <c r="Q923" i="1"/>
  <c r="Q919" i="1"/>
  <c r="Q1612" i="1"/>
  <c r="Q2538" i="1"/>
  <c r="Q1796" i="1"/>
  <c r="Q2643" i="1"/>
  <c r="Q1275" i="1"/>
  <c r="Q544" i="1"/>
  <c r="Q1403" i="1"/>
  <c r="Q2684" i="1"/>
  <c r="Q8" i="1"/>
  <c r="Q786" i="1"/>
  <c r="Q990" i="1"/>
  <c r="Q500" i="1"/>
  <c r="Q1328" i="1"/>
  <c r="Q1235" i="1"/>
  <c r="Q782" i="1"/>
  <c r="Q591" i="1"/>
  <c r="Q1268" i="1"/>
  <c r="Q1982" i="1"/>
  <c r="Q2388" i="1"/>
  <c r="Q491" i="1"/>
  <c r="Q956" i="1"/>
  <c r="Q277" i="1"/>
  <c r="Q301" i="1"/>
  <c r="Q528" i="1"/>
  <c r="Q2051" i="1"/>
  <c r="Q2069" i="1"/>
  <c r="Q1706" i="1"/>
  <c r="Q338" i="1"/>
  <c r="Q1702" i="1"/>
  <c r="Q1491" i="1"/>
  <c r="Q597" i="1"/>
  <c r="Q1338" i="1"/>
  <c r="Q32" i="1"/>
  <c r="Q1310" i="1"/>
  <c r="Q934" i="1"/>
  <c r="Q2254" i="1"/>
  <c r="Q532" i="1"/>
  <c r="Q1410" i="1"/>
  <c r="Q114" i="1"/>
  <c r="Q2464" i="1"/>
  <c r="Q1164" i="1"/>
  <c r="Q195" i="1"/>
  <c r="Q982" i="1"/>
  <c r="Q758" i="1"/>
  <c r="Q677" i="1"/>
  <c r="Q1992" i="1"/>
  <c r="Q104" i="1"/>
  <c r="Q1895" i="1"/>
  <c r="Q1537" i="1"/>
  <c r="Q2657" i="1"/>
  <c r="Q1195" i="1"/>
  <c r="Q803" i="1"/>
  <c r="Q1383" i="1"/>
  <c r="Q1523" i="1"/>
  <c r="Q1148" i="1"/>
  <c r="Q1514" i="1"/>
  <c r="Q1346" i="1"/>
  <c r="Q2556" i="1"/>
  <c r="Q1820" i="1"/>
  <c r="Q487" i="1"/>
  <c r="Q1234" i="1"/>
  <c r="Q1624" i="1"/>
  <c r="Q1509" i="1"/>
  <c r="Q1842" i="1"/>
  <c r="Q115" i="1"/>
  <c r="Q507" i="1"/>
  <c r="Q2263" i="1"/>
  <c r="Q1224" i="1"/>
  <c r="Q283" i="1"/>
  <c r="Q1578" i="1"/>
  <c r="Q2204" i="1"/>
  <c r="Q2676" i="1"/>
  <c r="Q2243" i="1"/>
  <c r="Q470" i="1"/>
  <c r="Q1255" i="1"/>
  <c r="Q865" i="1"/>
  <c r="Q2439" i="1"/>
  <c r="Q216" i="1"/>
  <c r="Q1272" i="1"/>
  <c r="Q1488" i="1"/>
  <c r="Q992" i="1"/>
  <c r="Q52" i="1"/>
  <c r="Q596" i="1"/>
  <c r="Q1003" i="1"/>
  <c r="Q407" i="1"/>
  <c r="Q2555" i="1"/>
  <c r="Q311" i="1"/>
  <c r="Q1690" i="1"/>
  <c r="Q2390" i="1"/>
  <c r="Q1267" i="1"/>
  <c r="Q2452" i="1"/>
  <c r="Q1170" i="1"/>
  <c r="Q543" i="1"/>
  <c r="Q153" i="1"/>
  <c r="Q1059" i="1"/>
  <c r="Q2714" i="1"/>
  <c r="Q759" i="1"/>
  <c r="Q2748" i="1"/>
  <c r="Q2469" i="1"/>
  <c r="Q2742" i="1"/>
  <c r="Q2718" i="1"/>
  <c r="Q1379" i="1"/>
  <c r="Q2468" i="1"/>
  <c r="Q2760" i="1"/>
  <c r="Q550" i="1"/>
  <c r="Q534" i="1"/>
  <c r="Q1593" i="1"/>
  <c r="Q2711" i="1"/>
  <c r="Q1363" i="1"/>
  <c r="Q180" i="1"/>
  <c r="Q206" i="1"/>
  <c r="Q856" i="1"/>
  <c r="Q1134" i="1"/>
  <c r="Q1630" i="1"/>
  <c r="Q232" i="1"/>
  <c r="Q2664" i="1"/>
  <c r="Q1132" i="1"/>
  <c r="Q2569" i="1"/>
  <c r="Q363" i="1"/>
  <c r="Q245" i="1"/>
  <c r="Q135" i="1"/>
  <c r="Q830" i="1"/>
  <c r="Q1953" i="1"/>
  <c r="Q2524" i="1"/>
  <c r="Q286" i="1"/>
  <c r="Q179" i="1"/>
  <c r="Q935" i="1"/>
  <c r="Q1833" i="1"/>
  <c r="Q1183" i="1"/>
  <c r="Q2294" i="1"/>
  <c r="Q1714" i="1"/>
  <c r="Q2671" i="1"/>
  <c r="Q505" i="1"/>
  <c r="Q2692" i="1"/>
  <c r="Q506" i="1"/>
  <c r="Q908" i="1"/>
  <c r="Q2352" i="1"/>
  <c r="Q1451" i="1"/>
  <c r="Q1632" i="1"/>
  <c r="Q799" i="1"/>
  <c r="Q2753" i="1"/>
  <c r="Q2220" i="1"/>
  <c r="Q1940" i="1"/>
  <c r="Q1713" i="1"/>
  <c r="Q2007" i="1"/>
  <c r="Q2153" i="1"/>
  <c r="Q1513" i="1"/>
  <c r="Q818" i="1"/>
  <c r="Q300" i="1"/>
  <c r="Q2672" i="1"/>
  <c r="Q291" i="1"/>
  <c r="Q1738" i="1"/>
  <c r="Q1543" i="1"/>
  <c r="Q969" i="1"/>
  <c r="Q2002" i="1"/>
  <c r="Q392" i="1"/>
  <c r="Q579" i="1"/>
  <c r="Q1349" i="1"/>
  <c r="Q533" i="1"/>
  <c r="Q2614" i="1"/>
  <c r="Q1353" i="1"/>
  <c r="Q186" i="1"/>
  <c r="Q580" i="1"/>
  <c r="Q2562" i="1"/>
  <c r="Q2471" i="1"/>
  <c r="Q214" i="1"/>
  <c r="Q808" i="1"/>
  <c r="Q2172" i="1"/>
  <c r="Q2408" i="1"/>
  <c r="Q2140" i="1"/>
  <c r="Q1019" i="1"/>
  <c r="Q2199" i="1"/>
  <c r="Q605" i="1"/>
  <c r="Q1913" i="1"/>
  <c r="Q1600" i="1"/>
  <c r="Q44" i="1"/>
  <c r="Q1542" i="1"/>
  <c r="Q2659" i="1"/>
  <c r="Q646" i="1"/>
  <c r="Q2683" i="1"/>
  <c r="Q1284" i="1"/>
  <c r="Q554" i="1"/>
  <c r="Q1998" i="1"/>
  <c r="Q2062" i="1"/>
  <c r="Q1619" i="1"/>
  <c r="Q1446" i="1"/>
  <c r="Q1874" i="1"/>
  <c r="Q2522" i="1"/>
  <c r="Q564" i="1"/>
  <c r="Q2020" i="1"/>
  <c r="Q61" i="1"/>
  <c r="Q59" i="1"/>
  <c r="Q1419" i="1"/>
  <c r="Q2050" i="1"/>
  <c r="Q2126" i="1"/>
  <c r="Q1479" i="1"/>
  <c r="Q2589" i="1"/>
  <c r="Q2460" i="1"/>
  <c r="Q2584" i="1"/>
  <c r="Q1118" i="1"/>
  <c r="Q930" i="1"/>
  <c r="Q2757" i="1"/>
  <c r="Q2037" i="1"/>
  <c r="Q1271" i="1"/>
  <c r="Q691" i="1"/>
  <c r="Q1487" i="1"/>
  <c r="Q123" i="1"/>
  <c r="Q269" i="1"/>
  <c r="Q2286" i="1"/>
  <c r="Q1109" i="1"/>
  <c r="Q425" i="1"/>
  <c r="Q2200" i="1"/>
  <c r="Q1450" i="1"/>
  <c r="Q962" i="1"/>
  <c r="Q1133" i="1"/>
  <c r="Q857" i="1"/>
  <c r="Q1548" i="1"/>
  <c r="Q968" i="1"/>
  <c r="Q529" i="1"/>
  <c r="Q1416" i="1"/>
  <c r="Q1176" i="1"/>
  <c r="Q785" i="1"/>
  <c r="Q2407" i="1"/>
  <c r="Q50" i="1"/>
  <c r="Q740" i="1"/>
  <c r="Q2013" i="1"/>
  <c r="Q1859" i="1"/>
  <c r="Q801" i="1"/>
  <c r="Q998" i="1"/>
  <c r="Q497" i="1"/>
  <c r="Q1865" i="1"/>
  <c r="Q1544" i="1"/>
  <c r="Q1248" i="1"/>
  <c r="Q240" i="1"/>
  <c r="Q1069" i="1"/>
  <c r="Q1698" i="1"/>
  <c r="Q435" i="1"/>
  <c r="Q324" i="1"/>
  <c r="Q274" i="1"/>
  <c r="Q1213" i="1"/>
  <c r="Q1244" i="1"/>
  <c r="Q2302" i="1"/>
  <c r="Q2348" i="1"/>
  <c r="Q2707" i="1"/>
  <c r="Q2463" i="1"/>
  <c r="Q1689" i="1"/>
  <c r="Q2319" i="1"/>
  <c r="Q431" i="1"/>
  <c r="Q2090" i="1"/>
  <c r="Q1240" i="1"/>
  <c r="Q305" i="1"/>
  <c r="Q312" i="1"/>
  <c r="Q207" i="1"/>
  <c r="Q323" i="1"/>
  <c r="Q1037" i="1"/>
  <c r="Q1460" i="1"/>
  <c r="Q1890" i="1"/>
  <c r="Q2291" i="1"/>
  <c r="Q2342" i="1"/>
  <c r="Q1954" i="1"/>
  <c r="Q644" i="1"/>
  <c r="Q2363" i="1"/>
  <c r="Q1549" i="1"/>
  <c r="Q475" i="1"/>
  <c r="Q1352" i="1"/>
  <c r="Q1040" i="1"/>
  <c r="Q868" i="1"/>
  <c r="Q875" i="1"/>
  <c r="Q2520" i="1"/>
  <c r="Q1095" i="1"/>
  <c r="Q1430" i="1"/>
  <c r="Q2377" i="1"/>
  <c r="Q883" i="1"/>
  <c r="Q40" i="1"/>
  <c r="Q2019" i="1"/>
  <c r="Q1481" i="1"/>
  <c r="Q1015" i="1"/>
  <c r="Q2331" i="1"/>
  <c r="Q320" i="1"/>
  <c r="Q2457" i="1"/>
  <c r="Q1645" i="1"/>
  <c r="Q162" i="1"/>
  <c r="Q1073" i="1"/>
  <c r="Q2237" i="1"/>
  <c r="Q1191" i="1"/>
  <c r="Q1657" i="1"/>
  <c r="Q2605" i="1"/>
  <c r="Q1919" i="1"/>
  <c r="Q1558" i="1"/>
  <c r="Q2168" i="1"/>
  <c r="Q832" i="1"/>
  <c r="Q1945" i="1"/>
  <c r="Q289" i="1"/>
  <c r="Q1747" i="1"/>
  <c r="Q2107" i="1"/>
  <c r="Q2580" i="1"/>
  <c r="Q987" i="1"/>
  <c r="Q387" i="1"/>
  <c r="Q2435" i="1"/>
  <c r="Q2372" i="1"/>
  <c r="Q134" i="1"/>
  <c r="Q1389" i="1"/>
  <c r="Q403" i="1"/>
  <c r="Q1660" i="1"/>
  <c r="Q1008" i="1"/>
  <c r="Q794" i="1"/>
  <c r="Q205" i="1"/>
  <c r="Q1534" i="1"/>
  <c r="Q1767" i="1"/>
  <c r="Q2056" i="1"/>
  <c r="Q1647" i="1"/>
  <c r="Q1843" i="1"/>
  <c r="Q2182" i="1"/>
  <c r="Q764" i="1"/>
  <c r="Q1554" i="1"/>
  <c r="Q515" i="1"/>
  <c r="Q1964" i="1"/>
  <c r="Q42" i="1"/>
  <c r="Q2694" i="1"/>
  <c r="Q1356" i="1"/>
  <c r="Q2740" i="1"/>
  <c r="Q228" i="1"/>
  <c r="Q2507" i="1"/>
  <c r="Q208" i="1"/>
  <c r="Q1651" i="1"/>
  <c r="Q2414" i="1"/>
  <c r="Q2473" i="1"/>
  <c r="Q1238" i="1"/>
  <c r="Q126" i="1"/>
  <c r="Q341" i="1"/>
  <c r="Q2152" i="1"/>
  <c r="Q2053" i="1"/>
  <c r="Q2197" i="1"/>
  <c r="Q1228" i="1"/>
  <c r="Q1797" i="1"/>
  <c r="Q2272" i="1"/>
  <c r="Q548" i="1"/>
  <c r="Q690" i="1"/>
  <c r="Q2568" i="1"/>
  <c r="Q1960" i="1"/>
  <c r="Q917" i="1"/>
  <c r="Q1977" i="1"/>
  <c r="Q2516" i="1"/>
  <c r="Q2423" i="1"/>
  <c r="Q1157" i="1"/>
  <c r="Q1958" i="1"/>
  <c r="Q821" i="1"/>
  <c r="Q1166" i="1"/>
  <c r="Q2529" i="1"/>
  <c r="Q959" i="1"/>
  <c r="Q2691" i="1"/>
  <c r="Q2561" i="1"/>
  <c r="Q1208" i="1"/>
  <c r="Q2649" i="1"/>
  <c r="Q1261" i="1"/>
  <c r="Q1922" i="1"/>
  <c r="Q2662" i="1"/>
  <c r="Q344" i="1"/>
  <c r="Q2733" i="1"/>
  <c r="Q2510" i="1"/>
  <c r="Q800" i="1"/>
  <c r="Q2456" i="1"/>
  <c r="Q1984" i="1"/>
  <c r="Q2266" i="1"/>
  <c r="Q1295" i="1"/>
  <c r="Q1814" i="1"/>
  <c r="Q225" i="1"/>
  <c r="Q1422" i="1"/>
  <c r="Q1777" i="1"/>
  <c r="Q1723" i="1"/>
  <c r="Q877" i="1"/>
  <c r="Q2041" i="1"/>
  <c r="Q1096" i="1"/>
  <c r="Q2293" i="1"/>
  <c r="Q1074" i="1"/>
  <c r="Q2387" i="1"/>
  <c r="Q1043" i="1"/>
  <c r="Q1013" i="1"/>
  <c r="Q781" i="1"/>
  <c r="Q1145" i="1"/>
  <c r="Q837" i="1"/>
  <c r="Q931" i="1"/>
  <c r="Q1478" i="1"/>
  <c r="Q2443" i="1"/>
  <c r="Q384" i="1"/>
  <c r="Q204" i="1"/>
  <c r="Q2436" i="1"/>
  <c r="Q1257" i="1"/>
  <c r="Q2506" i="1"/>
  <c r="Q266" i="1"/>
  <c r="Q2394" i="1"/>
  <c r="Q766" i="1"/>
  <c r="Q1457" i="1"/>
  <c r="Q630" i="1"/>
  <c r="Q1112" i="1"/>
  <c r="Q2530" i="1"/>
  <c r="Q2276" i="1"/>
  <c r="Q1504" i="1"/>
  <c r="Q469" i="1"/>
  <c r="Q2114" i="1"/>
  <c r="Q1780" i="1"/>
  <c r="Q1684" i="1"/>
  <c r="Q2104" i="1"/>
  <c r="Q1734" i="1"/>
  <c r="Q2749" i="1"/>
  <c r="Q1535" i="1"/>
  <c r="Q2384" i="1"/>
  <c r="Q2240" i="1"/>
  <c r="Q1394" i="1"/>
  <c r="Q1408" i="1"/>
  <c r="Q2096" i="1"/>
  <c r="Q681" i="1"/>
  <c r="Q235" i="1"/>
  <c r="Q2177" i="1"/>
  <c r="Q2118" i="1"/>
  <c r="Q1165" i="1"/>
  <c r="Q2076" i="1"/>
  <c r="Q284" i="1"/>
  <c r="Q375" i="1"/>
  <c r="Q1986" i="1"/>
  <c r="Q2311" i="1"/>
  <c r="Q1084" i="1"/>
  <c r="Q1080" i="1"/>
  <c r="Q1445" i="1"/>
  <c r="Q2101" i="1"/>
  <c r="Q1159" i="1"/>
  <c r="Q158" i="1"/>
  <c r="Q1252" i="1"/>
  <c r="Q695" i="1"/>
  <c r="Q12" i="1"/>
  <c r="Q991" i="1"/>
  <c r="Q202" i="1"/>
  <c r="Q827" i="1"/>
  <c r="Q2095" i="1"/>
  <c r="Q1150" i="1"/>
  <c r="Q2064" i="1"/>
  <c r="Q920" i="1"/>
  <c r="Q659" i="1"/>
  <c r="Q1158" i="1"/>
  <c r="Q1855" i="1"/>
  <c r="Q972" i="1"/>
  <c r="Q1553" i="1"/>
  <c r="Q2447" i="1"/>
  <c r="Q72" i="1"/>
  <c r="Q2250" i="1"/>
  <c r="Q828" i="1"/>
  <c r="Q1302" i="1"/>
  <c r="Q601" i="1"/>
  <c r="Q1854" i="1"/>
  <c r="Q929" i="1"/>
  <c r="Q2308" i="1"/>
  <c r="Q586" i="1"/>
  <c r="Q233" i="1"/>
  <c r="Q2221" i="1"/>
  <c r="Q1182" i="1"/>
  <c r="Q2205" i="1"/>
  <c r="Q415" i="1"/>
  <c r="Q2131" i="1"/>
  <c r="Q97" i="1"/>
  <c r="Q1999" i="1"/>
  <c r="Q607" i="1"/>
  <c r="Q1056" i="1"/>
  <c r="Q1923" i="1"/>
  <c r="Q185" i="1"/>
  <c r="Q1838" i="1"/>
  <c r="Q2045" i="1"/>
  <c r="Q570" i="1"/>
  <c r="Q2501" i="1"/>
  <c r="Q428" i="1"/>
  <c r="Q1533" i="1"/>
  <c r="Q1763" i="1"/>
  <c r="Q1661" i="1"/>
  <c r="Q2125" i="1"/>
  <c r="Q2629" i="1"/>
  <c r="Q2043" i="1"/>
  <c r="Q2022" i="1"/>
  <c r="Q1024" i="1"/>
  <c r="Q1288" i="1"/>
  <c r="Q224" i="1"/>
  <c r="Q1358" i="1"/>
  <c r="Q1515" i="1"/>
  <c r="Q807" i="1"/>
  <c r="Q2450" i="1"/>
  <c r="Q896" i="1"/>
  <c r="Q400" i="1"/>
  <c r="Q477" i="1"/>
  <c r="Q2346" i="1"/>
  <c r="Q2288" i="1"/>
  <c r="Q616" i="1"/>
  <c r="Q1506" i="1"/>
  <c r="Q1603" i="1"/>
  <c r="Q2525" i="1"/>
  <c r="Q2500" i="1"/>
  <c r="Q1098" i="1"/>
  <c r="Q304" i="1"/>
  <c r="Q189" i="1"/>
  <c r="Q2554" i="1"/>
  <c r="Q1873" i="1"/>
  <c r="Q132" i="1"/>
  <c r="Q2211" i="1"/>
  <c r="Q1589" i="1"/>
  <c r="Q1943" i="1"/>
  <c r="Q1729" i="1"/>
  <c r="Q771" i="1"/>
  <c r="Q2697" i="1"/>
  <c r="Q2483" i="1"/>
  <c r="Q666" i="1"/>
  <c r="Q1326" i="1"/>
  <c r="Q292" i="1"/>
  <c r="Q594" i="1"/>
  <c r="Q2235" i="1"/>
  <c r="Q2682" i="1"/>
  <c r="Q1692" i="1"/>
  <c r="Q541" i="1"/>
  <c r="Q926" i="1"/>
  <c r="Q1930" i="1"/>
  <c r="Q1587" i="1"/>
  <c r="Q2710" i="1"/>
  <c r="Q1633" i="1"/>
  <c r="Q2438" i="1"/>
  <c r="Q1051" i="1"/>
  <c r="Q567" i="1"/>
  <c r="Q522" i="1"/>
  <c r="Q1591" i="1"/>
  <c r="Q2036" i="1"/>
  <c r="Q1538" i="1"/>
  <c r="Q2226" i="1"/>
  <c r="Q198" i="1"/>
  <c r="Q1097" i="1"/>
  <c r="Q1852" i="1"/>
  <c r="Q2137" i="1"/>
  <c r="Q880" i="1"/>
  <c r="Q347" i="1"/>
  <c r="Q2660" i="1"/>
  <c r="Q2115" i="1"/>
  <c r="Q1696" i="1"/>
  <c r="Q970" i="1"/>
  <c r="Q568" i="1"/>
  <c r="Q2309" i="1"/>
  <c r="Q1510" i="1"/>
  <c r="Q719" i="1"/>
  <c r="Q726" i="1"/>
  <c r="Q2405" i="1"/>
  <c r="Q925" i="1"/>
  <c r="Q2287" i="1"/>
  <c r="Q1066" i="1"/>
  <c r="Q613" i="1"/>
  <c r="Q112" i="1"/>
  <c r="Q1909" i="1"/>
  <c r="Q2563" i="1"/>
  <c r="Q652" i="1"/>
  <c r="Q960" i="1"/>
  <c r="Q1518" i="1"/>
  <c r="Q2080" i="1"/>
  <c r="Q623" i="1"/>
  <c r="Q2445" i="1"/>
  <c r="Q2004" i="1"/>
  <c r="Q2195" i="1"/>
  <c r="Q1384" i="1"/>
  <c r="Q1260" i="1"/>
  <c r="Q2231" i="1"/>
  <c r="Q355" i="1"/>
  <c r="Q1573" i="1"/>
  <c r="Q2012" i="1"/>
  <c r="Q1092" i="1"/>
  <c r="Q539" i="1"/>
  <c r="Q2499" i="1"/>
  <c r="Q1844" i="1"/>
  <c r="Q1959" i="1"/>
  <c r="Q899" i="1"/>
  <c r="Q1290" i="1"/>
  <c r="Q1790" i="1"/>
  <c r="Q1635" i="1"/>
  <c r="Q2044" i="1"/>
  <c r="Q144" i="1"/>
  <c r="Q915" i="1"/>
  <c r="Q1201" i="1"/>
  <c r="Q1759" i="1"/>
  <c r="Q2215" i="1"/>
  <c r="Q680" i="1"/>
  <c r="Q398" i="1"/>
  <c r="Q1462" i="1"/>
  <c r="Q711" i="1"/>
  <c r="Q65" i="1"/>
  <c r="Q2419" i="1"/>
  <c r="Q1559" i="1"/>
  <c r="Q1337" i="1"/>
  <c r="Q1332" i="1"/>
  <c r="Q172" i="1"/>
  <c r="Q1605" i="1"/>
  <c r="Q2513" i="1"/>
  <c r="Q299" i="1"/>
  <c r="Q1524" i="1"/>
  <c r="Q1973" i="1"/>
  <c r="Q1263" i="1"/>
  <c r="Q2073" i="1"/>
  <c r="Q113" i="1"/>
  <c r="Q649" i="1"/>
  <c r="Q536" i="1"/>
  <c r="Q2178" i="1"/>
  <c r="Q1105" i="1"/>
  <c r="Q2647" i="1"/>
  <c r="Q210" i="1"/>
  <c r="Q2127" i="1"/>
  <c r="Q129" i="1"/>
  <c r="Q2696" i="1"/>
  <c r="Q1716" i="1"/>
  <c r="Q1889" i="1"/>
  <c r="Q1637" i="1"/>
  <c r="Q110" i="1"/>
  <c r="Q2437" i="1"/>
  <c r="Q439" i="1"/>
  <c r="Q2376" i="1"/>
  <c r="Q1357" i="1"/>
  <c r="Q395" i="1"/>
  <c r="Q901" i="1"/>
  <c r="Q498" i="1"/>
  <c r="Q141" i="1"/>
  <c r="Q735" i="1"/>
  <c r="Q1063" i="1"/>
  <c r="Q2523" i="1"/>
  <c r="Q1203" i="1"/>
  <c r="Q687" i="1"/>
  <c r="Q906" i="1"/>
  <c r="Q2318" i="1"/>
  <c r="Q2082" i="1"/>
  <c r="Q2239" i="1"/>
  <c r="Q2548" i="1"/>
  <c r="Q1299" i="1"/>
  <c r="Q675" i="1"/>
  <c r="Q1245" i="1"/>
  <c r="Q1956" i="1"/>
  <c r="Q2081" i="1"/>
  <c r="Q1526" i="1"/>
  <c r="Q1305" i="1"/>
  <c r="Q229" i="1"/>
  <c r="Q2480" i="1"/>
  <c r="Q2678" i="1"/>
  <c r="Q975" i="1"/>
  <c r="Q626" i="1"/>
  <c r="Q824" i="1"/>
  <c r="Q849" i="1"/>
  <c r="Q2247" i="1"/>
  <c r="Q2129" i="1"/>
  <c r="Q1354" i="1"/>
  <c r="Q1500" i="1"/>
  <c r="Q2581" i="1"/>
  <c r="Q2180" i="1"/>
  <c r="Q2230" i="1"/>
  <c r="Q2110" i="1"/>
  <c r="Q1609" i="1"/>
  <c r="Q412" i="1"/>
  <c r="Q103" i="1"/>
  <c r="Q1303" i="1"/>
  <c r="Q456" i="1"/>
  <c r="Q2392" i="1"/>
  <c r="Q2465" i="1"/>
  <c r="Q2325" i="1"/>
  <c r="Q1223" i="1"/>
  <c r="Q2100" i="1"/>
  <c r="Q879" i="1"/>
  <c r="Q1429" i="1"/>
  <c r="Q234" i="1"/>
  <c r="Q364" i="1"/>
  <c r="Q966" i="1"/>
  <c r="Q566" i="1"/>
  <c r="Q272" i="1"/>
  <c r="Q2333" i="1"/>
  <c r="Q1055" i="1"/>
  <c r="Q2541" i="1"/>
  <c r="Q2542" i="1"/>
  <c r="Q1881" i="1"/>
  <c r="Q2596" i="1"/>
  <c r="Q903" i="1"/>
  <c r="Q499" i="1"/>
  <c r="Q2321" i="1"/>
  <c r="Q1012" i="1"/>
  <c r="Q2526" i="1"/>
  <c r="Q2532" i="1"/>
  <c r="Q1969" i="1"/>
  <c r="Q1327" i="1"/>
  <c r="Q2609" i="1"/>
  <c r="Q1938" i="1"/>
  <c r="Q1289" i="1"/>
  <c r="Q1575" i="1"/>
  <c r="Q57" i="1"/>
  <c r="Q2449" i="1"/>
  <c r="Q1799" i="1"/>
  <c r="Q1752" i="1"/>
  <c r="Q2399" i="1"/>
  <c r="Q665" i="1"/>
  <c r="Q1005" i="1"/>
  <c r="Q2169" i="1"/>
  <c r="Q393" i="1"/>
  <c r="Q2353" i="1"/>
  <c r="Q1369" i="1"/>
  <c r="Q399" i="1"/>
  <c r="Q380" i="1"/>
  <c r="Q1212" i="1"/>
  <c r="Q2430" i="1"/>
  <c r="Q1952" i="1"/>
  <c r="Q885" i="1"/>
  <c r="Q689" i="1"/>
  <c r="Q2612" i="1"/>
  <c r="Q2512" i="1"/>
  <c r="Q971" i="1"/>
  <c r="Q211" i="1"/>
  <c r="Q627" i="1"/>
  <c r="Q1561" i="1"/>
  <c r="Q2622" i="1"/>
  <c r="Q2092" i="1"/>
  <c r="Q1800" i="1"/>
  <c r="Q1210" i="1"/>
  <c r="Q66" i="1"/>
  <c r="Q748" i="1"/>
  <c r="Q1568" i="1"/>
  <c r="Q2209" i="1"/>
  <c r="Q56" i="1"/>
  <c r="Q138" i="1"/>
  <c r="Q1755" i="1"/>
  <c r="Q136" i="1"/>
  <c r="Q2731" i="1"/>
  <c r="Q944" i="1"/>
  <c r="Q191" i="1"/>
  <c r="Q2158" i="1"/>
  <c r="Q2409" i="1"/>
  <c r="Q2315" i="1"/>
  <c r="Q418" i="1"/>
  <c r="Q170" i="1"/>
  <c r="Q176" i="1"/>
  <c r="Q1064" i="1"/>
  <c r="Q190" i="1"/>
  <c r="Q1739" i="1"/>
  <c r="Q1907" i="1"/>
  <c r="Q2070" i="1"/>
  <c r="Q985" i="1"/>
  <c r="Q2186" i="1"/>
  <c r="Q161" i="1"/>
  <c r="Q1229" i="1"/>
  <c r="Q238" i="1"/>
  <c r="Q242" i="1"/>
  <c r="Q209" i="1"/>
  <c r="Q2365" i="1"/>
  <c r="Q573" i="1"/>
  <c r="Q2116" i="1"/>
  <c r="Q2087" i="1"/>
  <c r="Q1406" i="1"/>
  <c r="Q315" i="1"/>
  <c r="Q866" i="1"/>
  <c r="Q1002" i="1"/>
  <c r="Q714" i="1"/>
  <c r="Q1988" i="1"/>
  <c r="Q27" i="1"/>
  <c r="Q1828" i="1"/>
  <c r="Q2189" i="1"/>
  <c r="Q1311" i="1"/>
  <c r="Q1839" i="1"/>
  <c r="Q737" i="1"/>
  <c r="Q999" i="1"/>
  <c r="Q2418" i="1"/>
  <c r="Q2389" i="1"/>
  <c r="Q1469" i="1"/>
  <c r="Q1850" i="1"/>
  <c r="Q1373" i="1"/>
  <c r="Q559" i="1"/>
  <c r="Q2173" i="1"/>
  <c r="Q2602" i="1"/>
  <c r="Q1000" i="1"/>
  <c r="Q2361" i="1"/>
  <c r="Q84" i="1"/>
  <c r="Q864" i="1"/>
  <c r="Q1047" i="1"/>
  <c r="Q895" i="1"/>
  <c r="Q841" i="1"/>
  <c r="Q1020" i="1"/>
  <c r="Q452" i="1"/>
  <c r="Q1264" i="1"/>
  <c r="Q82" i="1"/>
  <c r="Q2010" i="1"/>
  <c r="Q1414" i="1"/>
  <c r="Q574" i="1"/>
  <c r="Q1782" i="1"/>
  <c r="Q2238" i="1"/>
  <c r="Q2251" i="1"/>
  <c r="Q2295" i="1"/>
  <c r="Q745" i="1"/>
  <c r="Q2257" i="1"/>
  <c r="Q2284" i="1"/>
  <c r="Q602" i="1"/>
  <c r="Q1832" i="1"/>
  <c r="Q1835" i="1"/>
  <c r="Q2358" i="1"/>
  <c r="Q1720" i="1"/>
  <c r="Q1413" i="1"/>
  <c r="Q1648" i="1"/>
  <c r="Q621" i="1"/>
  <c r="Q2175" i="1"/>
  <c r="Q894" i="1"/>
  <c r="Q2558" i="1"/>
  <c r="Q473" i="1"/>
  <c r="Q1399" i="1"/>
  <c r="Q2417" i="1"/>
  <c r="Q2651" i="1"/>
  <c r="Q2232" i="1"/>
  <c r="Q1426" i="1"/>
  <c r="Q1560" i="1"/>
  <c r="Q98" i="1"/>
  <c r="Q1627" i="1"/>
  <c r="Q2494" i="1"/>
  <c r="Q1386" i="1"/>
  <c r="Q981" i="1"/>
  <c r="Q1492" i="1"/>
  <c r="Q258" i="1"/>
  <c r="Q2591" i="1"/>
  <c r="Q1331" i="1"/>
  <c r="Q1468" i="1"/>
  <c r="Q2282" i="1"/>
  <c r="Q1447" i="1"/>
  <c r="Q1936" i="1"/>
  <c r="Q137" i="1"/>
  <c r="Q595" i="1"/>
  <c r="Q77" i="1"/>
  <c r="Q1654" i="1"/>
  <c r="Q1199" i="1"/>
  <c r="Q922" i="1"/>
  <c r="Q1147" i="1"/>
  <c r="Q1614" i="1"/>
  <c r="Q1461" i="1"/>
  <c r="Q1995" i="1"/>
  <c r="Q869" i="1"/>
  <c r="Q343" i="1"/>
  <c r="Q19" i="1"/>
  <c r="Q401" i="1"/>
  <c r="Q889" i="1"/>
  <c r="Q612" i="1"/>
  <c r="Q1472" i="1"/>
  <c r="Q1475" i="1"/>
  <c r="Q1371" i="1"/>
  <c r="Q2650" i="1"/>
  <c r="Q1894" i="1"/>
  <c r="Q184" i="1"/>
  <c r="Q124" i="1"/>
  <c r="Q2340" i="1"/>
  <c r="Q947" i="1"/>
  <c r="Q2341" i="1"/>
  <c r="Q1530" i="1"/>
  <c r="Q2608" i="1"/>
  <c r="Q1705" i="1"/>
  <c r="Q1480" i="1"/>
  <c r="Q1862" i="1"/>
  <c r="Q746" i="1"/>
  <c r="Q839" i="1"/>
  <c r="Q1467" i="1"/>
  <c r="Q852" i="1"/>
  <c r="Q2142" i="1"/>
  <c r="Q2005" i="1"/>
  <c r="Q911" i="1"/>
  <c r="Q259" i="1"/>
  <c r="Q2492" i="1"/>
  <c r="Q1194" i="1"/>
  <c r="Q294" i="1"/>
  <c r="Q2345" i="1"/>
  <c r="Q96" i="1"/>
  <c r="Q1617" i="1"/>
  <c r="Q615" i="1"/>
  <c r="Q1364" i="1"/>
  <c r="Q1054" i="1"/>
  <c r="Q983" i="1"/>
  <c r="Q223" i="1"/>
  <c r="Q2027" i="1"/>
  <c r="Q2185" i="1"/>
  <c r="Q1896" i="1"/>
  <c r="Q237" i="1"/>
  <c r="Q769" i="1"/>
  <c r="Q458" i="1"/>
  <c r="Q1123" i="1"/>
  <c r="Q321" i="1"/>
  <c r="Q720" i="1"/>
  <c r="Q1718" i="1"/>
  <c r="Q540" i="1"/>
  <c r="Q2401" i="1"/>
  <c r="Q1576" i="1"/>
  <c r="Q1903" i="1"/>
  <c r="Q2595" i="1"/>
  <c r="Q308" i="1"/>
  <c r="Q1197" i="1"/>
  <c r="Q1669" i="1"/>
  <c r="Q2008" i="1"/>
  <c r="Q7" i="1"/>
  <c r="Q2009" i="1"/>
  <c r="Q1776" i="1"/>
  <c r="Q1812" i="1"/>
  <c r="Q100" i="1"/>
  <c r="Q396" i="1"/>
  <c r="Q847" i="1"/>
  <c r="Q1570" i="1"/>
  <c r="Q2693" i="1"/>
  <c r="Q721" i="1"/>
  <c r="Q912" i="1"/>
  <c r="Q178" i="1"/>
  <c r="Q2071" i="1"/>
  <c r="Q1983" i="1"/>
  <c r="Q710" i="1"/>
  <c r="Q897" i="1"/>
  <c r="Q2001" i="1"/>
  <c r="Q48" i="1"/>
  <c r="Q1858" i="1"/>
  <c r="Q1879" i="1"/>
  <c r="Q698" i="1"/>
  <c r="Q2738" i="1"/>
  <c r="Q2011" i="1"/>
  <c r="Q1975" i="1"/>
  <c r="Q181" i="1"/>
  <c r="Q1516" i="1"/>
  <c r="Q2289" i="1"/>
  <c r="Q739" i="1"/>
  <c r="Q1490" i="1"/>
  <c r="Q1044" i="1"/>
  <c r="Q1304" i="1"/>
  <c r="Q1883" i="1"/>
  <c r="Q2700" i="1"/>
  <c r="Q563" i="1"/>
  <c r="Q545" i="1"/>
  <c r="Q940" i="1"/>
  <c r="Q2162" i="1"/>
  <c r="Q157" i="1"/>
  <c r="Q1107" i="1"/>
  <c r="Q394" i="1"/>
  <c r="Q29" i="1"/>
  <c r="Q1740" i="1"/>
  <c r="Q440" i="1"/>
  <c r="Q1239" i="1"/>
  <c r="Q454" i="1"/>
  <c r="Q1343" i="1"/>
  <c r="Q836" i="1"/>
  <c r="Q47" i="1"/>
  <c r="Q997" i="1"/>
  <c r="Q1139" i="1"/>
  <c r="Q1798" i="1"/>
  <c r="Q1393" i="1"/>
  <c r="Q848" i="1"/>
  <c r="Q1099" i="1"/>
  <c r="Q1466" i="1"/>
  <c r="Q946" i="1"/>
  <c r="Q1880" i="1"/>
  <c r="Q154" i="1"/>
  <c r="Q1127" i="1"/>
  <c r="Q683" i="1"/>
  <c r="Q2410" i="1"/>
  <c r="Q939" i="1"/>
  <c r="Q2218" i="1"/>
  <c r="Q600" i="1"/>
  <c r="Q1900" i="1"/>
  <c r="Q1016" i="1"/>
  <c r="Q2072" i="1"/>
  <c r="Q647" i="1"/>
  <c r="Q2360" i="1"/>
  <c r="Q1792" i="1"/>
  <c r="Q2206" i="1"/>
  <c r="Q2246" i="1"/>
  <c r="Q369" i="1"/>
  <c r="Q2459" i="1"/>
  <c r="Q14" i="1"/>
  <c r="Q2458" i="1"/>
  <c r="Q980" i="1"/>
  <c r="Q1817" i="1"/>
  <c r="Q757" i="1"/>
  <c r="Q887" i="1"/>
  <c r="Q1085" i="1"/>
  <c r="Q636" i="1"/>
  <c r="Q1138" i="1"/>
  <c r="Q696" i="1"/>
  <c r="Q986" i="1"/>
  <c r="Q15" i="1"/>
  <c r="Q2493" i="1"/>
  <c r="Q2448" i="1"/>
  <c r="Q791" i="1"/>
  <c r="Q1846" i="1"/>
  <c r="Q2486" i="1"/>
  <c r="Q2393" i="1"/>
  <c r="Q751" i="1"/>
  <c r="Q777" i="1"/>
  <c r="Q2281" i="1"/>
  <c r="Q957" i="1"/>
  <c r="Q873" i="1"/>
  <c r="Q416" i="1"/>
  <c r="Q1911" i="1"/>
  <c r="Q2351" i="1"/>
  <c r="Q1070" i="1"/>
  <c r="Q530" i="1"/>
  <c r="Q967" i="1"/>
  <c r="Q252" i="1"/>
  <c r="Q511" i="1"/>
  <c r="Q1209" i="1"/>
  <c r="Q1417" i="1"/>
  <c r="Q2099" i="1"/>
  <c r="Q1347" i="1"/>
  <c r="Q1583" i="1"/>
  <c r="Q846" i="1"/>
  <c r="Q569" i="1"/>
  <c r="Q884" i="1"/>
  <c r="Q1641" i="1"/>
  <c r="Q1283" i="1"/>
  <c r="Q614" i="1"/>
  <c r="Q1392" i="1"/>
  <c r="Q844" i="1"/>
  <c r="Q793" i="1"/>
  <c r="Q1424" i="1"/>
  <c r="Q1823" i="1"/>
  <c r="Q2213" i="1"/>
  <c r="Q1809" i="1"/>
  <c r="Q2236" i="1"/>
  <c r="Q1779" i="1"/>
  <c r="Q1519" i="1"/>
  <c r="Q1646" i="1"/>
  <c r="Q1376" i="1"/>
  <c r="Q1017" i="1"/>
  <c r="Q853" i="1"/>
  <c r="Q2025" i="1"/>
  <c r="Q1041" i="1"/>
  <c r="Q455" i="1"/>
  <c r="Q1847" i="1"/>
  <c r="Q2164" i="1"/>
  <c r="Q2396" i="1"/>
  <c r="Q307" i="1"/>
  <c r="Q1565" i="1"/>
  <c r="Q1226" i="1"/>
  <c r="Q130" i="1"/>
  <c r="Q789" i="1"/>
  <c r="Q802" i="1"/>
  <c r="Q2130" i="1"/>
  <c r="Q43" i="1"/>
  <c r="Q1756" i="1"/>
  <c r="Q310" i="1"/>
  <c r="Q694" i="1"/>
  <c r="Q1420" i="1"/>
  <c r="Q2378" i="1"/>
  <c r="Q870" i="1"/>
  <c r="Q913" i="1"/>
  <c r="Q1409" i="1"/>
  <c r="Q278" i="1"/>
  <c r="Q1459" i="1"/>
  <c r="Q872" i="1"/>
  <c r="Q332" i="1"/>
  <c r="Q2426" i="1"/>
  <c r="Q2641" i="1"/>
  <c r="Q175" i="1"/>
  <c r="Q1190" i="1"/>
  <c r="Q2068" i="1"/>
  <c r="Q2334" i="1"/>
  <c r="Q20" i="1"/>
  <c r="Q1540" i="1"/>
  <c r="Q2038" i="1"/>
  <c r="Q2567" i="1"/>
  <c r="Q30" i="1"/>
  <c r="Q1822" i="1"/>
  <c r="Q2163" i="1"/>
  <c r="Q231" i="1"/>
  <c r="Q1709" i="1"/>
  <c r="Q329" i="1"/>
  <c r="Q577" i="1"/>
  <c r="Q722" i="1"/>
  <c r="Q784" i="1"/>
  <c r="Q1623" i="1"/>
  <c r="Q220" i="1"/>
  <c r="Q2454" i="1"/>
  <c r="Q1951" i="1"/>
  <c r="Q101" i="1"/>
  <c r="Q978" i="1"/>
  <c r="Q2154" i="1"/>
  <c r="Q221" i="1"/>
  <c r="Q1978" i="1"/>
  <c r="Q1939" i="1"/>
  <c r="Q1697" i="1"/>
  <c r="Q1771" i="1"/>
  <c r="Q682" i="1"/>
  <c r="Q1811" i="1"/>
  <c r="Q1628" i="1"/>
  <c r="Q585" i="1"/>
  <c r="Q1334" i="1"/>
  <c r="Q747" i="1"/>
  <c r="Q2509" i="1"/>
  <c r="Q2285" i="1"/>
  <c r="Q2" i="1"/>
  <c r="Q1473" i="1"/>
  <c r="Q2047" i="1"/>
  <c r="Q1350" i="1"/>
  <c r="Q1431" i="1"/>
  <c r="Q483" i="1"/>
  <c r="Q2283" i="1"/>
  <c r="Q774" i="1"/>
  <c r="Q2485" i="1"/>
  <c r="Q273" i="1"/>
  <c r="Q1113" i="1"/>
  <c r="Q661" i="1"/>
  <c r="Q1435" i="1"/>
  <c r="Q1693" i="1"/>
  <c r="Q2546" i="1"/>
  <c r="Q1949" i="1"/>
  <c r="Q2278" i="1"/>
  <c r="Q831" i="1"/>
  <c r="Q2470" i="1"/>
  <c r="Q1546" i="1"/>
  <c r="Q1601" i="1"/>
  <c r="Q2491" i="1"/>
  <c r="Q2422" i="1"/>
  <c r="Q336" i="1"/>
  <c r="Q2174" i="1"/>
  <c r="Q2544" i="1"/>
  <c r="Q2214" i="1"/>
  <c r="Q716" i="1"/>
  <c r="Q2552" i="1"/>
  <c r="Q2625" i="1"/>
  <c r="Q2611" i="1"/>
  <c r="Q1476" i="1"/>
  <c r="Q1378" i="1"/>
  <c r="Q1680" i="1"/>
  <c r="Q316" i="1"/>
  <c r="Q945" i="1"/>
  <c r="Q2233" i="1"/>
  <c r="Q1325" i="1"/>
  <c r="Q2511" i="1"/>
  <c r="Q1433" i="1"/>
  <c r="Q2031" i="1"/>
  <c r="Q1590" i="1"/>
  <c r="Q993" i="1"/>
  <c r="Q1955" i="1"/>
  <c r="Q1928" i="1"/>
  <c r="Q1230" i="1"/>
  <c r="Q685" i="1"/>
  <c r="Q2119" i="1"/>
  <c r="Q2313" i="1"/>
  <c r="Q2441" i="1"/>
  <c r="Q2385" i="1"/>
  <c r="Q2528" i="1"/>
  <c r="Q1571" i="1"/>
  <c r="Q941" i="1"/>
  <c r="Q2474" i="1"/>
  <c r="Q63" i="1"/>
  <c r="Q2744" i="1"/>
  <c r="Q345" i="1"/>
  <c r="Q236" i="1"/>
  <c r="Q2404" i="1"/>
  <c r="Q2024" i="1"/>
  <c r="Q1743" i="1"/>
  <c r="Q1681" i="1"/>
  <c r="Q2330" i="1"/>
  <c r="Q619" i="1"/>
  <c r="Q1174" i="1"/>
  <c r="Q2123" i="1"/>
  <c r="Q187" i="1"/>
  <c r="Q2440" i="1"/>
  <c r="Q88" i="1"/>
  <c r="Q1670" i="1"/>
  <c r="Q974" i="1"/>
  <c r="Q1957" i="1"/>
  <c r="Q805" i="1"/>
  <c r="Q890" i="1"/>
  <c r="Q1920" i="1"/>
  <c r="Q976" i="1"/>
  <c r="Q965" i="1"/>
  <c r="Q86" i="1"/>
  <c r="Q788" i="1"/>
  <c r="Q1585" i="1"/>
  <c r="Q1579" i="1"/>
  <c r="Q2271" i="1"/>
  <c r="Q1030" i="1"/>
  <c r="Q546" i="1"/>
  <c r="Q1162" i="1"/>
  <c r="Q353" i="1"/>
  <c r="Q770" i="1"/>
  <c r="Q2273" i="1"/>
  <c r="Q2016" i="1"/>
  <c r="Q606" i="1"/>
  <c r="Q910" i="1"/>
  <c r="Q1629" i="1"/>
  <c r="Q1746" i="1"/>
  <c r="Q1765" i="1"/>
  <c r="Q464" i="1"/>
  <c r="Q916" i="1"/>
  <c r="Q1411" i="1"/>
  <c r="Q443" i="1"/>
  <c r="Q1517" i="1"/>
  <c r="Q1772" i="1"/>
  <c r="Q2208" i="1"/>
  <c r="Q1270" i="1"/>
  <c r="Q1712" i="1"/>
  <c r="Q812" i="1"/>
  <c r="Q150" i="1"/>
  <c r="Q742" i="1"/>
  <c r="Q904" i="1"/>
  <c r="Q1892" i="1"/>
  <c r="Q2446" i="1"/>
  <c r="Q1507" i="1"/>
  <c r="Q503" i="1"/>
  <c r="Q542" i="1"/>
  <c r="Q2207" i="1"/>
  <c r="Q28" i="1"/>
  <c r="Q21" i="1"/>
  <c r="Q1156" i="1"/>
  <c r="Q6" i="1"/>
  <c r="Q1996" i="1"/>
  <c r="Q1891" i="1"/>
  <c r="Q36" i="1"/>
  <c r="Q701" i="1"/>
  <c r="Q362" i="1"/>
  <c r="Q139" i="1"/>
  <c r="Q1072" i="1"/>
  <c r="Q339" i="1"/>
  <c r="Q241" i="1"/>
  <c r="Q480" i="1"/>
  <c r="Q1341" i="1"/>
  <c r="Q1254" i="1"/>
  <c r="Q708" i="1"/>
  <c r="Q2065" i="1"/>
  <c r="Q481" i="1"/>
  <c r="Q194" i="1"/>
  <c r="Q624" i="1"/>
  <c r="Q1824" i="1"/>
  <c r="Q2395" i="1"/>
  <c r="Q10" i="1"/>
  <c r="Q2075" i="1"/>
  <c r="Q1592" i="1"/>
  <c r="Q1186" i="1"/>
  <c r="Q166" i="1"/>
  <c r="Q2259" i="1"/>
  <c r="Q1057" i="1"/>
  <c r="Q1656" i="1"/>
  <c r="Q525" i="1"/>
  <c r="Q127" i="1"/>
  <c r="Q2451" i="1"/>
  <c r="Q1142" i="1"/>
  <c r="Q1663" i="1"/>
  <c r="Q279" i="1"/>
  <c r="Q1232" i="1"/>
  <c r="Q1901" i="1"/>
  <c r="Q994" i="1"/>
  <c r="Q165" i="1"/>
  <c r="Q1836" i="1"/>
  <c r="Q655" i="1"/>
  <c r="Q617" i="1"/>
  <c r="Q526" i="1"/>
  <c r="Q303" i="1"/>
  <c r="Q1675" i="1"/>
  <c r="Q1671" i="1"/>
  <c r="Q1806" i="1"/>
  <c r="Q593" i="1"/>
  <c r="Q2429" i="1"/>
  <c r="Q1639" i="1"/>
  <c r="Q1825" i="1"/>
  <c r="Q1556" i="1"/>
  <c r="Q1522" i="1"/>
  <c r="Q160" i="1"/>
  <c r="Q1360" i="1"/>
  <c r="Q858" i="1"/>
  <c r="Q1366" i="1"/>
  <c r="Q33" i="1"/>
  <c r="Q662" i="1"/>
  <c r="Q1205" i="1"/>
  <c r="Q1141" i="1"/>
  <c r="Q1280" i="1"/>
  <c r="Q604" i="1"/>
  <c r="Q924" i="1"/>
  <c r="Q105" i="1"/>
  <c r="Q1335" i="1"/>
  <c r="Q1976" i="1"/>
  <c r="Q1887" i="1"/>
  <c r="Q2442" i="1"/>
  <c r="Q1421" i="1"/>
  <c r="Q2329" i="1"/>
  <c r="Q2531" i="1"/>
  <c r="Q314" i="1"/>
  <c r="Q372" i="1"/>
  <c r="Q1425" i="1"/>
  <c r="Q2083" i="1"/>
  <c r="Q1319" i="1"/>
  <c r="Q2434" i="1"/>
  <c r="Q1673" i="1"/>
  <c r="Q1496" i="1"/>
  <c r="Q1014" i="1"/>
  <c r="Q2261" i="1"/>
  <c r="Q371" i="1"/>
  <c r="Q2191" i="1"/>
  <c r="Q1412" i="1"/>
  <c r="Q2398" i="1"/>
  <c r="Q1102" i="1"/>
  <c r="Q948" i="1"/>
  <c r="Q1372" i="1"/>
  <c r="Q952" i="1"/>
  <c r="Q1788" i="1"/>
  <c r="Q1733" i="1"/>
  <c r="Q1161" i="1"/>
  <c r="Q87" i="1"/>
  <c r="Q257" i="1"/>
  <c r="Q589" i="1"/>
  <c r="Q2663" i="1"/>
  <c r="Q2374" i="1"/>
  <c r="Q2362" i="1"/>
  <c r="Q145" i="1"/>
  <c r="Q1726" i="1"/>
  <c r="Q1946" i="1"/>
  <c r="Q351" i="1"/>
  <c r="Q1659" i="1"/>
  <c r="Q1987" i="1"/>
  <c r="Q678" i="1"/>
  <c r="Q1121" i="1"/>
  <c r="Q1857" i="1"/>
  <c r="Q1528" i="1"/>
  <c r="Q1169" i="1"/>
  <c r="Q909" i="1"/>
  <c r="Q2723" i="1"/>
  <c r="Q1344" i="1"/>
  <c r="Q1745" i="1"/>
  <c r="Q958" i="1"/>
  <c r="Q1505" i="1"/>
  <c r="Q1789" i="1"/>
  <c r="Q943" i="1"/>
  <c r="Q809" i="1"/>
  <c r="Q625" i="1"/>
  <c r="Q876" i="1"/>
  <c r="Q438" i="1"/>
  <c r="Q2521" i="1"/>
  <c r="Q2167" i="1"/>
  <c r="Q2515" i="1"/>
  <c r="Q282" i="1"/>
  <c r="Q309" i="1"/>
  <c r="Q109" i="1"/>
  <c r="Q1028" i="1"/>
  <c r="Q2590" i="1"/>
  <c r="Q571" i="1"/>
  <c r="Q639" i="1"/>
  <c r="Q410" i="1"/>
  <c r="Q276" i="1"/>
  <c r="Q2139" i="1"/>
  <c r="Q514" i="1"/>
  <c r="Q2316" i="1"/>
  <c r="Q1536" i="1"/>
  <c r="Q1884" i="1"/>
  <c r="Q2347" i="1"/>
  <c r="Q882" i="1"/>
  <c r="Q2301" i="1"/>
  <c r="Q79" i="1"/>
  <c r="Q2196" i="1"/>
  <c r="Q254" i="1"/>
  <c r="Q118" i="1"/>
  <c r="Q1649" i="1"/>
  <c r="Q1089" i="1"/>
  <c r="Q271" i="1"/>
  <c r="Q23" i="1"/>
  <c r="Q1773" i="1"/>
  <c r="Q763" i="1"/>
  <c r="Q1607" i="1"/>
  <c r="Q1764" i="1"/>
  <c r="Q768" i="1"/>
  <c r="Q1060" i="1"/>
  <c r="Q1636" i="1"/>
  <c r="Q125" i="1"/>
  <c r="Q290" i="1"/>
  <c r="Q1477" i="1"/>
  <c r="Q1434" i="1"/>
  <c r="Q406" i="1"/>
  <c r="Q561" i="1"/>
  <c r="Q2721" i="1"/>
  <c r="Q142" i="1"/>
  <c r="Q2644" i="1"/>
  <c r="Q2482" i="1"/>
  <c r="Q192" i="1"/>
  <c r="Q1258" i="1"/>
  <c r="Q936" i="1"/>
  <c r="Q183" i="1"/>
  <c r="Q1287" i="1"/>
  <c r="Q1189" i="1"/>
  <c r="Q493" i="1"/>
  <c r="Q2412" i="1"/>
  <c r="Q1293" i="1"/>
  <c r="Q1036" i="1"/>
  <c r="Q1970" i="1"/>
  <c r="Q2049" i="1"/>
  <c r="Q1768" i="1"/>
  <c r="Q2566" i="1"/>
  <c r="Q562" i="1"/>
  <c r="Q2335" i="1"/>
  <c r="Q2601" i="1"/>
  <c r="Q2610" i="1"/>
  <c r="Q1439" i="1"/>
  <c r="Q1214" i="1"/>
  <c r="Q2631" i="1"/>
  <c r="Q2256" i="1"/>
  <c r="Q414" i="1"/>
  <c r="Q331" i="1"/>
  <c r="Q921" i="1"/>
  <c r="Q151" i="1"/>
  <c r="Q1106" i="1"/>
  <c r="Q1941" i="1"/>
  <c r="Q953" i="1"/>
  <c r="Q517" i="1"/>
  <c r="Q1086" i="1"/>
  <c r="Q1626" i="1"/>
  <c r="Q2165" i="1"/>
  <c r="Q718" i="1"/>
  <c r="Q1221" i="1"/>
  <c r="Q2557" i="1"/>
  <c r="Q1631" i="1"/>
  <c r="Q116" i="1"/>
  <c r="Q587" i="1"/>
  <c r="Q68" i="1"/>
  <c r="Q933" i="1"/>
  <c r="Q459" i="1"/>
  <c r="Q816" i="1"/>
  <c r="Q1178" i="1"/>
  <c r="Q1211" i="1"/>
  <c r="Q1683" i="1"/>
  <c r="Q1650" i="1"/>
  <c r="Q727" i="1"/>
  <c r="Q2497" i="1"/>
  <c r="Q859" i="1"/>
  <c r="Q1834" i="1"/>
  <c r="Q1972" i="1"/>
  <c r="Q397" i="1"/>
  <c r="Q1606" i="1"/>
  <c r="Q1225" i="1"/>
  <c r="Q1256" i="1"/>
  <c r="Q24" i="1"/>
  <c r="Q723" i="1"/>
  <c r="Q92" i="1"/>
  <c r="Q2077" i="1"/>
  <c r="Q1781" i="1"/>
  <c r="Q513" i="1"/>
  <c r="Q2368" i="1"/>
  <c r="Q1281" i="1"/>
  <c r="Q1551" i="1"/>
  <c r="Q1929" i="1"/>
  <c r="Q1897" i="1"/>
  <c r="Q2228" i="1"/>
  <c r="Q557" i="1"/>
  <c r="Q2476" i="1"/>
  <c r="Q2091" i="1"/>
  <c r="Q2621" i="1"/>
  <c r="Q361" i="1"/>
  <c r="Q1322" i="1"/>
  <c r="Q219" i="1"/>
  <c r="Q381" i="1"/>
  <c r="Q815" i="1"/>
  <c r="Q1580" i="1"/>
  <c r="Q961" i="1"/>
  <c r="Q1785" i="1"/>
  <c r="Q672" i="1"/>
  <c r="Q1007" i="1"/>
  <c r="Q1259" i="1"/>
  <c r="Q41" i="1"/>
  <c r="Q196" i="1"/>
  <c r="Q1117" i="1"/>
  <c r="Q465" i="1"/>
  <c r="Q798" i="1"/>
  <c r="Q2314" i="1"/>
  <c r="Q2332" i="1"/>
  <c r="Q119" i="1"/>
  <c r="Q1061" i="1"/>
  <c r="Q1555" i="1"/>
  <c r="Q1143" i="1"/>
  <c r="Q1149" i="1"/>
  <c r="Q2369" i="1"/>
  <c r="Q2615" i="1"/>
  <c r="Q1032" i="1"/>
  <c r="Q2159" i="1"/>
  <c r="Q1557" i="1"/>
  <c r="Q37" i="1"/>
  <c r="Q2585" i="1"/>
  <c r="Q756" i="1"/>
  <c r="Q1184" i="1"/>
  <c r="Q1387" i="1"/>
  <c r="Q1265" i="1"/>
  <c r="Q2058" i="1"/>
  <c r="Q2420" i="1"/>
  <c r="Q1642" i="1"/>
  <c r="Q927" i="1"/>
  <c r="Q1250" i="1"/>
  <c r="Q1872" i="1"/>
  <c r="Q1236" i="1"/>
  <c r="Q686" i="1"/>
  <c r="Q120" i="1"/>
  <c r="Q131" i="1"/>
  <c r="Q71" i="1"/>
  <c r="Q629" i="1"/>
  <c r="Q731" i="1"/>
  <c r="Q1826" i="1"/>
  <c r="Q640" i="1"/>
  <c r="Q850" i="1"/>
  <c r="Q461" i="1"/>
  <c r="Q1001" i="1"/>
  <c r="Q1483" i="1"/>
  <c r="Q1993" i="1"/>
  <c r="Q645" i="1"/>
  <c r="Q1218" i="1"/>
  <c r="Q560" i="1"/>
  <c r="Q1204" i="1"/>
  <c r="Q451" i="1"/>
  <c r="Q950" i="1"/>
  <c r="Q1665" i="1"/>
  <c r="Q551" i="1"/>
  <c r="Q247" i="1"/>
  <c r="Q2141" i="1"/>
  <c r="Q2606" i="1"/>
  <c r="Q1093" i="1"/>
  <c r="Q267" i="1"/>
  <c r="Q1053" i="1"/>
  <c r="Q2310" i="1"/>
  <c r="Q413" i="1"/>
  <c r="Q2338" i="1"/>
  <c r="Q531" i="1"/>
  <c r="Q2014" i="1"/>
  <c r="Q358" i="1"/>
  <c r="Q246" i="1"/>
  <c r="Q851" i="1"/>
  <c r="Q1691" i="1"/>
  <c r="Q1456" i="1"/>
  <c r="Q474" i="1"/>
  <c r="Q253" i="1"/>
  <c r="Q1318" i="1"/>
  <c r="Q1821" i="1"/>
  <c r="Q1400" i="1"/>
  <c r="Q378" i="1"/>
  <c r="Q2030" i="1"/>
  <c r="Q482" i="1"/>
  <c r="Q2635" i="1"/>
  <c r="Q1436" i="1"/>
  <c r="Q38" i="1"/>
  <c r="Q2059" i="1"/>
  <c r="Q39" i="1"/>
  <c r="Q1375" i="1"/>
  <c r="Q2604" i="1"/>
  <c r="Q1075" i="1"/>
  <c r="Q1775" i="1"/>
  <c r="Q2258" i="1"/>
  <c r="Q1222" i="1"/>
  <c r="Q2600" i="1"/>
  <c r="Q1200" i="1"/>
  <c r="Q2646" i="1"/>
  <c r="Q2210" i="1"/>
  <c r="Q863" i="1"/>
  <c r="Q2594" i="1"/>
  <c r="Q1717" i="1"/>
  <c r="Q2306" i="1"/>
  <c r="Q1370" i="1"/>
  <c r="Q2028" i="1"/>
  <c r="Q1596" i="1"/>
  <c r="Q1741" i="1"/>
  <c r="Q1967" i="1"/>
  <c r="Q1562" i="1"/>
  <c r="Q385" i="1"/>
  <c r="Q1791" i="1"/>
  <c r="Q1750" i="1"/>
  <c r="Q509" i="1"/>
  <c r="Q988" i="1"/>
  <c r="Q1757" i="1"/>
  <c r="Q1981" i="1"/>
  <c r="Q1173" i="1"/>
  <c r="Q2268" i="1"/>
  <c r="Q199" i="1"/>
  <c r="Q2637" i="1"/>
  <c r="Q2067" i="1"/>
  <c r="Q2667" i="1"/>
  <c r="Q25" i="1"/>
  <c r="Q421" i="1"/>
  <c r="Q1727" i="1"/>
  <c r="Q1531" i="1"/>
  <c r="Q732" i="1"/>
  <c r="Q825" i="1"/>
  <c r="Q450" i="1"/>
  <c r="Q1802" i="1"/>
  <c r="Q1345" i="1"/>
  <c r="Q374" i="1"/>
  <c r="Q2400" i="1"/>
  <c r="Q1444" i="1"/>
  <c r="Q1688" i="1"/>
  <c r="Q874" i="1"/>
  <c r="Q2003" i="1"/>
  <c r="Q754" i="1"/>
  <c r="Q2066" i="1"/>
  <c r="Q488" i="1"/>
  <c r="Q1077" i="1"/>
  <c r="Q1441" i="1"/>
  <c r="Q1550" i="1"/>
  <c r="Q664" i="1"/>
  <c r="Q1398" i="1"/>
  <c r="Q1918" i="1"/>
  <c r="Q1365" i="1"/>
  <c r="Q2535" i="1"/>
  <c r="Q1396" i="1"/>
  <c r="Q1124" i="1"/>
  <c r="Q760" i="1"/>
  <c r="Q730" i="1"/>
  <c r="Q878" i="1"/>
  <c r="Q1931" i="1"/>
  <c r="Q411" i="1"/>
  <c r="Q1625" i="1"/>
  <c r="Q261" i="1"/>
  <c r="Q2120" i="1"/>
  <c r="Q1760" i="1"/>
  <c r="Q1292" i="1"/>
  <c r="Q588" i="1"/>
  <c r="Q2336" i="1"/>
  <c r="Q1348" i="1"/>
  <c r="Q1841" i="1"/>
  <c r="Q2527" i="1"/>
  <c r="Q776" i="1"/>
  <c r="Q1065" i="1"/>
  <c r="Q900" i="1"/>
  <c r="Q2455" i="1"/>
  <c r="Q1100" i="1"/>
  <c r="Q2039" i="1"/>
  <c r="Q1610" i="1"/>
  <c r="Q1744" i="1"/>
  <c r="Q1437" i="1"/>
  <c r="Q1566" i="1"/>
  <c r="Q608" i="1"/>
  <c r="Q2133" i="1"/>
  <c r="Q2565" i="1"/>
  <c r="Q1062" i="1"/>
  <c r="Q635" i="1"/>
  <c r="Q2653" i="1"/>
  <c r="Q1598" i="1"/>
  <c r="Q2726" i="1"/>
  <c r="Q1196" i="1"/>
  <c r="Q1185" i="1"/>
  <c r="Q2252" i="1"/>
  <c r="Q366" i="1"/>
  <c r="Q2135" i="1"/>
  <c r="Q1193" i="1"/>
  <c r="Q2675" i="1"/>
  <c r="Q2166" i="1"/>
  <c r="Q1025" i="1"/>
  <c r="Q1991" i="1"/>
  <c r="Q1388" i="1"/>
  <c r="Q1026" i="1"/>
  <c r="Q2015" i="1"/>
  <c r="Q1274" i="1"/>
  <c r="Q1860" i="1"/>
  <c r="Q1594" i="1"/>
  <c r="Q1685" i="1"/>
  <c r="Q1402" i="1"/>
  <c r="Q2026" i="1"/>
  <c r="Q260" i="1"/>
  <c r="Q1818" i="1"/>
  <c r="Q2570" i="1"/>
  <c r="Q2063" i="1"/>
  <c r="Q1306" i="1"/>
  <c r="Q599" i="1"/>
  <c r="Q979" i="1"/>
  <c r="Q442" i="1"/>
  <c r="Q70" i="1"/>
  <c r="Q582" i="1"/>
  <c r="Q2545" i="1"/>
  <c r="Q2017" i="1"/>
  <c r="Q1198" i="1"/>
  <c r="Q1018" i="1"/>
  <c r="Q2179" i="1"/>
  <c r="Q2296" i="1"/>
  <c r="Q2227" i="1"/>
  <c r="Q1285" i="1"/>
  <c r="Q1599" i="1"/>
  <c r="Q322" i="1"/>
  <c r="Q2267" i="1"/>
  <c r="Q1094" i="1"/>
  <c r="Q2478" i="1"/>
  <c r="Q2241" i="1"/>
  <c r="Q2188" i="1"/>
  <c r="Q1039" i="1"/>
  <c r="Q73" i="1"/>
  <c r="Q91" i="1"/>
  <c r="Q424" i="1"/>
  <c r="Q2132" i="1"/>
  <c r="Q2564" i="1"/>
  <c r="Q1871" i="1"/>
  <c r="Q265" i="1"/>
  <c r="Q1748" i="1"/>
  <c r="Q2121" i="1"/>
  <c r="Q1770" i="1"/>
  <c r="Q1144" i="1"/>
  <c r="Q693" i="1"/>
  <c r="Q2224" i="1"/>
  <c r="Q1090" i="1"/>
  <c r="Q1458" i="1"/>
  <c r="Q1962" i="1"/>
  <c r="Q1608" i="1"/>
  <c r="Q820" i="1"/>
  <c r="Q1866" i="1"/>
  <c r="Q298" i="1"/>
  <c r="Q2427" i="1"/>
  <c r="Q1297" i="1"/>
  <c r="Q367" i="1"/>
  <c r="Q1827" i="1"/>
  <c r="Q1438" i="1"/>
  <c r="Q2151" i="1"/>
  <c r="Q575" i="1"/>
  <c r="Q1831" i="1"/>
  <c r="Q2307" i="1"/>
  <c r="Q2737" i="1"/>
  <c r="Q1497" i="1"/>
  <c r="Q1484" i="1"/>
  <c r="Q1994" i="1"/>
  <c r="Q1703" i="1"/>
  <c r="Q765" i="1"/>
  <c r="Q249" i="1"/>
  <c r="Q2586" i="1"/>
  <c r="Q2623" i="1"/>
  <c r="Q133" i="1"/>
  <c r="Q628" i="1"/>
  <c r="Q2498" i="1"/>
  <c r="Q1291" i="1"/>
  <c r="Q1664" i="1"/>
  <c r="Q840" i="1"/>
  <c r="Q1027" i="1"/>
  <c r="Q446" i="1"/>
  <c r="Q1340" i="1"/>
  <c r="Q49" i="1"/>
  <c r="Q1926" i="1"/>
  <c r="Q1725" i="1"/>
  <c r="Q51" i="1"/>
  <c r="Q2249" i="1"/>
  <c r="Q1493" i="1"/>
  <c r="Q1391" i="1"/>
  <c r="Q2054" i="1"/>
  <c r="Q1849" i="1"/>
  <c r="Q670" i="1"/>
  <c r="Q838" i="1"/>
  <c r="Q1079" i="1"/>
  <c r="Q538" i="1"/>
  <c r="Q1103" i="1"/>
  <c r="Q1905" i="1"/>
  <c r="Q660" i="1"/>
  <c r="Q256" i="1"/>
  <c r="Q2105" i="1"/>
  <c r="Q1129" i="1"/>
  <c r="Q352" i="1"/>
  <c r="Q359" i="1"/>
  <c r="Q243" i="1"/>
  <c r="Q2655" i="1"/>
  <c r="Q734" i="1"/>
  <c r="Q2736" i="1"/>
  <c r="Q1351" i="1"/>
  <c r="Q556" i="1"/>
  <c r="Q1277" i="1"/>
  <c r="Q1146" i="1"/>
  <c r="Q1215" i="1"/>
  <c r="Q671" i="1"/>
  <c r="Q64" i="1"/>
  <c r="Q1269" i="1"/>
  <c r="Q813" i="1"/>
  <c r="Q2000" i="1"/>
  <c r="Q519" i="1"/>
  <c r="Q2381" i="1"/>
  <c r="Q2262" i="1"/>
  <c r="Q262" i="1"/>
  <c r="Q2312" i="1"/>
  <c r="Q1385" i="1"/>
  <c r="Q886" i="1"/>
  <c r="Q2536" i="1"/>
  <c r="Q2136" i="1"/>
  <c r="Q2503" i="1"/>
  <c r="Q622" i="1"/>
  <c r="Q217" i="1"/>
  <c r="Q444" i="1"/>
  <c r="Q1296" i="1"/>
  <c r="Q704" i="1"/>
  <c r="Q603" i="1"/>
  <c r="Q1401" i="1"/>
  <c r="Q1754" i="1"/>
  <c r="Q1359" i="1"/>
  <c r="Q2416" i="1"/>
  <c r="Q2403" i="1"/>
  <c r="Q45" i="1"/>
  <c r="Q445" i="1"/>
  <c r="Q1501" i="1"/>
  <c r="Q2183" i="1"/>
  <c r="Q1829" i="1"/>
  <c r="Q2292" i="1"/>
  <c r="Q117" i="1"/>
  <c r="Q1219" i="1"/>
  <c r="Q107" i="1"/>
  <c r="Q255" i="1"/>
  <c r="Q2695" i="1"/>
  <c r="Q2093" i="1"/>
  <c r="Q436" i="1"/>
  <c r="Q663" i="1"/>
  <c r="Q434" i="1"/>
  <c r="Q2349" i="1"/>
  <c r="Q706" i="1"/>
  <c r="Q462" i="1"/>
  <c r="Q1933" i="1"/>
  <c r="Q775" i="1"/>
  <c r="Q2357" i="1"/>
  <c r="Q349" i="1"/>
  <c r="Q819" i="1"/>
  <c r="Q2057" i="1"/>
  <c r="Q2559" i="1"/>
  <c r="Q379" i="1"/>
  <c r="Q1758" i="1"/>
  <c r="Q1088" i="1"/>
  <c r="Q1465" i="1"/>
  <c r="Q1120" i="1"/>
  <c r="Q2397" i="1"/>
  <c r="Q1377" i="1"/>
  <c r="Q592" i="1"/>
  <c r="Q1621" i="1"/>
  <c r="Q1751" i="1"/>
  <c r="Q1695" i="1"/>
  <c r="Q1390" i="1"/>
  <c r="Q1813" i="1"/>
  <c r="Q430" i="1"/>
  <c r="Q281" i="1"/>
  <c r="Q1622" i="1"/>
  <c r="Q2181" i="1"/>
  <c r="Q1620" i="1"/>
  <c r="Q2242" i="1"/>
  <c r="Q1819" i="1"/>
  <c r="Q1110" i="1"/>
  <c r="Q2128" i="1"/>
  <c r="Q1282" i="1"/>
  <c r="Q230" i="1"/>
  <c r="Q335" i="1"/>
  <c r="Q1701" i="1"/>
  <c r="Q227" i="1"/>
  <c r="Q2225" i="1"/>
  <c r="Q1845" i="1"/>
  <c r="Q2217" i="1"/>
  <c r="Q146" i="1"/>
  <c r="Q2184" i="1"/>
  <c r="Q62" i="1"/>
  <c r="Q1227" i="1"/>
  <c r="Q518" i="1"/>
  <c r="Q2484" i="1"/>
  <c r="Q752" i="1"/>
  <c r="Q1965" i="1"/>
  <c r="Q1882" i="1"/>
  <c r="Q26" i="1"/>
  <c r="Q1339" i="1"/>
  <c r="Q749" i="1"/>
  <c r="Q441" i="1"/>
  <c r="Q1908" i="1"/>
  <c r="Q650" i="1"/>
  <c r="Q1125" i="1"/>
  <c r="Q778" i="1"/>
  <c r="Q2354" i="1"/>
  <c r="Q121" i="1"/>
  <c r="Q264" i="1"/>
  <c r="Q753" i="1"/>
  <c r="Q1810" i="1"/>
  <c r="Q2582" i="1"/>
  <c r="Q1761" i="1"/>
  <c r="Q467" i="1"/>
  <c r="Q609" i="1"/>
  <c r="Q2688" i="1"/>
  <c r="Q1979" i="1"/>
  <c r="Q1731" i="1"/>
  <c r="Q2255" i="1"/>
  <c r="Q2367" i="1"/>
  <c r="Q1737" i="1"/>
  <c r="Q1006" i="1"/>
  <c r="Q697" i="1"/>
  <c r="Q1175" i="1"/>
  <c r="Q2046" i="1"/>
  <c r="Q1279" i="1"/>
  <c r="Q2018" i="1"/>
  <c r="Q2576" i="1"/>
  <c r="Q2583" i="1"/>
  <c r="Q1668" i="1"/>
  <c r="Q75" i="1"/>
  <c r="Q1011" i="1"/>
  <c r="Q2466" i="1"/>
  <c r="Q3" i="1"/>
  <c r="Q1374" i="1"/>
  <c r="Q2729" i="1"/>
  <c r="Q2543" i="1"/>
  <c r="Q1735" i="1"/>
  <c r="Q1192" i="1"/>
  <c r="Q2299" i="1"/>
  <c r="Q2624" i="1"/>
  <c r="Q620" i="1"/>
  <c r="Q472" i="1"/>
  <c r="Q1915" i="1"/>
  <c r="Q2571" i="1"/>
  <c r="Q2033" i="1"/>
  <c r="Q35" i="1"/>
  <c r="Q973" i="1"/>
  <c r="Q537" i="1"/>
  <c r="Q2320" i="1"/>
  <c r="Q1728" i="1"/>
  <c r="Q2712" i="1"/>
  <c r="Q1135" i="1"/>
  <c r="Q2366" i="1"/>
  <c r="Q1101" i="1"/>
  <c r="Q2328" i="1"/>
  <c r="Q2428" i="1"/>
  <c r="Q1864" i="1"/>
  <c r="Q761" i="1"/>
  <c r="Q1667" i="1"/>
  <c r="Q357" i="1"/>
  <c r="Q1856" i="1"/>
  <c r="Q1950" i="1"/>
  <c r="Q1932" i="1"/>
  <c r="Q2702" i="1"/>
  <c r="Q1990" i="1"/>
  <c r="Q1917" i="1"/>
  <c r="Q855" i="1"/>
  <c r="Q2086" i="1"/>
  <c r="Q1944" i="1"/>
  <c r="Q2537" i="1"/>
  <c r="Q2216" i="1"/>
  <c r="Q293" i="1"/>
  <c r="Q1442" i="1"/>
  <c r="Q1521" i="1"/>
  <c r="Q1662" i="1"/>
  <c r="Q779" i="1"/>
  <c r="Q2170" i="1"/>
  <c r="Q1294" i="1"/>
  <c r="Q703" i="1"/>
  <c r="Q156" i="1"/>
  <c r="Q1572" i="1"/>
  <c r="Q2496" i="1"/>
  <c r="Q1644" i="1"/>
  <c r="Q2111" i="1"/>
  <c r="Q1300" i="1"/>
  <c r="Q2679" i="1"/>
  <c r="Q2665" i="1"/>
  <c r="Q504" i="1"/>
  <c r="Q2432" i="1"/>
  <c r="Q2146" i="1"/>
  <c r="Q449" i="1"/>
  <c r="Q368" i="1"/>
  <c r="Q676" i="1"/>
  <c r="Q2462" i="1"/>
  <c r="Q2640" i="1"/>
  <c r="Q2097" i="1"/>
  <c r="Q1730" i="1"/>
  <c r="Q1242" i="1"/>
  <c r="Q1440" i="1"/>
  <c r="Q275" i="1"/>
  <c r="Q2112" i="1"/>
  <c r="Q1108" i="1"/>
  <c r="Q2598" i="1"/>
  <c r="Q1948" i="1"/>
  <c r="Q1766" i="1"/>
  <c r="Q2386" i="1"/>
  <c r="Q1428" i="1"/>
  <c r="Q508" i="1"/>
  <c r="Q679" i="1"/>
  <c r="Q485" i="1"/>
  <c r="Q433" i="1"/>
  <c r="Q173" i="1"/>
  <c r="Q1512" i="1"/>
  <c r="Q17" i="1"/>
  <c r="Q389" i="1"/>
  <c r="Q1803" i="1"/>
  <c r="Q1666" i="1"/>
  <c r="Q1708" i="1"/>
  <c r="Q2144" i="1"/>
  <c r="Q1321" i="1"/>
  <c r="Q1921" i="1"/>
  <c r="Q193" i="1"/>
  <c r="Q2674" i="1"/>
  <c r="Q2431" i="1"/>
  <c r="Q1126" i="1"/>
  <c r="Q1634" i="1"/>
  <c r="Q2264" i="1"/>
  <c r="Q1700" i="1"/>
  <c r="Q1042" i="1"/>
  <c r="Q1167" i="1"/>
  <c r="Q2579" i="1"/>
  <c r="Q2364" i="1"/>
  <c r="Q688" i="1"/>
  <c r="Q2304" i="1"/>
  <c r="Q995" i="1"/>
  <c r="Q1202" i="1"/>
  <c r="Q1474" i="1"/>
  <c r="Q1160" i="1"/>
  <c r="Q826" i="1"/>
  <c r="Q1784" i="1"/>
  <c r="Q860" i="1"/>
  <c r="Q1207" i="1"/>
  <c r="Q288" i="1"/>
  <c r="Q1525" i="1"/>
  <c r="Q1078" i="1"/>
  <c r="Q348" i="1"/>
  <c r="Q1046" i="1"/>
  <c r="Q479" i="1"/>
  <c r="Q53" i="1"/>
  <c r="Q2085" i="1"/>
  <c r="Q420" i="1"/>
  <c r="Q862" i="1"/>
  <c r="Q642" i="1"/>
  <c r="Q1083" i="1"/>
  <c r="Q102" i="1"/>
  <c r="Q1171" i="1"/>
  <c r="Q1499" i="1"/>
  <c r="Q2323" i="1"/>
  <c r="Q1137" i="1"/>
  <c r="Q376" i="1"/>
  <c r="Q1577" i="1"/>
  <c r="Q1048" i="1"/>
  <c r="Q2032" i="1"/>
  <c r="Q212" i="1"/>
  <c r="Q402" i="1"/>
  <c r="Q905" i="1"/>
  <c r="Q1906" i="1"/>
  <c r="Q1241" i="1"/>
  <c r="Q1711" i="1"/>
  <c r="Q1114" i="1"/>
  <c r="Q2060" i="1"/>
  <c r="Q2270" i="1"/>
  <c r="Q496" i="1"/>
  <c r="Q11" i="1"/>
  <c r="Q2553" i="1"/>
  <c r="Q2519" i="1"/>
  <c r="Q724" i="1"/>
  <c r="Q16" i="1"/>
  <c r="Q2444" i="1"/>
  <c r="Q1904" i="1"/>
  <c r="Q674" i="1"/>
  <c r="Q1154" i="1"/>
  <c r="Q1658" i="1"/>
  <c r="Q1023" i="1"/>
  <c r="Q2587" i="1"/>
  <c r="Q871" i="1"/>
  <c r="Q892" i="1"/>
  <c r="Q201" i="1"/>
  <c r="Q1997" i="1"/>
  <c r="Q1031" i="1"/>
  <c r="Q1243" i="1"/>
  <c r="Q2149" i="1"/>
  <c r="Q1732" i="1"/>
  <c r="Q268" i="1"/>
  <c r="Q1312" i="1"/>
  <c r="Q810" i="1"/>
  <c r="Q222" i="1"/>
  <c r="Q638" i="1"/>
  <c r="Q1368" i="1"/>
  <c r="Q2171" i="1"/>
  <c r="Q1742" i="1"/>
  <c r="Q1961" i="1"/>
  <c r="Q2190" i="1"/>
  <c r="Q700" i="1"/>
  <c r="Q128" i="1"/>
  <c r="Q1774" i="1"/>
  <c r="Q429" i="1"/>
  <c r="Q330" i="1"/>
  <c r="Q1087" i="1"/>
  <c r="Q2487" i="1"/>
  <c r="Q510" i="1"/>
  <c r="Q2147" i="1"/>
  <c r="Q631" i="1"/>
  <c r="Q2666" i="1"/>
  <c r="Q2148" i="1"/>
  <c r="Q2632" i="1"/>
  <c r="Q1452" i="1"/>
  <c r="Q907" i="1"/>
  <c r="Q106" i="1"/>
  <c r="Q2094" i="1"/>
  <c r="Q1541" i="1"/>
  <c r="Q2048" i="1"/>
  <c r="Q468" i="1"/>
  <c r="Q1216" i="1"/>
  <c r="Q2113" i="1"/>
  <c r="Q712" i="1"/>
  <c r="Q226" i="1"/>
  <c r="Q419" i="1"/>
  <c r="Q2495" i="1"/>
  <c r="Q302" i="1"/>
  <c r="Q327" i="1"/>
  <c r="Q1989" i="1"/>
  <c r="Q67" i="1"/>
  <c r="Q1899" i="1"/>
  <c r="Q1361" i="1"/>
  <c r="Q164" i="1"/>
  <c r="Q2317" i="1"/>
  <c r="Q1180" i="1"/>
  <c r="Q4" i="1"/>
  <c r="Q1707" i="1"/>
  <c r="Q1122" i="1"/>
  <c r="Q1564" i="1"/>
  <c r="Q34" i="1"/>
  <c r="Q755" i="1"/>
  <c r="Q963" i="1"/>
  <c r="Q2103" i="1"/>
  <c r="Q1427" i="1"/>
  <c r="Q2533" i="1"/>
  <c r="Q1404" i="1"/>
  <c r="Q188" i="1"/>
  <c r="Q18" i="1"/>
  <c r="Q215" i="1"/>
  <c r="Q1753" i="1"/>
  <c r="Q1912" i="1"/>
  <c r="Q1676" i="1"/>
  <c r="Q486" i="1"/>
  <c r="Q942" i="1"/>
  <c r="Q611" i="1"/>
  <c r="Q149" i="1"/>
  <c r="Q1877" i="1"/>
  <c r="Q2547" i="1"/>
  <c r="Q1616" i="1"/>
  <c r="D106" i="8"/>
  <c r="C106" i="8"/>
  <c r="I44" i="8"/>
  <c r="E44" i="8"/>
  <c r="K44" i="8"/>
  <c r="G44" i="8"/>
  <c r="J44" i="8"/>
  <c r="C44" i="8"/>
  <c r="F44" i="8"/>
  <c r="H44" i="8"/>
  <c r="D44" i="8"/>
  <c r="L56" i="14"/>
  <c r="H57" i="14"/>
  <c r="H71" i="14"/>
  <c r="L70" i="14"/>
  <c r="N33" i="4"/>
  <c r="N34" i="4"/>
  <c r="N35" i="4"/>
  <c r="N36" i="4"/>
  <c r="N37" i="4"/>
  <c r="N38" i="4"/>
  <c r="N39" i="4"/>
  <c r="N40" i="4"/>
  <c r="N41" i="4"/>
  <c r="N42" i="4"/>
  <c r="N43" i="4"/>
  <c r="N44" i="4"/>
  <c r="N45" i="4"/>
  <c r="N46" i="4"/>
  <c r="N47" i="4"/>
  <c r="N48" i="4"/>
  <c r="N49" i="4"/>
  <c r="N50" i="4"/>
  <c r="N51" i="4"/>
  <c r="N52" i="4"/>
  <c r="N53" i="4"/>
  <c r="N54" i="4"/>
  <c r="N55" i="4"/>
  <c r="N56" i="4"/>
  <c r="N57" i="4"/>
  <c r="N58" i="4"/>
  <c r="AR17" i="4"/>
  <c r="AR18" i="4"/>
  <c r="AR19" i="4"/>
  <c r="AR20" i="4"/>
  <c r="AR21" i="4"/>
  <c r="AR22" i="4"/>
  <c r="AR23" i="4"/>
  <c r="AR24" i="4"/>
  <c r="AR25" i="4"/>
  <c r="AR26" i="4"/>
  <c r="AR27" i="4"/>
  <c r="D107" i="8"/>
  <c r="C107" i="8"/>
  <c r="G107" i="8"/>
  <c r="F107" i="8"/>
  <c r="J107" i="8"/>
  <c r="E107" i="8"/>
  <c r="K107" i="8"/>
  <c r="H107" i="8"/>
  <c r="I107" i="8"/>
  <c r="J146" i="5"/>
  <c r="I141" i="8"/>
  <c r="G141" i="8"/>
  <c r="E141" i="8"/>
  <c r="D141" i="8"/>
  <c r="C141" i="8"/>
  <c r="K141" i="8"/>
  <c r="H141" i="8"/>
  <c r="J141" i="8"/>
  <c r="F141" i="8"/>
  <c r="BB65" i="5"/>
  <c r="H144" i="5"/>
  <c r="H1" i="9"/>
  <c r="H1" i="5"/>
  <c r="BB16" i="5"/>
  <c r="F144" i="5"/>
  <c r="F135" i="8"/>
  <c r="K135" i="8"/>
  <c r="J135" i="8"/>
  <c r="G135" i="8"/>
  <c r="H135" i="8"/>
  <c r="D135" i="8"/>
  <c r="I135" i="8"/>
  <c r="C135" i="8"/>
  <c r="E135" i="8"/>
  <c r="L144" i="5"/>
  <c r="D5" i="4"/>
  <c r="A11" i="14"/>
  <c r="F10" i="14"/>
  <c r="D6" i="4"/>
  <c r="D82" i="8"/>
  <c r="J82" i="8"/>
  <c r="I82" i="8"/>
  <c r="E82" i="8"/>
  <c r="C82" i="8"/>
  <c r="H82" i="8"/>
  <c r="G82" i="8"/>
  <c r="F82" i="8"/>
  <c r="K82" i="8"/>
  <c r="L63" i="14"/>
  <c r="H64" i="14"/>
  <c r="I122" i="8"/>
  <c r="G122" i="8"/>
  <c r="J122" i="8"/>
  <c r="C122" i="8"/>
  <c r="K122" i="8"/>
  <c r="E122" i="8"/>
  <c r="H122" i="8"/>
  <c r="D122" i="8"/>
  <c r="F122" i="8"/>
  <c r="K104" i="8"/>
  <c r="J104" i="8"/>
  <c r="I104" i="8"/>
  <c r="H104" i="8"/>
  <c r="G104" i="8"/>
  <c r="F104" i="8"/>
  <c r="E104" i="8"/>
  <c r="D104" i="8"/>
  <c r="C104" i="8"/>
  <c r="F79" i="8"/>
  <c r="C79" i="8"/>
  <c r="G79" i="8"/>
  <c r="K79" i="8"/>
  <c r="J79" i="8"/>
  <c r="I79" i="8"/>
  <c r="H79" i="8"/>
  <c r="E79" i="8"/>
  <c r="D79" i="8"/>
  <c r="H134" i="8"/>
  <c r="G134" i="8"/>
  <c r="I134" i="8"/>
  <c r="J134" i="8"/>
  <c r="C134" i="8"/>
  <c r="K134" i="8"/>
  <c r="E134" i="8"/>
  <c r="D134" i="8"/>
  <c r="F134" i="8"/>
  <c r="BB64" i="5"/>
  <c r="J144" i="5"/>
  <c r="C49" i="8"/>
  <c r="J49" i="8"/>
  <c r="K49" i="8"/>
  <c r="G49" i="8"/>
  <c r="I49" i="8"/>
  <c r="H49" i="8"/>
  <c r="F49" i="8"/>
  <c r="E49" i="8"/>
  <c r="D49" i="8"/>
  <c r="K142" i="8"/>
  <c r="H142" i="8"/>
  <c r="G142" i="8"/>
  <c r="I142" i="8"/>
  <c r="F142" i="8"/>
  <c r="C142" i="8"/>
  <c r="J142" i="8"/>
  <c r="E142" i="8"/>
  <c r="D142" i="8"/>
  <c r="G13" i="8"/>
  <c r="D13" i="8"/>
  <c r="H13" i="8"/>
  <c r="F13" i="8"/>
  <c r="C13" i="8"/>
  <c r="J13" i="8"/>
  <c r="I13" i="8"/>
  <c r="K13" i="8"/>
  <c r="E13" i="8"/>
  <c r="L2753" i="1"/>
  <c r="A2754" i="1"/>
  <c r="L71" i="14"/>
  <c r="H72" i="14"/>
  <c r="L57" i="14"/>
  <c r="H58" i="14"/>
  <c r="L58" i="14"/>
  <c r="I1" i="9"/>
  <c r="I1" i="5"/>
  <c r="D4" i="4"/>
  <c r="L64" i="14"/>
  <c r="H65" i="14"/>
  <c r="A2755" i="1"/>
  <c r="L2754" i="1"/>
  <c r="A12" i="14"/>
  <c r="F11" i="14"/>
  <c r="BB144" i="5"/>
  <c r="D12" i="4"/>
  <c r="H73" i="14"/>
  <c r="L72" i="14"/>
  <c r="F12" i="14"/>
  <c r="A13" i="14"/>
  <c r="A2756" i="1"/>
  <c r="L2755" i="1"/>
  <c r="H66" i="14"/>
  <c r="L66" i="14"/>
  <c r="L65" i="14"/>
  <c r="J1" i="5"/>
  <c r="J1" i="9"/>
  <c r="L73" i="14"/>
  <c r="H74" i="14"/>
  <c r="L2756" i="1"/>
  <c r="A2757" i="1"/>
  <c r="K1" i="9"/>
  <c r="K1" i="5"/>
  <c r="F13" i="14"/>
  <c r="A14" i="14"/>
  <c r="L74" i="14"/>
  <c r="H75" i="14"/>
  <c r="A15" i="14"/>
  <c r="F14" i="14"/>
  <c r="L1" i="5"/>
  <c r="L1" i="9"/>
  <c r="L2757" i="1"/>
  <c r="A2758" i="1"/>
  <c r="H76" i="14"/>
  <c r="L76" i="14"/>
  <c r="L75" i="14"/>
  <c r="L2758" i="1"/>
  <c r="A2759" i="1"/>
  <c r="M1" i="5"/>
  <c r="M1" i="9"/>
  <c r="F15" i="14"/>
  <c r="A16" i="14"/>
  <c r="F16" i="14"/>
  <c r="A17" i="14"/>
  <c r="N1" i="5"/>
  <c r="N1" i="9"/>
  <c r="L2759" i="1"/>
  <c r="A2760" i="1"/>
  <c r="O1" i="9"/>
  <c r="O1" i="5"/>
  <c r="A18" i="14"/>
  <c r="F17" i="14"/>
  <c r="L2760" i="1"/>
  <c r="A2761" i="1"/>
  <c r="A19" i="14"/>
  <c r="F18" i="14"/>
  <c r="L2761" i="1"/>
  <c r="A2762" i="1"/>
  <c r="P1" i="5"/>
  <c r="P1" i="9"/>
  <c r="Q1" i="9"/>
  <c r="Q1" i="5"/>
  <c r="A2763" i="1"/>
  <c r="L2762" i="1"/>
  <c r="A20" i="14"/>
  <c r="F19" i="14"/>
  <c r="J155" i="8"/>
  <c r="J156" i="8"/>
  <c r="H155" i="8"/>
  <c r="H156" i="8"/>
  <c r="I155" i="8"/>
  <c r="I156" i="8"/>
  <c r="C155" i="8"/>
  <c r="C156" i="8"/>
  <c r="F20" i="14"/>
  <c r="A21" i="14"/>
  <c r="K155" i="8"/>
  <c r="K156" i="8"/>
  <c r="A2764" i="1"/>
  <c r="L2763" i="1"/>
  <c r="R1" i="5"/>
  <c r="R1" i="9"/>
  <c r="F21" i="14"/>
  <c r="A22" i="14"/>
  <c r="L2764" i="1"/>
  <c r="A2765" i="1"/>
  <c r="S1" i="5"/>
  <c r="S1" i="9"/>
  <c r="A23" i="14"/>
  <c r="F22" i="14"/>
  <c r="T1" i="9"/>
  <c r="T1" i="5"/>
  <c r="L2765" i="1"/>
  <c r="A2766" i="1"/>
  <c r="U1" i="9"/>
  <c r="U1" i="5"/>
  <c r="A2767" i="1"/>
  <c r="L2766" i="1"/>
  <c r="F23" i="14"/>
  <c r="A24" i="14"/>
  <c r="A2768" i="1"/>
  <c r="L2767" i="1"/>
  <c r="A25" i="14"/>
  <c r="F24" i="14"/>
  <c r="V1" i="5"/>
  <c r="V1" i="9"/>
  <c r="W1" i="9"/>
  <c r="W1" i="5"/>
  <c r="A26" i="14"/>
  <c r="F25" i="14"/>
  <c r="L2768" i="1"/>
  <c r="A2769" i="1"/>
  <c r="A2770" i="1"/>
  <c r="L2769" i="1"/>
  <c r="A27" i="14"/>
  <c r="F26" i="14"/>
  <c r="X1" i="5"/>
  <c r="X1" i="9"/>
  <c r="F27" i="14"/>
  <c r="A28" i="14"/>
  <c r="Y1" i="9"/>
  <c r="Y1" i="5"/>
  <c r="L2770" i="1"/>
  <c r="A2771" i="1"/>
  <c r="Z1" i="9"/>
  <c r="Z1" i="5"/>
  <c r="A2772" i="1"/>
  <c r="L2771" i="1"/>
  <c r="F28" i="14"/>
  <c r="A29" i="14"/>
  <c r="A2773" i="1"/>
  <c r="L2772" i="1"/>
  <c r="F29" i="14"/>
  <c r="A30" i="14"/>
  <c r="D155" i="8"/>
  <c r="D156" i="8"/>
  <c r="E155" i="8"/>
  <c r="E156" i="8"/>
  <c r="F155" i="8"/>
  <c r="F156" i="8"/>
  <c r="AA1" i="9"/>
  <c r="AA1" i="5"/>
  <c r="A31" i="14"/>
  <c r="F30" i="14"/>
  <c r="AB1" i="5"/>
  <c r="AB1" i="9"/>
  <c r="L2773" i="1"/>
  <c r="A2774" i="1"/>
  <c r="AC1" i="5"/>
  <c r="AC1" i="9"/>
  <c r="A2775" i="1"/>
  <c r="L2774" i="1"/>
  <c r="F31" i="14"/>
  <c r="A32" i="14"/>
  <c r="A33" i="14"/>
  <c r="F32" i="14"/>
  <c r="L2775" i="1"/>
  <c r="A2776" i="1"/>
  <c r="AD1" i="5"/>
  <c r="AD1" i="9"/>
  <c r="AE1" i="5"/>
  <c r="AE1" i="9"/>
  <c r="L2776" i="1"/>
  <c r="A2777" i="1"/>
  <c r="F33" i="14"/>
  <c r="A34" i="14"/>
  <c r="L2777" i="1"/>
  <c r="A2778" i="1"/>
  <c r="AF1" i="9"/>
  <c r="AF1" i="5"/>
  <c r="A35" i="14"/>
  <c r="F34" i="14"/>
  <c r="AG1" i="9"/>
  <c r="AG1" i="5"/>
  <c r="AF148" i="9"/>
  <c r="L2778" i="1"/>
  <c r="A2779" i="1"/>
  <c r="AD148" i="9"/>
  <c r="F35" i="14"/>
  <c r="AE148" i="9"/>
  <c r="A36" i="14"/>
  <c r="F36" i="14"/>
  <c r="AC148" i="9"/>
  <c r="AE149" i="9"/>
  <c r="AF148" i="5"/>
  <c r="AE150" i="9"/>
  <c r="AF149" i="5"/>
  <c r="AF147" i="5"/>
  <c r="AE147" i="9"/>
  <c r="AE146" i="9"/>
  <c r="AF146" i="5"/>
  <c r="L2779" i="1"/>
  <c r="A2780" i="1"/>
  <c r="AC150" i="9"/>
  <c r="AD149" i="5"/>
  <c r="AD147" i="5"/>
  <c r="AC146" i="9"/>
  <c r="AC149" i="9"/>
  <c r="AD148" i="5"/>
  <c r="AC147" i="9"/>
  <c r="AF146" i="9"/>
  <c r="AG146" i="5"/>
  <c r="AF147" i="9"/>
  <c r="AF149" i="9"/>
  <c r="AG148" i="5"/>
  <c r="AG147" i="5"/>
  <c r="AF150" i="9"/>
  <c r="AG149" i="5"/>
  <c r="AH1" i="9"/>
  <c r="AG148" i="9"/>
  <c r="AH1" i="5"/>
  <c r="AE147" i="5"/>
  <c r="AD149" i="9"/>
  <c r="AE148" i="5"/>
  <c r="AD146" i="9"/>
  <c r="AE146" i="5"/>
  <c r="AD150" i="9"/>
  <c r="AE149" i="5"/>
  <c r="AD147" i="9"/>
  <c r="AG150" i="9"/>
  <c r="AH149" i="5"/>
  <c r="AG149" i="9"/>
  <c r="AH148" i="5"/>
  <c r="AH147" i="5"/>
  <c r="AG147" i="9"/>
  <c r="AG146" i="9"/>
  <c r="AH146" i="5"/>
  <c r="AI1" i="9"/>
  <c r="AH148" i="9"/>
  <c r="AI1" i="5"/>
  <c r="AD146" i="5"/>
  <c r="A2781" i="1"/>
  <c r="L2780" i="1"/>
  <c r="AJ1" i="5"/>
  <c r="AI148" i="9"/>
  <c r="AJ1" i="9"/>
  <c r="L2781" i="1"/>
  <c r="A2782" i="1"/>
  <c r="AI147" i="5"/>
  <c r="AH146" i="9"/>
  <c r="AI146" i="5"/>
  <c r="AH147" i="9"/>
  <c r="AH149" i="9"/>
  <c r="AI148" i="5"/>
  <c r="AH150" i="9"/>
  <c r="AI149" i="5"/>
  <c r="AK1" i="9"/>
  <c r="AJ148" i="9"/>
  <c r="AK1" i="5"/>
  <c r="AJ147" i="5"/>
  <c r="AI146" i="9"/>
  <c r="AJ146" i="5"/>
  <c r="AI149" i="9"/>
  <c r="AJ148" i="5"/>
  <c r="AI151" i="9"/>
  <c r="AI150" i="9"/>
  <c r="AJ149" i="5"/>
  <c r="AI147" i="9"/>
  <c r="A2783" i="1"/>
  <c r="L2782" i="1"/>
  <c r="A2784" i="1"/>
  <c r="L2783" i="1"/>
  <c r="AK147" i="5"/>
  <c r="AJ150" i="9"/>
  <c r="AK149" i="5"/>
  <c r="AJ146" i="9"/>
  <c r="AK146" i="5"/>
  <c r="AJ149" i="9"/>
  <c r="AK148" i="5"/>
  <c r="AJ147" i="9"/>
  <c r="AJ151" i="9"/>
  <c r="AL1" i="9"/>
  <c r="AK148" i="9"/>
  <c r="AL1" i="5"/>
  <c r="AM1" i="9"/>
  <c r="AM1" i="5"/>
  <c r="AL148" i="9"/>
  <c r="A2785" i="1"/>
  <c r="L2784" i="1"/>
  <c r="AK146" i="9"/>
  <c r="AL146" i="5"/>
  <c r="AK149" i="9"/>
  <c r="AL148" i="5"/>
  <c r="AK151" i="9"/>
  <c r="AL147" i="5"/>
  <c r="AK147" i="9"/>
  <c r="AK150" i="9"/>
  <c r="AL149" i="5"/>
  <c r="AL146" i="9"/>
  <c r="AM146" i="5"/>
  <c r="AL151" i="9"/>
  <c r="AM147" i="5"/>
  <c r="AL149" i="9"/>
  <c r="AM148" i="5"/>
  <c r="AL150" i="9"/>
  <c r="AM149" i="5"/>
  <c r="AL147" i="9"/>
  <c r="L2785" i="1"/>
  <c r="A2786" i="1"/>
  <c r="AN1" i="9"/>
  <c r="AM148" i="9"/>
  <c r="AN1" i="5"/>
  <c r="AM150" i="9"/>
  <c r="AN149" i="5"/>
  <c r="AM151" i="9"/>
  <c r="AM146" i="9"/>
  <c r="AN146" i="5"/>
  <c r="AM149" i="9"/>
  <c r="AN148" i="5"/>
  <c r="AN147" i="5"/>
  <c r="AM147" i="9"/>
  <c r="AO1" i="9"/>
  <c r="AO1" i="5"/>
  <c r="AN148" i="9"/>
  <c r="A2787" i="1"/>
  <c r="L2786" i="1"/>
  <c r="A2788" i="1"/>
  <c r="L2787" i="1"/>
  <c r="AN146" i="9"/>
  <c r="AO146" i="5"/>
  <c r="BB146" i="5"/>
  <c r="AN150" i="9"/>
  <c r="AO149" i="5"/>
  <c r="AN149" i="9"/>
  <c r="AO148" i="5"/>
  <c r="AO147" i="5"/>
  <c r="AN151" i="9"/>
  <c r="AN147" i="9"/>
  <c r="AP1" i="5"/>
  <c r="AO148" i="9"/>
  <c r="AP1" i="9"/>
  <c r="AQ1" i="5"/>
  <c r="AQ1" i="9"/>
  <c r="AP148" i="9"/>
  <c r="AP147" i="5"/>
  <c r="AO147" i="9"/>
  <c r="AO150" i="9"/>
  <c r="AP149" i="5"/>
  <c r="AO151" i="9"/>
  <c r="AO146" i="9"/>
  <c r="AP146" i="5"/>
  <c r="AO149" i="9"/>
  <c r="AP148" i="5"/>
  <c r="L2788" i="1"/>
  <c r="A2789" i="1"/>
  <c r="L2789" i="1"/>
  <c r="A2790" i="1"/>
  <c r="AP149" i="9"/>
  <c r="AQ148" i="5"/>
  <c r="AP146" i="9"/>
  <c r="AQ146" i="5"/>
  <c r="AP151" i="9"/>
  <c r="AP150" i="9"/>
  <c r="AQ149" i="5"/>
  <c r="AQ147" i="5"/>
  <c r="AP147" i="9"/>
  <c r="AR1" i="9"/>
  <c r="AQ148" i="9"/>
  <c r="AR1" i="5"/>
  <c r="AQ149" i="9"/>
  <c r="AR148" i="5"/>
  <c r="AQ147" i="9"/>
  <c r="AR147" i="5"/>
  <c r="AQ150" i="9"/>
  <c r="AR149" i="5"/>
  <c r="AQ146" i="9"/>
  <c r="AR146" i="5"/>
  <c r="AQ151" i="9"/>
  <c r="AR148" i="9"/>
  <c r="AS1" i="9"/>
  <c r="AS1" i="5"/>
  <c r="A2791" i="1"/>
  <c r="L2790" i="1"/>
  <c r="AS148" i="9"/>
  <c r="AT1" i="9"/>
  <c r="AT1" i="5"/>
  <c r="L2791" i="1"/>
  <c r="A2792" i="1"/>
  <c r="AS147" i="5"/>
  <c r="AR146" i="9"/>
  <c r="AS146" i="5"/>
  <c r="AR151" i="9"/>
  <c r="AR149" i="9"/>
  <c r="AS148" i="5"/>
  <c r="AR150" i="9"/>
  <c r="AS149" i="5"/>
  <c r="AR147" i="9"/>
  <c r="A2793" i="1"/>
  <c r="L2792" i="1"/>
  <c r="AT148" i="9"/>
  <c r="AU1" i="9"/>
  <c r="AU1" i="5"/>
  <c r="AS150" i="9"/>
  <c r="AT149" i="5"/>
  <c r="AS151" i="9"/>
  <c r="AS149" i="9"/>
  <c r="AT148" i="5"/>
  <c r="AS146" i="9"/>
  <c r="AT146" i="5"/>
  <c r="AT147" i="5"/>
  <c r="AS147" i="9"/>
  <c r="AV1" i="9"/>
  <c r="AV1" i="5"/>
  <c r="AU148" i="9"/>
  <c r="AT149" i="9"/>
  <c r="AU148" i="5"/>
  <c r="AT150" i="9"/>
  <c r="AU149" i="5"/>
  <c r="AT146" i="9"/>
  <c r="AU146" i="5"/>
  <c r="AT147" i="9"/>
  <c r="AT151" i="9"/>
  <c r="AU147" i="5"/>
  <c r="L2793" i="1"/>
  <c r="A2794" i="1"/>
  <c r="AU151" i="9"/>
  <c r="AU147" i="9"/>
  <c r="AU150" i="9"/>
  <c r="AV149" i="5"/>
  <c r="AV147" i="5"/>
  <c r="AU146" i="9"/>
  <c r="AV146" i="5"/>
  <c r="AU149" i="9"/>
  <c r="AV148" i="5"/>
  <c r="A2795" i="1"/>
  <c r="L2794" i="1"/>
  <c r="AW1" i="9"/>
  <c r="AW1" i="5"/>
  <c r="AV148" i="9"/>
  <c r="AW148" i="9"/>
  <c r="AX1" i="9"/>
  <c r="AX1" i="5"/>
  <c r="AW147" i="5"/>
  <c r="AV146" i="9"/>
  <c r="AW146" i="5"/>
  <c r="AV147" i="9"/>
  <c r="AV149" i="9"/>
  <c r="AW148" i="5"/>
  <c r="AV150" i="9"/>
  <c r="AW149" i="5"/>
  <c r="AV151" i="9"/>
  <c r="L2795" i="1"/>
  <c r="A2796" i="1"/>
  <c r="AY1" i="9"/>
  <c r="AY1" i="5"/>
  <c r="AX148" i="9"/>
  <c r="L2796" i="1"/>
  <c r="A2797" i="1"/>
  <c r="AW146" i="9"/>
  <c r="AX146" i="5"/>
  <c r="AW147" i="9"/>
  <c r="AW151" i="9"/>
  <c r="AW150" i="9"/>
  <c r="AX149" i="5"/>
  <c r="AW149" i="9"/>
  <c r="AX148" i="5"/>
  <c r="AX147" i="5"/>
  <c r="L2797" i="1"/>
  <c r="A2798" i="1"/>
  <c r="AX147" i="9"/>
  <c r="AX149" i="9"/>
  <c r="AY148" i="5"/>
  <c r="AX150" i="9"/>
  <c r="AY149" i="5"/>
  <c r="AX146" i="9"/>
  <c r="AY146" i="5"/>
  <c r="AX151" i="9"/>
  <c r="AY147" i="5"/>
  <c r="AZ1" i="9"/>
  <c r="AY148" i="9"/>
  <c r="AZ1" i="5"/>
  <c r="AY147" i="9"/>
  <c r="AY149" i="9"/>
  <c r="AZ148" i="5"/>
  <c r="AY151" i="9"/>
  <c r="AY146" i="9"/>
  <c r="AZ146" i="5"/>
  <c r="AY150" i="9"/>
  <c r="AZ149" i="5"/>
  <c r="AZ147" i="5"/>
  <c r="BA1" i="5"/>
  <c r="AZ148" i="9"/>
  <c r="L2798" i="1"/>
  <c r="A2799" i="1"/>
  <c r="AZ146" i="9"/>
  <c r="AZ150" i="9"/>
  <c r="BA149" i="5"/>
  <c r="BA147" i="5"/>
  <c r="AZ149" i="9"/>
  <c r="BA148" i="5"/>
  <c r="AZ147" i="9"/>
  <c r="BA147" i="9"/>
  <c r="AZ151" i="9"/>
  <c r="A2800" i="1"/>
  <c r="L2799" i="1"/>
  <c r="L2800" i="1"/>
  <c r="A2801" i="1"/>
  <c r="BA146" i="5"/>
  <c r="BA146" i="9"/>
  <c r="L2801" i="1"/>
  <c r="A2802" i="1"/>
  <c r="L2802" i="1"/>
  <c r="A2803" i="1"/>
  <c r="A2804" i="1"/>
  <c r="L2803" i="1"/>
  <c r="L2804" i="1"/>
  <c r="A2805" i="1"/>
  <c r="L2805" i="1"/>
  <c r="A2806" i="1"/>
  <c r="A2807" i="1"/>
  <c r="L2806" i="1"/>
  <c r="L2807" i="1"/>
  <c r="A2808" i="1"/>
  <c r="L2808" i="1"/>
  <c r="A2809" i="1"/>
  <c r="L2809" i="1"/>
  <c r="A2810" i="1"/>
  <c r="L2810" i="1"/>
  <c r="A2811" i="1"/>
  <c r="A2812" i="1"/>
  <c r="L2811" i="1"/>
  <c r="A2813" i="1"/>
  <c r="L2812" i="1"/>
  <c r="L2813" i="1"/>
  <c r="A2814" i="1"/>
  <c r="A2815" i="1"/>
  <c r="L2814" i="1"/>
  <c r="L2815" i="1"/>
  <c r="A2816" i="1"/>
  <c r="A2817" i="1"/>
  <c r="L2816" i="1"/>
  <c r="A2818" i="1"/>
  <c r="L2817" i="1"/>
  <c r="L2818" i="1"/>
  <c r="A2819" i="1"/>
  <c r="A2820" i="1"/>
  <c r="L2819" i="1"/>
  <c r="L2820" i="1"/>
  <c r="A2821" i="1"/>
  <c r="A2822" i="1"/>
  <c r="L2821" i="1"/>
  <c r="A2823" i="1"/>
  <c r="L2822" i="1"/>
  <c r="L2823" i="1"/>
  <c r="A2824" i="1"/>
  <c r="A2825" i="1"/>
  <c r="L2824" i="1"/>
  <c r="L2825" i="1"/>
  <c r="A2826" i="1"/>
  <c r="L2826" i="1"/>
  <c r="A2827" i="1"/>
  <c r="L2827" i="1"/>
  <c r="A2828" i="1"/>
  <c r="L2828" i="1"/>
  <c r="A2829" i="1"/>
  <c r="L2829" i="1"/>
  <c r="A2830" i="1"/>
  <c r="L2830" i="1"/>
  <c r="A2831" i="1"/>
  <c r="A2832" i="1"/>
  <c r="L2831" i="1"/>
  <c r="L2832" i="1"/>
  <c r="A2833" i="1"/>
  <c r="L2833" i="1"/>
  <c r="A2834" i="1"/>
  <c r="L2834" i="1"/>
  <c r="A2835" i="1"/>
  <c r="A2836" i="1"/>
  <c r="L2835" i="1"/>
  <c r="L2836" i="1"/>
  <c r="A2837" i="1"/>
  <c r="A2838" i="1"/>
  <c r="L2837" i="1"/>
  <c r="L2838" i="1"/>
  <c r="A2839" i="1"/>
  <c r="L2839" i="1"/>
  <c r="A2840" i="1"/>
  <c r="L2840" i="1"/>
  <c r="A2841" i="1"/>
  <c r="L2841" i="1"/>
  <c r="A2842" i="1"/>
  <c r="A2843" i="1"/>
  <c r="L2842" i="1"/>
  <c r="A2844" i="1"/>
  <c r="L2843" i="1"/>
  <c r="A2845" i="1"/>
  <c r="L2844" i="1"/>
  <c r="A2846" i="1"/>
  <c r="L2845" i="1"/>
  <c r="L2846" i="1"/>
  <c r="A2847" i="1"/>
  <c r="L2847" i="1"/>
  <c r="A2848" i="1"/>
  <c r="A2849" i="1"/>
  <c r="L2848" i="1"/>
  <c r="A2850" i="1"/>
  <c r="L2849" i="1"/>
  <c r="L2850" i="1"/>
  <c r="A2851" i="1"/>
  <c r="L2851" i="1"/>
  <c r="A2852" i="1"/>
  <c r="L2852" i="1"/>
  <c r="A2853" i="1"/>
  <c r="A2854" i="1"/>
  <c r="L2853" i="1"/>
  <c r="A2855" i="1"/>
  <c r="L2854" i="1"/>
  <c r="A2856" i="1"/>
  <c r="L2855" i="1"/>
  <c r="A2857" i="1"/>
  <c r="L2856" i="1"/>
  <c r="L2857" i="1"/>
  <c r="A2858" i="1"/>
  <c r="L2858" i="1"/>
  <c r="A2859" i="1"/>
  <c r="L2859" i="1"/>
  <c r="A2860" i="1"/>
  <c r="A2861" i="1"/>
  <c r="L2860" i="1"/>
  <c r="A2862" i="1"/>
  <c r="L2861" i="1"/>
  <c r="A2863" i="1"/>
  <c r="L2862" i="1"/>
  <c r="A2864" i="1"/>
  <c r="L2863" i="1"/>
  <c r="A2865" i="1"/>
  <c r="L2864" i="1"/>
  <c r="A2866" i="1"/>
  <c r="L2865" i="1"/>
  <c r="A2867" i="1"/>
  <c r="L2866" i="1"/>
  <c r="A2868" i="1"/>
  <c r="L2867" i="1"/>
  <c r="L2868" i="1"/>
  <c r="A2869" i="1"/>
  <c r="A2870" i="1"/>
  <c r="L2869" i="1"/>
  <c r="L2870" i="1"/>
  <c r="A2871" i="1"/>
  <c r="L2871" i="1"/>
  <c r="A2872" i="1"/>
  <c r="A2873" i="1"/>
  <c r="L2872" i="1"/>
  <c r="L2873" i="1"/>
  <c r="A2874" i="1"/>
  <c r="L2874" i="1"/>
  <c r="A2875" i="1"/>
  <c r="A2876" i="1"/>
  <c r="L2875" i="1"/>
  <c r="A2877" i="1"/>
  <c r="L2876" i="1"/>
  <c r="A2878" i="1"/>
  <c r="L2877" i="1"/>
  <c r="A2879" i="1"/>
  <c r="L2878" i="1"/>
  <c r="L2879" i="1"/>
  <c r="A2880" i="1"/>
  <c r="L2880" i="1"/>
  <c r="A2881" i="1"/>
  <c r="L2881" i="1"/>
  <c r="A2882" i="1"/>
  <c r="L2882" i="1"/>
  <c r="A2883" i="1"/>
  <c r="A2884" i="1"/>
  <c r="L2883" i="1"/>
  <c r="L2884" i="1"/>
  <c r="A2885" i="1"/>
  <c r="A2886" i="1"/>
  <c r="L2885" i="1"/>
  <c r="L2886" i="1"/>
  <c r="A2887" i="1"/>
  <c r="L2887" i="1"/>
  <c r="A2888" i="1"/>
  <c r="A2889" i="1"/>
  <c r="L2888" i="1"/>
  <c r="A2890" i="1"/>
  <c r="L2889" i="1"/>
  <c r="A2891" i="1"/>
  <c r="L2890" i="1"/>
  <c r="A2892" i="1"/>
  <c r="L2891" i="1"/>
  <c r="A2893" i="1"/>
  <c r="L2892" i="1"/>
  <c r="A2894" i="1"/>
  <c r="L2893" i="1"/>
  <c r="A2895" i="1"/>
  <c r="L2894" i="1"/>
  <c r="A2896" i="1"/>
  <c r="L2895" i="1"/>
  <c r="L2896" i="1"/>
  <c r="A2897" i="1"/>
  <c r="L2897" i="1"/>
  <c r="A2898" i="1"/>
  <c r="L2898" i="1"/>
  <c r="A2899" i="1"/>
  <c r="A2900" i="1"/>
  <c r="L2899" i="1"/>
  <c r="L2900" i="1"/>
  <c r="A2901" i="1"/>
  <c r="L2901" i="1"/>
  <c r="A2902" i="1"/>
  <c r="L2902" i="1"/>
  <c r="A2903" i="1"/>
  <c r="L2903" i="1"/>
  <c r="A2904" i="1"/>
  <c r="L2904" i="1"/>
  <c r="A2905" i="1"/>
  <c r="L2905" i="1"/>
  <c r="A2906" i="1"/>
  <c r="L2906" i="1"/>
  <c r="A2907" i="1"/>
  <c r="L2907" i="1"/>
  <c r="A2908" i="1"/>
  <c r="A2909" i="1"/>
  <c r="L2908" i="1"/>
  <c r="L2909" i="1"/>
  <c r="A2910" i="1"/>
  <c r="L2910" i="1"/>
  <c r="A2911" i="1"/>
  <c r="L2911" i="1"/>
  <c r="A2912" i="1"/>
  <c r="L2912" i="1"/>
  <c r="A2913" i="1"/>
  <c r="A2914" i="1"/>
  <c r="L2913" i="1"/>
  <c r="L2914" i="1"/>
  <c r="A2915" i="1"/>
  <c r="A2916" i="1"/>
  <c r="L2915" i="1"/>
  <c r="A2917" i="1"/>
  <c r="L2916" i="1"/>
  <c r="L2917" i="1"/>
  <c r="A2918" i="1"/>
  <c r="L2918" i="1"/>
  <c r="A2919" i="1"/>
  <c r="A2920" i="1"/>
  <c r="L2919" i="1"/>
  <c r="A2921" i="1"/>
  <c r="L2920" i="1"/>
  <c r="A2922" i="1"/>
  <c r="L2921" i="1"/>
  <c r="L2922" i="1"/>
  <c r="A2923" i="1"/>
  <c r="L2923" i="1"/>
  <c r="A2924" i="1"/>
  <c r="A2925" i="1"/>
  <c r="L2924" i="1"/>
  <c r="L2925" i="1"/>
  <c r="A2926" i="1"/>
  <c r="L2926" i="1"/>
  <c r="A2927" i="1"/>
  <c r="L2927" i="1"/>
  <c r="A2928" i="1"/>
  <c r="A2929" i="1"/>
  <c r="L2928" i="1"/>
  <c r="A2930" i="1"/>
  <c r="L2929" i="1"/>
  <c r="A2931" i="1"/>
  <c r="L2930" i="1"/>
  <c r="L2931" i="1"/>
  <c r="A2932" i="1"/>
  <c r="L2932" i="1"/>
  <c r="A2933" i="1"/>
  <c r="A2934" i="1"/>
  <c r="L2933" i="1"/>
  <c r="A2935" i="1"/>
  <c r="L2934" i="1"/>
  <c r="L2935" i="1"/>
  <c r="A2936" i="1"/>
  <c r="A2937" i="1"/>
  <c r="L2936" i="1"/>
  <c r="L2937" i="1"/>
  <c r="A2938" i="1"/>
  <c r="L2938" i="1"/>
  <c r="A2939" i="1"/>
  <c r="L2939" i="1"/>
  <c r="A2940" i="1"/>
  <c r="L2940" i="1"/>
  <c r="A2941" i="1"/>
  <c r="L2941" i="1"/>
  <c r="A2942" i="1"/>
  <c r="L2942" i="1"/>
  <c r="A2943" i="1"/>
  <c r="L2943" i="1"/>
  <c r="A2944" i="1"/>
  <c r="L2944" i="1"/>
  <c r="A2945" i="1"/>
  <c r="L2945" i="1"/>
  <c r="A2946" i="1"/>
  <c r="A2947" i="1"/>
  <c r="L2946" i="1"/>
  <c r="L2947" i="1"/>
  <c r="A2948" i="1"/>
  <c r="A2949" i="1"/>
  <c r="L2948" i="1"/>
  <c r="A2950" i="1"/>
  <c r="L2949" i="1"/>
  <c r="A2951" i="1"/>
  <c r="L2950" i="1"/>
  <c r="A2952" i="1"/>
  <c r="L2951" i="1"/>
  <c r="L2952" i="1"/>
  <c r="A2953" i="1"/>
  <c r="A2954" i="1"/>
  <c r="L2953" i="1"/>
  <c r="A2955" i="1"/>
  <c r="L2954" i="1"/>
  <c r="A2956" i="1"/>
  <c r="L2955" i="1"/>
  <c r="A2957" i="1"/>
  <c r="L2956" i="1"/>
  <c r="L2957" i="1"/>
  <c r="A2958" i="1"/>
  <c r="A2959" i="1"/>
  <c r="L2958" i="1"/>
  <c r="L2959" i="1"/>
  <c r="A2960" i="1"/>
  <c r="A2961" i="1"/>
  <c r="L2960" i="1"/>
  <c r="A2962" i="1"/>
  <c r="L2961" i="1"/>
  <c r="A2963" i="1"/>
  <c r="L2962" i="1"/>
  <c r="A2964" i="1"/>
  <c r="L2963" i="1"/>
  <c r="A2965" i="1"/>
  <c r="L2964" i="1"/>
  <c r="A2966" i="1"/>
  <c r="L2965" i="1"/>
  <c r="A2967" i="1"/>
  <c r="L2966" i="1"/>
  <c r="L2967" i="1"/>
  <c r="A2968" i="1"/>
  <c r="A2969" i="1"/>
  <c r="L2968" i="1"/>
  <c r="A2970" i="1"/>
  <c r="L2969" i="1"/>
  <c r="L2970" i="1"/>
  <c r="A2971" i="1"/>
  <c r="A2972" i="1"/>
  <c r="L2971" i="1"/>
  <c r="L2972" i="1"/>
  <c r="A2973" i="1"/>
  <c r="A2974" i="1"/>
  <c r="L2973" i="1"/>
  <c r="L2974" i="1"/>
  <c r="A2975" i="1"/>
  <c r="A2976" i="1"/>
  <c r="L2975" i="1"/>
  <c r="A2977" i="1"/>
  <c r="L2976" i="1"/>
  <c r="A2978" i="1"/>
  <c r="L2977" i="1"/>
  <c r="L2978" i="1"/>
  <c r="A2979" i="1"/>
  <c r="A2980" i="1"/>
  <c r="L2979" i="1"/>
  <c r="L2980" i="1"/>
  <c r="A2981" i="1"/>
  <c r="L2981" i="1"/>
  <c r="A2982" i="1"/>
  <c r="L2982" i="1"/>
  <c r="A2983" i="1"/>
  <c r="L2983" i="1"/>
  <c r="A2984" i="1"/>
  <c r="A2985" i="1"/>
  <c r="L2984" i="1"/>
  <c r="A2986" i="1"/>
  <c r="L2985" i="1"/>
  <c r="L2986" i="1"/>
  <c r="A2987" i="1"/>
  <c r="L2987" i="1"/>
  <c r="A2988" i="1"/>
  <c r="A2989" i="1"/>
  <c r="L2988" i="1"/>
  <c r="L2989" i="1"/>
  <c r="A2990" i="1"/>
  <c r="A2991" i="1"/>
  <c r="L2990" i="1"/>
  <c r="L2991" i="1"/>
  <c r="A2992" i="1"/>
  <c r="L2992" i="1"/>
  <c r="A2993" i="1"/>
  <c r="A2994" i="1"/>
  <c r="L2993" i="1"/>
  <c r="A2995" i="1"/>
  <c r="L2994" i="1"/>
  <c r="A2996" i="1"/>
  <c r="L2995" i="1"/>
  <c r="L2996" i="1"/>
  <c r="A2997" i="1"/>
  <c r="A2998" i="1"/>
  <c r="L2997" i="1"/>
  <c r="A2999" i="1"/>
  <c r="L2998" i="1"/>
  <c r="A3000" i="1"/>
  <c r="L2999" i="1"/>
  <c r="A3001" i="1"/>
  <c r="L3000" i="1"/>
  <c r="L3001" i="1"/>
  <c r="A3002" i="1"/>
  <c r="L3002" i="1"/>
  <c r="A3003" i="1"/>
  <c r="L3003" i="1"/>
  <c r="A3004" i="1"/>
  <c r="L3004" i="1"/>
  <c r="A3005" i="1"/>
  <c r="L3005" i="1"/>
  <c r="A3006" i="1"/>
  <c r="A3007" i="1"/>
  <c r="L3006" i="1"/>
  <c r="A3008" i="1"/>
  <c r="L3007" i="1"/>
  <c r="L3008" i="1"/>
  <c r="A3009" i="1"/>
  <c r="A3010" i="1"/>
  <c r="L3009" i="1"/>
  <c r="L3010" i="1"/>
  <c r="A3011" i="1"/>
  <c r="A3012" i="1"/>
  <c r="L3011" i="1"/>
  <c r="A3013" i="1"/>
  <c r="L3012" i="1"/>
  <c r="A3014" i="1"/>
  <c r="L3013" i="1"/>
  <c r="A3015" i="1"/>
  <c r="L3014" i="1"/>
  <c r="A3016" i="1"/>
  <c r="L3015" i="1"/>
  <c r="A3017" i="1"/>
  <c r="L3016" i="1"/>
  <c r="A3018" i="1"/>
  <c r="L3017" i="1"/>
  <c r="L3018" i="1"/>
  <c r="A3019" i="1"/>
  <c r="L3019" i="1"/>
  <c r="A3020" i="1"/>
  <c r="L3020" i="1"/>
  <c r="A3021" i="1"/>
  <c r="A3022" i="1"/>
  <c r="L3021" i="1"/>
  <c r="A3023" i="1"/>
  <c r="L3022" i="1"/>
  <c r="A3024" i="1"/>
  <c r="L3023" i="1"/>
  <c r="L3024" i="1"/>
  <c r="A3025" i="1"/>
  <c r="A3026" i="1"/>
  <c r="L3025" i="1"/>
  <c r="A3027" i="1"/>
  <c r="L3026" i="1"/>
  <c r="L3027" i="1"/>
  <c r="A3028" i="1"/>
  <c r="A3029" i="1"/>
  <c r="A3030" i="1"/>
  <c r="L3028" i="1"/>
  <c r="L3029" i="1"/>
  <c r="A3031" i="1"/>
  <c r="A3032" i="1"/>
  <c r="L3030" i="1"/>
  <c r="L3031" i="1"/>
  <c r="A3033" i="1"/>
  <c r="A3034" i="1"/>
  <c r="L3032" i="1"/>
  <c r="L3033" i="1"/>
  <c r="L3034" i="1"/>
  <c r="L3035" i="1"/>
  <c r="A3037" i="1"/>
  <c r="L3036" i="1"/>
  <c r="L3037" i="1"/>
  <c r="A3038" i="1"/>
  <c r="A3039" i="1"/>
  <c r="L3038" i="1"/>
  <c r="L3039" i="1"/>
  <c r="A3040" i="1"/>
  <c r="A3041" i="1"/>
  <c r="L3040" i="1"/>
  <c r="L3041" i="1"/>
  <c r="A3042" i="1"/>
  <c r="L3042" i="1"/>
  <c r="L3043" i="1"/>
  <c r="A3044" i="1"/>
  <c r="L3044" i="1"/>
  <c r="L3046" i="1"/>
  <c r="L3045" i="1"/>
  <c r="G145" i="8" l="1"/>
  <c r="H144" i="8"/>
  <c r="G151" i="8"/>
  <c r="D151" i="8"/>
  <c r="C9" i="11" s="1"/>
  <c r="E144" i="8"/>
  <c r="A3052" i="1"/>
  <c r="L3051" i="1"/>
  <c r="G152" i="8"/>
  <c r="K145" i="8"/>
  <c r="K153" i="8" s="1"/>
  <c r="C149" i="8"/>
  <c r="D145" i="8"/>
  <c r="E149" i="8"/>
  <c r="I8" i="11" s="1"/>
  <c r="H145" i="8"/>
  <c r="H153" i="8" s="1"/>
  <c r="C145" i="8"/>
  <c r="I145" i="8"/>
  <c r="I153" i="8" s="1"/>
  <c r="C147" i="8"/>
  <c r="K144" i="8"/>
  <c r="D144" i="8"/>
  <c r="D148" i="8"/>
  <c r="E7" i="11" s="1"/>
  <c r="E151" i="8"/>
  <c r="I9" i="11" s="1"/>
  <c r="C150" i="8"/>
  <c r="F144" i="8"/>
  <c r="J144" i="8"/>
  <c r="G144" i="8"/>
  <c r="G153" i="8" s="1"/>
  <c r="D152" i="8"/>
  <c r="E9" i="11" s="1"/>
  <c r="D147" i="8"/>
  <c r="C7" i="11" s="1"/>
  <c r="E150" i="8"/>
  <c r="K8" i="11" s="1"/>
  <c r="J145" i="8"/>
  <c r="J153" i="8" s="1"/>
  <c r="D150" i="8"/>
  <c r="E8" i="11" s="1"/>
  <c r="I144" i="8"/>
  <c r="F152" i="8"/>
  <c r="Q9" i="11" s="1"/>
  <c r="G150" i="8"/>
  <c r="G147" i="8"/>
  <c r="F147" i="8"/>
  <c r="O7" i="11" s="1"/>
  <c r="E145" i="8"/>
  <c r="E153" i="8" s="1"/>
  <c r="E148" i="8"/>
  <c r="K7" i="11" s="1"/>
  <c r="F148" i="8"/>
  <c r="Q7" i="11" s="1"/>
  <c r="C148" i="8"/>
  <c r="C151" i="8"/>
  <c r="F151" i="8"/>
  <c r="O9" i="11" s="1"/>
  <c r="F149" i="8"/>
  <c r="O8" i="11" s="1"/>
  <c r="F145" i="8"/>
  <c r="G149" i="8"/>
  <c r="G148" i="8"/>
  <c r="D149" i="8"/>
  <c r="C8" i="11" s="1"/>
  <c r="E152" i="8"/>
  <c r="K9" i="11" s="1"/>
  <c r="E147" i="8"/>
  <c r="I7" i="11" s="1"/>
  <c r="C152" i="8"/>
  <c r="C144" i="8"/>
  <c r="C153" i="8" s="1"/>
  <c r="F150" i="8"/>
  <c r="Q8" i="11" s="1"/>
  <c r="F153" i="8" l="1"/>
  <c r="D153" i="8"/>
  <c r="L3052" i="1"/>
  <c r="E10" i="11"/>
  <c r="E21" i="11" s="1"/>
  <c r="Q10" i="11"/>
  <c r="Q21" i="11" s="1"/>
  <c r="K10" i="11"/>
  <c r="K21" i="11" s="1"/>
  <c r="A3054" i="1" l="1"/>
  <c r="L3053" i="1"/>
  <c r="L3054" i="1" l="1"/>
  <c r="A3056" i="1" l="1"/>
  <c r="L3055" i="1"/>
  <c r="L3056" i="1" l="1"/>
  <c r="A3058" i="1" l="1"/>
  <c r="L3057" i="1"/>
  <c r="L3058" i="1" l="1"/>
  <c r="A3060" i="1" l="1"/>
  <c r="L3059" i="1"/>
  <c r="L3060" i="1" l="1"/>
  <c r="A3061" i="1"/>
  <c r="L3061" i="1" l="1"/>
  <c r="A3063" i="1" l="1"/>
  <c r="L3062" i="1"/>
  <c r="L3063" i="1" l="1"/>
  <c r="A3064" i="1"/>
  <c r="A3065" i="1" l="1"/>
  <c r="L3065" i="1" s="1"/>
  <c r="L30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1"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9"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1"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3"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7"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K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1"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3"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3"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8"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3"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3" authorId="2" shapeId="0" xr:uid="{00000000-0006-0000-0400-00000E000000}">
      <text>
        <r>
          <rPr>
            <b/>
            <sz val="9"/>
            <color indexed="81"/>
            <rFont val="Tahoma"/>
            <charset val="1"/>
          </rPr>
          <t>MColosso:</t>
        </r>
        <r>
          <rPr>
            <sz val="9"/>
            <color indexed="81"/>
            <rFont val="Tahoma"/>
            <charset val="1"/>
          </rPr>
          <t xml:space="preserve">
Hasta enero 2020</t>
        </r>
      </text>
    </comment>
    <comment ref="D140" authorId="12" shapeId="0" xr:uid="{00000000-0006-0000-0400-00000F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1"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1"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2"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<sst xmlns="http://schemas.openxmlformats.org/spreadsheetml/2006/main" count="20008" uniqueCount="1596">
  <si>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</si>
  <si>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</si>
  <si>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</si>
  <si>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</si>
  <si>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</si>
  <si>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</si>
  <si>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</si>
  <si>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</si>
  <si>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</si>
  <si>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</si>
  <si>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</si>
  <si>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</si>
  <si>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</si>
  <si>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</si>
  <si>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</si>
  <si>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</si>
  <si>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</si>
  <si>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</si>
  <si>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</si>
  <si>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</si>
  <si>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</si>
  <si>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</si>
  <si>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</si>
  <si>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</si>
  <si>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</si>
  <si>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</si>
  <si>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</si>
  <si>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</si>
  <si>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</si>
  <si>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</si>
  <si>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</si>
  <si>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</si>
  <si>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</si>
  <si>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</si>
  <si>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</si>
  <si>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</si>
  <si>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</si>
  <si>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</si>
  <si>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</si>
  <si>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</si>
  <si>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</si>
  <si>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</si>
  <si>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</si>
  <si>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</si>
  <si>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</si>
  <si>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</si>
  <si>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</si>
  <si>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</si>
  <si>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</si>
  <si>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</si>
  <si>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</si>
  <si>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</si>
  <si>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</si>
  <si>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</si>
  <si>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</si>
  <si>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</si>
  <si>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</si>
  <si>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</si>
  <si>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</si>
  <si>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</si>
  <si>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</si>
  <si>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</si>
  <si>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</si>
  <si>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</si>
  <si>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</si>
  <si>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</si>
  <si>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</si>
  <si>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</si>
  <si>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</si>
  <si>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</si>
  <si>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</si>
  <si>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</si>
  <si>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</si>
  <si>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</si>
  <si>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</si>
  <si>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</si>
  <si>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</si>
  <si>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</si>
  <si>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</si>
  <si>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</si>
  <si>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</si>
  <si>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</si>
  <si>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</si>
  <si>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</si>
  <si>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</si>
  <si>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</si>
  <si>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</si>
  <si>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</si>
  <si>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</si>
  <si>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</si>
  <si>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</si>
  <si>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</si>
  <si>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</si>
  <si>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</si>
  <si>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</si>
  <si>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</si>
  <si>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</si>
  <si>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</si>
  <si>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</si>
  <si>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</si>
  <si>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</si>
  <si>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</si>
  <si>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</si>
  <si>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</si>
  <si>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</si>
  <si>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</si>
  <si>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</si>
  <si>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</si>
  <si>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</si>
  <si>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</si>
  <si>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</si>
  <si>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</si>
  <si>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</si>
  <si>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</si>
  <si>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</si>
  <si>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</si>
  <si>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</si>
  <si>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</si>
  <si>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</si>
  <si>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</si>
  <si>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</si>
  <si>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</si>
  <si>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</si>
  <si>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</si>
  <si>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</si>
  <si>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</si>
  <si>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</si>
  <si>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</si>
  <si>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</si>
  <si>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</si>
  <si>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</si>
  <si>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</si>
  <si>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</si>
  <si>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</si>
  <si>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</si>
  <si>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</si>
  <si>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</si>
  <si>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</si>
  <si>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</si>
  <si>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</si>
  <si>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</si>
  <si>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</si>
  <si>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</si>
  <si>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</si>
  <si>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</si>
  <si>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</si>
  <si>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</si>
  <si>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</si>
  <si>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</si>
  <si>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</si>
  <si>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</si>
  <si>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</si>
  <si>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</si>
  <si>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</si>
  <si>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</si>
  <si>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</si>
  <si>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</si>
  <si>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</si>
  <si>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</si>
  <si>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</si>
  <si>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</si>
  <si>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</si>
  <si>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</si>
  <si>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</si>
  <si>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</si>
  <si>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</si>
  <si>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</si>
  <si>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</si>
  <si>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</si>
  <si>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</si>
  <si>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</si>
  <si>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</si>
  <si>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</si>
  <si>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</si>
  <si>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</si>
  <si>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</si>
  <si>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</si>
  <si>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</si>
  <si>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</si>
  <si>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</si>
  <si>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</si>
  <si>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</si>
  <si>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</si>
  <si>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</si>
  <si>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</si>
  <si>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</si>
  <si>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</si>
  <si>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</si>
  <si>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</si>
  <si>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</si>
  <si>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</si>
  <si>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</si>
  <si>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</si>
  <si>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</si>
  <si>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</si>
  <si>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</si>
  <si>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</si>
  <si>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</si>
  <si>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</si>
  <si>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</si>
  <si>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</si>
  <si>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</si>
  <si>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</si>
  <si>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</si>
  <si>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</si>
  <si>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</si>
  <si>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</si>
  <si>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</si>
  <si>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</si>
  <si>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</si>
  <si>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</si>
  <si>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</si>
  <si>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</si>
  <si>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</si>
  <si>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</si>
  <si>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</si>
  <si>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</si>
  <si>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</si>
  <si>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</si>
  <si>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</si>
  <si>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</si>
  <si>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</si>
  <si>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</si>
  <si>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</si>
  <si>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</si>
  <si>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</si>
  <si>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</si>
  <si>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</si>
  <si>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</si>
  <si>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</si>
  <si>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</si>
  <si>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</si>
  <si>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</si>
  <si>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</si>
  <si>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</si>
  <si>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</si>
  <si>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</si>
  <si>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</si>
  <si>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</si>
  <si>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</si>
  <si>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</si>
  <si>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</si>
  <si>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</si>
  <si>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</si>
  <si>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</si>
  <si>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</si>
  <si>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</si>
  <si>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</si>
  <si>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</si>
  <si>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</si>
  <si>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</si>
  <si>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</si>
  <si>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</si>
  <si>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</si>
  <si>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</si>
  <si>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</si>
  <si>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</si>
  <si>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</si>
  <si>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</si>
  <si>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</si>
  <si>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</si>
  <si>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</si>
  <si>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</si>
  <si>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</si>
  <si>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</si>
  <si>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</si>
  <si>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</si>
  <si>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</si>
  <si>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</si>
  <si>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</si>
  <si>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</si>
  <si>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</si>
  <si>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</si>
  <si>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</si>
  <si>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</si>
  <si>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</si>
  <si>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</si>
  <si>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</si>
  <si>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</si>
  <si>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</si>
  <si>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</si>
  <si>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</si>
  <si>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</si>
  <si>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</si>
  <si>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</si>
  <si>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</si>
  <si>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</si>
  <si>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</si>
  <si>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</si>
  <si>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</si>
  <si>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</si>
  <si>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</si>
  <si>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</si>
  <si>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</si>
  <si>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</si>
  <si>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</si>
  <si>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</si>
  <si>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</si>
  <si>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</si>
  <si>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</si>
  <si>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</si>
  <si>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</si>
  <si>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</si>
  <si>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</si>
  <si>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</si>
  <si>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</si>
  <si>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</si>
  <si>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</si>
  <si>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</si>
  <si>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</si>
  <si>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</si>
  <si>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</si>
  <si>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</si>
  <si>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</si>
  <si>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</si>
  <si>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</si>
  <si>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</si>
  <si>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</si>
  <si>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</si>
  <si>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</si>
  <si>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</si>
  <si>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</si>
  <si>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</si>
  <si>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</si>
  <si>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</si>
  <si>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</si>
  <si>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</si>
  <si>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</si>
  <si>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</si>
  <si>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</si>
  <si>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</si>
  <si>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</si>
  <si>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</si>
  <si>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</si>
  <si>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</si>
  <si>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</si>
  <si>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</si>
  <si>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</si>
  <si>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</si>
  <si>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</si>
  <si>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</si>
  <si>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</si>
  <si>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</si>
  <si>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</si>
  <si>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</si>
  <si>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</si>
  <si>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</si>
  <si>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</si>
  <si>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</si>
  <si>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</si>
  <si>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</si>
  <si>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</si>
  <si>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</si>
  <si>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</si>
  <si>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</si>
  <si>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</si>
  <si>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</si>
  <si>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</si>
  <si>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</si>
  <si>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</si>
  <si>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</si>
  <si>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</si>
  <si>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</si>
  <si>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</si>
  <si>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</si>
  <si>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</si>
  <si>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</si>
  <si>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</si>
  <si>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</si>
  <si>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</si>
  <si>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</si>
  <si>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</si>
  <si>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</si>
  <si>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</si>
  <si>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</si>
  <si>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</si>
  <si>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</si>
  <si>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</si>
  <si>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</si>
  <si>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</si>
  <si>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</si>
  <si>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</si>
  <si>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</si>
  <si>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</si>
  <si>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</si>
  <si>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</si>
  <si>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</si>
  <si>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</si>
  <si>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</si>
  <si>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</si>
  <si>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</si>
  <si>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</si>
  <si>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</si>
  <si>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</si>
  <si>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</si>
  <si>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</si>
  <si>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</si>
  <si>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</si>
  <si>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</si>
  <si>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</si>
  <si>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</si>
  <si>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</si>
  <si>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</si>
  <si>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</si>
  <si>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</si>
  <si>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</si>
  <si>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</si>
  <si>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</si>
  <si>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</si>
  <si>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</si>
  <si>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</si>
  <si>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</si>
  <si>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</si>
  <si>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</si>
  <si>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</si>
  <si>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</si>
  <si>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</si>
  <si>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</si>
  <si>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</si>
  <si>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</si>
  <si>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</si>
  <si>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</si>
  <si>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</si>
  <si>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</si>
  <si>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</si>
  <si>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</si>
  <si>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</si>
  <si>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</si>
  <si>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</si>
  <si>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</si>
  <si>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</si>
  <si>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</si>
  <si>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</si>
  <si>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</si>
  <si>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</si>
  <si>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</si>
  <si>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</si>
  <si>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</si>
  <si>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</si>
  <si>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</si>
  <si>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</si>
  <si>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</si>
  <si>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</si>
  <si>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</si>
  <si>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</si>
  <si>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</si>
  <si>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</si>
  <si>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</si>
  <si>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</si>
  <si>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</si>
  <si>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</si>
  <si>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</si>
  <si>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</si>
  <si>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</si>
  <si>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</si>
  <si>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</si>
  <si>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</si>
  <si>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</si>
  <si>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</si>
  <si>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</si>
  <si>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</si>
  <si>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</si>
  <si>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</si>
  <si>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</si>
  <si>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</si>
  <si>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</si>
  <si>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</si>
  <si>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</si>
  <si>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</si>
  <si>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</si>
  <si>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</si>
  <si>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</si>
  <si>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</si>
  <si>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</si>
  <si>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</si>
  <si>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</si>
  <si>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</si>
  <si>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</si>
  <si>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</si>
  <si>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</si>
  <si>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</si>
  <si>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</si>
  <si>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</si>
  <si>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</si>
  <si>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</si>
  <si>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</si>
  <si>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</si>
  <si>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</si>
  <si>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</si>
  <si>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</si>
  <si>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</si>
  <si>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</si>
  <si>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</si>
  <si>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</si>
  <si>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</si>
  <si>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</si>
  <si>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</si>
  <si>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</si>
  <si>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</si>
  <si>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</si>
  <si>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</si>
  <si>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</si>
  <si>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</si>
  <si>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</si>
  <si>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</si>
  <si>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</si>
  <si>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</si>
  <si>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</si>
  <si>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</si>
  <si>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</si>
  <si>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</si>
  <si>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</si>
  <si>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</si>
  <si>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</si>
  <si>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</si>
  <si>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</si>
  <si>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</si>
  <si>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</si>
  <si>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</si>
  <si>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</si>
  <si>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</si>
  <si>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</si>
  <si>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</si>
  <si>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</si>
  <si>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</si>
  <si>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</si>
  <si>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</si>
  <si>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</si>
  <si>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</si>
  <si>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</si>
  <si>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</si>
  <si>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</si>
  <si>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</si>
  <si>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</si>
  <si>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</si>
  <si>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</si>
  <si>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</si>
  <si>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</si>
  <si>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</si>
  <si>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</si>
  <si>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</si>
  <si>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</si>
  <si>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</si>
  <si>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</si>
  <si>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</si>
  <si>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</si>
  <si>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</si>
  <si>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</si>
  <si>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</si>
  <si>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</si>
  <si>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</si>
  <si>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</si>
  <si>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</si>
  <si>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</si>
  <si>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</si>
  <si>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</si>
  <si>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</si>
  <si>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</si>
  <si>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</si>
  <si>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</si>
  <si>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</si>
  <si>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</si>
  <si>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</si>
  <si>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</si>
  <si>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</si>
  <si>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</si>
  <si>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</si>
  <si>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</si>
  <si>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</si>
  <si>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</si>
  <si>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</si>
  <si>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</si>
  <si>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</si>
  <si>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</si>
  <si>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</si>
  <si>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</si>
  <si>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</si>
  <si>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</si>
  <si>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</si>
  <si>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</si>
  <si>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</si>
  <si>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</si>
  <si>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</si>
  <si>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</si>
  <si>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</si>
  <si>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</si>
  <si>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</si>
  <si>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</si>
  <si>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</si>
  <si>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</si>
  <si>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</si>
  <si>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</si>
  <si>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</si>
  <si>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</si>
  <si>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</si>
  <si>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</si>
  <si>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</si>
  <si>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</si>
  <si>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</si>
  <si>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</si>
  <si>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</si>
  <si>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</si>
  <si>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</si>
  <si>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</si>
  <si>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</si>
  <si>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</si>
  <si>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</si>
  <si>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</si>
  <si>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</si>
  <si>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</si>
  <si>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</si>
  <si>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</si>
  <si>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</si>
  <si>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</si>
  <si>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</si>
  <si>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</si>
  <si>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</si>
  <si>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</si>
  <si>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</si>
  <si>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</si>
  <si>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</si>
  <si>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</si>
  <si>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</si>
  <si>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</si>
  <si>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</si>
  <si>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</si>
  <si>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</si>
  <si>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</si>
  <si>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</si>
  <si>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</si>
  <si>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</si>
  <si>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</si>
  <si>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</si>
  <si>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</si>
  <si>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</si>
  <si>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</si>
  <si>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</si>
  <si>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</si>
  <si>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</si>
  <si>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</si>
  <si>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</si>
  <si>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</si>
  <si>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</si>
  <si>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</si>
  <si>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</si>
  <si>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</si>
  <si>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</si>
  <si>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</si>
  <si>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</si>
  <si>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</si>
  <si>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</si>
  <si>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</si>
  <si>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</si>
  <si>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</si>
  <si>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</si>
  <si>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</si>
  <si>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</si>
  <si>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</si>
  <si>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</si>
  <si>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</si>
  <si>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</si>
  <si>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</si>
  <si>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</si>
  <si>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</si>
  <si>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</si>
  <si>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</si>
  <si>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</si>
  <si>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</si>
  <si>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</si>
  <si>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</si>
  <si>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</si>
  <si>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</si>
  <si>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</si>
  <si>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</si>
  <si>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</si>
  <si>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</si>
  <si>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</si>
  <si>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</si>
  <si>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</si>
  <si>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</si>
  <si>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</si>
  <si>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</si>
  <si>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</si>
  <si>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</si>
  <si>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</si>
  <si>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</si>
  <si>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</si>
  <si>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</si>
  <si>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</si>
  <si>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</si>
  <si>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</si>
  <si>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</si>
  <si>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</si>
  <si>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</si>
  <si>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</si>
  <si>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</si>
  <si>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</si>
  <si>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</si>
  <si>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</si>
  <si>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</si>
  <si>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</si>
  <si>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</si>
  <si>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</si>
  <si>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</si>
  <si>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</si>
  <si>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</si>
  <si>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</si>
  <si>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</si>
  <si>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</si>
  <si>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</si>
  <si>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</si>
  <si>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</si>
  <si>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</si>
  <si>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</si>
  <si>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</si>
  <si>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</si>
  <si>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</si>
  <si>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</si>
  <si>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</si>
  <si>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</si>
  <si>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</si>
  <si>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</si>
  <si>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</si>
  <si>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</si>
  <si>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</si>
  <si>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</si>
  <si>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</si>
  <si>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</si>
  <si>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</si>
  <si>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</si>
  <si>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</si>
  <si>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</si>
  <si>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</si>
  <si>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</si>
  <si>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</si>
  <si>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</si>
  <si>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</si>
  <si>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</si>
  <si>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</si>
  <si>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</si>
  <si>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</si>
  <si>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</si>
  <si>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</si>
  <si>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</si>
  <si>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</si>
  <si>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</si>
  <si>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</si>
  <si>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</si>
  <si>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</si>
  <si>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</si>
  <si>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</si>
  <si>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</si>
  <si>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</si>
  <si>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</si>
  <si>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</si>
  <si>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</si>
  <si>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</si>
  <si>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</si>
  <si>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</si>
  <si>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</si>
  <si>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</si>
  <si>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</si>
  <si>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</si>
  <si>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</si>
  <si>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</si>
  <si>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</si>
  <si>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</si>
  <si>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</si>
  <si>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</si>
  <si>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</si>
  <si>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</si>
  <si>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</si>
  <si>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</si>
  <si>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</si>
  <si>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</si>
  <si>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</si>
  <si>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</si>
  <si>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</si>
  <si>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</si>
  <si>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</si>
  <si>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</si>
  <si>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</si>
  <si>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</si>
  <si>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</si>
  <si>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</si>
  <si>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</si>
  <si>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</si>
  <si>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</si>
  <si>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</si>
  <si>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</si>
  <si>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</si>
  <si>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</si>
  <si>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</si>
  <si>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</si>
  <si>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</si>
  <si>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</si>
  <si>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</si>
  <si>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</si>
  <si>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</si>
  <si>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</si>
  <si>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</si>
  <si>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</si>
  <si>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</si>
  <si>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</si>
  <si>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</si>
  <si>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</si>
  <si>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</si>
  <si>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</si>
  <si>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</si>
  <si>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</si>
  <si>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</si>
  <si>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</si>
  <si>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</si>
  <si>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</si>
  <si>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</si>
  <si>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</si>
  <si>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</si>
  <si>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</si>
  <si>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</si>
  <si>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</si>
  <si>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</si>
  <si>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</si>
  <si>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</si>
  <si>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</si>
  <si>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</si>
  <si>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</si>
  <si>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</si>
  <si>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</si>
  <si>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</si>
  <si>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</si>
  <si>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</si>
  <si>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</si>
  <si>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</si>
  <si>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</si>
  <si>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</si>
  <si>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</si>
  <si>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</si>
  <si>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</si>
  <si>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</si>
  <si>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</si>
  <si>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</si>
  <si>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</si>
  <si>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</si>
  <si>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</si>
  <si>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</si>
  <si>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</si>
  <si>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</si>
  <si>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</si>
  <si>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</si>
  <si>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</si>
  <si>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</si>
  <si>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</si>
  <si>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</si>
  <si>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</si>
  <si>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</si>
  <si>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</si>
  <si>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</si>
  <si>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</si>
  <si>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</si>
  <si>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</si>
  <si>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</si>
  <si>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</si>
  <si>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</si>
  <si>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</si>
  <si>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</si>
  <si>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</si>
  <si>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</si>
  <si>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</si>
  <si>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</si>
  <si>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</si>
  <si>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</si>
  <si>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</si>
  <si>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</si>
  <si>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</si>
  <si>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</si>
  <si>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</si>
  <si>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</si>
  <si>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</si>
  <si>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</si>
  <si>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</si>
  <si>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</si>
  <si>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</si>
  <si>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</si>
  <si>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</si>
  <si>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</si>
  <si>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</si>
  <si>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</si>
  <si>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</si>
  <si>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</si>
  <si>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</si>
  <si>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</si>
  <si>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</si>
  <si>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</si>
  <si>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</si>
  <si>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</si>
  <si>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</si>
  <si>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</si>
  <si>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</si>
  <si>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</si>
  <si>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</si>
  <si>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</si>
  <si>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</si>
  <si>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</si>
  <si>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</si>
  <si>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</si>
  <si>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</si>
  <si>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</si>
  <si>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</si>
  <si>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</si>
  <si>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</si>
  <si>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</si>
  <si>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</si>
  <si>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</si>
  <si>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</si>
  <si>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</si>
  <si>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</si>
  <si>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</si>
  <si>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</si>
  <si>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</si>
  <si>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</si>
  <si>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</si>
  <si>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</si>
  <si>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</si>
  <si>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</si>
  <si>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</si>
  <si>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</si>
  <si>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</si>
  <si>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</si>
  <si>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</si>
  <si>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</si>
  <si>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</si>
  <si>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</si>
  <si>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</si>
  <si>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</si>
  <si>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</si>
  <si>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</si>
  <si>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</si>
  <si>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</si>
  <si>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</si>
  <si>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</si>
  <si>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</si>
  <si>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</si>
  <si>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</si>
  <si>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</si>
  <si>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</si>
  <si>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</si>
  <si>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</si>
  <si>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</si>
  <si>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</si>
  <si>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</si>
  <si>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</si>
  <si>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</si>
  <si>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</si>
  <si>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</si>
  <si>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</si>
  <si>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</si>
  <si>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</si>
  <si>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</si>
  <si>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</si>
  <si>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</si>
  <si>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</si>
  <si>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</si>
  <si>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</si>
  <si>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</si>
  <si>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</si>
  <si>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</si>
  <si>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</si>
  <si>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</si>
  <si>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</si>
  <si>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</si>
  <si>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</si>
  <si>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</si>
  <si>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</si>
  <si>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</si>
  <si>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</si>
  <si>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</si>
  <si>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</si>
  <si>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</si>
  <si>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</si>
  <si>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</si>
  <si>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</si>
  <si>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</si>
  <si>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</si>
  <si>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</si>
  <si>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</si>
  <si>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</si>
  <si>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</si>
  <si>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</si>
  <si>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</si>
  <si>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</si>
  <si>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</si>
  <si>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</si>
  <si>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</si>
  <si>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</si>
  <si>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</si>
  <si>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</si>
  <si>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</si>
  <si>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</si>
  <si>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</si>
  <si>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</si>
  <si>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</si>
  <si>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</si>
  <si>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</si>
  <si>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</si>
  <si>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</si>
  <si>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</si>
  <si>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</si>
  <si>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</si>
  <si>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</si>
  <si>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</si>
  <si>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</si>
  <si>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</si>
  <si>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</si>
  <si>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</si>
  <si>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</si>
  <si>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</si>
  <si>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</si>
  <si>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</si>
  <si>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</si>
  <si>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</si>
  <si>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</si>
  <si>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</si>
  <si>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</si>
  <si>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</si>
  <si>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</si>
  <si>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</si>
  <si>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</si>
  <si>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</si>
  <si>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</si>
  <si>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</si>
  <si>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</si>
  <si>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</si>
  <si>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</si>
  <si>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</si>
  <si>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</si>
  <si>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</si>
  <si>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</si>
  <si>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</si>
  <si>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</si>
  <si>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</si>
  <si>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</si>
  <si>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</si>
  <si>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</si>
  <si>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</si>
  <si>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</si>
  <si>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</si>
  <si>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</si>
  <si>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</si>
  <si>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</si>
  <si>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</si>
  <si>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</si>
  <si>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</si>
  <si>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</si>
  <si>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</si>
  <si>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</si>
  <si>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</si>
  <si>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</si>
  <si>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</si>
  <si>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</si>
  <si>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</si>
  <si>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</si>
  <si>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</si>
  <si>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</si>
  <si>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</si>
  <si>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</si>
  <si>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</si>
  <si>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</si>
  <si>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</si>
  <si>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</si>
  <si>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</si>
  <si>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</si>
  <si>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</si>
  <si>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</si>
  <si>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</si>
  <si>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</si>
  <si>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</si>
  <si>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</si>
  <si>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</si>
  <si>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</si>
  <si>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</si>
  <si>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</si>
  <si>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</si>
  <si>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</si>
  <si>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</si>
  <si>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</si>
  <si>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</si>
  <si>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</si>
  <si>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</si>
  <si>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</si>
  <si>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</si>
  <si>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</si>
  <si>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</si>
  <si>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</si>
  <si>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</si>
  <si>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</si>
  <si>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</si>
  <si>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</si>
  <si>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</si>
  <si>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</si>
  <si>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</si>
  <si>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</si>
  <si>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</si>
  <si>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</si>
  <si>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</si>
  <si>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</si>
  <si>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</si>
  <si>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</si>
  <si>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</si>
  <si>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</si>
  <si>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</si>
  <si>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</si>
  <si>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</si>
  <si>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</si>
  <si>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</si>
  <si>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</si>
  <si>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</si>
  <si>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</si>
  <si>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</si>
  <si>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</si>
  <si>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</si>
  <si>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</si>
  <si>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</si>
  <si>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</si>
  <si>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</si>
  <si>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</si>
  <si>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</si>
  <si>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</si>
  <si>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</si>
  <si>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</si>
  <si>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</si>
  <si>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</si>
  <si>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</si>
  <si>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</si>
  <si>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</si>
  <si>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</si>
  <si>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</si>
  <si>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</si>
  <si>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</si>
  <si>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</si>
  <si>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</si>
  <si>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</si>
  <si>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</si>
  <si>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</si>
  <si>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</si>
  <si>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</si>
  <si>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</si>
  <si>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</si>
  <si>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</si>
  <si>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</si>
  <si>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</si>
  <si>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</si>
  <si>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</si>
  <si>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</si>
  <si>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</si>
  <si>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</si>
  <si>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</si>
  <si>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</si>
  <si>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</si>
  <si>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</si>
  <si>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</si>
  <si>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</si>
  <si>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</si>
  <si>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</si>
  <si>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</si>
  <si>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</si>
  <si>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</si>
  <si>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</si>
  <si>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</si>
  <si>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</si>
  <si>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</si>
  <si>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</si>
  <si>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</si>
  <si>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</si>
  <si>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</si>
  <si>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</si>
  <si>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</si>
  <si>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</si>
  <si>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</si>
  <si>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</si>
  <si>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</si>
  <si>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</si>
  <si>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</si>
  <si>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</si>
  <si>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</si>
  <si>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</si>
  <si>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</si>
  <si>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</si>
  <si>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</si>
  <si>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</si>
  <si>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</si>
  <si>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</si>
  <si>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</si>
  <si>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</si>
  <si>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</si>
  <si>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</si>
  <si>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</si>
  <si>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</si>
  <si>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</si>
  <si>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</si>
  <si>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</si>
  <si>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</si>
  <si>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</si>
  <si>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</si>
  <si>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</si>
  <si>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</si>
  <si>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</si>
  <si>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</si>
  <si>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</si>
  <si>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</si>
  <si>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</si>
  <si>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</si>
  <si>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</si>
  <si>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</si>
  <si>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</si>
  <si>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</si>
  <si>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</si>
  <si>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</si>
  <si>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</si>
  <si>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</si>
  <si>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</si>
  <si>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</si>
  <si>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</si>
  <si>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</si>
  <si>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</si>
  <si>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mes de Mayo 2020 (saldo a favor: Bs. 285.202,00)</t>
  </si>
  <si>
    <t>Cuota especial: Teléfono Vigilancia (saldo a favor: Bs. 235.202,00)</t>
  </si>
  <si>
    <t>0412-684.8327</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</si>
  <si>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</si>
  <si>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</si>
  <si>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</si>
  <si>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</si>
  <si>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</si>
  <si>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</si>
  <si>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</si>
  <si>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</si>
  <si>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</si>
  <si>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</si>
  <si>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</si>
  <si>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</si>
  <si>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</si>
  <si>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</si>
  <si>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</si>
  <si>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</si>
  <si>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</si>
  <si>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</si>
  <si>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</si>
  <si>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</si>
  <si>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</si>
  <si>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</si>
  <si>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</si>
  <si>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</si>
  <si>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</si>
  <si>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</si>
  <si>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</si>
  <si>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</si>
  <si>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</si>
  <si>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t>Familia Del Negro Palermo, Calle Guacara Nro. 88-45</t>
  </si>
  <si>
    <r>
      <rPr>
        <b/>
        <sz val="14"/>
        <color theme="1"/>
        <rFont val="Calibri"/>
        <family val="2"/>
        <scheme val="minor"/>
      </rPr>
      <t>Ely Saúl Rivero Gómez</t>
    </r>
    <r>
      <rPr>
        <b/>
        <sz val="11"/>
        <color theme="1"/>
        <rFont val="Calibri"/>
        <family val="2"/>
        <scheme val="minor"/>
      </rPr>
      <t>, Av. "Ñ" Nro. 145-25</t>
    </r>
  </si>
  <si>
    <t>Wilson Escamilla, Calle Güigue Nro. 89-89</t>
  </si>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</sst>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27">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885"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1" personId="{83E57F0F-77DB-46B2-9417-DD17A5D4CA1D}" id="{28900678-92FF-459B-AED8-6120B57FC98B}">
    <text>Marisol dice que es 89-93, y no 90</text>
  </threadedComment>
  <threadedComment ref="B72" personId="{83E57F0F-77DB-46B2-9417-DD17A5D4CA1D}" id="{4B9DED9D-F6E1-4C97-BA82-D0B62F52AF85}">
    <text>Marisol indica que el número de la casa es 89-110</text>
  </threadedComment>
  <threadedComment ref="Q109" personId="{83E57F0F-77DB-46B2-9417-DD17A5D4CA1D}" id="{81052E88-2125-463B-8443-D25839B4767D}">
    <text>Condonado por donación de pego y fondo anticorrosivo</text>
  </threadedComment>
  <threadedComment ref="Q111" personId="{83E57F0F-77DB-46B2-9417-DD17A5D4CA1D}" id="{429E367C-080F-4103-8262-A9E124D83CAB}">
    <text>Bs. 50.000 anticipo
Bs. 12.450 cancelados al Sr. Francisco
Bs. 17550 diferencia</text>
  </threadedComment>
  <threadedComment ref="U123" personId="{83E57F0F-77DB-46B2-9417-DD17A5D4CA1D}" id="{1779862F-85EA-48AC-8478-0DA31E0410E9}">
    <text>Donación de tubo estructural para reparación de la caseta de vitilancia: Enero a Diciembre/2018</text>
  </threadedComment>
  <threadedComment ref="AL12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K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1" dT="2020-05-14T18:33:46.63" personId="{9C042599-BB1B-4767-9133-4A877AA7D484}" id="{089D2621-C954-4392-AFC6-C5D45CFA29E4}">
    <text xml:space="preserve">Hasta Marzo 2020
</text>
  </threadedComment>
  <threadedComment ref="D63" dT="2020-05-14T18:34:14.15" personId="{9C042599-BB1B-4767-9133-4A877AA7D484}" id="{A9C02588-A342-48C1-92BC-F8EECBA0CF52}">
    <text xml:space="preserve">Hasta Febrero 2020
</text>
  </threadedComment>
  <threadedComment ref="C83" dT="2019-12-28T17:56:05.76" personId="{9C042599-BB1B-4767-9133-4A877AA7D484}" id="{51961700-5B93-4183-8AAE-35BD0D40006C}">
    <text xml:space="preserve">Anteriormente "Cuota completa"
</text>
  </threadedComment>
  <threadedComment ref="C88" dT="2019-12-28T17:58:13.10" personId="{9C042599-BB1B-4767-9133-4A877AA7D484}" id="{8BEAA087-D0E9-4908-8834-4786EFAACC57}">
    <text xml:space="preserve">Anteriormente "Cuota completa"
</text>
  </threadedComment>
  <threadedComment ref="D103" dT="2020-05-14T18:35:25.64" personId="{9C042599-BB1B-4767-9133-4A877AA7D484}" id="{2D58886B-ACED-4987-85DC-C2EC5C6D44FD}">
    <text xml:space="preserve">Hasta Enero 2020
</text>
  </threadedComment>
  <threadedComment ref="D140" personId="{83E57F0F-77DB-46B2-9417-DD17A5D4CA1D}" id="{480D3F0C-2BC6-4617-B556-AA843D6BD589}">
    <text>Eliminado el 01 de Julio de 2019</text>
  </threadedComment>
  <threadedComment ref="D140"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1" personId="{83E57F0F-77DB-46B2-9417-DD17A5D4CA1D}" id="{25088AD0-CA0F-4C1C-9145-20DBCEF5310E}">
    <text>Marisol dice que es 89-93, y no 90</text>
  </threadedComment>
  <threadedComment ref="B72"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1" personId="{83E57F0F-77DB-46B2-9417-DD17A5D4CA1D}" id="{18891FC0-C5E1-4335-835C-743808DB2F5C}">
    <text>Marisol dice que es 89-93, y no 90</text>
  </threadedComment>
  <threadedComment ref="C72"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50" Type="http://schemas.openxmlformats.org/officeDocument/2006/relationships/vmlDrawing" Target="../drawings/vmlDrawing1.vm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printerSettings" Target="../printerSettings/printerSettings1.bin"/><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microsoft.com/office/2017/10/relationships/threadedComment" Target="../threadedComments/threadedComment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8" Type="http://schemas.openxmlformats.org/officeDocument/2006/relationships/hyperlink" Target="mailto:redjc01@gmail.com" TargetMode="External"/><Relationship Id="rId51" Type="http://schemas.openxmlformats.org/officeDocument/2006/relationships/comments" Target="../comments1.xm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8.bin"/><Relationship Id="rId1" Type="http://schemas.openxmlformats.org/officeDocument/2006/relationships/hyperlink" Target="mailto:lisbethmsambranok@gmail.com" TargetMode="External"/><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065"/>
  <sheetViews>
    <sheetView tabSelected="1" workbookViewId="0">
      <pane ySplit="1" topLeftCell="A3049" activePane="bottomLeft" state="frozen"/>
      <selection pane="bottomLeft" activeCell="A3063" sqref="A3063"/>
      <selection activeCell="D2603" sqref="D2603"/>
    </sheetView>
  </sheetViews>
  <sheetFormatPr defaultColWidth="10.7109375" defaultRowHeight="15"/>
  <cols>
    <col min="1" max="1" width="8.28515625" style="1" customWidth="1"/>
    <col min="2" max="2" width="6" style="542"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78" t="s">
        <v>0</v>
      </c>
      <c r="B1" s="578" t="s">
        <v>1</v>
      </c>
      <c r="C1" s="578" t="s">
        <v>2</v>
      </c>
      <c r="D1" s="578" t="s">
        <v>3</v>
      </c>
      <c r="E1" s="578" t="s">
        <v>4</v>
      </c>
      <c r="F1" s="578" t="s">
        <v>5</v>
      </c>
      <c r="G1" s="578" t="s">
        <v>6</v>
      </c>
      <c r="H1" s="578" t="s">
        <v>7</v>
      </c>
      <c r="I1" s="578" t="s">
        <v>8</v>
      </c>
      <c r="J1" s="578" t="s">
        <v>9</v>
      </c>
      <c r="K1" s="573" t="s">
        <v>10</v>
      </c>
      <c r="L1" s="573" t="s">
        <v>11</v>
      </c>
      <c r="M1" s="573" t="s">
        <v>12</v>
      </c>
      <c r="N1" s="573" t="s">
        <v>13</v>
      </c>
      <c r="O1" s="573" t="s">
        <v>14</v>
      </c>
      <c r="P1" s="573" t="s">
        <v>15</v>
      </c>
      <c r="Q1" s="573"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0">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0">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0">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0">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0">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0">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0">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0">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0">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0">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0">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0">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0">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0">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0">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0">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0">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0">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0">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0">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0">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0">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0">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0">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0">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0">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0">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0">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0">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0">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0">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0">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0">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0">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0">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0">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0">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0">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0">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0">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0">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0">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0">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0">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0">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0">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0">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0">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0">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0">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0">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0">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0">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0">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0">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0">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0">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0">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0">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0">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0">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0">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0">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0">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0">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0">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0">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0">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0">
        <f t="shared" si="13"/>
        <v>15</v>
      </c>
      <c r="O70" s="25">
        <f t="shared" si="10"/>
        <v>42767</v>
      </c>
      <c r="P70" s="5" t="str">
        <f t="shared" si="11"/>
        <v>0,10</v>
      </c>
      <c r="Q70" s="4" t="e">
        <f t="shared" ca="1" si="12"/>
        <v>#NAME?</v>
      </c>
    </row>
    <row r="71" spans="1:17">
      <c r="A71" s="1">
        <f t="shared" si="14"/>
        <v>70</v>
      </c>
      <c r="B71" s="543"/>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0">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0">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0">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0">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0">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0">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0">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0">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0">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0">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0">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0">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0">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0">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0">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0">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0">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0">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0">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0">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0">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0">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0">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0">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0">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0">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0">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0">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0">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0">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0">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0">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0">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0">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0">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0">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0">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0">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0">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0">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0">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0">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0">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0">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0">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0">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0">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0">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0">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0">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0">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0">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0">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0">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0">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0">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0">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0">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0">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0">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0">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0">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0">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0">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0">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0">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0">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0">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0">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0">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0">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0">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0">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0">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0">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0">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0">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0">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0">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0">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0">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0">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0">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0">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0">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0">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0">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0">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0">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0">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0">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0">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0">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0">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0">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0">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0">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0">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0">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0">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0">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0">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0">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0">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0">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0">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0">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0">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0">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0">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0">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0">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0">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0">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0">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0">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0">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0">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0">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0">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0">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0">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0">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0">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0">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0">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0">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0">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0">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0">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0">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0">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0">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0">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0">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0">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0">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0">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0">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0">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0">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0">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0">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0">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0">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0">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0">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0">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0">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0">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0">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0">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0">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0">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0">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0">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0">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0">
        <f t="shared" si="29"/>
        <v>15</v>
      </c>
      <c r="O228" s="25">
        <f t="shared" si="26"/>
        <v>42795</v>
      </c>
      <c r="P228" s="5" t="str">
        <f t="shared" si="27"/>
        <v>0,17</v>
      </c>
      <c r="Q228" s="4" t="e">
        <f t="shared" ca="1" si="28"/>
        <v>#NAME?</v>
      </c>
    </row>
    <row r="229" spans="1:17">
      <c r="A229" s="318">
        <f t="shared" si="30"/>
        <v>228</v>
      </c>
      <c r="B229" s="543"/>
      <c r="C229" s="12" t="s">
        <v>225</v>
      </c>
      <c r="D229" s="17"/>
      <c r="E229" s="13"/>
      <c r="F229" s="14" t="s">
        <v>362</v>
      </c>
      <c r="G229" s="14" t="s">
        <v>363</v>
      </c>
      <c r="H229" s="14" t="s">
        <v>364</v>
      </c>
      <c r="I229" s="15" t="s">
        <v>425</v>
      </c>
      <c r="J229" s="62" t="s">
        <v>426</v>
      </c>
      <c r="K229" s="16"/>
      <c r="L229" s="5" t="str">
        <f t="shared" si="24"/>
        <v>00228</v>
      </c>
      <c r="M229" s="47" t="str">
        <f t="shared" si="25"/>
        <v/>
      </c>
      <c r="N229" s="320">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0">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0">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0">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0">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0">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0">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0">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0">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0">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0">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0">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0">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0">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0">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0">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0">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0">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0">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0">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0">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0">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0">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0">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0">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0">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0">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0">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0">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0">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0">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0">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0">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0">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0">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0">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0">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0">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0">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0">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0">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0">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0">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0">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0">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0">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0">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0">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0">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0">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0">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0">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0">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0">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0">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0">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0">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0">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0">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0">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0">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0">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0">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0">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0">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0">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0">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0">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0">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0">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0">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0">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0">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0">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0">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0">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0">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0">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0">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0">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0">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0">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0">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0">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0">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0">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0">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0">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0">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0">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0">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0">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0">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0">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0">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0">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0">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0">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0">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0">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0">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0">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0">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0">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0">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0">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0">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0">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0">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0">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0">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0">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0">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0">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0">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0">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0">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0">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0">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0">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0">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0">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0">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0">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0">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0">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0">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0">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0">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0">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0">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0">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0">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0">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0">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0">
        <f t="shared" si="46"/>
        <v>20</v>
      </c>
      <c r="O364" s="25">
        <f t="shared" si="44"/>
        <v>42887</v>
      </c>
      <c r="P364" s="5" t="str">
        <f t="shared" si="50"/>
        <v>0,26</v>
      </c>
      <c r="Q364" s="4" t="e">
        <f t="shared" ca="1" si="45"/>
        <v>#NAME?</v>
      </c>
    </row>
    <row r="365" spans="1:17">
      <c r="A365" s="318">
        <f t="shared" si="47"/>
        <v>364</v>
      </c>
      <c r="B365" s="543"/>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0">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0">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0">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0">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0">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0">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0">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0">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0">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0">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0">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0">
        <f t="shared" si="46"/>
        <v>1</v>
      </c>
      <c r="O376" s="25">
        <f t="shared" si="44"/>
        <v>42917</v>
      </c>
      <c r="P376" s="5" t="str">
        <f t="shared" si="51"/>
        <v>0,26</v>
      </c>
      <c r="Q376" s="4" t="e">
        <f t="shared" ca="1" si="52"/>
        <v>#NAME?</v>
      </c>
    </row>
    <row r="377" spans="1:17">
      <c r="A377" s="177">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0">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0">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0">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0">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0">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0">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0">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0">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0">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0">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0">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0">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0">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0">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0">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0">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0">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0">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0">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0">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0">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0">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0">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0">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0">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0">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0">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0">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0">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0">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0">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0">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0">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0">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0">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0">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0">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0">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0">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0">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0">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0">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0">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0">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0">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0">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0">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0">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0">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0">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0">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0">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0">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0">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0">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0">
        <f t="shared" si="58"/>
        <v>18</v>
      </c>
      <c r="O432" s="25">
        <f t="shared" si="57"/>
        <v>42917</v>
      </c>
      <c r="P432" s="5" t="str">
        <f t="shared" si="62"/>
        <v>0,09</v>
      </c>
      <c r="Q432" s="4" t="e">
        <f t="shared" ca="1" si="63"/>
        <v>#NAME?</v>
      </c>
    </row>
    <row r="433" spans="1:17">
      <c r="A433" s="177">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0">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0">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0">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0">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0">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0">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0">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0">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0">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0">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0">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0">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0">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0">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0">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0">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0">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0">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0">
        <f t="shared" ref="N451:N514" si="69">DAY(D451)</f>
        <v>24</v>
      </c>
      <c r="O451" s="25">
        <f t="shared" si="68"/>
        <v>42917</v>
      </c>
      <c r="P451" s="5" t="str">
        <f t="shared" si="64"/>
        <v>1,08</v>
      </c>
      <c r="Q451" s="4" t="e">
        <f t="shared" ca="1" si="65"/>
        <v>#NAME?</v>
      </c>
    </row>
    <row r="452" spans="1:17">
      <c r="A452" s="318">
        <f t="shared" ref="A452:A515" si="70">A451+1</f>
        <v>451</v>
      </c>
      <c r="B452" s="543"/>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0">
        <f t="shared" si="69"/>
        <v>6</v>
      </c>
      <c r="O452" s="25">
        <f t="shared" si="68"/>
        <v>42826</v>
      </c>
      <c r="P452" s="5" t="str">
        <f t="shared" si="64"/>
        <v>0,14</v>
      </c>
      <c r="Q452" s="4" t="e">
        <f t="shared" ca="1" si="65"/>
        <v>#NAME?</v>
      </c>
    </row>
    <row r="453" spans="1:17">
      <c r="A453" s="318">
        <f t="shared" si="70"/>
        <v>452</v>
      </c>
      <c r="B453" s="543"/>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0">
        <f t="shared" si="69"/>
        <v>10</v>
      </c>
      <c r="O453" s="25">
        <f t="shared" si="68"/>
        <v>42856</v>
      </c>
      <c r="P453" s="5" t="str">
        <f t="shared" si="64"/>
        <v>0,17</v>
      </c>
      <c r="Q453" s="4" t="e">
        <f t="shared" ca="1" si="65"/>
        <v>#NAME?</v>
      </c>
    </row>
    <row r="454" spans="1:17">
      <c r="A454" s="318">
        <f t="shared" si="70"/>
        <v>453</v>
      </c>
      <c r="B454" s="543"/>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0">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0">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0">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0">
        <f t="shared" si="69"/>
        <v>20</v>
      </c>
      <c r="O457" s="25">
        <f t="shared" si="68"/>
        <v>42917</v>
      </c>
      <c r="P457" s="5" t="str">
        <f t="shared" si="64"/>
        <v>0,35</v>
      </c>
      <c r="Q457" s="4" t="e">
        <f t="shared" ca="1" si="65"/>
        <v>#NAME?</v>
      </c>
    </row>
    <row r="458" spans="1:17">
      <c r="A458" s="177">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0">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0">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0">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0">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0">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0">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0">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0">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0">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0">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0">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0">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0">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0">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0">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0">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0">
        <f t="shared" si="69"/>
        <v>6</v>
      </c>
      <c r="O474" s="25">
        <f t="shared" si="68"/>
        <v>42948</v>
      </c>
      <c r="P474" s="5" t="str">
        <f t="shared" si="71"/>
        <v>0,35</v>
      </c>
      <c r="Q474" s="4" t="e">
        <f t="shared" ca="1" si="72"/>
        <v>#NAME?</v>
      </c>
    </row>
    <row r="475" spans="1:17">
      <c r="A475" s="177">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0">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0">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0">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0">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0">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0">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0">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0">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0">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0">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0">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0">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0">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0">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0">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0">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0">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0">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0">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0">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0">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0">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0">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0">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0">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0">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0">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0">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0">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0">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0">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0">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0">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0">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0">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0">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0">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0">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0">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0">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0">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0">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0">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0">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0">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0">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0">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0">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0">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0">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0">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0">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0">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0">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0">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0">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0">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0">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0">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0">
        <f t="shared" si="78"/>
        <v>1</v>
      </c>
      <c r="O534" s="25">
        <f t="shared" si="77"/>
        <v>42979</v>
      </c>
      <c r="P534" s="5" t="str">
        <f t="shared" si="80"/>
        <v>0,35</v>
      </c>
      <c r="Q534" s="4" t="e">
        <f t="shared" ca="1" si="81"/>
        <v>#NAME?</v>
      </c>
    </row>
    <row r="535" spans="1:17">
      <c r="A535" s="177">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0">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0">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0">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0">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0">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0">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0">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0">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0">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0">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0">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0">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0">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0">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0">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0">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0">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0">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0">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0">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0">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0">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0">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0">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0">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0">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0">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0">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0">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0">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0">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0">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0">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0">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0">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0">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0">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0">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0">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0">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0">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0">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0">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0">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0">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0">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0">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0">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0">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0">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0">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0">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0">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0">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0">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0">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0">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0">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0">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0">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0">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0">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0">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0">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0">
        <f t="shared" si="88"/>
        <v>5</v>
      </c>
      <c r="O599" s="25">
        <f t="shared" si="87"/>
        <v>43009</v>
      </c>
      <c r="P599" s="5" t="str">
        <f t="shared" si="93"/>
        <v>0,35</v>
      </c>
      <c r="Q599" s="4" t="e">
        <f t="shared" ca="1" si="94"/>
        <v>#NAME?</v>
      </c>
    </row>
    <row r="600" spans="1:17">
      <c r="A600" s="177">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0">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0">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0">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0">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0">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0">
        <f t="shared" si="88"/>
        <v>6</v>
      </c>
      <c r="O605" s="25">
        <f t="shared" si="87"/>
        <v>43009</v>
      </c>
      <c r="P605" s="5" t="str">
        <f t="shared" si="95"/>
        <v>0,54</v>
      </c>
      <c r="Q605" s="4" t="e">
        <f t="shared" ca="1" si="96"/>
        <v>#NAME?</v>
      </c>
    </row>
    <row r="606" spans="1:17">
      <c r="A606" s="177">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0">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0">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0">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0">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0">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0">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0">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0">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0">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0">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0">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0">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0">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0">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0">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0">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0">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0">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0">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0">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0">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0">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0">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0">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0">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0">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0">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0">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0">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0">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0">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0">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0">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0">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0">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0">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0">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0">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0">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0">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0">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0">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0">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0">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0">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0">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0">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0">
        <f t="shared" si="102"/>
        <v>7</v>
      </c>
      <c r="O653" s="25">
        <f t="shared" si="101"/>
        <v>43040</v>
      </c>
      <c r="P653" s="5" t="str">
        <f t="shared" si="104"/>
        <v>0,50</v>
      </c>
      <c r="Q653" s="4" t="e">
        <f t="shared" ca="1" si="105"/>
        <v>#NAME?</v>
      </c>
    </row>
    <row r="654" spans="1:17">
      <c r="A654" s="177">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0">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0">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0">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0">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0">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0">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0">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0">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0">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0">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0">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0">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0">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0">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0">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0">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0">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0">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0">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0">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0">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0">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0">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0">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0">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0">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0">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0">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0">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0">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0">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0">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0">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0">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0">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0">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0">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0">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0">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0">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0">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0">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0">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0">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0">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0">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0">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0">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0">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0">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0">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0">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0">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0">
        <f t="shared" ref="N707:N770" si="113">DAY(D707)</f>
        <v>5</v>
      </c>
      <c r="O707" s="25">
        <f t="shared" si="112"/>
        <v>43070</v>
      </c>
      <c r="P707" s="5" t="str">
        <f t="shared" si="108"/>
        <v>0,50</v>
      </c>
      <c r="Q707" s="4" t="e">
        <f t="shared" ca="1" si="109"/>
        <v>#NAME?</v>
      </c>
    </row>
    <row r="708" spans="1:17">
      <c r="A708" s="177">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0">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0">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0">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0">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0">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0">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0">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0">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0">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0">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0">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0">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0">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0">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0">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0">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0">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0">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0">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0">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0">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0">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0">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0">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0">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0">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0">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0">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0">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0">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0">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0">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0">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0">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0">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0">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0">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0">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0">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0">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0">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0">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0">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0">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0">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0">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0">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0">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0">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0">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0">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0">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0">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0">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0">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0">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0">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0">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0">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0">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0">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0">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0">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0">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0">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0">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0">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0">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0">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0">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0">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0">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0">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0">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0">
        <f t="shared" si="128"/>
        <v>18</v>
      </c>
      <c r="O782" s="25">
        <f t="shared" si="125"/>
        <v>43101</v>
      </c>
      <c r="P782" s="5" t="str">
        <f t="shared" si="126"/>
        <v>0,80</v>
      </c>
      <c r="Q782" s="4" t="e">
        <f t="shared" ca="1" si="127"/>
        <v>#NAME?</v>
      </c>
    </row>
    <row r="783" spans="1:17">
      <c r="A783" s="177">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0">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0">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0">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0">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0">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0">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0">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0">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0">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0">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0">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0">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0">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0">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0">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0">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0">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0">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0">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0">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0">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0">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0">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0">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0">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0">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0">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0">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0">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0">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0">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0">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0">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0">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0">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0">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0">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0">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0">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0">
        <f t="shared" si="128"/>
        <v>5</v>
      </c>
      <c r="O822" s="25">
        <f t="shared" si="125"/>
        <v>43132</v>
      </c>
      <c r="P822" s="5" t="str">
        <f t="shared" si="134"/>
        <v>0,80</v>
      </c>
      <c r="Q822" s="4" t="e">
        <f t="shared" ca="1" si="135"/>
        <v>#NAME?</v>
      </c>
    </row>
    <row r="823" spans="1:17">
      <c r="A823" s="177">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0">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0">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0">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0">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0">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0">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0">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0">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0">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0">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0">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0">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0">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0">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0">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0">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0">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0">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0">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0">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0">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0">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0">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0">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0">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0">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0">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0">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0">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0">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0">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0">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0">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0">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0">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0">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0">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0">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0">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0">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0">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0">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0">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0">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0">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0">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0">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0">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0">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0">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0">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0">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0">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0">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0">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0">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0">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0">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0">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0">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0">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0">
        <f t="shared" si="139"/>
        <v>9</v>
      </c>
      <c r="O884" s="25">
        <f t="shared" si="138"/>
        <v>43160</v>
      </c>
      <c r="P884" s="5" t="str">
        <f t="shared" si="145"/>
        <v>1,40</v>
      </c>
      <c r="Q884" s="4" t="e">
        <f t="shared" ca="1" si="146"/>
        <v>#NAME?</v>
      </c>
    </row>
    <row r="885" spans="1:17">
      <c r="A885" s="177">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0">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0">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0">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0">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0">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0">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0">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0">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0">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0">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0">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0">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0">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0">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0">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0">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0">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0">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0">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0">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0">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0">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0">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0">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0">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0">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0">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0">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0">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0">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0">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0">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0">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0">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0">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0">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0">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0">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0">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0">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0">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0">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0">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0">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0">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0">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0">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0">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0">
        <f t="shared" si="151"/>
        <v>5</v>
      </c>
      <c r="O933" s="25">
        <f t="shared" si="150"/>
        <v>43191</v>
      </c>
      <c r="P933" s="5" t="str">
        <f t="shared" si="156"/>
        <v>1,40</v>
      </c>
      <c r="Q933" s="4" t="e">
        <f t="shared" ca="1" si="157"/>
        <v>#NAME?</v>
      </c>
    </row>
    <row r="934" spans="1:17">
      <c r="A934" s="177">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0">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0">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0">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0">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0">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0">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0">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0">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0">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0">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0">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0">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0">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0">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0">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0">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0">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0">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0">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0">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0">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0">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0">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0">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0">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0">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0">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0">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0">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0">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0">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0">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0">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0">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0">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0">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0">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0">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0">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0">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0">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0">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0">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0">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0">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0">
        <f t="shared" si="164"/>
        <v>26</v>
      </c>
      <c r="O979" s="25">
        <f t="shared" si="163"/>
        <v>43191</v>
      </c>
      <c r="P979" s="5" t="str">
        <f t="shared" si="159"/>
        <v>3,00</v>
      </c>
      <c r="Q979" s="4" t="e">
        <f t="shared" ca="1" si="160"/>
        <v>#NAME?</v>
      </c>
    </row>
    <row r="980" spans="1:17">
      <c r="A980" s="318">
        <f t="shared" si="158"/>
        <v>979</v>
      </c>
      <c r="B980" s="543"/>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0">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0">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0">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0">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0">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0">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0">
        <f t="shared" si="164"/>
        <v>3</v>
      </c>
      <c r="O986" s="25">
        <f t="shared" si="163"/>
        <v>43221</v>
      </c>
      <c r="P986" s="5" t="str">
        <f t="shared" si="165"/>
        <v>4,00</v>
      </c>
      <c r="Q986" s="4" t="e">
        <f t="shared" ca="1" si="166"/>
        <v>#NAME?</v>
      </c>
    </row>
    <row r="987" spans="1:17">
      <c r="A987" s="177">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0">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0">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0">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0">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0">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0">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0">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0">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0">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0">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0">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0">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0">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0">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0">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0">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0">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0">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0">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0">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0">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0">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0">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0">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0">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0">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0">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0">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0">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0">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0">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0">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0">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0">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0">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0">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0">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0">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0">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0">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0">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0">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0">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0">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0">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0">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0">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0">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0">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0">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0">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0">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0">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0">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0">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0">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0">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0">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0">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0">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0">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0">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0">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0">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0">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0">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0">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0">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0">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0">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0">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0">
        <f t="shared" si="175"/>
        <v>22</v>
      </c>
      <c r="O1058" s="25">
        <f t="shared" si="174"/>
        <v>43221</v>
      </c>
      <c r="P1058" s="5" t="str">
        <f t="shared" si="177"/>
        <v>3,50</v>
      </c>
      <c r="Q1058" s="4" t="e">
        <f t="shared" ca="1" si="179"/>
        <v>#NAME?</v>
      </c>
    </row>
    <row r="1059" spans="1:17">
      <c r="A1059" s="318">
        <f t="shared" si="180"/>
        <v>1058</v>
      </c>
      <c r="B1059" s="543"/>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0">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0">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0">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0">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0">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0">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0">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0">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0">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0">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0">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0">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0">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0">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0">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0">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0">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0">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0">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0">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0">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0">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0">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0">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0">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0">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0">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0">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0">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0">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0">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0">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0">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0">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0">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0">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0">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0">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0">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0">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0">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0">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0">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0">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0">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0">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0">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0">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0">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7">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0">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0">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0">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0">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0">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0">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0">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0">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0">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0">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0">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0">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0">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0">
        <f t="shared" si="188"/>
        <v>6</v>
      </c>
      <c r="O1121" s="25">
        <f t="shared" si="195"/>
        <v>43252</v>
      </c>
      <c r="P1121" s="5" t="str">
        <f t="shared" si="199"/>
        <v>4,00</v>
      </c>
      <c r="Q1121" s="4" t="e">
        <f t="shared" ca="1" si="200"/>
        <v>#NAME?</v>
      </c>
    </row>
    <row r="1122" spans="1:17">
      <c r="A1122" s="177">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0">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0">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0">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0">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0">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0">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0">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0">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0">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0">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0">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0">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0">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0">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0">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0">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0">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0">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0">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0">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0">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0">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0">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0">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0">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0">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0">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0">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0">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0">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0">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0">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0">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0">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0">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0">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0">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0">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0">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0">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0">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0">
        <f t="shared" si="210"/>
        <v>28</v>
      </c>
      <c r="O1163" s="25">
        <f t="shared" si="207"/>
        <v>43252</v>
      </c>
      <c r="P1163" s="5" t="str">
        <f t="shared" si="208"/>
        <v>2,25</v>
      </c>
      <c r="Q1163" s="4" t="e">
        <f t="shared" ca="1" si="211"/>
        <v>#NAME?</v>
      </c>
    </row>
    <row r="1164" spans="1:17">
      <c r="A1164" s="177">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0">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0">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0">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0">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0">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0">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0">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0">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0">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0">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0">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0">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0">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0">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0">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0">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0">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0">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0">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0">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0">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0">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0">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0">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0">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0">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0">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0">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0">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0">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0">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0">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0">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0">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0">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0">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0">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0">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0">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0">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0">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0">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0">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0">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0">
        <f t="shared" si="210"/>
        <v>4</v>
      </c>
      <c r="O1208" s="25">
        <f t="shared" si="227"/>
        <v>43282</v>
      </c>
      <c r="P1208" s="5" t="str">
        <f t="shared" si="228"/>
        <v>8,25</v>
      </c>
      <c r="Q1208" s="4" t="e">
        <f t="shared" ca="1" si="229"/>
        <v>#NAME?</v>
      </c>
    </row>
    <row r="1209" spans="1:17">
      <c r="A1209" s="177">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0">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0">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0">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0">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0">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0">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0">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0">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0">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0">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0">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0">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0">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0">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0">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0">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0">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0">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0">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0">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0">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0">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0">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0">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0">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0">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0">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0">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0">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0">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0">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0">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0">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0">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0">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0">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0">
        <f t="shared" si="230"/>
        <v>10</v>
      </c>
      <c r="O1245" s="25">
        <f t="shared" si="245"/>
        <v>43282</v>
      </c>
      <c r="P1245" s="5" t="str">
        <f t="shared" si="246"/>
        <v>12,20</v>
      </c>
      <c r="Q1245" s="4" t="e">
        <f t="shared" ca="1" si="247"/>
        <v>#NAME?</v>
      </c>
    </row>
    <row r="1246" spans="1:17">
      <c r="A1246" s="177">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0">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0">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0">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0">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0">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0">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0">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0">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0">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0">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0">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0">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0">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0">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0">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0">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0">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0">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0">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0">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0">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0">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0">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0">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0">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0">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0">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0">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0">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0">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0">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0">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0">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0">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0">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0">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0">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0">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0">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0">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0">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0">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0">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0">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0">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0">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0">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0">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0">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0">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0">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0">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0">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0">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0">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0">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0">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0">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0">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0">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0">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0">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0">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0">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0">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0">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0">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0">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0">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0">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0">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0">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0">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0">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0">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0">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0">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0">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0">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0">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0">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0">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0">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0">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0">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0">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0">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0">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0">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0">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0">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0">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0">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0">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0">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0">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0">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0">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0">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0">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0">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0">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0">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0">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0">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0">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0">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0">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0">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0">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0">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0">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0">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0">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0">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0">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0">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0">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0">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0">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0">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0">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0">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0">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0">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0">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0">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0">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0">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0">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0">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0">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0">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0">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0">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0">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0">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0">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0">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0">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0">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0">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0">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0">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0">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0">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0">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0">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0">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0">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0">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0">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0">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0">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0">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0">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0">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0">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0">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0">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0">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0">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0">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0">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0">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0">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0">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0">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0">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0">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0">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0">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0">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0">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0">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0">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0">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0">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0">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0">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0">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0">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0">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0">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0">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0">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0">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0">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0">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0">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0">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0">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0">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0">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0">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0">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0">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0">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0">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0">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0">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0">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0">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0">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0">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0">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0">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0">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0">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0">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0">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0">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0">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0">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0">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0">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0">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0">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0">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0">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0">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0">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0">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0">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0">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0">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0">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0">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0">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0">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0">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0">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0">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0">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0">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0">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0">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0">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0">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0">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0">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0">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0">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0">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0">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0">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0">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0">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0">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0">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0">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0">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0">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0">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0">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0">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0">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0">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0">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0">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0">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0">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0">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0">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0">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0">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0">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0">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0">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0">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0">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0">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0">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0">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0">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0">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0">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0">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0">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0">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0">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0">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0">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0">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0">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0">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0">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0">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0">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0">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0">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0">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0">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0">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0">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0">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0">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0">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0">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0">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0">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0">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0">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0">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0">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0">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0">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0">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0">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0">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0">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0">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0">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0">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0">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0">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0">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0">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0">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0">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0">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0">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0">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0">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0">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0">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0">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0">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0">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0">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0">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0">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0">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0">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0">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0">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0">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0">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0">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0">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0">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0">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0">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0">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0">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0">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0">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0">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0">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0">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0">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0">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0">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0">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0">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0">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0">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0">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0">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0">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0">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0">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0">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0">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0">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0">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0">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0">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0">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0">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0">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0">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0">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0">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0">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0">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0">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0">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0">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0">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0">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0">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0">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0">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0">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0">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0">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0">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0">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0">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0">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0">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0">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0">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0">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0">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0">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0">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0">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0">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0">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0">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0">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0">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0">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0">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0">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0">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0">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0">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0">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0">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0">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0">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0">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0">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0">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0">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0">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0">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0">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0">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0">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0">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0">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0">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0">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0">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0">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0">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0">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0">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0">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0">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0">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0">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0">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0">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0">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0">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0">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0">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0">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0">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0">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0">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0">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0">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0">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0">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0">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0">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0">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0">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0">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0">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0">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0">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0">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0">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0">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0">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0">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0">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0">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0">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0">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0">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0">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0">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0">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0">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0">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0">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0">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0">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0">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0">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0">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0">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0">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0">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0">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0">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0">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0">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0">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0">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0">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0">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0">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0">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0">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0">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0">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0">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0">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0">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0">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0">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0">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0">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0">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0">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0">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0">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0">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0">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0">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0">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0">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0">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0">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0">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0">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0">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0">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0">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0">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0">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0">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0">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0">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0">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0">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0">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0">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0">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0">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0">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0">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0">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0">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0">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0">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0">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0">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0">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0">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0">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0">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0">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0">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0">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0">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0">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0">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0">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0">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0">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0">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0">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0">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0">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0">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0">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0">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0">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0">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0">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0">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0">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0">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0">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0">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0">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0">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0">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0">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0">
        <f t="shared" si="521"/>
        <v>17</v>
      </c>
      <c r="O1815" s="25">
        <f t="shared" si="522"/>
        <v>43497</v>
      </c>
      <c r="P1815" s="5" t="str">
        <f t="shared" si="523"/>
        <v>3.000,00</v>
      </c>
      <c r="Q1815" s="4" t="e">
        <f t="shared" ca="1" si="525"/>
        <v>#NAME?</v>
      </c>
    </row>
    <row r="1816" spans="1:17">
      <c r="A1816" s="318">
        <f t="shared" si="526"/>
        <v>1815</v>
      </c>
      <c r="B1816" s="543"/>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0">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0">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0">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0">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0">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0">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0">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0">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0">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0">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0">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0">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0">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0">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0">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0">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0">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0">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0">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0">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0">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0">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0">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0">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0">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0">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0">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0">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0">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0">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0">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0">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0">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0">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0">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0">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0">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0">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0">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0">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0">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0">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0">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0">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0">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0">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0">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0">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0">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0">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0">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0">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0">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0">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0">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0">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0">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0">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0">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0">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0">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0">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0">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0">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0">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0">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0">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0">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0">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0">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0">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0">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0">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0">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0">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0">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0">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0">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0">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0">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0">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0">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0">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0">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0">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0">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0">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0">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0">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0">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0">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0">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0">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0">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0">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0">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0">
        <f t="shared" si="550"/>
        <v>7</v>
      </c>
      <c r="O1912" s="25">
        <f t="shared" si="551"/>
        <v>43556</v>
      </c>
      <c r="P1912" s="5" t="str">
        <f t="shared" si="552"/>
        <v>3.000,00</v>
      </c>
      <c r="Q1912" s="4" t="e">
        <f t="shared" ca="1" si="554"/>
        <v>#NAME?</v>
      </c>
    </row>
    <row r="1913" spans="1:17">
      <c r="A1913" s="318">
        <f t="shared" si="555"/>
        <v>1912</v>
      </c>
      <c r="B1913" s="543"/>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0">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0">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0">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0">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0">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0">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0">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0">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0">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0">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0">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0">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0">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0">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0">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0">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0">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0">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0">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0">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0">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0">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0">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0">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0">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0">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0">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0">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0">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0">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0">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0">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0">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0">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0">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0">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0">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0">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0">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0">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0">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0">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0">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0">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49" t="s">
        <v>958</v>
      </c>
      <c r="H1957" t="s">
        <v>254</v>
      </c>
      <c r="I1957" t="s">
        <v>959</v>
      </c>
      <c r="J1957" s="61" t="s">
        <v>22</v>
      </c>
      <c r="L1957" s="5" t="str">
        <f t="shared" si="569"/>
        <v>01956</v>
      </c>
      <c r="M1957" s="47" t="str">
        <f t="shared" si="570"/>
        <v>18 de abril de 2019</v>
      </c>
      <c r="N1957" s="320">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0">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0">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0">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0">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0">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0">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0">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0">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0">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0">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9" t="s">
        <v>958</v>
      </c>
      <c r="H1968" t="s">
        <v>254</v>
      </c>
      <c r="I1968" t="s">
        <v>928</v>
      </c>
      <c r="J1968" s="61" t="s">
        <v>22</v>
      </c>
      <c r="L1968" s="5" t="str">
        <f t="shared" si="578"/>
        <v>01967</v>
      </c>
      <c r="M1968" s="47" t="str">
        <f t="shared" si="579"/>
        <v>22 de abril de 2019</v>
      </c>
      <c r="N1968" s="320">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0">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0">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0">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0">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0">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0">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0">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0">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0">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0">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0">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0">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0">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0">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49" t="s">
        <v>958</v>
      </c>
      <c r="H1983" t="s">
        <v>254</v>
      </c>
      <c r="I1983" s="6" t="s">
        <v>917</v>
      </c>
      <c r="J1983" s="61" t="s">
        <v>22</v>
      </c>
      <c r="L1983" s="5" t="str">
        <f t="shared" si="584"/>
        <v>01982</v>
      </c>
      <c r="M1983" s="47" t="str">
        <f t="shared" si="585"/>
        <v>28 de abril de 2019</v>
      </c>
      <c r="N1983" s="320">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0">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0">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0">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0">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0">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0">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0">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0">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0">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0">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0">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0">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0">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0">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0">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0">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0">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0">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0">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0">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0">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0">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0">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0">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0">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0">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0">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0">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0">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0">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0">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0">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0">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0">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0">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0">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0">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0">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0">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0">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0">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0">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0">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0">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0">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0">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0">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0">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0">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0">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0">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0">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9" t="s">
        <v>958</v>
      </c>
      <c r="H2036" t="s">
        <v>254</v>
      </c>
      <c r="I2036" s="6" t="s">
        <v>970</v>
      </c>
      <c r="J2036" s="61" t="s">
        <v>22</v>
      </c>
      <c r="L2036" s="5" t="str">
        <f t="shared" si="605"/>
        <v>02035</v>
      </c>
      <c r="M2036" s="47" t="str">
        <f t="shared" si="606"/>
        <v>15 de mayo de 2019</v>
      </c>
      <c r="N2036" s="320">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0">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0">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0">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0">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0">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0">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0">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0">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0">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0">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49" t="s">
        <v>978</v>
      </c>
      <c r="H2047" t="s">
        <v>92</v>
      </c>
      <c r="I2047" s="6" t="s">
        <v>979</v>
      </c>
      <c r="J2047" s="61" t="s">
        <v>22</v>
      </c>
      <c r="L2047" s="5" t="str">
        <f t="shared" si="605"/>
        <v>02046</v>
      </c>
      <c r="M2047" s="47" t="str">
        <f t="shared" si="606"/>
        <v>19 de mayo de 2019</v>
      </c>
      <c r="N2047" s="320">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0">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0">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0">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0">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0">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0">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0">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0">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0">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0">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0">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0">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0">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0">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0">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0">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0">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0">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0">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0">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0">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0">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9" t="s">
        <v>958</v>
      </c>
      <c r="H2070" t="s">
        <v>254</v>
      </c>
      <c r="I2070" s="6" t="s">
        <v>986</v>
      </c>
      <c r="J2070" s="61" t="s">
        <v>22</v>
      </c>
      <c r="L2070" s="5" t="str">
        <f t="shared" si="625"/>
        <v>02069</v>
      </c>
      <c r="M2070" s="47" t="str">
        <f t="shared" si="626"/>
        <v>29 de mayo de 2019</v>
      </c>
      <c r="N2070" s="320">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0">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0">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0">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0">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0">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0">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0">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0">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0">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0">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0">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0">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0">
        <f t="shared" si="627"/>
        <v>2</v>
      </c>
      <c r="O2083" s="25">
        <f t="shared" si="638"/>
        <v>43617</v>
      </c>
      <c r="P2083" s="5" t="str">
        <f t="shared" si="629"/>
        <v>8.000,00</v>
      </c>
      <c r="Q2083" s="4" t="e">
        <f t="shared" ca="1" si="635"/>
        <v>#NAME?</v>
      </c>
    </row>
    <row r="2084" spans="1:17">
      <c r="A2084" s="318">
        <f t="shared" si="634"/>
        <v>2083</v>
      </c>
      <c r="B2084" s="543"/>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0">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0">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0">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0">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0">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0">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0">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0">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0">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0">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0">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0">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0">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0">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0">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0">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0">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0">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0">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0">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0">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0">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0">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0">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0">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0">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0">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0">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0">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0">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0">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0">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0">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0">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0">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0">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0">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0">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0">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0">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0">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0">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0">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0">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0">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0">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0">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0">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0">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0">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0">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0">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0">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0">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0">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0">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0">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0">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0">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0">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0">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0">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0">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49" t="s">
        <v>978</v>
      </c>
      <c r="H2147" t="s">
        <v>92</v>
      </c>
      <c r="I2147" s="6" t="s">
        <v>1009</v>
      </c>
      <c r="J2147" s="61" t="s">
        <v>22</v>
      </c>
      <c r="L2147" s="5" t="str">
        <f t="shared" si="658"/>
        <v>02146</v>
      </c>
      <c r="M2147" s="47" t="str">
        <f t="shared" si="659"/>
        <v>27 de junio de 2019</v>
      </c>
      <c r="N2147" s="320">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0">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0">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0">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0">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0">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0">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0">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0">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9" t="s">
        <v>958</v>
      </c>
      <c r="H2156" t="s">
        <v>254</v>
      </c>
      <c r="I2156" s="6" t="s">
        <v>1012</v>
      </c>
      <c r="J2156" s="61" t="s">
        <v>22</v>
      </c>
      <c r="L2156" s="5" t="str">
        <f t="shared" si="658"/>
        <v>02155</v>
      </c>
      <c r="M2156" s="47" t="str">
        <f t="shared" si="659"/>
        <v>30 de junio de 2019</v>
      </c>
      <c r="N2156" s="320">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0">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0">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0">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0">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0">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0">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0">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0">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0">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0">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0">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0">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49"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0">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0">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0">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0">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0">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0">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0">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0">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0">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0">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0">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0">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0">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0">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0">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0">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0">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0">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0">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0">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0">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0">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0">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0">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0">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0">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0">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0">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0">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0">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0">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0">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0">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0">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0">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0">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0">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0">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0">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0">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0">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0">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0">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0">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49" t="s">
        <v>958</v>
      </c>
      <c r="H2213" t="s">
        <v>254</v>
      </c>
      <c r="I2213" s="6" t="s">
        <v>1026</v>
      </c>
      <c r="J2213" s="61" t="s">
        <v>22</v>
      </c>
      <c r="L2213" s="5" t="str">
        <f t="shared" si="692"/>
        <v>02212</v>
      </c>
      <c r="M2213" s="47" t="str">
        <f t="shared" si="693"/>
        <v>25 de julio de 2019</v>
      </c>
      <c r="N2213" s="320">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0">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0">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0">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0">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0">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0">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0">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0">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0">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0">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0">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0">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49" t="s">
        <v>1018</v>
      </c>
      <c r="H2226" t="s">
        <v>140</v>
      </c>
      <c r="I2226" s="6" t="s">
        <v>1007</v>
      </c>
      <c r="J2226" s="61" t="s">
        <v>22</v>
      </c>
      <c r="L2226" s="5" t="str">
        <f t="shared" si="695"/>
        <v>02225</v>
      </c>
      <c r="M2226" s="47" t="str">
        <f t="shared" si="696"/>
        <v>30 de julio de 2019</v>
      </c>
      <c r="N2226" s="320">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0">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0">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0">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0">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0">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0">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0">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0">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0">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0">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0">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0">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0">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0">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0">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0">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0">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0">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0">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0">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0">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0">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0">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0">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0">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0">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0">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0">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0">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0">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0">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0">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0">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0">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0">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0">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0">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0">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0">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0">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0">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0">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0">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0">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0">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0">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0">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0">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0">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0">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0">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0">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0">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0">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0">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0">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49" t="s">
        <v>1018</v>
      </c>
      <c r="H2283" t="s">
        <v>140</v>
      </c>
      <c r="I2283" s="6" t="s">
        <v>1026</v>
      </c>
      <c r="J2283" s="61" t="s">
        <v>22</v>
      </c>
      <c r="L2283" s="5" t="str">
        <f t="shared" si="706"/>
        <v>02282</v>
      </c>
      <c r="M2283" s="47" t="str">
        <f t="shared" si="707"/>
        <v>27 de agosto de 2019</v>
      </c>
      <c r="N2283" s="320">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0">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0">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0">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49" t="s">
        <v>958</v>
      </c>
      <c r="H2287" t="s">
        <v>254</v>
      </c>
      <c r="I2287" s="6" t="s">
        <v>1035</v>
      </c>
      <c r="J2287" s="61" t="s">
        <v>22</v>
      </c>
      <c r="L2287" s="5" t="str">
        <f t="shared" si="706"/>
        <v>02286</v>
      </c>
      <c r="M2287" s="47" t="str">
        <f t="shared" si="707"/>
        <v>28 de agosto de 2019</v>
      </c>
      <c r="N2287" s="320">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0">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0">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0">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0">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0">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0">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0">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0">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49" t="s">
        <v>978</v>
      </c>
      <c r="H2296" t="s">
        <v>92</v>
      </c>
      <c r="I2296" s="6" t="s">
        <v>1031</v>
      </c>
      <c r="J2296" s="61" t="s">
        <v>22</v>
      </c>
      <c r="L2296" s="5" t="str">
        <f t="shared" si="714"/>
        <v>02295</v>
      </c>
      <c r="M2296" s="47" t="str">
        <f t="shared" si="715"/>
        <v>29 de agosto de 2019</v>
      </c>
      <c r="N2296" s="320">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0">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0">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0">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0">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0">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0">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0">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0">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0">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0">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0">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0">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0">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0">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0">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0">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0">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0">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0">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0">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0">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0">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0">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0">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0">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0">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0">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0">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0">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49" t="s">
        <v>958</v>
      </c>
      <c r="H2326" t="s">
        <v>254</v>
      </c>
      <c r="I2326" s="6" t="s">
        <v>1035</v>
      </c>
      <c r="J2326" s="61" t="s">
        <v>22</v>
      </c>
      <c r="L2326" s="5" t="str">
        <f t="shared" si="723"/>
        <v>02325</v>
      </c>
      <c r="M2326" s="47" t="str">
        <f t="shared" si="724"/>
        <v>06 de septiembre de 2019</v>
      </c>
      <c r="N2326" s="320">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0">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0">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0">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0">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0">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0">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0">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0">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0">
        <f t="shared" si="717"/>
        <v>11</v>
      </c>
      <c r="O2335" s="25">
        <f t="shared" si="725"/>
        <v>43709</v>
      </c>
      <c r="P2335" s="5" t="str">
        <f t="shared" si="718"/>
        <v>10.000,00</v>
      </c>
      <c r="Q2335" s="4" t="e">
        <f t="shared" ca="1" si="726"/>
        <v>#NAME?</v>
      </c>
    </row>
    <row r="2336" spans="1:17">
      <c r="A2336" s="1">
        <f t="shared" si="727"/>
        <v>2335</v>
      </c>
      <c r="C2336" s="8" t="s">
        <v>17</v>
      </c>
      <c r="D2336" s="2">
        <v>43719</v>
      </c>
      <c r="E2336" s="552">
        <v>20500</v>
      </c>
      <c r="F2336" t="s">
        <v>103</v>
      </c>
      <c r="G2336" s="554" t="s">
        <v>1047</v>
      </c>
      <c r="H2336" t="s">
        <v>105</v>
      </c>
      <c r="I2336" s="6" t="s">
        <v>1048</v>
      </c>
      <c r="J2336" s="61" t="s">
        <v>22</v>
      </c>
      <c r="L2336" s="5" t="str">
        <f t="shared" si="723"/>
        <v>02335</v>
      </c>
      <c r="M2336" s="47" t="str">
        <f t="shared" si="724"/>
        <v>11 de septiembre de 2019</v>
      </c>
      <c r="N2336" s="320">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0">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0">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0">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0">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0">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0">
        <f t="shared" si="717"/>
        <v>13</v>
      </c>
      <c r="O2342" s="25">
        <f t="shared" si="725"/>
        <v>43709</v>
      </c>
      <c r="P2342" s="5" t="str">
        <f t="shared" si="728"/>
        <v>20.500,00</v>
      </c>
      <c r="Q2342" s="4" t="e">
        <f t="shared" ca="1" si="729"/>
        <v>#NAME?</v>
      </c>
    </row>
    <row r="2343" spans="1:17">
      <c r="A2343" s="1">
        <f t="shared" si="727"/>
        <v>2342</v>
      </c>
      <c r="C2343" s="8" t="s">
        <v>17</v>
      </c>
      <c r="D2343" s="2">
        <v>43722</v>
      </c>
      <c r="E2343" s="552">
        <v>20500</v>
      </c>
      <c r="F2343" t="s">
        <v>100</v>
      </c>
      <c r="G2343" t="s">
        <v>95</v>
      </c>
      <c r="H2343" t="s">
        <v>101</v>
      </c>
      <c r="I2343" s="6" t="s">
        <v>1048</v>
      </c>
      <c r="J2343" s="61" t="s">
        <v>22</v>
      </c>
      <c r="L2343" s="5" t="str">
        <f t="shared" si="723"/>
        <v>02342</v>
      </c>
      <c r="M2343" s="47" t="str">
        <f t="shared" si="724"/>
        <v>14 de septiembre de 2019</v>
      </c>
      <c r="N2343" s="320">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0">
        <f t="shared" si="717"/>
        <v>14</v>
      </c>
      <c r="O2344" s="25">
        <f t="shared" si="725"/>
        <v>43709</v>
      </c>
      <c r="P2344" s="5" t="str">
        <f t="shared" si="728"/>
        <v>10.000,00</v>
      </c>
      <c r="Q2344" s="4" t="e">
        <f t="shared" ca="1" si="729"/>
        <v>#NAME?</v>
      </c>
    </row>
    <row r="2345" spans="1:17">
      <c r="A2345" s="1">
        <f t="shared" si="727"/>
        <v>2344</v>
      </c>
      <c r="C2345" s="8" t="s">
        <v>17</v>
      </c>
      <c r="D2345" s="2">
        <v>43722</v>
      </c>
      <c r="E2345" s="552">
        <v>20500</v>
      </c>
      <c r="F2345" t="s">
        <v>785</v>
      </c>
      <c r="G2345" t="s">
        <v>786</v>
      </c>
      <c r="H2345" t="s">
        <v>719</v>
      </c>
      <c r="I2345" s="6" t="s">
        <v>1048</v>
      </c>
      <c r="J2345" s="61" t="s">
        <v>22</v>
      </c>
      <c r="L2345" s="5" t="str">
        <f t="shared" si="723"/>
        <v>02344</v>
      </c>
      <c r="M2345" s="47" t="str">
        <f t="shared" si="724"/>
        <v>14 de septiembre de 2019</v>
      </c>
      <c r="N2345" s="320">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49"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0">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3" t="s">
        <v>1052</v>
      </c>
      <c r="J2347" s="61" t="s">
        <v>22</v>
      </c>
      <c r="L2347" s="5" t="str">
        <f t="shared" si="730"/>
        <v>02346</v>
      </c>
      <c r="M2347" s="47" t="str">
        <f t="shared" si="731"/>
        <v>12 de septiembre de 2019</v>
      </c>
      <c r="N2347" s="320">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0">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0">
        <f t="shared" si="732"/>
        <v>17</v>
      </c>
      <c r="O2349" s="25">
        <f t="shared" si="733"/>
        <v>43709</v>
      </c>
      <c r="P2349" s="5" t="str">
        <f t="shared" si="728"/>
        <v>11.000,00</v>
      </c>
      <c r="Q2349" s="4" t="e">
        <f t="shared" ca="1" si="729"/>
        <v>#NAME?</v>
      </c>
    </row>
    <row r="2350" spans="1:17">
      <c r="A2350" s="1">
        <f t="shared" si="727"/>
        <v>2349</v>
      </c>
      <c r="C2350" s="8" t="s">
        <v>17</v>
      </c>
      <c r="D2350" s="2">
        <v>43726</v>
      </c>
      <c r="E2350" s="552">
        <v>21600</v>
      </c>
      <c r="F2350" t="s">
        <v>126</v>
      </c>
      <c r="G2350" t="s">
        <v>127</v>
      </c>
      <c r="H2350" t="s">
        <v>128</v>
      </c>
      <c r="I2350" s="6" t="s">
        <v>1048</v>
      </c>
      <c r="J2350" s="61" t="s">
        <v>22</v>
      </c>
      <c r="L2350" s="5" t="str">
        <f t="shared" si="730"/>
        <v>02349</v>
      </c>
      <c r="M2350" s="47" t="str">
        <f t="shared" si="731"/>
        <v>18 de septiembre de 2019</v>
      </c>
      <c r="N2350" s="320">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0">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49" t="s">
        <v>1018</v>
      </c>
      <c r="H2352" t="s">
        <v>140</v>
      </c>
      <c r="I2352" s="6" t="s">
        <v>1035</v>
      </c>
      <c r="J2352" s="61" t="s">
        <v>22</v>
      </c>
      <c r="L2352" s="5" t="str">
        <f t="shared" si="730"/>
        <v>02351</v>
      </c>
      <c r="M2352" s="47" t="str">
        <f t="shared" si="731"/>
        <v>19 de septiembre de 2019</v>
      </c>
      <c r="N2352" s="320">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0">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0">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0">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0">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0">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0">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0">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0">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0">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0">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0">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0">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0">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0">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0">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0">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0">
        <f t="shared" si="732"/>
        <v>27</v>
      </c>
      <c r="O2369" s="25">
        <f t="shared" si="733"/>
        <v>43709</v>
      </c>
      <c r="P2369" s="5" t="str">
        <f t="shared" si="728"/>
        <v>19.800,00</v>
      </c>
      <c r="Q2369" s="4" t="e">
        <f t="shared" ca="1" si="734"/>
        <v>#NAME?</v>
      </c>
    </row>
    <row r="2370" spans="1:17">
      <c r="A2370" s="1">
        <f t="shared" si="727"/>
        <v>2369</v>
      </c>
      <c r="C2370" s="8" t="s">
        <v>17</v>
      </c>
      <c r="D2370" s="2">
        <v>43736</v>
      </c>
      <c r="E2370" s="552">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0">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0">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0">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49" t="s">
        <v>978</v>
      </c>
      <c r="H2373" t="s">
        <v>92</v>
      </c>
      <c r="I2373" s="6" t="s">
        <v>1057</v>
      </c>
      <c r="J2373" s="61" t="s">
        <v>22</v>
      </c>
      <c r="L2373" s="5" t="str">
        <f t="shared" si="735"/>
        <v>02372</v>
      </c>
      <c r="M2373" s="47" t="str">
        <f t="shared" si="736"/>
        <v>29 de septiembre de 2019</v>
      </c>
      <c r="N2373" s="320">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49"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0">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0">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0">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0">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0">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0">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0">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0">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0">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0">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0">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0">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0">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0">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0">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0">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0">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0">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0">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0">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0">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0">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0">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0">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0">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0">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0">
        <f t="shared" si="742"/>
        <v>4</v>
      </c>
      <c r="O2400" s="25">
        <f t="shared" si="743"/>
        <v>43739</v>
      </c>
      <c r="P2400" s="5" t="str">
        <f t="shared" si="744"/>
        <v>21.100,00</v>
      </c>
      <c r="Q2400" s="4" t="e">
        <f t="shared" ca="1" si="746"/>
        <v>#NAME?</v>
      </c>
    </row>
    <row r="2401" spans="1:17">
      <c r="A2401" s="1">
        <f t="shared" si="749"/>
        <v>2400</v>
      </c>
      <c r="B2401" s="8"/>
      <c r="C2401" s="8" t="s">
        <v>17</v>
      </c>
      <c r="D2401" s="2">
        <v>43745</v>
      </c>
      <c r="E2401" s="552">
        <v>20300</v>
      </c>
      <c r="F2401" t="s">
        <v>103</v>
      </c>
      <c r="G2401" s="554" t="s">
        <v>1047</v>
      </c>
      <c r="H2401" t="s">
        <v>105</v>
      </c>
      <c r="I2401" s="6" t="s">
        <v>1056</v>
      </c>
      <c r="J2401" s="61" t="s">
        <v>22</v>
      </c>
      <c r="L2401" s="5" t="str">
        <f t="shared" si="740"/>
        <v>02400</v>
      </c>
      <c r="M2401" s="47" t="str">
        <f t="shared" si="741"/>
        <v>07 de octubre de 2019</v>
      </c>
      <c r="N2401" s="320">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0">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0">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0">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0">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0">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0">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0">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9" t="s">
        <v>958</v>
      </c>
      <c r="H2409" t="s">
        <v>254</v>
      </c>
      <c r="I2409" s="6" t="s">
        <v>1065</v>
      </c>
      <c r="J2409" s="61" t="s">
        <v>22</v>
      </c>
      <c r="L2409" s="5" t="str">
        <f t="shared" si="740"/>
        <v>02408</v>
      </c>
      <c r="M2409" s="47" t="str">
        <f t="shared" si="741"/>
        <v>11 de octubre de 2019</v>
      </c>
      <c r="N2409" s="320">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0">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0">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0">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0">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0">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0">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0">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0">
        <f t="shared" si="742"/>
        <v>14</v>
      </c>
      <c r="O2417" s="25">
        <f t="shared" si="752"/>
        <v>43739</v>
      </c>
      <c r="P2417" s="5" t="str">
        <f t="shared" si="744"/>
        <v>20.000,00</v>
      </c>
      <c r="Q2417" s="4" t="e">
        <f t="shared" ca="1" si="746"/>
        <v>#NAME?</v>
      </c>
    </row>
    <row r="2418" spans="1:17">
      <c r="A2418" s="318">
        <f t="shared" si="749"/>
        <v>2417</v>
      </c>
      <c r="B2418" s="543"/>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0">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0">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0">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0">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0">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0">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0">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0">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0">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0">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0">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0">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0">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0">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0">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0">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0">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0">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0">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0">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0">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0">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0">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0">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0">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2">
        <v>26700</v>
      </c>
      <c r="F2443" t="s">
        <v>103</v>
      </c>
      <c r="G2443" s="554" t="s">
        <v>1047</v>
      </c>
      <c r="H2443" t="s">
        <v>105</v>
      </c>
      <c r="I2443" s="6" t="s">
        <v>1075</v>
      </c>
      <c r="J2443" s="61" t="s">
        <v>22</v>
      </c>
      <c r="L2443" s="5" t="str">
        <f t="shared" si="759"/>
        <v>02442</v>
      </c>
      <c r="M2443" s="47" t="str">
        <f t="shared" si="760"/>
        <v>21 de octubre de 2019</v>
      </c>
      <c r="N2443" s="320">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0">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0">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0">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0">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0">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0">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49" t="s">
        <v>1018</v>
      </c>
      <c r="H2450" t="s">
        <v>140</v>
      </c>
      <c r="I2450" s="6" t="s">
        <v>1060</v>
      </c>
      <c r="J2450" s="61" t="s">
        <v>22</v>
      </c>
      <c r="L2450" s="5" t="str">
        <f t="shared" si="759"/>
        <v>02449</v>
      </c>
      <c r="M2450" s="47" t="str">
        <f t="shared" si="760"/>
        <v>23 de octubre de 2019</v>
      </c>
      <c r="N2450" s="320">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0">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0">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0">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0">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0">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0">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0">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0">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0">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0">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0">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0">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0">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0">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0">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0">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0">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0">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0">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0">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49" t="s">
        <v>978</v>
      </c>
      <c r="H2471" t="s">
        <v>92</v>
      </c>
      <c r="I2471" s="6" t="s">
        <v>1060</v>
      </c>
      <c r="J2471" s="61" t="s">
        <v>22</v>
      </c>
      <c r="L2471" s="5" t="str">
        <f t="shared" si="770"/>
        <v>02470</v>
      </c>
      <c r="M2471" s="47" t="str">
        <f t="shared" si="771"/>
        <v>29 de octubre de 2019</v>
      </c>
      <c r="N2471" s="320">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0">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0">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0">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0">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0">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0">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0">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0">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0">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9" t="s">
        <v>958</v>
      </c>
      <c r="H2481" t="s">
        <v>254</v>
      </c>
      <c r="I2481" s="6" t="s">
        <v>1080</v>
      </c>
      <c r="J2481" s="61" t="s">
        <v>22</v>
      </c>
      <c r="L2481" s="5" t="str">
        <f t="shared" si="774"/>
        <v>02480</v>
      </c>
      <c r="M2481" s="47" t="str">
        <f t="shared" si="775"/>
        <v>30 de octubre de 2019</v>
      </c>
      <c r="N2481" s="320">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9"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0">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0">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0">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0">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0">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0">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0">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0">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0">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0">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0">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0">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0">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0">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0">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0">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0">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0">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0">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0">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0">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0">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0">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0">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0">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0">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0">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0">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0">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2">
        <f>1.4*25800</f>
        <v>36120</v>
      </c>
      <c r="F2511" t="s">
        <v>103</v>
      </c>
      <c r="G2511" s="554" t="s">
        <v>1047</v>
      </c>
      <c r="H2511" t="s">
        <v>105</v>
      </c>
      <c r="I2511" s="6" t="s">
        <v>1090</v>
      </c>
      <c r="J2511" s="61" t="s">
        <v>22</v>
      </c>
      <c r="L2511" s="5" t="str">
        <f t="shared" si="786"/>
        <v>02510</v>
      </c>
      <c r="M2511" s="47" t="str">
        <f t="shared" si="787"/>
        <v>06 de noviembre de 2019</v>
      </c>
      <c r="N2511" s="320">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0">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9"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0">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0">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0">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0">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0">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0">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0">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0">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0">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0">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0">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0">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0">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0">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0">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0">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0">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0">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0">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0">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2">
        <f>5*25800</f>
        <v>129000</v>
      </c>
      <c r="F2533" t="s">
        <v>122</v>
      </c>
      <c r="G2533" t="s">
        <v>123</v>
      </c>
      <c r="H2533" t="s">
        <v>124</v>
      </c>
      <c r="I2533" s="6" t="s">
        <v>1092</v>
      </c>
      <c r="J2533" s="61" t="s">
        <v>22</v>
      </c>
      <c r="L2533" s="5" t="str">
        <f t="shared" si="799"/>
        <v>02532</v>
      </c>
      <c r="M2533" s="47" t="str">
        <f t="shared" si="800"/>
        <v>13 de noviembre de 2019</v>
      </c>
      <c r="N2533" s="320">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0">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0">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0">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9" t="s">
        <v>958</v>
      </c>
      <c r="H2537" t="s">
        <v>254</v>
      </c>
      <c r="I2537" s="6" t="s">
        <v>1095</v>
      </c>
      <c r="J2537" s="61" t="s">
        <v>22</v>
      </c>
      <c r="L2537" s="5" t="str">
        <f t="shared" si="799"/>
        <v>02536</v>
      </c>
      <c r="M2537" s="47" t="str">
        <f t="shared" si="800"/>
        <v>15 de noviembre de 2019</v>
      </c>
      <c r="N2537" s="320">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0">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0">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0">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0">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0">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0">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0">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0">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0">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0">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49" t="s">
        <v>1018</v>
      </c>
      <c r="H2548" t="s">
        <v>140</v>
      </c>
      <c r="I2548" s="6" t="s">
        <v>1082</v>
      </c>
      <c r="J2548" s="61" t="s">
        <v>22</v>
      </c>
      <c r="L2548" s="5" t="str">
        <f t="shared" si="805"/>
        <v>02547</v>
      </c>
      <c r="M2548" s="47" t="str">
        <f t="shared" si="806"/>
        <v>21 de noviembre de 2019</v>
      </c>
      <c r="N2548" s="320">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0">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0">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0">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0">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0">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0">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0">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2">
        <f>1.1*25800</f>
        <v>28380.000000000004</v>
      </c>
      <c r="F2556" t="s">
        <v>103</v>
      </c>
      <c r="G2556" s="554" t="s">
        <v>1047</v>
      </c>
      <c r="H2556" t="s">
        <v>105</v>
      </c>
      <c r="I2556" s="6" t="s">
        <v>1099</v>
      </c>
      <c r="J2556" s="61" t="s">
        <v>22</v>
      </c>
      <c r="L2556" s="5" t="str">
        <f t="shared" si="805"/>
        <v>02555</v>
      </c>
      <c r="M2556" s="47" t="str">
        <f t="shared" si="806"/>
        <v>15 de noviembre de 2019</v>
      </c>
      <c r="N2556" s="320">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0">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9"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0">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9" t="s">
        <v>1101</v>
      </c>
      <c r="H2559" t="s">
        <v>217</v>
      </c>
      <c r="I2559" s="6" t="s">
        <v>1082</v>
      </c>
      <c r="J2559" s="61" t="s">
        <v>22</v>
      </c>
      <c r="L2559" s="5" t="str">
        <f t="shared" si="813"/>
        <v>02558</v>
      </c>
      <c r="M2559" s="47" t="str">
        <f t="shared" si="814"/>
        <v>26 de noviembre de 2019</v>
      </c>
      <c r="N2559" s="320">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0">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49" t="s">
        <v>978</v>
      </c>
      <c r="H2561" t="s">
        <v>92</v>
      </c>
      <c r="I2561" s="6" t="s">
        <v>1082</v>
      </c>
      <c r="J2561" s="61" t="s">
        <v>22</v>
      </c>
      <c r="L2561" s="5" t="str">
        <f t="shared" si="813"/>
        <v>02560</v>
      </c>
      <c r="M2561" s="47" t="str">
        <f t="shared" si="814"/>
        <v>28 de noviembre de 2019</v>
      </c>
      <c r="N2561" s="320">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0">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0">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0">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0">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0">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0">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0">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0">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0">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0">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0">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0">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0">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0">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0">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0">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0">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0">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0">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0">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0">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0">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0">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0">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0">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0">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0">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9" t="s">
        <v>958</v>
      </c>
      <c r="H2589" t="s">
        <v>254</v>
      </c>
      <c r="I2589" s="6" t="s">
        <v>1084</v>
      </c>
      <c r="J2589" s="61" t="s">
        <v>22</v>
      </c>
      <c r="L2589" s="5" t="str">
        <f t="shared" si="813"/>
        <v>02588</v>
      </c>
      <c r="M2589" s="47" t="str">
        <f t="shared" si="814"/>
        <v>01 de diciembre de 2019</v>
      </c>
      <c r="N2589" s="320">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0">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0">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0">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0">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0">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0">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0">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0">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4" t="s">
        <v>1047</v>
      </c>
      <c r="H2598" t="s">
        <v>105</v>
      </c>
      <c r="I2598" s="6" t="s">
        <v>1100</v>
      </c>
      <c r="J2598" s="61" t="s">
        <v>22</v>
      </c>
      <c r="L2598" s="5" t="str">
        <f t="shared" si="813"/>
        <v>02597</v>
      </c>
      <c r="M2598" s="47" t="str">
        <f t="shared" si="814"/>
        <v>06 de diciembre de 2019</v>
      </c>
      <c r="N2598" s="320">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0">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0">
        <f t="shared" si="819"/>
        <v>6</v>
      </c>
      <c r="O2600" s="25">
        <f t="shared" si="815"/>
        <v>43800</v>
      </c>
      <c r="P2600" s="5" t="str">
        <f t="shared" si="825"/>
        <v>97.500,00</v>
      </c>
      <c r="Q2600" s="4" t="e">
        <f t="shared" ca="1" si="826"/>
        <v>#NAME?</v>
      </c>
    </row>
    <row r="2601" spans="1:17">
      <c r="A2601" s="318">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0">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0">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0">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0">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0">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0">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0">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0">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0">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5">
        <f>A2609+1</f>
        <v>2609</v>
      </c>
      <c r="B2610" s="596"/>
      <c r="C2610" s="596" t="s">
        <v>225</v>
      </c>
      <c r="D2610" s="597">
        <v>43810</v>
      </c>
      <c r="E2610" s="598">
        <v>2387000</v>
      </c>
      <c r="F2610" s="599" t="s">
        <v>1113</v>
      </c>
      <c r="G2610" s="599" t="s">
        <v>1114</v>
      </c>
      <c r="H2610" s="599" t="s">
        <v>1115</v>
      </c>
      <c r="I2610" s="600" t="s">
        <v>1117</v>
      </c>
      <c r="J2610" s="601" t="s">
        <v>1118</v>
      </c>
      <c r="K2610" s="602"/>
      <c r="L2610" s="5" t="str">
        <f t="shared" ref="L2610:L2629" si="845">IF(ISBLANK(A2610),"",TEXT(A2610,"00000"))</f>
        <v>02609</v>
      </c>
      <c r="M2610" s="47" t="str">
        <f t="shared" ref="M2610:M2629" si="846">IF(ISBLANK(D2610),"",TEXT(D2610,"dd")&amp;" de "&amp;TEXT(D2610,"mmmm")&amp;" de "&amp;TEXT(YEAR(D2610),"0"))</f>
        <v>11 de diciembre de 2019</v>
      </c>
      <c r="N2610" s="320">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0">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0">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0">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0">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0">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0">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0">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0">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0">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0">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0">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0">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49" t="s">
        <v>1018</v>
      </c>
      <c r="H2623" t="s">
        <v>140</v>
      </c>
      <c r="I2623" s="6" t="s">
        <v>1100</v>
      </c>
      <c r="J2623" s="61" t="s">
        <v>22</v>
      </c>
      <c r="L2623" s="5" t="str">
        <f t="shared" si="845"/>
        <v>02622</v>
      </c>
      <c r="M2623" s="47" t="str">
        <f t="shared" si="846"/>
        <v>20 de diciembre de 2019</v>
      </c>
      <c r="N2623" s="320">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0">
        <f t="shared" si="847"/>
        <v>19</v>
      </c>
      <c r="O2624" s="25">
        <f t="shared" si="848"/>
        <v>43800</v>
      </c>
      <c r="P2624" s="5" t="str">
        <f t="shared" si="849"/>
        <v>105.250,00</v>
      </c>
      <c r="Q2624" s="4" t="e">
        <f t="shared" ca="1" si="850"/>
        <v>#NAME?</v>
      </c>
    </row>
    <row r="2625" spans="1:17">
      <c r="A2625" s="318">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0">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0">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0">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9" t="s">
        <v>958</v>
      </c>
      <c r="H2628" t="s">
        <v>254</v>
      </c>
      <c r="I2628" s="6" t="s">
        <v>1105</v>
      </c>
      <c r="J2628" s="61" t="s">
        <v>22</v>
      </c>
      <c r="L2628" s="5" t="str">
        <f t="shared" si="845"/>
        <v>02627</v>
      </c>
      <c r="M2628" s="47" t="str">
        <f t="shared" si="846"/>
        <v>13 de diciembre de 2019</v>
      </c>
      <c r="N2628" s="320">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0">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9"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0">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0">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0">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0">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0">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0">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0">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4" t="s">
        <v>1047</v>
      </c>
      <c r="H2637" t="s">
        <v>105</v>
      </c>
      <c r="I2637" s="6" t="s">
        <v>1121</v>
      </c>
      <c r="J2637" s="61" t="s">
        <v>22</v>
      </c>
      <c r="L2637" s="5" t="str">
        <f t="shared" si="856"/>
        <v>02636</v>
      </c>
      <c r="M2637" s="47" t="str">
        <f t="shared" si="857"/>
        <v>04 de enero de 2020</v>
      </c>
      <c r="N2637" s="320">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0">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0">
        <f t="shared" si="858"/>
        <v>4</v>
      </c>
      <c r="O2639" s="25">
        <f t="shared" si="859"/>
        <v>43831</v>
      </c>
      <c r="P2639" s="5" t="str">
        <f t="shared" si="860"/>
        <v>136.250,00</v>
      </c>
      <c r="Q2639" s="4" t="e">
        <f t="shared" ca="1" si="863"/>
        <v>#NAME?</v>
      </c>
    </row>
    <row r="2640" spans="1:17">
      <c r="A2640" s="603">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0">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0">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0">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0">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0">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0">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0">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0">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0">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0">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0">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0">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0">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0">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0">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0">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0">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0">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0">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0">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0">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0">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0">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0">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0">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0">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0">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0">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0">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0">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9" t="s">
        <v>958</v>
      </c>
      <c r="H2670" t="s">
        <v>254</v>
      </c>
      <c r="I2670" s="6" t="s">
        <v>1134</v>
      </c>
      <c r="J2670" s="61" t="s">
        <v>22</v>
      </c>
      <c r="L2670" s="5" t="str">
        <f t="shared" si="867"/>
        <v>02669</v>
      </c>
      <c r="M2670" s="47" t="str">
        <f t="shared" si="868"/>
        <v>15 de enero de 2020</v>
      </c>
      <c r="N2670" s="320">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0">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0">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0">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0">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0">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0">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0">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0">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0">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0">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0">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0">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0">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0">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49" t="s">
        <v>1018</v>
      </c>
      <c r="H2685" t="s">
        <v>140</v>
      </c>
      <c r="I2685" s="6" t="s">
        <v>1121</v>
      </c>
      <c r="J2685" s="61" t="s">
        <v>22</v>
      </c>
      <c r="L2685" s="5" t="str">
        <f t="shared" si="892"/>
        <v>02684</v>
      </c>
      <c r="M2685" s="47" t="str">
        <f t="shared" si="893"/>
        <v>23 de enero de 2020</v>
      </c>
      <c r="N2685" s="320">
        <f t="shared" si="894"/>
        <v>23</v>
      </c>
      <c r="O2685" s="25">
        <f t="shared" si="895"/>
        <v>43831</v>
      </c>
      <c r="P2685" s="5" t="str">
        <f t="shared" si="896"/>
        <v>136.250,00</v>
      </c>
      <c r="Q2685" s="4" t="e">
        <f t="shared" ca="1" si="897"/>
        <v>#NAME?</v>
      </c>
    </row>
    <row r="2686" spans="1:17">
      <c r="A2686" s="318">
        <f t="shared" si="891"/>
        <v>2685</v>
      </c>
      <c r="B2686" s="12"/>
      <c r="C2686" s="12" t="s">
        <v>225</v>
      </c>
      <c r="D2686" s="17">
        <v>43854</v>
      </c>
      <c r="E2686" s="606">
        <f>1*74200+70000</f>
        <v>144200</v>
      </c>
      <c r="F2686" s="14" t="s">
        <v>126</v>
      </c>
      <c r="G2686" s="14" t="s">
        <v>127</v>
      </c>
      <c r="H2686" s="14" t="s">
        <v>128</v>
      </c>
      <c r="I2686" s="15" t="s">
        <v>1100</v>
      </c>
      <c r="J2686" s="62" t="s">
        <v>426</v>
      </c>
      <c r="K2686" s="16"/>
      <c r="L2686" s="5" t="str">
        <f t="shared" si="892"/>
        <v>02685</v>
      </c>
      <c r="M2686" s="47" t="str">
        <f t="shared" si="893"/>
        <v>24 de enero de 2020</v>
      </c>
      <c r="N2686" s="320">
        <f t="shared" si="894"/>
        <v>24</v>
      </c>
      <c r="O2686" s="25">
        <f t="shared" si="895"/>
        <v>43831</v>
      </c>
      <c r="P2686" s="5" t="str">
        <f t="shared" si="896"/>
        <v>144.200,00</v>
      </c>
      <c r="Q2686" s="4" t="e">
        <f t="shared" ca="1" si="897"/>
        <v>#NAME?</v>
      </c>
    </row>
    <row r="2687" spans="1:17">
      <c r="A2687" s="1">
        <f>A2686+1</f>
        <v>2686</v>
      </c>
      <c r="B2687" s="8"/>
      <c r="C2687" s="8" t="s">
        <v>17</v>
      </c>
      <c r="D2687" s="2">
        <v>43854</v>
      </c>
      <c r="E2687" s="552">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0">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0">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0">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0">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0">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0">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0">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0">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0">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0">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9" t="s">
        <v>978</v>
      </c>
      <c r="H2697" t="s">
        <v>92</v>
      </c>
      <c r="I2697" s="6" t="s">
        <v>1097</v>
      </c>
      <c r="J2697" s="61" t="s">
        <v>22</v>
      </c>
      <c r="L2697" s="5" t="str">
        <f t="shared" si="906"/>
        <v>02696</v>
      </c>
      <c r="M2697" s="47" t="str">
        <f t="shared" si="907"/>
        <v>31 de enero de 2020</v>
      </c>
      <c r="N2697" s="320">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0">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0">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0">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0">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0">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0">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0">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0">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0">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9" t="s">
        <v>958</v>
      </c>
      <c r="H2707" t="s">
        <v>254</v>
      </c>
      <c r="I2707" s="6" t="s">
        <v>1143</v>
      </c>
      <c r="J2707" s="61" t="s">
        <v>22</v>
      </c>
      <c r="L2707" s="5" t="str">
        <f t="shared" si="913"/>
        <v>02706</v>
      </c>
      <c r="M2707" s="47" t="str">
        <f t="shared" si="914"/>
        <v>02 de febrero de 2020</v>
      </c>
      <c r="N2707" s="320">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0">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0">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0">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0">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0">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0">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0">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0">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0">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0">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0">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0">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0">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0">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0">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2">
        <f>73400*10</f>
        <v>734000</v>
      </c>
      <c r="F2723" t="s">
        <v>785</v>
      </c>
      <c r="G2723" t="s">
        <v>786</v>
      </c>
      <c r="H2723" t="s">
        <v>719</v>
      </c>
      <c r="I2723" s="6" t="s">
        <v>1149</v>
      </c>
      <c r="J2723" s="61" t="s">
        <v>22</v>
      </c>
      <c r="L2723" s="5" t="str">
        <f t="shared" si="923"/>
        <v>02722</v>
      </c>
      <c r="M2723" s="47" t="str">
        <f t="shared" si="924"/>
        <v>05 de febrero de 2020</v>
      </c>
      <c r="N2723" s="320">
        <f t="shared" si="925"/>
        <v>5</v>
      </c>
      <c r="O2723" s="25">
        <f t="shared" si="926"/>
        <v>43862</v>
      </c>
      <c r="P2723" s="5" t="str">
        <f t="shared" si="930"/>
        <v>734.000,00</v>
      </c>
      <c r="Q2723" s="4" t="e">
        <f t="shared" ca="1" si="931"/>
        <v>#NAME?</v>
      </c>
    </row>
    <row r="2724" spans="1:17">
      <c r="A2724" s="1">
        <f>A2723+1</f>
        <v>2723</v>
      </c>
      <c r="C2724" s="8" t="s">
        <v>17</v>
      </c>
      <c r="D2724" s="2">
        <v>43866</v>
      </c>
      <c r="E2724" s="552">
        <f>73400*2+20000</f>
        <v>166800</v>
      </c>
      <c r="F2724" t="s">
        <v>401</v>
      </c>
      <c r="G2724" t="s">
        <v>402</v>
      </c>
      <c r="H2724" t="s">
        <v>403</v>
      </c>
      <c r="I2724" s="6" t="s">
        <v>1150</v>
      </c>
      <c r="J2724" s="61" t="s">
        <v>22</v>
      </c>
      <c r="L2724" s="5" t="str">
        <f t="shared" si="923"/>
        <v>02723</v>
      </c>
      <c r="M2724" s="47" t="str">
        <f t="shared" si="924"/>
        <v>05 de febrero de 2020</v>
      </c>
      <c r="N2724" s="320">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0">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0">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0">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0">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0">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2">
        <f>73400*2+36000</f>
        <v>182800</v>
      </c>
      <c r="F2730" t="s">
        <v>291</v>
      </c>
      <c r="G2730" t="s">
        <v>292</v>
      </c>
      <c r="H2730" t="s">
        <v>293</v>
      </c>
      <c r="I2730" s="161" t="s">
        <v>1154</v>
      </c>
      <c r="J2730" s="61" t="s">
        <v>22</v>
      </c>
      <c r="L2730" s="5" t="str">
        <f t="shared" si="923"/>
        <v>02729</v>
      </c>
      <c r="M2730" s="47" t="str">
        <f t="shared" si="924"/>
        <v>06 de febrero de 2020</v>
      </c>
      <c r="N2730" s="320">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0">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0">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0">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0">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0">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0">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0">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0">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4"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0">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0">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0">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0">
        <f t="shared" si="925"/>
        <v>10</v>
      </c>
      <c r="O2742" s="25">
        <f t="shared" si="939"/>
        <v>43862</v>
      </c>
      <c r="P2742" s="5" t="str">
        <f t="shared" si="930"/>
        <v>136.250,00</v>
      </c>
      <c r="Q2742" s="4" t="e">
        <f t="shared" ca="1" si="931"/>
        <v>#NAME?</v>
      </c>
    </row>
    <row r="2743" spans="1:17">
      <c r="A2743" s="1">
        <f>A2742+1</f>
        <v>2742</v>
      </c>
      <c r="B2743" s="8"/>
      <c r="C2743" s="8" t="s">
        <v>17</v>
      </c>
      <c r="D2743" s="2">
        <v>43872</v>
      </c>
      <c r="E2743" s="552">
        <f>1*73500+50000+5000</f>
        <v>128500</v>
      </c>
      <c r="F2743" t="s">
        <v>126</v>
      </c>
      <c r="G2743" t="s">
        <v>127</v>
      </c>
      <c r="H2743" t="s">
        <v>128</v>
      </c>
      <c r="I2743" s="6" t="s">
        <v>1153</v>
      </c>
      <c r="J2743" s="61" t="s">
        <v>22</v>
      </c>
      <c r="L2743" s="5" t="str">
        <f t="shared" si="937"/>
        <v>02742</v>
      </c>
      <c r="M2743" s="47" t="str">
        <f t="shared" si="938"/>
        <v>11 de febrero de 2020</v>
      </c>
      <c r="N2743" s="320">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0">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0">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0">
        <f t="shared" si="925"/>
        <v>11</v>
      </c>
      <c r="O2746" s="25">
        <f t="shared" si="939"/>
        <v>43862</v>
      </c>
      <c r="P2746" s="5" t="str">
        <f t="shared" si="930"/>
        <v>136.250,00</v>
      </c>
      <c r="Q2746" s="4" t="e">
        <f t="shared" ca="1" si="931"/>
        <v>#NAME?</v>
      </c>
    </row>
    <row r="2747" spans="1:17">
      <c r="A2747" s="603">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0">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0">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0">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0">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0">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0">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0">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0">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0">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0">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9" t="s">
        <v>958</v>
      </c>
      <c r="H2757" t="s">
        <v>254</v>
      </c>
      <c r="I2757" s="6" t="s">
        <v>1158</v>
      </c>
      <c r="J2757" s="61" t="s">
        <v>22</v>
      </c>
      <c r="L2757" s="5" t="str">
        <f t="shared" si="946"/>
        <v>02756</v>
      </c>
      <c r="M2757" s="47" t="str">
        <f t="shared" si="947"/>
        <v>21 de febrero de 2020</v>
      </c>
      <c r="N2757" s="320">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0">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0">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0">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0">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0">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0">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0">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0">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49" t="s">
        <v>1160</v>
      </c>
      <c r="H2766" t="s">
        <v>140</v>
      </c>
      <c r="I2766" s="6" t="s">
        <v>1142</v>
      </c>
      <c r="J2766" s="61" t="s">
        <v>22</v>
      </c>
      <c r="L2766" s="5" t="str">
        <f t="shared" si="953"/>
        <v>02765</v>
      </c>
      <c r="M2766" s="47" t="str">
        <f t="shared" si="954"/>
        <v>28 de febrero de 2020</v>
      </c>
      <c r="N2766" s="320">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0">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0">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9" t="s">
        <v>978</v>
      </c>
      <c r="H2769" t="s">
        <v>92</v>
      </c>
      <c r="I2769" s="6" t="s">
        <v>1142</v>
      </c>
      <c r="J2769" s="61" t="s">
        <v>22</v>
      </c>
      <c r="L2769" s="5" t="str">
        <f t="shared" si="958"/>
        <v>02768</v>
      </c>
      <c r="M2769" s="47" t="str">
        <f t="shared" si="959"/>
        <v>29 de febrero de 2020</v>
      </c>
      <c r="N2769" s="320">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0">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0">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0">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0">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0">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0">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0">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0">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0">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0">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0">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0">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0">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0">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0">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0">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0">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0">
        <f t="shared" si="960"/>
        <v>5</v>
      </c>
      <c r="O2787" s="25">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1167</v>
      </c>
      <c r="J2788" s="61" t="s">
        <v>22</v>
      </c>
      <c r="L2788" s="5" t="str">
        <f t="shared" si="958"/>
        <v>02787</v>
      </c>
      <c r="M2788" s="47" t="str">
        <f t="shared" si="959"/>
        <v>05 de marzo de 2020</v>
      </c>
      <c r="N2788" s="320">
        <f t="shared" si="960"/>
        <v>5</v>
      </c>
      <c r="O2788" s="25">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0">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0">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49" t="s">
        <v>1168</v>
      </c>
      <c r="H2791" t="s">
        <v>42</v>
      </c>
      <c r="I2791" s="6" t="s">
        <v>1163</v>
      </c>
      <c r="J2791" s="61" t="s">
        <v>22</v>
      </c>
      <c r="L2791" s="5" t="str">
        <f t="shared" si="958"/>
        <v>02790</v>
      </c>
      <c r="M2791" s="47" t="str">
        <f t="shared" si="959"/>
        <v>06 de marzo de 2020</v>
      </c>
      <c r="N2791" s="320">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0">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0">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0">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0">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0">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0">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0">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0">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0">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0">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0">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0">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0">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0">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9" t="s">
        <v>958</v>
      </c>
      <c r="H2806" t="s">
        <v>254</v>
      </c>
      <c r="I2806" s="6" t="s">
        <v>1172</v>
      </c>
      <c r="J2806" s="61" t="s">
        <v>22</v>
      </c>
      <c r="L2806" s="5" t="str">
        <f t="shared" si="971"/>
        <v>02805</v>
      </c>
      <c r="M2806" s="47" t="str">
        <f t="shared" si="972"/>
        <v>12 de marzo de 2020</v>
      </c>
      <c r="N2806" s="320">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4" t="s">
        <v>1047</v>
      </c>
      <c r="H2807" t="s">
        <v>105</v>
      </c>
      <c r="I2807" s="6" t="s">
        <v>1163</v>
      </c>
      <c r="J2807" s="61" t="s">
        <v>22</v>
      </c>
      <c r="L2807" s="5" t="str">
        <f t="shared" si="971"/>
        <v>02806</v>
      </c>
      <c r="M2807" s="47" t="str">
        <f t="shared" si="972"/>
        <v>13 de marzo de 2020</v>
      </c>
      <c r="N2807" s="320">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0">
        <f t="shared" si="973"/>
        <v>12</v>
      </c>
      <c r="O2808" s="25">
        <f t="shared" si="974"/>
        <v>43891</v>
      </c>
      <c r="P2808" s="5" t="str">
        <f t="shared" si="977"/>
        <v>200.000,00</v>
      </c>
      <c r="Q2808" s="4" t="e">
        <f t="shared" ca="1" si="978"/>
        <v>#NAME?</v>
      </c>
    </row>
    <row r="2809" spans="1:17">
      <c r="A2809" s="603">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0">
        <f t="shared" si="973"/>
        <v>12</v>
      </c>
      <c r="O2809" s="25">
        <f t="shared" si="974"/>
        <v>43891</v>
      </c>
      <c r="P2809" s="5" t="str">
        <f t="shared" si="977"/>
        <v>185.250,00</v>
      </c>
      <c r="Q2809" s="4" t="e">
        <f t="shared" ca="1" si="978"/>
        <v>#NAME?</v>
      </c>
    </row>
    <row r="2810" spans="1:17">
      <c r="A2810" s="603">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0">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0">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0">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0">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2" t="s">
        <v>240</v>
      </c>
      <c r="H2814" t="s">
        <v>241</v>
      </c>
      <c r="I2814" s="6" t="s">
        <v>1163</v>
      </c>
      <c r="J2814" s="61" t="s">
        <v>22</v>
      </c>
      <c r="L2814" s="5" t="str">
        <f t="shared" si="980"/>
        <v>02813</v>
      </c>
      <c r="M2814" s="47" t="str">
        <f t="shared" si="981"/>
        <v>20 de marzo de 2020</v>
      </c>
      <c r="N2814" s="320">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0">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0">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0">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0">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0">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9" t="s">
        <v>958</v>
      </c>
      <c r="H2820" t="s">
        <v>254</v>
      </c>
      <c r="I2820" s="6" t="s">
        <v>1162</v>
      </c>
      <c r="J2820" s="61" t="s">
        <v>22</v>
      </c>
      <c r="L2820" s="5" t="str">
        <f t="shared" si="980"/>
        <v>02819</v>
      </c>
      <c r="M2820" s="47" t="str">
        <f t="shared" si="981"/>
        <v>23 de marzo de 2020</v>
      </c>
      <c r="N2820" s="320">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0">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0">
        <f t="shared" si="982"/>
        <v>11</v>
      </c>
      <c r="O2822" s="25">
        <f t="shared" si="983"/>
        <v>43891</v>
      </c>
      <c r="P2822" s="5" t="str">
        <f t="shared" si="984"/>
        <v>100.000,00</v>
      </c>
      <c r="Q2822" s="4" t="e">
        <f t="shared" ca="1" si="985"/>
        <v>#NAME?</v>
      </c>
    </row>
    <row r="2823" spans="1:17">
      <c r="A2823" s="611">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0">
        <f t="shared" si="982"/>
        <v>12</v>
      </c>
      <c r="O2823" s="25">
        <f t="shared" si="983"/>
        <v>43891</v>
      </c>
      <c r="P2823" s="5" t="str">
        <f t="shared" si="984"/>
        <v>185.250,00</v>
      </c>
      <c r="Q2823" s="4" t="e">
        <f t="shared" ca="1" si="985"/>
        <v>#NAME?</v>
      </c>
    </row>
    <row r="2824" spans="1:17">
      <c r="A2824" s="603">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0">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0">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0">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0">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0">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2">
        <f>185250+185250/2.5*0.5</f>
        <v>222300</v>
      </c>
      <c r="F2829" t="s">
        <v>230</v>
      </c>
      <c r="G2829" t="s">
        <v>231</v>
      </c>
      <c r="H2829" t="s">
        <v>232</v>
      </c>
      <c r="I2829" s="6" t="s">
        <v>1176</v>
      </c>
      <c r="J2829" s="61" t="s">
        <v>22</v>
      </c>
      <c r="L2829" s="5" t="str">
        <f t="shared" si="989"/>
        <v>02828</v>
      </c>
      <c r="M2829" s="47" t="str">
        <f t="shared" si="990"/>
        <v>25 de marzo de 2020</v>
      </c>
      <c r="N2829" s="320">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0">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0">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0">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0">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0">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0">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0">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0">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0">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9" t="s">
        <v>978</v>
      </c>
      <c r="H2839" t="s">
        <v>92</v>
      </c>
      <c r="I2839" s="6" t="s">
        <v>1180</v>
      </c>
      <c r="J2839" s="61" t="s">
        <v>22</v>
      </c>
      <c r="L2839" s="5" t="str">
        <f t="shared" si="994"/>
        <v>02838</v>
      </c>
      <c r="M2839" s="47" t="str">
        <f t="shared" si="995"/>
        <v>27 de marzo de 2020</v>
      </c>
      <c r="N2839" s="320">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0">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49" t="s">
        <v>1160</v>
      </c>
      <c r="H2841" t="s">
        <v>140</v>
      </c>
      <c r="I2841" s="6" t="s">
        <v>1163</v>
      </c>
      <c r="J2841" s="61" t="s">
        <v>22</v>
      </c>
      <c r="L2841" s="5" t="str">
        <f t="shared" si="994"/>
        <v>02840</v>
      </c>
      <c r="M2841" s="47" t="str">
        <f t="shared" si="995"/>
        <v>30 de marzo de 2020</v>
      </c>
      <c r="N2841" s="320">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0">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0">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0">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4" t="s">
        <v>1047</v>
      </c>
      <c r="H2845" t="s">
        <v>105</v>
      </c>
      <c r="I2845" s="6" t="s">
        <v>1175</v>
      </c>
      <c r="J2845" s="61" t="s">
        <v>22</v>
      </c>
      <c r="L2845" s="5" t="str">
        <f t="shared" si="994"/>
        <v>02844</v>
      </c>
      <c r="M2845" s="47" t="str">
        <f t="shared" si="995"/>
        <v>01 de abril de 2020</v>
      </c>
      <c r="N2845" s="320">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0">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0">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0">
        <f t="shared" si="997"/>
        <v>1</v>
      </c>
      <c r="O2848" s="25">
        <f t="shared" si="996"/>
        <v>43922</v>
      </c>
      <c r="P2848" s="5" t="str">
        <f t="shared" si="998"/>
        <v>186.250,00</v>
      </c>
      <c r="Q2848" s="4" t="e">
        <f t="shared" ref="Q2848:Q2851" ca="1" si="1003">CONVERTIRNUM(E2848)</f>
        <v>#NAME?</v>
      </c>
    </row>
    <row r="2849" spans="1:17">
      <c r="A2849" s="603">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0">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0">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0">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0">
        <f t="shared" si="997"/>
        <v>2</v>
      </c>
      <c r="O2852" s="25">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1163</v>
      </c>
      <c r="J2853" s="61" t="s">
        <v>22</v>
      </c>
      <c r="L2853" s="5" t="str">
        <f t="shared" si="994"/>
        <v>02852</v>
      </c>
      <c r="M2853" s="47" t="str">
        <f t="shared" si="995"/>
        <v>03 de abril de 2020</v>
      </c>
      <c r="N2853" s="320">
        <f t="shared" si="997"/>
        <v>3</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0">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0">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0">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0">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0">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0">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0">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0">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0">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0">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0">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0">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0">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0">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0">
        <f t="shared" si="1012"/>
        <v>5</v>
      </c>
      <c r="O2868" s="25">
        <f t="shared" si="1013"/>
        <v>43922</v>
      </c>
      <c r="P2868" s="5" t="str">
        <f t="shared" si="1014"/>
        <v>186.000,00</v>
      </c>
      <c r="Q2868" s="4" t="e">
        <f t="shared" ca="1" si="1015"/>
        <v>#NAME?</v>
      </c>
    </row>
    <row r="2869" spans="1:17">
      <c r="A2869" s="1">
        <f>A2868+1</f>
        <v>2868</v>
      </c>
      <c r="C2869" s="8" t="s">
        <v>17</v>
      </c>
      <c r="D2869" s="2">
        <v>43926</v>
      </c>
      <c r="E2869" s="3">
        <f>186000+38200</f>
        <v>224200</v>
      </c>
      <c r="F2869" s="554" t="s">
        <v>1186</v>
      </c>
      <c r="G2869" t="s">
        <v>1187</v>
      </c>
      <c r="H2869" t="s">
        <v>50</v>
      </c>
      <c r="I2869" s="6" t="s">
        <v>1188</v>
      </c>
      <c r="J2869" s="61" t="s">
        <v>22</v>
      </c>
      <c r="L2869" s="5" t="str">
        <f t="shared" si="1010"/>
        <v>02868</v>
      </c>
      <c r="M2869" s="47" t="str">
        <f t="shared" si="1011"/>
        <v>05 de abril de 2020</v>
      </c>
      <c r="N2869" s="320">
        <f t="shared" si="1012"/>
        <v>5</v>
      </c>
      <c r="O2869" s="25">
        <f t="shared" si="1013"/>
        <v>43922</v>
      </c>
      <c r="P2869" s="5" t="str">
        <f t="shared" si="1014"/>
        <v>224.200,00</v>
      </c>
      <c r="Q2869" s="4" t="e">
        <f t="shared" ca="1" si="1015"/>
        <v>#NAME?</v>
      </c>
    </row>
    <row r="2870" spans="1:17">
      <c r="A2870" s="603">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0">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0">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0">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0">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0">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0">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0">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49" t="s">
        <v>1168</v>
      </c>
      <c r="H2877" t="s">
        <v>42</v>
      </c>
      <c r="I2877" s="6" t="s">
        <v>1175</v>
      </c>
      <c r="J2877" s="61" t="s">
        <v>22</v>
      </c>
      <c r="L2877" s="5" t="str">
        <f t="shared" si="1010"/>
        <v>02876</v>
      </c>
      <c r="M2877" s="47" t="str">
        <f t="shared" si="1011"/>
        <v>09 de abril de 2020</v>
      </c>
      <c r="N2877" s="320">
        <f t="shared" si="1012"/>
        <v>9</v>
      </c>
      <c r="O2877" s="25">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0">
        <f t="shared" si="1012"/>
        <v>10</v>
      </c>
      <c r="O2878" s="25">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0">
        <f t="shared" si="1012"/>
        <v>13</v>
      </c>
      <c r="O2879" s="25">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1178</v>
      </c>
      <c r="J2880" s="61" t="s">
        <v>22</v>
      </c>
      <c r="L2880" s="5" t="str">
        <f t="shared" ref="L2880:L2888" si="1020">IF(ISBLANK(A2880),"",TEXT(A2880,"00000"))</f>
        <v>02879</v>
      </c>
      <c r="M2880" s="47" t="str">
        <f t="shared" ref="M2880:M2888" si="1021">IF(ISBLANK(D2880),"",TEXT(D2880,"dd")&amp;" de "&amp;TEXT(D2880,"mmmm")&amp;" de "&amp;TEXT(YEAR(D2880),"0"))</f>
        <v>13 de abril de 2020</v>
      </c>
      <c r="N2880" s="320">
        <f t="shared" ref="N2880:N2903" si="1022">DAY(D2880)</f>
        <v>13</v>
      </c>
      <c r="O2880" s="25">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1175</v>
      </c>
      <c r="J2881" s="61" t="s">
        <v>22</v>
      </c>
      <c r="L2881" s="5" t="str">
        <f t="shared" si="1020"/>
        <v>02880</v>
      </c>
      <c r="M2881" s="47" t="str">
        <f t="shared" si="1021"/>
        <v>13 de abril de 2020</v>
      </c>
      <c r="N2881" s="320">
        <f t="shared" si="1022"/>
        <v>13</v>
      </c>
      <c r="O2881" s="25">
        <f t="shared" si="1023"/>
        <v>43922</v>
      </c>
      <c r="P2881" s="5" t="str">
        <f t="shared" si="1024"/>
        <v>186.250,00</v>
      </c>
      <c r="Q2881" s="4" t="e">
        <f t="shared" ca="1" si="1025"/>
        <v>#NAME?</v>
      </c>
    </row>
    <row r="2882" spans="1:17">
      <c r="A2882" s="1">
        <f t="shared" si="1019"/>
        <v>2881</v>
      </c>
      <c r="B2882" s="8"/>
      <c r="C2882" s="85" t="s">
        <v>17</v>
      </c>
      <c r="D2882" s="2">
        <v>43935</v>
      </c>
      <c r="E2882" s="3">
        <v>271615</v>
      </c>
      <c r="F2882" s="23" t="s">
        <v>422</v>
      </c>
      <c r="G2882" s="18" t="s">
        <v>58</v>
      </c>
      <c r="H2882" t="s">
        <v>423</v>
      </c>
      <c r="I2882" s="6" t="s">
        <v>1189</v>
      </c>
      <c r="J2882" s="61" t="s">
        <v>22</v>
      </c>
      <c r="L2882" s="5" t="str">
        <f t="shared" si="1020"/>
        <v>02881</v>
      </c>
      <c r="M2882" s="47" t="str">
        <f t="shared" si="1021"/>
        <v>14 de abril de 2020</v>
      </c>
      <c r="N2882" s="320">
        <f t="shared" si="1022"/>
        <v>14</v>
      </c>
      <c r="O2882" s="25">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1175</v>
      </c>
      <c r="J2883" s="61" t="s">
        <v>22</v>
      </c>
      <c r="L2883" s="5" t="str">
        <f t="shared" si="1020"/>
        <v>02882</v>
      </c>
      <c r="M2883" s="47" t="str">
        <f t="shared" si="1021"/>
        <v>13 de abril de 2020</v>
      </c>
      <c r="N2883" s="320">
        <f t="shared" si="1022"/>
        <v>13</v>
      </c>
      <c r="O2883" s="25">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1175</v>
      </c>
      <c r="J2884" s="61" t="s">
        <v>22</v>
      </c>
      <c r="L2884" s="5" t="str">
        <f t="shared" si="1020"/>
        <v>02883</v>
      </c>
      <c r="M2884" s="47" t="str">
        <f t="shared" si="1021"/>
        <v>15 de abril de 2020</v>
      </c>
      <c r="N2884" s="320">
        <f t="shared" si="1022"/>
        <v>15</v>
      </c>
      <c r="O2884" s="25">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1190</v>
      </c>
      <c r="J2885" s="61" t="s">
        <v>22</v>
      </c>
      <c r="L2885" s="5" t="str">
        <f t="shared" si="1020"/>
        <v>02884</v>
      </c>
      <c r="M2885" s="47" t="str">
        <f t="shared" si="1021"/>
        <v>16 de abril de 2020</v>
      </c>
      <c r="N2885" s="320">
        <f t="shared" si="1022"/>
        <v>16</v>
      </c>
      <c r="O2885" s="25">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20"/>
        <v>02885</v>
      </c>
      <c r="M2886" s="47" t="str">
        <f t="shared" si="1021"/>
        <v>16 de abril de 2020</v>
      </c>
      <c r="N2886" s="320">
        <f t="shared" si="1022"/>
        <v>16</v>
      </c>
      <c r="O2886" s="25">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20"/>
        <v>02886</v>
      </c>
      <c r="M2887" s="47" t="str">
        <f t="shared" si="1021"/>
        <v>17 de abril de 2020</v>
      </c>
      <c r="N2887" s="320">
        <f t="shared" si="1022"/>
        <v>17</v>
      </c>
      <c r="O2887" s="25">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1176</v>
      </c>
      <c r="J2888" s="61" t="s">
        <v>22</v>
      </c>
      <c r="L2888" s="5" t="str">
        <f t="shared" si="1020"/>
        <v>02887</v>
      </c>
      <c r="M2888" s="47" t="str">
        <f t="shared" si="1021"/>
        <v>17 de abril de 2020</v>
      </c>
      <c r="N2888" s="320">
        <f t="shared" si="1022"/>
        <v>17</v>
      </c>
      <c r="O2888" s="25">
        <f t="shared" si="1023"/>
        <v>43922</v>
      </c>
      <c r="P2888" s="5" t="str">
        <f t="shared" si="1024"/>
        <v>300.000,00</v>
      </c>
      <c r="Q2888" s="4" t="e">
        <f t="shared" ca="1" si="1025"/>
        <v>#NAME?</v>
      </c>
    </row>
    <row r="2889" spans="1:17">
      <c r="A2889" s="603">
        <f t="shared" ref="A2889:A2891" si="1027">A2888+1</f>
        <v>2888</v>
      </c>
      <c r="B2889" s="8"/>
      <c r="C2889" s="8" t="s">
        <v>17</v>
      </c>
      <c r="D2889" s="2">
        <v>43939</v>
      </c>
      <c r="E2889" s="3">
        <v>300000</v>
      </c>
      <c r="F2889" t="s">
        <v>243</v>
      </c>
      <c r="G2889" t="s">
        <v>244</v>
      </c>
      <c r="H2889" t="s">
        <v>245</v>
      </c>
      <c r="I2889" s="6" t="s">
        <v>1191</v>
      </c>
      <c r="J2889" s="61" t="s">
        <v>22</v>
      </c>
      <c r="L2889" s="5" t="str">
        <f>IF(ISBLANK(A2889),"",TEXT(A2889,"00000"))</f>
        <v>02888</v>
      </c>
      <c r="M2889" s="47" t="str">
        <f>IF(ISBLANK(D2889),"",TEXT(D2889,"dd")&amp;" de "&amp;TEXT(D2889,"mmmm")&amp;" de "&amp;TEXT(YEAR(D2889),"0"))</f>
        <v>18 de abril de 2020</v>
      </c>
      <c r="N2889" s="320">
        <f t="shared" si="1022"/>
        <v>18</v>
      </c>
      <c r="O2889" s="25">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1192</v>
      </c>
      <c r="J2890" s="61" t="s">
        <v>22</v>
      </c>
      <c r="L2890" s="5" t="str">
        <f t="shared" ref="L2890:L2903" si="1028">IF(ISBLANK(A2890),"",TEXT(A2890,"00000"))</f>
        <v>02889</v>
      </c>
      <c r="M2890" s="47" t="str">
        <f t="shared" ref="M2890:M2903" si="1029">IF(ISBLANK(D2890),"",TEXT(D2890,"dd")&amp;" de "&amp;TEXT(D2890,"mmmm")&amp;" de "&amp;TEXT(YEAR(D2890),"0"))</f>
        <v>18 de abril de 2020</v>
      </c>
      <c r="N2890" s="320">
        <f t="shared" si="1022"/>
        <v>18</v>
      </c>
      <c r="O2890" s="25">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1175</v>
      </c>
      <c r="J2891" s="61" t="s">
        <v>22</v>
      </c>
      <c r="L2891" s="5" t="str">
        <f t="shared" si="1028"/>
        <v>02890</v>
      </c>
      <c r="M2891" s="47" t="str">
        <f t="shared" si="1029"/>
        <v>19 de abril de 2020</v>
      </c>
      <c r="N2891" s="320">
        <f t="shared" si="1022"/>
        <v>19</v>
      </c>
      <c r="O2891" s="25">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1193</v>
      </c>
      <c r="J2892" s="61" t="s">
        <v>22</v>
      </c>
      <c r="L2892" s="5" t="str">
        <f t="shared" si="1028"/>
        <v>02891</v>
      </c>
      <c r="M2892" s="47" t="str">
        <f t="shared" si="1029"/>
        <v>19 de abril de 2020</v>
      </c>
      <c r="N2892" s="320">
        <f t="shared" si="1022"/>
        <v>19</v>
      </c>
      <c r="O2892" s="25">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1175</v>
      </c>
      <c r="J2893" s="61" t="s">
        <v>22</v>
      </c>
      <c r="L2893" s="5" t="str">
        <f t="shared" si="1028"/>
        <v>02892</v>
      </c>
      <c r="M2893" s="47" t="str">
        <f t="shared" si="1029"/>
        <v>19 de abril de 2020</v>
      </c>
      <c r="N2893" s="320">
        <f t="shared" si="1022"/>
        <v>19</v>
      </c>
      <c r="O2893" s="25">
        <f t="shared" si="1030"/>
        <v>43922</v>
      </c>
      <c r="P2893" s="5" t="str">
        <f t="shared" si="1024"/>
        <v>186.000,00</v>
      </c>
      <c r="Q2893" s="4" t="e">
        <f t="shared" ca="1" si="1025"/>
        <v>#NAME?</v>
      </c>
    </row>
    <row r="2894" spans="1:17">
      <c r="A2894" s="1">
        <f t="shared" si="1031"/>
        <v>2893</v>
      </c>
      <c r="B2894" s="8"/>
      <c r="C2894" s="85" t="s">
        <v>17</v>
      </c>
      <c r="D2894" s="2">
        <v>43940</v>
      </c>
      <c r="E2894" s="3">
        <v>185250</v>
      </c>
      <c r="F2894" t="s">
        <v>319</v>
      </c>
      <c r="G2894" s="18" t="s">
        <v>58</v>
      </c>
      <c r="H2894" t="s">
        <v>320</v>
      </c>
      <c r="I2894" s="6" t="s">
        <v>1175</v>
      </c>
      <c r="J2894" s="61" t="s">
        <v>22</v>
      </c>
      <c r="L2894" s="5" t="str">
        <f t="shared" si="1028"/>
        <v>02893</v>
      </c>
      <c r="M2894" s="47" t="str">
        <f t="shared" si="1029"/>
        <v>19 de abril de 2020</v>
      </c>
      <c r="N2894" s="320">
        <f t="shared" si="1022"/>
        <v>19</v>
      </c>
      <c r="O2894" s="25">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9" t="s">
        <v>958</v>
      </c>
      <c r="H2895" t="s">
        <v>254</v>
      </c>
      <c r="I2895" s="6" t="s">
        <v>1194</v>
      </c>
      <c r="J2895" s="61" t="s">
        <v>22</v>
      </c>
      <c r="L2895" s="5" t="str">
        <f t="shared" si="1028"/>
        <v>02894</v>
      </c>
      <c r="M2895" s="47" t="str">
        <f t="shared" si="1029"/>
        <v>17 de abril de 2020</v>
      </c>
      <c r="N2895" s="320">
        <f t="shared" si="1022"/>
        <v>17</v>
      </c>
      <c r="O2895" s="25">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8"/>
        <v>02895</v>
      </c>
      <c r="M2896" s="47" t="str">
        <f t="shared" si="1029"/>
        <v>17 de abril de 2020</v>
      </c>
      <c r="N2896" s="320">
        <f t="shared" si="1022"/>
        <v>17</v>
      </c>
      <c r="O2896" s="25">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1175</v>
      </c>
      <c r="J2897" s="61" t="s">
        <v>22</v>
      </c>
      <c r="L2897" s="5" t="str">
        <f t="shared" si="1028"/>
        <v>02896</v>
      </c>
      <c r="M2897" s="47" t="str">
        <f t="shared" si="1029"/>
        <v>20 de abril de 2020</v>
      </c>
      <c r="N2897" s="320">
        <f t="shared" si="1022"/>
        <v>20</v>
      </c>
      <c r="O2897" s="25">
        <f t="shared" si="1030"/>
        <v>43922</v>
      </c>
      <c r="P2897" s="5" t="str">
        <f t="shared" si="1024"/>
        <v>185.250,00</v>
      </c>
      <c r="Q2897" s="4" t="e">
        <f t="shared" ca="1" si="1025"/>
        <v>#NAME?</v>
      </c>
    </row>
    <row r="2898" spans="1:17">
      <c r="A2898" s="1">
        <f>A2897+1</f>
        <v>2897</v>
      </c>
      <c r="B2898" s="8"/>
      <c r="C2898" s="85" t="s">
        <v>17</v>
      </c>
      <c r="D2898" s="2">
        <v>43941</v>
      </c>
      <c r="E2898" s="3">
        <v>1263050</v>
      </c>
      <c r="F2898" t="s">
        <v>1069</v>
      </c>
      <c r="G2898" s="18" t="s">
        <v>58</v>
      </c>
      <c r="H2898" t="s">
        <v>481</v>
      </c>
      <c r="I2898" s="6" t="s">
        <v>1195</v>
      </c>
      <c r="J2898" s="61" t="s">
        <v>22</v>
      </c>
      <c r="L2898" s="5" t="str">
        <f t="shared" si="1028"/>
        <v>02897</v>
      </c>
      <c r="M2898" s="47" t="str">
        <f t="shared" si="1029"/>
        <v>20 de abril de 2020</v>
      </c>
      <c r="N2898" s="320">
        <f t="shared" si="1022"/>
        <v>20</v>
      </c>
      <c r="O2898" s="25">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1178</v>
      </c>
      <c r="J2899" s="61" t="s">
        <v>22</v>
      </c>
      <c r="L2899" s="5" t="str">
        <f t="shared" si="1028"/>
        <v>02898</v>
      </c>
      <c r="M2899" s="47" t="str">
        <f t="shared" si="1029"/>
        <v>20 de abril de 2020</v>
      </c>
      <c r="N2899" s="320">
        <f t="shared" si="1022"/>
        <v>20</v>
      </c>
      <c r="O2899" s="25">
        <f t="shared" si="1030"/>
        <v>43922</v>
      </c>
      <c r="P2899" s="5" t="str">
        <f t="shared" si="1024"/>
        <v>100.000,00</v>
      </c>
      <c r="Q2899" s="4" t="e">
        <f t="shared" ca="1" si="1025"/>
        <v>#NAME?</v>
      </c>
    </row>
    <row r="2900" spans="1:17">
      <c r="A2900" s="1">
        <f t="shared" ref="A2900:A2902" si="1032">A2899+1</f>
        <v>2899</v>
      </c>
      <c r="C2900" s="8" t="s">
        <v>225</v>
      </c>
      <c r="D2900" s="2">
        <v>43972</v>
      </c>
      <c r="E2900" s="552">
        <f>185250*6</f>
        <v>1111500</v>
      </c>
      <c r="F2900" t="s">
        <v>353</v>
      </c>
      <c r="G2900" t="s">
        <v>354</v>
      </c>
      <c r="H2900" t="s">
        <v>355</v>
      </c>
      <c r="I2900" s="6" t="s">
        <v>1196</v>
      </c>
      <c r="J2900" s="61" t="s">
        <v>426</v>
      </c>
      <c r="L2900" s="5" t="str">
        <f t="shared" si="1028"/>
        <v>02899</v>
      </c>
      <c r="M2900" s="47" t="str">
        <f t="shared" si="1029"/>
        <v>21 de mayo de 2020</v>
      </c>
      <c r="N2900" s="320">
        <f t="shared" si="1022"/>
        <v>21</v>
      </c>
      <c r="O2900" s="25">
        <f t="shared" si="1030"/>
        <v>43952</v>
      </c>
      <c r="P2900" s="5" t="str">
        <f t="shared" si="1024"/>
        <v>1.111.500,00</v>
      </c>
      <c r="Q2900" s="4" t="e">
        <f t="shared" ca="1" si="1025"/>
        <v>#NAME?</v>
      </c>
    </row>
    <row r="2901" spans="1:17">
      <c r="A2901" s="1">
        <f>A2900+1</f>
        <v>2900</v>
      </c>
      <c r="C2901" s="8" t="s">
        <v>17</v>
      </c>
      <c r="D2901" s="2">
        <v>43942</v>
      </c>
      <c r="E2901" s="3">
        <v>185250</v>
      </c>
      <c r="F2901" t="s">
        <v>239</v>
      </c>
      <c r="G2901" s="612" t="s">
        <v>240</v>
      </c>
      <c r="H2901" t="s">
        <v>241</v>
      </c>
      <c r="I2901" s="6" t="s">
        <v>1175</v>
      </c>
      <c r="J2901" s="61" t="s">
        <v>22</v>
      </c>
      <c r="L2901" s="5" t="str">
        <f t="shared" si="1028"/>
        <v>02900</v>
      </c>
      <c r="M2901" s="47" t="str">
        <f t="shared" si="1029"/>
        <v>21 de abril de 2020</v>
      </c>
      <c r="N2901" s="320">
        <f t="shared" si="1022"/>
        <v>21</v>
      </c>
      <c r="O2901" s="25">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1175</v>
      </c>
      <c r="J2902" s="61" t="s">
        <v>22</v>
      </c>
      <c r="L2902" s="5" t="str">
        <f t="shared" si="1028"/>
        <v>02901</v>
      </c>
      <c r="M2902" s="47" t="str">
        <f t="shared" si="1029"/>
        <v>21 de abril de 2020</v>
      </c>
      <c r="N2902" s="320">
        <f t="shared" si="1022"/>
        <v>21</v>
      </c>
      <c r="O2902" s="25">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1175</v>
      </c>
      <c r="J2903" s="61" t="s">
        <v>22</v>
      </c>
      <c r="L2903" s="5" t="str">
        <f t="shared" si="1028"/>
        <v>02902</v>
      </c>
      <c r="M2903" s="47" t="str">
        <f t="shared" si="1029"/>
        <v>23 de abril de 2020</v>
      </c>
      <c r="N2903" s="320">
        <f t="shared" si="1022"/>
        <v>23</v>
      </c>
      <c r="O2903" s="25">
        <f t="shared" si="1030"/>
        <v>43922</v>
      </c>
      <c r="P2903" s="5" t="str">
        <f t="shared" si="1024"/>
        <v>200.000,00</v>
      </c>
      <c r="Q2903" s="4" t="e">
        <f t="shared" ca="1" si="1025"/>
        <v>#NAME?</v>
      </c>
    </row>
    <row r="2904" spans="1:17">
      <c r="A2904" s="1">
        <f t="shared" si="1033"/>
        <v>2903</v>
      </c>
      <c r="C2904" s="8" t="s">
        <v>17</v>
      </c>
      <c r="D2904" s="2">
        <v>43942</v>
      </c>
      <c r="E2904" s="552">
        <f>185250*6</f>
        <v>1111500</v>
      </c>
      <c r="F2904" t="s">
        <v>353</v>
      </c>
      <c r="G2904" t="s">
        <v>354</v>
      </c>
      <c r="H2904" t="s">
        <v>355</v>
      </c>
      <c r="I2904" s="6" t="s">
        <v>1197</v>
      </c>
      <c r="J2904" s="61" t="s">
        <v>22</v>
      </c>
      <c r="L2904" s="5" t="str">
        <f t="shared" ref="L2904:L2905" si="1034">IF(ISBLANK(A2904),"",TEXT(A2904,"00000"))</f>
        <v>02903</v>
      </c>
      <c r="M2904" s="47" t="str">
        <f t="shared" ref="M2904:M2905" si="1035">IF(ISBLANK(D2904),"",TEXT(D2904,"dd")&amp;" de "&amp;TEXT(D2904,"mmmm")&amp;" de "&amp;TEXT(YEAR(D2904),"0"))</f>
        <v>21 de abril de 2020</v>
      </c>
      <c r="N2904" s="320">
        <f t="shared" ref="N2904:N2919" si="1036">DAY(D2904)</f>
        <v>21</v>
      </c>
      <c r="O2904" s="25">
        <f t="shared" ref="O2904:O2905" si="1037">DATE(YEAR(D2904),MONTH(D2904),1)</f>
        <v>43922</v>
      </c>
      <c r="P2904" s="5" t="str">
        <f t="shared" ref="P2904:P2919" si="1038">TEXT(E2904,"#.##0,00")</f>
        <v>1.111.500,00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1175</v>
      </c>
      <c r="J2905" s="61" t="s">
        <v>22</v>
      </c>
      <c r="L2905" s="5" t="str">
        <f t="shared" si="1034"/>
        <v>02904</v>
      </c>
      <c r="M2905" s="47" t="str">
        <f t="shared" si="1035"/>
        <v>24 de abril de 2020</v>
      </c>
      <c r="N2905" s="320">
        <f t="shared" si="1036"/>
        <v>24</v>
      </c>
      <c r="O2905" s="25">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1198</v>
      </c>
      <c r="J2906" s="61" t="s">
        <v>22</v>
      </c>
      <c r="L2906" s="5" t="str">
        <f>IF(ISBLANK(A2906),"",TEXT(A2906,"00000"))</f>
        <v>02905</v>
      </c>
      <c r="M2906" s="47" t="str">
        <f>IF(ISBLANK(D2906),"",TEXT(D2906,"dd")&amp;" de "&amp;TEXT(D2906,"mmmm")&amp;" de "&amp;TEXT(YEAR(D2906),"0"))</f>
        <v>25 de abril de 2020</v>
      </c>
      <c r="N2906" s="320">
        <f t="shared" si="1036"/>
        <v>25</v>
      </c>
      <c r="O2906" s="25">
        <f>DATE(YEAR(D2906),MONTH(D2906),1)</f>
        <v>43922</v>
      </c>
      <c r="P2906" s="5" t="str">
        <f t="shared" si="1038"/>
        <v>300.000,00</v>
      </c>
      <c r="Q2906" s="4" t="e">
        <f t="shared" ca="1" si="1039"/>
        <v>#NAME?</v>
      </c>
    </row>
    <row r="2907" spans="1:17">
      <c r="A2907" s="1">
        <f t="shared" si="1033"/>
        <v>2906</v>
      </c>
      <c r="C2907" s="8" t="s">
        <v>17</v>
      </c>
      <c r="D2907" s="2">
        <v>43947</v>
      </c>
      <c r="E2907" s="3">
        <v>185250</v>
      </c>
      <c r="F2907" t="s">
        <v>785</v>
      </c>
      <c r="G2907" t="s">
        <v>786</v>
      </c>
      <c r="H2907" t="s">
        <v>719</v>
      </c>
      <c r="I2907" s="6" t="s">
        <v>1175</v>
      </c>
      <c r="J2907" s="61" t="s">
        <v>22</v>
      </c>
      <c r="L2907" s="5" t="str">
        <f t="shared" ref="L2907:L2919" si="1040">IF(ISBLANK(A2907),"",TEXT(A2907,"00000"))</f>
        <v>02906</v>
      </c>
      <c r="M2907" s="47" t="str">
        <f t="shared" ref="M2907:M2919" si="1041">IF(ISBLANK(D2907),"",TEXT(D2907,"dd")&amp;" de "&amp;TEXT(D2907,"mmmm")&amp;" de "&amp;TEXT(YEAR(D2907),"0"))</f>
        <v>26 de abril de 2020</v>
      </c>
      <c r="N2907" s="320">
        <f t="shared" si="1036"/>
        <v>26</v>
      </c>
      <c r="O2907" s="25">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1199</v>
      </c>
      <c r="J2908" s="61" t="s">
        <v>22</v>
      </c>
      <c r="L2908" s="5" t="str">
        <f t="shared" si="1040"/>
        <v>02907</v>
      </c>
      <c r="M2908" s="47" t="str">
        <f t="shared" si="1041"/>
        <v>27 de abril de 2020</v>
      </c>
      <c r="N2908" s="320">
        <f t="shared" si="1036"/>
        <v>27</v>
      </c>
      <c r="O2908" s="25">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941</v>
      </c>
      <c r="H2909" t="s">
        <v>179</v>
      </c>
      <c r="I2909" s="6" t="s">
        <v>1200</v>
      </c>
      <c r="J2909" s="61" t="s">
        <v>22</v>
      </c>
      <c r="L2909" s="5" t="str">
        <f t="shared" si="1040"/>
        <v>02908</v>
      </c>
      <c r="M2909" s="47" t="str">
        <f t="shared" si="1041"/>
        <v>13 de abril de 2020</v>
      </c>
      <c r="N2909" s="320">
        <f t="shared" si="1036"/>
        <v>13</v>
      </c>
      <c r="O2909" s="25">
        <f t="shared" si="1042"/>
        <v>43922</v>
      </c>
      <c r="P2909" s="5" t="str">
        <f t="shared" si="1038"/>
        <v>185.250,00</v>
      </c>
      <c r="Q2909" s="4" t="e">
        <f t="shared" ca="1" si="1039"/>
        <v>#NAME?</v>
      </c>
    </row>
    <row r="2910" spans="1:17">
      <c r="A2910" s="1">
        <f>A2909+1</f>
        <v>2909</v>
      </c>
      <c r="C2910" s="8" t="s">
        <v>17</v>
      </c>
      <c r="D2910" s="2">
        <v>43948</v>
      </c>
      <c r="E2910" s="3">
        <v>185250</v>
      </c>
      <c r="F2910" t="s">
        <v>177</v>
      </c>
      <c r="G2910" t="s">
        <v>941</v>
      </c>
      <c r="H2910" t="s">
        <v>179</v>
      </c>
      <c r="I2910" s="6" t="s">
        <v>1201</v>
      </c>
      <c r="J2910" s="61" t="s">
        <v>22</v>
      </c>
      <c r="L2910" s="5" t="str">
        <f t="shared" si="1040"/>
        <v>02909</v>
      </c>
      <c r="M2910" s="47" t="str">
        <f t="shared" si="1041"/>
        <v>27 de abril de 2020</v>
      </c>
      <c r="N2910" s="320">
        <f t="shared" si="1036"/>
        <v>27</v>
      </c>
      <c r="O2910" s="25">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1202</v>
      </c>
      <c r="J2911" s="61" t="s">
        <v>22</v>
      </c>
      <c r="L2911" s="5" t="str">
        <f t="shared" si="1040"/>
        <v>02910</v>
      </c>
      <c r="M2911" s="47" t="str">
        <f t="shared" si="1041"/>
        <v>28 de abril de 2020</v>
      </c>
      <c r="N2911" s="320">
        <f t="shared" si="1036"/>
        <v>28</v>
      </c>
      <c r="O2911" s="25">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1175</v>
      </c>
      <c r="J2912" s="61" t="s">
        <v>22</v>
      </c>
      <c r="L2912" s="5" t="str">
        <f t="shared" si="1040"/>
        <v>02911</v>
      </c>
      <c r="M2912" s="47" t="str">
        <f t="shared" si="1041"/>
        <v>28 de abril de 2020</v>
      </c>
      <c r="N2912" s="320">
        <f t="shared" si="1036"/>
        <v>28</v>
      </c>
      <c r="O2912" s="25">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1175</v>
      </c>
      <c r="J2913" s="61" t="s">
        <v>22</v>
      </c>
      <c r="L2913" s="5" t="str">
        <f t="shared" si="1040"/>
        <v>02912</v>
      </c>
      <c r="M2913" s="47" t="str">
        <f t="shared" si="1041"/>
        <v>28 de abril de 2020</v>
      </c>
      <c r="N2913" s="320">
        <f t="shared" si="1036"/>
        <v>28</v>
      </c>
      <c r="O2913" s="25">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1203</v>
      </c>
      <c r="J2914" s="61" t="s">
        <v>22</v>
      </c>
      <c r="L2914" s="5" t="str">
        <f t="shared" si="1040"/>
        <v>02913</v>
      </c>
      <c r="M2914" s="47" t="str">
        <f t="shared" si="1041"/>
        <v>29 de abril de 2020</v>
      </c>
      <c r="N2914" s="320">
        <f t="shared" si="1036"/>
        <v>29</v>
      </c>
      <c r="O2914" s="25">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1178</v>
      </c>
      <c r="J2915" s="61" t="s">
        <v>22</v>
      </c>
      <c r="L2915" s="5" t="str">
        <f t="shared" si="1040"/>
        <v>02914</v>
      </c>
      <c r="M2915" s="47" t="str">
        <f t="shared" si="1041"/>
        <v>27 de abril de 2020</v>
      </c>
      <c r="N2915" s="320">
        <f t="shared" si="1036"/>
        <v>27</v>
      </c>
      <c r="O2915" s="25">
        <f t="shared" si="1042"/>
        <v>43922</v>
      </c>
      <c r="P2915" s="5" t="str">
        <f t="shared" si="1038"/>
        <v>70.000,00</v>
      </c>
      <c r="Q2915" s="4" t="e">
        <f t="shared" ca="1" si="1039"/>
        <v>#NAME?</v>
      </c>
    </row>
    <row r="2916" spans="1:17">
      <c r="A2916" s="1">
        <f t="shared" si="1044"/>
        <v>2915</v>
      </c>
      <c r="C2916" s="8" t="s">
        <v>17</v>
      </c>
      <c r="D2916" s="2">
        <v>43950</v>
      </c>
      <c r="E2916" s="3">
        <v>185250</v>
      </c>
      <c r="F2916" t="s">
        <v>1015</v>
      </c>
      <c r="G2916" t="s">
        <v>1016</v>
      </c>
      <c r="H2916" t="s">
        <v>59</v>
      </c>
      <c r="I2916" s="6" t="s">
        <v>1175</v>
      </c>
      <c r="J2916" s="61" t="s">
        <v>22</v>
      </c>
      <c r="L2916" s="5" t="str">
        <f t="shared" si="1040"/>
        <v>02915</v>
      </c>
      <c r="M2916" s="47" t="str">
        <f t="shared" si="1041"/>
        <v>29 de abril de 2020</v>
      </c>
      <c r="N2916" s="320">
        <f t="shared" si="1036"/>
        <v>29</v>
      </c>
      <c r="O2916" s="25">
        <f t="shared" si="1042"/>
        <v>43922</v>
      </c>
      <c r="P2916" s="5" t="str">
        <f t="shared" si="1038"/>
        <v>185.250,00</v>
      </c>
      <c r="Q2916" s="4" t="e">
        <f ca="1">CONVERTIRNUM(E2916)</f>
        <v>#NAME?</v>
      </c>
    </row>
    <row r="2917" spans="1:17">
      <c r="A2917" s="1">
        <f t="shared" ref="A2917:A2924" si="1045">A2916+1</f>
        <v>2916</v>
      </c>
      <c r="B2917" s="8"/>
      <c r="C2917" s="8" t="s">
        <v>17</v>
      </c>
      <c r="D2917" s="2">
        <v>43951</v>
      </c>
      <c r="E2917" s="162">
        <f>270000-185250</f>
        <v>84750</v>
      </c>
      <c r="F2917" t="s">
        <v>334</v>
      </c>
      <c r="G2917" t="s">
        <v>85</v>
      </c>
      <c r="H2917" t="s">
        <v>335</v>
      </c>
      <c r="I2917" s="6" t="s">
        <v>1204</v>
      </c>
      <c r="J2917" s="61" t="s">
        <v>22</v>
      </c>
      <c r="L2917" s="5" t="str">
        <f t="shared" si="1040"/>
        <v>02916</v>
      </c>
      <c r="M2917" s="47" t="str">
        <f t="shared" si="1041"/>
        <v>30 de abril de 2020</v>
      </c>
      <c r="N2917" s="320">
        <f t="shared" si="1036"/>
        <v>30</v>
      </c>
      <c r="O2917" s="25">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2">
        <v>185250</v>
      </c>
      <c r="F2918" t="s">
        <v>84</v>
      </c>
      <c r="G2918" t="s">
        <v>85</v>
      </c>
      <c r="H2918" t="s">
        <v>86</v>
      </c>
      <c r="I2918" s="6" t="s">
        <v>1205</v>
      </c>
      <c r="J2918" s="61" t="s">
        <v>22</v>
      </c>
      <c r="L2918" s="5" t="str">
        <f t="shared" si="1040"/>
        <v>02917</v>
      </c>
      <c r="M2918" s="47" t="str">
        <f t="shared" si="1041"/>
        <v>30 de abril de 2020</v>
      </c>
      <c r="N2918" s="320">
        <f t="shared" si="1036"/>
        <v>30</v>
      </c>
      <c r="O2918" s="25">
        <f t="shared" si="1042"/>
        <v>43922</v>
      </c>
      <c r="P2918" s="5" t="str">
        <f t="shared" si="1038"/>
        <v>185.250,00</v>
      </c>
      <c r="Q2918" s="4" t="e">
        <f t="shared" ca="1" si="1046"/>
        <v>#NAME?</v>
      </c>
    </row>
    <row r="2919" spans="1:17">
      <c r="A2919" s="1">
        <f t="shared" si="1045"/>
        <v>2918</v>
      </c>
      <c r="B2919" s="8"/>
      <c r="C2919" s="85" t="s">
        <v>17</v>
      </c>
      <c r="D2919" s="2">
        <v>43951</v>
      </c>
      <c r="E2919" s="3">
        <v>185250</v>
      </c>
      <c r="F2919" t="s">
        <v>259</v>
      </c>
      <c r="G2919" s="620" t="s">
        <v>1206</v>
      </c>
      <c r="H2919" t="s">
        <v>261</v>
      </c>
      <c r="I2919" s="6" t="s">
        <v>1175</v>
      </c>
      <c r="J2919" s="61" t="s">
        <v>22</v>
      </c>
      <c r="L2919" s="5" t="str">
        <f t="shared" si="1040"/>
        <v>02918</v>
      </c>
      <c r="M2919" s="47" t="str">
        <f t="shared" si="1041"/>
        <v>30 de abril de 2020</v>
      </c>
      <c r="N2919" s="320">
        <f t="shared" si="1036"/>
        <v>30</v>
      </c>
      <c r="O2919" s="25">
        <f t="shared" si="1042"/>
        <v>43922</v>
      </c>
      <c r="P2919" s="5" t="str">
        <f t="shared" si="1038"/>
        <v>185.250,00</v>
      </c>
      <c r="Q2919" s="4" t="e">
        <f t="shared" ca="1" si="1046"/>
        <v>#NAME?</v>
      </c>
    </row>
    <row r="2920" spans="1:17">
      <c r="A2920" s="1">
        <f t="shared" si="1045"/>
        <v>2919</v>
      </c>
      <c r="C2920" s="8" t="s">
        <v>17</v>
      </c>
      <c r="D2920" s="2">
        <v>43951</v>
      </c>
      <c r="E2920" s="3">
        <v>250000</v>
      </c>
      <c r="F2920" t="s">
        <v>785</v>
      </c>
      <c r="G2920" t="s">
        <v>786</v>
      </c>
      <c r="H2920" t="s">
        <v>719</v>
      </c>
      <c r="I2920" s="6" t="s">
        <v>1207</v>
      </c>
      <c r="J2920" s="61" t="s">
        <v>22</v>
      </c>
      <c r="L2920" s="5" t="str">
        <f t="shared" ref="L2920" si="1047">IF(ISBLANK(A2920),"",TEXT(A2920,"00000"))</f>
        <v>02919</v>
      </c>
      <c r="M2920" s="47" t="str">
        <f t="shared" ref="M2920" si="1048">IF(ISBLANK(D2920),"",TEXT(D2920,"dd")&amp;" de "&amp;TEXT(D2920,"mmmm")&amp;" de "&amp;TEXT(YEAR(D2920),"0"))</f>
        <v>30 de abril de 2020</v>
      </c>
      <c r="N2920" s="320">
        <f t="shared" ref="N2920" si="1049">DAY(D2920)</f>
        <v>30</v>
      </c>
      <c r="O2920" s="25">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785</v>
      </c>
      <c r="G2921" t="s">
        <v>786</v>
      </c>
      <c r="H2921" t="s">
        <v>719</v>
      </c>
      <c r="I2921" s="6" t="s">
        <v>1208</v>
      </c>
      <c r="J2921" s="61" t="s">
        <v>22</v>
      </c>
      <c r="L2921" s="5" t="str">
        <f t="shared" ref="L2921:L2950" si="1052">IF(ISBLANK(A2921),"",TEXT(A2921,"00000"))</f>
        <v>02920</v>
      </c>
      <c r="M2921" s="47" t="str">
        <f t="shared" ref="M2921:M2950" si="1053">IF(ISBLANK(D2921),"",TEXT(D2921,"dd")&amp;" de "&amp;TEXT(D2921,"mmmm")&amp;" de "&amp;TEXT(YEAR(D2921),"0"))</f>
        <v>30 de abril de 2020</v>
      </c>
      <c r="N2921" s="320">
        <f t="shared" ref="N2921:N2950" si="1054">DAY(D2921)</f>
        <v>30</v>
      </c>
      <c r="O2921" s="25">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1175</v>
      </c>
      <c r="J2922" s="61" t="s">
        <v>22</v>
      </c>
      <c r="L2922" s="5" t="str">
        <f t="shared" si="1052"/>
        <v>02921</v>
      </c>
      <c r="M2922" s="47" t="str">
        <f t="shared" si="1053"/>
        <v>30 de abril de 2020</v>
      </c>
      <c r="N2922" s="320">
        <f t="shared" si="1054"/>
        <v>30</v>
      </c>
      <c r="O2922" s="25">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1209</v>
      </c>
      <c r="J2923" s="61" t="s">
        <v>22</v>
      </c>
      <c r="L2923" s="5" t="str">
        <f t="shared" si="1052"/>
        <v>02922</v>
      </c>
      <c r="M2923" s="47" t="str">
        <f t="shared" si="1053"/>
        <v>01 de mayo de 2020</v>
      </c>
      <c r="N2923" s="320">
        <f t="shared" si="1054"/>
        <v>1</v>
      </c>
      <c r="O2923" s="25">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1210</v>
      </c>
      <c r="J2924" s="61" t="s">
        <v>22</v>
      </c>
      <c r="L2924" s="5" t="str">
        <f t="shared" si="1052"/>
        <v>02923</v>
      </c>
      <c r="M2924" s="47" t="str">
        <f t="shared" si="1053"/>
        <v>01 de mayo de 2020</v>
      </c>
      <c r="N2924" s="320">
        <f t="shared" si="1054"/>
        <v>1</v>
      </c>
      <c r="O2924" s="25">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998</v>
      </c>
      <c r="G2925" t="s">
        <v>999</v>
      </c>
      <c r="H2925" t="s">
        <v>1000</v>
      </c>
      <c r="I2925" s="6" t="s">
        <v>1180</v>
      </c>
      <c r="J2925" s="61" t="s">
        <v>22</v>
      </c>
      <c r="L2925" s="5" t="str">
        <f t="shared" si="1052"/>
        <v>02924</v>
      </c>
      <c r="M2925" s="47" t="str">
        <f t="shared" si="1053"/>
        <v>30 de abril de 2020</v>
      </c>
      <c r="N2925" s="320">
        <f t="shared" si="1054"/>
        <v>30</v>
      </c>
      <c r="O2925" s="25">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1051</v>
      </c>
      <c r="H2926" t="s">
        <v>596</v>
      </c>
      <c r="I2926" s="6" t="s">
        <v>1175</v>
      </c>
      <c r="J2926" s="61" t="s">
        <v>22</v>
      </c>
      <c r="L2926" s="5" t="str">
        <f t="shared" si="1052"/>
        <v>02925</v>
      </c>
      <c r="M2926" s="47" t="str">
        <f t="shared" si="1053"/>
        <v>30 de abril de 2020</v>
      </c>
      <c r="N2926" s="320">
        <f t="shared" si="1054"/>
        <v>30</v>
      </c>
      <c r="O2926" s="25">
        <f t="shared" si="1055"/>
        <v>43922</v>
      </c>
      <c r="P2926" s="5" t="str">
        <f t="shared" si="1056"/>
        <v>185.250,00</v>
      </c>
      <c r="Q2926" s="4" t="e">
        <f t="shared" ca="1" si="1059"/>
        <v>#NAME?</v>
      </c>
    </row>
    <row r="2927" spans="1:17">
      <c r="A2927" s="1">
        <f>A2926+1</f>
        <v>2926</v>
      </c>
      <c r="C2927" s="8" t="s">
        <v>17</v>
      </c>
      <c r="D2927" s="2">
        <v>43951</v>
      </c>
      <c r="E2927" s="3">
        <v>185250</v>
      </c>
      <c r="F2927" t="s">
        <v>1017</v>
      </c>
      <c r="G2927" s="449" t="s">
        <v>1160</v>
      </c>
      <c r="H2927" t="s">
        <v>140</v>
      </c>
      <c r="I2927" s="6" t="s">
        <v>1175</v>
      </c>
      <c r="J2927" s="61" t="s">
        <v>22</v>
      </c>
      <c r="L2927" s="5" t="str">
        <f t="shared" si="1052"/>
        <v>02926</v>
      </c>
      <c r="M2927" s="47" t="str">
        <f t="shared" si="1053"/>
        <v>30 de abril de 2020</v>
      </c>
      <c r="N2927" s="320">
        <f t="shared" si="1054"/>
        <v>30</v>
      </c>
      <c r="O2927" s="25">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947</v>
      </c>
      <c r="G2928" t="s">
        <v>948</v>
      </c>
      <c r="H2928" t="s">
        <v>949</v>
      </c>
      <c r="I2928" s="6" t="s">
        <v>1210</v>
      </c>
      <c r="J2928" s="61" t="s">
        <v>22</v>
      </c>
      <c r="L2928" s="5" t="str">
        <f t="shared" si="1052"/>
        <v>02927</v>
      </c>
      <c r="M2928" s="47" t="str">
        <f t="shared" si="1053"/>
        <v>02 de mayo de 2020</v>
      </c>
      <c r="N2928" s="320">
        <f t="shared" si="1054"/>
        <v>2</v>
      </c>
      <c r="O2928" s="25">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1210</v>
      </c>
      <c r="J2929" s="61" t="s">
        <v>22</v>
      </c>
      <c r="L2929" s="5" t="str">
        <f t="shared" si="1052"/>
        <v>02928</v>
      </c>
      <c r="M2929" s="47" t="str">
        <f t="shared" si="1053"/>
        <v>02 de mayo de 2020</v>
      </c>
      <c r="N2929" s="320">
        <f t="shared" si="1054"/>
        <v>2</v>
      </c>
      <c r="O2929" s="25">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1210</v>
      </c>
      <c r="J2930" s="61" t="s">
        <v>22</v>
      </c>
      <c r="L2930" s="5" t="str">
        <f t="shared" si="1052"/>
        <v>02929</v>
      </c>
      <c r="M2930" s="47" t="str">
        <f t="shared" si="1053"/>
        <v>02 de mayo de 2020</v>
      </c>
      <c r="N2930" s="320">
        <f t="shared" si="1054"/>
        <v>2</v>
      </c>
      <c r="O2930" s="25">
        <f t="shared" si="1055"/>
        <v>43952</v>
      </c>
      <c r="P2930" s="5" t="str">
        <f t="shared" si="1056"/>
        <v>250.000,00</v>
      </c>
      <c r="Q2930" s="4" t="e">
        <f t="shared" ca="1" si="1059"/>
        <v>#NAME?</v>
      </c>
    </row>
    <row r="2931" spans="1:17">
      <c r="A2931" s="1">
        <f t="shared" si="1060"/>
        <v>2930</v>
      </c>
      <c r="B2931" s="8"/>
      <c r="C2931" s="85" t="s">
        <v>17</v>
      </c>
      <c r="D2931" s="2">
        <v>43953</v>
      </c>
      <c r="E2931" s="162">
        <v>250000</v>
      </c>
      <c r="F2931" t="s">
        <v>492</v>
      </c>
      <c r="G2931" s="18" t="s">
        <v>58</v>
      </c>
      <c r="H2931" t="s">
        <v>493</v>
      </c>
      <c r="I2931" s="6" t="s">
        <v>1210</v>
      </c>
      <c r="J2931" s="61" t="s">
        <v>22</v>
      </c>
      <c r="L2931" s="5" t="str">
        <f t="shared" si="1052"/>
        <v>02930</v>
      </c>
      <c r="M2931" s="47" t="str">
        <f t="shared" si="1053"/>
        <v>02 de mayo de 2020</v>
      </c>
      <c r="N2931" s="320">
        <f t="shared" si="1054"/>
        <v>2</v>
      </c>
      <c r="O2931" s="25">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1210</v>
      </c>
      <c r="J2932" s="61" t="s">
        <v>22</v>
      </c>
      <c r="L2932" s="5" t="str">
        <f t="shared" si="1052"/>
        <v>02931</v>
      </c>
      <c r="M2932" s="47" t="str">
        <f t="shared" si="1053"/>
        <v>02 de mayo de 2020</v>
      </c>
      <c r="N2932" s="320">
        <f t="shared" si="1054"/>
        <v>2</v>
      </c>
      <c r="O2932" s="25">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1210</v>
      </c>
      <c r="J2933" s="61" t="s">
        <v>22</v>
      </c>
      <c r="L2933" s="5" t="str">
        <f t="shared" si="1052"/>
        <v>02932</v>
      </c>
      <c r="M2933" s="47" t="str">
        <f t="shared" si="1053"/>
        <v>02 de mayo de 2020</v>
      </c>
      <c r="N2933" s="320">
        <f t="shared" si="1054"/>
        <v>2</v>
      </c>
      <c r="O2933" s="25">
        <f t="shared" si="1055"/>
        <v>43952</v>
      </c>
      <c r="P2933" s="5" t="str">
        <f t="shared" si="1056"/>
        <v>250.000,00</v>
      </c>
      <c r="Q2933" s="4" t="e">
        <f t="shared" ca="1" si="1059"/>
        <v>#NAME?</v>
      </c>
    </row>
    <row r="2934" spans="1:17">
      <c r="A2934" s="1">
        <f t="shared" si="1060"/>
        <v>2933</v>
      </c>
      <c r="B2934" s="8"/>
      <c r="C2934" s="85" t="s">
        <v>17</v>
      </c>
      <c r="D2934" s="2">
        <v>43953</v>
      </c>
      <c r="E2934" s="162">
        <v>250000</v>
      </c>
      <c r="F2934" t="s">
        <v>40</v>
      </c>
      <c r="G2934" s="449" t="s">
        <v>1168</v>
      </c>
      <c r="H2934" t="s">
        <v>42</v>
      </c>
      <c r="I2934" s="6" t="s">
        <v>1210</v>
      </c>
      <c r="J2934" s="61" t="s">
        <v>22</v>
      </c>
      <c r="L2934" s="5" t="str">
        <f t="shared" si="1052"/>
        <v>02933</v>
      </c>
      <c r="M2934" s="47" t="str">
        <f t="shared" si="1053"/>
        <v>02 de mayo de 2020</v>
      </c>
      <c r="N2934" s="320">
        <f t="shared" si="1054"/>
        <v>2</v>
      </c>
      <c r="O2934" s="25">
        <f t="shared" si="1055"/>
        <v>43952</v>
      </c>
      <c r="P2934" s="5" t="str">
        <f t="shared" si="1056"/>
        <v>250.000,00</v>
      </c>
      <c r="Q2934" s="4" t="e">
        <f t="shared" ca="1" si="1059"/>
        <v>#NAME?</v>
      </c>
    </row>
    <row r="2935" spans="1:17">
      <c r="A2935" s="1">
        <f t="shared" si="1060"/>
        <v>2934</v>
      </c>
      <c r="B2935" s="8"/>
      <c r="C2935" s="85" t="s">
        <v>17</v>
      </c>
      <c r="D2935" s="2">
        <v>43953</v>
      </c>
      <c r="E2935" s="162">
        <v>250000</v>
      </c>
      <c r="F2935" t="s">
        <v>40</v>
      </c>
      <c r="G2935" s="449" t="s">
        <v>1168</v>
      </c>
      <c r="H2935" t="s">
        <v>42</v>
      </c>
      <c r="I2935" s="6" t="s">
        <v>1211</v>
      </c>
      <c r="J2935" s="61" t="s">
        <v>22</v>
      </c>
      <c r="L2935" s="5" t="str">
        <f t="shared" si="1052"/>
        <v>02934</v>
      </c>
      <c r="M2935" s="47" t="str">
        <f t="shared" si="1053"/>
        <v>02 de mayo de 2020</v>
      </c>
      <c r="N2935" s="320">
        <f t="shared" si="1054"/>
        <v>2</v>
      </c>
      <c r="O2935" s="25">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1212</v>
      </c>
      <c r="J2936" s="61" t="s">
        <v>22</v>
      </c>
      <c r="L2936" s="5" t="str">
        <f t="shared" si="1052"/>
        <v>02935</v>
      </c>
      <c r="M2936" s="47" t="str">
        <f t="shared" si="1053"/>
        <v>30 de abril de 2020</v>
      </c>
      <c r="N2936" s="320">
        <f t="shared" si="1054"/>
        <v>30</v>
      </c>
      <c r="O2936" s="25">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1213</v>
      </c>
      <c r="J2937" s="61" t="s">
        <v>22</v>
      </c>
      <c r="L2937" s="5" t="str">
        <f t="shared" si="1052"/>
        <v>02936</v>
      </c>
      <c r="M2937" s="47" t="str">
        <f t="shared" si="1053"/>
        <v>02 de mayo de 2020</v>
      </c>
      <c r="N2937" s="320">
        <f t="shared" si="1054"/>
        <v>2</v>
      </c>
      <c r="O2937" s="25">
        <f t="shared" si="1055"/>
        <v>43952</v>
      </c>
      <c r="P2937" s="5" t="str">
        <f t="shared" si="1056"/>
        <v>50.000,00</v>
      </c>
      <c r="Q2937" s="4" t="e">
        <f t="shared" ca="1" si="1059"/>
        <v>#NAME?</v>
      </c>
    </row>
    <row r="2938" spans="1:17">
      <c r="A2938" s="1">
        <f t="shared" si="1061"/>
        <v>2937</v>
      </c>
      <c r="C2938" s="8" t="s">
        <v>17</v>
      </c>
      <c r="D2938" s="2">
        <v>43954</v>
      </c>
      <c r="E2938" s="3">
        <v>250000</v>
      </c>
      <c r="F2938" t="s">
        <v>1138</v>
      </c>
      <c r="G2938" t="s">
        <v>1139</v>
      </c>
      <c r="H2938" t="s">
        <v>1115</v>
      </c>
      <c r="I2938" s="6" t="s">
        <v>1210</v>
      </c>
      <c r="J2938" s="61" t="s">
        <v>22</v>
      </c>
      <c r="L2938" s="5" t="str">
        <f t="shared" si="1052"/>
        <v>02937</v>
      </c>
      <c r="M2938" s="47" t="str">
        <f t="shared" si="1053"/>
        <v>03 de mayo de 2020</v>
      </c>
      <c r="N2938" s="320">
        <f t="shared" si="1054"/>
        <v>3</v>
      </c>
      <c r="O2938" s="25">
        <f t="shared" si="1055"/>
        <v>43952</v>
      </c>
      <c r="P2938" s="5" t="str">
        <f t="shared" si="1056"/>
        <v>250.000,00</v>
      </c>
      <c r="Q2938" s="4" t="e">
        <f t="shared" ca="1" si="1059"/>
        <v>#NAME?</v>
      </c>
    </row>
    <row r="2939" spans="1:17">
      <c r="A2939" s="1">
        <f t="shared" si="1061"/>
        <v>2938</v>
      </c>
      <c r="C2939" s="8" t="s">
        <v>17</v>
      </c>
      <c r="D2939" s="2">
        <v>43951</v>
      </c>
      <c r="E2939" s="162">
        <v>185250</v>
      </c>
      <c r="F2939" t="s">
        <v>130</v>
      </c>
      <c r="G2939" t="s">
        <v>1054</v>
      </c>
      <c r="H2939" t="s">
        <v>132</v>
      </c>
      <c r="I2939" s="6" t="s">
        <v>1175</v>
      </c>
      <c r="J2939" s="61" t="s">
        <v>22</v>
      </c>
      <c r="L2939" s="5" t="str">
        <f t="shared" si="1052"/>
        <v>02938</v>
      </c>
      <c r="M2939" s="47" t="str">
        <f t="shared" si="1053"/>
        <v>30 de abril de 2020</v>
      </c>
      <c r="N2939" s="320">
        <f t="shared" si="1054"/>
        <v>30</v>
      </c>
      <c r="O2939" s="25">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1036</v>
      </c>
      <c r="H2940" t="s">
        <v>344</v>
      </c>
      <c r="I2940" s="6" t="s">
        <v>1210</v>
      </c>
      <c r="J2940" s="61" t="s">
        <v>22</v>
      </c>
      <c r="L2940" s="5" t="str">
        <f t="shared" si="1052"/>
        <v>02939</v>
      </c>
      <c r="M2940" s="47" t="str">
        <f t="shared" si="1053"/>
        <v>04 de mayo de 2020</v>
      </c>
      <c r="N2940" s="320">
        <f t="shared" si="1054"/>
        <v>4</v>
      </c>
      <c r="O2940" s="25">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1213</v>
      </c>
      <c r="J2941" s="61" t="s">
        <v>22</v>
      </c>
      <c r="L2941" s="5" t="str">
        <f t="shared" si="1052"/>
        <v>02940</v>
      </c>
      <c r="M2941" s="47" t="str">
        <f t="shared" si="1053"/>
        <v>04 de mayo de 2020</v>
      </c>
      <c r="N2941" s="320">
        <f t="shared" si="1054"/>
        <v>4</v>
      </c>
      <c r="O2941" s="25">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1210</v>
      </c>
      <c r="J2942" s="61" t="s">
        <v>22</v>
      </c>
      <c r="L2942" s="5" t="str">
        <f t="shared" si="1052"/>
        <v>02941</v>
      </c>
      <c r="M2942" s="47" t="str">
        <f t="shared" si="1053"/>
        <v>05 de mayo de 2020</v>
      </c>
      <c r="N2942" s="320">
        <f t="shared" si="1054"/>
        <v>5</v>
      </c>
      <c r="O2942" s="25">
        <f t="shared" si="1055"/>
        <v>43952</v>
      </c>
      <c r="P2942" s="5" t="str">
        <f t="shared" si="1056"/>
        <v>250.000,00</v>
      </c>
      <c r="Q2942" s="4" t="e">
        <f t="shared" ca="1" si="1059"/>
        <v>#NAME?</v>
      </c>
    </row>
    <row r="2943" spans="1:17">
      <c r="A2943" s="1">
        <f t="shared" si="1061"/>
        <v>2942</v>
      </c>
      <c r="C2943" s="8" t="s">
        <v>17</v>
      </c>
      <c r="D2943" s="2">
        <v>43956</v>
      </c>
      <c r="E2943" s="3">
        <v>250000</v>
      </c>
      <c r="F2943" t="s">
        <v>1004</v>
      </c>
      <c r="G2943" t="s">
        <v>1005</v>
      </c>
      <c r="H2943" t="s">
        <v>539</v>
      </c>
      <c r="I2943" s="6" t="s">
        <v>1210</v>
      </c>
      <c r="J2943" s="61" t="s">
        <v>22</v>
      </c>
      <c r="L2943" s="5" t="str">
        <f t="shared" si="1052"/>
        <v>02942</v>
      </c>
      <c r="M2943" s="47" t="str">
        <f t="shared" si="1053"/>
        <v>05 de mayo de 2020</v>
      </c>
      <c r="N2943" s="320">
        <f t="shared" si="1054"/>
        <v>5</v>
      </c>
      <c r="O2943" s="25">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1214</v>
      </c>
      <c r="J2944" s="61" t="s">
        <v>22</v>
      </c>
      <c r="L2944" s="5" t="str">
        <f t="shared" si="1052"/>
        <v>02943</v>
      </c>
      <c r="M2944" s="47" t="str">
        <f t="shared" si="1053"/>
        <v>05 de mayo de 2020</v>
      </c>
      <c r="N2944" s="320">
        <f t="shared" si="1054"/>
        <v>5</v>
      </c>
      <c r="O2944" s="25">
        <f t="shared" si="1055"/>
        <v>43952</v>
      </c>
      <c r="P2944" s="5" t="str">
        <f t="shared" si="1056"/>
        <v>250.000,00</v>
      </c>
      <c r="Q2944" s="4" t="e">
        <f t="shared" ca="1" si="1059"/>
        <v>#NAME?</v>
      </c>
    </row>
    <row r="2945" spans="1:17">
      <c r="A2945" s="1">
        <f t="shared" si="1061"/>
        <v>2944</v>
      </c>
      <c r="C2945" s="8" t="s">
        <v>17</v>
      </c>
      <c r="D2945" s="2">
        <v>43956</v>
      </c>
      <c r="E2945" s="3">
        <v>211800</v>
      </c>
      <c r="F2945" t="s">
        <v>1186</v>
      </c>
      <c r="G2945" t="s">
        <v>1187</v>
      </c>
      <c r="H2945" t="s">
        <v>50</v>
      </c>
      <c r="I2945" s="6" t="s">
        <v>1213</v>
      </c>
      <c r="J2945" s="61" t="s">
        <v>22</v>
      </c>
      <c r="L2945" s="5" t="str">
        <f t="shared" si="1052"/>
        <v>02944</v>
      </c>
      <c r="M2945" s="47" t="str">
        <f t="shared" si="1053"/>
        <v>05 de mayo de 2020</v>
      </c>
      <c r="N2945" s="320">
        <f t="shared" si="1054"/>
        <v>5</v>
      </c>
      <c r="O2945" s="25">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1210</v>
      </c>
      <c r="J2946" s="61" t="s">
        <v>22</v>
      </c>
      <c r="L2946" s="5" t="str">
        <f t="shared" si="1052"/>
        <v>02945</v>
      </c>
      <c r="M2946" s="47" t="str">
        <f t="shared" si="1053"/>
        <v>06 de mayo de 2020</v>
      </c>
      <c r="N2946" s="320">
        <f t="shared" si="1054"/>
        <v>6</v>
      </c>
      <c r="O2946" s="25">
        <f t="shared" si="1055"/>
        <v>43952</v>
      </c>
      <c r="P2946" s="5" t="str">
        <f t="shared" si="1056"/>
        <v>250.000,00</v>
      </c>
      <c r="Q2946" s="4" t="e">
        <f t="shared" ca="1" si="1059"/>
        <v>#NAME?</v>
      </c>
    </row>
    <row r="2947" spans="1:17">
      <c r="A2947" s="1">
        <f t="shared" si="1061"/>
        <v>2946</v>
      </c>
      <c r="C2947" s="8" t="s">
        <v>17</v>
      </c>
      <c r="D2947" s="2">
        <v>43957</v>
      </c>
      <c r="E2947" s="162">
        <v>40250</v>
      </c>
      <c r="F2947" t="s">
        <v>334</v>
      </c>
      <c r="G2947" t="s">
        <v>85</v>
      </c>
      <c r="H2947" t="s">
        <v>335</v>
      </c>
      <c r="I2947" s="6" t="s">
        <v>1215</v>
      </c>
      <c r="J2947" s="61" t="s">
        <v>22</v>
      </c>
      <c r="L2947" s="5" t="str">
        <f t="shared" si="1052"/>
        <v>02946</v>
      </c>
      <c r="M2947" s="47" t="str">
        <f t="shared" si="1053"/>
        <v>06 de mayo de 2020</v>
      </c>
      <c r="N2947" s="320">
        <f t="shared" si="1054"/>
        <v>6</v>
      </c>
      <c r="O2947" s="25">
        <f t="shared" si="1055"/>
        <v>43952</v>
      </c>
      <c r="P2947" s="5" t="str">
        <f t="shared" si="1056"/>
        <v>40.250,00</v>
      </c>
      <c r="Q2947" s="4" t="e">
        <f t="shared" ca="1" si="1059"/>
        <v>#NAME?</v>
      </c>
    </row>
    <row r="2948" spans="1:17">
      <c r="A2948" s="1">
        <f t="shared" si="1061"/>
        <v>2947</v>
      </c>
      <c r="C2948" s="8" t="s">
        <v>17</v>
      </c>
      <c r="D2948" s="2">
        <v>43957</v>
      </c>
      <c r="E2948" s="162">
        <v>64750</v>
      </c>
      <c r="F2948" t="s">
        <v>84</v>
      </c>
      <c r="G2948" t="s">
        <v>85</v>
      </c>
      <c r="H2948" t="s">
        <v>86</v>
      </c>
      <c r="I2948" s="6" t="s">
        <v>1213</v>
      </c>
      <c r="J2948" s="61" t="s">
        <v>22</v>
      </c>
      <c r="L2948" s="5" t="str">
        <f t="shared" si="1052"/>
        <v>02947</v>
      </c>
      <c r="M2948" s="47" t="str">
        <f t="shared" si="1053"/>
        <v>06 de mayo de 2020</v>
      </c>
      <c r="N2948" s="320">
        <f t="shared" si="1054"/>
        <v>6</v>
      </c>
      <c r="O2948" s="25">
        <f t="shared" si="1055"/>
        <v>43952</v>
      </c>
      <c r="P2948" s="5" t="str">
        <f t="shared" si="1056"/>
        <v>64.750,00</v>
      </c>
      <c r="Q2948" s="4" t="e">
        <f t="shared" ca="1" si="1059"/>
        <v>#NAME?</v>
      </c>
    </row>
    <row r="2949" spans="1:17">
      <c r="A2949" s="603">
        <f t="shared" si="1061"/>
        <v>2948</v>
      </c>
      <c r="C2949" s="8" t="s">
        <v>17</v>
      </c>
      <c r="D2949" s="2">
        <v>43957</v>
      </c>
      <c r="E2949" s="3">
        <v>250000</v>
      </c>
      <c r="F2949" t="s">
        <v>1173</v>
      </c>
      <c r="G2949" t="s">
        <v>1174</v>
      </c>
      <c r="H2949" t="s">
        <v>187</v>
      </c>
      <c r="I2949" s="6" t="s">
        <v>1210</v>
      </c>
      <c r="J2949" s="61" t="s">
        <v>22</v>
      </c>
      <c r="L2949" s="5" t="str">
        <f t="shared" si="1052"/>
        <v>02948</v>
      </c>
      <c r="M2949" s="47" t="str">
        <f t="shared" si="1053"/>
        <v>06 de mayo de 2020</v>
      </c>
      <c r="N2949" s="320">
        <f t="shared" si="1054"/>
        <v>6</v>
      </c>
      <c r="O2949" s="25">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1210</v>
      </c>
      <c r="J2950" s="61" t="s">
        <v>22</v>
      </c>
      <c r="L2950" s="5" t="str">
        <f t="shared" si="1052"/>
        <v>02949</v>
      </c>
      <c r="M2950" s="47" t="str">
        <f t="shared" si="1053"/>
        <v>07 de mayo de 2020</v>
      </c>
      <c r="N2950" s="320">
        <f t="shared" si="1054"/>
        <v>7</v>
      </c>
      <c r="O2950" s="25">
        <f t="shared" si="1055"/>
        <v>43952</v>
      </c>
      <c r="P2950" s="5" t="str">
        <f t="shared" si="1056"/>
        <v>250.000,00</v>
      </c>
      <c r="Q2950" s="4" t="e">
        <f t="shared" ca="1" si="1059"/>
        <v>#NAME?</v>
      </c>
    </row>
    <row r="2951" spans="1:17">
      <c r="A2951" s="1">
        <f t="shared" si="1061"/>
        <v>2950</v>
      </c>
      <c r="C2951" s="8" t="s">
        <v>17</v>
      </c>
      <c r="D2951" s="2">
        <v>43958</v>
      </c>
      <c r="E2951" s="3">
        <v>50000</v>
      </c>
      <c r="F2951" s="554" t="s">
        <v>24</v>
      </c>
      <c r="G2951" t="s">
        <v>25</v>
      </c>
      <c r="H2951" t="s">
        <v>26</v>
      </c>
      <c r="I2951" s="6" t="s">
        <v>1216</v>
      </c>
      <c r="J2951" s="61" t="s">
        <v>1217</v>
      </c>
      <c r="L2951" s="5" t="str">
        <f t="shared" ref="L2951:L3005" si="1062">IF(ISBLANK(A2951),"",TEXT(A2951,"00000"))</f>
        <v>02950</v>
      </c>
      <c r="M2951" s="47" t="str">
        <f t="shared" ref="M2951:M3005" si="1063">IF(ISBLANK(D2951),"",TEXT(D2951,"dd")&amp;" de "&amp;TEXT(D2951,"mmmm")&amp;" de "&amp;TEXT(YEAR(D2951),"0"))</f>
        <v>07 de mayo de 2020</v>
      </c>
      <c r="N2951" s="320">
        <f t="shared" ref="N2951:N3005" si="1064">DAY(D2951)</f>
        <v>7</v>
      </c>
      <c r="O2951" s="25">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1210</v>
      </c>
      <c r="J2952" s="61" t="s">
        <v>22</v>
      </c>
      <c r="L2952" s="5" t="str">
        <f t="shared" si="1062"/>
        <v>02951</v>
      </c>
      <c r="M2952" s="47" t="str">
        <f t="shared" si="1063"/>
        <v>07 de mayo de 2020</v>
      </c>
      <c r="N2952" s="320">
        <f t="shared" si="1064"/>
        <v>7</v>
      </c>
      <c r="O2952" s="25">
        <f t="shared" si="1065"/>
        <v>43952</v>
      </c>
      <c r="P2952" s="5" t="str">
        <f t="shared" si="1066"/>
        <v>250.000,00</v>
      </c>
      <c r="Q2952" s="4" t="e">
        <f t="shared" ca="1" si="1067"/>
        <v>#NAME?</v>
      </c>
    </row>
    <row r="2953" spans="1:17">
      <c r="A2953" s="1">
        <f t="shared" si="1068"/>
        <v>2952</v>
      </c>
      <c r="C2953" s="8" t="s">
        <v>17</v>
      </c>
      <c r="D2953" s="2">
        <v>43958</v>
      </c>
      <c r="E2953" s="3">
        <v>50000</v>
      </c>
      <c r="F2953" s="554" t="s">
        <v>70</v>
      </c>
      <c r="G2953" t="s">
        <v>71</v>
      </c>
      <c r="H2953" t="s">
        <v>72</v>
      </c>
      <c r="I2953" s="6" t="s">
        <v>1216</v>
      </c>
      <c r="J2953" s="61" t="s">
        <v>1217</v>
      </c>
      <c r="L2953" s="5" t="str">
        <f t="shared" si="1062"/>
        <v>02952</v>
      </c>
      <c r="M2953" s="47" t="str">
        <f t="shared" si="1063"/>
        <v>07 de mayo de 2020</v>
      </c>
      <c r="N2953" s="320">
        <f t="shared" si="1064"/>
        <v>7</v>
      </c>
      <c r="O2953" s="25">
        <f t="shared" si="1065"/>
        <v>43952</v>
      </c>
      <c r="P2953" s="5" t="str">
        <f t="shared" si="1066"/>
        <v>50.000,00</v>
      </c>
      <c r="Q2953" s="4" t="e">
        <f t="shared" ca="1" si="1067"/>
        <v>#NAME?</v>
      </c>
    </row>
    <row r="2954" spans="1:17">
      <c r="A2954" s="1">
        <f t="shared" si="1068"/>
        <v>2953</v>
      </c>
      <c r="C2954" s="8" t="s">
        <v>17</v>
      </c>
      <c r="D2954" s="2">
        <v>43958</v>
      </c>
      <c r="E2954" s="3">
        <v>50000</v>
      </c>
      <c r="F2954" s="554" t="s">
        <v>947</v>
      </c>
      <c r="G2954" t="s">
        <v>948</v>
      </c>
      <c r="H2954" t="s">
        <v>949</v>
      </c>
      <c r="I2954" s="6" t="s">
        <v>1216</v>
      </c>
      <c r="J2954" s="61" t="s">
        <v>1217</v>
      </c>
      <c r="L2954" s="5" t="str">
        <f t="shared" si="1062"/>
        <v>02953</v>
      </c>
      <c r="M2954" s="47" t="str">
        <f t="shared" si="1063"/>
        <v>07 de mayo de 2020</v>
      </c>
      <c r="N2954" s="320">
        <f t="shared" si="1064"/>
        <v>7</v>
      </c>
      <c r="O2954" s="25">
        <f t="shared" si="1065"/>
        <v>43952</v>
      </c>
      <c r="P2954" s="5" t="str">
        <f t="shared" si="1066"/>
        <v>50.000,00</v>
      </c>
      <c r="Q2954" s="4" t="e">
        <f t="shared" ca="1" si="1067"/>
        <v>#NAME?</v>
      </c>
    </row>
    <row r="2955" spans="1:17">
      <c r="A2955" s="1">
        <f>A2954+1</f>
        <v>2954</v>
      </c>
      <c r="C2955" s="8" t="s">
        <v>17</v>
      </c>
      <c r="D2955" s="2">
        <v>43958</v>
      </c>
      <c r="E2955" s="3">
        <v>100000</v>
      </c>
      <c r="F2955" s="554" t="s">
        <v>558</v>
      </c>
      <c r="G2955" t="s">
        <v>559</v>
      </c>
      <c r="H2955" t="s">
        <v>560</v>
      </c>
      <c r="I2955" s="6" t="s">
        <v>1216</v>
      </c>
      <c r="J2955" s="61" t="s">
        <v>1217</v>
      </c>
      <c r="L2955" s="5" t="str">
        <f t="shared" si="1062"/>
        <v>02954</v>
      </c>
      <c r="M2955" s="47" t="str">
        <f t="shared" si="1063"/>
        <v>07 de mayo de 2020</v>
      </c>
      <c r="N2955" s="320">
        <f t="shared" si="1064"/>
        <v>7</v>
      </c>
      <c r="O2955" s="25">
        <f t="shared" si="1065"/>
        <v>43952</v>
      </c>
      <c r="P2955" s="5" t="str">
        <f t="shared" si="1066"/>
        <v>100.000,00</v>
      </c>
      <c r="Q2955" s="4" t="e">
        <f t="shared" ca="1" si="1067"/>
        <v>#NAME?</v>
      </c>
    </row>
    <row r="2956" spans="1:17">
      <c r="A2956" s="1">
        <f>A2955+1</f>
        <v>2955</v>
      </c>
      <c r="C2956" s="8" t="s">
        <v>17</v>
      </c>
      <c r="D2956" s="2">
        <v>43958</v>
      </c>
      <c r="E2956" s="3">
        <v>50000</v>
      </c>
      <c r="F2956" s="554" t="s">
        <v>1004</v>
      </c>
      <c r="G2956" t="s">
        <v>1005</v>
      </c>
      <c r="H2956" t="s">
        <v>539</v>
      </c>
      <c r="I2956" s="6" t="s">
        <v>1216</v>
      </c>
      <c r="J2956" s="61" t="s">
        <v>1217</v>
      </c>
      <c r="L2956" s="5" t="str">
        <f t="shared" si="1062"/>
        <v>02955</v>
      </c>
      <c r="M2956" s="47" t="str">
        <f t="shared" si="1063"/>
        <v>07 de mayo de 2020</v>
      </c>
      <c r="N2956" s="320">
        <f t="shared" si="1064"/>
        <v>7</v>
      </c>
      <c r="O2956" s="25">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1210</v>
      </c>
      <c r="J2957" s="61" t="s">
        <v>22</v>
      </c>
      <c r="L2957" s="5" t="str">
        <f t="shared" si="1062"/>
        <v>02956</v>
      </c>
      <c r="M2957" s="47" t="str">
        <f t="shared" si="1063"/>
        <v>07 de mayo de 2020</v>
      </c>
      <c r="N2957" s="320">
        <f t="shared" si="1064"/>
        <v>7</v>
      </c>
      <c r="O2957" s="25">
        <f t="shared" si="1065"/>
        <v>43952</v>
      </c>
      <c r="P2957" s="5" t="str">
        <f t="shared" si="1066"/>
        <v>350.000,00</v>
      </c>
      <c r="Q2957" s="4" t="e">
        <f t="shared" ca="1" si="1067"/>
        <v>#NAME?</v>
      </c>
    </row>
    <row r="2958" spans="1:17">
      <c r="A2958" s="1">
        <f t="shared" si="1069"/>
        <v>2957</v>
      </c>
      <c r="C2958" s="8" t="s">
        <v>17</v>
      </c>
      <c r="D2958" s="2">
        <v>43958</v>
      </c>
      <c r="E2958" s="3">
        <v>50000</v>
      </c>
      <c r="F2958" s="554" t="s">
        <v>80</v>
      </c>
      <c r="G2958" t="s">
        <v>81</v>
      </c>
      <c r="H2958" t="s">
        <v>82</v>
      </c>
      <c r="I2958" s="6" t="s">
        <v>1216</v>
      </c>
      <c r="J2958" s="61" t="s">
        <v>1217</v>
      </c>
      <c r="L2958" s="5" t="str">
        <f t="shared" si="1062"/>
        <v>02957</v>
      </c>
      <c r="M2958" s="47" t="str">
        <f t="shared" si="1063"/>
        <v>07 de mayo de 2020</v>
      </c>
      <c r="N2958" s="320">
        <f t="shared" si="1064"/>
        <v>7</v>
      </c>
      <c r="O2958" s="25">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1210</v>
      </c>
      <c r="J2959" s="61" t="s">
        <v>22</v>
      </c>
      <c r="L2959" s="5" t="str">
        <f t="shared" si="1062"/>
        <v>02958</v>
      </c>
      <c r="M2959" s="47" t="str">
        <f t="shared" si="1063"/>
        <v>07 de mayo de 2020</v>
      </c>
      <c r="N2959" s="320">
        <f t="shared" si="1064"/>
        <v>7</v>
      </c>
      <c r="O2959" s="25">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4" t="s">
        <v>100</v>
      </c>
      <c r="G2960" t="s">
        <v>95</v>
      </c>
      <c r="H2960" t="s">
        <v>101</v>
      </c>
      <c r="I2960" s="6" t="s">
        <v>1216</v>
      </c>
      <c r="J2960" s="61" t="s">
        <v>1217</v>
      </c>
      <c r="L2960" s="5" t="str">
        <f t="shared" si="1062"/>
        <v>02959</v>
      </c>
      <c r="M2960" s="47" t="str">
        <f t="shared" si="1063"/>
        <v>07 de mayo de 2020</v>
      </c>
      <c r="N2960" s="320">
        <f t="shared" si="1064"/>
        <v>7</v>
      </c>
      <c r="O2960" s="25">
        <f t="shared" si="1065"/>
        <v>43952</v>
      </c>
      <c r="P2960" s="5" t="str">
        <f t="shared" si="1066"/>
        <v>50.000,00</v>
      </c>
      <c r="Q2960" s="4" t="e">
        <f t="shared" ca="1" si="1067"/>
        <v>#NAME?</v>
      </c>
    </row>
    <row r="2961" spans="1:17">
      <c r="A2961" s="1">
        <f t="shared" si="1070"/>
        <v>2960</v>
      </c>
      <c r="C2961" s="8" t="s">
        <v>17</v>
      </c>
      <c r="D2961" s="2">
        <v>43958</v>
      </c>
      <c r="E2961" s="3">
        <v>50000</v>
      </c>
      <c r="F2961" s="554" t="s">
        <v>296</v>
      </c>
      <c r="G2961" t="s">
        <v>297</v>
      </c>
      <c r="H2961" t="s">
        <v>298</v>
      </c>
      <c r="I2961" s="6" t="s">
        <v>1216</v>
      </c>
      <c r="J2961" s="61" t="s">
        <v>1217</v>
      </c>
      <c r="L2961" s="5" t="str">
        <f t="shared" si="1062"/>
        <v>02960</v>
      </c>
      <c r="M2961" s="47" t="str">
        <f t="shared" si="1063"/>
        <v>07 de mayo de 2020</v>
      </c>
      <c r="N2961" s="320">
        <f t="shared" si="1064"/>
        <v>7</v>
      </c>
      <c r="O2961" s="25">
        <f t="shared" si="1065"/>
        <v>43952</v>
      </c>
      <c r="P2961" s="5" t="str">
        <f t="shared" si="1066"/>
        <v>50.000,00</v>
      </c>
      <c r="Q2961" s="4" t="e">
        <f t="shared" ca="1" si="1067"/>
        <v>#NAME?</v>
      </c>
    </row>
    <row r="2962" spans="1:17">
      <c r="A2962" s="1">
        <f t="shared" si="1070"/>
        <v>2961</v>
      </c>
      <c r="C2962" s="8" t="s">
        <v>17</v>
      </c>
      <c r="D2962" s="2">
        <v>43958</v>
      </c>
      <c r="E2962" s="3">
        <v>50000</v>
      </c>
      <c r="F2962" s="554" t="s">
        <v>1138</v>
      </c>
      <c r="G2962" t="s">
        <v>1139</v>
      </c>
      <c r="H2962" t="s">
        <v>1115</v>
      </c>
      <c r="I2962" s="6" t="s">
        <v>1216</v>
      </c>
      <c r="J2962" s="61" t="s">
        <v>1217</v>
      </c>
      <c r="L2962" s="5" t="str">
        <f t="shared" si="1062"/>
        <v>02961</v>
      </c>
      <c r="M2962" s="47" t="str">
        <f t="shared" si="1063"/>
        <v>07 de mayo de 2020</v>
      </c>
      <c r="N2962" s="320">
        <f t="shared" si="1064"/>
        <v>7</v>
      </c>
      <c r="O2962" s="25">
        <f t="shared" si="1065"/>
        <v>43952</v>
      </c>
      <c r="P2962" s="5" t="str">
        <f t="shared" si="1066"/>
        <v>50.000,00</v>
      </c>
      <c r="Q2962" s="4" t="e">
        <f t="shared" ca="1" si="1067"/>
        <v>#NAME?</v>
      </c>
    </row>
    <row r="2963" spans="1:17">
      <c r="A2963" s="1">
        <f t="shared" si="1070"/>
        <v>2962</v>
      </c>
      <c r="C2963" s="8" t="s">
        <v>17</v>
      </c>
      <c r="D2963" s="2">
        <v>43959</v>
      </c>
      <c r="E2963" s="3">
        <v>50000</v>
      </c>
      <c r="F2963" s="554" t="s">
        <v>287</v>
      </c>
      <c r="G2963" t="s">
        <v>288</v>
      </c>
      <c r="H2963" t="s">
        <v>289</v>
      </c>
      <c r="I2963" s="6" t="s">
        <v>1216</v>
      </c>
      <c r="J2963" s="61" t="s">
        <v>1217</v>
      </c>
      <c r="L2963" s="5" t="str">
        <f t="shared" si="1062"/>
        <v>02962</v>
      </c>
      <c r="M2963" s="47" t="str">
        <f t="shared" si="1063"/>
        <v>08 de mayo de 2020</v>
      </c>
      <c r="N2963" s="320">
        <f t="shared" si="1064"/>
        <v>8</v>
      </c>
      <c r="O2963" s="25">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1210</v>
      </c>
      <c r="J2964" s="61" t="s">
        <v>22</v>
      </c>
      <c r="L2964" s="5" t="str">
        <f t="shared" si="1062"/>
        <v>02963</v>
      </c>
      <c r="M2964" s="47" t="str">
        <f t="shared" si="1063"/>
        <v>08 de mayo de 2020</v>
      </c>
      <c r="N2964" s="320">
        <f t="shared" si="1064"/>
        <v>8</v>
      </c>
      <c r="O2964" s="25">
        <f t="shared" si="1065"/>
        <v>43952</v>
      </c>
      <c r="P2964" s="5" t="str">
        <f t="shared" si="1066"/>
        <v>250.000,00</v>
      </c>
      <c r="Q2964" s="4" t="e">
        <f t="shared" ca="1" si="1067"/>
        <v>#NAME?</v>
      </c>
    </row>
    <row r="2965" spans="1:17">
      <c r="A2965" s="1">
        <f t="shared" si="1070"/>
        <v>2964</v>
      </c>
      <c r="C2965" s="8" t="s">
        <v>17</v>
      </c>
      <c r="D2965" s="2">
        <v>43959</v>
      </c>
      <c r="E2965" s="3">
        <v>50000</v>
      </c>
      <c r="F2965" s="554" t="s">
        <v>62</v>
      </c>
      <c r="G2965" t="s">
        <v>63</v>
      </c>
      <c r="H2965" t="s">
        <v>64</v>
      </c>
      <c r="I2965" s="6" t="s">
        <v>1216</v>
      </c>
      <c r="J2965" s="61" t="s">
        <v>1217</v>
      </c>
      <c r="L2965" s="5" t="str">
        <f t="shared" si="1062"/>
        <v>02964</v>
      </c>
      <c r="M2965" s="47" t="str">
        <f t="shared" si="1063"/>
        <v>08 de mayo de 2020</v>
      </c>
      <c r="N2965" s="320">
        <f t="shared" si="1064"/>
        <v>8</v>
      </c>
      <c r="O2965" s="25">
        <f t="shared" si="1065"/>
        <v>43952</v>
      </c>
      <c r="P2965" s="5" t="str">
        <f t="shared" si="1066"/>
        <v>50.000,00</v>
      </c>
      <c r="Q2965" s="4" t="e">
        <f t="shared" ca="1" si="1067"/>
        <v>#NAME?</v>
      </c>
    </row>
    <row r="2966" spans="1:17">
      <c r="A2966" s="603">
        <f t="shared" ref="A2966:A2968" si="1071">A2965+1</f>
        <v>2965</v>
      </c>
      <c r="C2966" s="8" t="s">
        <v>17</v>
      </c>
      <c r="D2966" s="2">
        <v>43941</v>
      </c>
      <c r="E2966" s="3">
        <v>185250</v>
      </c>
      <c r="F2966" t="s">
        <v>633</v>
      </c>
      <c r="G2966" t="s">
        <v>634</v>
      </c>
      <c r="H2966" t="s">
        <v>635</v>
      </c>
      <c r="I2966" s="6" t="s">
        <v>1175</v>
      </c>
      <c r="J2966" s="61" t="s">
        <v>22</v>
      </c>
      <c r="L2966" s="5" t="str">
        <f t="shared" si="1062"/>
        <v>02965</v>
      </c>
      <c r="M2966" s="47" t="str">
        <f t="shared" si="1063"/>
        <v>20 de abril de 2020</v>
      </c>
      <c r="N2966" s="320">
        <f t="shared" si="1064"/>
        <v>20</v>
      </c>
      <c r="O2966" s="25">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1204</v>
      </c>
      <c r="J2967" s="61" t="s">
        <v>22</v>
      </c>
      <c r="L2967" s="5" t="str">
        <f t="shared" si="1062"/>
        <v>02966</v>
      </c>
      <c r="M2967" s="47" t="str">
        <f t="shared" si="1063"/>
        <v>08 de mayo de 2020</v>
      </c>
      <c r="N2967" s="320">
        <f t="shared" si="1064"/>
        <v>8</v>
      </c>
      <c r="O2967" s="25">
        <f t="shared" si="1065"/>
        <v>43952</v>
      </c>
      <c r="P2967" s="5" t="str">
        <f t="shared" si="1066"/>
        <v>180.000,00</v>
      </c>
      <c r="Q2967" s="4" t="e">
        <f t="shared" ca="1" si="1067"/>
        <v>#NAME?</v>
      </c>
    </row>
    <row r="2968" spans="1:17">
      <c r="A2968" s="1">
        <f t="shared" si="1071"/>
        <v>2967</v>
      </c>
      <c r="C2968" s="8" t="s">
        <v>225</v>
      </c>
      <c r="D2968" s="2">
        <v>43959</v>
      </c>
      <c r="E2968" s="3">
        <v>50000</v>
      </c>
      <c r="F2968" s="554" t="s">
        <v>28</v>
      </c>
      <c r="G2968" t="s">
        <v>716</v>
      </c>
      <c r="H2968" t="s">
        <v>30</v>
      </c>
      <c r="I2968" s="6" t="s">
        <v>1218</v>
      </c>
      <c r="J2968" s="61" t="s">
        <v>426</v>
      </c>
      <c r="L2968" s="5" t="str">
        <f t="shared" si="1062"/>
        <v>02967</v>
      </c>
      <c r="M2968" s="47" t="str">
        <f t="shared" si="1063"/>
        <v>08 de mayo de 2020</v>
      </c>
      <c r="N2968" s="320">
        <f t="shared" si="1064"/>
        <v>8</v>
      </c>
      <c r="O2968" s="25">
        <f t="shared" si="1065"/>
        <v>43952</v>
      </c>
      <c r="P2968" s="5" t="str">
        <f t="shared" si="1066"/>
        <v>50.000,00</v>
      </c>
      <c r="Q2968" s="4" t="e">
        <f t="shared" ca="1" si="1067"/>
        <v>#NAME?</v>
      </c>
    </row>
    <row r="2969" spans="1:17">
      <c r="A2969" s="1">
        <f>A2968+1</f>
        <v>2968</v>
      </c>
      <c r="C2969" s="8" t="s">
        <v>17</v>
      </c>
      <c r="D2969" s="2">
        <v>43959</v>
      </c>
      <c r="E2969" s="3">
        <v>50000</v>
      </c>
      <c r="F2969" s="554" t="s">
        <v>342</v>
      </c>
      <c r="G2969" t="s">
        <v>1036</v>
      </c>
      <c r="H2969" t="s">
        <v>344</v>
      </c>
      <c r="I2969" s="6" t="s">
        <v>1216</v>
      </c>
      <c r="J2969" s="61" t="s">
        <v>1217</v>
      </c>
      <c r="L2969" s="5" t="str">
        <f t="shared" si="1062"/>
        <v>02968</v>
      </c>
      <c r="M2969" s="47" t="str">
        <f t="shared" si="1063"/>
        <v>08 de mayo de 2020</v>
      </c>
      <c r="N2969" s="320">
        <f t="shared" si="1064"/>
        <v>8</v>
      </c>
      <c r="O2969" s="25">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1210</v>
      </c>
      <c r="J2970" s="61" t="s">
        <v>22</v>
      </c>
      <c r="L2970" s="5" t="str">
        <f t="shared" si="1062"/>
        <v>02969</v>
      </c>
      <c r="M2970" s="47" t="str">
        <f t="shared" si="1063"/>
        <v>08 de mayo de 2020</v>
      </c>
      <c r="N2970" s="320">
        <f t="shared" si="1064"/>
        <v>8</v>
      </c>
      <c r="O2970" s="25">
        <f t="shared" si="1065"/>
        <v>43952</v>
      </c>
      <c r="P2970" s="5" t="str">
        <f t="shared" si="1066"/>
        <v>250.000,00</v>
      </c>
      <c r="Q2970" s="4" t="e">
        <f t="shared" ca="1" si="1067"/>
        <v>#NAME?</v>
      </c>
    </row>
    <row r="2971" spans="1:17">
      <c r="A2971" s="1">
        <f t="shared" si="1072"/>
        <v>2970</v>
      </c>
      <c r="C2971" s="8" t="s">
        <v>17</v>
      </c>
      <c r="D2971" s="2">
        <v>43958</v>
      </c>
      <c r="E2971" s="3">
        <v>50000</v>
      </c>
      <c r="F2971" s="554" t="s">
        <v>44</v>
      </c>
      <c r="G2971" t="s">
        <v>45</v>
      </c>
      <c r="H2971" t="s">
        <v>46</v>
      </c>
      <c r="I2971" s="6" t="s">
        <v>1216</v>
      </c>
      <c r="J2971" s="61" t="s">
        <v>1217</v>
      </c>
      <c r="L2971" s="5" t="str">
        <f t="shared" si="1062"/>
        <v>02970</v>
      </c>
      <c r="M2971" s="47" t="str">
        <f t="shared" si="1063"/>
        <v>07 de mayo de 2020</v>
      </c>
      <c r="N2971" s="320">
        <f t="shared" si="1064"/>
        <v>7</v>
      </c>
      <c r="O2971" s="25">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1210</v>
      </c>
      <c r="J2972" s="61" t="s">
        <v>22</v>
      </c>
      <c r="L2972" s="5" t="str">
        <f t="shared" si="1062"/>
        <v>02971</v>
      </c>
      <c r="M2972" s="47" t="str">
        <f t="shared" si="1063"/>
        <v>08 de mayo de 2020</v>
      </c>
      <c r="N2972" s="320">
        <f t="shared" si="1064"/>
        <v>8</v>
      </c>
      <c r="O2972" s="25">
        <f t="shared" si="1065"/>
        <v>43952</v>
      </c>
      <c r="P2972" s="5" t="str">
        <f t="shared" si="1066"/>
        <v>250.000,00</v>
      </c>
      <c r="Q2972" s="4" t="e">
        <f t="shared" ca="1" si="1067"/>
        <v>#NAME?</v>
      </c>
    </row>
    <row r="2973" spans="1:17">
      <c r="A2973" s="1">
        <f t="shared" si="1072"/>
        <v>2972</v>
      </c>
      <c r="C2973" s="8" t="s">
        <v>17</v>
      </c>
      <c r="D2973" s="2">
        <v>43959</v>
      </c>
      <c r="E2973" s="3">
        <v>50000</v>
      </c>
      <c r="F2973" s="554" t="s">
        <v>211</v>
      </c>
      <c r="G2973" t="s">
        <v>212</v>
      </c>
      <c r="H2973" t="s">
        <v>213</v>
      </c>
      <c r="I2973" s="6" t="s">
        <v>1216</v>
      </c>
      <c r="J2973" s="61" t="s">
        <v>1217</v>
      </c>
      <c r="L2973" s="5" t="str">
        <f t="shared" si="1062"/>
        <v>02972</v>
      </c>
      <c r="M2973" s="47" t="str">
        <f t="shared" si="1063"/>
        <v>08 de mayo de 2020</v>
      </c>
      <c r="N2973" s="320">
        <f t="shared" si="1064"/>
        <v>8</v>
      </c>
      <c r="O2973" s="25">
        <f t="shared" si="1065"/>
        <v>43952</v>
      </c>
      <c r="P2973" s="5" t="str">
        <f t="shared" si="1066"/>
        <v>50.000,00</v>
      </c>
      <c r="Q2973" s="4" t="e">
        <f t="shared" ca="1" si="1067"/>
        <v>#NAME?</v>
      </c>
    </row>
    <row r="2974" spans="1:17">
      <c r="A2974" s="1">
        <f>A2973+1</f>
        <v>2973</v>
      </c>
      <c r="C2974" s="8" t="s">
        <v>17</v>
      </c>
      <c r="D2974" s="2">
        <v>43959</v>
      </c>
      <c r="E2974" s="3">
        <v>50000</v>
      </c>
      <c r="F2974" s="554" t="s">
        <v>334</v>
      </c>
      <c r="G2974" t="s">
        <v>85</v>
      </c>
      <c r="H2974" t="s">
        <v>335</v>
      </c>
      <c r="I2974" s="6" t="s">
        <v>1216</v>
      </c>
      <c r="J2974" s="61" t="s">
        <v>1217</v>
      </c>
      <c r="L2974" s="5" t="str">
        <f t="shared" si="1062"/>
        <v>02973</v>
      </c>
      <c r="M2974" s="47" t="str">
        <f t="shared" si="1063"/>
        <v>08 de mayo de 2020</v>
      </c>
      <c r="N2974" s="320">
        <f t="shared" si="1064"/>
        <v>8</v>
      </c>
      <c r="O2974" s="25">
        <f t="shared" si="1065"/>
        <v>43952</v>
      </c>
      <c r="P2974" s="5" t="str">
        <f t="shared" si="1066"/>
        <v>50.000,00</v>
      </c>
      <c r="Q2974" s="4" t="e">
        <f t="shared" ca="1" si="1067"/>
        <v>#NAME?</v>
      </c>
    </row>
    <row r="2975" spans="1:17">
      <c r="A2975" s="1">
        <f>A2974+1</f>
        <v>2974</v>
      </c>
      <c r="C2975" s="8" t="s">
        <v>17</v>
      </c>
      <c r="D2975" s="2">
        <v>43959</v>
      </c>
      <c r="E2975" s="3">
        <v>50000</v>
      </c>
      <c r="F2975" s="554" t="s">
        <v>84</v>
      </c>
      <c r="G2975" t="s">
        <v>85</v>
      </c>
      <c r="H2975" t="s">
        <v>86</v>
      </c>
      <c r="I2975" s="6" t="s">
        <v>1216</v>
      </c>
      <c r="J2975" s="61" t="s">
        <v>1217</v>
      </c>
      <c r="L2975" s="5" t="str">
        <f t="shared" si="1062"/>
        <v>02974</v>
      </c>
      <c r="M2975" s="47" t="str">
        <f t="shared" si="1063"/>
        <v>08 de mayo de 2020</v>
      </c>
      <c r="N2975" s="320">
        <f t="shared" si="1064"/>
        <v>8</v>
      </c>
      <c r="O2975" s="25">
        <f t="shared" si="1065"/>
        <v>43952</v>
      </c>
      <c r="P2975" s="5" t="str">
        <f t="shared" si="1066"/>
        <v>50.000,00</v>
      </c>
      <c r="Q2975" s="4" t="e">
        <f t="shared" ca="1" si="1067"/>
        <v>#NAME?</v>
      </c>
    </row>
    <row r="2976" spans="1:17">
      <c r="A2976" s="1">
        <f t="shared" ref="A2976" si="1073">A2975+1</f>
        <v>2975</v>
      </c>
      <c r="B2976" s="8"/>
      <c r="C2976" s="85" t="s">
        <v>17</v>
      </c>
      <c r="D2976" s="2">
        <v>43959</v>
      </c>
      <c r="E2976" s="162">
        <v>50000</v>
      </c>
      <c r="F2976" s="554" t="s">
        <v>492</v>
      </c>
      <c r="G2976" s="18" t="s">
        <v>58</v>
      </c>
      <c r="H2976" t="s">
        <v>493</v>
      </c>
      <c r="I2976" s="6" t="s">
        <v>1216</v>
      </c>
      <c r="J2976" s="61" t="s">
        <v>1217</v>
      </c>
      <c r="L2976" s="5" t="str">
        <f t="shared" si="1062"/>
        <v>02975</v>
      </c>
      <c r="M2976" s="47" t="str">
        <f t="shared" si="1063"/>
        <v>08 de mayo de 2020</v>
      </c>
      <c r="N2976" s="320">
        <f t="shared" si="1064"/>
        <v>8</v>
      </c>
      <c r="O2976" s="25">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1204</v>
      </c>
      <c r="J2977" s="61" t="s">
        <v>22</v>
      </c>
      <c r="L2977" s="5" t="str">
        <f t="shared" si="1062"/>
        <v>02976</v>
      </c>
      <c r="M2977" s="47" t="str">
        <f t="shared" si="1063"/>
        <v>08 de mayo de 2020</v>
      </c>
      <c r="N2977" s="320">
        <f t="shared" si="1064"/>
        <v>8</v>
      </c>
      <c r="O2977" s="25">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4" t="s">
        <v>1047</v>
      </c>
      <c r="H2978" t="s">
        <v>105</v>
      </c>
      <c r="I2978" s="6" t="s">
        <v>1210</v>
      </c>
      <c r="J2978" s="61" t="s">
        <v>22</v>
      </c>
      <c r="L2978" s="5" t="str">
        <f t="shared" si="1062"/>
        <v>02977</v>
      </c>
      <c r="M2978" s="47" t="str">
        <f t="shared" si="1063"/>
        <v>08 de mayo de 2020</v>
      </c>
      <c r="N2978" s="320">
        <f t="shared" si="1064"/>
        <v>8</v>
      </c>
      <c r="O2978" s="25">
        <f t="shared" si="1065"/>
        <v>43952</v>
      </c>
      <c r="P2978" s="5" t="str">
        <f t="shared" si="1066"/>
        <v>250.000,00</v>
      </c>
      <c r="Q2978" s="4" t="e">
        <f t="shared" ca="1" si="1067"/>
        <v>#NAME?</v>
      </c>
    </row>
    <row r="2979" spans="1:17">
      <c r="A2979" s="1">
        <f t="shared" si="1074"/>
        <v>2978</v>
      </c>
      <c r="C2979" s="8" t="s">
        <v>17</v>
      </c>
      <c r="D2979" s="2">
        <v>43959</v>
      </c>
      <c r="E2979" s="3">
        <v>50000</v>
      </c>
      <c r="F2979" s="554" t="s">
        <v>103</v>
      </c>
      <c r="G2979" s="554" t="s">
        <v>1047</v>
      </c>
      <c r="H2979" t="s">
        <v>105</v>
      </c>
      <c r="I2979" s="6" t="s">
        <v>1216</v>
      </c>
      <c r="J2979" s="61" t="s">
        <v>1217</v>
      </c>
      <c r="L2979" s="5" t="str">
        <f t="shared" si="1062"/>
        <v>02978</v>
      </c>
      <c r="M2979" s="47" t="str">
        <f t="shared" si="1063"/>
        <v>08 de mayo de 2020</v>
      </c>
      <c r="N2979" s="320">
        <f t="shared" si="1064"/>
        <v>8</v>
      </c>
      <c r="O2979" s="25">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1210</v>
      </c>
      <c r="J2980" s="61" t="s">
        <v>22</v>
      </c>
      <c r="L2980" s="5" t="str">
        <f t="shared" si="1062"/>
        <v>02979</v>
      </c>
      <c r="M2980" s="47" t="str">
        <f t="shared" si="1063"/>
        <v>08 de mayo de 2020</v>
      </c>
      <c r="N2980" s="320">
        <f t="shared" si="1064"/>
        <v>8</v>
      </c>
      <c r="O2980" s="25">
        <f t="shared" si="1065"/>
        <v>43952</v>
      </c>
      <c r="P2980" s="5" t="str">
        <f t="shared" si="1066"/>
        <v>250.000,00</v>
      </c>
      <c r="Q2980" s="4" t="e">
        <f t="shared" ca="1" si="1067"/>
        <v>#NAME?</v>
      </c>
    </row>
    <row r="2981" spans="1:17">
      <c r="A2981" s="1">
        <f>A2980+1</f>
        <v>2980</v>
      </c>
      <c r="C2981" s="8" t="s">
        <v>17</v>
      </c>
      <c r="D2981" s="2">
        <v>43959</v>
      </c>
      <c r="E2981" s="3">
        <v>50000</v>
      </c>
      <c r="F2981" s="554" t="s">
        <v>443</v>
      </c>
      <c r="G2981" t="s">
        <v>444</v>
      </c>
      <c r="H2981" t="s">
        <v>75</v>
      </c>
      <c r="I2981" s="6" t="s">
        <v>1216</v>
      </c>
      <c r="J2981" s="61" t="s">
        <v>1217</v>
      </c>
      <c r="L2981" s="5" t="str">
        <f t="shared" si="1062"/>
        <v>02980</v>
      </c>
      <c r="M2981" s="47" t="str">
        <f t="shared" si="1063"/>
        <v>08 de mayo de 2020</v>
      </c>
      <c r="N2981" s="320">
        <f t="shared" si="1064"/>
        <v>8</v>
      </c>
      <c r="O2981" s="25">
        <f t="shared" si="1065"/>
        <v>43952</v>
      </c>
      <c r="P2981" s="5" t="str">
        <f t="shared" si="1066"/>
        <v>50.000,00</v>
      </c>
      <c r="Q2981" s="4" t="e">
        <f t="shared" ca="1" si="1067"/>
        <v>#NAME?</v>
      </c>
    </row>
    <row r="2982" spans="1:17">
      <c r="A2982" s="1">
        <f>A2981+1</f>
        <v>2981</v>
      </c>
      <c r="C2982" s="8" t="s">
        <v>17</v>
      </c>
      <c r="D2982" s="2">
        <v>43959</v>
      </c>
      <c r="E2982" s="3">
        <v>50000</v>
      </c>
      <c r="F2982" s="554" t="s">
        <v>1186</v>
      </c>
      <c r="G2982" t="s">
        <v>1187</v>
      </c>
      <c r="H2982" t="s">
        <v>50</v>
      </c>
      <c r="I2982" s="6" t="s">
        <v>1216</v>
      </c>
      <c r="J2982" s="61" t="s">
        <v>1217</v>
      </c>
      <c r="L2982" s="5" t="str">
        <f t="shared" si="1062"/>
        <v>02981</v>
      </c>
      <c r="M2982" s="47" t="str">
        <f t="shared" si="1063"/>
        <v>08 de mayo de 2020</v>
      </c>
      <c r="N2982" s="320">
        <f t="shared" si="1064"/>
        <v>8</v>
      </c>
      <c r="O2982" s="25">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1210</v>
      </c>
      <c r="J2983" s="61" t="s">
        <v>22</v>
      </c>
      <c r="L2983" s="5" t="str">
        <f t="shared" si="1062"/>
        <v>02982</v>
      </c>
      <c r="M2983" s="47" t="str">
        <f t="shared" si="1063"/>
        <v>08 de mayo de 2020</v>
      </c>
      <c r="N2983" s="320">
        <f t="shared" si="1064"/>
        <v>8</v>
      </c>
      <c r="O2983" s="25">
        <f t="shared" si="1065"/>
        <v>43952</v>
      </c>
      <c r="P2983" s="5" t="str">
        <f t="shared" si="1066"/>
        <v>250.000,00</v>
      </c>
      <c r="Q2983" s="4" t="e">
        <f t="shared" ca="1" si="1067"/>
        <v>#NAME?</v>
      </c>
    </row>
    <row r="2984" spans="1:17">
      <c r="A2984" s="1">
        <f>A2983+1</f>
        <v>2983</v>
      </c>
      <c r="C2984" s="8" t="s">
        <v>17</v>
      </c>
      <c r="D2984" s="2">
        <v>43959</v>
      </c>
      <c r="E2984" s="3">
        <v>50000</v>
      </c>
      <c r="F2984" s="554" t="s">
        <v>181</v>
      </c>
      <c r="G2984" t="s">
        <v>182</v>
      </c>
      <c r="H2984" t="s">
        <v>183</v>
      </c>
      <c r="I2984" s="6" t="s">
        <v>1216</v>
      </c>
      <c r="J2984" s="61" t="s">
        <v>1217</v>
      </c>
      <c r="L2984" s="5" t="str">
        <f t="shared" si="1062"/>
        <v>02983</v>
      </c>
      <c r="M2984" s="47" t="str">
        <f t="shared" si="1063"/>
        <v>08 de mayo de 2020</v>
      </c>
      <c r="N2984" s="320">
        <f t="shared" si="1064"/>
        <v>8</v>
      </c>
      <c r="O2984" s="25">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1216</v>
      </c>
      <c r="J2985" s="61" t="s">
        <v>1217</v>
      </c>
      <c r="L2985" s="5" t="str">
        <f t="shared" si="1062"/>
        <v>02984</v>
      </c>
      <c r="M2985" s="47" t="str">
        <f t="shared" si="1063"/>
        <v>08 de mayo de 2020</v>
      </c>
      <c r="N2985" s="320">
        <f t="shared" si="1064"/>
        <v>8</v>
      </c>
      <c r="O2985" s="25">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1210</v>
      </c>
      <c r="J2986" s="61" t="s">
        <v>22</v>
      </c>
      <c r="L2986" s="5" t="str">
        <f t="shared" si="1062"/>
        <v>02985</v>
      </c>
      <c r="M2986" s="47" t="str">
        <f t="shared" si="1063"/>
        <v>09 de mayo de 2020</v>
      </c>
      <c r="N2986" s="320">
        <f t="shared" si="1064"/>
        <v>9</v>
      </c>
      <c r="O2986" s="25">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1216</v>
      </c>
      <c r="J2987" s="61" t="s">
        <v>1217</v>
      </c>
      <c r="L2987" s="5" t="str">
        <f t="shared" si="1062"/>
        <v>02986</v>
      </c>
      <c r="M2987" s="47" t="str">
        <f t="shared" si="1063"/>
        <v>09 de mayo de 2020</v>
      </c>
      <c r="N2987" s="320">
        <f t="shared" si="1064"/>
        <v>9</v>
      </c>
      <c r="O2987" s="25">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1216</v>
      </c>
      <c r="J2988" s="61" t="s">
        <v>1217</v>
      </c>
      <c r="L2988" s="5" t="str">
        <f t="shared" si="1062"/>
        <v>02987</v>
      </c>
      <c r="M2988" s="47" t="str">
        <f t="shared" si="1063"/>
        <v>09 de mayo de 2020</v>
      </c>
      <c r="N2988" s="320">
        <f t="shared" si="1064"/>
        <v>9</v>
      </c>
      <c r="O2988" s="25">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935</v>
      </c>
      <c r="G2989" t="s">
        <v>936</v>
      </c>
      <c r="H2989" t="s">
        <v>150</v>
      </c>
      <c r="I2989" s="6" t="s">
        <v>1210</v>
      </c>
      <c r="J2989" s="61" t="s">
        <v>22</v>
      </c>
      <c r="L2989" s="5" t="str">
        <f t="shared" si="1062"/>
        <v>02988</v>
      </c>
      <c r="M2989" s="47" t="str">
        <f t="shared" si="1063"/>
        <v>09 de mayo de 2020</v>
      </c>
      <c r="N2989" s="320">
        <f t="shared" si="1064"/>
        <v>9</v>
      </c>
      <c r="O2989" s="25">
        <f t="shared" si="1065"/>
        <v>43952</v>
      </c>
      <c r="P2989" s="5" t="str">
        <f t="shared" si="1066"/>
        <v>250.000,00</v>
      </c>
      <c r="Q2989" s="4" t="e">
        <f t="shared" ca="1" si="1077"/>
        <v>#NAME?</v>
      </c>
    </row>
    <row r="2990" spans="1:17">
      <c r="A2990" s="1">
        <f t="shared" si="1078"/>
        <v>2989</v>
      </c>
      <c r="C2990" s="8" t="s">
        <v>17</v>
      </c>
      <c r="D2990" s="2">
        <v>43960</v>
      </c>
      <c r="E2990" s="3">
        <v>50000</v>
      </c>
      <c r="F2990" t="s">
        <v>935</v>
      </c>
      <c r="G2990" t="s">
        <v>936</v>
      </c>
      <c r="H2990" t="s">
        <v>150</v>
      </c>
      <c r="I2990" s="6" t="s">
        <v>1216</v>
      </c>
      <c r="J2990" s="61" t="s">
        <v>1217</v>
      </c>
      <c r="L2990" s="5" t="str">
        <f t="shared" si="1062"/>
        <v>02989</v>
      </c>
      <c r="M2990" s="47" t="str">
        <f t="shared" si="1063"/>
        <v>09 de mayo de 2020</v>
      </c>
      <c r="N2990" s="320">
        <f t="shared" si="1064"/>
        <v>9</v>
      </c>
      <c r="O2990" s="25">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1216</v>
      </c>
      <c r="J2991" s="61" t="s">
        <v>1217</v>
      </c>
      <c r="L2991" s="5" t="str">
        <f t="shared" si="1062"/>
        <v>02990</v>
      </c>
      <c r="M2991" s="47" t="str">
        <f t="shared" si="1063"/>
        <v>09 de mayo de 2020</v>
      </c>
      <c r="N2991" s="320">
        <f t="shared" si="1064"/>
        <v>9</v>
      </c>
      <c r="O2991" s="25">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1175</v>
      </c>
      <c r="J2992" s="61" t="s">
        <v>22</v>
      </c>
      <c r="L2992" s="5" t="str">
        <f t="shared" si="1062"/>
        <v>02991</v>
      </c>
      <c r="M2992" s="47" t="str">
        <f t="shared" si="1063"/>
        <v>30 de abril de 2020</v>
      </c>
      <c r="N2992" s="320">
        <f t="shared" si="1064"/>
        <v>30</v>
      </c>
      <c r="O2992" s="25">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1210</v>
      </c>
      <c r="J2993" s="61" t="s">
        <v>22</v>
      </c>
      <c r="L2993" s="5" t="str">
        <f t="shared" si="1062"/>
        <v>02992</v>
      </c>
      <c r="M2993" s="47" t="str">
        <f t="shared" si="1063"/>
        <v>04 de mayo de 2020</v>
      </c>
      <c r="N2993" s="320">
        <f t="shared" si="1064"/>
        <v>4</v>
      </c>
      <c r="O2993" s="25">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1219</v>
      </c>
      <c r="J2994" s="61" t="s">
        <v>1217</v>
      </c>
      <c r="L2994" s="5" t="str">
        <f t="shared" si="1062"/>
        <v>02993</v>
      </c>
      <c r="M2994" s="47" t="str">
        <f t="shared" si="1063"/>
        <v>10 de mayo de 2020</v>
      </c>
      <c r="N2994" s="320">
        <f t="shared" si="1064"/>
        <v>10</v>
      </c>
      <c r="O2994" s="25">
        <f t="shared" si="1065"/>
        <v>43952</v>
      </c>
      <c r="P2994" s="5" t="str">
        <f t="shared" si="1066"/>
        <v>50.000,00</v>
      </c>
      <c r="Q2994" s="4" t="e">
        <f t="shared" ca="1" si="1077"/>
        <v>#NAME?</v>
      </c>
    </row>
    <row r="2995" spans="1:17">
      <c r="A2995" s="1">
        <f>A2994+1</f>
        <v>2994</v>
      </c>
      <c r="C2995" s="8" t="s">
        <v>17</v>
      </c>
      <c r="D2995" s="2">
        <v>43961</v>
      </c>
      <c r="E2995" s="3">
        <v>50000</v>
      </c>
      <c r="F2995" t="s">
        <v>785</v>
      </c>
      <c r="G2995" t="s">
        <v>786</v>
      </c>
      <c r="H2995" t="s">
        <v>719</v>
      </c>
      <c r="I2995" s="6" t="s">
        <v>1220</v>
      </c>
      <c r="J2995" s="61" t="s">
        <v>1217</v>
      </c>
      <c r="L2995" s="5" t="str">
        <f t="shared" si="1062"/>
        <v>02994</v>
      </c>
      <c r="M2995" s="47" t="str">
        <f t="shared" si="1063"/>
        <v>10 de mayo de 2020</v>
      </c>
      <c r="N2995" s="320">
        <f t="shared" si="1064"/>
        <v>10</v>
      </c>
      <c r="O2995" s="25">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1210</v>
      </c>
      <c r="J2996" s="61" t="s">
        <v>22</v>
      </c>
      <c r="L2996" s="5" t="str">
        <f t="shared" si="1062"/>
        <v>02995</v>
      </c>
      <c r="M2996" s="47" t="str">
        <f t="shared" si="1063"/>
        <v>11 de mayo de 2020</v>
      </c>
      <c r="N2996" s="320">
        <f t="shared" si="1064"/>
        <v>11</v>
      </c>
      <c r="O2996" s="25">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1216</v>
      </c>
      <c r="J2997" s="61" t="s">
        <v>1217</v>
      </c>
      <c r="L2997" s="5" t="str">
        <f t="shared" si="1062"/>
        <v>02996</v>
      </c>
      <c r="M2997" s="47" t="str">
        <f t="shared" si="1063"/>
        <v>11 de mayo de 2020</v>
      </c>
      <c r="N2997" s="320">
        <f t="shared" si="1064"/>
        <v>11</v>
      </c>
      <c r="O2997" s="25">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1216</v>
      </c>
      <c r="J2998" s="61" t="s">
        <v>1217</v>
      </c>
      <c r="L2998" s="5" t="str">
        <f t="shared" si="1062"/>
        <v>02997</v>
      </c>
      <c r="M2998" s="47" t="str">
        <f t="shared" si="1063"/>
        <v>11 de mayo de 2020</v>
      </c>
      <c r="N2998" s="320">
        <f t="shared" si="1064"/>
        <v>11</v>
      </c>
      <c r="O2998" s="25">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1210</v>
      </c>
      <c r="J2999" s="61" t="s">
        <v>22</v>
      </c>
      <c r="L2999" s="5" t="str">
        <f t="shared" si="1062"/>
        <v>02998</v>
      </c>
      <c r="M2999" s="47" t="str">
        <f t="shared" si="1063"/>
        <v>11 de mayo de 2020</v>
      </c>
      <c r="N2999" s="320">
        <f t="shared" si="1064"/>
        <v>11</v>
      </c>
      <c r="O2999" s="25">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1216</v>
      </c>
      <c r="J3000" s="61" t="s">
        <v>1217</v>
      </c>
      <c r="L3000" s="5" t="str">
        <f t="shared" si="1062"/>
        <v>02999</v>
      </c>
      <c r="M3000" s="47" t="str">
        <f t="shared" si="1063"/>
        <v>11 de mayo de 2020</v>
      </c>
      <c r="N3000" s="320">
        <f t="shared" si="1064"/>
        <v>11</v>
      </c>
      <c r="O3000" s="25">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1210</v>
      </c>
      <c r="J3001" s="61" t="s">
        <v>22</v>
      </c>
      <c r="L3001" s="5" t="str">
        <f t="shared" si="1062"/>
        <v>03000</v>
      </c>
      <c r="M3001" s="47" t="str">
        <f t="shared" si="1063"/>
        <v>11 de mayo de 2020</v>
      </c>
      <c r="N3001" s="320">
        <f t="shared" si="1064"/>
        <v>11</v>
      </c>
      <c r="O3001" s="25">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1221</v>
      </c>
      <c r="H3002" t="s">
        <v>314</v>
      </c>
      <c r="I3002" s="6" t="s">
        <v>1216</v>
      </c>
      <c r="J3002" s="61" t="s">
        <v>1217</v>
      </c>
      <c r="L3002" s="5" t="str">
        <f t="shared" si="1062"/>
        <v>03001</v>
      </c>
      <c r="M3002" s="47" t="str">
        <f t="shared" si="1063"/>
        <v>11 de mayo de 2020</v>
      </c>
      <c r="N3002" s="320">
        <f t="shared" si="1064"/>
        <v>11</v>
      </c>
      <c r="O3002" s="25">
        <f t="shared" si="1065"/>
        <v>43952</v>
      </c>
      <c r="P3002" s="5" t="str">
        <f t="shared" si="1066"/>
        <v>50.000,00</v>
      </c>
      <c r="Q3002" s="4" t="e">
        <f t="shared" ca="1" si="1077"/>
        <v>#NAME?</v>
      </c>
    </row>
    <row r="3003" spans="1:17">
      <c r="A3003" s="603">
        <f t="shared" si="1081"/>
        <v>3002</v>
      </c>
      <c r="C3003" s="8" t="s">
        <v>17</v>
      </c>
      <c r="D3003" s="2">
        <v>43962</v>
      </c>
      <c r="E3003" s="3">
        <v>250000</v>
      </c>
      <c r="F3003" t="s">
        <v>243</v>
      </c>
      <c r="G3003" t="s">
        <v>244</v>
      </c>
      <c r="H3003" t="s">
        <v>245</v>
      </c>
      <c r="I3003" s="6" t="s">
        <v>1210</v>
      </c>
      <c r="J3003" s="61" t="s">
        <v>22</v>
      </c>
      <c r="L3003" s="5" t="str">
        <f t="shared" si="1062"/>
        <v>03002</v>
      </c>
      <c r="M3003" s="47" t="str">
        <f t="shared" si="1063"/>
        <v>11 de mayo de 2020</v>
      </c>
      <c r="N3003" s="320">
        <f t="shared" si="1064"/>
        <v>11</v>
      </c>
      <c r="O3003" s="25">
        <f t="shared" si="1065"/>
        <v>43952</v>
      </c>
      <c r="P3003" s="5" t="str">
        <f t="shared" si="1066"/>
        <v>250.000,00</v>
      </c>
      <c r="Q3003" s="4" t="e">
        <f t="shared" ca="1" si="1077"/>
        <v>#NAME?</v>
      </c>
    </row>
    <row r="3004" spans="1:17">
      <c r="A3004" s="603">
        <f t="shared" si="1081"/>
        <v>3003</v>
      </c>
      <c r="C3004" s="8" t="s">
        <v>17</v>
      </c>
      <c r="D3004" s="2">
        <v>43962</v>
      </c>
      <c r="E3004" s="3">
        <v>50000</v>
      </c>
      <c r="F3004" t="s">
        <v>243</v>
      </c>
      <c r="G3004" t="s">
        <v>244</v>
      </c>
      <c r="H3004" t="s">
        <v>245</v>
      </c>
      <c r="I3004" s="6" t="s">
        <v>1216</v>
      </c>
      <c r="J3004" s="61" t="s">
        <v>1217</v>
      </c>
      <c r="L3004" s="5" t="str">
        <f t="shared" si="1062"/>
        <v>03003</v>
      </c>
      <c r="M3004" s="47" t="str">
        <f t="shared" si="1063"/>
        <v>11 de mayo de 2020</v>
      </c>
      <c r="N3004" s="320">
        <f t="shared" si="1064"/>
        <v>11</v>
      </c>
      <c r="O3004" s="25">
        <f t="shared" si="1065"/>
        <v>43952</v>
      </c>
      <c r="P3004" s="5" t="str">
        <f t="shared" si="1066"/>
        <v>50.000,00</v>
      </c>
      <c r="Q3004" s="4" t="e">
        <f t="shared" ca="1" si="1077"/>
        <v>#NAME?</v>
      </c>
    </row>
    <row r="3005" spans="1:17">
      <c r="A3005" s="1">
        <f t="shared" si="1081"/>
        <v>3004</v>
      </c>
      <c r="C3005" s="8" t="s">
        <v>17</v>
      </c>
      <c r="D3005" s="2">
        <v>43962</v>
      </c>
      <c r="E3005" s="3">
        <v>250000</v>
      </c>
      <c r="F3005" t="s">
        <v>239</v>
      </c>
      <c r="G3005" s="612" t="s">
        <v>240</v>
      </c>
      <c r="H3005" t="s">
        <v>241</v>
      </c>
      <c r="I3005" s="6" t="s">
        <v>1210</v>
      </c>
      <c r="J3005" s="61" t="s">
        <v>22</v>
      </c>
      <c r="L3005" s="5" t="str">
        <f t="shared" si="1062"/>
        <v>03004</v>
      </c>
      <c r="M3005" s="47" t="str">
        <f t="shared" si="1063"/>
        <v>11 de mayo de 2020</v>
      </c>
      <c r="N3005" s="320">
        <f t="shared" si="1064"/>
        <v>11</v>
      </c>
      <c r="O3005" s="25">
        <f t="shared" si="1065"/>
        <v>43952</v>
      </c>
      <c r="P3005" s="5" t="str">
        <f t="shared" si="1066"/>
        <v>250.000,00</v>
      </c>
      <c r="Q3005" s="4" t="e">
        <f t="shared" ca="1" si="1077"/>
        <v>#NAME?</v>
      </c>
    </row>
    <row r="3006" spans="1:17">
      <c r="A3006" s="1">
        <f t="shared" si="1081"/>
        <v>3005</v>
      </c>
      <c r="C3006" s="8" t="s">
        <v>17</v>
      </c>
      <c r="D3006" s="2">
        <v>43962</v>
      </c>
      <c r="E3006" s="3">
        <v>50000</v>
      </c>
      <c r="F3006" t="s">
        <v>239</v>
      </c>
      <c r="G3006" s="612" t="s">
        <v>240</v>
      </c>
      <c r="H3006" t="s">
        <v>241</v>
      </c>
      <c r="I3006" s="6" t="s">
        <v>1216</v>
      </c>
      <c r="J3006" s="61" t="s">
        <v>1217</v>
      </c>
      <c r="L3006" s="5" t="str">
        <f t="shared" ref="L3006:L3012" si="1082">IF(ISBLANK(A3006),"",TEXT(A3006,"00000"))</f>
        <v>03005</v>
      </c>
      <c r="M3006" s="47" t="str">
        <f t="shared" ref="M3006:M3012" si="1083">IF(ISBLANK(D3006),"",TEXT(D3006,"dd")&amp;" de "&amp;TEXT(D3006,"mmmm")&amp;" de "&amp;TEXT(YEAR(D3006),"0"))</f>
        <v>11 de mayo de 2020</v>
      </c>
      <c r="N3006" s="320">
        <f t="shared" ref="N3006:N3012" si="1084">DAY(D3006)</f>
        <v>11</v>
      </c>
      <c r="O3006" s="25">
        <f t="shared" ref="O3006:O3012" si="1085">DATE(YEAR(D3006),MONTH(D3006),1)</f>
        <v>43952</v>
      </c>
      <c r="P3006" s="5" t="str">
        <f t="shared" ref="P3006:P3012" si="1086">TEXT(E3006,"#.##0,00")</f>
        <v>50.000,00</v>
      </c>
      <c r="Q3006" s="4" t="e">
        <f t="shared" ref="Q3006:Q3012" ca="1" si="1087">CONVERTIRNUM(E3006)</f>
        <v>#NAME?</v>
      </c>
    </row>
    <row r="3007" spans="1:17">
      <c r="A3007" s="603">
        <f t="shared" si="1081"/>
        <v>3006</v>
      </c>
      <c r="C3007" s="8" t="s">
        <v>17</v>
      </c>
      <c r="D3007" s="2">
        <v>43962</v>
      </c>
      <c r="E3007" s="3">
        <v>50000</v>
      </c>
      <c r="F3007" t="s">
        <v>1173</v>
      </c>
      <c r="G3007" t="s">
        <v>1174</v>
      </c>
      <c r="H3007" t="s">
        <v>187</v>
      </c>
      <c r="I3007" s="6" t="s">
        <v>1216</v>
      </c>
      <c r="J3007" s="61" t="s">
        <v>1217</v>
      </c>
      <c r="L3007" s="5" t="str">
        <f t="shared" si="1082"/>
        <v>03006</v>
      </c>
      <c r="M3007" s="47" t="str">
        <f t="shared" si="1083"/>
        <v>11 de mayo de 2020</v>
      </c>
      <c r="N3007" s="320">
        <f t="shared" si="1084"/>
        <v>11</v>
      </c>
      <c r="O3007" s="25">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1210</v>
      </c>
      <c r="J3008" s="61" t="s">
        <v>22</v>
      </c>
      <c r="L3008" s="5" t="str">
        <f t="shared" si="1082"/>
        <v>03007</v>
      </c>
      <c r="M3008" s="47" t="str">
        <f t="shared" si="1083"/>
        <v>12 de mayo de 2020</v>
      </c>
      <c r="N3008" s="320">
        <f t="shared" si="1084"/>
        <v>12</v>
      </c>
      <c r="O3008" s="25">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1216</v>
      </c>
      <c r="J3009" s="61" t="s">
        <v>1217</v>
      </c>
      <c r="L3009" s="5" t="str">
        <f t="shared" si="1082"/>
        <v>03008</v>
      </c>
      <c r="M3009" s="47" t="str">
        <f t="shared" si="1083"/>
        <v>12 de mayo de 2020</v>
      </c>
      <c r="N3009" s="320">
        <f t="shared" si="1084"/>
        <v>12</v>
      </c>
      <c r="O3009" s="25">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1222</v>
      </c>
      <c r="J3010" s="61" t="s">
        <v>22</v>
      </c>
      <c r="L3010" s="5" t="str">
        <f t="shared" si="1082"/>
        <v>03009</v>
      </c>
      <c r="M3010" s="47" t="str">
        <f t="shared" si="1083"/>
        <v>12 de mayo de 2020</v>
      </c>
      <c r="N3010" s="320">
        <f t="shared" si="1084"/>
        <v>12</v>
      </c>
      <c r="O3010" s="25">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1216</v>
      </c>
      <c r="J3011" s="61" t="s">
        <v>1217</v>
      </c>
      <c r="L3011" s="5" t="str">
        <f t="shared" si="1082"/>
        <v>03010</v>
      </c>
      <c r="M3011" s="47" t="str">
        <f t="shared" si="1083"/>
        <v>12 de mayo de 2020</v>
      </c>
      <c r="N3011" s="320">
        <f t="shared" si="1084"/>
        <v>12</v>
      </c>
      <c r="O3011" s="25">
        <f t="shared" si="1085"/>
        <v>43952</v>
      </c>
      <c r="P3011" s="5" t="str">
        <f t="shared" si="1086"/>
        <v>50.000,00</v>
      </c>
      <c r="Q3011" s="4" t="e">
        <f t="shared" ca="1" si="1087"/>
        <v>#NAME?</v>
      </c>
    </row>
    <row r="3012" spans="1:17">
      <c r="A3012" s="1">
        <f>A3011+1</f>
        <v>3011</v>
      </c>
      <c r="C3012" s="8" t="s">
        <v>17</v>
      </c>
      <c r="D3012" s="2">
        <v>43963</v>
      </c>
      <c r="E3012" s="162">
        <v>50000</v>
      </c>
      <c r="F3012" t="s">
        <v>130</v>
      </c>
      <c r="G3012" t="s">
        <v>1054</v>
      </c>
      <c r="H3012" t="s">
        <v>132</v>
      </c>
      <c r="I3012" s="6" t="s">
        <v>1216</v>
      </c>
      <c r="J3012" s="61" t="s">
        <v>1217</v>
      </c>
      <c r="L3012" s="5" t="str">
        <f t="shared" si="1082"/>
        <v>03011</v>
      </c>
      <c r="M3012" s="47" t="str">
        <f t="shared" si="1083"/>
        <v>12 de mayo de 2020</v>
      </c>
      <c r="N3012" s="320">
        <f t="shared" si="1084"/>
        <v>12</v>
      </c>
      <c r="O3012" s="25">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1216</v>
      </c>
      <c r="J3013" s="61" t="s">
        <v>1217</v>
      </c>
      <c r="L3013" s="5" t="str">
        <f t="shared" ref="L3013:L3022" si="1090">IF(ISBLANK(A3013),"",TEXT(A3013,"00000"))</f>
        <v>03012</v>
      </c>
      <c r="M3013" s="47" t="str">
        <f t="shared" ref="M3013:M3022" si="1091">IF(ISBLANK(D3013),"",TEXT(D3013,"dd")&amp;" de "&amp;TEXT(D3013,"mmmm")&amp;" de "&amp;TEXT(YEAR(D3013),"0"))</f>
        <v>11 de mayo de 2020</v>
      </c>
      <c r="N3013" s="320">
        <f t="shared" ref="N3013:N3022" si="1092">DAY(D3013)</f>
        <v>11</v>
      </c>
      <c r="O3013" s="25">
        <f t="shared" ref="O3013:O3022" si="1093">DATE(YEAR(D3013),MONTH(D3013),1)</f>
        <v>43952</v>
      </c>
      <c r="P3013" s="5" t="str">
        <f t="shared" ref="P3013:P3022" si="1094">TEXT(E3013,"#.##0,00")</f>
        <v>20.000,00</v>
      </c>
      <c r="Q3013" s="4" t="e">
        <f t="shared" ref="Q3013:Q3022" ca="1" si="1095">CONVERTIRNUM(E3013)</f>
        <v>#NAME?</v>
      </c>
    </row>
    <row r="3014" spans="1:17">
      <c r="A3014" s="603">
        <f>A3013+1</f>
        <v>3013</v>
      </c>
      <c r="C3014" s="8" t="s">
        <v>17</v>
      </c>
      <c r="D3014" s="2">
        <v>43964</v>
      </c>
      <c r="E3014" s="3">
        <v>250000</v>
      </c>
      <c r="F3014" t="s">
        <v>454</v>
      </c>
      <c r="G3014" t="s">
        <v>761</v>
      </c>
      <c r="H3014" t="s">
        <v>455</v>
      </c>
      <c r="I3014" s="6" t="s">
        <v>1210</v>
      </c>
      <c r="J3014" s="61" t="s">
        <v>22</v>
      </c>
      <c r="L3014" s="5" t="str">
        <f t="shared" si="1090"/>
        <v>03013</v>
      </c>
      <c r="M3014" s="47" t="str">
        <f t="shared" si="1091"/>
        <v>13 de mayo de 2020</v>
      </c>
      <c r="N3014" s="320">
        <f t="shared" si="1092"/>
        <v>13</v>
      </c>
      <c r="O3014" s="25">
        <f t="shared" si="1093"/>
        <v>43952</v>
      </c>
      <c r="P3014" s="5" t="str">
        <f t="shared" si="1094"/>
        <v>250.000,00</v>
      </c>
      <c r="Q3014" s="4" t="e">
        <f t="shared" ca="1" si="1095"/>
        <v>#NAME?</v>
      </c>
    </row>
    <row r="3015" spans="1:17">
      <c r="A3015" s="603">
        <f>A3014+1</f>
        <v>3014</v>
      </c>
      <c r="C3015" s="8" t="s">
        <v>17</v>
      </c>
      <c r="D3015" s="2">
        <v>43964</v>
      </c>
      <c r="E3015" s="3">
        <v>50000</v>
      </c>
      <c r="F3015" t="s">
        <v>454</v>
      </c>
      <c r="G3015" t="s">
        <v>761</v>
      </c>
      <c r="H3015" t="s">
        <v>455</v>
      </c>
      <c r="I3015" s="6" t="s">
        <v>1216</v>
      </c>
      <c r="J3015" s="61" t="s">
        <v>1217</v>
      </c>
      <c r="L3015" s="5" t="str">
        <f t="shared" si="1090"/>
        <v>03014</v>
      </c>
      <c r="M3015" s="47" t="str">
        <f t="shared" si="1091"/>
        <v>13 de mayo de 2020</v>
      </c>
      <c r="N3015" s="320">
        <f t="shared" si="1092"/>
        <v>13</v>
      </c>
      <c r="O3015" s="25">
        <f t="shared" si="1093"/>
        <v>43952</v>
      </c>
      <c r="P3015" s="5" t="str">
        <f t="shared" si="1094"/>
        <v>50.000,00</v>
      </c>
      <c r="Q3015" s="4" t="e">
        <f t="shared" ca="1" si="1095"/>
        <v>#NAME?</v>
      </c>
    </row>
    <row r="3016" spans="1:17">
      <c r="A3016" s="1">
        <f>A3015+1</f>
        <v>3015</v>
      </c>
      <c r="C3016" s="8" t="s">
        <v>17</v>
      </c>
      <c r="D3016" s="2">
        <v>43958</v>
      </c>
      <c r="E3016" s="3">
        <v>250000</v>
      </c>
      <c r="F3016" t="s">
        <v>843</v>
      </c>
      <c r="G3016" t="s">
        <v>844</v>
      </c>
      <c r="H3016" t="s">
        <v>169</v>
      </c>
      <c r="I3016" s="6" t="s">
        <v>1210</v>
      </c>
      <c r="J3016" s="61" t="s">
        <v>22</v>
      </c>
      <c r="L3016" s="5" t="str">
        <f t="shared" si="1090"/>
        <v>03015</v>
      </c>
      <c r="M3016" s="47" t="str">
        <f t="shared" si="1091"/>
        <v>07 de mayo de 2020</v>
      </c>
      <c r="N3016" s="320">
        <f t="shared" si="1092"/>
        <v>7</v>
      </c>
      <c r="O3016" s="25">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1210</v>
      </c>
      <c r="J3017" s="61" t="s">
        <v>22</v>
      </c>
      <c r="L3017" s="5" t="str">
        <f t="shared" si="1090"/>
        <v>03016</v>
      </c>
      <c r="M3017" s="47" t="str">
        <f t="shared" si="1091"/>
        <v>13 de mayo de 2020</v>
      </c>
      <c r="N3017" s="320">
        <f t="shared" si="1092"/>
        <v>13</v>
      </c>
      <c r="O3017" s="25">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1216</v>
      </c>
      <c r="J3018" s="61" t="s">
        <v>1217</v>
      </c>
      <c r="L3018" s="5" t="str">
        <f t="shared" si="1090"/>
        <v>03017</v>
      </c>
      <c r="M3018" s="47" t="str">
        <f t="shared" si="1091"/>
        <v>13 de mayo de 2020</v>
      </c>
      <c r="N3018" s="320">
        <f t="shared" si="1092"/>
        <v>13</v>
      </c>
      <c r="O3018" s="25">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1210</v>
      </c>
      <c r="J3019" s="61" t="s">
        <v>22</v>
      </c>
      <c r="L3019" s="5" t="str">
        <f t="shared" si="1090"/>
        <v>03018</v>
      </c>
      <c r="M3019" s="47" t="str">
        <f t="shared" si="1091"/>
        <v>15 de mayo de 2020</v>
      </c>
      <c r="N3019" s="320">
        <f t="shared" si="1092"/>
        <v>15</v>
      </c>
      <c r="O3019" s="25">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1216</v>
      </c>
      <c r="J3020" s="61" t="s">
        <v>1217</v>
      </c>
      <c r="L3020" s="5" t="str">
        <f t="shared" si="1090"/>
        <v>03019</v>
      </c>
      <c r="M3020" s="47" t="str">
        <f t="shared" si="1091"/>
        <v>15 de mayo de 2020</v>
      </c>
      <c r="N3020" s="320">
        <f t="shared" si="1092"/>
        <v>15</v>
      </c>
      <c r="O3020" s="25">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1210</v>
      </c>
      <c r="J3021" s="61" t="s">
        <v>22</v>
      </c>
      <c r="L3021" s="5" t="str">
        <f t="shared" si="1090"/>
        <v>03020</v>
      </c>
      <c r="M3021" s="47" t="str">
        <f t="shared" si="1091"/>
        <v>15 de mayo de 2020</v>
      </c>
      <c r="N3021" s="320">
        <f t="shared" si="1092"/>
        <v>15</v>
      </c>
      <c r="O3021" s="25">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1216</v>
      </c>
      <c r="J3022" s="61" t="s">
        <v>1217</v>
      </c>
      <c r="L3022" s="5" t="str">
        <f t="shared" si="1090"/>
        <v>03021</v>
      </c>
      <c r="M3022" s="47" t="str">
        <f t="shared" si="1091"/>
        <v>15 de mayo de 2020</v>
      </c>
      <c r="N3022" s="320">
        <f t="shared" si="1092"/>
        <v>15</v>
      </c>
      <c r="O3022" s="25">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1223</v>
      </c>
      <c r="J3023" s="61" t="s">
        <v>426</v>
      </c>
      <c r="L3023" s="5" t="str">
        <f t="shared" ref="L3023:L3024" si="1098">IF(ISBLANK(A3023),"",TEXT(A3023,"00000"))</f>
        <v>03022</v>
      </c>
      <c r="M3023" s="47" t="str">
        <f t="shared" ref="M3023:M3024" si="1099">IF(ISBLANK(D3023),"",TEXT(D3023,"dd")&amp;" de "&amp;TEXT(D3023,"mmmm")&amp;" de "&amp;TEXT(YEAR(D3023),"0"))</f>
        <v>15 de mayo de 2020</v>
      </c>
      <c r="N3023" s="320">
        <f t="shared" ref="N3023:N3024" si="1100">DAY(D3023)</f>
        <v>15</v>
      </c>
      <c r="O3023" s="25">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1175</v>
      </c>
      <c r="J3024" s="61" t="s">
        <v>22</v>
      </c>
      <c r="L3024" s="5" t="str">
        <f t="shared" si="1098"/>
        <v>03023</v>
      </c>
      <c r="M3024" s="47" t="str">
        <f t="shared" si="1099"/>
        <v>15 de mayo de 2020</v>
      </c>
      <c r="N3024" s="320">
        <f t="shared" si="1100"/>
        <v>15</v>
      </c>
      <c r="O3024" s="25">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1216</v>
      </c>
      <c r="J3025" s="61" t="s">
        <v>1217</v>
      </c>
      <c r="L3025" s="5" t="str">
        <f t="shared" ref="L3025:L3043" si="1104">IF(ISBLANK(A3025),"",TEXT(A3025,"00000"))</f>
        <v>03024</v>
      </c>
      <c r="M3025" s="47" t="str">
        <f t="shared" ref="M3025:M3043" si="1105">IF(ISBLANK(D3025),"",TEXT(D3025,"dd")&amp;" de "&amp;TEXT(D3025,"mmmm")&amp;" de "&amp;TEXT(YEAR(D3025),"0"))</f>
        <v>15 de mayo de 2020</v>
      </c>
      <c r="N3025" s="320">
        <f t="shared" ref="N3025:N3043" si="1106">DAY(D3025)</f>
        <v>15</v>
      </c>
      <c r="O3025" s="25">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300000</v>
      </c>
      <c r="F3026" s="148" t="s">
        <v>264</v>
      </c>
      <c r="G3026" s="148" t="s">
        <v>265</v>
      </c>
      <c r="H3026" s="148" t="s">
        <v>266</v>
      </c>
      <c r="I3026" s="6" t="s">
        <v>1211</v>
      </c>
      <c r="J3026" s="61" t="s">
        <v>22</v>
      </c>
      <c r="L3026" s="5" t="str">
        <f t="shared" si="1104"/>
        <v>03025</v>
      </c>
      <c r="M3026" s="47" t="str">
        <f t="shared" si="1105"/>
        <v>15 de mayo de 2020</v>
      </c>
      <c r="N3026" s="320">
        <f t="shared" si="1106"/>
        <v>15</v>
      </c>
      <c r="O3026" s="25">
        <f t="shared" si="1107"/>
        <v>43952</v>
      </c>
      <c r="P3026" s="5" t="str">
        <f t="shared" si="1108"/>
        <v>300.000,00</v>
      </c>
      <c r="Q3026" s="4" t="e">
        <f t="shared" ca="1" si="1109"/>
        <v>#NAME?</v>
      </c>
    </row>
    <row r="3027" spans="1:17">
      <c r="A3027" s="1">
        <f t="shared" si="1097"/>
        <v>3026</v>
      </c>
      <c r="C3027" s="85" t="s">
        <v>17</v>
      </c>
      <c r="D3027" s="2">
        <v>43967</v>
      </c>
      <c r="E3027" s="3">
        <v>50000</v>
      </c>
      <c r="F3027" t="s">
        <v>830</v>
      </c>
      <c r="G3027" t="s">
        <v>831</v>
      </c>
      <c r="H3027" t="s">
        <v>832</v>
      </c>
      <c r="I3027" s="6" t="s">
        <v>1216</v>
      </c>
      <c r="J3027" s="61" t="s">
        <v>1217</v>
      </c>
      <c r="L3027" s="5" t="str">
        <f t="shared" si="1104"/>
        <v>03026</v>
      </c>
      <c r="M3027" s="47" t="str">
        <f t="shared" si="1105"/>
        <v>16 de mayo de 2020</v>
      </c>
      <c r="N3027" s="320">
        <f t="shared" si="1106"/>
        <v>16</v>
      </c>
      <c r="O3027" s="25">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1210</v>
      </c>
      <c r="J3028" s="61" t="s">
        <v>22</v>
      </c>
      <c r="L3028" s="5" t="str">
        <f t="shared" si="1104"/>
        <v>03027</v>
      </c>
      <c r="M3028" s="47" t="str">
        <f t="shared" si="1105"/>
        <v>17 de mayo de 2020</v>
      </c>
      <c r="N3028" s="320">
        <f t="shared" si="1106"/>
        <v>17</v>
      </c>
      <c r="O3028" s="25">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1216</v>
      </c>
      <c r="J3029" s="61" t="s">
        <v>1217</v>
      </c>
      <c r="L3029" s="5" t="str">
        <f t="shared" si="1104"/>
        <v>03028</v>
      </c>
      <c r="M3029" s="47" t="str">
        <f t="shared" si="1105"/>
        <v>17 de mayo de 2020</v>
      </c>
      <c r="N3029" s="320">
        <f t="shared" si="1106"/>
        <v>17</v>
      </c>
      <c r="O3029" s="25">
        <f t="shared" si="1107"/>
        <v>43952</v>
      </c>
      <c r="P3029" s="5" t="str">
        <f t="shared" si="1108"/>
        <v>50.000,00</v>
      </c>
      <c r="Q3029" s="4" t="e">
        <f t="shared" ca="1" si="1109"/>
        <v>#NAME?</v>
      </c>
    </row>
    <row r="3030" spans="1:17">
      <c r="A3030" s="1">
        <f>A3029+1</f>
        <v>3029</v>
      </c>
      <c r="B3030" s="8"/>
      <c r="C3030" s="85" t="s">
        <v>17</v>
      </c>
      <c r="D3030" s="2">
        <v>43935</v>
      </c>
      <c r="E3030" s="3">
        <v>362500</v>
      </c>
      <c r="F3030" s="23" t="s">
        <v>422</v>
      </c>
      <c r="G3030" s="18" t="s">
        <v>58</v>
      </c>
      <c r="H3030" t="s">
        <v>423</v>
      </c>
      <c r="I3030" s="6" t="s">
        <v>1210</v>
      </c>
      <c r="J3030" s="61" t="s">
        <v>22</v>
      </c>
      <c r="L3030" s="5" t="str">
        <f t="shared" si="1104"/>
        <v>03029</v>
      </c>
      <c r="M3030" s="47" t="str">
        <f t="shared" si="1105"/>
        <v>14 de abril de 2020</v>
      </c>
      <c r="N3030" s="320">
        <f t="shared" si="1106"/>
        <v>14</v>
      </c>
      <c r="O3030" s="25">
        <f t="shared" si="1107"/>
        <v>43922</v>
      </c>
      <c r="P3030" s="5" t="str">
        <f t="shared" si="1108"/>
        <v>362.500,00</v>
      </c>
      <c r="Q3030" s="4" t="e">
        <f t="shared" ca="1" si="1109"/>
        <v>#NAME?</v>
      </c>
    </row>
    <row r="3031" spans="1:17">
      <c r="A3031" s="1">
        <f t="shared" si="1097"/>
        <v>3030</v>
      </c>
      <c r="B3031" s="8"/>
      <c r="C3031" s="85" t="s">
        <v>17</v>
      </c>
      <c r="D3031" s="2">
        <v>43968</v>
      </c>
      <c r="E3031" s="3">
        <v>50000</v>
      </c>
      <c r="F3031" s="23" t="s">
        <v>422</v>
      </c>
      <c r="G3031" s="18" t="s">
        <v>58</v>
      </c>
      <c r="H3031" t="s">
        <v>423</v>
      </c>
      <c r="I3031" s="6" t="s">
        <v>1216</v>
      </c>
      <c r="J3031" s="61" t="s">
        <v>1217</v>
      </c>
      <c r="L3031" s="5" t="str">
        <f t="shared" si="1104"/>
        <v>03030</v>
      </c>
      <c r="M3031" s="47" t="str">
        <f t="shared" si="1105"/>
        <v>17 de mayo de 2020</v>
      </c>
      <c r="N3031" s="320">
        <f t="shared" si="1106"/>
        <v>17</v>
      </c>
      <c r="O3031" s="25">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1216</v>
      </c>
      <c r="J3032" s="61" t="s">
        <v>1217</v>
      </c>
      <c r="L3032" s="5" t="str">
        <f t="shared" si="1104"/>
        <v>03031</v>
      </c>
      <c r="M3032" s="47" t="str">
        <f t="shared" si="1105"/>
        <v>17 de mayo de 2020</v>
      </c>
      <c r="N3032" s="320">
        <f t="shared" si="1106"/>
        <v>17</v>
      </c>
      <c r="O3032" s="25">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1216</v>
      </c>
      <c r="J3033" s="61" t="s">
        <v>1217</v>
      </c>
      <c r="L3033" s="5" t="str">
        <f t="shared" si="1104"/>
        <v>03032</v>
      </c>
      <c r="M3033" s="47" t="str">
        <f t="shared" si="1105"/>
        <v>17 de mayo de 2020</v>
      </c>
      <c r="N3033" s="320">
        <f t="shared" si="1106"/>
        <v>17</v>
      </c>
      <c r="O3033" s="25">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1210</v>
      </c>
      <c r="J3034" s="61" t="s">
        <v>22</v>
      </c>
      <c r="L3034" s="5" t="str">
        <f t="shared" si="1104"/>
        <v>03033</v>
      </c>
      <c r="M3034" s="47" t="str">
        <f t="shared" si="1105"/>
        <v>18 de mayo de 2020</v>
      </c>
      <c r="N3034" s="320">
        <f t="shared" si="1106"/>
        <v>18</v>
      </c>
      <c r="O3034" s="25">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1216</v>
      </c>
      <c r="J3035" s="61" t="s">
        <v>1217</v>
      </c>
      <c r="L3035" s="5" t="str">
        <f t="shared" si="1104"/>
        <v>03034</v>
      </c>
      <c r="M3035" s="47" t="str">
        <f t="shared" si="1105"/>
        <v>18 de mayo de 2020</v>
      </c>
      <c r="N3035" s="320">
        <f t="shared" si="1106"/>
        <v>18</v>
      </c>
      <c r="O3035" s="25">
        <f t="shared" si="1107"/>
        <v>43952</v>
      </c>
      <c r="P3035" s="5" t="str">
        <f t="shared" si="1108"/>
        <v>50.000,00</v>
      </c>
      <c r="Q3035" s="4" t="e">
        <f t="shared" ca="1" si="1109"/>
        <v>#NAME?</v>
      </c>
    </row>
    <row r="3036" spans="1:17">
      <c r="A3036" s="1">
        <f>A3035+1</f>
        <v>3035</v>
      </c>
      <c r="B3036" s="8"/>
      <c r="C3036" s="85" t="s">
        <v>17</v>
      </c>
      <c r="D3036" s="2">
        <v>43969</v>
      </c>
      <c r="E3036" s="3">
        <v>250000</v>
      </c>
      <c r="F3036" t="s">
        <v>319</v>
      </c>
      <c r="G3036" s="18" t="s">
        <v>58</v>
      </c>
      <c r="H3036" t="s">
        <v>320</v>
      </c>
      <c r="I3036" s="6" t="s">
        <v>1210</v>
      </c>
      <c r="J3036" s="61" t="s">
        <v>22</v>
      </c>
      <c r="L3036" s="5" t="str">
        <f t="shared" si="1104"/>
        <v>03035</v>
      </c>
      <c r="M3036" s="47" t="str">
        <f t="shared" si="1105"/>
        <v>18 de mayo de 2020</v>
      </c>
      <c r="N3036" s="320">
        <f t="shared" si="1106"/>
        <v>18</v>
      </c>
      <c r="O3036" s="25">
        <f t="shared" si="1107"/>
        <v>43952</v>
      </c>
      <c r="P3036" s="5" t="str">
        <f t="shared" si="1108"/>
        <v>250.000,00</v>
      </c>
      <c r="Q3036" s="4" t="e">
        <f t="shared" ca="1" si="1109"/>
        <v>#NAME?</v>
      </c>
    </row>
    <row r="3037" spans="1:17">
      <c r="A3037" s="1">
        <f t="shared" si="1097"/>
        <v>3036</v>
      </c>
      <c r="B3037" s="8"/>
      <c r="C3037" s="85" t="s">
        <v>17</v>
      </c>
      <c r="D3037" s="2">
        <v>43969</v>
      </c>
      <c r="E3037" s="3">
        <v>50000</v>
      </c>
      <c r="F3037" t="s">
        <v>319</v>
      </c>
      <c r="G3037" s="18" t="s">
        <v>58</v>
      </c>
      <c r="H3037" t="s">
        <v>320</v>
      </c>
      <c r="I3037" s="6" t="s">
        <v>1216</v>
      </c>
      <c r="J3037" s="61" t="s">
        <v>1217</v>
      </c>
      <c r="L3037" s="5" t="str">
        <f t="shared" si="1104"/>
        <v>03036</v>
      </c>
      <c r="M3037" s="47" t="str">
        <f t="shared" si="1105"/>
        <v>18 de mayo de 2020</v>
      </c>
      <c r="N3037" s="320">
        <f t="shared" si="1106"/>
        <v>18</v>
      </c>
      <c r="O3037" s="25">
        <f t="shared" si="1107"/>
        <v>43952</v>
      </c>
      <c r="P3037" s="5" t="str">
        <f t="shared" si="1108"/>
        <v>50.000,00</v>
      </c>
      <c r="Q3037" s="4" t="e">
        <f t="shared" ca="1" si="1109"/>
        <v>#NAME?</v>
      </c>
    </row>
    <row r="3038" spans="1:17">
      <c r="A3038" s="1">
        <f t="shared" si="1097"/>
        <v>3037</v>
      </c>
      <c r="B3038" s="8"/>
      <c r="C3038" s="8" t="s">
        <v>17</v>
      </c>
      <c r="D3038" s="2">
        <v>43963</v>
      </c>
      <c r="E3038" s="3">
        <v>250000</v>
      </c>
      <c r="F3038" t="s">
        <v>197</v>
      </c>
      <c r="G3038" t="s">
        <v>198</v>
      </c>
      <c r="H3038" t="s">
        <v>199</v>
      </c>
      <c r="I3038" s="6" t="s">
        <v>1210</v>
      </c>
      <c r="J3038" s="61" t="s">
        <v>22</v>
      </c>
      <c r="L3038" s="5" t="str">
        <f t="shared" si="1104"/>
        <v>03037</v>
      </c>
      <c r="M3038" s="47" t="str">
        <f t="shared" si="1105"/>
        <v>12 de mayo de 2020</v>
      </c>
      <c r="N3038" s="320">
        <f t="shared" si="1106"/>
        <v>12</v>
      </c>
      <c r="O3038" s="25">
        <f t="shared" si="1107"/>
        <v>43952</v>
      </c>
      <c r="P3038" s="5" t="str">
        <f t="shared" si="1108"/>
        <v>250.000,00</v>
      </c>
      <c r="Q3038" s="4" t="e">
        <f t="shared" ca="1" si="1109"/>
        <v>#NAME?</v>
      </c>
    </row>
    <row r="3039" spans="1:17">
      <c r="A3039" s="1">
        <f t="shared" si="1097"/>
        <v>3038</v>
      </c>
      <c r="B3039" s="8"/>
      <c r="C3039" s="8" t="s">
        <v>17</v>
      </c>
      <c r="D3039" s="2">
        <v>43963</v>
      </c>
      <c r="E3039" s="3">
        <v>50000</v>
      </c>
      <c r="F3039" t="s">
        <v>197</v>
      </c>
      <c r="G3039" t="s">
        <v>198</v>
      </c>
      <c r="H3039" t="s">
        <v>199</v>
      </c>
      <c r="I3039" s="6" t="s">
        <v>1216</v>
      </c>
      <c r="J3039" s="61" t="s">
        <v>1217</v>
      </c>
      <c r="L3039" s="5" t="str">
        <f t="shared" si="1104"/>
        <v>03038</v>
      </c>
      <c r="M3039" s="47" t="str">
        <f t="shared" si="1105"/>
        <v>12 de mayo de 2020</v>
      </c>
      <c r="N3039" s="320">
        <f t="shared" si="1106"/>
        <v>12</v>
      </c>
      <c r="O3039" s="25">
        <f t="shared" si="1107"/>
        <v>43952</v>
      </c>
      <c r="P3039" s="5" t="str">
        <f t="shared" si="1108"/>
        <v>50.000,00</v>
      </c>
      <c r="Q3039" s="4" t="e">
        <f t="shared" ca="1" si="1109"/>
        <v>#NAME?</v>
      </c>
    </row>
    <row r="3040" spans="1:17">
      <c r="A3040" s="1">
        <f t="shared" si="1097"/>
        <v>3039</v>
      </c>
      <c r="B3040" s="8"/>
      <c r="C3040" s="8" t="s">
        <v>17</v>
      </c>
      <c r="D3040" s="2">
        <v>43969</v>
      </c>
      <c r="E3040" s="3">
        <v>250000</v>
      </c>
      <c r="F3040" t="s">
        <v>134</v>
      </c>
      <c r="G3040" t="s">
        <v>135</v>
      </c>
      <c r="H3040" t="s">
        <v>136</v>
      </c>
      <c r="I3040" s="6" t="s">
        <v>1210</v>
      </c>
      <c r="J3040" s="61" t="s">
        <v>22</v>
      </c>
      <c r="L3040" s="5" t="str">
        <f t="shared" si="1104"/>
        <v>03039</v>
      </c>
      <c r="M3040" s="47" t="str">
        <f t="shared" si="1105"/>
        <v>18 de mayo de 2020</v>
      </c>
      <c r="N3040" s="320">
        <f t="shared" si="1106"/>
        <v>18</v>
      </c>
      <c r="O3040" s="25">
        <f t="shared" si="1107"/>
        <v>43952</v>
      </c>
      <c r="P3040" s="5" t="str">
        <f t="shared" si="1108"/>
        <v>250.000,00</v>
      </c>
      <c r="Q3040" s="4" t="e">
        <f t="shared" ca="1" si="1109"/>
        <v>#NAME?</v>
      </c>
    </row>
    <row r="3041" spans="1:17" ht="15.75" thickBot="1">
      <c r="A3041" s="1">
        <f t="shared" si="1097"/>
        <v>3040</v>
      </c>
      <c r="B3041" s="8"/>
      <c r="C3041" s="8" t="s">
        <v>17</v>
      </c>
      <c r="D3041" s="2">
        <v>43969</v>
      </c>
      <c r="E3041" s="3">
        <v>50000</v>
      </c>
      <c r="F3041" t="s">
        <v>134</v>
      </c>
      <c r="G3041" t="s">
        <v>135</v>
      </c>
      <c r="H3041" t="s">
        <v>136</v>
      </c>
      <c r="I3041" s="6" t="s">
        <v>1216</v>
      </c>
      <c r="J3041" s="61" t="s">
        <v>1217</v>
      </c>
      <c r="L3041" s="5" t="str">
        <f t="shared" si="1104"/>
        <v>03040</v>
      </c>
      <c r="M3041" s="47" t="str">
        <f t="shared" si="1105"/>
        <v>18 de mayo de 2020</v>
      </c>
      <c r="N3041" s="320">
        <f t="shared" si="1106"/>
        <v>18</v>
      </c>
      <c r="O3041" s="25">
        <f t="shared" si="1107"/>
        <v>43952</v>
      </c>
      <c r="P3041" s="5" t="str">
        <f t="shared" si="1108"/>
        <v>50.000,00</v>
      </c>
      <c r="Q3041" s="4" t="e">
        <f t="shared" ca="1" si="1109"/>
        <v>#NAME?</v>
      </c>
    </row>
    <row r="3042" spans="1:17" ht="15.75" thickBot="1">
      <c r="A3042" s="1">
        <f t="shared" si="1097"/>
        <v>3041</v>
      </c>
      <c r="B3042" s="8"/>
      <c r="C3042" s="8" t="s">
        <v>17</v>
      </c>
      <c r="D3042" s="2">
        <v>43970</v>
      </c>
      <c r="E3042" s="3">
        <v>250000</v>
      </c>
      <c r="F3042" t="s">
        <v>1017</v>
      </c>
      <c r="G3042" s="449" t="s">
        <v>1160</v>
      </c>
      <c r="H3042" t="s">
        <v>140</v>
      </c>
      <c r="I3042" s="6" t="s">
        <v>1210</v>
      </c>
      <c r="J3042" s="61" t="s">
        <v>22</v>
      </c>
      <c r="L3042" s="5" t="str">
        <f t="shared" si="1104"/>
        <v>03041</v>
      </c>
      <c r="M3042" s="47" t="str">
        <f t="shared" si="1105"/>
        <v>19 de mayo de 2020</v>
      </c>
      <c r="N3042" s="320">
        <f t="shared" si="1106"/>
        <v>19</v>
      </c>
      <c r="O3042" s="25">
        <f t="shared" si="1107"/>
        <v>43952</v>
      </c>
      <c r="P3042" s="5" t="str">
        <f t="shared" si="1108"/>
        <v>250.000,00</v>
      </c>
      <c r="Q3042" s="4" t="e">
        <f t="shared" ca="1" si="1109"/>
        <v>#NAME?</v>
      </c>
    </row>
    <row r="3043" spans="1:17" ht="15.75" thickBot="1">
      <c r="A3043" s="1">
        <f>A3042+1</f>
        <v>3042</v>
      </c>
      <c r="B3043" s="8"/>
      <c r="C3043" s="8" t="s">
        <v>17</v>
      </c>
      <c r="D3043" s="2">
        <v>43970</v>
      </c>
      <c r="E3043" s="3">
        <v>50000</v>
      </c>
      <c r="F3043" t="s">
        <v>1017</v>
      </c>
      <c r="G3043" s="449" t="s">
        <v>1160</v>
      </c>
      <c r="H3043" t="s">
        <v>140</v>
      </c>
      <c r="I3043" s="6" t="s">
        <v>1216</v>
      </c>
      <c r="J3043" s="61" t="s">
        <v>1217</v>
      </c>
      <c r="L3043" s="5" t="str">
        <f t="shared" si="1104"/>
        <v>03042</v>
      </c>
      <c r="M3043" s="47" t="str">
        <f t="shared" si="1105"/>
        <v>19 de mayo de 2020</v>
      </c>
      <c r="N3043" s="320">
        <f t="shared" si="1106"/>
        <v>19</v>
      </c>
      <c r="O3043" s="25">
        <f t="shared" si="1107"/>
        <v>43952</v>
      </c>
      <c r="P3043" s="5" t="str">
        <f t="shared" si="1108"/>
        <v>50.000,00</v>
      </c>
      <c r="Q3043" s="4" t="e">
        <f t="shared" ca="1" si="1109"/>
        <v>#NAME?</v>
      </c>
    </row>
    <row r="3044" spans="1:17">
      <c r="A3044" s="1">
        <f t="shared" si="1097"/>
        <v>3043</v>
      </c>
      <c r="B3044" s="8"/>
      <c r="C3044" s="8" t="s">
        <v>17</v>
      </c>
      <c r="D3044" s="2">
        <v>43970</v>
      </c>
      <c r="E3044" s="3">
        <v>340000</v>
      </c>
      <c r="F3044" t="s">
        <v>197</v>
      </c>
      <c r="G3044" t="s">
        <v>198</v>
      </c>
      <c r="H3044" t="s">
        <v>199</v>
      </c>
      <c r="I3044" s="6" t="s">
        <v>1189</v>
      </c>
      <c r="J3044" s="61" t="s">
        <v>22</v>
      </c>
      <c r="L3044" s="5" t="str">
        <f t="shared" ref="L3044:L3065" si="1110">IF(ISBLANK(A3044),"",TEXT(A3044,"00000"))</f>
        <v>03043</v>
      </c>
      <c r="M3044" s="47" t="str">
        <f t="shared" ref="M3044:M3065" si="1111">IF(ISBLANK(D3044),"",TEXT(D3044,"dd")&amp;" de "&amp;TEXT(D3044,"mmmm")&amp;" de "&amp;TEXT(YEAR(D3044),"0"))</f>
        <v>19 de mayo de 2020</v>
      </c>
      <c r="N3044" s="320">
        <f t="shared" ref="N3044:N3065" si="1112">DAY(D3044)</f>
        <v>19</v>
      </c>
      <c r="O3044" s="25">
        <f t="shared" ref="O3044:O3065" si="1113">DATE(YEAR(D3044),MONTH(D3044),1)</f>
        <v>43952</v>
      </c>
      <c r="P3044" s="5" t="str">
        <f t="shared" ref="P3044:P3065" si="1114">TEXT(E3044,"#.##0,00")</f>
        <v>340.000,00</v>
      </c>
      <c r="Q3044" s="4" t="e">
        <f t="shared" ref="Q3044:Q3065" ca="1" si="1115">CONVERTIRNUM(E3044)</f>
        <v>#NAME?</v>
      </c>
    </row>
    <row r="3045" spans="1:17">
      <c r="A3045" s="1">
        <f>A3044+1</f>
        <v>3044</v>
      </c>
      <c r="B3045" s="8"/>
      <c r="C3045" s="8" t="s">
        <v>17</v>
      </c>
      <c r="D3045" s="2">
        <v>43970</v>
      </c>
      <c r="E3045" s="3">
        <v>50000</v>
      </c>
      <c r="F3045" t="s">
        <v>107</v>
      </c>
      <c r="G3045" t="s">
        <v>108</v>
      </c>
      <c r="H3045" t="s">
        <v>109</v>
      </c>
      <c r="I3045" s="6" t="s">
        <v>1216</v>
      </c>
      <c r="J3045" s="61" t="s">
        <v>1217</v>
      </c>
      <c r="L3045" s="5" t="str">
        <f t="shared" si="1110"/>
        <v>03044</v>
      </c>
      <c r="M3045" s="47" t="str">
        <f t="shared" si="1111"/>
        <v>19 de mayo de 2020</v>
      </c>
      <c r="N3045" s="320">
        <f t="shared" si="1112"/>
        <v>19</v>
      </c>
      <c r="O3045" s="25">
        <f t="shared" si="1113"/>
        <v>43952</v>
      </c>
      <c r="P3045" s="5" t="str">
        <f t="shared" si="1114"/>
        <v>50.000,00</v>
      </c>
      <c r="Q3045" s="4" t="e">
        <f t="shared" ca="1" si="1115"/>
        <v>#NAME?</v>
      </c>
    </row>
    <row r="3046" spans="1:17">
      <c r="A3046" s="1">
        <f>A3045+1</f>
        <v>3045</v>
      </c>
      <c r="B3046" s="8"/>
      <c r="C3046" s="8" t="s">
        <v>17</v>
      </c>
      <c r="D3046" s="2">
        <v>43970</v>
      </c>
      <c r="E3046" s="3">
        <v>250000</v>
      </c>
      <c r="F3046" t="s">
        <v>130</v>
      </c>
      <c r="G3046" t="s">
        <v>1054</v>
      </c>
      <c r="H3046" t="s">
        <v>132</v>
      </c>
      <c r="I3046" s="6" t="s">
        <v>1210</v>
      </c>
      <c r="J3046" s="61" t="s">
        <v>22</v>
      </c>
      <c r="L3046" s="5" t="str">
        <f t="shared" si="1110"/>
        <v>03045</v>
      </c>
      <c r="M3046" s="47" t="str">
        <f t="shared" si="1111"/>
        <v>19 de mayo de 2020</v>
      </c>
      <c r="N3046" s="320">
        <f t="shared" si="1112"/>
        <v>19</v>
      </c>
      <c r="O3046" s="25">
        <f t="shared" si="1113"/>
        <v>43952</v>
      </c>
      <c r="P3046" s="5" t="str">
        <f t="shared" si="1114"/>
        <v>250.000,00</v>
      </c>
      <c r="Q3046" s="4" t="e">
        <f t="shared" ca="1" si="1115"/>
        <v>#NAME?</v>
      </c>
    </row>
    <row r="3047" spans="1:17">
      <c r="A3047" s="1">
        <f>A3046+1</f>
        <v>3046</v>
      </c>
      <c r="B3047" s="8"/>
      <c r="C3047" s="8" t="s">
        <v>17</v>
      </c>
      <c r="D3047" s="2">
        <v>43970</v>
      </c>
      <c r="E3047" s="3">
        <v>250000</v>
      </c>
      <c r="F3047" t="s">
        <v>438</v>
      </c>
      <c r="G3047" t="s">
        <v>439</v>
      </c>
      <c r="H3047" t="s">
        <v>440</v>
      </c>
      <c r="I3047" s="6" t="s">
        <v>1224</v>
      </c>
      <c r="J3047" s="61" t="s">
        <v>22</v>
      </c>
      <c r="L3047" s="5" t="str">
        <f t="shared" si="1110"/>
        <v>03046</v>
      </c>
      <c r="M3047" s="47" t="str">
        <f t="shared" si="1111"/>
        <v>19 de mayo de 2020</v>
      </c>
      <c r="N3047" s="320">
        <f t="shared" si="1112"/>
        <v>19</v>
      </c>
      <c r="O3047" s="25">
        <f t="shared" si="1113"/>
        <v>43952</v>
      </c>
      <c r="P3047" s="5" t="str">
        <f t="shared" si="1114"/>
        <v>250.000,00</v>
      </c>
      <c r="Q3047" s="4" t="e">
        <f t="shared" ca="1" si="1115"/>
        <v>#NAME?</v>
      </c>
    </row>
    <row r="3048" spans="1:17">
      <c r="A3048" s="1">
        <f t="shared" ref="A3047:A3060" si="1116">A3047+1</f>
        <v>3047</v>
      </c>
      <c r="B3048" s="8"/>
      <c r="C3048" s="8" t="s">
        <v>17</v>
      </c>
      <c r="D3048" s="2">
        <v>43970</v>
      </c>
      <c r="E3048" s="3">
        <v>50000</v>
      </c>
      <c r="F3048" t="s">
        <v>438</v>
      </c>
      <c r="G3048" t="s">
        <v>439</v>
      </c>
      <c r="H3048" t="s">
        <v>440</v>
      </c>
      <c r="I3048" s="6" t="s">
        <v>1225</v>
      </c>
      <c r="J3048" s="61" t="s">
        <v>1217</v>
      </c>
      <c r="L3048" s="5" t="str">
        <f t="shared" si="1110"/>
        <v>03047</v>
      </c>
      <c r="M3048" s="47" t="str">
        <f t="shared" si="1111"/>
        <v>19 de mayo de 2020</v>
      </c>
      <c r="N3048" s="320">
        <f t="shared" si="1112"/>
        <v>19</v>
      </c>
      <c r="O3048" s="25">
        <f t="shared" si="1113"/>
        <v>43952</v>
      </c>
      <c r="P3048" s="5" t="str">
        <f t="shared" si="1114"/>
        <v>50.000,00</v>
      </c>
      <c r="Q3048" s="4" t="e">
        <f t="shared" ca="1" si="1115"/>
        <v>#NAME?</v>
      </c>
    </row>
    <row r="3049" spans="1:17">
      <c r="A3049" s="1">
        <f>A3048+1</f>
        <v>3048</v>
      </c>
      <c r="B3049" s="8"/>
      <c r="C3049" s="8" t="s">
        <v>17</v>
      </c>
      <c r="D3049" s="2">
        <v>43971</v>
      </c>
      <c r="E3049" s="3">
        <v>250000</v>
      </c>
      <c r="F3049" t="s">
        <v>1015</v>
      </c>
      <c r="G3049" t="s">
        <v>1016</v>
      </c>
      <c r="H3049" t="s">
        <v>59</v>
      </c>
      <c r="I3049" s="6" t="s">
        <v>1210</v>
      </c>
      <c r="J3049" s="61" t="s">
        <v>22</v>
      </c>
      <c r="L3049" s="5" t="str">
        <f t="shared" si="1110"/>
        <v>03048</v>
      </c>
      <c r="M3049" s="47" t="str">
        <f t="shared" si="1111"/>
        <v>20 de mayo de 2020</v>
      </c>
      <c r="N3049" s="320">
        <f t="shared" si="1112"/>
        <v>20</v>
      </c>
      <c r="O3049" s="25">
        <f t="shared" si="1113"/>
        <v>43952</v>
      </c>
      <c r="P3049" s="5" t="str">
        <f t="shared" si="1114"/>
        <v>250.000,00</v>
      </c>
      <c r="Q3049" s="4" t="e">
        <f t="shared" ca="1" si="1115"/>
        <v>#NAME?</v>
      </c>
    </row>
    <row r="3050" spans="1:17">
      <c r="A3050" s="1">
        <f t="shared" si="1116"/>
        <v>3049</v>
      </c>
      <c r="B3050" s="8"/>
      <c r="C3050" s="8" t="s">
        <v>17</v>
      </c>
      <c r="D3050" s="2">
        <v>43971</v>
      </c>
      <c r="E3050" s="3">
        <v>50000</v>
      </c>
      <c r="F3050" t="s">
        <v>1015</v>
      </c>
      <c r="G3050" t="s">
        <v>1016</v>
      </c>
      <c r="H3050" t="s">
        <v>59</v>
      </c>
      <c r="I3050" s="6" t="s">
        <v>1216</v>
      </c>
      <c r="J3050" s="61" t="s">
        <v>1217</v>
      </c>
      <c r="L3050" s="5" t="str">
        <f t="shared" si="1110"/>
        <v>03049</v>
      </c>
      <c r="M3050" s="47" t="str">
        <f t="shared" si="1111"/>
        <v>20 de mayo de 2020</v>
      </c>
      <c r="N3050" s="320">
        <f t="shared" si="1112"/>
        <v>20</v>
      </c>
      <c r="O3050" s="25">
        <f t="shared" si="1113"/>
        <v>43952</v>
      </c>
      <c r="P3050" s="5" t="str">
        <f t="shared" si="1114"/>
        <v>50.000,00</v>
      </c>
      <c r="Q3050" s="4" t="e">
        <f t="shared" ca="1" si="1115"/>
        <v>#NAME?</v>
      </c>
    </row>
    <row r="3051" spans="1:17">
      <c r="A3051" s="1">
        <f>A3050+1</f>
        <v>3050</v>
      </c>
      <c r="B3051" s="8"/>
      <c r="C3051" s="8" t="s">
        <v>17</v>
      </c>
      <c r="D3051" s="2">
        <v>43972</v>
      </c>
      <c r="E3051" s="3">
        <v>250000</v>
      </c>
      <c r="F3051" t="s">
        <v>90</v>
      </c>
      <c r="G3051" s="449" t="s">
        <v>978</v>
      </c>
      <c r="H3051" t="s">
        <v>92</v>
      </c>
      <c r="I3051" s="6" t="s">
        <v>1210</v>
      </c>
      <c r="J3051" s="61" t="s">
        <v>22</v>
      </c>
      <c r="L3051" s="5" t="str">
        <f t="shared" si="1110"/>
        <v>03050</v>
      </c>
      <c r="M3051" s="47" t="str">
        <f t="shared" si="1111"/>
        <v>21 de mayo de 2020</v>
      </c>
      <c r="N3051" s="320">
        <f t="shared" si="1112"/>
        <v>21</v>
      </c>
      <c r="O3051" s="25">
        <f t="shared" si="1113"/>
        <v>43952</v>
      </c>
      <c r="P3051" s="5" t="str">
        <f t="shared" si="1114"/>
        <v>250.000,00</v>
      </c>
      <c r="Q3051" s="4" t="e">
        <f t="shared" ca="1" si="1115"/>
        <v>#NAME?</v>
      </c>
    </row>
    <row r="3052" spans="1:17">
      <c r="A3052" s="1">
        <f t="shared" si="1116"/>
        <v>3051</v>
      </c>
      <c r="B3052" s="8"/>
      <c r="C3052" s="8" t="s">
        <v>17</v>
      </c>
      <c r="D3052" s="2">
        <v>43972</v>
      </c>
      <c r="E3052" s="3">
        <v>50000</v>
      </c>
      <c r="F3052" t="s">
        <v>90</v>
      </c>
      <c r="G3052" s="449" t="s">
        <v>978</v>
      </c>
      <c r="H3052" t="s">
        <v>92</v>
      </c>
      <c r="I3052" s="6" t="s">
        <v>1216</v>
      </c>
      <c r="J3052" s="61" t="s">
        <v>1217</v>
      </c>
      <c r="L3052" s="5" t="str">
        <f t="shared" si="1110"/>
        <v>03051</v>
      </c>
      <c r="M3052" s="47" t="str">
        <f t="shared" si="1111"/>
        <v>21 de mayo de 2020</v>
      </c>
      <c r="N3052" s="320">
        <f t="shared" si="1112"/>
        <v>21</v>
      </c>
      <c r="O3052" s="25">
        <f t="shared" si="1113"/>
        <v>43952</v>
      </c>
      <c r="P3052" s="5" t="str">
        <f t="shared" si="1114"/>
        <v>50.000,00</v>
      </c>
      <c r="Q3052" s="4" t="e">
        <f t="shared" ca="1" si="1115"/>
        <v>#NAME?</v>
      </c>
    </row>
    <row r="3053" spans="1:17">
      <c r="A3053" s="1">
        <f>A3052+1</f>
        <v>3052</v>
      </c>
      <c r="B3053" s="8"/>
      <c r="C3053" s="85" t="s">
        <v>17</v>
      </c>
      <c r="D3053" s="2">
        <v>43972</v>
      </c>
      <c r="E3053" s="3">
        <v>250000</v>
      </c>
      <c r="F3053" t="s">
        <v>259</v>
      </c>
      <c r="G3053" s="621" t="s">
        <v>1226</v>
      </c>
      <c r="H3053" t="s">
        <v>261</v>
      </c>
      <c r="I3053" s="6" t="s">
        <v>1210</v>
      </c>
      <c r="J3053" s="61" t="s">
        <v>22</v>
      </c>
      <c r="L3053" s="5" t="str">
        <f t="shared" si="1110"/>
        <v>03052</v>
      </c>
      <c r="M3053" s="47" t="str">
        <f t="shared" si="1111"/>
        <v>21 de mayo de 2020</v>
      </c>
      <c r="N3053" s="320">
        <f t="shared" si="1112"/>
        <v>21</v>
      </c>
      <c r="O3053" s="25">
        <f t="shared" si="1113"/>
        <v>43952</v>
      </c>
      <c r="P3053" s="5" t="str">
        <f t="shared" si="1114"/>
        <v>250.000,00</v>
      </c>
      <c r="Q3053" s="4" t="e">
        <f t="shared" ca="1" si="1115"/>
        <v>#NAME?</v>
      </c>
    </row>
    <row r="3054" spans="1:17">
      <c r="A3054" s="1">
        <f t="shared" si="1116"/>
        <v>3053</v>
      </c>
      <c r="B3054" s="8"/>
      <c r="C3054" s="85" t="s">
        <v>17</v>
      </c>
      <c r="D3054" s="2">
        <v>43972</v>
      </c>
      <c r="E3054" s="3">
        <v>50000</v>
      </c>
      <c r="F3054" t="s">
        <v>259</v>
      </c>
      <c r="G3054" s="621" t="s">
        <v>1226</v>
      </c>
      <c r="H3054" t="s">
        <v>261</v>
      </c>
      <c r="I3054" s="6" t="s">
        <v>1216</v>
      </c>
      <c r="J3054" s="61" t="s">
        <v>1217</v>
      </c>
      <c r="L3054" s="5" t="str">
        <f t="shared" si="1110"/>
        <v>03053</v>
      </c>
      <c r="M3054" s="47" t="str">
        <f t="shared" si="1111"/>
        <v>21 de mayo de 2020</v>
      </c>
      <c r="N3054" s="320">
        <f t="shared" si="1112"/>
        <v>21</v>
      </c>
      <c r="O3054" s="25">
        <f t="shared" si="1113"/>
        <v>43952</v>
      </c>
      <c r="P3054" s="5" t="str">
        <f t="shared" si="1114"/>
        <v>50.000,00</v>
      </c>
      <c r="Q3054" s="4" t="e">
        <f t="shared" ca="1" si="1115"/>
        <v>#NAME?</v>
      </c>
    </row>
    <row r="3055" spans="1:17">
      <c r="A3055" s="1">
        <f>A3054+1</f>
        <v>3054</v>
      </c>
      <c r="B3055" s="8"/>
      <c r="C3055" s="8" t="s">
        <v>17</v>
      </c>
      <c r="D3055" s="2">
        <v>43973</v>
      </c>
      <c r="E3055" s="3">
        <v>250000</v>
      </c>
      <c r="F3055" t="s">
        <v>122</v>
      </c>
      <c r="G3055" t="s">
        <v>123</v>
      </c>
      <c r="H3055" t="s">
        <v>124</v>
      </c>
      <c r="I3055" s="6" t="s">
        <v>1210</v>
      </c>
      <c r="J3055" s="61" t="s">
        <v>22</v>
      </c>
      <c r="L3055" s="5" t="str">
        <f t="shared" si="1110"/>
        <v>03054</v>
      </c>
      <c r="M3055" s="47" t="str">
        <f t="shared" si="1111"/>
        <v>22 de mayo de 2020</v>
      </c>
      <c r="N3055" s="320">
        <f t="shared" si="1112"/>
        <v>22</v>
      </c>
      <c r="O3055" s="25">
        <f t="shared" si="1113"/>
        <v>43952</v>
      </c>
      <c r="P3055" s="5" t="str">
        <f t="shared" si="1114"/>
        <v>250.000,00</v>
      </c>
      <c r="Q3055" s="4" t="e">
        <f t="shared" ca="1" si="1115"/>
        <v>#NAME?</v>
      </c>
    </row>
    <row r="3056" spans="1:17">
      <c r="A3056" s="1">
        <f t="shared" si="1116"/>
        <v>3055</v>
      </c>
      <c r="B3056" s="8"/>
      <c r="C3056" s="8" t="s">
        <v>17</v>
      </c>
      <c r="D3056" s="2">
        <v>43973</v>
      </c>
      <c r="E3056" s="3">
        <v>50000</v>
      </c>
      <c r="F3056" t="s">
        <v>122</v>
      </c>
      <c r="G3056" t="s">
        <v>123</v>
      </c>
      <c r="H3056" t="s">
        <v>124</v>
      </c>
      <c r="I3056" s="6" t="s">
        <v>1216</v>
      </c>
      <c r="J3056" s="61" t="s">
        <v>1217</v>
      </c>
      <c r="L3056" s="5" t="str">
        <f t="shared" si="1110"/>
        <v>03055</v>
      </c>
      <c r="M3056" s="47" t="str">
        <f t="shared" si="1111"/>
        <v>22 de mayo de 2020</v>
      </c>
      <c r="N3056" s="320">
        <f t="shared" si="1112"/>
        <v>22</v>
      </c>
      <c r="O3056" s="25">
        <f t="shared" si="1113"/>
        <v>43952</v>
      </c>
      <c r="P3056" s="5" t="str">
        <f t="shared" si="1114"/>
        <v>50.000,00</v>
      </c>
      <c r="Q3056" s="4" t="e">
        <f t="shared" ca="1" si="1115"/>
        <v>#NAME?</v>
      </c>
    </row>
    <row r="3057" spans="1:17">
      <c r="A3057" s="1">
        <f>A3056+1</f>
        <v>3056</v>
      </c>
      <c r="B3057" s="8"/>
      <c r="C3057" s="8" t="s">
        <v>17</v>
      </c>
      <c r="D3057" s="2">
        <v>43973</v>
      </c>
      <c r="E3057" s="3">
        <v>250000</v>
      </c>
      <c r="F3057" t="s">
        <v>118</v>
      </c>
      <c r="G3057" t="s">
        <v>119</v>
      </c>
      <c r="H3057" t="s">
        <v>120</v>
      </c>
      <c r="I3057" s="6" t="s">
        <v>1210</v>
      </c>
      <c r="J3057" s="61" t="s">
        <v>22</v>
      </c>
      <c r="L3057" s="5" t="str">
        <f t="shared" si="1110"/>
        <v>03056</v>
      </c>
      <c r="M3057" s="47" t="str">
        <f t="shared" si="1111"/>
        <v>22 de mayo de 2020</v>
      </c>
      <c r="N3057" s="320">
        <f t="shared" si="1112"/>
        <v>22</v>
      </c>
      <c r="O3057" s="25">
        <f t="shared" si="1113"/>
        <v>43952</v>
      </c>
      <c r="P3057" s="5" t="str">
        <f t="shared" si="1114"/>
        <v>250.000,00</v>
      </c>
      <c r="Q3057" s="4" t="e">
        <f t="shared" ca="1" si="1115"/>
        <v>#NAME?</v>
      </c>
    </row>
    <row r="3058" spans="1:17">
      <c r="A3058" s="1">
        <f t="shared" si="1116"/>
        <v>3057</v>
      </c>
      <c r="B3058" s="8"/>
      <c r="C3058" s="8" t="s">
        <v>17</v>
      </c>
      <c r="D3058" s="2">
        <v>43973</v>
      </c>
      <c r="E3058" s="3">
        <v>50000</v>
      </c>
      <c r="F3058" t="s">
        <v>118</v>
      </c>
      <c r="G3058" t="s">
        <v>119</v>
      </c>
      <c r="H3058" t="s">
        <v>120</v>
      </c>
      <c r="I3058" s="6" t="s">
        <v>1216</v>
      </c>
      <c r="J3058" s="61" t="s">
        <v>1217</v>
      </c>
      <c r="L3058" s="5" t="str">
        <f t="shared" si="1110"/>
        <v>03057</v>
      </c>
      <c r="M3058" s="47" t="str">
        <f t="shared" si="1111"/>
        <v>22 de mayo de 2020</v>
      </c>
      <c r="N3058" s="320">
        <f t="shared" si="1112"/>
        <v>22</v>
      </c>
      <c r="O3058" s="25">
        <f t="shared" si="1113"/>
        <v>43952</v>
      </c>
      <c r="P3058" s="5" t="str">
        <f t="shared" si="1114"/>
        <v>50.000,00</v>
      </c>
      <c r="Q3058" s="4" t="e">
        <f t="shared" ca="1" si="1115"/>
        <v>#NAME?</v>
      </c>
    </row>
    <row r="3059" spans="1:17">
      <c r="A3059" s="1">
        <f>A3058+1</f>
        <v>3058</v>
      </c>
      <c r="B3059" s="8"/>
      <c r="C3059" s="8" t="s">
        <v>17</v>
      </c>
      <c r="D3059" s="2">
        <v>43975</v>
      </c>
      <c r="E3059" s="3">
        <v>235250</v>
      </c>
      <c r="F3059" t="s">
        <v>252</v>
      </c>
      <c r="G3059" s="449" t="s">
        <v>958</v>
      </c>
      <c r="H3059" t="s">
        <v>254</v>
      </c>
      <c r="I3059" s="6" t="s">
        <v>1213</v>
      </c>
      <c r="J3059" s="61" t="s">
        <v>22</v>
      </c>
      <c r="L3059" s="5" t="str">
        <f t="shared" si="1110"/>
        <v>03058</v>
      </c>
      <c r="M3059" s="47" t="str">
        <f t="shared" si="1111"/>
        <v>24 de mayo de 2020</v>
      </c>
      <c r="N3059" s="320">
        <f t="shared" si="1112"/>
        <v>24</v>
      </c>
      <c r="O3059" s="25">
        <f t="shared" si="1113"/>
        <v>43952</v>
      </c>
      <c r="P3059" s="5" t="str">
        <f t="shared" si="1114"/>
        <v>235.250,00</v>
      </c>
      <c r="Q3059" s="4" t="e">
        <f t="shared" ca="1" si="1115"/>
        <v>#NAME?</v>
      </c>
    </row>
    <row r="3060" spans="1:17">
      <c r="A3060" s="1">
        <f t="shared" si="1116"/>
        <v>3059</v>
      </c>
      <c r="B3060" s="8"/>
      <c r="C3060" s="8" t="s">
        <v>17</v>
      </c>
      <c r="D3060" s="2">
        <v>43975</v>
      </c>
      <c r="E3060" s="3">
        <v>50000</v>
      </c>
      <c r="F3060" t="s">
        <v>252</v>
      </c>
      <c r="G3060" s="449" t="s">
        <v>958</v>
      </c>
      <c r="H3060" t="s">
        <v>254</v>
      </c>
      <c r="I3060" s="6" t="s">
        <v>1216</v>
      </c>
      <c r="J3060" s="61" t="s">
        <v>1217</v>
      </c>
      <c r="L3060" s="5" t="str">
        <f t="shared" si="1110"/>
        <v>03059</v>
      </c>
      <c r="M3060" s="47" t="str">
        <f t="shared" si="1111"/>
        <v>24 de mayo de 2020</v>
      </c>
      <c r="N3060" s="320">
        <f t="shared" si="1112"/>
        <v>24</v>
      </c>
      <c r="O3060" s="25">
        <f t="shared" si="1113"/>
        <v>43952</v>
      </c>
      <c r="P3060" s="5" t="str">
        <f t="shared" si="1114"/>
        <v>50.000,00</v>
      </c>
      <c r="Q3060" s="4" t="e">
        <f t="shared" ca="1" si="1115"/>
        <v>#NAME?</v>
      </c>
    </row>
    <row r="3061" spans="1:17">
      <c r="A3061" s="1">
        <f>A3060+1</f>
        <v>3060</v>
      </c>
      <c r="B3061" s="8"/>
      <c r="C3061" s="8" t="s">
        <v>17</v>
      </c>
      <c r="D3061" s="2">
        <v>43977</v>
      </c>
      <c r="E3061" s="3">
        <v>70000</v>
      </c>
      <c r="F3061" t="s">
        <v>433</v>
      </c>
      <c r="G3061" t="s">
        <v>434</v>
      </c>
      <c r="H3061" t="s">
        <v>435</v>
      </c>
      <c r="I3061" s="6" t="s">
        <v>1204</v>
      </c>
      <c r="J3061" s="61" t="s">
        <v>22</v>
      </c>
      <c r="L3061" s="5" t="str">
        <f t="shared" si="1110"/>
        <v>03060</v>
      </c>
      <c r="M3061" s="47" t="str">
        <f t="shared" si="1111"/>
        <v>26 de mayo de 2020</v>
      </c>
      <c r="N3061" s="320">
        <f t="shared" si="1112"/>
        <v>26</v>
      </c>
      <c r="O3061" s="25">
        <f t="shared" si="1113"/>
        <v>43952</v>
      </c>
      <c r="P3061" s="5" t="str">
        <f t="shared" si="1114"/>
        <v>70.000,00</v>
      </c>
      <c r="Q3061" s="4" t="e">
        <f t="shared" ca="1" si="1115"/>
        <v>#NAME?</v>
      </c>
    </row>
    <row r="3062" spans="1:17">
      <c r="A3062" s="1">
        <f>A3061+1</f>
        <v>3061</v>
      </c>
      <c r="B3062" s="8"/>
      <c r="C3062" s="8" t="s">
        <v>17</v>
      </c>
      <c r="D3062" s="2">
        <v>43977</v>
      </c>
      <c r="E3062" s="3">
        <v>250000</v>
      </c>
      <c r="F3062" t="s">
        <v>230</v>
      </c>
      <c r="G3062" t="s">
        <v>231</v>
      </c>
      <c r="H3062" t="s">
        <v>232</v>
      </c>
      <c r="I3062" s="6" t="s">
        <v>1210</v>
      </c>
      <c r="J3062" s="61" t="s">
        <v>22</v>
      </c>
      <c r="L3062" s="5" t="str">
        <f t="shared" si="1110"/>
        <v>03061</v>
      </c>
      <c r="M3062" s="47" t="str">
        <f t="shared" si="1111"/>
        <v>26 de mayo de 2020</v>
      </c>
      <c r="N3062" s="320">
        <f t="shared" si="1112"/>
        <v>26</v>
      </c>
      <c r="O3062" s="25">
        <f t="shared" si="1113"/>
        <v>43952</v>
      </c>
      <c r="P3062" s="5" t="str">
        <f t="shared" si="1114"/>
        <v>250.000,00</v>
      </c>
      <c r="Q3062" s="4" t="e">
        <f t="shared" ca="1" si="1115"/>
        <v>#NAME?</v>
      </c>
    </row>
    <row r="3063" spans="1:17">
      <c r="A3063" s="1">
        <f t="shared" ref="A3062:A3065" si="1117">A3062+1</f>
        <v>3062</v>
      </c>
      <c r="B3063" s="8"/>
      <c r="C3063" s="8" t="s">
        <v>17</v>
      </c>
      <c r="D3063" s="2">
        <v>43977</v>
      </c>
      <c r="E3063" s="3">
        <v>50000</v>
      </c>
      <c r="F3063" t="s">
        <v>230</v>
      </c>
      <c r="G3063" t="s">
        <v>231</v>
      </c>
      <c r="H3063" t="s">
        <v>232</v>
      </c>
      <c r="I3063" s="6" t="s">
        <v>1216</v>
      </c>
      <c r="J3063" s="61" t="s">
        <v>1217</v>
      </c>
      <c r="L3063" s="5" t="str">
        <f t="shared" si="1110"/>
        <v>03062</v>
      </c>
      <c r="M3063" s="47" t="str">
        <f t="shared" si="1111"/>
        <v>26 de mayo de 2020</v>
      </c>
      <c r="N3063" s="320">
        <f t="shared" si="1112"/>
        <v>26</v>
      </c>
      <c r="O3063" s="25">
        <f t="shared" si="1113"/>
        <v>43952</v>
      </c>
      <c r="P3063" s="5" t="str">
        <f t="shared" si="1114"/>
        <v>50.000,00</v>
      </c>
      <c r="Q3063" s="4" t="e">
        <f t="shared" ca="1" si="1115"/>
        <v>#NAME?</v>
      </c>
    </row>
    <row r="3064" spans="1:17">
      <c r="A3064" s="603">
        <f t="shared" si="1117"/>
        <v>3063</v>
      </c>
      <c r="B3064" s="8"/>
      <c r="C3064" s="8" t="s">
        <v>17</v>
      </c>
      <c r="D3064" s="2">
        <v>43976</v>
      </c>
      <c r="E3064" s="3">
        <v>250000</v>
      </c>
      <c r="F3064" t="s">
        <v>633</v>
      </c>
      <c r="G3064" t="s">
        <v>634</v>
      </c>
      <c r="H3064" t="s">
        <v>635</v>
      </c>
      <c r="I3064" s="6" t="s">
        <v>1210</v>
      </c>
      <c r="J3064" s="61" t="s">
        <v>22</v>
      </c>
      <c r="L3064" s="5" t="str">
        <f t="shared" si="1110"/>
        <v>03063</v>
      </c>
      <c r="M3064" s="47" t="str">
        <f t="shared" si="1111"/>
        <v>25 de mayo de 2020</v>
      </c>
      <c r="N3064" s="320">
        <f t="shared" si="1112"/>
        <v>25</v>
      </c>
      <c r="O3064" s="25">
        <f t="shared" si="1113"/>
        <v>43952</v>
      </c>
      <c r="P3064" s="5" t="str">
        <f t="shared" si="1114"/>
        <v>250.000,00</v>
      </c>
      <c r="Q3064" s="4" t="e">
        <f t="shared" ca="1" si="1115"/>
        <v>#NAME?</v>
      </c>
    </row>
    <row r="3065" spans="1:17">
      <c r="A3065" s="603">
        <f t="shared" si="1117"/>
        <v>3064</v>
      </c>
      <c r="B3065" s="8"/>
      <c r="C3065" s="8" t="s">
        <v>17</v>
      </c>
      <c r="D3065" s="2">
        <v>43976</v>
      </c>
      <c r="E3065" s="3">
        <v>50000</v>
      </c>
      <c r="F3065" t="s">
        <v>633</v>
      </c>
      <c r="G3065" t="s">
        <v>634</v>
      </c>
      <c r="H3065" t="s">
        <v>635</v>
      </c>
      <c r="I3065" s="6" t="s">
        <v>1216</v>
      </c>
      <c r="J3065" s="61" t="s">
        <v>1217</v>
      </c>
      <c r="L3065" s="5" t="str">
        <f t="shared" si="1110"/>
        <v>03064</v>
      </c>
      <c r="M3065" s="47" t="str">
        <f t="shared" si="1111"/>
        <v>25 de mayo de 2020</v>
      </c>
      <c r="N3065" s="320">
        <f t="shared" si="1112"/>
        <v>25</v>
      </c>
      <c r="O3065" s="25">
        <f t="shared" si="1113"/>
        <v>43952</v>
      </c>
      <c r="P3065" s="5" t="str">
        <f t="shared" si="1114"/>
        <v>50.000,00</v>
      </c>
      <c r="Q3065" s="4" t="e">
        <f t="shared" ca="1" si="1115"/>
        <v>#NAME?</v>
      </c>
    </row>
  </sheetData>
  <autoFilter ref="A1:Q3045" xr:uid="{00000000-0009-0000-0000-000000000000}"/>
  <sortState xmlns:xlrd2="http://schemas.microsoft.com/office/spreadsheetml/2017/richdata2" ref="A2:N204">
    <sortCondition ref="A203"/>
  </sortState>
  <conditionalFormatting sqref="G79">
    <cfRule type="expression" dxfId="926" priority="935" stopIfTrue="1">
      <formula>ISBLANK(G79)</formula>
    </cfRule>
    <cfRule type="expression" dxfId="925" priority="936">
      <formula>IFERROR(FIND("@",G79),-1)&lt;0</formula>
    </cfRule>
  </conditionalFormatting>
  <conditionalFormatting sqref="G179">
    <cfRule type="expression" dxfId="924" priority="933" stopIfTrue="1">
      <formula>ISBLANK(G179)</formula>
    </cfRule>
    <cfRule type="expression" dxfId="923" priority="934">
      <formula>IFERROR(FIND("@",G179),-1)&lt;0</formula>
    </cfRule>
  </conditionalFormatting>
  <conditionalFormatting sqref="G13">
    <cfRule type="expression" dxfId="922" priority="931" stopIfTrue="1">
      <formula>ISBLANK(G13)</formula>
    </cfRule>
    <cfRule type="expression" dxfId="921" priority="932">
      <formula>IFERROR(FIND("@",G13),-1)&lt;0</formula>
    </cfRule>
  </conditionalFormatting>
  <conditionalFormatting sqref="G56">
    <cfRule type="expression" dxfId="920" priority="929" stopIfTrue="1">
      <formula>ISBLANK(G56)</formula>
    </cfRule>
    <cfRule type="expression" dxfId="919" priority="930">
      <formula>IFERROR(FIND("@",G56),-1)&lt;0</formula>
    </cfRule>
  </conditionalFormatting>
  <conditionalFormatting sqref="G139">
    <cfRule type="expression" dxfId="918" priority="927" stopIfTrue="1">
      <formula>ISBLANK(G139)</formula>
    </cfRule>
    <cfRule type="expression" dxfId="917" priority="928">
      <formula>IFERROR(FIND("@",G139),-1)&lt;0</formula>
    </cfRule>
  </conditionalFormatting>
  <conditionalFormatting sqref="G163">
    <cfRule type="expression" dxfId="916" priority="925" stopIfTrue="1">
      <formula>ISBLANK(G163)</formula>
    </cfRule>
    <cfRule type="expression" dxfId="915" priority="926">
      <formula>IFERROR(FIND("@",G163),-1)&lt;0</formula>
    </cfRule>
  </conditionalFormatting>
  <conditionalFormatting sqref="G190">
    <cfRule type="expression" dxfId="914" priority="923" stopIfTrue="1">
      <formula>ISBLANK(G190)</formula>
    </cfRule>
    <cfRule type="expression" dxfId="913" priority="924">
      <formula>IFERROR(FIND("@",G190),-1)&lt;0</formula>
    </cfRule>
  </conditionalFormatting>
  <conditionalFormatting sqref="G191:G192">
    <cfRule type="expression" dxfId="912" priority="921" stopIfTrue="1">
      <formula>ISBLANK(G191)</formula>
    </cfRule>
    <cfRule type="expression" dxfId="911" priority="922">
      <formula>IFERROR(FIND("@",G191),-1)&lt;0</formula>
    </cfRule>
  </conditionalFormatting>
  <conditionalFormatting sqref="G184">
    <cfRule type="expression" dxfId="910" priority="919" stopIfTrue="1">
      <formula>ISBLANK(G184)</formula>
    </cfRule>
    <cfRule type="expression" dxfId="909" priority="920">
      <formula>IFERROR(FIND("@",G184),-1)&lt;0</formula>
    </cfRule>
  </conditionalFormatting>
  <conditionalFormatting sqref="G47">
    <cfRule type="expression" dxfId="908" priority="917" stopIfTrue="1">
      <formula>ISBLANK(G47)</formula>
    </cfRule>
    <cfRule type="expression" dxfId="907" priority="918">
      <formula>IFERROR(FIND("@",G47),-1)&lt;0</formula>
    </cfRule>
  </conditionalFormatting>
  <conditionalFormatting sqref="G93">
    <cfRule type="expression" dxfId="906" priority="915" stopIfTrue="1">
      <formula>ISBLANK(G93)</formula>
    </cfRule>
    <cfRule type="expression" dxfId="905" priority="916">
      <formula>IFERROR(FIND("@",G93),-1)&lt;0</formula>
    </cfRule>
  </conditionalFormatting>
  <conditionalFormatting sqref="G150">
    <cfRule type="expression" dxfId="904" priority="913" stopIfTrue="1">
      <formula>ISBLANK(G150)</formula>
    </cfRule>
    <cfRule type="expression" dxfId="903" priority="914">
      <formula>IFERROR(FIND("@",G150),-1)&lt;0</formula>
    </cfRule>
  </conditionalFormatting>
  <conditionalFormatting sqref="G53">
    <cfRule type="expression" dxfId="902" priority="911" stopIfTrue="1">
      <formula>ISBLANK(G53)</formula>
    </cfRule>
    <cfRule type="expression" dxfId="901" priority="912">
      <formula>IFERROR(FIND("@",G53),-1)&lt;0</formula>
    </cfRule>
  </conditionalFormatting>
  <conditionalFormatting sqref="G86">
    <cfRule type="expression" dxfId="900" priority="909" stopIfTrue="1">
      <formula>ISBLANK(G86)</formula>
    </cfRule>
    <cfRule type="expression" dxfId="899" priority="910">
      <formula>IFERROR(FIND("@",G86),-1)&lt;0</formula>
    </cfRule>
  </conditionalFormatting>
  <conditionalFormatting sqref="G125">
    <cfRule type="expression" dxfId="898" priority="907" stopIfTrue="1">
      <formula>ISBLANK(G125)</formula>
    </cfRule>
    <cfRule type="expression" dxfId="897" priority="908">
      <formula>IFERROR(FIND("@",G125),-1)&lt;0</formula>
    </cfRule>
  </conditionalFormatting>
  <conditionalFormatting sqref="G174">
    <cfRule type="expression" dxfId="896" priority="905" stopIfTrue="1">
      <formula>ISBLANK(G174)</formula>
    </cfRule>
    <cfRule type="expression" dxfId="895" priority="906">
      <formula>IFERROR(FIND("@",G174),-1)&lt;0</formula>
    </cfRule>
  </conditionalFormatting>
  <conditionalFormatting sqref="G117">
    <cfRule type="expression" dxfId="894" priority="903" stopIfTrue="1">
      <formula>ISBLANK(G117)</formula>
    </cfRule>
    <cfRule type="expression" dxfId="893" priority="904">
      <formula>IFERROR(FIND("@",G117),-1)&lt;0</formula>
    </cfRule>
  </conditionalFormatting>
  <conditionalFormatting sqref="G193">
    <cfRule type="expression" dxfId="892" priority="901" stopIfTrue="1">
      <formula>ISBLANK(G193)</formula>
    </cfRule>
    <cfRule type="expression" dxfId="891" priority="902">
      <formula>IFERROR(FIND("@",G193),-1)&lt;0</formula>
    </cfRule>
  </conditionalFormatting>
  <conditionalFormatting sqref="G12">
    <cfRule type="expression" dxfId="890" priority="899" stopIfTrue="1">
      <formula>ISBLANK(G12)</formula>
    </cfRule>
    <cfRule type="expression" dxfId="889" priority="900">
      <formula>IFERROR(FIND("@",G12),-1)&lt;0</formula>
    </cfRule>
  </conditionalFormatting>
  <conditionalFormatting sqref="G66">
    <cfRule type="expression" dxfId="888" priority="897" stopIfTrue="1">
      <formula>ISBLANK(G66)</formula>
    </cfRule>
    <cfRule type="expression" dxfId="887" priority="898">
      <formula>IFERROR(FIND("@",G66),-1)&lt;0</formula>
    </cfRule>
  </conditionalFormatting>
  <conditionalFormatting sqref="G129">
    <cfRule type="expression" dxfId="886" priority="895" stopIfTrue="1">
      <formula>ISBLANK(G129)</formula>
    </cfRule>
    <cfRule type="expression" dxfId="885" priority="896">
      <formula>IFERROR(FIND("@",G129),-1)&lt;0</formula>
    </cfRule>
  </conditionalFormatting>
  <conditionalFormatting sqref="G161">
    <cfRule type="expression" dxfId="884" priority="893" stopIfTrue="1">
      <formula>ISBLANK(G161)</formula>
    </cfRule>
    <cfRule type="expression" dxfId="883" priority="894">
      <formula>IFERROR(FIND("@",G161),-1)&lt;0</formula>
    </cfRule>
  </conditionalFormatting>
  <conditionalFormatting sqref="G67">
    <cfRule type="expression" dxfId="882" priority="891" stopIfTrue="1">
      <formula>ISBLANK(G67)</formula>
    </cfRule>
    <cfRule type="expression" dxfId="881" priority="892">
      <formula>IFERROR(FIND("@",G67),-1)&lt;0</formula>
    </cfRule>
  </conditionalFormatting>
  <conditionalFormatting sqref="G130">
    <cfRule type="expression" dxfId="880" priority="889" stopIfTrue="1">
      <formula>ISBLANK(G130)</formula>
    </cfRule>
    <cfRule type="expression" dxfId="879" priority="890">
      <formula>IFERROR(FIND("@",G130),-1)&lt;0</formula>
    </cfRule>
  </conditionalFormatting>
  <conditionalFormatting sqref="G168">
    <cfRule type="expression" dxfId="878" priority="887" stopIfTrue="1">
      <formula>ISBLANK(G168)</formula>
    </cfRule>
    <cfRule type="expression" dxfId="877" priority="888">
      <formula>IFERROR(FIND("@",G168),-1)&lt;0</formula>
    </cfRule>
  </conditionalFormatting>
  <conditionalFormatting sqref="G199">
    <cfRule type="expression" dxfId="876" priority="885" stopIfTrue="1">
      <formula>ISBLANK(G199)</formula>
    </cfRule>
    <cfRule type="expression" dxfId="875" priority="886">
      <formula>IFERROR(FIND("@",G199),-1)&lt;0</formula>
    </cfRule>
  </conditionalFormatting>
  <conditionalFormatting sqref="G200">
    <cfRule type="expression" dxfId="874" priority="883" stopIfTrue="1">
      <formula>ISBLANK(G200)</formula>
    </cfRule>
    <cfRule type="expression" dxfId="873" priority="884">
      <formula>IFERROR(FIND("@",G200),-1)&lt;0</formula>
    </cfRule>
  </conditionalFormatting>
  <conditionalFormatting sqref="G201">
    <cfRule type="expression" dxfId="872" priority="881" stopIfTrue="1">
      <formula>ISBLANK(G201)</formula>
    </cfRule>
    <cfRule type="expression" dxfId="871" priority="882">
      <formula>IFERROR(FIND("@",G201),-1)&lt;0</formula>
    </cfRule>
  </conditionalFormatting>
  <conditionalFormatting sqref="G89">
    <cfRule type="expression" dxfId="870" priority="879" stopIfTrue="1">
      <formula>ISBLANK(G89)</formula>
    </cfRule>
    <cfRule type="expression" dxfId="869" priority="880">
      <formula>IFERROR(FIND("@",G89),-1)&lt;0</formula>
    </cfRule>
  </conditionalFormatting>
  <conditionalFormatting sqref="G207">
    <cfRule type="expression" dxfId="868" priority="877" stopIfTrue="1">
      <formula>ISBLANK(G207)</formula>
    </cfRule>
    <cfRule type="expression" dxfId="867" priority="878">
      <formula>IFERROR(FIND("@",G207),-1)&lt;0</formula>
    </cfRule>
  </conditionalFormatting>
  <conditionalFormatting sqref="G211">
    <cfRule type="expression" dxfId="866" priority="875" stopIfTrue="1">
      <formula>ISBLANK(G211)</formula>
    </cfRule>
    <cfRule type="expression" dxfId="865" priority="876">
      <formula>IFERROR(FIND("@",G211),-1)&lt;0</formula>
    </cfRule>
  </conditionalFormatting>
  <conditionalFormatting sqref="G212">
    <cfRule type="expression" dxfId="864" priority="873" stopIfTrue="1">
      <formula>ISBLANK(G212)</formula>
    </cfRule>
    <cfRule type="expression" dxfId="863" priority="874">
      <formula>IFERROR(FIND("@",G212),-1)&lt;0</formula>
    </cfRule>
  </conditionalFormatting>
  <conditionalFormatting sqref="G214">
    <cfRule type="expression" dxfId="862" priority="871" stopIfTrue="1">
      <formula>ISBLANK(G214)</formula>
    </cfRule>
    <cfRule type="expression" dxfId="861" priority="872">
      <formula>IFERROR(FIND("@",G214),-1)&lt;0</formula>
    </cfRule>
  </conditionalFormatting>
  <conditionalFormatting sqref="G236">
    <cfRule type="expression" dxfId="860" priority="867" stopIfTrue="1">
      <formula>ISBLANK(G236)</formula>
    </cfRule>
    <cfRule type="expression" dxfId="859" priority="868">
      <formula>IFERROR(FIND("@",G236),-1)&lt;0</formula>
    </cfRule>
  </conditionalFormatting>
  <conditionalFormatting sqref="G243">
    <cfRule type="expression" dxfId="858" priority="865" stopIfTrue="1">
      <formula>ISBLANK(G243)</formula>
    </cfRule>
    <cfRule type="expression" dxfId="857" priority="866">
      <formula>IFERROR(FIND("@",G243),-1)&lt;0</formula>
    </cfRule>
  </conditionalFormatting>
  <conditionalFormatting sqref="G244">
    <cfRule type="expression" dxfId="856" priority="863" stopIfTrue="1">
      <formula>ISBLANK(G244)</formula>
    </cfRule>
    <cfRule type="expression" dxfId="855" priority="864">
      <formula>IFERROR(FIND("@",G244),-1)&lt;0</formula>
    </cfRule>
  </conditionalFormatting>
  <conditionalFormatting sqref="G245">
    <cfRule type="expression" dxfId="854" priority="861" stopIfTrue="1">
      <formula>ISBLANK(G245)</formula>
    </cfRule>
    <cfRule type="expression" dxfId="853" priority="862">
      <formula>IFERROR(FIND("@",G245),-1)&lt;0</formula>
    </cfRule>
  </conditionalFormatting>
  <conditionalFormatting sqref="G284">
    <cfRule type="expression" dxfId="852" priority="859" stopIfTrue="1">
      <formula>ISBLANK(G284)</formula>
    </cfRule>
    <cfRule type="expression" dxfId="851" priority="860">
      <formula>IFERROR(FIND("@",G284),-1)&lt;0</formula>
    </cfRule>
  </conditionalFormatting>
  <conditionalFormatting sqref="G286">
    <cfRule type="expression" dxfId="850" priority="857" stopIfTrue="1">
      <formula>ISBLANK(G286)</formula>
    </cfRule>
    <cfRule type="expression" dxfId="849" priority="858">
      <formula>IFERROR(FIND("@",G286),-1)&lt;0</formula>
    </cfRule>
  </conditionalFormatting>
  <conditionalFormatting sqref="G290">
    <cfRule type="expression" dxfId="848" priority="855" stopIfTrue="1">
      <formula>ISBLANK(G290)</formula>
    </cfRule>
    <cfRule type="expression" dxfId="847" priority="856">
      <formula>IFERROR(FIND("@",G290),-1)&lt;0</formula>
    </cfRule>
  </conditionalFormatting>
  <conditionalFormatting sqref="G297">
    <cfRule type="expression" dxfId="846" priority="853" stopIfTrue="1">
      <formula>ISBLANK(G297)</formula>
    </cfRule>
    <cfRule type="expression" dxfId="845" priority="854">
      <formula>IFERROR(FIND("@",G297),-1)&lt;0</formula>
    </cfRule>
  </conditionalFormatting>
  <conditionalFormatting sqref="G310:G311">
    <cfRule type="expression" dxfId="844" priority="847" stopIfTrue="1">
      <formula>ISBLANK(G310)</formula>
    </cfRule>
    <cfRule type="expression" dxfId="843" priority="848">
      <formula>IFERROR(FIND("@",G310),-1)&lt;0</formula>
    </cfRule>
  </conditionalFormatting>
  <conditionalFormatting sqref="G313">
    <cfRule type="expression" dxfId="842" priority="843" stopIfTrue="1">
      <formula>ISBLANK(G313)</formula>
    </cfRule>
    <cfRule type="expression" dxfId="841" priority="844">
      <formula>IFERROR(FIND("@",G313),-1)&lt;0</formula>
    </cfRule>
  </conditionalFormatting>
  <conditionalFormatting sqref="G332">
    <cfRule type="expression" dxfId="840" priority="839" stopIfTrue="1">
      <formula>ISBLANK(G332)</formula>
    </cfRule>
    <cfRule type="expression" dxfId="839" priority="840">
      <formula>IFERROR(FIND("@",G332),-1)&lt;0</formula>
    </cfRule>
  </conditionalFormatting>
  <conditionalFormatting sqref="G343">
    <cfRule type="expression" dxfId="838" priority="837" stopIfTrue="1">
      <formula>ISBLANK(G343)</formula>
    </cfRule>
    <cfRule type="expression" dxfId="837" priority="838">
      <formula>IFERROR(FIND("@",G343),-1)&lt;0</formula>
    </cfRule>
  </conditionalFormatting>
  <conditionalFormatting sqref="G350">
    <cfRule type="expression" dxfId="836" priority="835" stopIfTrue="1">
      <formula>ISBLANK(G350)</formula>
    </cfRule>
    <cfRule type="expression" dxfId="835" priority="836">
      <formula>IFERROR(FIND("@",G350),-1)&lt;0</formula>
    </cfRule>
  </conditionalFormatting>
  <conditionalFormatting sqref="G351">
    <cfRule type="expression" dxfId="834" priority="833" stopIfTrue="1">
      <formula>ISBLANK(G351)</formula>
    </cfRule>
    <cfRule type="expression" dxfId="833" priority="834">
      <formula>IFERROR(FIND("@",G351),-1)&lt;0</formula>
    </cfRule>
  </conditionalFormatting>
  <conditionalFormatting sqref="G355">
    <cfRule type="expression" dxfId="832" priority="831" stopIfTrue="1">
      <formula>ISBLANK(G355)</formula>
    </cfRule>
    <cfRule type="expression" dxfId="831" priority="832">
      <formula>IFERROR(FIND("@",G355),-1)&lt;0</formula>
    </cfRule>
  </conditionalFormatting>
  <conditionalFormatting sqref="G370">
    <cfRule type="expression" dxfId="830" priority="829" stopIfTrue="1">
      <formula>ISBLANK(G370)</formula>
    </cfRule>
    <cfRule type="expression" dxfId="829" priority="830">
      <formula>IFERROR(FIND("@",G370),-1)&lt;0</formula>
    </cfRule>
  </conditionalFormatting>
  <conditionalFormatting sqref="G408">
    <cfRule type="expression" dxfId="828" priority="827" stopIfTrue="1">
      <formula>ISBLANK(G408)</formula>
    </cfRule>
    <cfRule type="expression" dxfId="827" priority="828">
      <formula>IFERROR(FIND("@",G408),-1)&lt;0</formula>
    </cfRule>
  </conditionalFormatting>
  <conditionalFormatting sqref="G409">
    <cfRule type="expression" dxfId="826" priority="825" stopIfTrue="1">
      <formula>ISBLANK(G409)</formula>
    </cfRule>
    <cfRule type="expression" dxfId="825" priority="826">
      <formula>IFERROR(FIND("@",G409),-1)&lt;0</formula>
    </cfRule>
  </conditionalFormatting>
  <conditionalFormatting sqref="G412">
    <cfRule type="expression" dxfId="824" priority="823" stopIfTrue="1">
      <formula>ISBLANK(G412)</formula>
    </cfRule>
    <cfRule type="expression" dxfId="823" priority="824">
      <formula>IFERROR(FIND("@",G412),-1)&lt;0</formula>
    </cfRule>
  </conditionalFormatting>
  <conditionalFormatting sqref="G419">
    <cfRule type="expression" dxfId="822" priority="821" stopIfTrue="1">
      <formula>ISBLANK(G419)</formula>
    </cfRule>
    <cfRule type="expression" dxfId="821" priority="822">
      <formula>IFERROR(FIND("@",G419),-1)&lt;0</formula>
    </cfRule>
  </conditionalFormatting>
  <conditionalFormatting sqref="G420">
    <cfRule type="expression" dxfId="820" priority="819" stopIfTrue="1">
      <formula>ISBLANK(G420)</formula>
    </cfRule>
    <cfRule type="expression" dxfId="819" priority="820">
      <formula>IFERROR(FIND("@",G420),-1)&lt;0</formula>
    </cfRule>
  </conditionalFormatting>
  <conditionalFormatting sqref="G421">
    <cfRule type="expression" dxfId="818" priority="817" stopIfTrue="1">
      <formula>ISBLANK(G421)</formula>
    </cfRule>
    <cfRule type="expression" dxfId="817" priority="818">
      <formula>IFERROR(FIND("@",G421),-1)&lt;0</formula>
    </cfRule>
  </conditionalFormatting>
  <conditionalFormatting sqref="G449">
    <cfRule type="expression" dxfId="816" priority="813" stopIfTrue="1">
      <formula>ISBLANK(G449)</formula>
    </cfRule>
    <cfRule type="expression" dxfId="815" priority="814">
      <formula>IFERROR(FIND("@",G449),-1)&lt;0</formula>
    </cfRule>
  </conditionalFormatting>
  <conditionalFormatting sqref="G450">
    <cfRule type="expression" dxfId="814" priority="811" stopIfTrue="1">
      <formula>ISBLANK(G450)</formula>
    </cfRule>
    <cfRule type="expression" dxfId="813" priority="812">
      <formula>IFERROR(FIND("@",G450),-1)&lt;0</formula>
    </cfRule>
  </conditionalFormatting>
  <conditionalFormatting sqref="G470">
    <cfRule type="expression" dxfId="812" priority="809" stopIfTrue="1">
      <formula>ISBLANK(G470)</formula>
    </cfRule>
    <cfRule type="expression" dxfId="811" priority="810">
      <formula>IFERROR(FIND("@",G470),-1)&lt;0</formula>
    </cfRule>
  </conditionalFormatting>
  <conditionalFormatting sqref="G477">
    <cfRule type="expression" dxfId="810" priority="807" stopIfTrue="1">
      <formula>ISBLANK(G477)</formula>
    </cfRule>
    <cfRule type="expression" dxfId="809" priority="808">
      <formula>IFERROR(FIND("@",G477),-1)&lt;0</formula>
    </cfRule>
  </conditionalFormatting>
  <conditionalFormatting sqref="G482">
    <cfRule type="expression" dxfId="808" priority="805" stopIfTrue="1">
      <formula>ISBLANK(G482)</formula>
    </cfRule>
    <cfRule type="expression" dxfId="807" priority="806">
      <formula>IFERROR(FIND("@",G482),-1)&lt;0</formula>
    </cfRule>
  </conditionalFormatting>
  <conditionalFormatting sqref="G485">
    <cfRule type="expression" dxfId="806" priority="803" stopIfTrue="1">
      <formula>ISBLANK(G485)</formula>
    </cfRule>
    <cfRule type="expression" dxfId="805" priority="804">
      <formula>IFERROR(FIND("@",G485),-1)&lt;0</formula>
    </cfRule>
  </conditionalFormatting>
  <conditionalFormatting sqref="G487:G488">
    <cfRule type="expression" dxfId="804" priority="801" stopIfTrue="1">
      <formula>ISBLANK(G487)</formula>
    </cfRule>
    <cfRule type="expression" dxfId="803" priority="802">
      <formula>IFERROR(FIND("@",G487),-1)&lt;0</formula>
    </cfRule>
  </conditionalFormatting>
  <conditionalFormatting sqref="G493:G494">
    <cfRule type="expression" dxfId="802" priority="799" stopIfTrue="1">
      <formula>ISBLANK(G493)</formula>
    </cfRule>
    <cfRule type="expression" dxfId="801" priority="800">
      <formula>IFERROR(FIND("@",G493),-1)&lt;0</formula>
    </cfRule>
  </conditionalFormatting>
  <conditionalFormatting sqref="G495">
    <cfRule type="expression" dxfId="800" priority="797" stopIfTrue="1">
      <formula>ISBLANK(G495)</formula>
    </cfRule>
    <cfRule type="expression" dxfId="799" priority="798">
      <formula>IFERROR(FIND("@",G495),-1)&lt;0</formula>
    </cfRule>
  </conditionalFormatting>
  <conditionalFormatting sqref="G496">
    <cfRule type="expression" dxfId="798" priority="793" stopIfTrue="1">
      <formula>ISBLANK(G496)</formula>
    </cfRule>
    <cfRule type="expression" dxfId="797" priority="794">
      <formula>IFERROR(FIND("@",G496),-1)&lt;0</formula>
    </cfRule>
  </conditionalFormatting>
  <conditionalFormatting sqref="G501">
    <cfRule type="expression" dxfId="796" priority="791" stopIfTrue="1">
      <formula>ISBLANK(G501)</formula>
    </cfRule>
    <cfRule type="expression" dxfId="795" priority="792">
      <formula>IFERROR(FIND("@",G501),-1)&lt;0</formula>
    </cfRule>
  </conditionalFormatting>
  <conditionalFormatting sqref="G526">
    <cfRule type="expression" dxfId="794" priority="789" stopIfTrue="1">
      <formula>ISBLANK(G526)</formula>
    </cfRule>
    <cfRule type="expression" dxfId="793" priority="790">
      <formula>IFERROR(FIND("@",G526),-1)&lt;0</formula>
    </cfRule>
  </conditionalFormatting>
  <conditionalFormatting sqref="G534">
    <cfRule type="expression" dxfId="792" priority="787" stopIfTrue="1">
      <formula>ISBLANK(G534)</formula>
    </cfRule>
    <cfRule type="expression" dxfId="791" priority="788">
      <formula>IFERROR(FIND("@",G534),-1)&lt;0</formula>
    </cfRule>
  </conditionalFormatting>
  <conditionalFormatting sqref="G539">
    <cfRule type="expression" dxfId="790" priority="783" stopIfTrue="1">
      <formula>ISBLANK(G539)</formula>
    </cfRule>
    <cfRule type="expression" dxfId="789" priority="784">
      <formula>IFERROR(FIND("@",G539),-1)&lt;0</formula>
    </cfRule>
  </conditionalFormatting>
  <conditionalFormatting sqref="G541">
    <cfRule type="expression" dxfId="788" priority="781" stopIfTrue="1">
      <formula>ISBLANK(G541)</formula>
    </cfRule>
    <cfRule type="expression" dxfId="787" priority="782">
      <formula>IFERROR(FIND("@",G541),-1)&lt;0</formula>
    </cfRule>
  </conditionalFormatting>
  <conditionalFormatting sqref="G542">
    <cfRule type="expression" dxfId="786" priority="779" stopIfTrue="1">
      <formula>ISBLANK(G542)</formula>
    </cfRule>
    <cfRule type="expression" dxfId="785" priority="780">
      <formula>IFERROR(FIND("@",G542),-1)&lt;0</formula>
    </cfRule>
  </conditionalFormatting>
  <conditionalFormatting sqref="G551">
    <cfRule type="expression" dxfId="784" priority="777" stopIfTrue="1">
      <formula>ISBLANK(G551)</formula>
    </cfRule>
    <cfRule type="expression" dxfId="783" priority="778">
      <formula>IFERROR(FIND("@",G551),-1)&lt;0</formula>
    </cfRule>
  </conditionalFormatting>
  <conditionalFormatting sqref="G557">
    <cfRule type="expression" dxfId="782" priority="775" stopIfTrue="1">
      <formula>ISBLANK(G557)</formula>
    </cfRule>
    <cfRule type="expression" dxfId="781" priority="776">
      <formula>IFERROR(FIND("@",G557),-1)&lt;0</formula>
    </cfRule>
  </conditionalFormatting>
  <conditionalFormatting sqref="G562">
    <cfRule type="expression" dxfId="780" priority="773" stopIfTrue="1">
      <formula>ISBLANK(G562)</formula>
    </cfRule>
    <cfRule type="expression" dxfId="779" priority="774">
      <formula>IFERROR(FIND("@",G562),-1)&lt;0</formula>
    </cfRule>
  </conditionalFormatting>
  <conditionalFormatting sqref="G564">
    <cfRule type="expression" dxfId="778" priority="771" stopIfTrue="1">
      <formula>ISBLANK(G564)</formula>
    </cfRule>
    <cfRule type="expression" dxfId="777" priority="772">
      <formula>IFERROR(FIND("@",G564),-1)&lt;0</formula>
    </cfRule>
  </conditionalFormatting>
  <conditionalFormatting sqref="G570">
    <cfRule type="expression" dxfId="776" priority="769" stopIfTrue="1">
      <formula>ISBLANK(G570)</formula>
    </cfRule>
    <cfRule type="expression" dxfId="775" priority="770">
      <formula>IFERROR(FIND("@",G570),-1)&lt;0</formula>
    </cfRule>
  </conditionalFormatting>
  <conditionalFormatting sqref="G586">
    <cfRule type="expression" dxfId="774" priority="767" stopIfTrue="1">
      <formula>ISBLANK(G586)</formula>
    </cfRule>
    <cfRule type="expression" dxfId="773" priority="768">
      <formula>IFERROR(FIND("@",G586),-1)&lt;0</formula>
    </cfRule>
  </conditionalFormatting>
  <conditionalFormatting sqref="G587">
    <cfRule type="expression" dxfId="772" priority="765" stopIfTrue="1">
      <formula>ISBLANK(G587)</formula>
    </cfRule>
    <cfRule type="expression" dxfId="771" priority="766">
      <formula>IFERROR(FIND("@",G587),-1)&lt;0</formula>
    </cfRule>
  </conditionalFormatting>
  <conditionalFormatting sqref="G590">
    <cfRule type="expression" dxfId="770" priority="763" stopIfTrue="1">
      <formula>ISBLANK(G590)</formula>
    </cfRule>
    <cfRule type="expression" dxfId="769" priority="764">
      <formula>IFERROR(FIND("@",G590),-1)&lt;0</formula>
    </cfRule>
  </conditionalFormatting>
  <conditionalFormatting sqref="G591">
    <cfRule type="expression" dxfId="768" priority="761" stopIfTrue="1">
      <formula>ISBLANK(G591)</formula>
    </cfRule>
    <cfRule type="expression" dxfId="767" priority="762">
      <formula>IFERROR(FIND("@",G591),-1)&lt;0</formula>
    </cfRule>
  </conditionalFormatting>
  <conditionalFormatting sqref="G596">
    <cfRule type="expression" dxfId="766" priority="759" stopIfTrue="1">
      <formula>ISBLANK(G596)</formula>
    </cfRule>
    <cfRule type="expression" dxfId="765" priority="760">
      <formula>IFERROR(FIND("@",G596),-1)&lt;0</formula>
    </cfRule>
  </conditionalFormatting>
  <conditionalFormatting sqref="G603">
    <cfRule type="expression" dxfId="764" priority="757" stopIfTrue="1">
      <formula>ISBLANK(G603)</formula>
    </cfRule>
    <cfRule type="expression" dxfId="763" priority="758">
      <formula>IFERROR(FIND("@",G603),-1)&lt;0</formula>
    </cfRule>
  </conditionalFormatting>
  <conditionalFormatting sqref="G613">
    <cfRule type="expression" dxfId="762" priority="755" stopIfTrue="1">
      <formula>ISBLANK(G613)</formula>
    </cfRule>
    <cfRule type="expression" dxfId="761" priority="756">
      <formula>IFERROR(FIND("@",G613),-1)&lt;0</formula>
    </cfRule>
  </conditionalFormatting>
  <conditionalFormatting sqref="G618">
    <cfRule type="expression" dxfId="760" priority="753" stopIfTrue="1">
      <formula>ISBLANK(G618)</formula>
    </cfRule>
    <cfRule type="expression" dxfId="759" priority="754">
      <formula>IFERROR(FIND("@",G618),-1)&lt;0</formula>
    </cfRule>
  </conditionalFormatting>
  <conditionalFormatting sqref="G633">
    <cfRule type="expression" dxfId="758" priority="749" stopIfTrue="1">
      <formula>ISBLANK(G633)</formula>
    </cfRule>
    <cfRule type="expression" dxfId="757" priority="750">
      <formula>IFERROR(FIND("@",G633),-1)&lt;0</formula>
    </cfRule>
  </conditionalFormatting>
  <conditionalFormatting sqref="G637">
    <cfRule type="expression" dxfId="756" priority="747" stopIfTrue="1">
      <formula>ISBLANK(G637)</formula>
    </cfRule>
    <cfRule type="expression" dxfId="755" priority="748">
      <formula>IFERROR(FIND("@",G637),-1)&lt;0</formula>
    </cfRule>
  </conditionalFormatting>
  <conditionalFormatting sqref="G641">
    <cfRule type="expression" dxfId="754" priority="745" stopIfTrue="1">
      <formula>ISBLANK(G641)</formula>
    </cfRule>
    <cfRule type="expression" dxfId="753" priority="746">
      <formula>IFERROR(FIND("@",G641),-1)&lt;0</formula>
    </cfRule>
  </conditionalFormatting>
  <conditionalFormatting sqref="G642">
    <cfRule type="expression" dxfId="752" priority="743" stopIfTrue="1">
      <formula>ISBLANK(G642)</formula>
    </cfRule>
    <cfRule type="expression" dxfId="751" priority="744">
      <formula>IFERROR(FIND("@",G642),-1)&lt;0</formula>
    </cfRule>
  </conditionalFormatting>
  <conditionalFormatting sqref="G649">
    <cfRule type="expression" dxfId="750" priority="741" stopIfTrue="1">
      <formula>ISBLANK(G649)</formula>
    </cfRule>
    <cfRule type="expression" dxfId="749" priority="742">
      <formula>IFERROR(FIND("@",G649),-1)&lt;0</formula>
    </cfRule>
  </conditionalFormatting>
  <conditionalFormatting sqref="G668">
    <cfRule type="expression" dxfId="748" priority="739" stopIfTrue="1">
      <formula>ISBLANK(G668)</formula>
    </cfRule>
    <cfRule type="expression" dxfId="747" priority="740">
      <formula>IFERROR(FIND("@",G668),-1)&lt;0</formula>
    </cfRule>
  </conditionalFormatting>
  <conditionalFormatting sqref="G670">
    <cfRule type="expression" dxfId="746" priority="737" stopIfTrue="1">
      <formula>ISBLANK(G670)</formula>
    </cfRule>
    <cfRule type="expression" dxfId="745" priority="738">
      <formula>IFERROR(FIND("@",G670),-1)&lt;0</formula>
    </cfRule>
  </conditionalFormatting>
  <conditionalFormatting sqref="G672">
    <cfRule type="expression" dxfId="744" priority="735" stopIfTrue="1">
      <formula>ISBLANK(G672)</formula>
    </cfRule>
    <cfRule type="expression" dxfId="743" priority="736">
      <formula>IFERROR(FIND("@",G672),-1)&lt;0</formula>
    </cfRule>
  </conditionalFormatting>
  <conditionalFormatting sqref="G673">
    <cfRule type="expression" dxfId="742" priority="733" stopIfTrue="1">
      <formula>ISBLANK(G673)</formula>
    </cfRule>
    <cfRule type="expression" dxfId="741" priority="734">
      <formula>IFERROR(FIND("@",G673),-1)&lt;0</formula>
    </cfRule>
  </conditionalFormatting>
  <conditionalFormatting sqref="G679">
    <cfRule type="expression" dxfId="740" priority="729" stopIfTrue="1">
      <formula>ISBLANK(G679)</formula>
    </cfRule>
    <cfRule type="expression" dxfId="739" priority="730">
      <formula>IFERROR(FIND("@",G679),-1)&lt;0</formula>
    </cfRule>
  </conditionalFormatting>
  <conditionalFormatting sqref="G684">
    <cfRule type="expression" dxfId="738" priority="727" stopIfTrue="1">
      <formula>ISBLANK(G684)</formula>
    </cfRule>
    <cfRule type="expression" dxfId="737" priority="728">
      <formula>IFERROR(FIND("@",G684),-1)&lt;0</formula>
    </cfRule>
  </conditionalFormatting>
  <conditionalFormatting sqref="G687">
    <cfRule type="expression" dxfId="736" priority="725" stopIfTrue="1">
      <formula>ISBLANK(G687)</formula>
    </cfRule>
    <cfRule type="expression" dxfId="735" priority="726">
      <formula>IFERROR(FIND("@",G687),-1)&lt;0</formula>
    </cfRule>
  </conditionalFormatting>
  <conditionalFormatting sqref="G702">
    <cfRule type="expression" dxfId="734" priority="723" stopIfTrue="1">
      <formula>ISBLANK(G702)</formula>
    </cfRule>
    <cfRule type="expression" dxfId="733" priority="724">
      <formula>IFERROR(FIND("@",G702),-1)&lt;0</formula>
    </cfRule>
  </conditionalFormatting>
  <conditionalFormatting sqref="G705">
    <cfRule type="expression" dxfId="732" priority="721" stopIfTrue="1">
      <formula>ISBLANK(G705)</formula>
    </cfRule>
    <cfRule type="expression" dxfId="731" priority="722">
      <formula>IFERROR(FIND("@",G705),-1)&lt;0</formula>
    </cfRule>
  </conditionalFormatting>
  <conditionalFormatting sqref="G721">
    <cfRule type="expression" dxfId="730" priority="718" stopIfTrue="1">
      <formula>ISBLANK(G721)</formula>
    </cfRule>
    <cfRule type="expression" dxfId="729" priority="719">
      <formula>IFERROR(FIND("@",G721),-1)&lt;0</formula>
    </cfRule>
  </conditionalFormatting>
  <conditionalFormatting sqref="G728">
    <cfRule type="expression" dxfId="728" priority="716" stopIfTrue="1">
      <formula>ISBLANK(G728)</formula>
    </cfRule>
    <cfRule type="expression" dxfId="727" priority="717">
      <formula>IFERROR(FIND("@",G728),-1)&lt;0</formula>
    </cfRule>
  </conditionalFormatting>
  <conditionalFormatting sqref="G739">
    <cfRule type="expression" dxfId="726" priority="714" stopIfTrue="1">
      <formula>ISBLANK(G739)</formula>
    </cfRule>
    <cfRule type="expression" dxfId="725" priority="715">
      <formula>IFERROR(FIND("@",G739),-1)&lt;0</formula>
    </cfRule>
  </conditionalFormatting>
  <conditionalFormatting sqref="G743">
    <cfRule type="expression" dxfId="724" priority="712" stopIfTrue="1">
      <formula>ISBLANK(G743)</formula>
    </cfRule>
    <cfRule type="expression" dxfId="723" priority="713">
      <formula>IFERROR(FIND("@",G743),-1)&lt;0</formula>
    </cfRule>
  </conditionalFormatting>
  <conditionalFormatting sqref="G748">
    <cfRule type="expression" dxfId="722" priority="710" stopIfTrue="1">
      <formula>ISBLANK(G748)</formula>
    </cfRule>
    <cfRule type="expression" dxfId="721" priority="711">
      <formula>IFERROR(FIND("@",G748),-1)&lt;0</formula>
    </cfRule>
  </conditionalFormatting>
  <conditionalFormatting sqref="G750">
    <cfRule type="expression" dxfId="720" priority="708" stopIfTrue="1">
      <formula>ISBLANK(G750)</formula>
    </cfRule>
    <cfRule type="expression" dxfId="719" priority="709">
      <formula>IFERROR(FIND("@",G750),-1)&lt;0</formula>
    </cfRule>
  </conditionalFormatting>
  <conditionalFormatting sqref="G760">
    <cfRule type="expression" dxfId="718" priority="706" stopIfTrue="1">
      <formula>ISBLANK(G760)</formula>
    </cfRule>
    <cfRule type="expression" dxfId="717" priority="707">
      <formula>IFERROR(FIND("@",G760),-1)&lt;0</formula>
    </cfRule>
  </conditionalFormatting>
  <conditionalFormatting sqref="G773">
    <cfRule type="expression" dxfId="716" priority="704" stopIfTrue="1">
      <formula>ISBLANK(G773)</formula>
    </cfRule>
    <cfRule type="expression" dxfId="715" priority="705">
      <formula>IFERROR(FIND("@",G773),-1)&lt;0</formula>
    </cfRule>
  </conditionalFormatting>
  <conditionalFormatting sqref="G779">
    <cfRule type="expression" dxfId="714" priority="702" stopIfTrue="1">
      <formula>ISBLANK(G779)</formula>
    </cfRule>
    <cfRule type="expression" dxfId="713" priority="703">
      <formula>IFERROR(FIND("@",G779),-1)&lt;0</formula>
    </cfRule>
  </conditionalFormatting>
  <conditionalFormatting sqref="G782">
    <cfRule type="expression" dxfId="712" priority="698" stopIfTrue="1">
      <formula>ISBLANK(G782)</formula>
    </cfRule>
    <cfRule type="expression" dxfId="711" priority="699">
      <formula>IFERROR(FIND("@",G782),-1)&lt;0</formula>
    </cfRule>
  </conditionalFormatting>
  <conditionalFormatting sqref="G789">
    <cfRule type="expression" dxfId="710" priority="696" stopIfTrue="1">
      <formula>ISBLANK(G789)</formula>
    </cfRule>
    <cfRule type="expression" dxfId="709" priority="697">
      <formula>IFERROR(FIND("@",G789),-1)&lt;0</formula>
    </cfRule>
  </conditionalFormatting>
  <conditionalFormatting sqref="G790">
    <cfRule type="expression" dxfId="708" priority="694" stopIfTrue="1">
      <formula>ISBLANK(G790)</formula>
    </cfRule>
    <cfRule type="expression" dxfId="707" priority="695">
      <formula>IFERROR(FIND("@",G790),-1)&lt;0</formula>
    </cfRule>
  </conditionalFormatting>
  <conditionalFormatting sqref="G797">
    <cfRule type="expression" dxfId="706" priority="692" stopIfTrue="1">
      <formula>ISBLANK(G797)</formula>
    </cfRule>
    <cfRule type="expression" dxfId="705" priority="693">
      <formula>IFERROR(FIND("@",G797),-1)&lt;0</formula>
    </cfRule>
  </conditionalFormatting>
  <conditionalFormatting sqref="G798:G799">
    <cfRule type="expression" dxfId="704" priority="690" stopIfTrue="1">
      <formula>ISBLANK(G798)</formula>
    </cfRule>
    <cfRule type="expression" dxfId="703" priority="691">
      <formula>IFERROR(FIND("@",G798),-1)&lt;0</formula>
    </cfRule>
  </conditionalFormatting>
  <conditionalFormatting sqref="G810">
    <cfRule type="expression" dxfId="702" priority="688" stopIfTrue="1">
      <formula>ISBLANK(G810)</formula>
    </cfRule>
    <cfRule type="expression" dxfId="701" priority="689">
      <formula>IFERROR(FIND("@",G810),-1)&lt;0</formula>
    </cfRule>
  </conditionalFormatting>
  <conditionalFormatting sqref="G815">
    <cfRule type="expression" dxfId="700" priority="686" stopIfTrue="1">
      <formula>ISBLANK(G815)</formula>
    </cfRule>
    <cfRule type="expression" dxfId="699" priority="687">
      <formula>IFERROR(FIND("@",G815),-1)&lt;0</formula>
    </cfRule>
  </conditionalFormatting>
  <conditionalFormatting sqref="G827">
    <cfRule type="expression" dxfId="698" priority="684" stopIfTrue="1">
      <formula>ISBLANK(G827)</formula>
    </cfRule>
    <cfRule type="expression" dxfId="697" priority="685">
      <formula>IFERROR(FIND("@",G827),-1)&lt;0</formula>
    </cfRule>
  </conditionalFormatting>
  <conditionalFormatting sqref="G834">
    <cfRule type="expression" dxfId="696" priority="682" stopIfTrue="1">
      <formula>ISBLANK(G834)</formula>
    </cfRule>
    <cfRule type="expression" dxfId="695" priority="683">
      <formula>IFERROR(FIND("@",G834),-1)&lt;0</formula>
    </cfRule>
  </conditionalFormatting>
  <conditionalFormatting sqref="G842">
    <cfRule type="expression" dxfId="694" priority="680" stopIfTrue="1">
      <formula>ISBLANK(G842)</formula>
    </cfRule>
    <cfRule type="expression" dxfId="693" priority="681">
      <formula>IFERROR(FIND("@",G842),-1)&lt;0</formula>
    </cfRule>
  </conditionalFormatting>
  <conditionalFormatting sqref="G854">
    <cfRule type="expression" dxfId="692" priority="678" stopIfTrue="1">
      <formula>ISBLANK(G854)</formula>
    </cfRule>
    <cfRule type="expression" dxfId="691" priority="679">
      <formula>IFERROR(FIND("@",G854),-1)&lt;0</formula>
    </cfRule>
  </conditionalFormatting>
  <conditionalFormatting sqref="G855">
    <cfRule type="expression" dxfId="690" priority="676" stopIfTrue="1">
      <formula>ISBLANK(G855)</formula>
    </cfRule>
    <cfRule type="expression" dxfId="689" priority="677">
      <formula>IFERROR(FIND("@",G855),-1)&lt;0</formula>
    </cfRule>
  </conditionalFormatting>
  <conditionalFormatting sqref="G864">
    <cfRule type="expression" dxfId="688" priority="674" stopIfTrue="1">
      <formula>ISBLANK(G864)</formula>
    </cfRule>
    <cfRule type="expression" dxfId="687" priority="675">
      <formula>IFERROR(FIND("@",G864),-1)&lt;0</formula>
    </cfRule>
  </conditionalFormatting>
  <conditionalFormatting sqref="G871">
    <cfRule type="expression" dxfId="686" priority="670" stopIfTrue="1">
      <formula>ISBLANK(G871)</formula>
    </cfRule>
    <cfRule type="expression" dxfId="685" priority="671">
      <formula>IFERROR(FIND("@",G871),-1)&lt;0</formula>
    </cfRule>
  </conditionalFormatting>
  <conditionalFormatting sqref="G886">
    <cfRule type="expression" dxfId="684" priority="668" stopIfTrue="1">
      <formula>ISBLANK(G886)</formula>
    </cfRule>
    <cfRule type="expression" dxfId="683" priority="669">
      <formula>IFERROR(FIND("@",G886),-1)&lt;0</formula>
    </cfRule>
  </conditionalFormatting>
  <conditionalFormatting sqref="G888">
    <cfRule type="expression" dxfId="682" priority="666" stopIfTrue="1">
      <formula>ISBLANK(G888)</formula>
    </cfRule>
    <cfRule type="expression" dxfId="681" priority="667">
      <formula>IFERROR(FIND("@",G888),-1)&lt;0</formula>
    </cfRule>
  </conditionalFormatting>
  <conditionalFormatting sqref="G899">
    <cfRule type="expression" dxfId="680" priority="664" stopIfTrue="1">
      <formula>ISBLANK(G899)</formula>
    </cfRule>
    <cfRule type="expression" dxfId="679" priority="665">
      <formula>IFERROR(FIND("@",G899),-1)&lt;0</formula>
    </cfRule>
  </conditionalFormatting>
  <conditionalFormatting sqref="G900">
    <cfRule type="expression" dxfId="678" priority="662" stopIfTrue="1">
      <formula>ISBLANK(G900)</formula>
    </cfRule>
    <cfRule type="expression" dxfId="677" priority="663">
      <formula>IFERROR(FIND("@",G900),-1)&lt;0</formula>
    </cfRule>
  </conditionalFormatting>
  <conditionalFormatting sqref="G902">
    <cfRule type="expression" dxfId="676" priority="660" stopIfTrue="1">
      <formula>ISBLANK(G902)</formula>
    </cfRule>
    <cfRule type="expression" dxfId="675" priority="661">
      <formula>IFERROR(FIND("@",G902),-1)&lt;0</formula>
    </cfRule>
  </conditionalFormatting>
  <conditionalFormatting sqref="G909">
    <cfRule type="expression" dxfId="674" priority="654" stopIfTrue="1">
      <formula>ISBLANK(G909)</formula>
    </cfRule>
    <cfRule type="expression" dxfId="673" priority="655">
      <formula>IFERROR(FIND("@",G909),-1)&lt;0</formula>
    </cfRule>
  </conditionalFormatting>
  <conditionalFormatting sqref="G916">
    <cfRule type="expression" dxfId="672" priority="652" stopIfTrue="1">
      <formula>ISBLANK(G916)</formula>
    </cfRule>
    <cfRule type="expression" dxfId="671" priority="653">
      <formula>IFERROR(FIND("@",G916),-1)&lt;0</formula>
    </cfRule>
  </conditionalFormatting>
  <conditionalFormatting sqref="G921">
    <cfRule type="expression" dxfId="670" priority="650" stopIfTrue="1">
      <formula>ISBLANK(G921)</formula>
    </cfRule>
    <cfRule type="expression" dxfId="669" priority="651">
      <formula>IFERROR(FIND("@",G921),-1)&lt;0</formula>
    </cfRule>
  </conditionalFormatting>
  <conditionalFormatting sqref="G930">
    <cfRule type="expression" dxfId="668" priority="647" stopIfTrue="1">
      <formula>ISBLANK(G930)</formula>
    </cfRule>
    <cfRule type="expression" dxfId="667" priority="648">
      <formula>IFERROR(FIND("@",G930),-1)&lt;0</formula>
    </cfRule>
  </conditionalFormatting>
  <conditionalFormatting sqref="G944">
    <cfRule type="expression" dxfId="666" priority="643" stopIfTrue="1">
      <formula>ISBLANK(G944)</formula>
    </cfRule>
    <cfRule type="expression" dxfId="665" priority="644">
      <formula>IFERROR(FIND("@",G944),-1)&lt;0</formula>
    </cfRule>
  </conditionalFormatting>
  <conditionalFormatting sqref="G958">
    <cfRule type="expression" dxfId="664" priority="641" stopIfTrue="1">
      <formula>ISBLANK(G958)</formula>
    </cfRule>
    <cfRule type="expression" dxfId="663" priority="642">
      <formula>IFERROR(FIND("@",G958),-1)&lt;0</formula>
    </cfRule>
  </conditionalFormatting>
  <conditionalFormatting sqref="G959">
    <cfRule type="expression" dxfId="662" priority="639" stopIfTrue="1">
      <formula>ISBLANK(G959)</formula>
    </cfRule>
    <cfRule type="expression" dxfId="661" priority="640">
      <formula>IFERROR(FIND("@",G959),-1)&lt;0</formula>
    </cfRule>
  </conditionalFormatting>
  <conditionalFormatting sqref="G961">
    <cfRule type="expression" dxfId="660" priority="637" stopIfTrue="1">
      <formula>ISBLANK(G961)</formula>
    </cfRule>
    <cfRule type="expression" dxfId="659" priority="638">
      <formula>IFERROR(FIND("@",G961),-1)&lt;0</formula>
    </cfRule>
  </conditionalFormatting>
  <conditionalFormatting sqref="G967">
    <cfRule type="expression" dxfId="658" priority="635" stopIfTrue="1">
      <formula>ISBLANK(G967)</formula>
    </cfRule>
    <cfRule type="expression" dxfId="657" priority="636">
      <formula>IFERROR(FIND("@",G967),-1)&lt;0</formula>
    </cfRule>
  </conditionalFormatting>
  <conditionalFormatting sqref="G971:G972">
    <cfRule type="expression" dxfId="656" priority="633" stopIfTrue="1">
      <formula>ISBLANK(G971)</formula>
    </cfRule>
    <cfRule type="expression" dxfId="655" priority="634">
      <formula>IFERROR(FIND("@",G971),-1)&lt;0</formula>
    </cfRule>
  </conditionalFormatting>
  <conditionalFormatting sqref="G983">
    <cfRule type="expression" dxfId="654" priority="631" stopIfTrue="1">
      <formula>ISBLANK(G983)</formula>
    </cfRule>
    <cfRule type="expression" dxfId="653" priority="632">
      <formula>IFERROR(FIND("@",G983),-1)&lt;0</formula>
    </cfRule>
  </conditionalFormatting>
  <conditionalFormatting sqref="G998">
    <cfRule type="expression" dxfId="652" priority="629" stopIfTrue="1">
      <formula>ISBLANK(G998)</formula>
    </cfRule>
    <cfRule type="expression" dxfId="651" priority="630">
      <formula>IFERROR(FIND("@",G998),-1)&lt;0</formula>
    </cfRule>
  </conditionalFormatting>
  <conditionalFormatting sqref="G1010">
    <cfRule type="expression" dxfId="650" priority="627" stopIfTrue="1">
      <formula>ISBLANK(G1010)</formula>
    </cfRule>
    <cfRule type="expression" dxfId="649" priority="628">
      <formula>IFERROR(FIND("@",G1010),-1)&lt;0</formula>
    </cfRule>
  </conditionalFormatting>
  <conditionalFormatting sqref="G1017">
    <cfRule type="expression" dxfId="648" priority="625" stopIfTrue="1">
      <formula>ISBLANK(G1017)</formula>
    </cfRule>
    <cfRule type="expression" dxfId="647" priority="626">
      <formula>IFERROR(FIND("@",G1017),-1)&lt;0</formula>
    </cfRule>
  </conditionalFormatting>
  <conditionalFormatting sqref="G1018">
    <cfRule type="expression" dxfId="646" priority="623" stopIfTrue="1">
      <formula>ISBLANK(G1018)</formula>
    </cfRule>
    <cfRule type="expression" dxfId="645" priority="624">
      <formula>IFERROR(FIND("@",G1018),-1)&lt;0</formula>
    </cfRule>
  </conditionalFormatting>
  <conditionalFormatting sqref="G1023">
    <cfRule type="expression" dxfId="644" priority="621" stopIfTrue="1">
      <formula>ISBLANK(G1023)</formula>
    </cfRule>
    <cfRule type="expression" dxfId="643" priority="622">
      <formula>IFERROR(FIND("@",G1023),-1)&lt;0</formula>
    </cfRule>
  </conditionalFormatting>
  <conditionalFormatting sqref="G1024">
    <cfRule type="expression" dxfId="642" priority="619" stopIfTrue="1">
      <formula>ISBLANK(G1024)</formula>
    </cfRule>
    <cfRule type="expression" dxfId="641" priority="620">
      <formula>IFERROR(FIND("@",G1024),-1)&lt;0</formula>
    </cfRule>
  </conditionalFormatting>
  <conditionalFormatting sqref="G1029">
    <cfRule type="expression" dxfId="640" priority="617" stopIfTrue="1">
      <formula>ISBLANK(G1029)</formula>
    </cfRule>
    <cfRule type="expression" dxfId="639" priority="618">
      <formula>IFERROR(FIND("@",G1029),-1)&lt;0</formula>
    </cfRule>
  </conditionalFormatting>
  <conditionalFormatting sqref="G1030">
    <cfRule type="expression" dxfId="638" priority="615" stopIfTrue="1">
      <formula>ISBLANK(G1030)</formula>
    </cfRule>
    <cfRule type="expression" dxfId="637" priority="616">
      <formula>IFERROR(FIND("@",G1030),-1)&lt;0</formula>
    </cfRule>
  </conditionalFormatting>
  <conditionalFormatting sqref="G1033">
    <cfRule type="expression" dxfId="636" priority="613" stopIfTrue="1">
      <formula>ISBLANK(G1033)</formula>
    </cfRule>
    <cfRule type="expression" dxfId="635" priority="614">
      <formula>IFERROR(FIND("@",G1033),-1)&lt;0</formula>
    </cfRule>
  </conditionalFormatting>
  <conditionalFormatting sqref="G1041">
    <cfRule type="expression" dxfId="634" priority="611" stopIfTrue="1">
      <formula>ISBLANK(G1041)</formula>
    </cfRule>
    <cfRule type="expression" dxfId="633" priority="612">
      <formula>IFERROR(FIND("@",G1041),-1)&lt;0</formula>
    </cfRule>
  </conditionalFormatting>
  <conditionalFormatting sqref="G1047">
    <cfRule type="expression" dxfId="632" priority="609" stopIfTrue="1">
      <formula>ISBLANK(G1047)</formula>
    </cfRule>
    <cfRule type="expression" dxfId="631" priority="610">
      <formula>IFERROR(FIND("@",G1047),-1)&lt;0</formula>
    </cfRule>
  </conditionalFormatting>
  <conditionalFormatting sqref="G1048">
    <cfRule type="expression" dxfId="630" priority="607" stopIfTrue="1">
      <formula>ISBLANK(G1048)</formula>
    </cfRule>
    <cfRule type="expression" dxfId="629" priority="608">
      <formula>IFERROR(FIND("@",G1048),-1)&lt;0</formula>
    </cfRule>
  </conditionalFormatting>
  <conditionalFormatting sqref="G1051">
    <cfRule type="expression" dxfId="628" priority="605" stopIfTrue="1">
      <formula>ISBLANK(G1051)</formula>
    </cfRule>
    <cfRule type="expression" dxfId="627" priority="606">
      <formula>IFERROR(FIND("@",G1051),-1)&lt;0</formula>
    </cfRule>
  </conditionalFormatting>
  <conditionalFormatting sqref="G1061">
    <cfRule type="expression" dxfId="626" priority="603" stopIfTrue="1">
      <formula>ISBLANK(G1061)</formula>
    </cfRule>
    <cfRule type="expression" dxfId="625" priority="604">
      <formula>IFERROR(FIND("@",G1061),-1)&lt;0</formula>
    </cfRule>
  </conditionalFormatting>
  <conditionalFormatting sqref="G1066">
    <cfRule type="expression" dxfId="624" priority="601" stopIfTrue="1">
      <formula>ISBLANK(G1066)</formula>
    </cfRule>
    <cfRule type="expression" dxfId="623" priority="602">
      <formula>IFERROR(FIND("@",G1066),-1)&lt;0</formula>
    </cfRule>
  </conditionalFormatting>
  <conditionalFormatting sqref="G1075">
    <cfRule type="expression" dxfId="622" priority="599" stopIfTrue="1">
      <formula>ISBLANK(G1075)</formula>
    </cfRule>
    <cfRule type="expression" dxfId="621" priority="600">
      <formula>IFERROR(FIND("@",G1075),-1)&lt;0</formula>
    </cfRule>
  </conditionalFormatting>
  <conditionalFormatting sqref="G1091">
    <cfRule type="expression" dxfId="620" priority="597" stopIfTrue="1">
      <formula>ISBLANK(G1091)</formula>
    </cfRule>
    <cfRule type="expression" dxfId="619" priority="598">
      <formula>IFERROR(FIND("@",G1091),-1)&lt;0</formula>
    </cfRule>
  </conditionalFormatting>
  <conditionalFormatting sqref="G1099:G1100">
    <cfRule type="expression" dxfId="618" priority="595" stopIfTrue="1">
      <formula>ISBLANK(G1099)</formula>
    </cfRule>
    <cfRule type="expression" dxfId="617" priority="596">
      <formula>IFERROR(FIND("@",G1099),-1)&lt;0</formula>
    </cfRule>
  </conditionalFormatting>
  <conditionalFormatting sqref="G1105">
    <cfRule type="expression" dxfId="616" priority="589" stopIfTrue="1">
      <formula>ISBLANK(G1105)</formula>
    </cfRule>
    <cfRule type="expression" dxfId="615" priority="590">
      <formula>IFERROR(FIND("@",G1105),-1)&lt;0</formula>
    </cfRule>
  </conditionalFormatting>
  <conditionalFormatting sqref="G1111">
    <cfRule type="expression" dxfId="614" priority="587" stopIfTrue="1">
      <formula>ISBLANK(G1111)</formula>
    </cfRule>
    <cfRule type="expression" dxfId="613" priority="588">
      <formula>IFERROR(FIND("@",G1111),-1)&lt;0</formula>
    </cfRule>
  </conditionalFormatting>
  <conditionalFormatting sqref="G1112">
    <cfRule type="expression" dxfId="612" priority="585" stopIfTrue="1">
      <formula>ISBLANK(G1112)</formula>
    </cfRule>
    <cfRule type="expression" dxfId="611" priority="586">
      <formula>IFERROR(FIND("@",G1112),-1)&lt;0</formula>
    </cfRule>
  </conditionalFormatting>
  <conditionalFormatting sqref="G1115:G1116">
    <cfRule type="expression" dxfId="610" priority="583" stopIfTrue="1">
      <formula>ISBLANK(G1115)</formula>
    </cfRule>
    <cfRule type="expression" dxfId="609" priority="584">
      <formula>IFERROR(FIND("@",G1115),-1)&lt;0</formula>
    </cfRule>
  </conditionalFormatting>
  <conditionalFormatting sqref="G1131">
    <cfRule type="expression" dxfId="608" priority="581" stopIfTrue="1">
      <formula>ISBLANK(G1131)</formula>
    </cfRule>
    <cfRule type="expression" dxfId="607" priority="582">
      <formula>IFERROR(FIND("@",G1131),-1)&lt;0</formula>
    </cfRule>
  </conditionalFormatting>
  <conditionalFormatting sqref="G1137">
    <cfRule type="expression" dxfId="606" priority="579" stopIfTrue="1">
      <formula>ISBLANK(G1137)</formula>
    </cfRule>
    <cfRule type="expression" dxfId="605" priority="580">
      <formula>IFERROR(FIND("@",G1137),-1)&lt;0</formula>
    </cfRule>
  </conditionalFormatting>
  <conditionalFormatting sqref="G1139">
    <cfRule type="expression" dxfId="604" priority="577" stopIfTrue="1">
      <formula>ISBLANK(G1139)</formula>
    </cfRule>
    <cfRule type="expression" dxfId="603" priority="578">
      <formula>IFERROR(FIND("@",G1139),-1)&lt;0</formula>
    </cfRule>
  </conditionalFormatting>
  <conditionalFormatting sqref="G1143">
    <cfRule type="expression" dxfId="602" priority="575" stopIfTrue="1">
      <formula>ISBLANK(G1143)</formula>
    </cfRule>
    <cfRule type="expression" dxfId="601" priority="576">
      <formula>IFERROR(FIND("@",G1143),-1)&lt;0</formula>
    </cfRule>
  </conditionalFormatting>
  <conditionalFormatting sqref="G1160">
    <cfRule type="expression" dxfId="600" priority="573" stopIfTrue="1">
      <formula>ISBLANK(G1160)</formula>
    </cfRule>
    <cfRule type="expression" dxfId="599" priority="574">
      <formula>IFERROR(FIND("@",G1160),-1)&lt;0</formula>
    </cfRule>
  </conditionalFormatting>
  <conditionalFormatting sqref="G1161">
    <cfRule type="expression" dxfId="598" priority="571" stopIfTrue="1">
      <formula>ISBLANK(G1161)</formula>
    </cfRule>
    <cfRule type="expression" dxfId="597" priority="572">
      <formula>IFERROR(FIND("@",G1161),-1)&lt;0</formula>
    </cfRule>
  </conditionalFormatting>
  <conditionalFormatting sqref="G1169">
    <cfRule type="expression" dxfId="596" priority="569" stopIfTrue="1">
      <formula>ISBLANK(G1169)</formula>
    </cfRule>
    <cfRule type="expression" dxfId="595" priority="570">
      <formula>IFERROR(FIND("@",G1169),-1)&lt;0</formula>
    </cfRule>
  </conditionalFormatting>
  <conditionalFormatting sqref="G1186">
    <cfRule type="expression" dxfId="594" priority="567" stopIfTrue="1">
      <formula>ISBLANK(G1186)</formula>
    </cfRule>
    <cfRule type="expression" dxfId="593" priority="568">
      <formula>IFERROR(FIND("@",G1186),-1)&lt;0</formula>
    </cfRule>
  </conditionalFormatting>
  <conditionalFormatting sqref="G1190">
    <cfRule type="expression" dxfId="592" priority="565" stopIfTrue="1">
      <formula>ISBLANK(G1190)</formula>
    </cfRule>
    <cfRule type="expression" dxfId="591" priority="566">
      <formula>IFERROR(FIND("@",G1190),-1)&lt;0</formula>
    </cfRule>
  </conditionalFormatting>
  <conditionalFormatting sqref="G1206">
    <cfRule type="expression" dxfId="590" priority="563" stopIfTrue="1">
      <formula>ISBLANK(G1206)</formula>
    </cfRule>
    <cfRule type="expression" dxfId="589" priority="564">
      <formula>IFERROR(FIND("@",G1206),-1)&lt;0</formula>
    </cfRule>
  </conditionalFormatting>
  <conditionalFormatting sqref="G1213">
    <cfRule type="expression" dxfId="588" priority="561" stopIfTrue="1">
      <formula>ISBLANK(G1213)</formula>
    </cfRule>
    <cfRule type="expression" dxfId="587" priority="562">
      <formula>IFERROR(FIND("@",G1213),-1)&lt;0</formula>
    </cfRule>
  </conditionalFormatting>
  <conditionalFormatting sqref="G1216">
    <cfRule type="expression" dxfId="586" priority="559" stopIfTrue="1">
      <formula>ISBLANK(G1216)</formula>
    </cfRule>
    <cfRule type="expression" dxfId="585" priority="560">
      <formula>IFERROR(FIND("@",G1216),-1)&lt;0</formula>
    </cfRule>
  </conditionalFormatting>
  <conditionalFormatting sqref="G1218">
    <cfRule type="expression" dxfId="584" priority="557" stopIfTrue="1">
      <formula>ISBLANK(G1218)</formula>
    </cfRule>
    <cfRule type="expression" dxfId="583" priority="558">
      <formula>IFERROR(FIND("@",G1218),-1)&lt;0</formula>
    </cfRule>
  </conditionalFormatting>
  <conditionalFormatting sqref="G1228">
    <cfRule type="expression" dxfId="582" priority="555" stopIfTrue="1">
      <formula>ISBLANK(G1228)</formula>
    </cfRule>
    <cfRule type="expression" dxfId="581" priority="556">
      <formula>IFERROR(FIND("@",G1228),-1)&lt;0</formula>
    </cfRule>
  </conditionalFormatting>
  <conditionalFormatting sqref="G1229">
    <cfRule type="expression" dxfId="580" priority="553" stopIfTrue="1">
      <formula>ISBLANK(G1229)</formula>
    </cfRule>
    <cfRule type="expression" dxfId="579" priority="554">
      <formula>IFERROR(FIND("@",G1229),-1)&lt;0</formula>
    </cfRule>
  </conditionalFormatting>
  <conditionalFormatting sqref="G1233">
    <cfRule type="expression" dxfId="578" priority="551" stopIfTrue="1">
      <formula>ISBLANK(G1233)</formula>
    </cfRule>
    <cfRule type="expression" dxfId="577" priority="552">
      <formula>IFERROR(FIND("@",G1233),-1)&lt;0</formula>
    </cfRule>
  </conditionalFormatting>
  <conditionalFormatting sqref="G1239">
    <cfRule type="expression" dxfId="576" priority="549" stopIfTrue="1">
      <formula>ISBLANK(G1239)</formula>
    </cfRule>
    <cfRule type="expression" dxfId="575" priority="550">
      <formula>IFERROR(FIND("@",G1239),-1)&lt;0</formula>
    </cfRule>
  </conditionalFormatting>
  <conditionalFormatting sqref="G1248">
    <cfRule type="expression" dxfId="574" priority="547" stopIfTrue="1">
      <formula>ISBLANK(G1248)</formula>
    </cfRule>
    <cfRule type="expression" dxfId="573" priority="548">
      <formula>IFERROR(FIND("@",G1248),-1)&lt;0</formula>
    </cfRule>
  </conditionalFormatting>
  <conditionalFormatting sqref="G1263">
    <cfRule type="expression" dxfId="572" priority="545" stopIfTrue="1">
      <formula>ISBLANK(G1263)</formula>
    </cfRule>
    <cfRule type="expression" dxfId="571" priority="546">
      <formula>IFERROR(FIND("@",G1263),-1)&lt;0</formula>
    </cfRule>
  </conditionalFormatting>
  <conditionalFormatting sqref="G1264">
    <cfRule type="expression" dxfId="570" priority="543" stopIfTrue="1">
      <formula>ISBLANK(G1264)</formula>
    </cfRule>
    <cfRule type="expression" dxfId="569" priority="544">
      <formula>IFERROR(FIND("@",G1264),-1)&lt;0</formula>
    </cfRule>
  </conditionalFormatting>
  <conditionalFormatting sqref="G1271">
    <cfRule type="expression" dxfId="568" priority="541" stopIfTrue="1">
      <formula>ISBLANK(G1271)</formula>
    </cfRule>
    <cfRule type="expression" dxfId="567" priority="542">
      <formula>IFERROR(FIND("@",G1271),-1)&lt;0</formula>
    </cfRule>
  </conditionalFormatting>
  <conditionalFormatting sqref="G1275:G1276">
    <cfRule type="expression" dxfId="566" priority="539" stopIfTrue="1">
      <formula>ISBLANK(G1275)</formula>
    </cfRule>
    <cfRule type="expression" dxfId="565" priority="540">
      <formula>IFERROR(FIND("@",G1275),-1)&lt;0</formula>
    </cfRule>
  </conditionalFormatting>
  <conditionalFormatting sqref="G1277">
    <cfRule type="expression" dxfId="564" priority="537" stopIfTrue="1">
      <formula>ISBLANK(G1277)</formula>
    </cfRule>
    <cfRule type="expression" dxfId="563" priority="538">
      <formula>IFERROR(FIND("@",G1277),-1)&lt;0</formula>
    </cfRule>
  </conditionalFormatting>
  <conditionalFormatting sqref="G1284">
    <cfRule type="expression" dxfId="562" priority="535" stopIfTrue="1">
      <formula>ISBLANK(G1284)</formula>
    </cfRule>
    <cfRule type="expression" dxfId="561" priority="536">
      <formula>IFERROR(FIND("@",G1284),-1)&lt;0</formula>
    </cfRule>
  </conditionalFormatting>
  <conditionalFormatting sqref="G1290">
    <cfRule type="expression" dxfId="560" priority="533" stopIfTrue="1">
      <formula>ISBLANK(G1290)</formula>
    </cfRule>
    <cfRule type="expression" dxfId="559" priority="534">
      <formula>IFERROR(FIND("@",G1290),-1)&lt;0</formula>
    </cfRule>
  </conditionalFormatting>
  <conditionalFormatting sqref="G1311:G1312">
    <cfRule type="expression" dxfId="558" priority="531" stopIfTrue="1">
      <formula>ISBLANK(G1311)</formula>
    </cfRule>
    <cfRule type="expression" dxfId="557" priority="532">
      <formula>IFERROR(FIND("@",G1311),-1)&lt;0</formula>
    </cfRule>
  </conditionalFormatting>
  <conditionalFormatting sqref="G1315:G1316">
    <cfRule type="expression" dxfId="556" priority="529" stopIfTrue="1">
      <formula>ISBLANK(G1315)</formula>
    </cfRule>
    <cfRule type="expression" dxfId="555" priority="530">
      <formula>IFERROR(FIND("@",G1315),-1)&lt;0</formula>
    </cfRule>
  </conditionalFormatting>
  <conditionalFormatting sqref="G1319:G1320">
    <cfRule type="expression" dxfId="554" priority="527" stopIfTrue="1">
      <formula>ISBLANK(G1319)</formula>
    </cfRule>
    <cfRule type="expression" dxfId="553" priority="528">
      <formula>IFERROR(FIND("@",G1319),-1)&lt;0</formula>
    </cfRule>
  </conditionalFormatting>
  <conditionalFormatting sqref="G1335">
    <cfRule type="expression" dxfId="552" priority="525" stopIfTrue="1">
      <formula>ISBLANK(G1335)</formula>
    </cfRule>
    <cfRule type="expression" dxfId="551" priority="526">
      <formula>IFERROR(FIND("@",G1335),-1)&lt;0</formula>
    </cfRule>
  </conditionalFormatting>
  <conditionalFormatting sqref="G1349">
    <cfRule type="expression" dxfId="550" priority="523" stopIfTrue="1">
      <formula>ISBLANK(G1349)</formula>
    </cfRule>
    <cfRule type="expression" dxfId="549" priority="524">
      <formula>IFERROR(FIND("@",G1349),-1)&lt;0</formula>
    </cfRule>
  </conditionalFormatting>
  <conditionalFormatting sqref="G1350">
    <cfRule type="expression" dxfId="548" priority="521" stopIfTrue="1">
      <formula>ISBLANK(G1350)</formula>
    </cfRule>
    <cfRule type="expression" dxfId="547" priority="522">
      <formula>IFERROR(FIND("@",G1350),-1)&lt;0</formula>
    </cfRule>
  </conditionalFormatting>
  <conditionalFormatting sqref="G1365">
    <cfRule type="expression" dxfId="546" priority="519" stopIfTrue="1">
      <formula>ISBLANK(G1365)</formula>
    </cfRule>
    <cfRule type="expression" dxfId="545" priority="520">
      <formula>IFERROR(FIND("@",G1365),-1)&lt;0</formula>
    </cfRule>
  </conditionalFormatting>
  <conditionalFormatting sqref="G1368">
    <cfRule type="expression" dxfId="544" priority="517" stopIfTrue="1">
      <formula>ISBLANK(G1368)</formula>
    </cfRule>
    <cfRule type="expression" dxfId="543" priority="518">
      <formula>IFERROR(FIND("@",G1368),-1)&lt;0</formula>
    </cfRule>
  </conditionalFormatting>
  <conditionalFormatting sqref="G1373">
    <cfRule type="expression" dxfId="542" priority="515" stopIfTrue="1">
      <formula>ISBLANK(G1373)</formula>
    </cfRule>
    <cfRule type="expression" dxfId="541" priority="516">
      <formula>IFERROR(FIND("@",G1373),-1)&lt;0</formula>
    </cfRule>
  </conditionalFormatting>
  <conditionalFormatting sqref="G1383">
    <cfRule type="expression" dxfId="540" priority="513" stopIfTrue="1">
      <formula>ISBLANK(G1383)</formula>
    </cfRule>
    <cfRule type="expression" dxfId="539" priority="514">
      <formula>IFERROR(FIND("@",G1383),-1)&lt;0</formula>
    </cfRule>
  </conditionalFormatting>
  <conditionalFormatting sqref="G1387">
    <cfRule type="expression" dxfId="538" priority="511" stopIfTrue="1">
      <formula>ISBLANK(G1387)</formula>
    </cfRule>
    <cfRule type="expression" dxfId="537" priority="512">
      <formula>IFERROR(FIND("@",G1387),-1)&lt;0</formula>
    </cfRule>
  </conditionalFormatting>
  <conditionalFormatting sqref="G1388">
    <cfRule type="expression" dxfId="536" priority="509" stopIfTrue="1">
      <formula>ISBLANK(G1388)</formula>
    </cfRule>
    <cfRule type="expression" dxfId="535" priority="510">
      <formula>IFERROR(FIND("@",G1388),-1)&lt;0</formula>
    </cfRule>
  </conditionalFormatting>
  <conditionalFormatting sqref="G1394">
    <cfRule type="expression" dxfId="534" priority="507" stopIfTrue="1">
      <formula>ISBLANK(G1394)</formula>
    </cfRule>
    <cfRule type="expression" dxfId="533" priority="508">
      <formula>IFERROR(FIND("@",G1394),-1)&lt;0</formula>
    </cfRule>
  </conditionalFormatting>
  <conditionalFormatting sqref="G1396">
    <cfRule type="expression" dxfId="532" priority="505" stopIfTrue="1">
      <formula>ISBLANK(G1396)</formula>
    </cfRule>
    <cfRule type="expression" dxfId="531" priority="506">
      <formula>IFERROR(FIND("@",G1396),-1)&lt;0</formula>
    </cfRule>
  </conditionalFormatting>
  <conditionalFormatting sqref="G1400">
    <cfRule type="expression" dxfId="530" priority="503" stopIfTrue="1">
      <formula>ISBLANK(G1400)</formula>
    </cfRule>
    <cfRule type="expression" dxfId="529" priority="504">
      <formula>IFERROR(FIND("@",G1400),-1)&lt;0</formula>
    </cfRule>
  </conditionalFormatting>
  <conditionalFormatting sqref="G1407">
    <cfRule type="expression" dxfId="528" priority="501" stopIfTrue="1">
      <formula>ISBLANK(G1407)</formula>
    </cfRule>
    <cfRule type="expression" dxfId="527" priority="502">
      <formula>IFERROR(FIND("@",G1407),-1)&lt;0</formula>
    </cfRule>
  </conditionalFormatting>
  <conditionalFormatting sqref="G1413">
    <cfRule type="expression" dxfId="526" priority="499" stopIfTrue="1">
      <formula>ISBLANK(G1413)</formula>
    </cfRule>
    <cfRule type="expression" dxfId="525" priority="500">
      <formula>IFERROR(FIND("@",G1413),-1)&lt;0</formula>
    </cfRule>
  </conditionalFormatting>
  <conditionalFormatting sqref="G1420">
    <cfRule type="expression" dxfId="524" priority="497" stopIfTrue="1">
      <formula>ISBLANK(G1420)</formula>
    </cfRule>
    <cfRule type="expression" dxfId="523" priority="498">
      <formula>IFERROR(FIND("@",G1420),-1)&lt;0</formula>
    </cfRule>
  </conditionalFormatting>
  <conditionalFormatting sqref="G1421">
    <cfRule type="expression" dxfId="522" priority="495" stopIfTrue="1">
      <formula>ISBLANK(G1421)</formula>
    </cfRule>
    <cfRule type="expression" dxfId="521" priority="496">
      <formula>IFERROR(FIND("@",G1421),-1)&lt;0</formula>
    </cfRule>
  </conditionalFormatting>
  <conditionalFormatting sqref="G1438">
    <cfRule type="expression" dxfId="520" priority="493" stopIfTrue="1">
      <formula>ISBLANK(G1438)</formula>
    </cfRule>
    <cfRule type="expression" dxfId="519" priority="494">
      <formula>IFERROR(FIND("@",G1438),-1)&lt;0</formula>
    </cfRule>
  </conditionalFormatting>
  <conditionalFormatting sqref="G1450">
    <cfRule type="expression" dxfId="518" priority="491" stopIfTrue="1">
      <formula>ISBLANK(G1450)</formula>
    </cfRule>
    <cfRule type="expression" dxfId="517" priority="492">
      <formula>IFERROR(FIND("@",G1450),-1)&lt;0</formula>
    </cfRule>
  </conditionalFormatting>
  <conditionalFormatting sqref="G1451:G1452">
    <cfRule type="expression" dxfId="516" priority="489" stopIfTrue="1">
      <formula>ISBLANK(G1451)</formula>
    </cfRule>
    <cfRule type="expression" dxfId="515" priority="490">
      <formula>IFERROR(FIND("@",G1451),-1)&lt;0</formula>
    </cfRule>
  </conditionalFormatting>
  <conditionalFormatting sqref="G1458">
    <cfRule type="expression" dxfId="514" priority="487" stopIfTrue="1">
      <formula>ISBLANK(G1458)</formula>
    </cfRule>
    <cfRule type="expression" dxfId="513" priority="488">
      <formula>IFERROR(FIND("@",G1458),-1)&lt;0</formula>
    </cfRule>
  </conditionalFormatting>
  <conditionalFormatting sqref="G1459">
    <cfRule type="expression" dxfId="512" priority="485" stopIfTrue="1">
      <formula>ISBLANK(G1459)</formula>
    </cfRule>
    <cfRule type="expression" dxfId="511" priority="486">
      <formula>IFERROR(FIND("@",G1459),-1)&lt;0</formula>
    </cfRule>
  </conditionalFormatting>
  <conditionalFormatting sqref="G1460">
    <cfRule type="expression" dxfId="510" priority="483" stopIfTrue="1">
      <formula>ISBLANK(G1460)</formula>
    </cfRule>
    <cfRule type="expression" dxfId="509" priority="484">
      <formula>IFERROR(FIND("@",G1460),-1)&lt;0</formula>
    </cfRule>
  </conditionalFormatting>
  <conditionalFormatting sqref="G1462">
    <cfRule type="expression" dxfId="508" priority="481" stopIfTrue="1">
      <formula>ISBLANK(G1462)</formula>
    </cfRule>
    <cfRule type="expression" dxfId="507" priority="482">
      <formula>IFERROR(FIND("@",G1462),-1)&lt;0</formula>
    </cfRule>
  </conditionalFormatting>
  <conditionalFormatting sqref="G1468">
    <cfRule type="expression" dxfId="506" priority="479" stopIfTrue="1">
      <formula>ISBLANK(G1468)</formula>
    </cfRule>
    <cfRule type="expression" dxfId="505" priority="480">
      <formula>IFERROR(FIND("@",G1468),-1)&lt;0</formula>
    </cfRule>
  </conditionalFormatting>
  <conditionalFormatting sqref="G1474">
    <cfRule type="expression" dxfId="504" priority="477" stopIfTrue="1">
      <formula>ISBLANK(G1474)</formula>
    </cfRule>
    <cfRule type="expression" dxfId="503" priority="478">
      <formula>IFERROR(FIND("@",G1474),-1)&lt;0</formula>
    </cfRule>
  </conditionalFormatting>
  <conditionalFormatting sqref="G1475">
    <cfRule type="expression" dxfId="502" priority="475" stopIfTrue="1">
      <formula>ISBLANK(G1475)</formula>
    </cfRule>
    <cfRule type="expression" dxfId="501" priority="476">
      <formula>IFERROR(FIND("@",G1475),-1)&lt;0</formula>
    </cfRule>
  </conditionalFormatting>
  <conditionalFormatting sqref="G1494">
    <cfRule type="expression" dxfId="500" priority="473" stopIfTrue="1">
      <formula>ISBLANK(G1494)</formula>
    </cfRule>
    <cfRule type="expression" dxfId="499" priority="474">
      <formula>IFERROR(FIND("@",G1494),-1)&lt;0</formula>
    </cfRule>
  </conditionalFormatting>
  <conditionalFormatting sqref="G1510:G1511">
    <cfRule type="expression" dxfId="498" priority="471" stopIfTrue="1">
      <formula>ISBLANK(G1510)</formula>
    </cfRule>
    <cfRule type="expression" dxfId="497" priority="472">
      <formula>IFERROR(FIND("@",G1510),-1)&lt;0</formula>
    </cfRule>
  </conditionalFormatting>
  <conditionalFormatting sqref="G1528:G1529">
    <cfRule type="expression" dxfId="496" priority="469" stopIfTrue="1">
      <formula>ISBLANK(G1528)</formula>
    </cfRule>
    <cfRule type="expression" dxfId="495" priority="470">
      <formula>IFERROR(FIND("@",G1528),-1)&lt;0</formula>
    </cfRule>
  </conditionalFormatting>
  <conditionalFormatting sqref="G1538:G1539">
    <cfRule type="expression" dxfId="494" priority="467" stopIfTrue="1">
      <formula>ISBLANK(G1538)</formula>
    </cfRule>
    <cfRule type="expression" dxfId="493" priority="468">
      <formula>IFERROR(FIND("@",G1538),-1)&lt;0</formula>
    </cfRule>
  </conditionalFormatting>
  <conditionalFormatting sqref="G1543:G1544">
    <cfRule type="expression" dxfId="492" priority="465" stopIfTrue="1">
      <formula>ISBLANK(G1543)</formula>
    </cfRule>
    <cfRule type="expression" dxfId="491" priority="466">
      <formula>IFERROR(FIND("@",G1543),-1)&lt;0</formula>
    </cfRule>
  </conditionalFormatting>
  <conditionalFormatting sqref="G1547">
    <cfRule type="expression" dxfId="490" priority="463" stopIfTrue="1">
      <formula>ISBLANK(G1547)</formula>
    </cfRule>
    <cfRule type="expression" dxfId="489" priority="464">
      <formula>IFERROR(FIND("@",G1547),-1)&lt;0</formula>
    </cfRule>
  </conditionalFormatting>
  <conditionalFormatting sqref="G1551">
    <cfRule type="expression" dxfId="488" priority="461" stopIfTrue="1">
      <formula>ISBLANK(G1551)</formula>
    </cfRule>
    <cfRule type="expression" dxfId="487" priority="462">
      <formula>IFERROR(FIND("@",G1551),-1)&lt;0</formula>
    </cfRule>
  </conditionalFormatting>
  <conditionalFormatting sqref="G1553">
    <cfRule type="expression" dxfId="486" priority="459" stopIfTrue="1">
      <formula>ISBLANK(G1553)</formula>
    </cfRule>
    <cfRule type="expression" dxfId="485" priority="460">
      <formula>IFERROR(FIND("@",G1553),-1)&lt;0</formula>
    </cfRule>
  </conditionalFormatting>
  <conditionalFormatting sqref="G1563">
    <cfRule type="expression" dxfId="484" priority="457" stopIfTrue="1">
      <formula>ISBLANK(G1563)</formula>
    </cfRule>
    <cfRule type="expression" dxfId="483" priority="458">
      <formula>IFERROR(FIND("@",G1563),-1)&lt;0</formula>
    </cfRule>
  </conditionalFormatting>
  <conditionalFormatting sqref="G1564">
    <cfRule type="expression" dxfId="482" priority="455" stopIfTrue="1">
      <formula>ISBLANK(G1564)</formula>
    </cfRule>
    <cfRule type="expression" dxfId="481" priority="456">
      <formula>IFERROR(FIND("@",G1564),-1)&lt;0</formula>
    </cfRule>
  </conditionalFormatting>
  <conditionalFormatting sqref="G1565">
    <cfRule type="expression" dxfId="480" priority="453" stopIfTrue="1">
      <formula>ISBLANK(G1565)</formula>
    </cfRule>
    <cfRule type="expression" dxfId="479" priority="454">
      <formula>IFERROR(FIND("@",G1565),-1)&lt;0</formula>
    </cfRule>
  </conditionalFormatting>
  <conditionalFormatting sqref="G1572">
    <cfRule type="expression" dxfId="478" priority="451" stopIfTrue="1">
      <formula>ISBLANK(G1572)</formula>
    </cfRule>
    <cfRule type="expression" dxfId="477" priority="452">
      <formula>IFERROR(FIND("@",G1572),-1)&lt;0</formula>
    </cfRule>
  </conditionalFormatting>
  <conditionalFormatting sqref="G1578">
    <cfRule type="expression" dxfId="476" priority="449" stopIfTrue="1">
      <formula>ISBLANK(G1578)</formula>
    </cfRule>
    <cfRule type="expression" dxfId="475" priority="450">
      <formula>IFERROR(FIND("@",G1578),-1)&lt;0</formula>
    </cfRule>
  </conditionalFormatting>
  <conditionalFormatting sqref="G1581">
    <cfRule type="expression" dxfId="474" priority="447" stopIfTrue="1">
      <formula>ISBLANK(G1581)</formula>
    </cfRule>
    <cfRule type="expression" dxfId="473" priority="448">
      <formula>IFERROR(FIND("@",G1581),-1)&lt;0</formula>
    </cfRule>
  </conditionalFormatting>
  <conditionalFormatting sqref="G1596">
    <cfRule type="expression" dxfId="472" priority="445" stopIfTrue="1">
      <formula>ISBLANK(G1596)</formula>
    </cfRule>
    <cfRule type="expression" dxfId="471" priority="446">
      <formula>IFERROR(FIND("@",G1596),-1)&lt;0</formula>
    </cfRule>
  </conditionalFormatting>
  <conditionalFormatting sqref="G1597">
    <cfRule type="expression" dxfId="470" priority="443" stopIfTrue="1">
      <formula>ISBLANK(G1597)</formula>
    </cfRule>
    <cfRule type="expression" dxfId="469" priority="444">
      <formula>IFERROR(FIND("@",G1597),-1)&lt;0</formula>
    </cfRule>
  </conditionalFormatting>
  <conditionalFormatting sqref="G1604">
    <cfRule type="expression" dxfId="468" priority="441" stopIfTrue="1">
      <formula>ISBLANK(G1604)</formula>
    </cfRule>
    <cfRule type="expression" dxfId="467" priority="442">
      <formula>IFERROR(FIND("@",G1604),-1)&lt;0</formula>
    </cfRule>
  </conditionalFormatting>
  <conditionalFormatting sqref="G1613">
    <cfRule type="expression" dxfId="466" priority="437" stopIfTrue="1">
      <formula>ISBLANK(G1613)</formula>
    </cfRule>
    <cfRule type="expression" dxfId="465" priority="438">
      <formula>IFERROR(FIND("@",G1613),-1)&lt;0</formula>
    </cfRule>
  </conditionalFormatting>
  <conditionalFormatting sqref="G1614">
    <cfRule type="expression" dxfId="464" priority="435" stopIfTrue="1">
      <formula>ISBLANK(G1614)</formula>
    </cfRule>
    <cfRule type="expression" dxfId="463" priority="436">
      <formula>IFERROR(FIND("@",G1614),-1)&lt;0</formula>
    </cfRule>
  </conditionalFormatting>
  <conditionalFormatting sqref="G1617">
    <cfRule type="expression" dxfId="462" priority="433" stopIfTrue="1">
      <formula>ISBLANK(G1617)</formula>
    </cfRule>
    <cfRule type="expression" dxfId="461" priority="434">
      <formula>IFERROR(FIND("@",G1617),-1)&lt;0</formula>
    </cfRule>
  </conditionalFormatting>
  <conditionalFormatting sqref="G1618">
    <cfRule type="expression" dxfId="460" priority="431" stopIfTrue="1">
      <formula>ISBLANK(G1618)</formula>
    </cfRule>
    <cfRule type="expression" dxfId="459" priority="432">
      <formula>IFERROR(FIND("@",G1618),-1)&lt;0</formula>
    </cfRule>
  </conditionalFormatting>
  <conditionalFormatting sqref="G1619">
    <cfRule type="expression" dxfId="458" priority="429" stopIfTrue="1">
      <formula>ISBLANK(G1619)</formula>
    </cfRule>
    <cfRule type="expression" dxfId="457" priority="430">
      <formula>IFERROR(FIND("@",G1619),-1)&lt;0</formula>
    </cfRule>
  </conditionalFormatting>
  <conditionalFormatting sqref="G1623">
    <cfRule type="expression" dxfId="456" priority="427" stopIfTrue="1">
      <formula>ISBLANK(G1623)</formula>
    </cfRule>
    <cfRule type="expression" dxfId="455" priority="428">
      <formula>IFERROR(FIND("@",G1623),-1)&lt;0</formula>
    </cfRule>
  </conditionalFormatting>
  <conditionalFormatting sqref="G1644">
    <cfRule type="expression" dxfId="454" priority="425" stopIfTrue="1">
      <formula>ISBLANK(G1644)</formula>
    </cfRule>
    <cfRule type="expression" dxfId="453" priority="426">
      <formula>IFERROR(FIND("@",G1644),-1)&lt;0</formula>
    </cfRule>
  </conditionalFormatting>
  <conditionalFormatting sqref="G1651">
    <cfRule type="expression" dxfId="452" priority="423" stopIfTrue="1">
      <formula>ISBLANK(G1651)</formula>
    </cfRule>
    <cfRule type="expression" dxfId="451" priority="424">
      <formula>IFERROR(FIND("@",G1651),-1)&lt;0</formula>
    </cfRule>
  </conditionalFormatting>
  <conditionalFormatting sqref="G1659">
    <cfRule type="expression" dxfId="450" priority="421" stopIfTrue="1">
      <formula>ISBLANK(G1659)</formula>
    </cfRule>
    <cfRule type="expression" dxfId="449" priority="422">
      <formula>IFERROR(FIND("@",G1659),-1)&lt;0</formula>
    </cfRule>
  </conditionalFormatting>
  <conditionalFormatting sqref="G1660">
    <cfRule type="expression" dxfId="448" priority="419" stopIfTrue="1">
      <formula>ISBLANK(G1660)</formula>
    </cfRule>
    <cfRule type="expression" dxfId="447" priority="420">
      <formula>IFERROR(FIND("@",G1660),-1)&lt;0</formula>
    </cfRule>
  </conditionalFormatting>
  <conditionalFormatting sqref="G1669">
    <cfRule type="expression" dxfId="446" priority="417" stopIfTrue="1">
      <formula>ISBLANK(G1669)</formula>
    </cfRule>
    <cfRule type="expression" dxfId="445" priority="418">
      <formula>IFERROR(FIND("@",G1669),-1)&lt;0</formula>
    </cfRule>
  </conditionalFormatting>
  <conditionalFormatting sqref="G1676">
    <cfRule type="expression" dxfId="444" priority="415" stopIfTrue="1">
      <formula>ISBLANK(G1676)</formula>
    </cfRule>
    <cfRule type="expression" dxfId="443" priority="416">
      <formula>IFERROR(FIND("@",G1676),-1)&lt;0</formula>
    </cfRule>
  </conditionalFormatting>
  <conditionalFormatting sqref="G1685">
    <cfRule type="expression" dxfId="442" priority="413" stopIfTrue="1">
      <formula>ISBLANK(G1685)</formula>
    </cfRule>
    <cfRule type="expression" dxfId="441" priority="414">
      <formula>IFERROR(FIND("@",G1685),-1)&lt;0</formula>
    </cfRule>
  </conditionalFormatting>
  <conditionalFormatting sqref="G1691">
    <cfRule type="expression" dxfId="440" priority="411" stopIfTrue="1">
      <formula>ISBLANK(G1691)</formula>
    </cfRule>
    <cfRule type="expression" dxfId="439" priority="412">
      <formula>IFERROR(FIND("@",G1691),-1)&lt;0</formula>
    </cfRule>
  </conditionalFormatting>
  <conditionalFormatting sqref="G1698:G1699">
    <cfRule type="expression" dxfId="438" priority="409" stopIfTrue="1">
      <formula>ISBLANK(G1698)</formula>
    </cfRule>
    <cfRule type="expression" dxfId="437" priority="410">
      <formula>IFERROR(FIND("@",G1698),-1)&lt;0</formula>
    </cfRule>
  </conditionalFormatting>
  <conditionalFormatting sqref="G1704">
    <cfRule type="expression" dxfId="436" priority="407" stopIfTrue="1">
      <formula>ISBLANK(G1704)</formula>
    </cfRule>
    <cfRule type="expression" dxfId="435" priority="408">
      <formula>IFERROR(FIND("@",G1704),-1)&lt;0</formula>
    </cfRule>
  </conditionalFormatting>
  <conditionalFormatting sqref="G1709">
    <cfRule type="expression" dxfId="434" priority="405" stopIfTrue="1">
      <formula>ISBLANK(G1709)</formula>
    </cfRule>
    <cfRule type="expression" dxfId="433" priority="406">
      <formula>IFERROR(FIND("@",G1709),-1)&lt;0</formula>
    </cfRule>
  </conditionalFormatting>
  <conditionalFormatting sqref="G1718">
    <cfRule type="expression" dxfId="432" priority="403" stopIfTrue="1">
      <formula>ISBLANK(G1718)</formula>
    </cfRule>
    <cfRule type="expression" dxfId="431" priority="404">
      <formula>IFERROR(FIND("@",G1718),-1)&lt;0</formula>
    </cfRule>
  </conditionalFormatting>
  <conditionalFormatting sqref="G1723">
    <cfRule type="expression" dxfId="430" priority="401" stopIfTrue="1">
      <formula>ISBLANK(G1723)</formula>
    </cfRule>
    <cfRule type="expression" dxfId="429" priority="402">
      <formula>IFERROR(FIND("@",G1723),-1)&lt;0</formula>
    </cfRule>
  </conditionalFormatting>
  <conditionalFormatting sqref="G1727">
    <cfRule type="expression" dxfId="428" priority="399" stopIfTrue="1">
      <formula>ISBLANK(G1727)</formula>
    </cfRule>
    <cfRule type="expression" dxfId="427" priority="400">
      <formula>IFERROR(FIND("@",G1727),-1)&lt;0</formula>
    </cfRule>
  </conditionalFormatting>
  <conditionalFormatting sqref="G1729">
    <cfRule type="expression" dxfId="426" priority="397" stopIfTrue="1">
      <formula>ISBLANK(G1729)</formula>
    </cfRule>
    <cfRule type="expression" dxfId="425" priority="398">
      <formula>IFERROR(FIND("@",G1729),-1)&lt;0</formula>
    </cfRule>
  </conditionalFormatting>
  <conditionalFormatting sqref="G1736">
    <cfRule type="expression" dxfId="424" priority="395" stopIfTrue="1">
      <formula>ISBLANK(G1736)</formula>
    </cfRule>
    <cfRule type="expression" dxfId="423" priority="396">
      <formula>IFERROR(FIND("@",G1736),-1)&lt;0</formula>
    </cfRule>
  </conditionalFormatting>
  <conditionalFormatting sqref="G1757">
    <cfRule type="expression" dxfId="422" priority="393" stopIfTrue="1">
      <formula>ISBLANK(G1757)</formula>
    </cfRule>
    <cfRule type="expression" dxfId="421" priority="394">
      <formula>IFERROR(FIND("@",G1757),-1)&lt;0</formula>
    </cfRule>
  </conditionalFormatting>
  <conditionalFormatting sqref="G1758">
    <cfRule type="expression" dxfId="420" priority="391" stopIfTrue="1">
      <formula>ISBLANK(G1758)</formula>
    </cfRule>
    <cfRule type="expression" dxfId="419" priority="392">
      <formula>IFERROR(FIND("@",G1758),-1)&lt;0</formula>
    </cfRule>
  </conditionalFormatting>
  <conditionalFormatting sqref="G1759">
    <cfRule type="expression" dxfId="418" priority="389" stopIfTrue="1">
      <formula>ISBLANK(G1759)</formula>
    </cfRule>
    <cfRule type="expression" dxfId="417" priority="390">
      <formula>IFERROR(FIND("@",G1759),-1)&lt;0</formula>
    </cfRule>
  </conditionalFormatting>
  <conditionalFormatting sqref="G1770">
    <cfRule type="expression" dxfId="416" priority="387" stopIfTrue="1">
      <formula>ISBLANK(G1770)</formula>
    </cfRule>
    <cfRule type="expression" dxfId="415" priority="388">
      <formula>IFERROR(FIND("@",G1770),-1)&lt;0</formula>
    </cfRule>
  </conditionalFormatting>
  <conditionalFormatting sqref="G1774">
    <cfRule type="expression" dxfId="414" priority="385" stopIfTrue="1">
      <formula>ISBLANK(G1774)</formula>
    </cfRule>
    <cfRule type="expression" dxfId="413" priority="386">
      <formula>IFERROR(FIND("@",G1774),-1)&lt;0</formula>
    </cfRule>
  </conditionalFormatting>
  <conditionalFormatting sqref="G1781">
    <cfRule type="expression" dxfId="412" priority="383" stopIfTrue="1">
      <formula>ISBLANK(G1781)</formula>
    </cfRule>
    <cfRule type="expression" dxfId="411" priority="384">
      <formula>IFERROR(FIND("@",G1781),-1)&lt;0</formula>
    </cfRule>
  </conditionalFormatting>
  <conditionalFormatting sqref="G1783">
    <cfRule type="expression" dxfId="410" priority="381" stopIfTrue="1">
      <formula>ISBLANK(G1783)</formula>
    </cfRule>
    <cfRule type="expression" dxfId="409" priority="382">
      <formula>IFERROR(FIND("@",G1783),-1)&lt;0</formula>
    </cfRule>
  </conditionalFormatting>
  <conditionalFormatting sqref="G1800">
    <cfRule type="expression" dxfId="408" priority="379" stopIfTrue="1">
      <formula>ISBLANK(G1800)</formula>
    </cfRule>
    <cfRule type="expression" dxfId="407" priority="380">
      <formula>IFERROR(FIND("@",G1800),-1)&lt;0</formula>
    </cfRule>
  </conditionalFormatting>
  <conditionalFormatting sqref="G1801">
    <cfRule type="expression" dxfId="406" priority="377" stopIfTrue="1">
      <formula>ISBLANK(G1801)</formula>
    </cfRule>
    <cfRule type="expression" dxfId="405" priority="378">
      <formula>IFERROR(FIND("@",G1801),-1)&lt;0</formula>
    </cfRule>
  </conditionalFormatting>
  <conditionalFormatting sqref="G1806">
    <cfRule type="expression" dxfId="404" priority="375" stopIfTrue="1">
      <formula>ISBLANK(G1806)</formula>
    </cfRule>
    <cfRule type="expression" dxfId="403" priority="376">
      <formula>IFERROR(FIND("@",G1806),-1)&lt;0</formula>
    </cfRule>
  </conditionalFormatting>
  <conditionalFormatting sqref="G1813">
    <cfRule type="expression" dxfId="402" priority="373" stopIfTrue="1">
      <formula>ISBLANK(G1813)</formula>
    </cfRule>
    <cfRule type="expression" dxfId="401" priority="374">
      <formula>IFERROR(FIND("@",G1813),-1)&lt;0</formula>
    </cfRule>
  </conditionalFormatting>
  <conditionalFormatting sqref="G1820">
    <cfRule type="expression" dxfId="400" priority="371" stopIfTrue="1">
      <formula>ISBLANK(G1820)</formula>
    </cfRule>
    <cfRule type="expression" dxfId="399" priority="372">
      <formula>IFERROR(FIND("@",G1820),-1)&lt;0</formula>
    </cfRule>
  </conditionalFormatting>
  <conditionalFormatting sqref="G1824">
    <cfRule type="expression" dxfId="398" priority="369" stopIfTrue="1">
      <formula>ISBLANK(G1824)</formula>
    </cfRule>
    <cfRule type="expression" dxfId="397" priority="370">
      <formula>IFERROR(FIND("@",G1824),-1)&lt;0</formula>
    </cfRule>
  </conditionalFormatting>
  <conditionalFormatting sqref="G1829">
    <cfRule type="expression" dxfId="396" priority="367" stopIfTrue="1">
      <formula>ISBLANK(G1829)</formula>
    </cfRule>
    <cfRule type="expression" dxfId="395" priority="368">
      <formula>IFERROR(FIND("@",G1829),-1)&lt;0</formula>
    </cfRule>
  </conditionalFormatting>
  <conditionalFormatting sqref="G1832">
    <cfRule type="expression" dxfId="394" priority="365" stopIfTrue="1">
      <formula>ISBLANK(G1832)</formula>
    </cfRule>
    <cfRule type="expression" dxfId="393" priority="366">
      <formula>IFERROR(FIND("@",G1832),-1)&lt;0</formula>
    </cfRule>
  </conditionalFormatting>
  <conditionalFormatting sqref="G1835">
    <cfRule type="expression" dxfId="392" priority="363" stopIfTrue="1">
      <formula>ISBLANK(G1835)</formula>
    </cfRule>
    <cfRule type="expression" dxfId="391" priority="364">
      <formula>IFERROR(FIND("@",G1835),-1)&lt;0</formula>
    </cfRule>
  </conditionalFormatting>
  <conditionalFormatting sqref="G1842">
    <cfRule type="expression" dxfId="390" priority="361" stopIfTrue="1">
      <formula>ISBLANK(G1842)</formula>
    </cfRule>
    <cfRule type="expression" dxfId="389" priority="362">
      <formula>IFERROR(FIND("@",G1842),-1)&lt;0</formula>
    </cfRule>
  </conditionalFormatting>
  <conditionalFormatting sqref="G1851">
    <cfRule type="expression" dxfId="388" priority="359" stopIfTrue="1">
      <formula>ISBLANK(G1851)</formula>
    </cfRule>
    <cfRule type="expression" dxfId="387" priority="360">
      <formula>IFERROR(FIND("@",G1851),-1)&lt;0</formula>
    </cfRule>
  </conditionalFormatting>
  <conditionalFormatting sqref="G1854">
    <cfRule type="expression" dxfId="386" priority="357" stopIfTrue="1">
      <formula>ISBLANK(G1854)</formula>
    </cfRule>
    <cfRule type="expression" dxfId="385" priority="358">
      <formula>IFERROR(FIND("@",G1854),-1)&lt;0</formula>
    </cfRule>
  </conditionalFormatting>
  <conditionalFormatting sqref="G1865">
    <cfRule type="expression" dxfId="384" priority="355" stopIfTrue="1">
      <formula>ISBLANK(G1865)</formula>
    </cfRule>
    <cfRule type="expression" dxfId="383" priority="356">
      <formula>IFERROR(FIND("@",G1865),-1)&lt;0</formula>
    </cfRule>
  </conditionalFormatting>
  <conditionalFormatting sqref="G1868">
    <cfRule type="expression" dxfId="382" priority="353" stopIfTrue="1">
      <formula>ISBLANK(G1868)</formula>
    </cfRule>
    <cfRule type="expression" dxfId="381" priority="354">
      <formula>IFERROR(FIND("@",G1868),-1)&lt;0</formula>
    </cfRule>
  </conditionalFormatting>
  <conditionalFormatting sqref="G1875">
    <cfRule type="expression" dxfId="380" priority="351" stopIfTrue="1">
      <formula>ISBLANK(G1875)</formula>
    </cfRule>
    <cfRule type="expression" dxfId="379" priority="352">
      <formula>IFERROR(FIND("@",G1875),-1)&lt;0</formula>
    </cfRule>
  </conditionalFormatting>
  <conditionalFormatting sqref="G1877">
    <cfRule type="expression" dxfId="378" priority="349" stopIfTrue="1">
      <formula>ISBLANK(G1877)</formula>
    </cfRule>
    <cfRule type="expression" dxfId="377" priority="350">
      <formula>IFERROR(FIND("@",G1877),-1)&lt;0</formula>
    </cfRule>
  </conditionalFormatting>
  <conditionalFormatting sqref="G1888">
    <cfRule type="expression" dxfId="376" priority="347" stopIfTrue="1">
      <formula>ISBLANK(G1888)</formula>
    </cfRule>
    <cfRule type="expression" dxfId="375" priority="348">
      <formula>IFERROR(FIND("@",G1888),-1)&lt;0</formula>
    </cfRule>
  </conditionalFormatting>
  <conditionalFormatting sqref="G1895">
    <cfRule type="expression" dxfId="374" priority="345" stopIfTrue="1">
      <formula>ISBLANK(G1895)</formula>
    </cfRule>
    <cfRule type="expression" dxfId="373" priority="346">
      <formula>IFERROR(FIND("@",G1895),-1)&lt;0</formula>
    </cfRule>
  </conditionalFormatting>
  <conditionalFormatting sqref="G1896">
    <cfRule type="expression" dxfId="372" priority="343" stopIfTrue="1">
      <formula>ISBLANK(G1896)</formula>
    </cfRule>
    <cfRule type="expression" dxfId="371" priority="344">
      <formula>IFERROR(FIND("@",G1896),-1)&lt;0</formula>
    </cfRule>
  </conditionalFormatting>
  <conditionalFormatting sqref="G1912">
    <cfRule type="expression" dxfId="370" priority="341" stopIfTrue="1">
      <formula>ISBLANK(G1912)</formula>
    </cfRule>
    <cfRule type="expression" dxfId="369" priority="342">
      <formula>IFERROR(FIND("@",G1912),-1)&lt;0</formula>
    </cfRule>
  </conditionalFormatting>
  <conditionalFormatting sqref="G1914">
    <cfRule type="expression" dxfId="368" priority="339" stopIfTrue="1">
      <formula>ISBLANK(G1914)</formula>
    </cfRule>
    <cfRule type="expression" dxfId="367" priority="340">
      <formula>IFERROR(FIND("@",G1914),-1)&lt;0</formula>
    </cfRule>
  </conditionalFormatting>
  <conditionalFormatting sqref="G1923">
    <cfRule type="expression" dxfId="366" priority="337" stopIfTrue="1">
      <formula>ISBLANK(G1923)</formula>
    </cfRule>
    <cfRule type="expression" dxfId="365" priority="338">
      <formula>IFERROR(FIND("@",G1923),-1)&lt;0</formula>
    </cfRule>
  </conditionalFormatting>
  <conditionalFormatting sqref="G1939">
    <cfRule type="expression" dxfId="364" priority="335" stopIfTrue="1">
      <formula>ISBLANK(G1939)</formula>
    </cfRule>
    <cfRule type="expression" dxfId="363" priority="336">
      <formula>IFERROR(FIND("@",G1939),-1)&lt;0</formula>
    </cfRule>
  </conditionalFormatting>
  <conditionalFormatting sqref="G1942">
    <cfRule type="expression" dxfId="362" priority="333" stopIfTrue="1">
      <formula>ISBLANK(G1942)</formula>
    </cfRule>
    <cfRule type="expression" dxfId="361" priority="334">
      <formula>IFERROR(FIND("@",G1942),-1)&lt;0</formula>
    </cfRule>
  </conditionalFormatting>
  <conditionalFormatting sqref="G1944">
    <cfRule type="expression" dxfId="360" priority="331" stopIfTrue="1">
      <formula>ISBLANK(G1944)</formula>
    </cfRule>
    <cfRule type="expression" dxfId="359" priority="332">
      <formula>IFERROR(FIND("@",G1944),-1)&lt;0</formula>
    </cfRule>
  </conditionalFormatting>
  <conditionalFormatting sqref="G1945">
    <cfRule type="expression" dxfId="358" priority="329" stopIfTrue="1">
      <formula>ISBLANK(G1945)</formula>
    </cfRule>
    <cfRule type="expression" dxfId="357" priority="330">
      <formula>IFERROR(FIND("@",G1945),-1)&lt;0</formula>
    </cfRule>
  </conditionalFormatting>
  <conditionalFormatting sqref="G1960">
    <cfRule type="expression" dxfId="356" priority="327" stopIfTrue="1">
      <formula>ISBLANK(G1960)</formula>
    </cfRule>
    <cfRule type="expression" dxfId="355" priority="328">
      <formula>IFERROR(FIND("@",G1960),-1)&lt;0</formula>
    </cfRule>
  </conditionalFormatting>
  <conditionalFormatting sqref="G1964">
    <cfRule type="expression" dxfId="354" priority="325" stopIfTrue="1">
      <formula>ISBLANK(G1964)</formula>
    </cfRule>
    <cfRule type="expression" dxfId="353" priority="326">
      <formula>IFERROR(FIND("@",G1964),-1)&lt;0</formula>
    </cfRule>
  </conditionalFormatting>
  <conditionalFormatting sqref="G1992">
    <cfRule type="expression" dxfId="352" priority="323" stopIfTrue="1">
      <formula>ISBLANK(G1992)</formula>
    </cfRule>
    <cfRule type="expression" dxfId="351" priority="324">
      <formula>IFERROR(FIND("@",G1992),-1)&lt;0</formula>
    </cfRule>
  </conditionalFormatting>
  <conditionalFormatting sqref="G1996">
    <cfRule type="expression" dxfId="350" priority="321" stopIfTrue="1">
      <formula>ISBLANK(G1996)</formula>
    </cfRule>
    <cfRule type="expression" dxfId="349" priority="322">
      <formula>IFERROR(FIND("@",G1996),-1)&lt;0</formula>
    </cfRule>
  </conditionalFormatting>
  <conditionalFormatting sqref="G1999">
    <cfRule type="expression" dxfId="348" priority="319" stopIfTrue="1">
      <formula>ISBLANK(G1999)</formula>
    </cfRule>
    <cfRule type="expression" dxfId="347" priority="320">
      <formula>IFERROR(FIND("@",G1999),-1)&lt;0</formula>
    </cfRule>
  </conditionalFormatting>
  <conditionalFormatting sqref="G2001">
    <cfRule type="expression" dxfId="346" priority="317" stopIfTrue="1">
      <formula>ISBLANK(G2001)</formula>
    </cfRule>
    <cfRule type="expression" dxfId="345" priority="318">
      <formula>IFERROR(FIND("@",G2001),-1)&lt;0</formula>
    </cfRule>
  </conditionalFormatting>
  <conditionalFormatting sqref="G2003">
    <cfRule type="expression" dxfId="344" priority="315" stopIfTrue="1">
      <formula>ISBLANK(G2003)</formula>
    </cfRule>
    <cfRule type="expression" dxfId="343" priority="316">
      <formula>IFERROR(FIND("@",G2003),-1)&lt;0</formula>
    </cfRule>
  </conditionalFormatting>
  <conditionalFormatting sqref="G2007">
    <cfRule type="expression" dxfId="342" priority="313" stopIfTrue="1">
      <formula>ISBLANK(G2007)</formula>
    </cfRule>
    <cfRule type="expression" dxfId="341" priority="314">
      <formula>IFERROR(FIND("@",G2007),-1)&lt;0</formula>
    </cfRule>
  </conditionalFormatting>
  <conditionalFormatting sqref="G2033">
    <cfRule type="expression" dxfId="340" priority="311" stopIfTrue="1">
      <formula>ISBLANK(G2033)</formula>
    </cfRule>
    <cfRule type="expression" dxfId="339" priority="312">
      <formula>IFERROR(FIND("@",G2033),-1)&lt;0</formula>
    </cfRule>
  </conditionalFormatting>
  <conditionalFormatting sqref="G2038">
    <cfRule type="expression" dxfId="338" priority="309" stopIfTrue="1">
      <formula>ISBLANK(G2038)</formula>
    </cfRule>
    <cfRule type="expression" dxfId="337" priority="310">
      <formula>IFERROR(FIND("@",G2038),-1)&lt;0</formula>
    </cfRule>
  </conditionalFormatting>
  <conditionalFormatting sqref="G2039">
    <cfRule type="expression" dxfId="336" priority="307" stopIfTrue="1">
      <formula>ISBLANK(G2039)</formula>
    </cfRule>
    <cfRule type="expression" dxfId="335" priority="308">
      <formula>IFERROR(FIND("@",G2039),-1)&lt;0</formula>
    </cfRule>
  </conditionalFormatting>
  <conditionalFormatting sqref="G2042">
    <cfRule type="expression" dxfId="334" priority="305" stopIfTrue="1">
      <formula>ISBLANK(G2042)</formula>
    </cfRule>
    <cfRule type="expression" dxfId="333" priority="306">
      <formula>IFERROR(FIND("@",G2042),-1)&lt;0</formula>
    </cfRule>
  </conditionalFormatting>
  <conditionalFormatting sqref="G2043">
    <cfRule type="expression" dxfId="332" priority="303" stopIfTrue="1">
      <formula>ISBLANK(G2043)</formula>
    </cfRule>
    <cfRule type="expression" dxfId="331" priority="304">
      <formula>IFERROR(FIND("@",G2043),-1)&lt;0</formula>
    </cfRule>
  </conditionalFormatting>
  <conditionalFormatting sqref="G2045">
    <cfRule type="expression" dxfId="330" priority="301" stopIfTrue="1">
      <formula>ISBLANK(G2045)</formula>
    </cfRule>
    <cfRule type="expression" dxfId="329" priority="302">
      <formula>IFERROR(FIND("@",G2045),-1)&lt;0</formula>
    </cfRule>
  </conditionalFormatting>
  <conditionalFormatting sqref="G2051">
    <cfRule type="expression" dxfId="328" priority="299" stopIfTrue="1">
      <formula>ISBLANK(G2051)</formula>
    </cfRule>
    <cfRule type="expression" dxfId="327" priority="300">
      <formula>IFERROR(FIND("@",G2051),-1)&lt;0</formula>
    </cfRule>
  </conditionalFormatting>
  <conditionalFormatting sqref="G2052">
    <cfRule type="expression" dxfId="326" priority="297" stopIfTrue="1">
      <formula>ISBLANK(G2052)</formula>
    </cfRule>
    <cfRule type="expression" dxfId="325" priority="298">
      <formula>IFERROR(FIND("@",G2052),-1)&lt;0</formula>
    </cfRule>
  </conditionalFormatting>
  <conditionalFormatting sqref="G2055">
    <cfRule type="expression" dxfId="324" priority="295" stopIfTrue="1">
      <formula>ISBLANK(G2055)</formula>
    </cfRule>
    <cfRule type="expression" dxfId="323" priority="296">
      <formula>IFERROR(FIND("@",G2055),-1)&lt;0</formula>
    </cfRule>
  </conditionalFormatting>
  <conditionalFormatting sqref="G2066">
    <cfRule type="expression" dxfId="322" priority="293" stopIfTrue="1">
      <formula>ISBLANK(G2066)</formula>
    </cfRule>
    <cfRule type="expression" dxfId="321" priority="294">
      <formula>IFERROR(FIND("@",G2066),-1)&lt;0</formula>
    </cfRule>
  </conditionalFormatting>
  <conditionalFormatting sqref="G2072">
    <cfRule type="expression" dxfId="320" priority="291" stopIfTrue="1">
      <formula>ISBLANK(G2072)</formula>
    </cfRule>
    <cfRule type="expression" dxfId="319" priority="292">
      <formula>IFERROR(FIND("@",G2072),-1)&lt;0</formula>
    </cfRule>
  </conditionalFormatting>
  <conditionalFormatting sqref="G2080">
    <cfRule type="expression" dxfId="318" priority="289" stopIfTrue="1">
      <formula>ISBLANK(G2080)</formula>
    </cfRule>
    <cfRule type="expression" dxfId="317" priority="290">
      <formula>IFERROR(FIND("@",G2080),-1)&lt;0</formula>
    </cfRule>
  </conditionalFormatting>
  <conditionalFormatting sqref="G2085">
    <cfRule type="expression" dxfId="316" priority="285" stopIfTrue="1">
      <formula>ISBLANK(G2085)</formula>
    </cfRule>
    <cfRule type="expression" dxfId="315" priority="286">
      <formula>IFERROR(FIND("@",G2085),-1)&lt;0</formula>
    </cfRule>
  </conditionalFormatting>
  <conditionalFormatting sqref="G2092">
    <cfRule type="expression" dxfId="314" priority="283" stopIfTrue="1">
      <formula>ISBLANK(G2092)</formula>
    </cfRule>
    <cfRule type="expression" dxfId="313" priority="284">
      <formula>IFERROR(FIND("@",G2092),-1)&lt;0</formula>
    </cfRule>
  </conditionalFormatting>
  <conditionalFormatting sqref="G2113">
    <cfRule type="expression" dxfId="312" priority="281" stopIfTrue="1">
      <formula>ISBLANK(G2113)</formula>
    </cfRule>
    <cfRule type="expression" dxfId="311" priority="282">
      <formula>IFERROR(FIND("@",G2113),-1)&lt;0</formula>
    </cfRule>
  </conditionalFormatting>
  <conditionalFormatting sqref="G2114">
    <cfRule type="expression" dxfId="310" priority="279" stopIfTrue="1">
      <formula>ISBLANK(G2114)</formula>
    </cfRule>
    <cfRule type="expression" dxfId="309" priority="280">
      <formula>IFERROR(FIND("@",G2114),-1)&lt;0</formula>
    </cfRule>
  </conditionalFormatting>
  <conditionalFormatting sqref="G2127">
    <cfRule type="expression" dxfId="308" priority="277" stopIfTrue="1">
      <formula>ISBLANK(G2127)</formula>
    </cfRule>
    <cfRule type="expression" dxfId="307" priority="278">
      <formula>IFERROR(FIND("@",G2127),-1)&lt;0</formula>
    </cfRule>
  </conditionalFormatting>
  <conditionalFormatting sqref="G2130">
    <cfRule type="expression" dxfId="306" priority="275" stopIfTrue="1">
      <formula>ISBLANK(G2130)</formula>
    </cfRule>
    <cfRule type="expression" dxfId="305" priority="276">
      <formula>IFERROR(FIND("@",G2130),-1)&lt;0</formula>
    </cfRule>
  </conditionalFormatting>
  <conditionalFormatting sqref="G2137">
    <cfRule type="expression" dxfId="304" priority="273" stopIfTrue="1">
      <formula>ISBLANK(G2137)</formula>
    </cfRule>
    <cfRule type="expression" dxfId="303" priority="274">
      <formula>IFERROR(FIND("@",G2137),-1)&lt;0</formula>
    </cfRule>
  </conditionalFormatting>
  <conditionalFormatting sqref="G2139">
    <cfRule type="expression" dxfId="302" priority="271" stopIfTrue="1">
      <formula>ISBLANK(G2139)</formula>
    </cfRule>
    <cfRule type="expression" dxfId="301" priority="272">
      <formula>IFERROR(FIND("@",G2139),-1)&lt;0</formula>
    </cfRule>
  </conditionalFormatting>
  <conditionalFormatting sqref="G2146">
    <cfRule type="expression" dxfId="300" priority="269" stopIfTrue="1">
      <formula>ISBLANK(G2146)</formula>
    </cfRule>
    <cfRule type="expression" dxfId="299" priority="270">
      <formula>IFERROR(FIND("@",G2146),-1)&lt;0</formula>
    </cfRule>
  </conditionalFormatting>
  <conditionalFormatting sqref="G2149">
    <cfRule type="expression" dxfId="298" priority="267" stopIfTrue="1">
      <formula>ISBLANK(G2149)</formula>
    </cfRule>
    <cfRule type="expression" dxfId="297" priority="268">
      <formula>IFERROR(FIND("@",G2149),-1)&lt;0</formula>
    </cfRule>
  </conditionalFormatting>
  <conditionalFormatting sqref="G2151">
    <cfRule type="expression" dxfId="296" priority="265" stopIfTrue="1">
      <formula>ISBLANK(G2151)</formula>
    </cfRule>
    <cfRule type="expression" dxfId="295" priority="266">
      <formula>IFERROR(FIND("@",G2151),-1)&lt;0</formula>
    </cfRule>
  </conditionalFormatting>
  <conditionalFormatting sqref="G2158">
    <cfRule type="expression" dxfId="294" priority="263" stopIfTrue="1">
      <formula>ISBLANK(G2158)</formula>
    </cfRule>
    <cfRule type="expression" dxfId="293" priority="264">
      <formula>IFERROR(FIND("@",G2158),-1)&lt;0</formula>
    </cfRule>
  </conditionalFormatting>
  <conditionalFormatting sqref="G2164">
    <cfRule type="expression" dxfId="292" priority="261" stopIfTrue="1">
      <formula>ISBLANK(G2164)</formula>
    </cfRule>
    <cfRule type="expression" dxfId="291" priority="262">
      <formula>IFERROR(FIND("@",G2164),-1)&lt;0</formula>
    </cfRule>
  </conditionalFormatting>
  <conditionalFormatting sqref="G2166">
    <cfRule type="expression" dxfId="290" priority="259" stopIfTrue="1">
      <formula>ISBLANK(G2166)</formula>
    </cfRule>
    <cfRule type="expression" dxfId="289" priority="260">
      <formula>IFERROR(FIND("@",G2166),-1)&lt;0</formula>
    </cfRule>
  </conditionalFormatting>
  <conditionalFormatting sqref="G2167">
    <cfRule type="expression" dxfId="288" priority="257" stopIfTrue="1">
      <formula>ISBLANK(G2167)</formula>
    </cfRule>
    <cfRule type="expression" dxfId="287" priority="258">
      <formula>IFERROR(FIND("@",G2167),-1)&lt;0</formula>
    </cfRule>
  </conditionalFormatting>
  <conditionalFormatting sqref="G2199">
    <cfRule type="expression" dxfId="286" priority="255" stopIfTrue="1">
      <formula>ISBLANK(G2199)</formula>
    </cfRule>
    <cfRule type="expression" dxfId="285" priority="256">
      <formula>IFERROR(FIND("@",G2199),-1)&lt;0</formula>
    </cfRule>
  </conditionalFormatting>
  <conditionalFormatting sqref="G2218">
    <cfRule type="expression" dxfId="284" priority="253" stopIfTrue="1">
      <formula>ISBLANK(G2218)</formula>
    </cfRule>
    <cfRule type="expression" dxfId="283" priority="254">
      <formula>IFERROR(FIND("@",G2218),-1)&lt;0</formula>
    </cfRule>
  </conditionalFormatting>
  <conditionalFormatting sqref="G2223">
    <cfRule type="expression" dxfId="282" priority="251" stopIfTrue="1">
      <formula>ISBLANK(G2223)</formula>
    </cfRule>
    <cfRule type="expression" dxfId="281" priority="252">
      <formula>IFERROR(FIND("@",G2223),-1)&lt;0</formula>
    </cfRule>
  </conditionalFormatting>
  <conditionalFormatting sqref="G2227">
    <cfRule type="expression" dxfId="280" priority="249" stopIfTrue="1">
      <formula>ISBLANK(G2227)</formula>
    </cfRule>
    <cfRule type="expression" dxfId="279" priority="250">
      <formula>IFERROR(FIND("@",G2227),-1)&lt;0</formula>
    </cfRule>
  </conditionalFormatting>
  <conditionalFormatting sqref="G2231">
    <cfRule type="expression" dxfId="278" priority="247" stopIfTrue="1">
      <formula>ISBLANK(G2231)</formula>
    </cfRule>
    <cfRule type="expression" dxfId="277" priority="248">
      <formula>IFERROR(FIND("@",G2231),-1)&lt;0</formula>
    </cfRule>
  </conditionalFormatting>
  <conditionalFormatting sqref="G2232">
    <cfRule type="expression" dxfId="276" priority="245" stopIfTrue="1">
      <formula>ISBLANK(G2232)</formula>
    </cfRule>
    <cfRule type="expression" dxfId="275" priority="246">
      <formula>IFERROR(FIND("@",G2232),-1)&lt;0</formula>
    </cfRule>
  </conditionalFormatting>
  <conditionalFormatting sqref="G2234">
    <cfRule type="expression" dxfId="274" priority="243" stopIfTrue="1">
      <formula>ISBLANK(G2234)</formula>
    </cfRule>
    <cfRule type="expression" dxfId="273" priority="244">
      <formula>IFERROR(FIND("@",G2234),-1)&lt;0</formula>
    </cfRule>
  </conditionalFormatting>
  <conditionalFormatting sqref="G2235">
    <cfRule type="expression" dxfId="272" priority="241" stopIfTrue="1">
      <formula>ISBLANK(G2235)</formula>
    </cfRule>
    <cfRule type="expression" dxfId="271" priority="242">
      <formula>IFERROR(FIND("@",G2235),-1)&lt;0</formula>
    </cfRule>
  </conditionalFormatting>
  <conditionalFormatting sqref="G2263">
    <cfRule type="expression" dxfId="270" priority="239" stopIfTrue="1">
      <formula>ISBLANK(G2263)</formula>
    </cfRule>
    <cfRule type="expression" dxfId="269" priority="240">
      <formula>IFERROR(FIND("@",G2263),-1)&lt;0</formula>
    </cfRule>
  </conditionalFormatting>
  <conditionalFormatting sqref="G2265">
    <cfRule type="expression" dxfId="268" priority="237" stopIfTrue="1">
      <formula>ISBLANK(G2265)</formula>
    </cfRule>
    <cfRule type="expression" dxfId="267" priority="238">
      <formula>IFERROR(FIND("@",G2265),-1)&lt;0</formula>
    </cfRule>
  </conditionalFormatting>
  <conditionalFormatting sqref="G2275">
    <cfRule type="expression" dxfId="266" priority="235" stopIfTrue="1">
      <formula>ISBLANK(G2275)</formula>
    </cfRule>
    <cfRule type="expression" dxfId="265" priority="236">
      <formula>IFERROR(FIND("@",G2275),-1)&lt;0</formula>
    </cfRule>
  </conditionalFormatting>
  <conditionalFormatting sqref="G2276">
    <cfRule type="expression" dxfId="264" priority="233" stopIfTrue="1">
      <formula>ISBLANK(G2276)</formula>
    </cfRule>
    <cfRule type="expression" dxfId="263" priority="234">
      <formula>IFERROR(FIND("@",G2276),-1)&lt;0</formula>
    </cfRule>
  </conditionalFormatting>
  <conditionalFormatting sqref="G2285">
    <cfRule type="expression" dxfId="262" priority="231" stopIfTrue="1">
      <formula>ISBLANK(G2285)</formula>
    </cfRule>
    <cfRule type="expression" dxfId="261" priority="232">
      <formula>IFERROR(FIND("@",G2285),-1)&lt;0</formula>
    </cfRule>
  </conditionalFormatting>
  <conditionalFormatting sqref="G2294">
    <cfRule type="expression" dxfId="260" priority="229" stopIfTrue="1">
      <formula>ISBLANK(G2294)</formula>
    </cfRule>
    <cfRule type="expression" dxfId="259" priority="230">
      <formula>IFERROR(FIND("@",G2294),-1)&lt;0</formula>
    </cfRule>
  </conditionalFormatting>
  <conditionalFormatting sqref="G2279">
    <cfRule type="expression" dxfId="258" priority="227" stopIfTrue="1">
      <formula>ISBLANK(G2279)</formula>
    </cfRule>
    <cfRule type="expression" dxfId="257" priority="228">
      <formula>IFERROR(FIND("@",G2279),-1)&lt;0</formula>
    </cfRule>
  </conditionalFormatting>
  <conditionalFormatting sqref="G2303">
    <cfRule type="expression" dxfId="256" priority="225" stopIfTrue="1">
      <formula>ISBLANK(G2303)</formula>
    </cfRule>
    <cfRule type="expression" dxfId="255" priority="226">
      <formula>IFERROR(FIND("@",G2303),-1)&lt;0</formula>
    </cfRule>
  </conditionalFormatting>
  <conditionalFormatting sqref="G2315">
    <cfRule type="expression" dxfId="254" priority="223" stopIfTrue="1">
      <formula>ISBLANK(G2315)</formula>
    </cfRule>
    <cfRule type="expression" dxfId="253" priority="224">
      <formula>IFERROR(FIND("@",G2315),-1)&lt;0</formula>
    </cfRule>
  </conditionalFormatting>
  <conditionalFormatting sqref="G2327">
    <cfRule type="expression" dxfId="252" priority="221" stopIfTrue="1">
      <formula>ISBLANK(G2327)</formula>
    </cfRule>
    <cfRule type="expression" dxfId="251" priority="222">
      <formula>IFERROR(FIND("@",G2327),-1)&lt;0</formula>
    </cfRule>
  </conditionalFormatting>
  <conditionalFormatting sqref="G2339">
    <cfRule type="expression" dxfId="250" priority="219" stopIfTrue="1">
      <formula>ISBLANK(G2339)</formula>
    </cfRule>
    <cfRule type="expression" dxfId="249" priority="220">
      <formula>IFERROR(FIND("@",G2339),-1)&lt;0</formula>
    </cfRule>
  </conditionalFormatting>
  <conditionalFormatting sqref="G2344:G2345">
    <cfRule type="expression" dxfId="248" priority="217" stopIfTrue="1">
      <formula>ISBLANK(G2344)</formula>
    </cfRule>
    <cfRule type="expression" dxfId="247" priority="218">
      <formula>IFERROR(FIND("@",G2344),-1)&lt;0</formula>
    </cfRule>
  </conditionalFormatting>
  <conditionalFormatting sqref="G2353">
    <cfRule type="expression" dxfId="246" priority="215" stopIfTrue="1">
      <formula>ISBLANK(G2353)</formula>
    </cfRule>
    <cfRule type="expression" dxfId="245" priority="216">
      <formula>IFERROR(FIND("@",G2353),-1)&lt;0</formula>
    </cfRule>
  </conditionalFormatting>
  <conditionalFormatting sqref="G2354">
    <cfRule type="expression" dxfId="244" priority="213" stopIfTrue="1">
      <formula>ISBLANK(G2354)</formula>
    </cfRule>
    <cfRule type="expression" dxfId="243" priority="214">
      <formula>IFERROR(FIND("@",G2354),-1)&lt;0</formula>
    </cfRule>
  </conditionalFormatting>
  <conditionalFormatting sqref="G2359">
    <cfRule type="expression" dxfId="242" priority="211" stopIfTrue="1">
      <formula>ISBLANK(G2359)</formula>
    </cfRule>
    <cfRule type="expression" dxfId="241" priority="212">
      <formula>IFERROR(FIND("@",G2359),-1)&lt;0</formula>
    </cfRule>
  </conditionalFormatting>
  <conditionalFormatting sqref="G2364">
    <cfRule type="expression" dxfId="240" priority="209" stopIfTrue="1">
      <formula>ISBLANK(G2364)</formula>
    </cfRule>
    <cfRule type="expression" dxfId="239" priority="210">
      <formula>IFERROR(FIND("@",G2364),-1)&lt;0</formula>
    </cfRule>
  </conditionalFormatting>
  <conditionalFormatting sqref="G2368">
    <cfRule type="expression" dxfId="238" priority="207" stopIfTrue="1">
      <formula>ISBLANK(G2368)</formula>
    </cfRule>
    <cfRule type="expression" dxfId="237" priority="208">
      <formula>IFERROR(FIND("@",G2368),-1)&lt;0</formula>
    </cfRule>
  </conditionalFormatting>
  <conditionalFormatting sqref="G2369">
    <cfRule type="expression" dxfId="236" priority="205" stopIfTrue="1">
      <formula>ISBLANK(G2369)</formula>
    </cfRule>
    <cfRule type="expression" dxfId="235" priority="206">
      <formula>IFERROR(FIND("@",G2369),-1)&lt;0</formula>
    </cfRule>
  </conditionalFormatting>
  <conditionalFormatting sqref="G2377">
    <cfRule type="expression" dxfId="234" priority="203" stopIfTrue="1">
      <formula>ISBLANK(G2377)</formula>
    </cfRule>
    <cfRule type="expression" dxfId="233" priority="204">
      <formula>IFERROR(FIND("@",G2377),-1)&lt;0</formula>
    </cfRule>
  </conditionalFormatting>
  <conditionalFormatting sqref="G2378">
    <cfRule type="expression" dxfId="232" priority="201" stopIfTrue="1">
      <formula>ISBLANK(G2378)</formula>
    </cfRule>
    <cfRule type="expression" dxfId="231" priority="202">
      <formula>IFERROR(FIND("@",G2378),-1)&lt;0</formula>
    </cfRule>
  </conditionalFormatting>
  <conditionalFormatting sqref="G2379">
    <cfRule type="expression" dxfId="230" priority="199" stopIfTrue="1">
      <formula>ISBLANK(G2379)</formula>
    </cfRule>
    <cfRule type="expression" dxfId="229" priority="200">
      <formula>IFERROR(FIND("@",G2379),-1)&lt;0</formula>
    </cfRule>
  </conditionalFormatting>
  <conditionalFormatting sqref="G2382">
    <cfRule type="expression" dxfId="228" priority="197" stopIfTrue="1">
      <formula>ISBLANK(G2382)</formula>
    </cfRule>
    <cfRule type="expression" dxfId="227" priority="198">
      <formula>IFERROR(FIND("@",G2382),-1)&lt;0</formula>
    </cfRule>
  </conditionalFormatting>
  <conditionalFormatting sqref="G2389">
    <cfRule type="expression" dxfId="226" priority="195" stopIfTrue="1">
      <formula>ISBLANK(G2389)</formula>
    </cfRule>
    <cfRule type="expression" dxfId="225" priority="196">
      <formula>IFERROR(FIND("@",G2389),-1)&lt;0</formula>
    </cfRule>
  </conditionalFormatting>
  <conditionalFormatting sqref="G2407">
    <cfRule type="expression" dxfId="224" priority="193" stopIfTrue="1">
      <formula>ISBLANK(G2407)</formula>
    </cfRule>
    <cfRule type="expression" dxfId="223" priority="194">
      <formula>IFERROR(FIND("@",G2407),-1)&lt;0</formula>
    </cfRule>
  </conditionalFormatting>
  <conditionalFormatting sqref="G2416">
    <cfRule type="expression" dxfId="222" priority="191" stopIfTrue="1">
      <formula>ISBLANK(G2416)</formula>
    </cfRule>
    <cfRule type="expression" dxfId="221" priority="192">
      <formula>IFERROR(FIND("@",G2416),-1)&lt;0</formula>
    </cfRule>
  </conditionalFormatting>
  <conditionalFormatting sqref="G2417">
    <cfRule type="expression" dxfId="220" priority="189" stopIfTrue="1">
      <formula>ISBLANK(G2417)</formula>
    </cfRule>
    <cfRule type="expression" dxfId="219" priority="190">
      <formula>IFERROR(FIND("@",G2417),-1)&lt;0</formula>
    </cfRule>
  </conditionalFormatting>
  <conditionalFormatting sqref="G2449">
    <cfRule type="expression" dxfId="218" priority="187" stopIfTrue="1">
      <formula>ISBLANK(G2449)</formula>
    </cfRule>
    <cfRule type="expression" dxfId="217" priority="188">
      <formula>IFERROR(FIND("@",G2449),-1)&lt;0</formula>
    </cfRule>
  </conditionalFormatting>
  <conditionalFormatting sqref="G2451">
    <cfRule type="expression" dxfId="216" priority="185" stopIfTrue="1">
      <formula>ISBLANK(G2451)</formula>
    </cfRule>
    <cfRule type="expression" dxfId="215" priority="186">
      <formula>IFERROR(FIND("@",G2451),-1)&lt;0</formula>
    </cfRule>
  </conditionalFormatting>
  <conditionalFormatting sqref="G2455">
    <cfRule type="expression" dxfId="214" priority="183" stopIfTrue="1">
      <formula>ISBLANK(G2455)</formula>
    </cfRule>
    <cfRule type="expression" dxfId="213" priority="184">
      <formula>IFERROR(FIND("@",G2455),-1)&lt;0</formula>
    </cfRule>
  </conditionalFormatting>
  <conditionalFormatting sqref="G2459">
    <cfRule type="expression" dxfId="212" priority="181" stopIfTrue="1">
      <formula>ISBLANK(G2459)</formula>
    </cfRule>
    <cfRule type="expression" dxfId="211" priority="182">
      <formula>IFERROR(FIND("@",G2459),-1)&lt;0</formula>
    </cfRule>
  </conditionalFormatting>
  <conditionalFormatting sqref="G2470">
    <cfRule type="expression" dxfId="210" priority="179" stopIfTrue="1">
      <formula>ISBLANK(G2470)</formula>
    </cfRule>
    <cfRule type="expression" dxfId="209" priority="180">
      <formula>IFERROR(FIND("@",G2470),-1)&lt;0</formula>
    </cfRule>
  </conditionalFormatting>
  <conditionalFormatting sqref="G2475">
    <cfRule type="expression" dxfId="208" priority="177" stopIfTrue="1">
      <formula>ISBLANK(G2475)</formula>
    </cfRule>
    <cfRule type="expression" dxfId="207" priority="178">
      <formula>IFERROR(FIND("@",G2475),-1)&lt;0</formula>
    </cfRule>
  </conditionalFormatting>
  <conditionalFormatting sqref="G2478:G2479">
    <cfRule type="expression" dxfId="206" priority="175" stopIfTrue="1">
      <formula>ISBLANK(G2478)</formula>
    </cfRule>
    <cfRule type="expression" dxfId="205" priority="176">
      <formula>IFERROR(FIND("@",G2478),-1)&lt;0</formula>
    </cfRule>
  </conditionalFormatting>
  <conditionalFormatting sqref="G2485">
    <cfRule type="expression" dxfId="204" priority="173" stopIfTrue="1">
      <formula>ISBLANK(G2485)</formula>
    </cfRule>
    <cfRule type="expression" dxfId="203" priority="174">
      <formula>IFERROR(FIND("@",G2485),-1)&lt;0</formula>
    </cfRule>
  </conditionalFormatting>
  <conditionalFormatting sqref="G2491">
    <cfRule type="expression" dxfId="202" priority="171" stopIfTrue="1">
      <formula>ISBLANK(G2491)</formula>
    </cfRule>
    <cfRule type="expression" dxfId="201" priority="172">
      <formula>IFERROR(FIND("@",G2491),-1)&lt;0</formula>
    </cfRule>
  </conditionalFormatting>
  <conditionalFormatting sqref="G2495">
    <cfRule type="expression" dxfId="200" priority="169" stopIfTrue="1">
      <formula>ISBLANK(G2495)</formula>
    </cfRule>
    <cfRule type="expression" dxfId="199" priority="170">
      <formula>IFERROR(FIND("@",G2495),-1)&lt;0</formula>
    </cfRule>
  </conditionalFormatting>
  <conditionalFormatting sqref="G2499">
    <cfRule type="expression" dxfId="198" priority="167" stopIfTrue="1">
      <formula>ISBLANK(G2499)</formula>
    </cfRule>
    <cfRule type="expression" dxfId="197" priority="168">
      <formula>IFERROR(FIND("@",G2499),-1)&lt;0</formula>
    </cfRule>
  </conditionalFormatting>
  <conditionalFormatting sqref="G2524">
    <cfRule type="expression" dxfId="196" priority="165" stopIfTrue="1">
      <formula>ISBLANK(G2524)</formula>
    </cfRule>
    <cfRule type="expression" dxfId="195" priority="166">
      <formula>IFERROR(FIND("@",G2524),-1)&lt;0</formula>
    </cfRule>
  </conditionalFormatting>
  <conditionalFormatting sqref="G2525">
    <cfRule type="expression" dxfId="194" priority="163" stopIfTrue="1">
      <formula>ISBLANK(G2525)</formula>
    </cfRule>
    <cfRule type="expression" dxfId="193" priority="164">
      <formula>IFERROR(FIND("@",G2525),-1)&lt;0</formula>
    </cfRule>
  </conditionalFormatting>
  <conditionalFormatting sqref="G2530">
    <cfRule type="expression" dxfId="192" priority="161" stopIfTrue="1">
      <formula>ISBLANK(G2530)</formula>
    </cfRule>
    <cfRule type="expression" dxfId="191" priority="162">
      <formula>IFERROR(FIND("@",G2530),-1)&lt;0</formula>
    </cfRule>
  </conditionalFormatting>
  <conditionalFormatting sqref="G2545">
    <cfRule type="expression" dxfId="190" priority="159" stopIfTrue="1">
      <formula>ISBLANK(G2545)</formula>
    </cfRule>
    <cfRule type="expression" dxfId="189" priority="160">
      <formula>IFERROR(FIND("@",G2545),-1)&lt;0</formula>
    </cfRule>
  </conditionalFormatting>
  <conditionalFormatting sqref="G2550">
    <cfRule type="expression" dxfId="188" priority="155" stopIfTrue="1">
      <formula>ISBLANK(G2550)</formula>
    </cfRule>
    <cfRule type="expression" dxfId="187" priority="156">
      <formula>IFERROR(FIND("@",G2550),-1)&lt;0</formula>
    </cfRule>
  </conditionalFormatting>
  <conditionalFormatting sqref="G2554">
    <cfRule type="expression" dxfId="186" priority="153" stopIfTrue="1">
      <formula>ISBLANK(G2554)</formula>
    </cfRule>
    <cfRule type="expression" dxfId="185" priority="154">
      <formula>IFERROR(FIND("@",G2554),-1)&lt;0</formula>
    </cfRule>
  </conditionalFormatting>
  <conditionalFormatting sqref="G2563">
    <cfRule type="expression" dxfId="184" priority="151" stopIfTrue="1">
      <formula>ISBLANK(G2563)</formula>
    </cfRule>
    <cfRule type="expression" dxfId="183" priority="152">
      <formula>IFERROR(FIND("@",G2563),-1)&lt;0</formula>
    </cfRule>
  </conditionalFormatting>
  <conditionalFormatting sqref="G2566">
    <cfRule type="expression" dxfId="182" priority="149" stopIfTrue="1">
      <formula>ISBLANK(G2566)</formula>
    </cfRule>
    <cfRule type="expression" dxfId="181" priority="150">
      <formula>IFERROR(FIND("@",G2566),-1)&lt;0</formula>
    </cfRule>
  </conditionalFormatting>
  <conditionalFormatting sqref="G2585">
    <cfRule type="expression" dxfId="180" priority="147" stopIfTrue="1">
      <formula>ISBLANK(G2585)</formula>
    </cfRule>
    <cfRule type="expression" dxfId="179" priority="148">
      <formula>IFERROR(FIND("@",G2585),-1)&lt;0</formula>
    </cfRule>
  </conditionalFormatting>
  <conditionalFormatting sqref="G2588">
    <cfRule type="expression" dxfId="178" priority="145" stopIfTrue="1">
      <formula>ISBLANK(G2588)</formula>
    </cfRule>
    <cfRule type="expression" dxfId="177" priority="146">
      <formula>IFERROR(FIND("@",G2588),-1)&lt;0</formula>
    </cfRule>
  </conditionalFormatting>
  <conditionalFormatting sqref="G2611">
    <cfRule type="expression" dxfId="176" priority="143" stopIfTrue="1">
      <formula>ISBLANK(G2611)</formula>
    </cfRule>
    <cfRule type="expression" dxfId="175" priority="144">
      <formula>IFERROR(FIND("@",G2611),-1)&lt;0</formula>
    </cfRule>
  </conditionalFormatting>
  <conditionalFormatting sqref="G2620">
    <cfRule type="expression" dxfId="174" priority="141" stopIfTrue="1">
      <formula>ISBLANK(G2620)</formula>
    </cfRule>
    <cfRule type="expression" dxfId="173" priority="142">
      <formula>IFERROR(FIND("@",G2620),-1)&lt;0</formula>
    </cfRule>
  </conditionalFormatting>
  <conditionalFormatting sqref="G2631">
    <cfRule type="expression" dxfId="172" priority="139" stopIfTrue="1">
      <formula>ISBLANK(G2631)</formula>
    </cfRule>
    <cfRule type="expression" dxfId="171" priority="140">
      <formula>IFERROR(FIND("@",G2631),-1)&lt;0</formula>
    </cfRule>
  </conditionalFormatting>
  <conditionalFormatting sqref="G2632">
    <cfRule type="expression" dxfId="170" priority="137" stopIfTrue="1">
      <formula>ISBLANK(G2632)</formula>
    </cfRule>
    <cfRule type="expression" dxfId="169" priority="138">
      <formula>IFERROR(FIND("@",G2632),-1)&lt;0</formula>
    </cfRule>
  </conditionalFormatting>
  <conditionalFormatting sqref="G2634">
    <cfRule type="expression" dxfId="168" priority="135" stopIfTrue="1">
      <formula>ISBLANK(G2634)</formula>
    </cfRule>
    <cfRule type="expression" dxfId="167" priority="136">
      <formula>IFERROR(FIND("@",G2634),-1)&lt;0</formula>
    </cfRule>
  </conditionalFormatting>
  <conditionalFormatting sqref="G2635">
    <cfRule type="expression" dxfId="166" priority="133" stopIfTrue="1">
      <formula>ISBLANK(G2635)</formula>
    </cfRule>
    <cfRule type="expression" dxfId="165" priority="134">
      <formula>IFERROR(FIND("@",G2635),-1)&lt;0</formula>
    </cfRule>
  </conditionalFormatting>
  <conditionalFormatting sqref="G2658">
    <cfRule type="expression" dxfId="164" priority="131" stopIfTrue="1">
      <formula>ISBLANK(G2658)</formula>
    </cfRule>
    <cfRule type="expression" dxfId="163" priority="132">
      <formula>IFERROR(FIND("@",G2658),-1)&lt;0</formula>
    </cfRule>
  </conditionalFormatting>
  <conditionalFormatting sqref="G2660">
    <cfRule type="expression" dxfId="162" priority="129" stopIfTrue="1">
      <formula>ISBLANK(G2660)</formula>
    </cfRule>
    <cfRule type="expression" dxfId="161" priority="130">
      <formula>IFERROR(FIND("@",G2660),-1)&lt;0</formula>
    </cfRule>
  </conditionalFormatting>
  <conditionalFormatting sqref="G2666">
    <cfRule type="expression" dxfId="160" priority="127" stopIfTrue="1">
      <formula>ISBLANK(G2666)</formula>
    </cfRule>
    <cfRule type="expression" dxfId="159" priority="128">
      <formula>IFERROR(FIND("@",G2666),-1)&lt;0</formula>
    </cfRule>
  </conditionalFormatting>
  <conditionalFormatting sqref="G2667">
    <cfRule type="expression" dxfId="158" priority="125" stopIfTrue="1">
      <formula>ISBLANK(G2667)</formula>
    </cfRule>
    <cfRule type="expression" dxfId="157" priority="126">
      <formula>IFERROR(FIND("@",G2667),-1)&lt;0</formula>
    </cfRule>
  </conditionalFormatting>
  <conditionalFormatting sqref="G2675">
    <cfRule type="expression" dxfId="156" priority="123" stopIfTrue="1">
      <formula>ISBLANK(G2675)</formula>
    </cfRule>
    <cfRule type="expression" dxfId="155" priority="124">
      <formula>IFERROR(FIND("@",G2675),-1)&lt;0</formula>
    </cfRule>
  </conditionalFormatting>
  <conditionalFormatting sqref="G2688">
    <cfRule type="expression" dxfId="154" priority="121" stopIfTrue="1">
      <formula>ISBLANK(G2688)</formula>
    </cfRule>
    <cfRule type="expression" dxfId="153" priority="122">
      <formula>IFERROR(FIND("@",G2688),-1)&lt;0</formula>
    </cfRule>
  </conditionalFormatting>
  <conditionalFormatting sqref="G2692">
    <cfRule type="expression" dxfId="152" priority="119" stopIfTrue="1">
      <formula>ISBLANK(G2692)</formula>
    </cfRule>
    <cfRule type="expression" dxfId="151" priority="120">
      <formula>IFERROR(FIND("@",G2692),-1)&lt;0</formula>
    </cfRule>
  </conditionalFormatting>
  <conditionalFormatting sqref="G2695">
    <cfRule type="expression" dxfId="150" priority="117" stopIfTrue="1">
      <formula>ISBLANK(G2695)</formula>
    </cfRule>
    <cfRule type="expression" dxfId="149" priority="118">
      <formula>IFERROR(FIND("@",G2695),-1)&lt;0</formula>
    </cfRule>
  </conditionalFormatting>
  <conditionalFormatting sqref="G2700">
    <cfRule type="expression" dxfId="148" priority="115" stopIfTrue="1">
      <formula>ISBLANK(G2700)</formula>
    </cfRule>
    <cfRule type="expression" dxfId="147" priority="116">
      <formula>IFERROR(FIND("@",G2700),-1)&lt;0</formula>
    </cfRule>
  </conditionalFormatting>
  <conditionalFormatting sqref="G2709">
    <cfRule type="expression" dxfId="146" priority="113" stopIfTrue="1">
      <formula>ISBLANK(G2709)</formula>
    </cfRule>
    <cfRule type="expression" dxfId="145" priority="114">
      <formula>IFERROR(FIND("@",G2709),-1)&lt;0</formula>
    </cfRule>
  </conditionalFormatting>
  <conditionalFormatting sqref="G2713">
    <cfRule type="expression" dxfId="144" priority="111" stopIfTrue="1">
      <formula>ISBLANK(G2713)</formula>
    </cfRule>
    <cfRule type="expression" dxfId="143" priority="112">
      <formula>IFERROR(FIND("@",G2713),-1)&lt;0</formula>
    </cfRule>
  </conditionalFormatting>
  <conditionalFormatting sqref="G2723">
    <cfRule type="expression" dxfId="142" priority="109" stopIfTrue="1">
      <formula>ISBLANK(G2723)</formula>
    </cfRule>
    <cfRule type="expression" dxfId="141" priority="110">
      <formula>IFERROR(FIND("@",G2723),-1)&lt;0</formula>
    </cfRule>
  </conditionalFormatting>
  <conditionalFormatting sqref="G2724">
    <cfRule type="expression" dxfId="140" priority="107" stopIfTrue="1">
      <formula>ISBLANK(G2724)</formula>
    </cfRule>
    <cfRule type="expression" dxfId="139" priority="108">
      <formula>IFERROR(FIND("@",G2724),-1)&lt;0</formula>
    </cfRule>
  </conditionalFormatting>
  <conditionalFormatting sqref="G2732">
    <cfRule type="expression" dxfId="138" priority="105" stopIfTrue="1">
      <formula>ISBLANK(G2732)</formula>
    </cfRule>
    <cfRule type="expression" dxfId="137" priority="106">
      <formula>IFERROR(FIND("@",G2732),-1)&lt;0</formula>
    </cfRule>
  </conditionalFormatting>
  <conditionalFormatting sqref="G2733">
    <cfRule type="expression" dxfId="136" priority="103" stopIfTrue="1">
      <formula>ISBLANK(G2733)</formula>
    </cfRule>
    <cfRule type="expression" dxfId="135" priority="104">
      <formula>IFERROR(FIND("@",G2733),-1)&lt;0</formula>
    </cfRule>
  </conditionalFormatting>
  <conditionalFormatting sqref="G2749">
    <cfRule type="expression" dxfId="134" priority="101" stopIfTrue="1">
      <formula>ISBLANK(G2749)</formula>
    </cfRule>
    <cfRule type="expression" dxfId="133" priority="102">
      <formula>IFERROR(FIND("@",G2749),-1)&lt;0</formula>
    </cfRule>
  </conditionalFormatting>
  <conditionalFormatting sqref="G2752">
    <cfRule type="expression" dxfId="132" priority="99" stopIfTrue="1">
      <formula>ISBLANK(G2752)</formula>
    </cfRule>
    <cfRule type="expression" dxfId="131" priority="100">
      <formula>IFERROR(FIND("@",G2752),-1)&lt;0</formula>
    </cfRule>
  </conditionalFormatting>
  <conditionalFormatting sqref="G2756">
    <cfRule type="expression" dxfId="130" priority="97" stopIfTrue="1">
      <formula>ISBLANK(G2756)</formula>
    </cfRule>
    <cfRule type="expression" dxfId="129" priority="98">
      <formula>IFERROR(FIND("@",G2756),-1)&lt;0</formula>
    </cfRule>
  </conditionalFormatting>
  <conditionalFormatting sqref="G2764">
    <cfRule type="expression" dxfId="128" priority="95" stopIfTrue="1">
      <formula>ISBLANK(G2764)</formula>
    </cfRule>
    <cfRule type="expression" dxfId="127" priority="96">
      <formula>IFERROR(FIND("@",G2764),-1)&lt;0</formula>
    </cfRule>
  </conditionalFormatting>
  <conditionalFormatting sqref="G2765">
    <cfRule type="expression" dxfId="126" priority="93" stopIfTrue="1">
      <formula>ISBLANK(G2765)</formula>
    </cfRule>
    <cfRule type="expression" dxfId="125" priority="94">
      <formula>IFERROR(FIND("@",G2765),-1)&lt;0</formula>
    </cfRule>
  </conditionalFormatting>
  <conditionalFormatting sqref="G2770">
    <cfRule type="expression" dxfId="124" priority="91" stopIfTrue="1">
      <formula>ISBLANK(G2770)</formula>
    </cfRule>
    <cfRule type="expression" dxfId="123" priority="92">
      <formula>IFERROR(FIND("@",G2770),-1)&lt;0</formula>
    </cfRule>
  </conditionalFormatting>
  <conditionalFormatting sqref="G2795">
    <cfRule type="expression" dxfId="122" priority="89" stopIfTrue="1">
      <formula>ISBLANK(G2795)</formula>
    </cfRule>
    <cfRule type="expression" dxfId="121" priority="90">
      <formula>IFERROR(FIND("@",G2795),-1)&lt;0</formula>
    </cfRule>
  </conditionalFormatting>
  <conditionalFormatting sqref="G2797">
    <cfRule type="expression" dxfId="120" priority="87" stopIfTrue="1">
      <formula>ISBLANK(G2797)</formula>
    </cfRule>
    <cfRule type="expression" dxfId="119" priority="88">
      <formula>IFERROR(FIND("@",G2797),-1)&lt;0</formula>
    </cfRule>
  </conditionalFormatting>
  <conditionalFormatting sqref="G2801">
    <cfRule type="expression" dxfId="118" priority="85" stopIfTrue="1">
      <formula>ISBLANK(G2801)</formula>
    </cfRule>
    <cfRule type="expression" dxfId="117" priority="86">
      <formula>IFERROR(FIND("@",G2801),-1)&lt;0</formula>
    </cfRule>
  </conditionalFormatting>
  <conditionalFormatting sqref="G2822">
    <cfRule type="expression" dxfId="116" priority="83" stopIfTrue="1">
      <formula>ISBLANK(G2822)</formula>
    </cfRule>
    <cfRule type="expression" dxfId="115" priority="84">
      <formula>IFERROR(FIND("@",G2822),-1)&lt;0</formula>
    </cfRule>
  </conditionalFormatting>
  <conditionalFormatting sqref="G2827">
    <cfRule type="expression" dxfId="114" priority="81" stopIfTrue="1">
      <formula>ISBLANK(G2827)</formula>
    </cfRule>
    <cfRule type="expression" dxfId="113" priority="82">
      <formula>IFERROR(FIND("@",G2827),-1)&lt;0</formula>
    </cfRule>
  </conditionalFormatting>
  <conditionalFormatting sqref="G2831">
    <cfRule type="expression" dxfId="112" priority="79" stopIfTrue="1">
      <formula>ISBLANK(G2831)</formula>
    </cfRule>
    <cfRule type="expression" dxfId="111" priority="80">
      <formula>IFERROR(FIND("@",G2831),-1)&lt;0</formula>
    </cfRule>
  </conditionalFormatting>
  <conditionalFormatting sqref="G2840">
    <cfRule type="expression" dxfId="110" priority="77" stopIfTrue="1">
      <formula>ISBLANK(G2840)</formula>
    </cfRule>
    <cfRule type="expression" dxfId="109" priority="78">
      <formula>IFERROR(FIND("@",G2840),-1)&lt;0</formula>
    </cfRule>
  </conditionalFormatting>
  <conditionalFormatting sqref="G2843">
    <cfRule type="expression" dxfId="108" priority="75" stopIfTrue="1">
      <formula>ISBLANK(G2843)</formula>
    </cfRule>
    <cfRule type="expression" dxfId="107" priority="76">
      <formula>IFERROR(FIND("@",G2843),-1)&lt;0</formula>
    </cfRule>
  </conditionalFormatting>
  <conditionalFormatting sqref="G2844">
    <cfRule type="expression" dxfId="106" priority="73" stopIfTrue="1">
      <formula>ISBLANK(G2844)</formula>
    </cfRule>
    <cfRule type="expression" dxfId="105" priority="74">
      <formula>IFERROR(FIND("@",G2844),-1)&lt;0</formula>
    </cfRule>
  </conditionalFormatting>
  <conditionalFormatting sqref="G2847">
    <cfRule type="expression" dxfId="104" priority="71" stopIfTrue="1">
      <formula>ISBLANK(G2847)</formula>
    </cfRule>
    <cfRule type="expression" dxfId="103" priority="72">
      <formula>IFERROR(FIND("@",G2847),-1)&lt;0</formula>
    </cfRule>
  </conditionalFormatting>
  <conditionalFormatting sqref="G2852">
    <cfRule type="expression" dxfId="102" priority="69" stopIfTrue="1">
      <formula>ISBLANK(G2852)</formula>
    </cfRule>
    <cfRule type="expression" dxfId="101" priority="70">
      <formula>IFERROR(FIND("@",G2852),-1)&lt;0</formula>
    </cfRule>
  </conditionalFormatting>
  <conditionalFormatting sqref="G2866">
    <cfRule type="expression" dxfId="100" priority="67" stopIfTrue="1">
      <formula>ISBLANK(G2866)</formula>
    </cfRule>
    <cfRule type="expression" dxfId="99" priority="68">
      <formula>IFERROR(FIND("@",G2866),-1)&lt;0</formula>
    </cfRule>
  </conditionalFormatting>
  <conditionalFormatting sqref="G2879">
    <cfRule type="expression" dxfId="98" priority="65" stopIfTrue="1">
      <formula>ISBLANK(G2879)</formula>
    </cfRule>
    <cfRule type="expression" dxfId="97" priority="66">
      <formula>IFERROR(FIND("@",G2879),-1)&lt;0</formula>
    </cfRule>
  </conditionalFormatting>
  <conditionalFormatting sqref="G2880">
    <cfRule type="expression" dxfId="96" priority="63" stopIfTrue="1">
      <formula>ISBLANK(G2880)</formula>
    </cfRule>
    <cfRule type="expression" dxfId="95" priority="64">
      <formula>IFERROR(FIND("@",G2880),-1)&lt;0</formula>
    </cfRule>
  </conditionalFormatting>
  <conditionalFormatting sqref="G2881">
    <cfRule type="expression" dxfId="94" priority="61" stopIfTrue="1">
      <formula>ISBLANK(G2881)</formula>
    </cfRule>
    <cfRule type="expression" dxfId="93" priority="62">
      <formula>IFERROR(FIND("@",G2881),-1)&lt;0</formula>
    </cfRule>
  </conditionalFormatting>
  <conditionalFormatting sqref="G2884">
    <cfRule type="expression" dxfId="92" priority="59" stopIfTrue="1">
      <formula>ISBLANK(G2884)</formula>
    </cfRule>
    <cfRule type="expression" dxfId="91" priority="60">
      <formula>IFERROR(FIND("@",G2884),-1)&lt;0</formula>
    </cfRule>
  </conditionalFormatting>
  <conditionalFormatting sqref="G2892">
    <cfRule type="expression" dxfId="90" priority="57" stopIfTrue="1">
      <formula>ISBLANK(G2892)</formula>
    </cfRule>
    <cfRule type="expression" dxfId="89" priority="58">
      <formula>IFERROR(FIND("@",G2892),-1)&lt;0</formula>
    </cfRule>
  </conditionalFormatting>
  <conditionalFormatting sqref="G2893">
    <cfRule type="expression" dxfId="88" priority="55" stopIfTrue="1">
      <formula>ISBLANK(G2893)</formula>
    </cfRule>
    <cfRule type="expression" dxfId="87" priority="56">
      <formula>IFERROR(FIND("@",G2893),-1)&lt;0</formula>
    </cfRule>
  </conditionalFormatting>
  <conditionalFormatting sqref="G2899">
    <cfRule type="expression" dxfId="86" priority="53" stopIfTrue="1">
      <formula>ISBLANK(G2899)</formula>
    </cfRule>
    <cfRule type="expression" dxfId="85" priority="54">
      <formula>IFERROR(FIND("@",G2899),-1)&lt;0</formula>
    </cfRule>
  </conditionalFormatting>
  <conditionalFormatting sqref="G2905">
    <cfRule type="expression" dxfId="84" priority="51" stopIfTrue="1">
      <formula>ISBLANK(G2905)</formula>
    </cfRule>
    <cfRule type="expression" dxfId="83" priority="52">
      <formula>IFERROR(FIND("@",G2905),-1)&lt;0</formula>
    </cfRule>
  </conditionalFormatting>
  <conditionalFormatting sqref="G2907">
    <cfRule type="expression" dxfId="82" priority="49" stopIfTrue="1">
      <formula>ISBLANK(G2907)</formula>
    </cfRule>
    <cfRule type="expression" dxfId="81" priority="50">
      <formula>IFERROR(FIND("@",G2907),-1)&lt;0</formula>
    </cfRule>
  </conditionalFormatting>
  <conditionalFormatting sqref="G2916">
    <cfRule type="expression" dxfId="80" priority="47" stopIfTrue="1">
      <formula>ISBLANK(G2916)</formula>
    </cfRule>
    <cfRule type="expression" dxfId="79" priority="48">
      <formula>IFERROR(FIND("@",G2916),-1)&lt;0</formula>
    </cfRule>
  </conditionalFormatting>
  <conditionalFormatting sqref="G2920">
    <cfRule type="expression" dxfId="78" priority="45" stopIfTrue="1">
      <formula>ISBLANK(G2920)</formula>
    </cfRule>
    <cfRule type="expression" dxfId="77" priority="46">
      <formula>IFERROR(FIND("@",G2920),-1)&lt;0</formula>
    </cfRule>
  </conditionalFormatting>
  <conditionalFormatting sqref="G2921">
    <cfRule type="expression" dxfId="76" priority="39" stopIfTrue="1">
      <formula>ISBLANK(G2921)</formula>
    </cfRule>
    <cfRule type="expression" dxfId="75" priority="40">
      <formula>IFERROR(FIND("@",G2921),-1)&lt;0</formula>
    </cfRule>
  </conditionalFormatting>
  <conditionalFormatting sqref="G2924">
    <cfRule type="expression" dxfId="74" priority="37" stopIfTrue="1">
      <formula>ISBLANK(G2924)</formula>
    </cfRule>
    <cfRule type="expression" dxfId="73" priority="38">
      <formula>IFERROR(FIND("@",G2924),-1)&lt;0</formula>
    </cfRule>
  </conditionalFormatting>
  <conditionalFormatting sqref="G2937">
    <cfRule type="expression" dxfId="72" priority="35" stopIfTrue="1">
      <formula>ISBLANK(G2937)</formula>
    </cfRule>
    <cfRule type="expression" dxfId="71" priority="36">
      <formula>IFERROR(FIND("@",G2937),-1)&lt;0</formula>
    </cfRule>
  </conditionalFormatting>
  <conditionalFormatting sqref="G2964">
    <cfRule type="expression" dxfId="70" priority="33" stopIfTrue="1">
      <formula>ISBLANK(G2964)</formula>
    </cfRule>
    <cfRule type="expression" dxfId="69" priority="34">
      <formula>IFERROR(FIND("@",G2964),-1)&lt;0</formula>
    </cfRule>
  </conditionalFormatting>
  <conditionalFormatting sqref="G2965">
    <cfRule type="expression" dxfId="68" priority="31" stopIfTrue="1">
      <formula>ISBLANK(G2965)</formula>
    </cfRule>
    <cfRule type="expression" dxfId="67" priority="32">
      <formula>IFERROR(FIND("@",G2965),-1)&lt;0</formula>
    </cfRule>
  </conditionalFormatting>
  <conditionalFormatting sqref="G2972:G2973">
    <cfRule type="expression" dxfId="66" priority="29" stopIfTrue="1">
      <formula>ISBLANK(G2972)</formula>
    </cfRule>
    <cfRule type="expression" dxfId="65" priority="30">
      <formula>IFERROR(FIND("@",G2972),-1)&lt;0</formula>
    </cfRule>
  </conditionalFormatting>
  <conditionalFormatting sqref="G2977">
    <cfRule type="expression" dxfId="64" priority="27" stopIfTrue="1">
      <formula>ISBLANK(G2977)</formula>
    </cfRule>
    <cfRule type="expression" dxfId="63" priority="28">
      <formula>IFERROR(FIND("@",G2977),-1)&lt;0</formula>
    </cfRule>
  </conditionalFormatting>
  <conditionalFormatting sqref="G2983:G2984">
    <cfRule type="expression" dxfId="62" priority="25" stopIfTrue="1">
      <formula>ISBLANK(G2983)</formula>
    </cfRule>
    <cfRule type="expression" dxfId="61" priority="26">
      <formula>IFERROR(FIND("@",G2983),-1)&lt;0</formula>
    </cfRule>
  </conditionalFormatting>
  <conditionalFormatting sqref="G2985">
    <cfRule type="expression" dxfId="60" priority="23" stopIfTrue="1">
      <formula>ISBLANK(G2985)</formula>
    </cfRule>
    <cfRule type="expression" dxfId="59" priority="24">
      <formula>IFERROR(FIND("@",G2985),-1)&lt;0</formula>
    </cfRule>
  </conditionalFormatting>
  <conditionalFormatting sqref="G2991">
    <cfRule type="expression" dxfId="58" priority="21" stopIfTrue="1">
      <formula>ISBLANK(G2991)</formula>
    </cfRule>
    <cfRule type="expression" dxfId="57" priority="22">
      <formula>IFERROR(FIND("@",G2991),-1)&lt;0</formula>
    </cfRule>
  </conditionalFormatting>
  <conditionalFormatting sqref="G2995">
    <cfRule type="expression" dxfId="56" priority="19" stopIfTrue="1">
      <formula>ISBLANK(G2995)</formula>
    </cfRule>
    <cfRule type="expression" dxfId="55" priority="20">
      <formula>IFERROR(FIND("@",G2995),-1)&lt;0</formula>
    </cfRule>
  </conditionalFormatting>
  <conditionalFormatting sqref="G3010:G3011">
    <cfRule type="expression" dxfId="54" priority="17" stopIfTrue="1">
      <formula>ISBLANK(G3010)</formula>
    </cfRule>
    <cfRule type="expression" dxfId="53" priority="18">
      <formula>IFERROR(FIND("@",G3010),-1)&lt;0</formula>
    </cfRule>
  </conditionalFormatting>
  <conditionalFormatting sqref="G3019">
    <cfRule type="expression" dxfId="52" priority="15" stopIfTrue="1">
      <formula>ISBLANK(G3019)</formula>
    </cfRule>
    <cfRule type="expression" dxfId="51" priority="16">
      <formula>IFERROR(FIND("@",G3019),-1)&lt;0</formula>
    </cfRule>
  </conditionalFormatting>
  <conditionalFormatting sqref="G3020">
    <cfRule type="expression" dxfId="50" priority="13" stopIfTrue="1">
      <formula>ISBLANK(G3020)</formula>
    </cfRule>
    <cfRule type="expression" dxfId="49" priority="14">
      <formula>IFERROR(FIND("@",G3020),-1)&lt;0</formula>
    </cfRule>
  </conditionalFormatting>
  <conditionalFormatting sqref="G3021">
    <cfRule type="expression" dxfId="48" priority="11" stopIfTrue="1">
      <formula>ISBLANK(G3021)</formula>
    </cfRule>
    <cfRule type="expression" dxfId="47" priority="12">
      <formula>IFERROR(FIND("@",G3021),-1)&lt;0</formula>
    </cfRule>
  </conditionalFormatting>
  <conditionalFormatting sqref="G3022">
    <cfRule type="expression" dxfId="46" priority="9" stopIfTrue="1">
      <formula>ISBLANK(G3022)</formula>
    </cfRule>
    <cfRule type="expression" dxfId="45" priority="10">
      <formula>IFERROR(FIND("@",G3022),-1)&lt;0</formula>
    </cfRule>
  </conditionalFormatting>
  <conditionalFormatting sqref="G3023">
    <cfRule type="expression" dxfId="44" priority="7" stopIfTrue="1">
      <formula>ISBLANK(G3023)</formula>
    </cfRule>
    <cfRule type="expression" dxfId="43" priority="8">
      <formula>IFERROR(FIND("@",G3023),-1)&lt;0</formula>
    </cfRule>
  </conditionalFormatting>
  <conditionalFormatting sqref="G3026">
    <cfRule type="expression" dxfId="42" priority="3" stopIfTrue="1">
      <formula>ISBLANK(G3026)</formula>
    </cfRule>
    <cfRule type="expression" dxfId="41" priority="4">
      <formula>IFERROR(FIND("@",G3026),-1)&lt;0</formula>
    </cfRule>
  </conditionalFormatting>
  <conditionalFormatting sqref="G3049:G3050">
    <cfRule type="expression" dxfId="40" priority="1" stopIfTrue="1">
      <formula>ISBLANK(G3049)</formula>
    </cfRule>
    <cfRule type="expression" dxfId="39" priority="2">
      <formula>IFERROR(FIND("@",G3049),-1)&lt;0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s>
  <pageMargins left="0.7" right="0.7" top="0.75" bottom="0.75" header="0.3" footer="0.3"/>
  <pageSetup orientation="portrait" r:id="rId49"/>
  <legacyDrawing r:id="rId50"/>
  <extLst>
    <ext xmlns:x14="http://schemas.microsoft.com/office/spreadsheetml/2009/9/main" uri="{78C0D931-6437-407d-A8EE-F0AAD7539E65}">
      <x14:conditionalFormattings>
        <x14:conditionalFormatting xmlns:xm="http://schemas.microsoft.com/office/excel/2006/main">
          <x14:cfRule type="expression" priority="649"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1"/>
  <sheetViews>
    <sheetView showGridLines="0" zoomScale="86" zoomScaleNormal="86" workbookViewId="0">
      <pane xSplit="3" ySplit="1" topLeftCell="AS78" activePane="bottomRight" state="frozen"/>
      <selection pane="bottomRight" activeCell="AS80" sqref="AS80"/>
      <selection pane="bottomLeft" activeCell="D2603" sqref="D2603"/>
      <selection pane="topRight" activeCell="D2603" sqref="D2603"/>
    </sheetView>
  </sheetViews>
  <sheetFormatPr defaultColWidth="11.42578125" defaultRowHeight="14.2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14"/>
    <col min="54" max="54" width="6.140625" style="45" customWidth="1"/>
    <col min="55" max="16384" width="11.42578125" style="45"/>
  </cols>
  <sheetData>
    <row r="1" spans="1:53" s="29" customFormat="1" ht="20.100000000000001" customHeight="1">
      <c r="A1" s="574" t="s">
        <v>5</v>
      </c>
      <c r="B1" s="574" t="s">
        <v>7</v>
      </c>
      <c r="C1" s="575" t="str">
        <f>IF(SUMIF(Vigilancia!$J:$J,"Vigilancia",Vigilancia!$E:$E)=BA144,"ü","û")</f>
        <v>ü</v>
      </c>
      <c r="D1" s="593">
        <v>2016</v>
      </c>
      <c r="E1" s="576">
        <v>42736</v>
      </c>
      <c r="F1" s="576">
        <f>EDATE(E1,1)</f>
        <v>42767</v>
      </c>
      <c r="G1" s="576">
        <f t="shared" ref="G1:AB1" si="0">EDATE(F1,1)</f>
        <v>42795</v>
      </c>
      <c r="H1" s="576">
        <f t="shared" si="0"/>
        <v>42826</v>
      </c>
      <c r="I1" s="576">
        <f t="shared" si="0"/>
        <v>42856</v>
      </c>
      <c r="J1" s="576">
        <f t="shared" si="0"/>
        <v>42887</v>
      </c>
      <c r="K1" s="576">
        <f t="shared" si="0"/>
        <v>42917</v>
      </c>
      <c r="L1" s="576">
        <f t="shared" si="0"/>
        <v>42948</v>
      </c>
      <c r="M1" s="576">
        <f t="shared" si="0"/>
        <v>42979</v>
      </c>
      <c r="N1" s="576">
        <f t="shared" si="0"/>
        <v>43009</v>
      </c>
      <c r="O1" s="576">
        <f t="shared" si="0"/>
        <v>43040</v>
      </c>
      <c r="P1" s="576">
        <f t="shared" si="0"/>
        <v>43070</v>
      </c>
      <c r="Q1" s="576">
        <f t="shared" si="0"/>
        <v>43101</v>
      </c>
      <c r="R1" s="576">
        <f t="shared" si="0"/>
        <v>43132</v>
      </c>
      <c r="S1" s="576">
        <f t="shared" si="0"/>
        <v>43160</v>
      </c>
      <c r="T1" s="576">
        <f t="shared" si="0"/>
        <v>43191</v>
      </c>
      <c r="U1" s="576">
        <f t="shared" si="0"/>
        <v>43221</v>
      </c>
      <c r="V1" s="576">
        <f t="shared" si="0"/>
        <v>43252</v>
      </c>
      <c r="W1" s="576">
        <f t="shared" si="0"/>
        <v>43282</v>
      </c>
      <c r="X1" s="576">
        <f t="shared" si="0"/>
        <v>43313</v>
      </c>
      <c r="Y1" s="576">
        <f t="shared" si="0"/>
        <v>43344</v>
      </c>
      <c r="Z1" s="576">
        <f t="shared" si="0"/>
        <v>43374</v>
      </c>
      <c r="AA1" s="576">
        <f t="shared" si="0"/>
        <v>43405</v>
      </c>
      <c r="AB1" s="576">
        <f t="shared" si="0"/>
        <v>43435</v>
      </c>
      <c r="AC1" s="610">
        <f t="shared" ref="AC1" si="1">EDATE(AB1,1)</f>
        <v>43466</v>
      </c>
      <c r="AD1" s="610">
        <f t="shared" ref="AD1" si="2">EDATE(AC1,1)</f>
        <v>43497</v>
      </c>
      <c r="AE1" s="610">
        <f t="shared" ref="AE1" si="3">EDATE(AD1,1)</f>
        <v>43525</v>
      </c>
      <c r="AF1" s="610">
        <f t="shared" ref="AF1" si="4">EDATE(AE1,1)</f>
        <v>43556</v>
      </c>
      <c r="AG1" s="610">
        <f t="shared" ref="AG1" si="5">EDATE(AF1,1)</f>
        <v>43586</v>
      </c>
      <c r="AH1" s="610">
        <f t="shared" ref="AH1" si="6">EDATE(AG1,1)</f>
        <v>43617</v>
      </c>
      <c r="AI1" s="610">
        <f t="shared" ref="AI1" si="7">EDATE(AH1,1)</f>
        <v>43647</v>
      </c>
      <c r="AJ1" s="610">
        <f t="shared" ref="AJ1" si="8">EDATE(AI1,1)</f>
        <v>43678</v>
      </c>
      <c r="AK1" s="610">
        <f t="shared" ref="AK1" si="9">EDATE(AJ1,1)</f>
        <v>43709</v>
      </c>
      <c r="AL1" s="610">
        <f t="shared" ref="AL1" si="10">EDATE(AK1,1)</f>
        <v>43739</v>
      </c>
      <c r="AM1" s="610">
        <f t="shared" ref="AM1" si="11">EDATE(AL1,1)</f>
        <v>43770</v>
      </c>
      <c r="AN1" s="610">
        <f t="shared" ref="AN1" si="12">EDATE(AM1,1)</f>
        <v>43800</v>
      </c>
      <c r="AO1" s="610">
        <f t="shared" ref="AO1" si="13">EDATE(AN1,1)</f>
        <v>43831</v>
      </c>
      <c r="AP1" s="610">
        <f t="shared" ref="AP1" si="14">EDATE(AO1,1)</f>
        <v>43862</v>
      </c>
      <c r="AQ1" s="610">
        <f t="shared" ref="AQ1" si="15">EDATE(AP1,1)</f>
        <v>43891</v>
      </c>
      <c r="AR1" s="610">
        <f t="shared" ref="AR1" si="16">EDATE(AQ1,1)</f>
        <v>43922</v>
      </c>
      <c r="AS1" s="610">
        <f t="shared" ref="AS1" si="17">EDATE(AR1,1)</f>
        <v>43952</v>
      </c>
      <c r="AT1" s="610">
        <f t="shared" ref="AT1" si="18">EDATE(AS1,1)</f>
        <v>43983</v>
      </c>
      <c r="AU1" s="610">
        <f t="shared" ref="AU1" si="19">EDATE(AT1,1)</f>
        <v>44013</v>
      </c>
      <c r="AV1" s="610">
        <f t="shared" ref="AV1" si="20">EDATE(AU1,1)</f>
        <v>44044</v>
      </c>
      <c r="AW1" s="610">
        <f t="shared" ref="AW1" si="21">EDATE(AV1,1)</f>
        <v>44075</v>
      </c>
      <c r="AX1" s="610">
        <f t="shared" ref="AX1" si="22">EDATE(AW1,1)</f>
        <v>44105</v>
      </c>
      <c r="AY1" s="610">
        <f t="shared" ref="AY1" si="23">EDATE(AX1,1)</f>
        <v>44136</v>
      </c>
      <c r="AZ1" s="610">
        <f t="shared" ref="AZ1" si="24">EDATE(AY1,1)</f>
        <v>44166</v>
      </c>
      <c r="BA1" s="576" t="s">
        <v>1227</v>
      </c>
    </row>
    <row r="2" spans="1:53" s="29" customFormat="1" ht="20.100000000000001" customHeight="1">
      <c r="A2" s="30" t="str">
        <f>Vecinos!A2</f>
        <v>Familia Scabuzzo Gómez</v>
      </c>
      <c r="B2" s="31" t="str">
        <f>Vecinos!C2</f>
        <v>Av. "I" Nro. 146-20</v>
      </c>
      <c r="C2" s="32" t="str">
        <f>IF(SUMIFS(Vigilancia!$E:$E,Vigilancia!$F:$F,A2,Vigilancia!$J:$J,"Vigilancia")=BA2,"ü","û")</f>
        <v>ü</v>
      </c>
      <c r="D2" s="179"/>
      <c r="E2" s="180">
        <f>17000/100000</f>
        <v>0.17</v>
      </c>
      <c r="F2" s="181">
        <f>17000/100000</f>
        <v>0.17</v>
      </c>
      <c r="G2" s="181">
        <f>17000/100000</f>
        <v>0.17</v>
      </c>
      <c r="H2" s="181">
        <f>17000/100000</f>
        <v>0.17</v>
      </c>
      <c r="I2" s="182">
        <f>17000/100000</f>
        <v>0.17</v>
      </c>
      <c r="J2" s="181">
        <f>26000/100000</f>
        <v>0.26</v>
      </c>
      <c r="K2" s="181">
        <f>35000/100000</f>
        <v>0.35</v>
      </c>
      <c r="L2" s="181">
        <f>35000/100000</f>
        <v>0.35</v>
      </c>
      <c r="M2" s="181">
        <f>35000/100000</f>
        <v>0.35</v>
      </c>
      <c r="N2" s="181">
        <f>35000/100000</f>
        <v>0.35</v>
      </c>
      <c r="O2" s="181">
        <f>50000/100000</f>
        <v>0.5</v>
      </c>
      <c r="P2" s="179">
        <f>50000/100000</f>
        <v>0.5</v>
      </c>
      <c r="Q2" s="183">
        <f>80000/100000</f>
        <v>0.8</v>
      </c>
      <c r="R2" s="184">
        <f>80000/100000</f>
        <v>0.8</v>
      </c>
      <c r="S2" s="185">
        <f>140000/100000</f>
        <v>1.4</v>
      </c>
      <c r="T2" s="185">
        <f>140000/100000</f>
        <v>1.4</v>
      </c>
      <c r="U2" s="185">
        <f>400000/100000</f>
        <v>4</v>
      </c>
      <c r="V2" s="185">
        <f>400000/100000+225000/100000</f>
        <v>6.25</v>
      </c>
      <c r="W2" s="185">
        <f>1000000/100000</f>
        <v>10</v>
      </c>
      <c r="X2" s="185">
        <f>1200000/100000</f>
        <v>12</v>
      </c>
      <c r="Y2" s="185">
        <v>320</v>
      </c>
      <c r="Z2" s="341">
        <v>320</v>
      </c>
      <c r="AA2" s="341">
        <f>30+290+30</f>
        <v>350</v>
      </c>
      <c r="AB2" s="356">
        <f>30+770</f>
        <v>800</v>
      </c>
      <c r="AC2" s="369">
        <f>800+2200</f>
        <v>3000</v>
      </c>
      <c r="AD2" s="370">
        <v>3000</v>
      </c>
      <c r="AE2" s="371">
        <v>3000</v>
      </c>
      <c r="AF2" s="377">
        <f>3000+2000</f>
        <v>5000</v>
      </c>
      <c r="AG2" s="377">
        <v>8000</v>
      </c>
      <c r="AH2" s="371">
        <v>8000</v>
      </c>
      <c r="AI2" s="371">
        <v>10000</v>
      </c>
      <c r="AJ2" s="371">
        <v>10000</v>
      </c>
      <c r="AK2" s="371">
        <v>21100</v>
      </c>
      <c r="AL2" s="371">
        <f>(21100+30150)/1</f>
        <v>51250</v>
      </c>
      <c r="AM2" s="371">
        <v>73500</v>
      </c>
      <c r="AN2" s="372">
        <v>185250</v>
      </c>
      <c r="AO2" s="369">
        <v>185250</v>
      </c>
      <c r="AP2" s="370">
        <v>185250</v>
      </c>
      <c r="AQ2" s="371">
        <v>185250</v>
      </c>
      <c r="AR2" s="377"/>
      <c r="AS2" s="377"/>
      <c r="AT2" s="371"/>
      <c r="AU2" s="371"/>
      <c r="AV2" s="371"/>
      <c r="AW2" s="371"/>
      <c r="AX2" s="371"/>
      <c r="AY2" s="371"/>
      <c r="AZ2" s="372"/>
      <c r="BA2" s="401">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6"/>
      <c r="E3" s="187">
        <f>10500/100000</f>
        <v>0.105</v>
      </c>
      <c r="F3" s="188">
        <f>10500/100000</f>
        <v>0.105</v>
      </c>
      <c r="G3" s="188">
        <f>10500/100000</f>
        <v>0.105</v>
      </c>
      <c r="H3" s="188"/>
      <c r="I3" s="188"/>
      <c r="J3" s="188"/>
      <c r="K3" s="188"/>
      <c r="L3" s="188"/>
      <c r="M3" s="188"/>
      <c r="N3" s="188"/>
      <c r="O3" s="188"/>
      <c r="P3" s="186"/>
      <c r="Q3" s="189"/>
      <c r="R3" s="190"/>
      <c r="S3" s="190"/>
      <c r="T3" s="190"/>
      <c r="U3" s="190"/>
      <c r="V3" s="190"/>
      <c r="W3" s="190"/>
      <c r="X3" s="190"/>
      <c r="Y3" s="190"/>
      <c r="Z3" s="190"/>
      <c r="AA3" s="190"/>
      <c r="AB3" s="186"/>
      <c r="AC3" s="373"/>
      <c r="AD3" s="374"/>
      <c r="AE3" s="374"/>
      <c r="AF3" s="374"/>
      <c r="AG3" s="374"/>
      <c r="AH3" s="374"/>
      <c r="AI3" s="374"/>
      <c r="AJ3" s="374"/>
      <c r="AK3" s="374"/>
      <c r="AL3" s="374"/>
      <c r="AM3" s="374"/>
      <c r="AN3" s="375"/>
      <c r="AO3" s="373"/>
      <c r="AP3" s="374"/>
      <c r="AQ3" s="374"/>
      <c r="AR3" s="374"/>
      <c r="AS3" s="374"/>
      <c r="AT3" s="374"/>
      <c r="AU3" s="374"/>
      <c r="AV3" s="374"/>
      <c r="AW3" s="374"/>
      <c r="AX3" s="374"/>
      <c r="AY3" s="374"/>
      <c r="AZ3" s="375"/>
      <c r="BA3" s="402">
        <f t="shared" ref="BA3:BA68"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79"/>
      <c r="E4" s="180">
        <f t="shared" ref="E4:H6" si="26">17000/100000</f>
        <v>0.17</v>
      </c>
      <c r="F4" s="181">
        <f t="shared" si="26"/>
        <v>0.17</v>
      </c>
      <c r="G4" s="181">
        <f t="shared" si="26"/>
        <v>0.17</v>
      </c>
      <c r="H4" s="181">
        <f t="shared" si="26"/>
        <v>0.17</v>
      </c>
      <c r="I4" s="181">
        <f t="shared" ref="I4:J7" si="27">26000/100000</f>
        <v>0.26</v>
      </c>
      <c r="J4" s="181">
        <f t="shared" si="27"/>
        <v>0.26</v>
      </c>
      <c r="K4" s="181">
        <f>35000/100000</f>
        <v>0.35</v>
      </c>
      <c r="L4" s="181">
        <f>1000/100000+34000/100000</f>
        <v>0.35000000000000003</v>
      </c>
      <c r="M4" s="181">
        <f>1000/100000+34000/100000</f>
        <v>0.35000000000000003</v>
      </c>
      <c r="N4" s="181">
        <f>35000/100000</f>
        <v>0.35</v>
      </c>
      <c r="O4" s="181">
        <f>50000/100000</f>
        <v>0.5</v>
      </c>
      <c r="P4" s="179">
        <f>1000/100000+20000/100000+29000/100000</f>
        <v>0.5</v>
      </c>
      <c r="Q4" s="183">
        <f t="shared" ref="Q4:R8" si="28">80000/100000</f>
        <v>0.8</v>
      </c>
      <c r="R4" s="184">
        <f t="shared" si="28"/>
        <v>0.8</v>
      </c>
      <c r="S4" s="184">
        <f>21000/100000+119000/100000</f>
        <v>1.4</v>
      </c>
      <c r="T4" s="184">
        <f>140000/100000</f>
        <v>1.4</v>
      </c>
      <c r="U4" s="184">
        <f>400000/100000</f>
        <v>4</v>
      </c>
      <c r="V4" s="191">
        <f>400000/100000+225000/100000</f>
        <v>6.25</v>
      </c>
      <c r="W4" s="184">
        <f>1000000/100000</f>
        <v>10</v>
      </c>
      <c r="X4" s="184">
        <f>1200000/100000</f>
        <v>12</v>
      </c>
      <c r="Y4" s="191">
        <f>1000/100000+320</f>
        <v>320.01</v>
      </c>
      <c r="Z4" s="184">
        <v>320</v>
      </c>
      <c r="AA4" s="184">
        <v>320</v>
      </c>
      <c r="AB4" s="179">
        <v>800</v>
      </c>
      <c r="AC4" s="376">
        <v>3000</v>
      </c>
      <c r="AD4" s="377">
        <v>3000</v>
      </c>
      <c r="AE4" s="377">
        <v>3000</v>
      </c>
      <c r="AF4" s="377">
        <f>3000+2000</f>
        <v>5000</v>
      </c>
      <c r="AG4" s="377">
        <f>1000+4000+3000</f>
        <v>8000</v>
      </c>
      <c r="AH4" s="377">
        <v>8000</v>
      </c>
      <c r="AI4" s="377">
        <v>10000</v>
      </c>
      <c r="AJ4" s="377">
        <v>10000</v>
      </c>
      <c r="AK4" s="377">
        <v>20482.22</v>
      </c>
      <c r="AL4" s="377">
        <v>51250</v>
      </c>
      <c r="AM4" s="377">
        <v>105250</v>
      </c>
      <c r="AN4" s="378">
        <v>136250</v>
      </c>
      <c r="AO4" s="376">
        <v>136250</v>
      </c>
      <c r="AP4" s="377">
        <v>136250</v>
      </c>
      <c r="AQ4" s="377">
        <f>31000+340000-185250</f>
        <v>185750</v>
      </c>
      <c r="AR4" s="377">
        <v>185250</v>
      </c>
      <c r="AS4" s="377">
        <v>250000</v>
      </c>
      <c r="AT4" s="377"/>
      <c r="AU4" s="377"/>
      <c r="AV4" s="377"/>
      <c r="AW4" s="377"/>
      <c r="AX4" s="377"/>
      <c r="AY4" s="377"/>
      <c r="AZ4" s="378"/>
      <c r="BA4" s="403">
        <f t="shared" si="25"/>
        <v>1258532.48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4"/>
      <c r="E5" s="215"/>
      <c r="F5" s="216"/>
      <c r="G5" s="216"/>
      <c r="H5" s="216"/>
      <c r="I5" s="216"/>
      <c r="J5" s="216"/>
      <c r="K5" s="216"/>
      <c r="L5" s="216"/>
      <c r="M5" s="216"/>
      <c r="N5" s="216"/>
      <c r="O5" s="216"/>
      <c r="P5" s="214"/>
      <c r="Q5" s="210"/>
      <c r="R5" s="211"/>
      <c r="S5" s="211"/>
      <c r="T5" s="211"/>
      <c r="U5" s="211"/>
      <c r="V5" s="211"/>
      <c r="W5" s="211"/>
      <c r="X5" s="211"/>
      <c r="Y5" s="211"/>
      <c r="Z5" s="211"/>
      <c r="AA5" s="211"/>
      <c r="AB5" s="207"/>
      <c r="AC5" s="486"/>
      <c r="AD5" s="487"/>
      <c r="AE5" s="487"/>
      <c r="AF5" s="487"/>
      <c r="AG5" s="377">
        <v>8000</v>
      </c>
      <c r="AH5" s="377">
        <v>8000</v>
      </c>
      <c r="AI5" s="377">
        <v>10000</v>
      </c>
      <c r="AJ5" s="377">
        <v>10000</v>
      </c>
      <c r="AK5" s="377">
        <v>19800</v>
      </c>
      <c r="AL5" s="483">
        <f>19800+31500</f>
        <v>51300</v>
      </c>
      <c r="AM5" s="377">
        <v>73500</v>
      </c>
      <c r="AN5" s="378">
        <v>97500</v>
      </c>
      <c r="AO5" s="376">
        <f>97500+38750</f>
        <v>136250</v>
      </c>
      <c r="AP5" s="377">
        <v>136250</v>
      </c>
      <c r="AQ5" s="377">
        <v>185250</v>
      </c>
      <c r="AR5" s="377">
        <v>185250</v>
      </c>
      <c r="AS5" s="377"/>
      <c r="AT5" s="377"/>
      <c r="AU5" s="377"/>
      <c r="AV5" s="377"/>
      <c r="AW5" s="377"/>
      <c r="AX5" s="377"/>
      <c r="AY5" s="377"/>
      <c r="AZ5" s="378"/>
      <c r="BA5" s="403">
        <f t="shared" si="25"/>
        <v>921100</v>
      </c>
    </row>
    <row r="6" spans="1:53" s="29" customFormat="1" ht="20.100000000000001" customHeight="1">
      <c r="A6" s="30" t="str">
        <f>Vecinos!A6</f>
        <v>Sra. Reina Meléndez</v>
      </c>
      <c r="B6" s="31" t="str">
        <f>Vecinos!C6</f>
        <v>Av. "M" Nro. 145-10</v>
      </c>
      <c r="C6" s="36" t="str">
        <f>IF(SUMIFS(Vigilancia!$E:$E,Vigilancia!$F:$F,A6,Vigilancia!$J:$J,"Vigilancia")=BA6,"ü","û")</f>
        <v>ü</v>
      </c>
      <c r="D6" s="179"/>
      <c r="E6" s="180">
        <f t="shared" si="26"/>
        <v>0.17</v>
      </c>
      <c r="F6" s="181">
        <f t="shared" si="26"/>
        <v>0.17</v>
      </c>
      <c r="G6" s="181">
        <f t="shared" si="26"/>
        <v>0.17</v>
      </c>
      <c r="H6" s="181">
        <f t="shared" si="26"/>
        <v>0.17</v>
      </c>
      <c r="I6" s="181">
        <f t="shared" si="27"/>
        <v>0.26</v>
      </c>
      <c r="J6" s="181">
        <f t="shared" si="27"/>
        <v>0.26</v>
      </c>
      <c r="K6" s="181">
        <f>13000/100000+22000/100000</f>
        <v>0.35</v>
      </c>
      <c r="L6" s="181">
        <f t="shared" ref="L6:N7" si="29">35000/100000</f>
        <v>0.35</v>
      </c>
      <c r="M6" s="181">
        <f t="shared" si="29"/>
        <v>0.35</v>
      </c>
      <c r="N6" s="181">
        <f t="shared" si="29"/>
        <v>0.35</v>
      </c>
      <c r="O6" s="181">
        <f>50000/100000</f>
        <v>0.5</v>
      </c>
      <c r="P6" s="179">
        <f>50000/100000</f>
        <v>0.5</v>
      </c>
      <c r="Q6" s="183">
        <f t="shared" si="28"/>
        <v>0.8</v>
      </c>
      <c r="R6" s="184">
        <f t="shared" si="28"/>
        <v>0.8</v>
      </c>
      <c r="S6" s="184">
        <f t="shared" ref="S6:T8" si="30">140000/100000</f>
        <v>1.4</v>
      </c>
      <c r="T6" s="184">
        <f t="shared" si="30"/>
        <v>1.4</v>
      </c>
      <c r="U6" s="184">
        <f>140000/100000+260000/100000</f>
        <v>4</v>
      </c>
      <c r="V6" s="184">
        <f>400000/100000+225000/100000</f>
        <v>6.25</v>
      </c>
      <c r="W6" s="184">
        <f>1000000/100000</f>
        <v>10</v>
      </c>
      <c r="X6" s="184">
        <f>1200000/100000</f>
        <v>12</v>
      </c>
      <c r="Y6" s="184">
        <v>320</v>
      </c>
      <c r="Z6" s="184">
        <v>320</v>
      </c>
      <c r="AA6" s="184">
        <v>320</v>
      </c>
      <c r="AB6" s="179">
        <v>800</v>
      </c>
      <c r="AC6" s="376">
        <v>3000</v>
      </c>
      <c r="AD6" s="377">
        <v>3000</v>
      </c>
      <c r="AE6" s="377">
        <v>3000</v>
      </c>
      <c r="AF6" s="377">
        <v>5000</v>
      </c>
      <c r="AG6" s="377">
        <f>5000+3000</f>
        <v>8000</v>
      </c>
      <c r="AH6" s="377">
        <v>8000</v>
      </c>
      <c r="AI6" s="377">
        <v>10000</v>
      </c>
      <c r="AJ6" s="377">
        <v>10000</v>
      </c>
      <c r="AK6" s="377">
        <v>22000</v>
      </c>
      <c r="AL6" s="377">
        <f>20000+27000</f>
        <v>47000</v>
      </c>
      <c r="AM6" s="382">
        <v>56250</v>
      </c>
      <c r="AN6" s="378">
        <v>97500</v>
      </c>
      <c r="AO6" s="376">
        <v>136250</v>
      </c>
      <c r="AP6" s="377">
        <v>136250</v>
      </c>
      <c r="AQ6" s="377">
        <v>185250</v>
      </c>
      <c r="AR6" s="377">
        <v>186250</v>
      </c>
      <c r="AS6" s="377">
        <v>250000</v>
      </c>
      <c r="AT6" s="377"/>
      <c r="AU6" s="377"/>
      <c r="AV6" s="377"/>
      <c r="AW6" s="377"/>
      <c r="AX6" s="377"/>
      <c r="AY6" s="377"/>
      <c r="AZ6" s="378"/>
      <c r="BA6" s="403">
        <f t="shared" si="25"/>
        <v>1168550.25</v>
      </c>
    </row>
    <row r="7" spans="1:53" s="29" customFormat="1" ht="20.100000000000001" customHeight="1">
      <c r="A7" s="30" t="str">
        <f>Vecinos!A7</f>
        <v>Familia Barreto Pérez</v>
      </c>
      <c r="B7" s="31" t="str">
        <f>Vecinos!C7</f>
        <v>Av. "M" Nro. 146-15</v>
      </c>
      <c r="C7" s="36" t="str">
        <f>IF(SUMIFS(Vigilancia!$E:$E,Vigilancia!$F:$F,A7,Vigilancia!$J:$J,"Vigilancia")=BA7,"ü","û")</f>
        <v>ü</v>
      </c>
      <c r="D7" s="179"/>
      <c r="E7" s="180">
        <f>10500/100000+6500/100000</f>
        <v>0.16999999999999998</v>
      </c>
      <c r="F7" s="181">
        <f>17000/100000</f>
        <v>0.17</v>
      </c>
      <c r="G7" s="181">
        <f>17000/100000</f>
        <v>0.17</v>
      </c>
      <c r="H7" s="181">
        <f>17000/100000</f>
        <v>0.17</v>
      </c>
      <c r="I7" s="181">
        <f t="shared" si="27"/>
        <v>0.26</v>
      </c>
      <c r="J7" s="181">
        <f t="shared" si="27"/>
        <v>0.26</v>
      </c>
      <c r="K7" s="181">
        <f>35000/100000</f>
        <v>0.35</v>
      </c>
      <c r="L7" s="181">
        <f t="shared" si="29"/>
        <v>0.35</v>
      </c>
      <c r="M7" s="181">
        <f t="shared" si="29"/>
        <v>0.35</v>
      </c>
      <c r="N7" s="181">
        <f t="shared" si="29"/>
        <v>0.35</v>
      </c>
      <c r="O7" s="181">
        <f>50000/100000</f>
        <v>0.5</v>
      </c>
      <c r="P7" s="179">
        <f>50000/100000</f>
        <v>0.5</v>
      </c>
      <c r="Q7" s="183">
        <f t="shared" si="28"/>
        <v>0.8</v>
      </c>
      <c r="R7" s="184">
        <f t="shared" si="28"/>
        <v>0.8</v>
      </c>
      <c r="S7" s="184">
        <f t="shared" si="30"/>
        <v>1.4</v>
      </c>
      <c r="T7" s="184">
        <f t="shared" si="30"/>
        <v>1.4</v>
      </c>
      <c r="U7" s="184">
        <f>400000/100000</f>
        <v>4</v>
      </c>
      <c r="V7" s="184">
        <f>400000/100000+225000/100000</f>
        <v>6.25</v>
      </c>
      <c r="W7" s="184">
        <f>1000000/100000</f>
        <v>10</v>
      </c>
      <c r="X7" s="184">
        <f>1200000/100000</f>
        <v>12</v>
      </c>
      <c r="Y7" s="184">
        <v>320</v>
      </c>
      <c r="Z7" s="184">
        <v>320</v>
      </c>
      <c r="AA7" s="184">
        <v>320</v>
      </c>
      <c r="AB7" s="179">
        <v>800</v>
      </c>
      <c r="AC7" s="376">
        <v>3000</v>
      </c>
      <c r="AD7" s="377">
        <v>3000</v>
      </c>
      <c r="AE7" s="377">
        <v>3000</v>
      </c>
      <c r="AF7" s="377">
        <v>5000</v>
      </c>
      <c r="AG7" s="377">
        <v>8000</v>
      </c>
      <c r="AH7" s="377">
        <v>8000</v>
      </c>
      <c r="AI7" s="377">
        <v>10000</v>
      </c>
      <c r="AJ7" s="377">
        <v>10000</v>
      </c>
      <c r="AK7" s="377">
        <v>22000</v>
      </c>
      <c r="AL7" s="377">
        <f>19800+27200</f>
        <v>47000</v>
      </c>
      <c r="AM7" s="377">
        <v>51250</v>
      </c>
      <c r="AN7" s="378">
        <v>81750</v>
      </c>
      <c r="AO7" s="376">
        <v>136250</v>
      </c>
      <c r="AP7" s="377">
        <v>136250</v>
      </c>
      <c r="AQ7" s="377">
        <v>185250</v>
      </c>
      <c r="AR7" s="377">
        <v>186250</v>
      </c>
      <c r="AS7" s="377">
        <v>250000</v>
      </c>
      <c r="AT7" s="377"/>
      <c r="AU7" s="377"/>
      <c r="AV7" s="377"/>
      <c r="AW7" s="377"/>
      <c r="AX7" s="377"/>
      <c r="AY7" s="377"/>
      <c r="AZ7" s="378"/>
      <c r="BA7" s="403">
        <f t="shared" si="25"/>
        <v>1147800.25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6"/>
      <c r="E8" s="187">
        <f>2000/100000</f>
        <v>0.02</v>
      </c>
      <c r="F8" s="188">
        <f>2000/100000</f>
        <v>0.02</v>
      </c>
      <c r="G8" s="188">
        <f>3000/100000</f>
        <v>0.03</v>
      </c>
      <c r="H8" s="188">
        <f>3000/100000</f>
        <v>0.03</v>
      </c>
      <c r="I8" s="188">
        <f>4000/100000</f>
        <v>0.04</v>
      </c>
      <c r="J8" s="188">
        <f>4000/100000</f>
        <v>0.04</v>
      </c>
      <c r="K8" s="188">
        <f>4000/100000</f>
        <v>0.04</v>
      </c>
      <c r="L8" s="188">
        <f>4000/100000</f>
        <v>0.04</v>
      </c>
      <c r="M8" s="188">
        <f>3000/100000</f>
        <v>0.03</v>
      </c>
      <c r="N8" s="188">
        <f>5000/100000</f>
        <v>0.05</v>
      </c>
      <c r="O8" s="193" t="s">
        <v>490</v>
      </c>
      <c r="P8" s="194" t="s">
        <v>490</v>
      </c>
      <c r="Q8" s="183">
        <f t="shared" si="28"/>
        <v>0.8</v>
      </c>
      <c r="R8" s="184">
        <f t="shared" si="28"/>
        <v>0.8</v>
      </c>
      <c r="S8" s="184">
        <f t="shared" si="30"/>
        <v>1.4</v>
      </c>
      <c r="T8" s="184">
        <f t="shared" si="30"/>
        <v>1.4</v>
      </c>
      <c r="U8" s="184">
        <f>400000/100000</f>
        <v>4</v>
      </c>
      <c r="V8" s="184">
        <f>625000/100000</f>
        <v>6.25</v>
      </c>
      <c r="W8" s="184">
        <f>1000000/100000</f>
        <v>10</v>
      </c>
      <c r="X8" s="184">
        <f>1200000/100000</f>
        <v>12</v>
      </c>
      <c r="Y8" s="184">
        <v>320</v>
      </c>
      <c r="Z8" s="184">
        <v>320</v>
      </c>
      <c r="AA8" s="184">
        <v>320</v>
      </c>
      <c r="AB8" s="179">
        <v>800</v>
      </c>
      <c r="AC8" s="376">
        <f>2200+800</f>
        <v>3000</v>
      </c>
      <c r="AD8" s="377">
        <v>3000</v>
      </c>
      <c r="AE8" s="377">
        <v>3000</v>
      </c>
      <c r="AF8" s="377">
        <v>5000</v>
      </c>
      <c r="AG8" s="377">
        <v>8000</v>
      </c>
      <c r="AH8" s="377">
        <v>8000</v>
      </c>
      <c r="AI8" s="377">
        <v>10000</v>
      </c>
      <c r="AJ8" s="377">
        <v>10000</v>
      </c>
      <c r="AK8" s="377">
        <v>19800</v>
      </c>
      <c r="AL8" s="377">
        <v>51250</v>
      </c>
      <c r="AM8" s="377">
        <v>81750</v>
      </c>
      <c r="AN8" s="378">
        <v>105250</v>
      </c>
      <c r="AO8" s="376">
        <v>136250</v>
      </c>
      <c r="AP8" s="377">
        <v>185250</v>
      </c>
      <c r="AQ8" s="377">
        <v>185250</v>
      </c>
      <c r="AR8" s="377">
        <v>185250</v>
      </c>
      <c r="AS8" s="377"/>
      <c r="AT8" s="377"/>
      <c r="AU8" s="377"/>
      <c r="AV8" s="377"/>
      <c r="AW8" s="377"/>
      <c r="AX8" s="377"/>
      <c r="AY8" s="377"/>
      <c r="AZ8" s="378"/>
      <c r="BA8" s="403">
        <f t="shared" si="25"/>
        <v>1001846.99</v>
      </c>
    </row>
    <row r="9" spans="1:53" s="29" customFormat="1" ht="20.100000000000001" customHeight="1">
      <c r="A9" s="30" t="str">
        <f>Vecinos!A9</f>
        <v>Judith Lazo</v>
      </c>
      <c r="B9" s="31" t="str">
        <f>Vecinos!C9</f>
        <v>Av. "M" Nro. 146-25</v>
      </c>
      <c r="C9" s="36" t="str">
        <f>IF(SUMIFS(Vigilancia!$E:$E,Vigilancia!$F:$F,A9,Vigilancia!$J:$J,"Vigilancia")=BA9,"ü","û")</f>
        <v>ü</v>
      </c>
      <c r="D9" s="179"/>
      <c r="E9" s="180"/>
      <c r="F9" s="181"/>
      <c r="G9" s="181"/>
      <c r="H9" s="181"/>
      <c r="I9" s="181"/>
      <c r="J9" s="181"/>
      <c r="K9" s="181"/>
      <c r="L9" s="181"/>
      <c r="M9" s="181"/>
      <c r="N9" s="181"/>
      <c r="O9" s="181"/>
      <c r="P9" s="179"/>
      <c r="Q9" s="183"/>
      <c r="R9" s="184"/>
      <c r="S9" s="184"/>
      <c r="T9" s="184"/>
      <c r="U9" s="184"/>
      <c r="V9" s="184"/>
      <c r="W9" s="184"/>
      <c r="X9" s="184"/>
      <c r="Y9" s="184"/>
      <c r="Z9" s="184"/>
      <c r="AA9" s="184"/>
      <c r="AB9" s="179"/>
      <c r="AC9" s="376"/>
      <c r="AD9" s="377"/>
      <c r="AE9" s="377"/>
      <c r="AF9" s="377"/>
      <c r="AG9" s="377"/>
      <c r="AH9" s="377"/>
      <c r="AI9" s="377"/>
      <c r="AJ9" s="377"/>
      <c r="AK9" s="377"/>
      <c r="AL9" s="377"/>
      <c r="AM9" s="377"/>
      <c r="AN9" s="378"/>
      <c r="AO9" s="376"/>
      <c r="AP9" s="377"/>
      <c r="AQ9" s="377"/>
      <c r="AR9" s="377"/>
      <c r="AS9" s="377"/>
      <c r="AT9" s="377"/>
      <c r="AU9" s="377"/>
      <c r="AV9" s="377"/>
      <c r="AW9" s="377"/>
      <c r="AX9" s="377"/>
      <c r="AY9" s="377"/>
      <c r="AZ9" s="378"/>
      <c r="BA9" s="403">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79"/>
      <c r="E10" s="195">
        <f>12000/100000</f>
        <v>0.12</v>
      </c>
      <c r="F10" s="181">
        <f>20000/100000</f>
        <v>0.2</v>
      </c>
      <c r="G10" s="181">
        <f>20000/100000</f>
        <v>0.2</v>
      </c>
      <c r="H10" s="181">
        <f>20000/100000</f>
        <v>0.2</v>
      </c>
      <c r="I10" s="181">
        <f>30000/100000</f>
        <v>0.3</v>
      </c>
      <c r="J10" s="181">
        <f>30000/100000</f>
        <v>0.3</v>
      </c>
      <c r="K10" s="181">
        <f>30000/100000+10000/100000</f>
        <v>0.4</v>
      </c>
      <c r="L10" s="181">
        <f>40000/100000</f>
        <v>0.4</v>
      </c>
      <c r="M10" s="181">
        <f>40000/100000</f>
        <v>0.4</v>
      </c>
      <c r="N10" s="181">
        <f>40000/100000</f>
        <v>0.4</v>
      </c>
      <c r="O10" s="181">
        <f>54000/100000</f>
        <v>0.54</v>
      </c>
      <c r="P10" s="179">
        <f>54000/100000</f>
        <v>0.54</v>
      </c>
      <c r="Q10" s="183">
        <f>86400/100000</f>
        <v>0.86399999999999999</v>
      </c>
      <c r="R10" s="184">
        <f>86400/100000</f>
        <v>0.86399999999999999</v>
      </c>
      <c r="S10" s="184">
        <f>155000/100000</f>
        <v>1.55</v>
      </c>
      <c r="T10" s="184">
        <f>155000/100000</f>
        <v>1.55</v>
      </c>
      <c r="U10" s="196">
        <f>400000/100000</f>
        <v>4</v>
      </c>
      <c r="V10" s="184">
        <f>690000/100000</f>
        <v>6.9</v>
      </c>
      <c r="W10" s="184">
        <f>1100000/100000</f>
        <v>11</v>
      </c>
      <c r="X10" s="191">
        <f>1100000/100000+2.2</f>
        <v>13.2</v>
      </c>
      <c r="Y10" s="184">
        <v>320</v>
      </c>
      <c r="Z10" s="184">
        <f>320+35</f>
        <v>355</v>
      </c>
      <c r="AA10" s="191">
        <f>35+320</f>
        <v>355</v>
      </c>
      <c r="AB10" s="179">
        <f>35+765</f>
        <v>800</v>
      </c>
      <c r="AC10" s="379" t="s">
        <v>1228</v>
      </c>
      <c r="AD10" s="380"/>
      <c r="AE10" s="380"/>
      <c r="AF10" s="380"/>
      <c r="AG10" s="380"/>
      <c r="AH10" s="380"/>
      <c r="AI10" s="380"/>
      <c r="AJ10" s="380"/>
      <c r="AK10" s="380"/>
      <c r="AL10" s="380"/>
      <c r="AM10" s="380"/>
      <c r="AN10" s="391"/>
      <c r="AO10" s="379"/>
      <c r="AP10" s="380"/>
      <c r="AQ10" s="380"/>
      <c r="AR10" s="380"/>
      <c r="AS10" s="380"/>
      <c r="AT10" s="380"/>
      <c r="AU10" s="380"/>
      <c r="AV10" s="380"/>
      <c r="AW10" s="380"/>
      <c r="AX10" s="380"/>
      <c r="AY10" s="380"/>
      <c r="AZ10" s="391"/>
      <c r="BA10" s="541">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4"/>
      <c r="E11" s="215"/>
      <c r="F11" s="216"/>
      <c r="G11" s="216"/>
      <c r="H11" s="216"/>
      <c r="I11" s="216"/>
      <c r="J11" s="216"/>
      <c r="K11" s="216"/>
      <c r="L11" s="216"/>
      <c r="M11" s="216"/>
      <c r="N11" s="216"/>
      <c r="O11" s="216"/>
      <c r="P11" s="214"/>
      <c r="Q11" s="217"/>
      <c r="R11" s="218"/>
      <c r="S11" s="218"/>
      <c r="T11" s="218"/>
      <c r="U11" s="218"/>
      <c r="V11" s="218"/>
      <c r="W11" s="218"/>
      <c r="X11" s="218"/>
      <c r="Y11" s="218"/>
      <c r="Z11" s="218"/>
      <c r="AA11" s="218"/>
      <c r="AB11" s="214"/>
      <c r="AC11" s="381">
        <v>3000</v>
      </c>
      <c r="AD11" s="377">
        <v>3000</v>
      </c>
      <c r="AE11" s="377">
        <v>3000</v>
      </c>
      <c r="AF11" s="377">
        <v>5000</v>
      </c>
      <c r="AG11" s="377">
        <f>1000+7000</f>
        <v>8000</v>
      </c>
      <c r="AH11" s="377">
        <v>8000</v>
      </c>
      <c r="AI11" s="510" t="s">
        <v>1229</v>
      </c>
      <c r="AJ11" s="380"/>
      <c r="AK11" s="380"/>
      <c r="AL11" s="380"/>
      <c r="AM11" s="380"/>
      <c r="AN11" s="391"/>
      <c r="AO11" s="379"/>
      <c r="AP11" s="380"/>
      <c r="AQ11" s="380"/>
      <c r="AR11" s="380"/>
      <c r="AS11" s="380"/>
      <c r="AT11" s="380"/>
      <c r="AU11" s="510"/>
      <c r="AV11" s="380"/>
      <c r="AW11" s="380"/>
      <c r="AX11" s="380"/>
      <c r="AY11" s="380"/>
      <c r="AZ11" s="391"/>
      <c r="BA11" s="406">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4"/>
      <c r="E12" s="215"/>
      <c r="F12" s="216"/>
      <c r="G12" s="216"/>
      <c r="H12" s="216"/>
      <c r="I12" s="216"/>
      <c r="J12" s="216"/>
      <c r="K12" s="216"/>
      <c r="L12" s="216"/>
      <c r="M12" s="216"/>
      <c r="N12" s="216"/>
      <c r="O12" s="216"/>
      <c r="P12" s="214"/>
      <c r="Q12" s="217"/>
      <c r="R12" s="218"/>
      <c r="S12" s="218"/>
      <c r="T12" s="218"/>
      <c r="U12" s="218"/>
      <c r="V12" s="218"/>
      <c r="W12" s="218"/>
      <c r="X12" s="218"/>
      <c r="Y12" s="218"/>
      <c r="Z12" s="218"/>
      <c r="AA12" s="218"/>
      <c r="AB12" s="214"/>
      <c r="AC12" s="486"/>
      <c r="AD12" s="487"/>
      <c r="AE12" s="487"/>
      <c r="AF12" s="487"/>
      <c r="AG12" s="487"/>
      <c r="AH12" s="487"/>
      <c r="AI12" s="377">
        <v>10000</v>
      </c>
      <c r="AJ12" s="377">
        <v>10000</v>
      </c>
      <c r="AK12" s="377">
        <v>19800</v>
      </c>
      <c r="AL12" s="377">
        <v>51250</v>
      </c>
      <c r="AM12" s="377">
        <v>81750</v>
      </c>
      <c r="AN12" s="378">
        <v>81750</v>
      </c>
      <c r="AO12" s="381">
        <v>136250</v>
      </c>
      <c r="AP12" s="377">
        <v>136250</v>
      </c>
      <c r="AQ12" s="377">
        <v>185000</v>
      </c>
      <c r="AR12" s="377">
        <v>185250</v>
      </c>
      <c r="AS12" s="377">
        <v>250000</v>
      </c>
      <c r="AT12" s="377"/>
      <c r="AU12" s="377"/>
      <c r="AV12" s="377"/>
      <c r="AW12" s="377"/>
      <c r="AX12" s="377"/>
      <c r="AY12" s="377"/>
      <c r="AZ12" s="378"/>
      <c r="BA12" s="403">
        <f t="shared" si="25"/>
        <v>1147300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79"/>
      <c r="E13" s="180">
        <f>17000/100000</f>
        <v>0.17</v>
      </c>
      <c r="F13" s="181">
        <f>17000/100000</f>
        <v>0.17</v>
      </c>
      <c r="G13" s="181">
        <f>17000/100000</f>
        <v>0.17</v>
      </c>
      <c r="H13" s="181">
        <f>17000/100000</f>
        <v>0.17</v>
      </c>
      <c r="I13" s="181">
        <f>26000/100000</f>
        <v>0.26</v>
      </c>
      <c r="J13" s="181">
        <f>26000/100000</f>
        <v>0.26</v>
      </c>
      <c r="K13" s="181">
        <f>26000/100000+9000/100000</f>
        <v>0.35</v>
      </c>
      <c r="L13" s="181">
        <f>35000/100000</f>
        <v>0.35</v>
      </c>
      <c r="M13" s="181">
        <f>35000/100000</f>
        <v>0.35</v>
      </c>
      <c r="N13" s="181">
        <f>35000/100000</f>
        <v>0.35</v>
      </c>
      <c r="O13" s="181">
        <f>50000/100000</f>
        <v>0.5</v>
      </c>
      <c r="P13" s="179">
        <f>50000/100000</f>
        <v>0.5</v>
      </c>
      <c r="Q13" s="183">
        <f>80000/100000</f>
        <v>0.8</v>
      </c>
      <c r="R13" s="184">
        <f>80000/100000</f>
        <v>0.8</v>
      </c>
      <c r="S13" s="184">
        <f>140000/100000</f>
        <v>1.4</v>
      </c>
      <c r="T13" s="184">
        <f>140000/100000</f>
        <v>1.4</v>
      </c>
      <c r="U13" s="184">
        <f>400000/100000</f>
        <v>4</v>
      </c>
      <c r="V13" s="184">
        <f>400000/100000+225000/100000</f>
        <v>6.25</v>
      </c>
      <c r="W13" s="184">
        <f>1000000/100000</f>
        <v>10</v>
      </c>
      <c r="X13" s="191">
        <f>990000/100000+210000/100000</f>
        <v>12</v>
      </c>
      <c r="Y13" s="184">
        <v>320</v>
      </c>
      <c r="Z13" s="184">
        <v>320</v>
      </c>
      <c r="AA13" s="184">
        <v>320</v>
      </c>
      <c r="AB13" s="179">
        <v>800</v>
      </c>
      <c r="AC13" s="381">
        <f>800+2200</f>
        <v>3000</v>
      </c>
      <c r="AD13" s="377">
        <v>3000</v>
      </c>
      <c r="AE13" s="377">
        <v>3000</v>
      </c>
      <c r="AF13" s="377">
        <v>5000</v>
      </c>
      <c r="AG13" s="377">
        <v>8000</v>
      </c>
      <c r="AH13" s="377">
        <v>8000</v>
      </c>
      <c r="AI13" s="377">
        <v>10000</v>
      </c>
      <c r="AJ13" s="377">
        <v>10000</v>
      </c>
      <c r="AK13" s="377">
        <v>23400</v>
      </c>
      <c r="AL13" s="377">
        <f>21100+25900</f>
        <v>47000</v>
      </c>
      <c r="AM13" s="377">
        <v>73500</v>
      </c>
      <c r="AN13" s="378">
        <v>105250</v>
      </c>
      <c r="AO13" s="381">
        <v>136250</v>
      </c>
      <c r="AP13" s="377">
        <v>136250</v>
      </c>
      <c r="AQ13" s="377">
        <v>185250</v>
      </c>
      <c r="AR13" s="377">
        <v>185250</v>
      </c>
      <c r="AS13" s="377">
        <v>250000</v>
      </c>
      <c r="AT13" s="377"/>
      <c r="AU13" s="377"/>
      <c r="AV13" s="377"/>
      <c r="AW13" s="377"/>
      <c r="AX13" s="377"/>
      <c r="AY13" s="377"/>
      <c r="AZ13" s="378"/>
      <c r="BA13" s="403">
        <f t="shared" si="25"/>
        <v>1193950.25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79"/>
      <c r="E14" s="180"/>
      <c r="F14" s="181"/>
      <c r="G14" s="181"/>
      <c r="H14" s="181"/>
      <c r="I14" s="181"/>
      <c r="J14" s="181"/>
      <c r="K14" s="181"/>
      <c r="L14" s="181"/>
      <c r="M14" s="181"/>
      <c r="N14" s="181"/>
      <c r="O14" s="181"/>
      <c r="P14" s="179"/>
      <c r="Q14" s="183"/>
      <c r="R14" s="184"/>
      <c r="S14" s="184"/>
      <c r="T14" s="184"/>
      <c r="U14" s="184"/>
      <c r="V14" s="184"/>
      <c r="W14" s="184"/>
      <c r="X14" s="184"/>
      <c r="Y14" s="184"/>
      <c r="Z14" s="184"/>
      <c r="AA14" s="184"/>
      <c r="AB14" s="179"/>
      <c r="AC14" s="376"/>
      <c r="AD14" s="377"/>
      <c r="AE14" s="377"/>
      <c r="AF14" s="377"/>
      <c r="AG14" s="377"/>
      <c r="AH14" s="377"/>
      <c r="AI14" s="377"/>
      <c r="AJ14" s="377"/>
      <c r="AK14" s="377"/>
      <c r="AL14" s="377"/>
      <c r="AM14" s="377"/>
      <c r="AN14" s="378"/>
      <c r="AO14" s="376"/>
      <c r="AP14" s="377"/>
      <c r="AQ14" s="377"/>
      <c r="AR14" s="377"/>
      <c r="AS14" s="377"/>
      <c r="AT14" s="377"/>
      <c r="AU14" s="377"/>
      <c r="AV14" s="377"/>
      <c r="AW14" s="377"/>
      <c r="AX14" s="377"/>
      <c r="AY14" s="377"/>
      <c r="AZ14" s="378"/>
      <c r="BA14" s="403">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79"/>
      <c r="E15" s="180"/>
      <c r="F15" s="181"/>
      <c r="G15" s="181"/>
      <c r="H15" s="181"/>
      <c r="I15" s="181"/>
      <c r="J15" s="181"/>
      <c r="K15" s="181"/>
      <c r="L15" s="181"/>
      <c r="M15" s="181"/>
      <c r="N15" s="181"/>
      <c r="O15" s="181"/>
      <c r="P15" s="179"/>
      <c r="Q15" s="183"/>
      <c r="R15" s="184"/>
      <c r="S15" s="184"/>
      <c r="T15" s="184"/>
      <c r="U15" s="184"/>
      <c r="V15" s="184"/>
      <c r="W15" s="184"/>
      <c r="X15" s="184"/>
      <c r="Y15" s="184"/>
      <c r="Z15" s="184"/>
      <c r="AA15" s="184"/>
      <c r="AB15" s="179"/>
      <c r="AC15" s="376"/>
      <c r="AD15" s="377"/>
      <c r="AE15" s="377"/>
      <c r="AF15" s="377"/>
      <c r="AG15" s="377"/>
      <c r="AH15" s="377"/>
      <c r="AI15" s="377"/>
      <c r="AJ15" s="377"/>
      <c r="AK15" s="377"/>
      <c r="AL15" s="377"/>
      <c r="AM15" s="377"/>
      <c r="AN15" s="378"/>
      <c r="AO15" s="376"/>
      <c r="AP15" s="377"/>
      <c r="AQ15" s="377"/>
      <c r="AR15" s="377"/>
      <c r="AS15" s="377"/>
      <c r="AT15" s="377"/>
      <c r="AU15" s="377"/>
      <c r="AV15" s="377"/>
      <c r="AW15" s="377"/>
      <c r="AX15" s="377"/>
      <c r="AY15" s="377"/>
      <c r="AZ15" s="378"/>
      <c r="BA15" s="403">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6"/>
      <c r="E16" s="187">
        <f>10500/100000</f>
        <v>0.105</v>
      </c>
      <c r="F16" s="188">
        <f>10500/100000+6500/100000</f>
        <v>0.16999999999999998</v>
      </c>
      <c r="G16" s="188">
        <f>10500/100000</f>
        <v>0.105</v>
      </c>
      <c r="H16" s="181">
        <f>17000/100000</f>
        <v>0.17</v>
      </c>
      <c r="I16" s="181">
        <f>20000/100000+6000/100000</f>
        <v>0.26</v>
      </c>
      <c r="J16" s="181">
        <f>26000/100000</f>
        <v>0.26</v>
      </c>
      <c r="K16" s="181">
        <f>20000/100000+15000/100000</f>
        <v>0.35</v>
      </c>
      <c r="L16" s="181">
        <f t="shared" ref="L16:N17" si="31">35000/100000</f>
        <v>0.35</v>
      </c>
      <c r="M16" s="181">
        <f t="shared" si="31"/>
        <v>0.35</v>
      </c>
      <c r="N16" s="181">
        <f t="shared" si="31"/>
        <v>0.35</v>
      </c>
      <c r="O16" s="181">
        <f>30000/100000+20000/100000</f>
        <v>0.5</v>
      </c>
      <c r="P16" s="179">
        <f>50000/100000</f>
        <v>0.5</v>
      </c>
      <c r="Q16" s="183">
        <f>30000/100000+50000/100000</f>
        <v>0.8</v>
      </c>
      <c r="R16" s="184">
        <f>50000/100000+30000/100000</f>
        <v>0.8</v>
      </c>
      <c r="S16" s="184">
        <f>140000/100000</f>
        <v>1.4</v>
      </c>
      <c r="T16" s="184">
        <f>140000/100000</f>
        <v>1.4</v>
      </c>
      <c r="U16" s="184">
        <f>400000/100000</f>
        <v>4</v>
      </c>
      <c r="V16" s="184">
        <f>400000/100000+225000/100000</f>
        <v>6.25</v>
      </c>
      <c r="W16" s="184">
        <f>1000000/100000</f>
        <v>10</v>
      </c>
      <c r="X16" s="191">
        <f>1000000/100000+2</f>
        <v>12</v>
      </c>
      <c r="Y16" s="184">
        <v>320</v>
      </c>
      <c r="Z16" s="184">
        <v>320</v>
      </c>
      <c r="AA16" s="184">
        <v>320</v>
      </c>
      <c r="AB16" s="179">
        <v>800</v>
      </c>
      <c r="AC16" s="376">
        <v>3000</v>
      </c>
      <c r="AD16" s="377">
        <v>3000</v>
      </c>
      <c r="AE16" s="377">
        <v>3000</v>
      </c>
      <c r="AF16" s="377">
        <f>3000+2000</f>
        <v>5000</v>
      </c>
      <c r="AG16" s="377">
        <v>8000</v>
      </c>
      <c r="AH16" s="377">
        <v>8000</v>
      </c>
      <c r="AI16" s="377">
        <v>10000</v>
      </c>
      <c r="AJ16" s="377">
        <v>10000</v>
      </c>
      <c r="AK16" s="377">
        <v>20300</v>
      </c>
      <c r="AL16" s="377">
        <v>64500</v>
      </c>
      <c r="AM16" s="377">
        <v>105250</v>
      </c>
      <c r="AN16" s="378">
        <v>105250</v>
      </c>
      <c r="AO16" s="381">
        <v>136250</v>
      </c>
      <c r="AP16" s="377">
        <v>185250</v>
      </c>
      <c r="AQ16" s="377">
        <v>185250</v>
      </c>
      <c r="AR16" s="377"/>
      <c r="AS16" s="377"/>
      <c r="AT16" s="377"/>
      <c r="AU16" s="377"/>
      <c r="AV16" s="377"/>
      <c r="AW16" s="377"/>
      <c r="AX16" s="377"/>
      <c r="AY16" s="377"/>
      <c r="AZ16" s="378"/>
      <c r="BA16" s="403">
        <f t="shared" si="25"/>
        <v>853850.12</v>
      </c>
    </row>
    <row r="17" spans="1:53" s="29" customFormat="1" ht="20.100000000000001" customHeight="1">
      <c r="A17" s="30" t="str">
        <f>Vecinos!A17</f>
        <v>Ana de González</v>
      </c>
      <c r="B17" s="31" t="str">
        <f>Vecinos!C17</f>
        <v>Av. "O" Nro. 146-17</v>
      </c>
      <c r="C17" s="36" t="str">
        <f>IF(SUMIFS(Vigilancia!$E:$E,Vigilancia!$F:$F,A17,Vigilancia!$J:$J,"Vigilancia")=BA17,"ü","û")</f>
        <v>ü</v>
      </c>
      <c r="D17" s="179"/>
      <c r="E17" s="180">
        <f>17000/100000</f>
        <v>0.17</v>
      </c>
      <c r="F17" s="181">
        <f>17000/100000</f>
        <v>0.17</v>
      </c>
      <c r="G17" s="181">
        <f>17000/100000</f>
        <v>0.17</v>
      </c>
      <c r="H17" s="181">
        <f>17000/100000</f>
        <v>0.17</v>
      </c>
      <c r="I17" s="181">
        <f>17000/100000+9000/100000</f>
        <v>0.26</v>
      </c>
      <c r="J17" s="181">
        <f>17000/100000+9000/100000</f>
        <v>0.26</v>
      </c>
      <c r="K17" s="181">
        <f>26000/100000+9000/100000</f>
        <v>0.35</v>
      </c>
      <c r="L17" s="181">
        <f t="shared" si="31"/>
        <v>0.35</v>
      </c>
      <c r="M17" s="181">
        <f t="shared" si="31"/>
        <v>0.35</v>
      </c>
      <c r="N17" s="181">
        <f t="shared" si="31"/>
        <v>0.35</v>
      </c>
      <c r="O17" s="181">
        <f>50000/100000</f>
        <v>0.5</v>
      </c>
      <c r="P17" s="179">
        <f>50000/100000</f>
        <v>0.5</v>
      </c>
      <c r="Q17" s="183">
        <f>80000/100000</f>
        <v>0.8</v>
      </c>
      <c r="R17" s="184">
        <f>80000/100000</f>
        <v>0.8</v>
      </c>
      <c r="S17" s="184">
        <f>140000/100000</f>
        <v>1.4</v>
      </c>
      <c r="T17" s="184">
        <f>140000/100000</f>
        <v>1.4</v>
      </c>
      <c r="U17" s="184">
        <f>400000/100000</f>
        <v>4</v>
      </c>
      <c r="V17" s="184">
        <f>625000/100000</f>
        <v>6.25</v>
      </c>
      <c r="W17" s="184">
        <f>1000000/100000</f>
        <v>10</v>
      </c>
      <c r="X17" s="184">
        <v>12</v>
      </c>
      <c r="Y17" s="184">
        <v>320</v>
      </c>
      <c r="Z17" s="184">
        <v>320</v>
      </c>
      <c r="AA17" s="184">
        <v>320</v>
      </c>
      <c r="AB17" s="179">
        <v>800</v>
      </c>
      <c r="AC17" s="376">
        <v>3000</v>
      </c>
      <c r="AD17" s="377">
        <v>3000</v>
      </c>
      <c r="AE17" s="377">
        <v>3000</v>
      </c>
      <c r="AF17" s="377">
        <f>3000+2000</f>
        <v>5000</v>
      </c>
      <c r="AG17" s="377">
        <v>8000</v>
      </c>
      <c r="AH17" s="388">
        <v>2000</v>
      </c>
      <c r="AI17" s="377">
        <v>10000</v>
      </c>
      <c r="AJ17" s="377">
        <v>10000</v>
      </c>
      <c r="AK17" s="483">
        <v>21600</v>
      </c>
      <c r="AL17" s="377">
        <v>51250</v>
      </c>
      <c r="AM17" s="377">
        <v>73500</v>
      </c>
      <c r="AN17" s="378">
        <v>136250</v>
      </c>
      <c r="AO17" s="381">
        <v>136250</v>
      </c>
      <c r="AP17" s="377">
        <v>136250</v>
      </c>
      <c r="AQ17" s="377">
        <v>185250</v>
      </c>
      <c r="AR17" s="377">
        <v>186000</v>
      </c>
      <c r="AS17" s="377">
        <v>250000</v>
      </c>
      <c r="AT17" s="377">
        <v>300000</v>
      </c>
      <c r="AU17" s="377"/>
      <c r="AV17" s="377"/>
      <c r="AW17" s="377"/>
      <c r="AX17" s="377"/>
      <c r="AY17" s="377"/>
      <c r="AZ17" s="378"/>
      <c r="BA17" s="403">
        <f t="shared" si="25"/>
        <v>1522150.25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79"/>
      <c r="E18" s="180"/>
      <c r="F18" s="181"/>
      <c r="G18" s="181"/>
      <c r="H18" s="181"/>
      <c r="I18" s="181"/>
      <c r="J18" s="181"/>
      <c r="K18" s="181"/>
      <c r="L18" s="181"/>
      <c r="M18" s="181"/>
      <c r="N18" s="181"/>
      <c r="O18" s="181"/>
      <c r="P18" s="179"/>
      <c r="Q18" s="183"/>
      <c r="R18" s="184"/>
      <c r="S18" s="184"/>
      <c r="T18" s="184"/>
      <c r="U18" s="184"/>
      <c r="V18" s="184"/>
      <c r="W18" s="184"/>
      <c r="X18" s="184"/>
      <c r="Y18" s="184"/>
      <c r="Z18" s="184"/>
      <c r="AA18" s="184"/>
      <c r="AB18" s="179"/>
      <c r="AC18" s="376"/>
      <c r="AD18" s="377"/>
      <c r="AE18" s="377"/>
      <c r="AF18" s="377"/>
      <c r="AG18" s="377"/>
      <c r="AH18" s="377"/>
      <c r="AI18" s="377"/>
      <c r="AJ18" s="377"/>
      <c r="AK18" s="377"/>
      <c r="AL18" s="377"/>
      <c r="AM18" s="377"/>
      <c r="AN18" s="378"/>
      <c r="AO18" s="376"/>
      <c r="AP18" s="377"/>
      <c r="AQ18" s="377"/>
      <c r="AR18" s="377"/>
      <c r="AS18" s="377"/>
      <c r="AT18" s="377"/>
      <c r="AU18" s="377"/>
      <c r="AV18" s="377"/>
      <c r="AW18" s="377"/>
      <c r="AX18" s="377"/>
      <c r="AY18" s="377"/>
      <c r="AZ18" s="378"/>
      <c r="BA18" s="403">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79"/>
      <c r="E19" s="180"/>
      <c r="F19" s="181"/>
      <c r="G19" s="181"/>
      <c r="H19" s="181"/>
      <c r="I19" s="181"/>
      <c r="J19" s="181"/>
      <c r="K19" s="181"/>
      <c r="L19" s="181"/>
      <c r="M19" s="181"/>
      <c r="N19" s="181"/>
      <c r="O19" s="181"/>
      <c r="P19" s="179"/>
      <c r="Q19" s="183"/>
      <c r="R19" s="184"/>
      <c r="S19" s="184"/>
      <c r="T19" s="184"/>
      <c r="U19" s="184"/>
      <c r="V19" s="184"/>
      <c r="W19" s="184"/>
      <c r="X19" s="184"/>
      <c r="Y19" s="184"/>
      <c r="Z19" s="184"/>
      <c r="AA19" s="184"/>
      <c r="AB19" s="179"/>
      <c r="AC19" s="376"/>
      <c r="AD19" s="377"/>
      <c r="AE19" s="377"/>
      <c r="AF19" s="377"/>
      <c r="AG19" s="377"/>
      <c r="AH19" s="377"/>
      <c r="AI19" s="377"/>
      <c r="AJ19" s="377"/>
      <c r="AK19" s="377"/>
      <c r="AL19" s="377"/>
      <c r="AM19" s="377"/>
      <c r="AN19" s="378"/>
      <c r="AO19" s="376"/>
      <c r="AP19" s="377"/>
      <c r="AQ19" s="377"/>
      <c r="AR19" s="377"/>
      <c r="AS19" s="377"/>
      <c r="AT19" s="377"/>
      <c r="AU19" s="377"/>
      <c r="AV19" s="377"/>
      <c r="AW19" s="377"/>
      <c r="AX19" s="377"/>
      <c r="AY19" s="377"/>
      <c r="AZ19" s="378"/>
      <c r="BA19" s="403">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6"/>
      <c r="E20" s="187">
        <f t="shared" ref="E20:K20" si="32">17000/100000</f>
        <v>0.17</v>
      </c>
      <c r="F20" s="188">
        <f t="shared" si="32"/>
        <v>0.17</v>
      </c>
      <c r="G20" s="188">
        <f t="shared" si="32"/>
        <v>0.17</v>
      </c>
      <c r="H20" s="188">
        <f t="shared" si="32"/>
        <v>0.17</v>
      </c>
      <c r="I20" s="188">
        <f t="shared" si="32"/>
        <v>0.17</v>
      </c>
      <c r="J20" s="188">
        <f t="shared" si="32"/>
        <v>0.17</v>
      </c>
      <c r="K20" s="188">
        <f t="shared" si="32"/>
        <v>0.17</v>
      </c>
      <c r="L20" s="188">
        <f>20000/100000</f>
        <v>0.2</v>
      </c>
      <c r="M20" s="188">
        <f>25000/100000</f>
        <v>0.25</v>
      </c>
      <c r="N20" s="188">
        <f>25000/100000</f>
        <v>0.25</v>
      </c>
      <c r="O20" s="188">
        <f>25000/100000</f>
        <v>0.25</v>
      </c>
      <c r="P20" s="186">
        <f>25000/100000</f>
        <v>0.25</v>
      </c>
      <c r="Q20" s="183">
        <f>80000/100000</f>
        <v>0.8</v>
      </c>
      <c r="R20" s="184">
        <f>80000/100000</f>
        <v>0.8</v>
      </c>
      <c r="S20" s="184">
        <f>140000/100000</f>
        <v>1.4</v>
      </c>
      <c r="T20" s="184">
        <f>140000/100000</f>
        <v>1.4</v>
      </c>
      <c r="U20" s="192">
        <f>10000/100000+190000/100000</f>
        <v>2</v>
      </c>
      <c r="V20" s="184">
        <f>400000/100000+225000/100000</f>
        <v>6.25</v>
      </c>
      <c r="W20" s="184">
        <f>1000000/100000</f>
        <v>10</v>
      </c>
      <c r="X20" s="184">
        <f>1200000/100000</f>
        <v>12</v>
      </c>
      <c r="Y20" s="184">
        <v>160</v>
      </c>
      <c r="Z20" s="184">
        <v>320</v>
      </c>
      <c r="AA20" s="184">
        <v>320</v>
      </c>
      <c r="AB20" s="179">
        <v>800</v>
      </c>
      <c r="AC20" s="381">
        <f>800+1600+600</f>
        <v>3000</v>
      </c>
      <c r="AD20" s="377">
        <v>3000</v>
      </c>
      <c r="AE20" s="377">
        <v>3000</v>
      </c>
      <c r="AF20" s="377">
        <f>3000+2000</f>
        <v>5000</v>
      </c>
      <c r="AG20" s="377">
        <f>5000+3000</f>
        <v>8000</v>
      </c>
      <c r="AH20" s="377">
        <v>8000</v>
      </c>
      <c r="AI20" s="377">
        <v>10000</v>
      </c>
      <c r="AJ20" s="377">
        <v>10000</v>
      </c>
      <c r="AK20" s="377">
        <f>10000+10500</f>
        <v>20500</v>
      </c>
      <c r="AL20" s="374">
        <f>21100</f>
        <v>21100</v>
      </c>
      <c r="AM20" s="374">
        <v>33750</v>
      </c>
      <c r="AN20" s="375">
        <v>32700</v>
      </c>
      <c r="AO20" s="373">
        <v>54500</v>
      </c>
      <c r="AP20" s="374">
        <v>60500</v>
      </c>
      <c r="AQ20" s="374">
        <f>260225-185250</f>
        <v>74975</v>
      </c>
      <c r="AR20" s="374">
        <f>260225-185250</f>
        <v>74975</v>
      </c>
      <c r="AS20" s="374">
        <f>270000-185250+40250</f>
        <v>125000</v>
      </c>
      <c r="AT20" s="374"/>
      <c r="AU20" s="374"/>
      <c r="AV20" s="374"/>
      <c r="AW20" s="374"/>
      <c r="AX20" s="374"/>
      <c r="AY20" s="374"/>
      <c r="AZ20" s="375"/>
      <c r="BA20" s="403">
        <f t="shared" si="25"/>
        <v>549637.04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7"/>
      <c r="E21" s="198"/>
      <c r="F21" s="199"/>
      <c r="G21" s="199"/>
      <c r="H21" s="199"/>
      <c r="I21" s="199"/>
      <c r="J21" s="199"/>
      <c r="K21" s="199"/>
      <c r="L21" s="199"/>
      <c r="M21" s="199"/>
      <c r="N21" s="199"/>
      <c r="O21" s="199"/>
      <c r="P21" s="197"/>
      <c r="Q21" s="200"/>
      <c r="R21" s="201"/>
      <c r="S21" s="201"/>
      <c r="T21" s="201"/>
      <c r="U21" s="201"/>
      <c r="V21" s="201"/>
      <c r="W21" s="201"/>
      <c r="X21" s="201"/>
      <c r="Y21" s="201"/>
      <c r="Z21" s="201"/>
      <c r="AA21" s="201"/>
      <c r="AB21" s="197"/>
      <c r="AC21" s="384"/>
      <c r="AD21" s="385"/>
      <c r="AE21" s="385"/>
      <c r="AF21" s="385"/>
      <c r="AG21" s="385"/>
      <c r="AH21" s="385"/>
      <c r="AI21" s="385"/>
      <c r="AJ21" s="385"/>
      <c r="AK21" s="385"/>
      <c r="AL21" s="385"/>
      <c r="AM21" s="385"/>
      <c r="AN21" s="386"/>
      <c r="AO21" s="384"/>
      <c r="AP21" s="385"/>
      <c r="AQ21" s="385"/>
      <c r="AR21" s="385"/>
      <c r="AS21" s="385"/>
      <c r="AT21" s="385"/>
      <c r="AU21" s="385"/>
      <c r="AV21" s="385"/>
      <c r="AW21" s="385"/>
      <c r="AX21" s="385"/>
      <c r="AY21" s="385"/>
      <c r="AZ21" s="386"/>
      <c r="BA21" s="404">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7"/>
      <c r="E22" s="198"/>
      <c r="F22" s="199"/>
      <c r="G22" s="199"/>
      <c r="H22" s="199"/>
      <c r="I22" s="199"/>
      <c r="J22" s="199"/>
      <c r="K22" s="199"/>
      <c r="L22" s="199"/>
      <c r="M22" s="199"/>
      <c r="N22" s="199"/>
      <c r="O22" s="199"/>
      <c r="P22" s="197"/>
      <c r="Q22" s="200"/>
      <c r="R22" s="201"/>
      <c r="S22" s="201"/>
      <c r="T22" s="201"/>
      <c r="U22" s="201"/>
      <c r="V22" s="201"/>
      <c r="W22" s="201"/>
      <c r="X22" s="201"/>
      <c r="Y22" s="201"/>
      <c r="Z22" s="201"/>
      <c r="AA22" s="201"/>
      <c r="AB22" s="197"/>
      <c r="AC22" s="384"/>
      <c r="AD22" s="385"/>
      <c r="AE22" s="385"/>
      <c r="AF22" s="385"/>
      <c r="AG22" s="385"/>
      <c r="AH22" s="385"/>
      <c r="AI22" s="385"/>
      <c r="AJ22" s="385"/>
      <c r="AK22" s="385"/>
      <c r="AL22" s="385"/>
      <c r="AM22" s="385"/>
      <c r="AN22" s="386"/>
      <c r="AO22" s="384"/>
      <c r="AP22" s="385"/>
      <c r="AQ22" s="385"/>
      <c r="AR22" s="385"/>
      <c r="AS22" s="385"/>
      <c r="AT22" s="385"/>
      <c r="AU22" s="385"/>
      <c r="AV22" s="385"/>
      <c r="AW22" s="385"/>
      <c r="AX22" s="385"/>
      <c r="AY22" s="385"/>
      <c r="AZ22" s="386"/>
      <c r="BA22" s="404">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7"/>
      <c r="E23" s="198"/>
      <c r="F23" s="199"/>
      <c r="G23" s="199"/>
      <c r="H23" s="199"/>
      <c r="I23" s="199"/>
      <c r="J23" s="199"/>
      <c r="K23" s="199"/>
      <c r="L23" s="199"/>
      <c r="M23" s="199"/>
      <c r="N23" s="199"/>
      <c r="O23" s="199"/>
      <c r="P23" s="197"/>
      <c r="Q23" s="200"/>
      <c r="R23" s="201"/>
      <c r="S23" s="201"/>
      <c r="T23" s="201"/>
      <c r="U23" s="201"/>
      <c r="V23" s="201"/>
      <c r="W23" s="201"/>
      <c r="X23" s="201"/>
      <c r="Y23" s="201"/>
      <c r="Z23" s="201"/>
      <c r="AA23" s="201"/>
      <c r="AB23" s="197"/>
      <c r="AC23" s="384"/>
      <c r="AD23" s="385"/>
      <c r="AE23" s="385"/>
      <c r="AF23" s="385"/>
      <c r="AG23" s="385"/>
      <c r="AH23" s="385"/>
      <c r="AI23" s="385"/>
      <c r="AJ23" s="385"/>
      <c r="AK23" s="385"/>
      <c r="AL23" s="385"/>
      <c r="AM23" s="385"/>
      <c r="AN23" s="386"/>
      <c r="AO23" s="384"/>
      <c r="AP23" s="385"/>
      <c r="AQ23" s="385"/>
      <c r="AR23" s="385"/>
      <c r="AS23" s="385"/>
      <c r="AT23" s="385"/>
      <c r="AU23" s="385"/>
      <c r="AV23" s="385"/>
      <c r="AW23" s="385"/>
      <c r="AX23" s="385"/>
      <c r="AY23" s="385"/>
      <c r="AZ23" s="386"/>
      <c r="BA23" s="404">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7"/>
      <c r="E24" s="198"/>
      <c r="F24" s="199"/>
      <c r="G24" s="199"/>
      <c r="H24" s="199"/>
      <c r="I24" s="199"/>
      <c r="J24" s="199"/>
      <c r="K24" s="199"/>
      <c r="L24" s="199"/>
      <c r="M24" s="199"/>
      <c r="N24" s="199"/>
      <c r="O24" s="199"/>
      <c r="P24" s="197"/>
      <c r="Q24" s="200"/>
      <c r="R24" s="201"/>
      <c r="S24" s="201"/>
      <c r="T24" s="201"/>
      <c r="U24" s="201"/>
      <c r="V24" s="201"/>
      <c r="W24" s="201"/>
      <c r="X24" s="201"/>
      <c r="Y24" s="201"/>
      <c r="Z24" s="201"/>
      <c r="AA24" s="201"/>
      <c r="AB24" s="197"/>
      <c r="AC24" s="384"/>
      <c r="AD24" s="385"/>
      <c r="AE24" s="385"/>
      <c r="AF24" s="385"/>
      <c r="AG24" s="385"/>
      <c r="AH24" s="385"/>
      <c r="AI24" s="385"/>
      <c r="AJ24" s="385"/>
      <c r="AK24" s="385"/>
      <c r="AL24" s="385"/>
      <c r="AM24" s="385"/>
      <c r="AN24" s="386"/>
      <c r="AO24" s="384"/>
      <c r="AP24" s="385"/>
      <c r="AQ24" s="385"/>
      <c r="AR24" s="385"/>
      <c r="AS24" s="385"/>
      <c r="AT24" s="385"/>
      <c r="AU24" s="385"/>
      <c r="AV24" s="385"/>
      <c r="AW24" s="385"/>
      <c r="AX24" s="385"/>
      <c r="AY24" s="385"/>
      <c r="AZ24" s="386"/>
      <c r="BA24" s="404">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7"/>
      <c r="E25" s="198"/>
      <c r="F25" s="199"/>
      <c r="G25" s="199"/>
      <c r="H25" s="199"/>
      <c r="I25" s="199"/>
      <c r="J25" s="199"/>
      <c r="K25" s="199"/>
      <c r="L25" s="199"/>
      <c r="M25" s="199"/>
      <c r="N25" s="199"/>
      <c r="O25" s="199"/>
      <c r="P25" s="197"/>
      <c r="Q25" s="200"/>
      <c r="R25" s="201"/>
      <c r="S25" s="201"/>
      <c r="T25" s="201"/>
      <c r="U25" s="201"/>
      <c r="V25" s="201"/>
      <c r="W25" s="201"/>
      <c r="X25" s="201"/>
      <c r="Y25" s="201"/>
      <c r="Z25" s="201"/>
      <c r="AA25" s="201"/>
      <c r="AB25" s="197"/>
      <c r="AC25" s="384"/>
      <c r="AD25" s="385"/>
      <c r="AE25" s="385"/>
      <c r="AF25" s="385"/>
      <c r="AG25" s="385"/>
      <c r="AH25" s="385"/>
      <c r="AI25" s="385"/>
      <c r="AJ25" s="385"/>
      <c r="AK25" s="385"/>
      <c r="AL25" s="385"/>
      <c r="AM25" s="385"/>
      <c r="AN25" s="386"/>
      <c r="AO25" s="384"/>
      <c r="AP25" s="385"/>
      <c r="AQ25" s="385"/>
      <c r="AR25" s="385"/>
      <c r="AS25" s="385"/>
      <c r="AT25" s="385"/>
      <c r="AU25" s="385"/>
      <c r="AV25" s="385"/>
      <c r="AW25" s="385"/>
      <c r="AX25" s="385"/>
      <c r="AY25" s="385"/>
      <c r="AZ25" s="386"/>
      <c r="BA25" s="404">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7"/>
      <c r="E26" s="198"/>
      <c r="F26" s="199"/>
      <c r="G26" s="199"/>
      <c r="H26" s="199"/>
      <c r="I26" s="199"/>
      <c r="J26" s="199"/>
      <c r="K26" s="199"/>
      <c r="L26" s="199"/>
      <c r="M26" s="199"/>
      <c r="N26" s="199"/>
      <c r="O26" s="199"/>
      <c r="P26" s="197"/>
      <c r="Q26" s="200"/>
      <c r="R26" s="201"/>
      <c r="S26" s="201"/>
      <c r="T26" s="201"/>
      <c r="U26" s="201"/>
      <c r="V26" s="201"/>
      <c r="W26" s="201"/>
      <c r="X26" s="201"/>
      <c r="Y26" s="201"/>
      <c r="Z26" s="201"/>
      <c r="AA26" s="201"/>
      <c r="AB26" s="197"/>
      <c r="AC26" s="384"/>
      <c r="AD26" s="385"/>
      <c r="AE26" s="385"/>
      <c r="AF26" s="385"/>
      <c r="AG26" s="385"/>
      <c r="AH26" s="385"/>
      <c r="AI26" s="385"/>
      <c r="AJ26" s="385"/>
      <c r="AK26" s="385"/>
      <c r="AL26" s="385"/>
      <c r="AM26" s="385"/>
      <c r="AN26" s="386"/>
      <c r="AO26" s="384"/>
      <c r="AP26" s="385"/>
      <c r="AQ26" s="385"/>
      <c r="AR26" s="385"/>
      <c r="AS26" s="385"/>
      <c r="AT26" s="385"/>
      <c r="AU26" s="385"/>
      <c r="AV26" s="385"/>
      <c r="AW26" s="385"/>
      <c r="AX26" s="385"/>
      <c r="AY26" s="385"/>
      <c r="AZ26" s="386"/>
      <c r="BA26" s="404">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7"/>
      <c r="E27" s="198"/>
      <c r="F27" s="199"/>
      <c r="G27" s="199"/>
      <c r="H27" s="199"/>
      <c r="I27" s="199"/>
      <c r="J27" s="199"/>
      <c r="K27" s="199"/>
      <c r="L27" s="199"/>
      <c r="M27" s="199"/>
      <c r="N27" s="199"/>
      <c r="O27" s="199"/>
      <c r="P27" s="197"/>
      <c r="Q27" s="200"/>
      <c r="R27" s="201"/>
      <c r="S27" s="201"/>
      <c r="T27" s="201"/>
      <c r="U27" s="201"/>
      <c r="V27" s="201"/>
      <c r="W27" s="201"/>
      <c r="X27" s="201"/>
      <c r="Y27" s="201"/>
      <c r="Z27" s="201"/>
      <c r="AA27" s="201"/>
      <c r="AB27" s="197"/>
      <c r="AC27" s="384"/>
      <c r="AD27" s="385"/>
      <c r="AE27" s="385"/>
      <c r="AF27" s="385"/>
      <c r="AG27" s="385"/>
      <c r="AH27" s="385"/>
      <c r="AI27" s="385"/>
      <c r="AJ27" s="385"/>
      <c r="AK27" s="385"/>
      <c r="AL27" s="385"/>
      <c r="AM27" s="385"/>
      <c r="AN27" s="386"/>
      <c r="AO27" s="384"/>
      <c r="AP27" s="385"/>
      <c r="AQ27" s="385"/>
      <c r="AR27" s="385"/>
      <c r="AS27" s="385"/>
      <c r="AT27" s="385"/>
      <c r="AU27" s="385"/>
      <c r="AV27" s="385"/>
      <c r="AW27" s="385"/>
      <c r="AX27" s="385"/>
      <c r="AY27" s="385"/>
      <c r="AZ27" s="386"/>
      <c r="BA27" s="404">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7"/>
      <c r="E28" s="198"/>
      <c r="F28" s="199"/>
      <c r="G28" s="199"/>
      <c r="H28" s="199"/>
      <c r="I28" s="199"/>
      <c r="J28" s="199"/>
      <c r="K28" s="199"/>
      <c r="L28" s="199"/>
      <c r="M28" s="199"/>
      <c r="N28" s="199"/>
      <c r="O28" s="199"/>
      <c r="P28" s="197"/>
      <c r="Q28" s="200"/>
      <c r="R28" s="201"/>
      <c r="S28" s="201"/>
      <c r="T28" s="201"/>
      <c r="U28" s="201"/>
      <c r="V28" s="201"/>
      <c r="W28" s="201"/>
      <c r="X28" s="201"/>
      <c r="Y28" s="201"/>
      <c r="Z28" s="201"/>
      <c r="AA28" s="201"/>
      <c r="AB28" s="197"/>
      <c r="AC28" s="384"/>
      <c r="AD28" s="385"/>
      <c r="AE28" s="385"/>
      <c r="AF28" s="385"/>
      <c r="AG28" s="385"/>
      <c r="AH28" s="385"/>
      <c r="AI28" s="385"/>
      <c r="AJ28" s="385"/>
      <c r="AK28" s="385"/>
      <c r="AL28" s="385"/>
      <c r="AM28" s="385"/>
      <c r="AN28" s="386"/>
      <c r="AO28" s="384"/>
      <c r="AP28" s="385"/>
      <c r="AQ28" s="385"/>
      <c r="AR28" s="385"/>
      <c r="AS28" s="385"/>
      <c r="AT28" s="385"/>
      <c r="AU28" s="385"/>
      <c r="AV28" s="385"/>
      <c r="AW28" s="385"/>
      <c r="AX28" s="385"/>
      <c r="AY28" s="385"/>
      <c r="AZ28" s="386"/>
      <c r="BA28" s="404">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7"/>
      <c r="E29" s="198"/>
      <c r="F29" s="199"/>
      <c r="G29" s="199"/>
      <c r="H29" s="199"/>
      <c r="I29" s="199"/>
      <c r="J29" s="199"/>
      <c r="K29" s="199"/>
      <c r="L29" s="199"/>
      <c r="M29" s="199"/>
      <c r="N29" s="199"/>
      <c r="O29" s="199"/>
      <c r="P29" s="197"/>
      <c r="Q29" s="200"/>
      <c r="R29" s="201"/>
      <c r="S29" s="201"/>
      <c r="T29" s="201"/>
      <c r="U29" s="201"/>
      <c r="V29" s="201"/>
      <c r="W29" s="201"/>
      <c r="X29" s="201"/>
      <c r="Y29" s="201"/>
      <c r="Z29" s="201"/>
      <c r="AA29" s="201"/>
      <c r="AB29" s="197"/>
      <c r="AC29" s="384"/>
      <c r="AD29" s="385"/>
      <c r="AE29" s="385"/>
      <c r="AF29" s="385"/>
      <c r="AG29" s="385"/>
      <c r="AH29" s="385"/>
      <c r="AI29" s="385"/>
      <c r="AJ29" s="385"/>
      <c r="AK29" s="385"/>
      <c r="AL29" s="385"/>
      <c r="AM29" s="385"/>
      <c r="AN29" s="386"/>
      <c r="AO29" s="384"/>
      <c r="AP29" s="385"/>
      <c r="AQ29" s="385"/>
      <c r="AR29" s="385"/>
      <c r="AS29" s="385"/>
      <c r="AT29" s="385"/>
      <c r="AU29" s="385"/>
      <c r="AV29" s="385"/>
      <c r="AW29" s="385"/>
      <c r="AX29" s="385"/>
      <c r="AY29" s="385"/>
      <c r="AZ29" s="386"/>
      <c r="BA29" s="404">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7"/>
      <c r="E30" s="198"/>
      <c r="F30" s="199"/>
      <c r="G30" s="199"/>
      <c r="H30" s="199"/>
      <c r="I30" s="199"/>
      <c r="J30" s="199"/>
      <c r="K30" s="199"/>
      <c r="L30" s="199"/>
      <c r="M30" s="199"/>
      <c r="N30" s="199"/>
      <c r="O30" s="199"/>
      <c r="P30" s="197"/>
      <c r="Q30" s="200"/>
      <c r="R30" s="201"/>
      <c r="S30" s="201"/>
      <c r="T30" s="201"/>
      <c r="U30" s="201"/>
      <c r="V30" s="201"/>
      <c r="W30" s="201"/>
      <c r="X30" s="201"/>
      <c r="Y30" s="201"/>
      <c r="Z30" s="201"/>
      <c r="AA30" s="201"/>
      <c r="AB30" s="197"/>
      <c r="AC30" s="384"/>
      <c r="AD30" s="385"/>
      <c r="AE30" s="385"/>
      <c r="AF30" s="385"/>
      <c r="AG30" s="385"/>
      <c r="AH30" s="385"/>
      <c r="AI30" s="385"/>
      <c r="AJ30" s="385"/>
      <c r="AK30" s="385"/>
      <c r="AL30" s="385"/>
      <c r="AM30" s="385"/>
      <c r="AN30" s="386"/>
      <c r="AO30" s="384"/>
      <c r="AP30" s="385"/>
      <c r="AQ30" s="385"/>
      <c r="AR30" s="385"/>
      <c r="AS30" s="385"/>
      <c r="AT30" s="385"/>
      <c r="AU30" s="385"/>
      <c r="AV30" s="385"/>
      <c r="AW30" s="385"/>
      <c r="AX30" s="385"/>
      <c r="AY30" s="385"/>
      <c r="AZ30" s="386"/>
      <c r="BA30" s="404">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7"/>
      <c r="E31" s="198"/>
      <c r="F31" s="199"/>
      <c r="G31" s="199"/>
      <c r="H31" s="199"/>
      <c r="I31" s="199"/>
      <c r="J31" s="199"/>
      <c r="K31" s="199"/>
      <c r="L31" s="199"/>
      <c r="M31" s="199"/>
      <c r="N31" s="199"/>
      <c r="O31" s="199"/>
      <c r="P31" s="197"/>
      <c r="Q31" s="200"/>
      <c r="R31" s="201"/>
      <c r="S31" s="201"/>
      <c r="T31" s="201"/>
      <c r="U31" s="201"/>
      <c r="V31" s="201"/>
      <c r="W31" s="201"/>
      <c r="X31" s="201"/>
      <c r="Y31" s="201"/>
      <c r="Z31" s="201"/>
      <c r="AA31" s="201"/>
      <c r="AB31" s="197"/>
      <c r="AC31" s="384"/>
      <c r="AD31" s="385"/>
      <c r="AE31" s="385"/>
      <c r="AF31" s="385"/>
      <c r="AG31" s="385"/>
      <c r="AH31" s="385"/>
      <c r="AI31" s="385"/>
      <c r="AJ31" s="385"/>
      <c r="AK31" s="385"/>
      <c r="AL31" s="385"/>
      <c r="AM31" s="385"/>
      <c r="AN31" s="386"/>
      <c r="AO31" s="384"/>
      <c r="AP31" s="385"/>
      <c r="AQ31" s="385"/>
      <c r="AR31" s="385"/>
      <c r="AS31" s="385"/>
      <c r="AT31" s="385"/>
      <c r="AU31" s="385"/>
      <c r="AV31" s="385"/>
      <c r="AW31" s="385"/>
      <c r="AX31" s="385"/>
      <c r="AY31" s="385"/>
      <c r="AZ31" s="386"/>
      <c r="BA31" s="404">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7"/>
      <c r="E32" s="198"/>
      <c r="F32" s="199"/>
      <c r="G32" s="199"/>
      <c r="H32" s="199"/>
      <c r="I32" s="199"/>
      <c r="J32" s="199"/>
      <c r="K32" s="199"/>
      <c r="L32" s="199"/>
      <c r="M32" s="199"/>
      <c r="N32" s="199"/>
      <c r="O32" s="199"/>
      <c r="P32" s="197"/>
      <c r="Q32" s="200"/>
      <c r="R32" s="201"/>
      <c r="S32" s="201"/>
      <c r="T32" s="201"/>
      <c r="U32" s="201"/>
      <c r="V32" s="201"/>
      <c r="W32" s="201"/>
      <c r="X32" s="201"/>
      <c r="Y32" s="201"/>
      <c r="Z32" s="201"/>
      <c r="AA32" s="201"/>
      <c r="AB32" s="197"/>
      <c r="AC32" s="384"/>
      <c r="AD32" s="385"/>
      <c r="AE32" s="385"/>
      <c r="AF32" s="385"/>
      <c r="AG32" s="385"/>
      <c r="AH32" s="385"/>
      <c r="AI32" s="385"/>
      <c r="AJ32" s="385"/>
      <c r="AK32" s="385"/>
      <c r="AL32" s="385"/>
      <c r="AM32" s="385"/>
      <c r="AN32" s="386"/>
      <c r="AO32" s="384"/>
      <c r="AP32" s="385"/>
      <c r="AQ32" s="385"/>
      <c r="AR32" s="385"/>
      <c r="AS32" s="385"/>
      <c r="AT32" s="385"/>
      <c r="AU32" s="385"/>
      <c r="AV32" s="385"/>
      <c r="AW32" s="385"/>
      <c r="AX32" s="385"/>
      <c r="AY32" s="385"/>
      <c r="AZ32" s="386"/>
      <c r="BA32" s="404">
        <f t="shared" si="25"/>
        <v>0</v>
      </c>
    </row>
    <row r="33" spans="1:53" s="29" customFormat="1" ht="20.100000000000001" customHeight="1">
      <c r="A33" s="358" t="str">
        <f>Vecinos!A33</f>
        <v>Chin Chun Ya (Goya)</v>
      </c>
      <c r="B33" s="359" t="str">
        <f>Vecinos!C33</f>
        <v>Calle Guacara Nro. 87-86</v>
      </c>
      <c r="C33" s="360" t="str">
        <f>IF(SUMIFS(Vigilancia!$E:$E,Vigilancia!$F:$F,A33,Vigilancia!$J:$J,"Vigilancia")=BA33,"ü","û")</f>
        <v>ü</v>
      </c>
      <c r="D33" s="186"/>
      <c r="E33" s="187">
        <f>5000/100000</f>
        <v>0.05</v>
      </c>
      <c r="F33" s="188">
        <f>5000/100000</f>
        <v>0.05</v>
      </c>
      <c r="G33" s="188">
        <f>7000/100000</f>
        <v>7.0000000000000007E-2</v>
      </c>
      <c r="H33" s="188">
        <f>7000/100000</f>
        <v>7.0000000000000007E-2</v>
      </c>
      <c r="I33" s="188">
        <f>7000/100000</f>
        <v>7.0000000000000007E-2</v>
      </c>
      <c r="J33" s="188">
        <f>10000/100000</f>
        <v>0.1</v>
      </c>
      <c r="K33" s="188">
        <f>10000/100000</f>
        <v>0.1</v>
      </c>
      <c r="L33" s="188">
        <f>15000/100000</f>
        <v>0.15</v>
      </c>
      <c r="M33" s="188">
        <f>15000/100000</f>
        <v>0.15</v>
      </c>
      <c r="N33" s="188">
        <f>15000/100000</f>
        <v>0.15</v>
      </c>
      <c r="O33" s="188">
        <f>35000/100000</f>
        <v>0.35</v>
      </c>
      <c r="P33" s="186">
        <f>35000/100000</f>
        <v>0.35</v>
      </c>
      <c r="Q33" s="189">
        <f>35000/100000</f>
        <v>0.35</v>
      </c>
      <c r="R33" s="190">
        <f>80000/100000</f>
        <v>0.8</v>
      </c>
      <c r="S33" s="190">
        <f>20000/100000+80000/100000</f>
        <v>1</v>
      </c>
      <c r="T33" s="190">
        <f>20000/100000+80000/100000</f>
        <v>1</v>
      </c>
      <c r="U33" s="190">
        <f>200000/100000</f>
        <v>2</v>
      </c>
      <c r="V33" s="191">
        <f>400000/100000+225000/100000</f>
        <v>6.25</v>
      </c>
      <c r="W33" s="191">
        <f>850000/100000+150000/100000</f>
        <v>10</v>
      </c>
      <c r="X33" s="191">
        <f>1200000/100000</f>
        <v>12</v>
      </c>
      <c r="Y33" s="191">
        <v>320</v>
      </c>
      <c r="Z33" s="191">
        <v>320</v>
      </c>
      <c r="AA33" s="191">
        <v>320</v>
      </c>
      <c r="AB33" s="344">
        <v>800</v>
      </c>
      <c r="AC33" s="381">
        <f>800+2200</f>
        <v>3000</v>
      </c>
      <c r="AD33" s="382">
        <v>3000</v>
      </c>
      <c r="AE33" s="377">
        <v>3000</v>
      </c>
      <c r="AF33" s="377">
        <f>3000+2000</f>
        <v>5000</v>
      </c>
      <c r="AG33" s="389">
        <v>5000</v>
      </c>
      <c r="AH33" s="382">
        <v>8000</v>
      </c>
      <c r="AI33" s="382">
        <v>10000</v>
      </c>
      <c r="AJ33" s="382">
        <v>10000</v>
      </c>
      <c r="AK33" s="377">
        <v>23400</v>
      </c>
      <c r="AL33" s="483">
        <f>21100+30000</f>
        <v>51100</v>
      </c>
      <c r="AM33" s="382">
        <v>56250</v>
      </c>
      <c r="AN33" s="387">
        <v>97500</v>
      </c>
      <c r="AO33" s="381">
        <v>136250</v>
      </c>
      <c r="AP33" s="382">
        <f>38750+97500</f>
        <v>136250</v>
      </c>
      <c r="AQ33" s="377">
        <f>38200+147050</f>
        <v>185250</v>
      </c>
      <c r="AR33" s="377"/>
      <c r="AS33" s="377"/>
      <c r="AT33" s="377"/>
      <c r="AU33" s="382"/>
      <c r="AV33" s="382"/>
      <c r="AW33" s="382"/>
      <c r="AX33" s="382"/>
      <c r="AY33" s="382"/>
      <c r="AZ33" s="387"/>
      <c r="BA33" s="405">
        <f t="shared" si="25"/>
        <v>734795.06</v>
      </c>
    </row>
    <row r="34" spans="1:53" s="29" customFormat="1" ht="20.100000000000001" customHeight="1">
      <c r="A34" s="358" t="str">
        <f>Vecinos!A34</f>
        <v>Familia Ríos Sambrano</v>
      </c>
      <c r="B34" s="359" t="str">
        <f>Vecinos!C34</f>
        <v>Calle Guacara Nro. 87-86</v>
      </c>
      <c r="C34" s="36" t="str">
        <f>IF(SUMIFS(Vigilancia!$E:$E,Vigilancia!$F:$F,A34,Vigilancia!$J:$J,"Vigilancia")=BA34,"ü","û")</f>
        <v>ü</v>
      </c>
      <c r="D34" s="186"/>
      <c r="E34" s="187"/>
      <c r="F34" s="188"/>
      <c r="G34" s="188"/>
      <c r="H34" s="188"/>
      <c r="I34" s="188"/>
      <c r="J34" s="188"/>
      <c r="K34" s="188"/>
      <c r="L34" s="188"/>
      <c r="M34" s="188"/>
      <c r="N34" s="188"/>
      <c r="O34" s="188"/>
      <c r="P34" s="186"/>
      <c r="Q34" s="189"/>
      <c r="R34" s="190"/>
      <c r="S34" s="190"/>
      <c r="T34" s="190"/>
      <c r="U34" s="190"/>
      <c r="V34" s="191"/>
      <c r="W34" s="191"/>
      <c r="X34" s="191"/>
      <c r="Y34" s="191"/>
      <c r="Z34" s="191"/>
      <c r="AA34" s="191"/>
      <c r="AB34" s="344"/>
      <c r="AC34" s="381"/>
      <c r="AD34" s="382"/>
      <c r="AE34" s="377"/>
      <c r="AF34" s="377"/>
      <c r="AG34" s="389"/>
      <c r="AH34" s="382"/>
      <c r="AI34" s="382"/>
      <c r="AJ34" s="382"/>
      <c r="AK34" s="377"/>
      <c r="AL34" s="377"/>
      <c r="AM34" s="382"/>
      <c r="AN34" s="387"/>
      <c r="AO34" s="381"/>
      <c r="AP34" s="382"/>
      <c r="AQ34" s="377"/>
      <c r="AR34" s="377">
        <f>38200+147050+750</f>
        <v>186000</v>
      </c>
      <c r="AS34" s="377">
        <f>38200+211800</f>
        <v>250000</v>
      </c>
      <c r="AT34" s="377"/>
      <c r="AU34" s="382"/>
      <c r="AV34" s="382"/>
      <c r="AW34" s="382"/>
      <c r="AX34" s="382"/>
      <c r="AY34" s="382"/>
      <c r="AZ34" s="387"/>
      <c r="BA34" s="405">
        <f t="shared" ref="BA34" si="33">SUM(D34:AZ34)</f>
        <v>436000</v>
      </c>
    </row>
    <row r="35" spans="1:53" s="29" customFormat="1" ht="20.100000000000001" customHeight="1">
      <c r="A35" s="30" t="str">
        <f>Vecinos!A35</f>
        <v>Teresita Román</v>
      </c>
      <c r="B35" s="31" t="str">
        <f>Vecinos!C35</f>
        <v>Calle Guacara Nro. 87-90</v>
      </c>
      <c r="C35" s="36" t="str">
        <f>IF(SUMIFS(Vigilancia!$E:$E,Vigilancia!$F:$F,A35,Vigilancia!$J:$J,"Vigilancia")=BA35,"ü","û")</f>
        <v>ü</v>
      </c>
      <c r="D35" s="179"/>
      <c r="E35" s="180"/>
      <c r="F35" s="181"/>
      <c r="G35" s="181"/>
      <c r="H35" s="181"/>
      <c r="I35" s="181"/>
      <c r="J35" s="181"/>
      <c r="K35" s="181"/>
      <c r="L35" s="181"/>
      <c r="M35" s="181"/>
      <c r="N35" s="181"/>
      <c r="O35" s="181"/>
      <c r="P35" s="179"/>
      <c r="Q35" s="183"/>
      <c r="R35" s="184"/>
      <c r="S35" s="184"/>
      <c r="T35" s="184"/>
      <c r="U35" s="184"/>
      <c r="V35" s="184"/>
      <c r="W35" s="184"/>
      <c r="X35" s="184"/>
      <c r="Y35" s="184"/>
      <c r="Z35" s="184"/>
      <c r="AA35" s="184"/>
      <c r="AB35" s="179"/>
      <c r="AC35" s="376"/>
      <c r="AD35" s="377"/>
      <c r="AE35" s="377"/>
      <c r="AF35" s="377"/>
      <c r="AG35" s="377"/>
      <c r="AH35" s="377"/>
      <c r="AI35" s="377"/>
      <c r="AJ35" s="377"/>
      <c r="AK35" s="377"/>
      <c r="AL35" s="377"/>
      <c r="AM35" s="377"/>
      <c r="AN35" s="378"/>
      <c r="AO35" s="376"/>
      <c r="AP35" s="377"/>
      <c r="AQ35" s="377"/>
      <c r="AR35" s="377"/>
      <c r="AS35" s="377"/>
      <c r="AT35" s="377"/>
      <c r="AU35" s="377"/>
      <c r="AV35" s="377"/>
      <c r="AW35" s="377"/>
      <c r="AX35" s="377"/>
      <c r="AY35" s="377"/>
      <c r="AZ35" s="378"/>
      <c r="BA35" s="403">
        <f t="shared" si="25"/>
        <v>0</v>
      </c>
    </row>
    <row r="36" spans="1:53" s="29" customFormat="1">
      <c r="A36" s="30" t="str">
        <f>Vecinos!A36</f>
        <v>Familia Puerta Burguillos</v>
      </c>
      <c r="B36" s="31" t="str">
        <f>Vecinos!C36</f>
        <v>Calle Guacara Nro. 87-100</v>
      </c>
      <c r="C36" s="36" t="str">
        <f>IF(SUMIFS(Vigilancia!$E:$E,Vigilancia!$F:$F,A36,Vigilancia!$J:$J,"Vigilancia")=BA36,"ü","û")</f>
        <v>ü</v>
      </c>
      <c r="D36" s="179"/>
      <c r="E36" s="180">
        <f>17000/100000</f>
        <v>0.17</v>
      </c>
      <c r="F36" s="181">
        <f>17000/100000</f>
        <v>0.17</v>
      </c>
      <c r="G36" s="181">
        <f>14200/100000+2800/100000</f>
        <v>0.16999999999999998</v>
      </c>
      <c r="H36" s="181">
        <f>17000/100000</f>
        <v>0.17</v>
      </c>
      <c r="I36" s="181">
        <f>26000/100000</f>
        <v>0.26</v>
      </c>
      <c r="J36" s="181">
        <f>26000/100000</f>
        <v>0.26</v>
      </c>
      <c r="K36" s="181">
        <f>26000/100000+9000/100000</f>
        <v>0.35</v>
      </c>
      <c r="L36" s="181">
        <f>13000/100000-9000/100000+31000/100000</f>
        <v>0.35</v>
      </c>
      <c r="M36" s="181">
        <f>35000/100000</f>
        <v>0.35</v>
      </c>
      <c r="N36" s="181">
        <f>35000/100000</f>
        <v>0.35</v>
      </c>
      <c r="O36" s="181">
        <f>50000/100000</f>
        <v>0.5</v>
      </c>
      <c r="P36" s="179">
        <f>50000/100000</f>
        <v>0.5</v>
      </c>
      <c r="Q36" s="183">
        <f>80000/100000</f>
        <v>0.8</v>
      </c>
      <c r="R36" s="184">
        <f>80000/100000</f>
        <v>0.8</v>
      </c>
      <c r="S36" s="184">
        <f>80000/100000+60000/100000</f>
        <v>1.4</v>
      </c>
      <c r="T36" s="184">
        <f>140000/100000</f>
        <v>1.4</v>
      </c>
      <c r="U36" s="184">
        <f>250000/100000+150000/100000</f>
        <v>4</v>
      </c>
      <c r="V36" s="184">
        <f>400000/100000+225000/100000</f>
        <v>6.25</v>
      </c>
      <c r="W36" s="191">
        <f>850000/100000+150000/100000</f>
        <v>10</v>
      </c>
      <c r="X36" s="184">
        <v>12</v>
      </c>
      <c r="Y36" s="184">
        <v>320</v>
      </c>
      <c r="Z36" s="184">
        <v>320</v>
      </c>
      <c r="AA36" s="184">
        <v>320</v>
      </c>
      <c r="AB36" s="344">
        <f>300+500</f>
        <v>800</v>
      </c>
      <c r="AC36" s="376">
        <v>3000</v>
      </c>
      <c r="AD36" s="377">
        <v>3000</v>
      </c>
      <c r="AE36" s="377">
        <v>3000</v>
      </c>
      <c r="AF36" s="377">
        <f>3000+2000</f>
        <v>5000</v>
      </c>
      <c r="AG36" s="377">
        <f>5000+3000</f>
        <v>8000</v>
      </c>
      <c r="AH36" s="483">
        <v>10000</v>
      </c>
      <c r="AI36" s="377">
        <v>10000</v>
      </c>
      <c r="AJ36" s="382">
        <v>10000</v>
      </c>
      <c r="AK36" s="377">
        <v>20500</v>
      </c>
      <c r="AL36" s="377">
        <f>40000+7000</f>
        <v>47000</v>
      </c>
      <c r="AM36" s="377">
        <v>60000</v>
      </c>
      <c r="AN36" s="378">
        <v>210500</v>
      </c>
      <c r="AO36" s="376">
        <v>136250</v>
      </c>
      <c r="AP36" s="377">
        <v>136250</v>
      </c>
      <c r="AQ36" s="377">
        <v>186000</v>
      </c>
      <c r="AR36" s="377">
        <v>185250</v>
      </c>
      <c r="AS36" s="377">
        <v>250000</v>
      </c>
      <c r="AT36" s="377"/>
      <c r="AU36" s="377"/>
      <c r="AV36" s="382"/>
      <c r="AW36" s="377"/>
      <c r="AX36" s="377"/>
      <c r="AY36" s="377"/>
      <c r="AZ36" s="378"/>
      <c r="BA36" s="403">
        <f t="shared" si="25"/>
        <v>1285550.25</v>
      </c>
    </row>
    <row r="37" spans="1:53" s="29" customFormat="1" ht="20.100000000000001" customHeight="1">
      <c r="A37" s="33" t="str">
        <f>Vecinos!A37</f>
        <v>Familia Méndez Parra</v>
      </c>
      <c r="B37" s="34" t="str">
        <f>Vecinos!C37</f>
        <v>Calle Guacara Nro. 88-19</v>
      </c>
      <c r="C37" s="35" t="str">
        <f>IF(SUMIFS(Vigilancia!$E:$E,Vigilancia!$F:$F,A37,Vigilancia!$J:$J,"Vigilancia")=BA37,"ü","û")</f>
        <v>ü</v>
      </c>
      <c r="D37" s="186"/>
      <c r="E37" s="187">
        <f>4500/100000+10000/100000</f>
        <v>0.14500000000000002</v>
      </c>
      <c r="F37" s="188">
        <f>10500/100000</f>
        <v>0.105</v>
      </c>
      <c r="G37" s="188">
        <f>10500/100000</f>
        <v>0.105</v>
      </c>
      <c r="H37" s="188">
        <f>10500/100000</f>
        <v>0.105</v>
      </c>
      <c r="I37" s="188">
        <f>20000/100000</f>
        <v>0.2</v>
      </c>
      <c r="J37" s="188">
        <f>20000/100000</f>
        <v>0.2</v>
      </c>
      <c r="K37" s="188">
        <f>25000/100000</f>
        <v>0.25</v>
      </c>
      <c r="L37" s="188">
        <f t="shared" ref="L37:N38" si="34">20000/100000</f>
        <v>0.2</v>
      </c>
      <c r="M37" s="188">
        <f t="shared" si="34"/>
        <v>0.2</v>
      </c>
      <c r="N37" s="188">
        <f t="shared" si="34"/>
        <v>0.2</v>
      </c>
      <c r="O37" s="188">
        <f>32000/100000</f>
        <v>0.32</v>
      </c>
      <c r="P37" s="186">
        <f>30000/100000</f>
        <v>0.3</v>
      </c>
      <c r="Q37" s="189">
        <f>50000/100000</f>
        <v>0.5</v>
      </c>
      <c r="R37" s="190">
        <f>50000/100000</f>
        <v>0.5</v>
      </c>
      <c r="S37" s="190">
        <f>50000/100000+50000/100000</f>
        <v>1</v>
      </c>
      <c r="T37" s="190">
        <f>100000/100000</f>
        <v>1</v>
      </c>
      <c r="U37" s="190">
        <f>200000/100000</f>
        <v>2</v>
      </c>
      <c r="V37" s="190">
        <f>600000/100000</f>
        <v>6</v>
      </c>
      <c r="W37" s="190">
        <f>600000/100000</f>
        <v>6</v>
      </c>
      <c r="X37" s="190">
        <v>8</v>
      </c>
      <c r="Y37" s="190">
        <v>270</v>
      </c>
      <c r="Z37" s="190">
        <v>260</v>
      </c>
      <c r="AA37" s="190">
        <v>260</v>
      </c>
      <c r="AB37" s="432"/>
      <c r="AC37" s="373">
        <v>600</v>
      </c>
      <c r="AD37" s="374">
        <v>2300</v>
      </c>
      <c r="AE37" s="374">
        <v>2200</v>
      </c>
      <c r="AF37" s="374">
        <f>2200</f>
        <v>2200</v>
      </c>
      <c r="AG37" s="374">
        <v>5000</v>
      </c>
      <c r="AH37" s="374">
        <v>5000</v>
      </c>
      <c r="AI37" s="374">
        <v>6000</v>
      </c>
      <c r="AJ37" s="374">
        <v>6000</v>
      </c>
      <c r="AK37" s="374">
        <v>18018</v>
      </c>
      <c r="AL37" s="374">
        <v>15000</v>
      </c>
      <c r="AM37" s="374">
        <v>48000</v>
      </c>
      <c r="AN37" s="375">
        <v>35000</v>
      </c>
      <c r="AO37" s="373">
        <v>80000</v>
      </c>
      <c r="AP37" s="374">
        <v>80000</v>
      </c>
      <c r="AQ37" s="374">
        <v>90000</v>
      </c>
      <c r="AR37" s="374">
        <v>90000</v>
      </c>
      <c r="AS37" s="374">
        <v>180000</v>
      </c>
      <c r="AT37" s="374"/>
      <c r="AU37" s="374"/>
      <c r="AV37" s="374"/>
      <c r="AW37" s="374"/>
      <c r="AX37" s="374"/>
      <c r="AY37" s="374"/>
      <c r="AZ37" s="375"/>
      <c r="BA37" s="402">
        <f t="shared" si="25"/>
        <v>666135.33000000007</v>
      </c>
    </row>
    <row r="38" spans="1:53" s="29" customFormat="1" ht="20.100000000000001" customHeight="1">
      <c r="A38" s="33" t="str">
        <f>Vecinos!A38</f>
        <v>Victoria Francischiello</v>
      </c>
      <c r="B38" s="34" t="str">
        <f>Vecinos!C38</f>
        <v>Calle Guacara Nro. 88-25</v>
      </c>
      <c r="C38" s="35" t="str">
        <f>IF(SUMIFS(Vigilancia!$E:$E,Vigilancia!$F:$F,A38,Vigilancia!$J:$J,"Vigilancia")=BA38,"ü","û")</f>
        <v>ü</v>
      </c>
      <c r="D38" s="186"/>
      <c r="E38" s="187">
        <f>7960/100000+2040/100000</f>
        <v>0.1</v>
      </c>
      <c r="F38" s="188">
        <f>10000/100000</f>
        <v>0.1</v>
      </c>
      <c r="G38" s="188">
        <f>10000/100000</f>
        <v>0.1</v>
      </c>
      <c r="H38" s="188">
        <f>10000/100000</f>
        <v>0.1</v>
      </c>
      <c r="I38" s="188">
        <f>20000/100000</f>
        <v>0.2</v>
      </c>
      <c r="J38" s="188">
        <f>20000/100000</f>
        <v>0.2</v>
      </c>
      <c r="K38" s="188">
        <f>20000/100000</f>
        <v>0.2</v>
      </c>
      <c r="L38" s="188">
        <f t="shared" si="34"/>
        <v>0.2</v>
      </c>
      <c r="M38" s="188">
        <f t="shared" si="34"/>
        <v>0.2</v>
      </c>
      <c r="N38" s="188">
        <f t="shared" si="34"/>
        <v>0.2</v>
      </c>
      <c r="O38" s="188">
        <f>15000/100000</f>
        <v>0.15</v>
      </c>
      <c r="P38" s="186">
        <f>45000/100000</f>
        <v>0.45</v>
      </c>
      <c r="Q38" s="189">
        <f>50000/100000</f>
        <v>0.5</v>
      </c>
      <c r="R38" s="190">
        <f>80000/100000</f>
        <v>0.8</v>
      </c>
      <c r="S38" s="190">
        <f>100000/100000</f>
        <v>1</v>
      </c>
      <c r="T38" s="190">
        <f>100000/100000</f>
        <v>1</v>
      </c>
      <c r="U38" s="190">
        <f>250000/100000</f>
        <v>2.5</v>
      </c>
      <c r="V38" s="190">
        <f>400000/100000</f>
        <v>4</v>
      </c>
      <c r="W38" s="191">
        <f>1000000/100000</f>
        <v>10</v>
      </c>
      <c r="X38" s="191">
        <v>12</v>
      </c>
      <c r="Y38" s="191">
        <v>320</v>
      </c>
      <c r="Z38" s="191">
        <v>320</v>
      </c>
      <c r="AA38" s="191">
        <v>320</v>
      </c>
      <c r="AB38" s="344">
        <v>800</v>
      </c>
      <c r="AC38" s="381">
        <v>3000</v>
      </c>
      <c r="AD38" s="382">
        <v>3000</v>
      </c>
      <c r="AE38" s="382">
        <v>3000</v>
      </c>
      <c r="AF38" s="382">
        <v>5000</v>
      </c>
      <c r="AG38" s="382">
        <v>8000</v>
      </c>
      <c r="AH38" s="382">
        <v>8000</v>
      </c>
      <c r="AI38" s="377">
        <v>10000</v>
      </c>
      <c r="AJ38" s="382">
        <v>10000</v>
      </c>
      <c r="AK38" s="382">
        <v>19800</v>
      </c>
      <c r="AL38" s="382">
        <v>51250</v>
      </c>
      <c r="AM38" s="374">
        <v>40000</v>
      </c>
      <c r="AN38" s="375">
        <v>40000</v>
      </c>
      <c r="AO38" s="373">
        <v>136000</v>
      </c>
      <c r="AP38" s="382">
        <v>185250</v>
      </c>
      <c r="AQ38" s="382">
        <v>185250</v>
      </c>
      <c r="AR38" s="382">
        <v>185250</v>
      </c>
      <c r="AS38" s="382">
        <v>250000</v>
      </c>
      <c r="AT38" s="382"/>
      <c r="AU38" s="382"/>
      <c r="AV38" s="382"/>
      <c r="AW38" s="382"/>
      <c r="AX38" s="382"/>
      <c r="AY38" s="382"/>
      <c r="AZ38" s="387"/>
      <c r="BA38" s="405">
        <f t="shared" si="25"/>
        <v>1144594</v>
      </c>
    </row>
    <row r="39" spans="1:53" s="29" customFormat="1" ht="20.100000000000001" customHeight="1">
      <c r="A39" s="30" t="str">
        <f>Vecinos!A39</f>
        <v>Familia Cegarra Villamizar</v>
      </c>
      <c r="B39" s="31" t="str">
        <f>Vecinos!C39</f>
        <v>Calle Guacara Nro. 88-35</v>
      </c>
      <c r="C39" s="36" t="str">
        <f>IF(SUMIFS(Vigilancia!$E:$E,Vigilancia!$F:$F,A39,Vigilancia!$J:$J,"Vigilancia")=BA39,"ü","û")</f>
        <v>ü</v>
      </c>
      <c r="D39" s="179"/>
      <c r="E39" s="180">
        <f>17000/100000</f>
        <v>0.17</v>
      </c>
      <c r="F39" s="181">
        <f>17000/100000</f>
        <v>0.17</v>
      </c>
      <c r="G39" s="181">
        <f>17000/100000</f>
        <v>0.17</v>
      </c>
      <c r="H39" s="181">
        <f>17000/100000</f>
        <v>0.17</v>
      </c>
      <c r="I39" s="181">
        <f t="shared" ref="I39:J41" si="35">26000/100000</f>
        <v>0.26</v>
      </c>
      <c r="J39" s="181">
        <f t="shared" si="35"/>
        <v>0.26</v>
      </c>
      <c r="K39" s="188">
        <f>30000/100000</f>
        <v>0.3</v>
      </c>
      <c r="L39" s="188">
        <f>30000/100000</f>
        <v>0.3</v>
      </c>
      <c r="M39" s="181">
        <f t="shared" ref="M39:N41" si="36">35000/100000</f>
        <v>0.35</v>
      </c>
      <c r="N39" s="181">
        <f t="shared" si="36"/>
        <v>0.35</v>
      </c>
      <c r="O39" s="181">
        <f>50000/100000</f>
        <v>0.5</v>
      </c>
      <c r="P39" s="179">
        <f>50000/100000</f>
        <v>0.5</v>
      </c>
      <c r="Q39" s="183">
        <f>80000/100000</f>
        <v>0.8</v>
      </c>
      <c r="R39" s="184">
        <f>80000/100000</f>
        <v>0.8</v>
      </c>
      <c r="S39" s="184">
        <f>80000/100000+60000/100000</f>
        <v>1.4</v>
      </c>
      <c r="T39" s="184">
        <f>80000/100000+60000/100000</f>
        <v>1.4</v>
      </c>
      <c r="U39" s="184">
        <f>400000/100000</f>
        <v>4</v>
      </c>
      <c r="V39" s="184">
        <f>625000/100000</f>
        <v>6.25</v>
      </c>
      <c r="W39" s="191">
        <f>850000/100000+1.5</f>
        <v>10</v>
      </c>
      <c r="X39" s="191">
        <f>850000/100000+3.5</f>
        <v>12</v>
      </c>
      <c r="Y39" s="184">
        <v>320</v>
      </c>
      <c r="Z39" s="184">
        <v>320</v>
      </c>
      <c r="AA39" s="184">
        <v>320</v>
      </c>
      <c r="AB39" s="179">
        <v>800</v>
      </c>
      <c r="AC39" s="376">
        <v>3000</v>
      </c>
      <c r="AD39" s="377">
        <v>3000</v>
      </c>
      <c r="AE39" s="377">
        <v>3000</v>
      </c>
      <c r="AF39" s="388">
        <f>3000+1880</f>
        <v>4880</v>
      </c>
      <c r="AG39" s="377">
        <v>8000</v>
      </c>
      <c r="AH39" s="377">
        <v>8000</v>
      </c>
      <c r="AI39" s="377">
        <f>8000+2000</f>
        <v>10000</v>
      </c>
      <c r="AJ39" s="377">
        <v>10000</v>
      </c>
      <c r="AK39" s="377">
        <v>81750</v>
      </c>
      <c r="AL39" s="377">
        <v>81750</v>
      </c>
      <c r="AM39" s="377">
        <v>81750</v>
      </c>
      <c r="AN39" s="378">
        <v>185250</v>
      </c>
      <c r="AO39" s="376">
        <v>185250</v>
      </c>
      <c r="AP39" s="377">
        <v>185250</v>
      </c>
      <c r="AQ39" s="377">
        <v>185250</v>
      </c>
      <c r="AR39" s="377">
        <v>185250</v>
      </c>
      <c r="AS39" s="377">
        <v>185250</v>
      </c>
      <c r="AT39" s="377"/>
      <c r="AU39" s="377"/>
      <c r="AV39" s="377"/>
      <c r="AW39" s="377"/>
      <c r="AX39" s="377"/>
      <c r="AY39" s="377"/>
      <c r="AZ39" s="378"/>
      <c r="BA39" s="403">
        <f t="shared" si="25"/>
        <v>1408430.15</v>
      </c>
    </row>
    <row r="40" spans="1:53" s="29" customFormat="1" ht="20.100000000000001" customHeight="1">
      <c r="A40" s="30" t="str">
        <f>Vecinos!A40</f>
        <v>Familia Del Negro Palermo</v>
      </c>
      <c r="B40" s="31" t="str">
        <f>Vecinos!C40</f>
        <v>Calle Guacara Nro. 88-45</v>
      </c>
      <c r="C40" s="36" t="str">
        <f>IF(SUMIFS(Vigilancia!$E:$E,Vigilancia!$F:$F,A40,Vigilancia!$J:$J,"Vigilancia")=BA40,"ü","û")</f>
        <v>ü</v>
      </c>
      <c r="D40" s="179"/>
      <c r="E40" s="180">
        <f>10500/100000+6500/100000</f>
        <v>0.16999999999999998</v>
      </c>
      <c r="F40" s="181">
        <f>17000/100000</f>
        <v>0.17</v>
      </c>
      <c r="G40" s="181">
        <f>17000/100000</f>
        <v>0.17</v>
      </c>
      <c r="H40" s="181">
        <f>17000/100000</f>
        <v>0.17</v>
      </c>
      <c r="I40" s="181">
        <f t="shared" si="35"/>
        <v>0.26</v>
      </c>
      <c r="J40" s="181">
        <f t="shared" si="35"/>
        <v>0.26</v>
      </c>
      <c r="K40" s="181">
        <f>26000/100000+9000/100000</f>
        <v>0.35</v>
      </c>
      <c r="L40" s="181">
        <f>35000/100000</f>
        <v>0.35</v>
      </c>
      <c r="M40" s="181">
        <f t="shared" si="36"/>
        <v>0.35</v>
      </c>
      <c r="N40" s="181">
        <f t="shared" si="36"/>
        <v>0.35</v>
      </c>
      <c r="O40" s="181">
        <f>50000/100000</f>
        <v>0.5</v>
      </c>
      <c r="P40" s="179">
        <f>50000/100000</f>
        <v>0.5</v>
      </c>
      <c r="Q40" s="183">
        <f>80000/100000</f>
        <v>0.8</v>
      </c>
      <c r="R40" s="184">
        <f>80000/100000</f>
        <v>0.8</v>
      </c>
      <c r="S40" s="184">
        <f>140000/100000</f>
        <v>1.4</v>
      </c>
      <c r="T40" s="184">
        <f>140000/100000</f>
        <v>1.4</v>
      </c>
      <c r="U40" s="184">
        <f>400000/100000</f>
        <v>4</v>
      </c>
      <c r="V40" s="184">
        <f>400000/100000+225000/100000</f>
        <v>6.25</v>
      </c>
      <c r="W40" s="184">
        <f>1000000/100000</f>
        <v>10</v>
      </c>
      <c r="X40" s="184">
        <f>1200000/100000</f>
        <v>12</v>
      </c>
      <c r="Y40" s="184">
        <v>320</v>
      </c>
      <c r="Z40" s="184">
        <v>320</v>
      </c>
      <c r="AA40" s="184">
        <v>320</v>
      </c>
      <c r="AB40" s="344">
        <f>662.95+137.05</f>
        <v>800</v>
      </c>
      <c r="AC40" s="381">
        <f>800+2200</f>
        <v>3000</v>
      </c>
      <c r="AD40" s="377">
        <v>3000</v>
      </c>
      <c r="AE40" s="377">
        <v>3000</v>
      </c>
      <c r="AF40" s="377">
        <v>5000</v>
      </c>
      <c r="AG40" s="377">
        <v>8000</v>
      </c>
      <c r="AH40" s="377">
        <v>8000</v>
      </c>
      <c r="AI40" s="377">
        <v>10000</v>
      </c>
      <c r="AJ40" s="377">
        <v>10000</v>
      </c>
      <c r="AK40" s="377">
        <v>23400</v>
      </c>
      <c r="AL40" s="377">
        <f>21100+43400</f>
        <v>64500</v>
      </c>
      <c r="AM40" s="377">
        <v>64500</v>
      </c>
      <c r="AN40" s="378">
        <v>81750</v>
      </c>
      <c r="AO40" s="381">
        <v>136250</v>
      </c>
      <c r="AP40" s="377">
        <v>136250</v>
      </c>
      <c r="AQ40" s="377">
        <v>185250</v>
      </c>
      <c r="AR40" s="377">
        <v>185250</v>
      </c>
      <c r="AS40" s="377">
        <v>250000</v>
      </c>
      <c r="AT40" s="377"/>
      <c r="AU40" s="377"/>
      <c r="AV40" s="377"/>
      <c r="AW40" s="377"/>
      <c r="AX40" s="377"/>
      <c r="AY40" s="377"/>
      <c r="AZ40" s="378"/>
      <c r="BA40" s="403">
        <f t="shared" si="25"/>
        <v>1178950.25</v>
      </c>
    </row>
    <row r="41" spans="1:53" s="29" customFormat="1" ht="20.100000000000001" customHeight="1">
      <c r="A41" s="30" t="str">
        <f>Vecinos!A41</f>
        <v>Familia Hatem Medina</v>
      </c>
      <c r="B41" s="31" t="str">
        <f>Vecinos!C41</f>
        <v>Calle Guacara Nro. 88-51</v>
      </c>
      <c r="C41" s="36" t="str">
        <f>IF(SUMIFS(Vigilancia!$E:$E,Vigilancia!$F:$F,A41,Vigilancia!$J:$J,"Vigilancia")=BA41,"ü","û")</f>
        <v>ü</v>
      </c>
      <c r="D41" s="179"/>
      <c r="E41" s="195">
        <f>10500/100000</f>
        <v>0.105</v>
      </c>
      <c r="F41" s="182">
        <f>16000/100000</f>
        <v>0.16</v>
      </c>
      <c r="G41" s="182">
        <f>16000/100000</f>
        <v>0.16</v>
      </c>
      <c r="H41" s="182">
        <f>2000/100000+10000/100000+5100/100000</f>
        <v>0.17100000000000001</v>
      </c>
      <c r="I41" s="181">
        <f t="shared" si="35"/>
        <v>0.26</v>
      </c>
      <c r="J41" s="181">
        <f t="shared" si="35"/>
        <v>0.26</v>
      </c>
      <c r="K41" s="181">
        <f>30000/100000</f>
        <v>0.3</v>
      </c>
      <c r="L41" s="181">
        <f>30000/100000</f>
        <v>0.3</v>
      </c>
      <c r="M41" s="181">
        <f t="shared" si="36"/>
        <v>0.35</v>
      </c>
      <c r="N41" s="181">
        <f t="shared" si="36"/>
        <v>0.35</v>
      </c>
      <c r="O41" s="181">
        <f>1000/100000+4850/100000+44150/100000</f>
        <v>0.5</v>
      </c>
      <c r="P41" s="179">
        <f>50000/100000</f>
        <v>0.5</v>
      </c>
      <c r="Q41" s="183">
        <f>5850/100000+74150/100000</f>
        <v>0.8</v>
      </c>
      <c r="R41" s="184">
        <f>80000/100000</f>
        <v>0.8</v>
      </c>
      <c r="S41" s="184">
        <f>80000/100000+60000/100000</f>
        <v>1.4</v>
      </c>
      <c r="T41" s="184">
        <f>80000/100000+20000/100000+40000/100000</f>
        <v>1.4</v>
      </c>
      <c r="U41" s="184">
        <f>400000/100000</f>
        <v>4</v>
      </c>
      <c r="V41" s="184">
        <f>400000/100000+225000/100000</f>
        <v>6.25</v>
      </c>
      <c r="W41" s="184">
        <f>400000/100000+450000/100000+150000/100000</f>
        <v>10</v>
      </c>
      <c r="X41" s="184">
        <v>12</v>
      </c>
      <c r="Y41" s="191">
        <f>12+308</f>
        <v>320</v>
      </c>
      <c r="Z41" s="184">
        <v>320</v>
      </c>
      <c r="AA41" s="184">
        <v>320</v>
      </c>
      <c r="AB41" s="344">
        <f>320+480</f>
        <v>800</v>
      </c>
      <c r="AC41" s="381">
        <f>2000+500-480+980</f>
        <v>3000</v>
      </c>
      <c r="AD41" s="377">
        <f>1500-980+2480</f>
        <v>3000</v>
      </c>
      <c r="AE41" s="377">
        <v>3000</v>
      </c>
      <c r="AF41" s="377">
        <f>3000+520+3520-2040</f>
        <v>5000</v>
      </c>
      <c r="AG41" s="377">
        <v>8000</v>
      </c>
      <c r="AH41" s="483">
        <f>2040+10000</f>
        <v>12040</v>
      </c>
      <c r="AI41" s="377">
        <v>10000</v>
      </c>
      <c r="AJ41" s="382">
        <v>10000</v>
      </c>
      <c r="AK41" s="377">
        <v>19800</v>
      </c>
      <c r="AL41" s="377">
        <f>19800+27200</f>
        <v>47000</v>
      </c>
      <c r="AM41" s="377">
        <v>56250</v>
      </c>
      <c r="AN41" s="378">
        <v>81750</v>
      </c>
      <c r="AO41" s="381">
        <v>136250</v>
      </c>
      <c r="AP41" s="377">
        <v>136250</v>
      </c>
      <c r="AQ41" s="377">
        <v>185250</v>
      </c>
      <c r="AR41" s="377">
        <v>185250</v>
      </c>
      <c r="AS41" s="377">
        <v>250000</v>
      </c>
      <c r="AT41" s="377"/>
      <c r="AU41" s="377"/>
      <c r="AV41" s="382"/>
      <c r="AW41" s="377"/>
      <c r="AX41" s="377"/>
      <c r="AY41" s="377"/>
      <c r="AZ41" s="378"/>
      <c r="BA41" s="403">
        <f t="shared" si="25"/>
        <v>1153640.0660000001</v>
      </c>
    </row>
    <row r="42" spans="1:53" s="29" customFormat="1" ht="20.100000000000001" customHeight="1">
      <c r="A42" s="30" t="str">
        <f>Vecinos!A42</f>
        <v>Familia Leung</v>
      </c>
      <c r="B42" s="31" t="str">
        <f>Vecinos!C42</f>
        <v>Calle Guacara Nro. 88-55</v>
      </c>
      <c r="C42" s="36" t="str">
        <f>IF(SUMIFS(Vigilancia!$E:$E,Vigilancia!$F:$F,A42,Vigilancia!$J:$J,"Vigilancia")=BA42,"ü","û")</f>
        <v>ü</v>
      </c>
      <c r="D42" s="179"/>
      <c r="E42" s="180">
        <f>17000/100000</f>
        <v>0.17</v>
      </c>
      <c r="F42" s="181">
        <f>17000/100000</f>
        <v>0.17</v>
      </c>
      <c r="G42" s="181">
        <f>17000/100000</f>
        <v>0.17</v>
      </c>
      <c r="H42" s="181">
        <f>17000/100000</f>
        <v>0.17</v>
      </c>
      <c r="I42" s="181">
        <f>26000/100000</f>
        <v>0.26</v>
      </c>
      <c r="J42" s="202" t="s">
        <v>490</v>
      </c>
      <c r="K42" s="202" t="s">
        <v>490</v>
      </c>
      <c r="L42" s="202" t="s">
        <v>490</v>
      </c>
      <c r="M42" s="202" t="s">
        <v>490</v>
      </c>
      <c r="N42" s="202" t="s">
        <v>490</v>
      </c>
      <c r="O42" s="202" t="s">
        <v>490</v>
      </c>
      <c r="P42" s="203" t="s">
        <v>490</v>
      </c>
      <c r="Q42" s="183">
        <f>80000/100000</f>
        <v>0.8</v>
      </c>
      <c r="R42" s="184">
        <f>80000/100000</f>
        <v>0.8</v>
      </c>
      <c r="S42" s="184">
        <f>140000/100000</f>
        <v>1.4</v>
      </c>
      <c r="T42" s="184">
        <f>140000/100000</f>
        <v>1.4</v>
      </c>
      <c r="U42" s="184">
        <f>400000/100000</f>
        <v>4</v>
      </c>
      <c r="V42" s="192">
        <f>400000/100000</f>
        <v>4</v>
      </c>
      <c r="W42" s="184">
        <v>10</v>
      </c>
      <c r="X42" s="184">
        <v>12</v>
      </c>
      <c r="Y42" s="184">
        <v>320</v>
      </c>
      <c r="Z42" s="184">
        <f>320+10</f>
        <v>330</v>
      </c>
      <c r="AA42" s="184">
        <v>320</v>
      </c>
      <c r="AB42" s="344">
        <f>10+790</f>
        <v>800</v>
      </c>
      <c r="AC42" s="376">
        <v>3000</v>
      </c>
      <c r="AD42" s="377">
        <v>3000</v>
      </c>
      <c r="AE42" s="377">
        <v>3000</v>
      </c>
      <c r="AF42" s="377">
        <v>5000</v>
      </c>
      <c r="AG42" s="380"/>
      <c r="AH42" s="380"/>
      <c r="AI42" s="380"/>
      <c r="AJ42" s="380"/>
      <c r="AK42" s="380"/>
      <c r="AL42" s="380"/>
      <c r="AM42" s="380"/>
      <c r="AN42" s="391"/>
      <c r="AO42" s="390"/>
      <c r="AP42" s="380"/>
      <c r="AQ42" s="380"/>
      <c r="AR42" s="380"/>
      <c r="AS42" s="380"/>
      <c r="AT42" s="380"/>
      <c r="AU42" s="380"/>
      <c r="AV42" s="380"/>
      <c r="AW42" s="380"/>
      <c r="AX42" s="380"/>
      <c r="AY42" s="380"/>
      <c r="AZ42" s="391"/>
      <c r="BA42" s="406">
        <f t="shared" si="25"/>
        <v>15805.34</v>
      </c>
    </row>
    <row r="43" spans="1:53" s="29" customFormat="1" ht="20.100000000000001" customHeight="1">
      <c r="A43" s="30" t="str">
        <f>Vecinos!A43</f>
        <v>Familia Zhen</v>
      </c>
      <c r="B43" s="31" t="str">
        <f>Vecinos!C43</f>
        <v>Calle Guacara Nro. 88-55</v>
      </c>
      <c r="C43" s="36" t="str">
        <f>IF(SUMIFS(Vigilancia!$E:$E,Vigilancia!$F:$F,A43,Vigilancia!$J:$J,"Vigilancia")=BA43,"ü","û")</f>
        <v>ü</v>
      </c>
      <c r="D43" s="207"/>
      <c r="E43" s="208"/>
      <c r="F43" s="209"/>
      <c r="G43" s="209"/>
      <c r="H43" s="209"/>
      <c r="I43" s="209"/>
      <c r="J43" s="209"/>
      <c r="K43" s="209"/>
      <c r="L43" s="209"/>
      <c r="M43" s="209"/>
      <c r="N43" s="209"/>
      <c r="O43" s="209"/>
      <c r="P43" s="207"/>
      <c r="Q43" s="210"/>
      <c r="R43" s="211"/>
      <c r="S43" s="211"/>
      <c r="T43" s="211"/>
      <c r="U43" s="211"/>
      <c r="V43" s="211"/>
      <c r="W43" s="211"/>
      <c r="X43" s="211"/>
      <c r="Y43" s="211"/>
      <c r="Z43" s="211"/>
      <c r="AA43" s="211"/>
      <c r="AB43" s="451"/>
      <c r="AC43" s="452"/>
      <c r="AD43" s="211"/>
      <c r="AE43" s="211"/>
      <c r="AF43" s="211"/>
      <c r="AG43" s="377">
        <v>8000</v>
      </c>
      <c r="AH43" s="377">
        <v>8000</v>
      </c>
      <c r="AI43" s="377">
        <v>10000</v>
      </c>
      <c r="AJ43" s="377">
        <v>10000</v>
      </c>
      <c r="AK43" s="377">
        <v>20300</v>
      </c>
      <c r="AL43" s="377">
        <f>20300+13400+151550</f>
        <v>185250</v>
      </c>
      <c r="AM43" s="377">
        <v>185250</v>
      </c>
      <c r="AN43" s="378">
        <v>185250</v>
      </c>
      <c r="AO43" s="376">
        <v>185250</v>
      </c>
      <c r="AP43" s="377">
        <v>185250</v>
      </c>
      <c r="AQ43" s="377">
        <v>185250</v>
      </c>
      <c r="AR43" s="377">
        <v>185250</v>
      </c>
      <c r="AS43" s="377"/>
      <c r="AT43" s="377"/>
      <c r="AU43" s="377"/>
      <c r="AV43" s="377"/>
      <c r="AW43" s="377"/>
      <c r="AX43" s="377"/>
      <c r="AY43" s="377"/>
      <c r="AZ43" s="378"/>
      <c r="BA43" s="403">
        <f t="shared" si="25"/>
        <v>1353050</v>
      </c>
    </row>
    <row r="44" spans="1:53" s="29" customFormat="1" ht="20.100000000000001" customHeight="1">
      <c r="A44" s="30" t="str">
        <f>Vecinos!A44</f>
        <v>Amparo Acosta</v>
      </c>
      <c r="B44" s="31" t="str">
        <f>Vecinos!C44</f>
        <v>Calle Guacara Nro. 88-65</v>
      </c>
      <c r="C44" s="36" t="str">
        <f>IF(SUMIFS(Vigilancia!$E:$E,Vigilancia!$F:$F,A44,Vigilancia!$J:$J,"Vigilancia")=BA44,"ü","û")</f>
        <v>ü</v>
      </c>
      <c r="D44" s="179"/>
      <c r="E44" s="180"/>
      <c r="F44" s="181"/>
      <c r="G44" s="181"/>
      <c r="H44" s="181"/>
      <c r="I44" s="181"/>
      <c r="J44" s="181"/>
      <c r="K44" s="181"/>
      <c r="L44" s="181"/>
      <c r="M44" s="181"/>
      <c r="N44" s="181"/>
      <c r="O44" s="181"/>
      <c r="P44" s="179"/>
      <c r="Q44" s="183"/>
      <c r="R44" s="184"/>
      <c r="S44" s="184"/>
      <c r="T44" s="184"/>
      <c r="U44" s="184"/>
      <c r="V44" s="184"/>
      <c r="W44" s="184">
        <f>1000000/100000</f>
        <v>10</v>
      </c>
      <c r="X44" s="184">
        <v>12</v>
      </c>
      <c r="Y44" s="184">
        <v>320</v>
      </c>
      <c r="Z44" s="184">
        <v>320</v>
      </c>
      <c r="AA44" s="184">
        <f>320+10</f>
        <v>330</v>
      </c>
      <c r="AB44" s="344">
        <f>10+790</f>
        <v>800</v>
      </c>
      <c r="AC44" s="381">
        <f>800+2200</f>
        <v>3000</v>
      </c>
      <c r="AD44" s="377">
        <v>3000</v>
      </c>
      <c r="AE44" s="377">
        <v>3000</v>
      </c>
      <c r="AF44" s="377">
        <f>3000+2000</f>
        <v>5000</v>
      </c>
      <c r="AG44" s="377">
        <f>5000+3000</f>
        <v>8000</v>
      </c>
      <c r="AH44" s="377">
        <v>8000</v>
      </c>
      <c r="AI44" s="377">
        <v>10000</v>
      </c>
      <c r="AJ44" s="377">
        <v>10000</v>
      </c>
      <c r="AK44" s="377">
        <v>20500</v>
      </c>
      <c r="AL44" s="377">
        <v>47000</v>
      </c>
      <c r="AM44" s="377">
        <v>56250</v>
      </c>
      <c r="AN44" s="378">
        <v>81750</v>
      </c>
      <c r="AO44" s="381">
        <v>136250</v>
      </c>
      <c r="AP44" s="377">
        <v>136250</v>
      </c>
      <c r="AQ44" s="377">
        <v>185250</v>
      </c>
      <c r="AR44" s="377">
        <v>185250</v>
      </c>
      <c r="AS44" s="377">
        <v>250000</v>
      </c>
      <c r="AT44" s="377"/>
      <c r="AU44" s="377"/>
      <c r="AV44" s="377"/>
      <c r="AW44" s="377"/>
      <c r="AX44" s="377"/>
      <c r="AY44" s="377"/>
      <c r="AZ44" s="378"/>
      <c r="BA44" s="403">
        <f t="shared" si="25"/>
        <v>1150292</v>
      </c>
    </row>
    <row r="45" spans="1:53" s="29" customFormat="1" ht="20.100000000000001" customHeight="1">
      <c r="A45" s="59" t="str">
        <f>Vecinos!A45</f>
        <v>Familia Fernández Parés</v>
      </c>
      <c r="B45" s="60" t="str">
        <f>Vecinos!C45</f>
        <v>Calle Guacara Nro. 88-75</v>
      </c>
      <c r="C45" s="36" t="str">
        <f>IF(SUMIFS(Vigilancia!$E:$E,Vigilancia!$F:$F,A45,Vigilancia!$J:$J,"Vigilancia")=BA45,"ü","û")</f>
        <v>ü</v>
      </c>
      <c r="D45" s="179"/>
      <c r="E45" s="180">
        <f>17000/100000</f>
        <v>0.17</v>
      </c>
      <c r="F45" s="181">
        <f>17000/100000</f>
        <v>0.17</v>
      </c>
      <c r="G45" s="181">
        <f>17000/100000</f>
        <v>0.17</v>
      </c>
      <c r="H45" s="181">
        <f>17000/100000</f>
        <v>0.17</v>
      </c>
      <c r="I45" s="181">
        <f>26000/100000</f>
        <v>0.26</v>
      </c>
      <c r="J45" s="181">
        <f>26000/100000</f>
        <v>0.26</v>
      </c>
      <c r="K45" s="181">
        <f>35000/100000</f>
        <v>0.35</v>
      </c>
      <c r="L45" s="181">
        <f>1000/100000+34000/100000</f>
        <v>0.35000000000000003</v>
      </c>
      <c r="M45" s="181">
        <f>1000/100000+34000/100000</f>
        <v>0.35000000000000003</v>
      </c>
      <c r="N45" s="181">
        <f>1000/100000+34000/100000</f>
        <v>0.35000000000000003</v>
      </c>
      <c r="O45" s="181">
        <f>50000/100000</f>
        <v>0.5</v>
      </c>
      <c r="P45" s="179">
        <f>50000/100000</f>
        <v>0.5</v>
      </c>
      <c r="Q45" s="183">
        <f>80000/100000</f>
        <v>0.8</v>
      </c>
      <c r="R45" s="184">
        <f>80000/100000</f>
        <v>0.8</v>
      </c>
      <c r="S45" s="192">
        <f>35000/100000</f>
        <v>0.35</v>
      </c>
      <c r="T45" s="192"/>
      <c r="U45" s="204" t="s">
        <v>1230</v>
      </c>
      <c r="V45" s="205"/>
      <c r="W45" s="205"/>
      <c r="X45" s="205"/>
      <c r="Y45" s="205"/>
      <c r="Z45" s="205"/>
      <c r="AA45" s="205"/>
      <c r="AB45" s="206"/>
      <c r="AC45" s="390"/>
      <c r="AD45" s="380"/>
      <c r="AE45" s="380"/>
      <c r="AF45" s="380"/>
      <c r="AG45" s="380"/>
      <c r="AH45" s="380"/>
      <c r="AI45" s="380"/>
      <c r="AJ45" s="380"/>
      <c r="AK45" s="380"/>
      <c r="AL45" s="380"/>
      <c r="AM45" s="380"/>
      <c r="AN45" s="391"/>
      <c r="AO45" s="390"/>
      <c r="AP45" s="380"/>
      <c r="AQ45" s="380"/>
      <c r="AR45" s="380"/>
      <c r="AS45" s="380"/>
      <c r="AT45" s="380"/>
      <c r="AU45" s="380"/>
      <c r="AV45" s="380"/>
      <c r="AW45" s="380"/>
      <c r="AX45" s="380"/>
      <c r="AY45" s="380"/>
      <c r="AZ45" s="391"/>
      <c r="BA45" s="406">
        <f t="shared" si="25"/>
        <v>5.55</v>
      </c>
    </row>
    <row r="46" spans="1:53" s="29" customFormat="1" ht="20.100000000000001" customHeight="1">
      <c r="A46" s="59" t="str">
        <f>Vecinos!A46</f>
        <v>Isbeth Palacios</v>
      </c>
      <c r="B46" s="60" t="str">
        <f>Vecinos!C46</f>
        <v>Calle Guacara Nro. 88-75</v>
      </c>
      <c r="C46" s="36" t="str">
        <f>IF(SUMIFS(Vigilancia!$E:$E,Vigilancia!$F:$F,A46,Vigilancia!$J:$J,"Vigilancia")=BA46,"ü","û")</f>
        <v>ü</v>
      </c>
      <c r="D46" s="179"/>
      <c r="E46" s="180"/>
      <c r="F46" s="181"/>
      <c r="G46" s="181"/>
      <c r="H46" s="181"/>
      <c r="I46" s="181"/>
      <c r="J46" s="181"/>
      <c r="K46" s="181"/>
      <c r="L46" s="181"/>
      <c r="M46" s="181"/>
      <c r="N46" s="181"/>
      <c r="O46" s="181"/>
      <c r="P46" s="179"/>
      <c r="Q46" s="183"/>
      <c r="R46" s="184"/>
      <c r="S46" s="192"/>
      <c r="T46" s="192"/>
      <c r="U46" s="191">
        <f>400000/100000</f>
        <v>4</v>
      </c>
      <c r="V46" s="191">
        <f>400000/100000+225000/100000</f>
        <v>6.25</v>
      </c>
      <c r="W46" s="191">
        <f>850000/100000+150000/100000</f>
        <v>10</v>
      </c>
      <c r="X46" s="191">
        <f>1200000/100000</f>
        <v>12</v>
      </c>
      <c r="Y46" s="191"/>
      <c r="Z46" s="191"/>
      <c r="AA46" s="205"/>
      <c r="AB46" s="206"/>
      <c r="AC46" s="390"/>
      <c r="AD46" s="380"/>
      <c r="AE46" s="380"/>
      <c r="AF46" s="380"/>
      <c r="AG46" s="380"/>
      <c r="AH46" s="380"/>
      <c r="AI46" s="380"/>
      <c r="AJ46" s="380"/>
      <c r="AK46" s="380"/>
      <c r="AL46" s="380"/>
      <c r="AM46" s="380"/>
      <c r="AN46" s="391"/>
      <c r="AO46" s="390"/>
      <c r="AP46" s="380"/>
      <c r="AQ46" s="380"/>
      <c r="AR46" s="380"/>
      <c r="AS46" s="380"/>
      <c r="AT46" s="380"/>
      <c r="AU46" s="380"/>
      <c r="AV46" s="380"/>
      <c r="AW46" s="380"/>
      <c r="AX46" s="380"/>
      <c r="AY46" s="380"/>
      <c r="AZ46" s="391"/>
      <c r="BA46" s="406">
        <f t="shared" si="25"/>
        <v>32.25</v>
      </c>
    </row>
    <row r="47" spans="1:53" s="29" customFormat="1" ht="20.100000000000001" customHeight="1">
      <c r="A47" s="30" t="str">
        <f>Vecinos!A47</f>
        <v>Andrea Valor</v>
      </c>
      <c r="B47" s="31" t="str">
        <f>Vecinos!C47</f>
        <v>Calle Guacara Nro. 88-75</v>
      </c>
      <c r="C47" s="36" t="str">
        <f>IF(SUMIFS(Vigilancia!$E:$E,Vigilancia!$F:$F,A47,Vigilancia!$J:$J,"Vigilancia")=BA47,"ü","û")</f>
        <v>ü</v>
      </c>
      <c r="D47" s="207"/>
      <c r="E47" s="208"/>
      <c r="F47" s="209"/>
      <c r="G47" s="209"/>
      <c r="H47" s="209"/>
      <c r="I47" s="209"/>
      <c r="J47" s="209"/>
      <c r="K47" s="209"/>
      <c r="L47" s="209"/>
      <c r="M47" s="209"/>
      <c r="N47" s="209"/>
      <c r="O47" s="209"/>
      <c r="P47" s="207"/>
      <c r="Q47" s="210"/>
      <c r="R47" s="211"/>
      <c r="S47" s="211"/>
      <c r="T47" s="211"/>
      <c r="U47" s="211"/>
      <c r="V47" s="211"/>
      <c r="W47" s="211"/>
      <c r="X47" s="211"/>
      <c r="Y47" s="211"/>
      <c r="Z47" s="211"/>
      <c r="AA47" s="211"/>
      <c r="AB47" s="451"/>
      <c r="AC47" s="452"/>
      <c r="AD47" s="211"/>
      <c r="AE47" s="377">
        <v>3000</v>
      </c>
      <c r="AF47" s="377">
        <f>3000+2000</f>
        <v>5000</v>
      </c>
      <c r="AG47" s="377">
        <v>8000</v>
      </c>
      <c r="AH47" s="377">
        <v>8000</v>
      </c>
      <c r="AI47" s="377">
        <v>10000</v>
      </c>
      <c r="AJ47" s="377">
        <v>10000</v>
      </c>
      <c r="AK47" s="377">
        <v>20500</v>
      </c>
      <c r="AL47" s="377">
        <f>19800+31450</f>
        <v>51250</v>
      </c>
      <c r="AM47" s="382">
        <v>64500</v>
      </c>
      <c r="AN47" s="378">
        <v>81750</v>
      </c>
      <c r="AO47" s="376">
        <v>136250</v>
      </c>
      <c r="AP47" s="377">
        <v>136250</v>
      </c>
      <c r="AQ47" s="377">
        <v>185250</v>
      </c>
      <c r="AR47" s="377">
        <v>185250</v>
      </c>
      <c r="AS47" s="377">
        <v>250000</v>
      </c>
      <c r="AT47" s="377"/>
      <c r="AU47" s="377"/>
      <c r="AV47" s="377"/>
      <c r="AW47" s="377"/>
      <c r="AX47" s="377"/>
      <c r="AY47" s="377"/>
      <c r="AZ47" s="378"/>
      <c r="BA47" s="403">
        <f t="shared" si="25"/>
        <v>1155000</v>
      </c>
    </row>
    <row r="48" spans="1:53" s="29" customFormat="1" ht="20.100000000000001" customHeight="1">
      <c r="A48" s="33" t="str">
        <f>Vecinos!A48</f>
        <v>Familia Machado Stoppa</v>
      </c>
      <c r="B48" s="34" t="str">
        <f>Vecinos!C48</f>
        <v>Calle Guacara Nro. 88-85</v>
      </c>
      <c r="C48" s="35" t="str">
        <f>IF(SUMIFS(Vigilancia!$E:$E,Vigilancia!$F:$F,A48,Vigilancia!$J:$J,"Vigilancia")=BA48,"ü","û")</f>
        <v>ü</v>
      </c>
      <c r="D48" s="186"/>
      <c r="E48" s="187">
        <f>15000/100000</f>
        <v>0.15</v>
      </c>
      <c r="F48" s="188">
        <f>15000/100000</f>
        <v>0.15</v>
      </c>
      <c r="G48" s="188">
        <f>15000/100000</f>
        <v>0.15</v>
      </c>
      <c r="H48" s="188">
        <f>22000/100000</f>
        <v>0.22</v>
      </c>
      <c r="I48" s="188">
        <f>22000/100000</f>
        <v>0.22</v>
      </c>
      <c r="J48" s="188">
        <f>22000/100000</f>
        <v>0.22</v>
      </c>
      <c r="K48" s="188">
        <f>25000/100000</f>
        <v>0.25</v>
      </c>
      <c r="L48" s="188">
        <f>30000/100000</f>
        <v>0.3</v>
      </c>
      <c r="M48" s="188">
        <f>30000/100000</f>
        <v>0.3</v>
      </c>
      <c r="N48" s="188">
        <f>30000/100000</f>
        <v>0.3</v>
      </c>
      <c r="O48" s="188">
        <f>40000/100000</f>
        <v>0.4</v>
      </c>
      <c r="P48" s="186">
        <f>40000/100000</f>
        <v>0.4</v>
      </c>
      <c r="Q48" s="189">
        <f>70000/100000</f>
        <v>0.7</v>
      </c>
      <c r="R48" s="190">
        <f>70000/100000</f>
        <v>0.7</v>
      </c>
      <c r="S48" s="190">
        <f>70000/100000</f>
        <v>0.7</v>
      </c>
      <c r="T48" s="190">
        <f>70000/100000</f>
        <v>0.7</v>
      </c>
      <c r="U48" s="184">
        <f>400000/100000</f>
        <v>4</v>
      </c>
      <c r="V48" s="184">
        <f>400000/100000+225000/100000</f>
        <v>6.25</v>
      </c>
      <c r="W48" s="184">
        <f>400000/100000+600000/100000</f>
        <v>10</v>
      </c>
      <c r="X48" s="191">
        <f>400000/100000+800000/100000</f>
        <v>12</v>
      </c>
      <c r="Y48" s="184">
        <v>320</v>
      </c>
      <c r="Z48" s="184">
        <v>350</v>
      </c>
      <c r="AA48" s="184">
        <v>320</v>
      </c>
      <c r="AB48" s="179">
        <v>800</v>
      </c>
      <c r="AC48" s="381">
        <f>800+2200</f>
        <v>3000</v>
      </c>
      <c r="AD48" s="377">
        <v>3000</v>
      </c>
      <c r="AE48" s="377">
        <v>3000</v>
      </c>
      <c r="AF48" s="377">
        <f>3000+2000</f>
        <v>5000</v>
      </c>
      <c r="AG48" s="377">
        <v>8000</v>
      </c>
      <c r="AH48" s="377">
        <v>8000</v>
      </c>
      <c r="AI48" s="377">
        <v>10000</v>
      </c>
      <c r="AJ48" s="377">
        <v>10000</v>
      </c>
      <c r="AK48" s="377">
        <v>20500</v>
      </c>
      <c r="AL48" s="377">
        <f>19800+27200</f>
        <v>47000</v>
      </c>
      <c r="AM48" s="377">
        <v>56250</v>
      </c>
      <c r="AN48" s="378">
        <v>105250</v>
      </c>
      <c r="AO48" s="381">
        <v>136250</v>
      </c>
      <c r="AP48" s="377">
        <v>136250</v>
      </c>
      <c r="AQ48" s="377">
        <v>185250</v>
      </c>
      <c r="AR48" s="377">
        <v>186250</v>
      </c>
      <c r="AS48" s="377">
        <v>250000</v>
      </c>
      <c r="AT48" s="377"/>
      <c r="AU48" s="377"/>
      <c r="AV48" s="377"/>
      <c r="AW48" s="377"/>
      <c r="AX48" s="377"/>
      <c r="AY48" s="377"/>
      <c r="AZ48" s="378"/>
      <c r="BA48" s="403">
        <f t="shared" si="25"/>
        <v>1174828.1099999999</v>
      </c>
    </row>
    <row r="49" spans="1:53" s="29" customFormat="1" ht="20.100000000000001" customHeight="1">
      <c r="A49" s="33" t="str">
        <f>Vecinos!A49</f>
        <v>Familia Zavarce Barón</v>
      </c>
      <c r="B49" s="34" t="str">
        <f>Vecinos!C49</f>
        <v>Calle Guacara Nro. 88-91</v>
      </c>
      <c r="C49" s="35" t="str">
        <f>IF(SUMIFS(Vigilancia!$E:$E,Vigilancia!$F:$F,A49,Vigilancia!$J:$J,"Vigilancia")=BA49,"ü","û")</f>
        <v>ü</v>
      </c>
      <c r="D49" s="186"/>
      <c r="E49" s="187">
        <f>10000/100000</f>
        <v>0.1</v>
      </c>
      <c r="F49" s="188">
        <f>10000/100000</f>
        <v>0.1</v>
      </c>
      <c r="G49" s="188">
        <f>14000/100000</f>
        <v>0.14000000000000001</v>
      </c>
      <c r="H49" s="188">
        <f>17000/100000</f>
        <v>0.17</v>
      </c>
      <c r="I49" s="188">
        <f>10000/100000</f>
        <v>0.1</v>
      </c>
      <c r="J49" s="188">
        <f>10000/100000</f>
        <v>0.1</v>
      </c>
      <c r="K49" s="188">
        <f>10000/100000</f>
        <v>0.1</v>
      </c>
      <c r="L49" s="188">
        <f>10000/100000</f>
        <v>0.1</v>
      </c>
      <c r="M49" s="188"/>
      <c r="N49" s="188"/>
      <c r="O49" s="188"/>
      <c r="P49" s="186"/>
      <c r="Q49" s="183">
        <f>80000/100000</f>
        <v>0.8</v>
      </c>
      <c r="R49" s="184">
        <f>80000/100000</f>
        <v>0.8</v>
      </c>
      <c r="S49" s="184">
        <f>140000/100000</f>
        <v>1.4</v>
      </c>
      <c r="T49" s="184">
        <f>140000/100000</f>
        <v>1.4</v>
      </c>
      <c r="U49" s="184">
        <f>60000/100000+340000/100000</f>
        <v>4</v>
      </c>
      <c r="V49" s="184">
        <f>625000/100000</f>
        <v>6.25</v>
      </c>
      <c r="W49" s="191">
        <f>850000/100000+150000/100000</f>
        <v>10</v>
      </c>
      <c r="X49" s="184">
        <v>12</v>
      </c>
      <c r="Y49" s="184">
        <v>320</v>
      </c>
      <c r="Z49" s="184">
        <v>320</v>
      </c>
      <c r="AA49" s="184">
        <v>320</v>
      </c>
      <c r="AB49" s="179">
        <v>800</v>
      </c>
      <c r="AC49" s="376">
        <v>3000</v>
      </c>
      <c r="AD49" s="377">
        <v>3000</v>
      </c>
      <c r="AE49" s="377">
        <v>3000</v>
      </c>
      <c r="AF49" s="377">
        <v>5000</v>
      </c>
      <c r="AG49" s="377">
        <v>8000</v>
      </c>
      <c r="AH49" s="377">
        <v>8000</v>
      </c>
      <c r="AI49" s="377">
        <v>10000</v>
      </c>
      <c r="AJ49" s="377">
        <v>10000</v>
      </c>
      <c r="AK49" s="377">
        <v>19800</v>
      </c>
      <c r="AL49" s="377">
        <v>51250</v>
      </c>
      <c r="AM49" s="377">
        <v>97500</v>
      </c>
      <c r="AN49" s="378">
        <v>105250</v>
      </c>
      <c r="AO49" s="376">
        <f>122550+13700</f>
        <v>136250</v>
      </c>
      <c r="AP49" s="377">
        <f>136250-50</f>
        <v>136200</v>
      </c>
      <c r="AQ49" s="377">
        <f>185200</f>
        <v>185200</v>
      </c>
      <c r="AR49" s="377">
        <f>185200+50</f>
        <v>185250</v>
      </c>
      <c r="AS49" s="377">
        <v>250000</v>
      </c>
      <c r="AT49" s="377"/>
      <c r="AU49" s="377"/>
      <c r="AV49" s="377"/>
      <c r="AW49" s="377"/>
      <c r="AX49" s="377"/>
      <c r="AY49" s="377"/>
      <c r="AZ49" s="378"/>
      <c r="BA49" s="403">
        <f t="shared" si="25"/>
        <v>1218497.56</v>
      </c>
    </row>
    <row r="50" spans="1:53" s="29" customFormat="1" ht="20.100000000000001" customHeight="1">
      <c r="A50" s="30" t="str">
        <f>Vecinos!A50</f>
        <v>Familia Chávez Moncada</v>
      </c>
      <c r="B50" s="31" t="str">
        <f>Vecinos!C50</f>
        <v>Calle Guacara Nro. 88-95</v>
      </c>
      <c r="C50" s="36" t="str">
        <f>IF(SUMIFS(Vigilancia!$E:$E,Vigilancia!$F:$F,A50,Vigilancia!$J:$J,"Vigilancia")=BA50,"ü","û")</f>
        <v>ü</v>
      </c>
      <c r="D50" s="179"/>
      <c r="E50" s="180"/>
      <c r="F50" s="181"/>
      <c r="G50" s="181"/>
      <c r="H50" s="181"/>
      <c r="I50" s="181"/>
      <c r="J50" s="181"/>
      <c r="K50" s="181"/>
      <c r="L50" s="181"/>
      <c r="M50" s="181"/>
      <c r="N50" s="181"/>
      <c r="O50" s="181"/>
      <c r="P50" s="179"/>
      <c r="Q50" s="183"/>
      <c r="R50" s="184"/>
      <c r="S50" s="184"/>
      <c r="T50" s="184"/>
      <c r="U50" s="184"/>
      <c r="V50" s="184"/>
      <c r="W50" s="184"/>
      <c r="X50" s="184"/>
      <c r="Y50" s="184"/>
      <c r="Z50" s="184"/>
      <c r="AA50" s="184"/>
      <c r="AB50" s="179"/>
      <c r="AC50" s="376"/>
      <c r="AD50" s="377"/>
      <c r="AE50" s="377"/>
      <c r="AF50" s="377"/>
      <c r="AG50" s="377"/>
      <c r="AH50" s="377"/>
      <c r="AI50" s="377"/>
      <c r="AJ50" s="377"/>
      <c r="AK50" s="377"/>
      <c r="AL50" s="377"/>
      <c r="AM50" s="377">
        <v>2281750</v>
      </c>
      <c r="AN50" s="378">
        <v>105250</v>
      </c>
      <c r="AO50" s="511" t="s">
        <v>1229</v>
      </c>
      <c r="AP50" s="380"/>
      <c r="AQ50" s="380"/>
      <c r="AR50" s="380"/>
      <c r="AS50" s="380"/>
      <c r="AT50" s="380"/>
      <c r="AU50" s="380"/>
      <c r="AV50" s="380"/>
      <c r="AW50" s="380"/>
      <c r="AX50" s="380"/>
      <c r="AY50" s="380"/>
      <c r="AZ50" s="391"/>
      <c r="BA50" s="406">
        <f t="shared" si="25"/>
        <v>2387000</v>
      </c>
    </row>
    <row r="51" spans="1:53" s="29" customFormat="1" ht="20.100000000000001" customHeight="1">
      <c r="A51" s="30" t="str">
        <f>Vecinos!A51</f>
        <v>Familia Brito Viana</v>
      </c>
      <c r="B51" s="31" t="str">
        <f>Vecinos!C51</f>
        <v>Calle Guacara Nro. 88-95</v>
      </c>
      <c r="C51" s="36" t="str">
        <f>IF(SUMIFS(Vigilancia!$E:$E,Vigilancia!$F:$F,A51,Vigilancia!$J:$J,"Vigilancia")=BA51,"ü","û")</f>
        <v>ü</v>
      </c>
      <c r="D51" s="214"/>
      <c r="E51" s="215"/>
      <c r="F51" s="216"/>
      <c r="G51" s="216"/>
      <c r="H51" s="216"/>
      <c r="I51" s="216"/>
      <c r="J51" s="216"/>
      <c r="K51" s="216"/>
      <c r="L51" s="216"/>
      <c r="M51" s="216"/>
      <c r="N51" s="216"/>
      <c r="O51" s="216"/>
      <c r="P51" s="214"/>
      <c r="Q51" s="217"/>
      <c r="R51" s="218"/>
      <c r="S51" s="218"/>
      <c r="T51" s="218"/>
      <c r="U51" s="218"/>
      <c r="V51" s="218"/>
      <c r="W51" s="218"/>
      <c r="X51" s="218"/>
      <c r="Y51" s="218"/>
      <c r="Z51" s="218"/>
      <c r="AA51" s="218"/>
      <c r="AB51" s="214"/>
      <c r="AC51" s="480"/>
      <c r="AD51" s="481"/>
      <c r="AE51" s="481"/>
      <c r="AF51" s="481"/>
      <c r="AG51" s="481"/>
      <c r="AH51" s="481"/>
      <c r="AI51" s="481"/>
      <c r="AJ51" s="481"/>
      <c r="AK51" s="481"/>
      <c r="AL51" s="481"/>
      <c r="AM51" s="481"/>
      <c r="AN51" s="605"/>
      <c r="AO51" s="381">
        <v>136250</v>
      </c>
      <c r="AP51" s="382">
        <v>136250</v>
      </c>
      <c r="AQ51" s="382">
        <v>186000</v>
      </c>
      <c r="AR51" s="382">
        <v>186000</v>
      </c>
      <c r="AS51" s="377">
        <v>250000</v>
      </c>
      <c r="AT51" s="377"/>
      <c r="AU51" s="377"/>
      <c r="AV51" s="377"/>
      <c r="AW51" s="377"/>
      <c r="AX51" s="377"/>
      <c r="AY51" s="377"/>
      <c r="AZ51" s="378"/>
      <c r="BA51" s="403">
        <f t="shared" ref="BA51" si="37">SUM(D51:AZ51)</f>
        <v>894500</v>
      </c>
    </row>
    <row r="52" spans="1:53" s="29" customFormat="1" ht="20.100000000000001" customHeight="1">
      <c r="A52" s="59" t="str">
        <f>Vecinos!A52</f>
        <v>Familia Zampini Scaccia</v>
      </c>
      <c r="B52" s="60" t="str">
        <f>Vecinos!C52</f>
        <v>Calle Guacara Nro. 88-A-10</v>
      </c>
      <c r="C52" s="36" t="str">
        <f>IF(SUMIFS(Vigilancia!$E:$E,Vigilancia!$F:$F,A52,Vigilancia!$J:$J,"Vigilancia")=BA52,"ü","û")</f>
        <v>ü</v>
      </c>
      <c r="D52" s="179"/>
      <c r="E52" s="180"/>
      <c r="F52" s="181"/>
      <c r="G52" s="181"/>
      <c r="H52" s="181"/>
      <c r="I52" s="181"/>
      <c r="J52" s="181"/>
      <c r="K52" s="181"/>
      <c r="L52" s="181"/>
      <c r="M52" s="181"/>
      <c r="N52" s="181"/>
      <c r="O52" s="181"/>
      <c r="P52" s="179"/>
      <c r="Q52" s="183"/>
      <c r="R52" s="184"/>
      <c r="S52" s="184"/>
      <c r="T52" s="184"/>
      <c r="U52" s="184"/>
      <c r="V52" s="184"/>
      <c r="W52" s="212" t="s">
        <v>1229</v>
      </c>
      <c r="X52" s="213"/>
      <c r="Y52" s="205"/>
      <c r="Z52" s="205"/>
      <c r="AA52" s="205"/>
      <c r="AB52" s="206"/>
      <c r="AC52" s="390"/>
      <c r="AD52" s="380"/>
      <c r="AE52" s="380"/>
      <c r="AF52" s="380"/>
      <c r="AG52" s="380"/>
      <c r="AH52" s="380"/>
      <c r="AI52" s="380"/>
      <c r="AJ52" s="380"/>
      <c r="AK52" s="380"/>
      <c r="AL52" s="380"/>
      <c r="AM52" s="380"/>
      <c r="AN52" s="391"/>
      <c r="AO52" s="390"/>
      <c r="AP52" s="380"/>
      <c r="AQ52" s="380"/>
      <c r="AR52" s="380"/>
      <c r="AS52" s="380"/>
      <c r="AT52" s="380"/>
      <c r="AU52" s="380"/>
      <c r="AV52" s="380"/>
      <c r="AW52" s="380"/>
      <c r="AX52" s="380"/>
      <c r="AY52" s="380"/>
      <c r="AZ52" s="391"/>
      <c r="BA52" s="406">
        <f t="shared" si="25"/>
        <v>0</v>
      </c>
    </row>
    <row r="53" spans="1:53" s="29" customFormat="1" ht="20.100000000000001" customHeight="1">
      <c r="A53" s="30" t="str">
        <f>Vecinos!A53</f>
        <v>Familia Wu Acevedo</v>
      </c>
      <c r="B53" s="31" t="str">
        <f>Vecinos!C53</f>
        <v>Calle Guacara Nro. 88-A-10</v>
      </c>
      <c r="C53" s="36" t="str">
        <f>IF(SUMIFS(Vigilancia!$E:$E,Vigilancia!$F:$F,A53,Vigilancia!$J:$J,"Vigilancia")=BA53,"ü","û")</f>
        <v>ü</v>
      </c>
      <c r="D53" s="214"/>
      <c r="E53" s="215"/>
      <c r="F53" s="216"/>
      <c r="G53" s="216"/>
      <c r="H53" s="216"/>
      <c r="I53" s="216"/>
      <c r="J53" s="216"/>
      <c r="K53" s="216"/>
      <c r="L53" s="216"/>
      <c r="M53" s="216"/>
      <c r="N53" s="216"/>
      <c r="O53" s="216"/>
      <c r="P53" s="214"/>
      <c r="Q53" s="217"/>
      <c r="R53" s="218"/>
      <c r="S53" s="218"/>
      <c r="T53" s="218"/>
      <c r="U53" s="218"/>
      <c r="V53" s="218"/>
      <c r="W53" s="181">
        <f>1000000/100000</f>
        <v>10</v>
      </c>
      <c r="X53" s="181">
        <f>1200000/100000</f>
        <v>12</v>
      </c>
      <c r="Y53" s="184">
        <v>320</v>
      </c>
      <c r="Z53" s="184">
        <v>320</v>
      </c>
      <c r="AA53" s="184">
        <v>320</v>
      </c>
      <c r="AB53" s="179">
        <v>1000</v>
      </c>
      <c r="AC53" s="381">
        <f>800+2200</f>
        <v>3000</v>
      </c>
      <c r="AD53" s="377">
        <v>3000</v>
      </c>
      <c r="AE53" s="377">
        <v>3000</v>
      </c>
      <c r="AF53" s="377">
        <v>5000</v>
      </c>
      <c r="AG53" s="483">
        <v>10000</v>
      </c>
      <c r="AH53" s="483">
        <v>10000</v>
      </c>
      <c r="AI53" s="377">
        <v>10000</v>
      </c>
      <c r="AJ53" s="377">
        <v>10000</v>
      </c>
      <c r="AK53" s="377">
        <v>21600</v>
      </c>
      <c r="AL53" s="377">
        <f>21100+25900</f>
        <v>47000</v>
      </c>
      <c r="AM53" s="377">
        <v>51250</v>
      </c>
      <c r="AN53" s="378">
        <v>81750</v>
      </c>
      <c r="AO53" s="381">
        <v>136250</v>
      </c>
      <c r="AP53" s="377">
        <f>64405.8+120844.2</f>
        <v>185250</v>
      </c>
      <c r="AQ53" s="377">
        <v>185250</v>
      </c>
      <c r="AR53" s="377">
        <f>905.8+185250</f>
        <v>186155.8</v>
      </c>
      <c r="AS53" s="377"/>
      <c r="AT53" s="377"/>
      <c r="AU53" s="377"/>
      <c r="AV53" s="377"/>
      <c r="AW53" s="377"/>
      <c r="AX53" s="377"/>
      <c r="AY53" s="377"/>
      <c r="AZ53" s="378"/>
      <c r="BA53" s="403">
        <f t="shared" si="25"/>
        <v>950487.8</v>
      </c>
    </row>
    <row r="54" spans="1:53" s="29" customFormat="1" ht="20.100000000000001" customHeight="1">
      <c r="A54" s="30" t="str">
        <f>Vecinos!A54</f>
        <v>Familia Arcia Polanco</v>
      </c>
      <c r="B54" s="31" t="str">
        <f>Vecinos!C54</f>
        <v>Calle Guacara Nro. 89-20</v>
      </c>
      <c r="C54" s="36" t="str">
        <f>IF(SUMIFS(Vigilancia!$E:$E,Vigilancia!$F:$F,A54,Vigilancia!$J:$J,"Vigilancia")=BA54,"ü","û")</f>
        <v>ü</v>
      </c>
      <c r="D54" s="179"/>
      <c r="E54" s="180">
        <f>10500/100000+6500/100000</f>
        <v>0.16999999999999998</v>
      </c>
      <c r="F54" s="181">
        <f t="shared" ref="F54:H56" si="38">17000/100000</f>
        <v>0.17</v>
      </c>
      <c r="G54" s="181">
        <f t="shared" si="38"/>
        <v>0.17</v>
      </c>
      <c r="H54" s="181">
        <f t="shared" si="38"/>
        <v>0.17</v>
      </c>
      <c r="I54" s="181">
        <f t="shared" ref="I54:J56" si="39">26000/100000</f>
        <v>0.26</v>
      </c>
      <c r="J54" s="181">
        <f t="shared" si="39"/>
        <v>0.26</v>
      </c>
      <c r="K54" s="181">
        <f>26000/100000+9000/100000</f>
        <v>0.35</v>
      </c>
      <c r="L54" s="181">
        <f t="shared" ref="L54:N56" si="40">35000/100000</f>
        <v>0.35</v>
      </c>
      <c r="M54" s="181">
        <f t="shared" si="40"/>
        <v>0.35</v>
      </c>
      <c r="N54" s="181">
        <f t="shared" si="40"/>
        <v>0.35</v>
      </c>
      <c r="O54" s="181">
        <f>50000/100000</f>
        <v>0.5</v>
      </c>
      <c r="P54" s="179">
        <f>50000/100000</f>
        <v>0.5</v>
      </c>
      <c r="Q54" s="183">
        <f>50000/100000+30000/100000</f>
        <v>0.8</v>
      </c>
      <c r="R54" s="184">
        <f>80000/100000</f>
        <v>0.8</v>
      </c>
      <c r="S54" s="184">
        <f>140000/100000</f>
        <v>1.4</v>
      </c>
      <c r="T54" s="184">
        <f>140000/100000</f>
        <v>1.4</v>
      </c>
      <c r="U54" s="184">
        <f>400000/100000</f>
        <v>4</v>
      </c>
      <c r="V54" s="184">
        <f>400000/100000+225000/100000</f>
        <v>6.25</v>
      </c>
      <c r="W54" s="219">
        <f>1000000/100000</f>
        <v>10</v>
      </c>
      <c r="X54" s="181">
        <f>1200000/100000</f>
        <v>12</v>
      </c>
      <c r="Y54" s="184">
        <v>320</v>
      </c>
      <c r="Z54" s="184">
        <v>320</v>
      </c>
      <c r="AA54" s="184">
        <v>320</v>
      </c>
      <c r="AB54" s="179">
        <v>800</v>
      </c>
      <c r="AC54" s="381">
        <f>800+2200</f>
        <v>3000</v>
      </c>
      <c r="AD54" s="377">
        <v>3000</v>
      </c>
      <c r="AE54" s="377">
        <v>3000</v>
      </c>
      <c r="AF54" s="377">
        <f>3000+2000</f>
        <v>5000</v>
      </c>
      <c r="AG54" s="377">
        <f>5000+3000</f>
        <v>8000</v>
      </c>
      <c r="AH54" s="377">
        <f>5000+3000</f>
        <v>8000</v>
      </c>
      <c r="AI54" s="377">
        <v>10000</v>
      </c>
      <c r="AJ54" s="377">
        <v>10000</v>
      </c>
      <c r="AK54" s="377">
        <v>23400</v>
      </c>
      <c r="AL54" s="382">
        <f>800+20300+28200</f>
        <v>49300</v>
      </c>
      <c r="AM54" s="377">
        <v>56250</v>
      </c>
      <c r="AN54" s="378">
        <v>81750</v>
      </c>
      <c r="AO54" s="381">
        <v>136250</v>
      </c>
      <c r="AP54" s="377">
        <v>136250</v>
      </c>
      <c r="AQ54" s="377">
        <v>185250</v>
      </c>
      <c r="AR54" s="377">
        <v>185250</v>
      </c>
      <c r="AS54" s="377">
        <v>250000</v>
      </c>
      <c r="AT54" s="377"/>
      <c r="AU54" s="377"/>
      <c r="AV54" s="377"/>
      <c r="AW54" s="377"/>
      <c r="AX54" s="377"/>
      <c r="AY54" s="377"/>
      <c r="AZ54" s="378"/>
      <c r="BA54" s="403">
        <f t="shared" si="25"/>
        <v>1155500.25</v>
      </c>
    </row>
    <row r="55" spans="1:53" s="29" customFormat="1" ht="20.100000000000001" customHeight="1">
      <c r="A55" s="30" t="str">
        <f>Vecinos!A55</f>
        <v>Familia Lomeña Agudo</v>
      </c>
      <c r="B55" s="31" t="str">
        <f>Vecinos!C55</f>
        <v>Calle Guacara Nro. 89-30</v>
      </c>
      <c r="C55" s="36" t="str">
        <f>IF(SUMIFS(Vigilancia!$E:$E,Vigilancia!$F:$F,A55,Vigilancia!$J:$J,"Vigilancia")=BA55,"ü","û")</f>
        <v>ü</v>
      </c>
      <c r="D55" s="179"/>
      <c r="E55" s="180">
        <f>17000/100000</f>
        <v>0.17</v>
      </c>
      <c r="F55" s="181">
        <f t="shared" si="38"/>
        <v>0.17</v>
      </c>
      <c r="G55" s="181">
        <f t="shared" si="38"/>
        <v>0.17</v>
      </c>
      <c r="H55" s="181">
        <f t="shared" si="38"/>
        <v>0.17</v>
      </c>
      <c r="I55" s="181">
        <f t="shared" si="39"/>
        <v>0.26</v>
      </c>
      <c r="J55" s="181">
        <f t="shared" si="39"/>
        <v>0.26</v>
      </c>
      <c r="K55" s="181">
        <f>26000/100000+9000/100000</f>
        <v>0.35</v>
      </c>
      <c r="L55" s="181">
        <f t="shared" si="40"/>
        <v>0.35</v>
      </c>
      <c r="M55" s="181">
        <f t="shared" si="40"/>
        <v>0.35</v>
      </c>
      <c r="N55" s="181">
        <f t="shared" si="40"/>
        <v>0.35</v>
      </c>
      <c r="O55" s="181">
        <f>50000/100000</f>
        <v>0.5</v>
      </c>
      <c r="P55" s="179">
        <f>50000/100000</f>
        <v>0.5</v>
      </c>
      <c r="Q55" s="183">
        <f>80000/100000</f>
        <v>0.8</v>
      </c>
      <c r="R55" s="184">
        <f>80000/100000</f>
        <v>0.8</v>
      </c>
      <c r="S55" s="184">
        <f>130000/100000+10000/100000</f>
        <v>1.4000000000000001</v>
      </c>
      <c r="T55" s="184">
        <f>140000/100000</f>
        <v>1.4</v>
      </c>
      <c r="U55" s="184">
        <f>400000/100000</f>
        <v>4</v>
      </c>
      <c r="V55" s="184">
        <f>200000/100000+425000/100000</f>
        <v>6.25</v>
      </c>
      <c r="W55" s="181">
        <f>1000000/100000-425000/100000+650000/100000</f>
        <v>12.25</v>
      </c>
      <c r="X55" s="181">
        <f>1200000/100000</f>
        <v>12</v>
      </c>
      <c r="Y55" s="191">
        <f>0.2+350</f>
        <v>350.2</v>
      </c>
      <c r="Z55" s="184">
        <v>320</v>
      </c>
      <c r="AA55" s="184">
        <v>350</v>
      </c>
      <c r="AB55" s="179">
        <v>800</v>
      </c>
      <c r="AC55" s="381">
        <f>800+2200</f>
        <v>3000</v>
      </c>
      <c r="AD55" s="377">
        <v>3000</v>
      </c>
      <c r="AE55" s="377">
        <v>4500</v>
      </c>
      <c r="AF55" s="377">
        <f>4000-4000+5000</f>
        <v>5000</v>
      </c>
      <c r="AG55" s="377">
        <v>8000</v>
      </c>
      <c r="AH55" s="483">
        <v>10000</v>
      </c>
      <c r="AI55" s="377">
        <v>10000</v>
      </c>
      <c r="AJ55" s="483">
        <v>15000</v>
      </c>
      <c r="AK55" s="377">
        <f>15000+8400</f>
        <v>23400</v>
      </c>
      <c r="AL55" s="382">
        <f>25000+23000</f>
        <v>48000</v>
      </c>
      <c r="AM55" s="483">
        <v>67481</v>
      </c>
      <c r="AN55" s="568">
        <v>148000</v>
      </c>
      <c r="AO55" s="381">
        <v>136250</v>
      </c>
      <c r="AP55" s="377">
        <v>210000</v>
      </c>
      <c r="AQ55" s="377">
        <v>186000</v>
      </c>
      <c r="AR55" s="377">
        <v>187000</v>
      </c>
      <c r="AS55" s="377">
        <v>250000</v>
      </c>
      <c r="AT55" s="377"/>
      <c r="AU55" s="377"/>
      <c r="AV55" s="377"/>
      <c r="AW55" s="377"/>
      <c r="AX55" s="377"/>
      <c r="AY55" s="377"/>
      <c r="AZ55" s="378"/>
      <c r="BA55" s="403">
        <f t="shared" si="25"/>
        <v>1316493.7</v>
      </c>
    </row>
    <row r="56" spans="1:53" s="29" customFormat="1" ht="20.100000000000001" customHeight="1">
      <c r="A56" s="30" t="str">
        <f>Vecinos!A56</f>
        <v>Familia Manrique Riera</v>
      </c>
      <c r="B56" s="31" t="str">
        <f>Vecinos!C56</f>
        <v>Calle Guacara Nro. 89-40</v>
      </c>
      <c r="C56" s="36" t="str">
        <f>IF(SUMIFS(Vigilancia!$E:$E,Vigilancia!$F:$F,A56,Vigilancia!$J:$J,"Vigilancia")=BA56,"ü","û")</f>
        <v>ü</v>
      </c>
      <c r="D56" s="179"/>
      <c r="E56" s="180">
        <f>14000/100000+3000/100000</f>
        <v>0.17</v>
      </c>
      <c r="F56" s="181">
        <f t="shared" si="38"/>
        <v>0.17</v>
      </c>
      <c r="G56" s="181">
        <f t="shared" si="38"/>
        <v>0.17</v>
      </c>
      <c r="H56" s="181">
        <f t="shared" si="38"/>
        <v>0.17</v>
      </c>
      <c r="I56" s="181">
        <f t="shared" si="39"/>
        <v>0.26</v>
      </c>
      <c r="J56" s="181">
        <f t="shared" si="39"/>
        <v>0.26</v>
      </c>
      <c r="K56" s="181">
        <f>35000/100000</f>
        <v>0.35</v>
      </c>
      <c r="L56" s="181">
        <f t="shared" si="40"/>
        <v>0.35</v>
      </c>
      <c r="M56" s="181">
        <f t="shared" si="40"/>
        <v>0.35</v>
      </c>
      <c r="N56" s="181">
        <f t="shared" si="40"/>
        <v>0.35</v>
      </c>
      <c r="O56" s="181">
        <f>35000/100000+15000/100000</f>
        <v>0.5</v>
      </c>
      <c r="P56" s="179">
        <f>20000/100000</f>
        <v>0.2</v>
      </c>
      <c r="Q56" s="183">
        <f>80000/100000</f>
        <v>0.8</v>
      </c>
      <c r="R56" s="184">
        <f>80000/100000</f>
        <v>0.8</v>
      </c>
      <c r="S56" s="184">
        <f>140000/100000</f>
        <v>1.4</v>
      </c>
      <c r="T56" s="184">
        <f>140000/100000</f>
        <v>1.4</v>
      </c>
      <c r="U56" s="184">
        <f>400000/100000</f>
        <v>4</v>
      </c>
      <c r="V56" s="184">
        <f>650000/100000</f>
        <v>6.5</v>
      </c>
      <c r="W56" s="220">
        <f>1000000/100000</f>
        <v>10</v>
      </c>
      <c r="X56" s="181">
        <v>12</v>
      </c>
      <c r="Y56" s="184">
        <v>320</v>
      </c>
      <c r="Z56" s="184">
        <v>320</v>
      </c>
      <c r="AA56" s="184">
        <v>320</v>
      </c>
      <c r="AB56" s="179">
        <v>800</v>
      </c>
      <c r="AC56" s="381">
        <f>800+2200</f>
        <v>3000</v>
      </c>
      <c r="AD56" s="377">
        <v>3000</v>
      </c>
      <c r="AE56" s="377">
        <v>3000</v>
      </c>
      <c r="AF56" s="377">
        <v>5000</v>
      </c>
      <c r="AG56" s="377">
        <f>5000+3000</f>
        <v>8000</v>
      </c>
      <c r="AH56" s="377">
        <v>8000</v>
      </c>
      <c r="AI56" s="377">
        <f>8000+2000</f>
        <v>10000</v>
      </c>
      <c r="AJ56" s="377">
        <v>10000</v>
      </c>
      <c r="AK56" s="377">
        <v>23400</v>
      </c>
      <c r="AL56" s="377">
        <v>47000</v>
      </c>
      <c r="AM56" s="377">
        <v>64500</v>
      </c>
      <c r="AN56" s="378">
        <v>81750</v>
      </c>
      <c r="AO56" s="381">
        <v>136250</v>
      </c>
      <c r="AP56" s="377">
        <v>136250</v>
      </c>
      <c r="AQ56" s="377">
        <v>185250</v>
      </c>
      <c r="AR56" s="377">
        <v>185250</v>
      </c>
      <c r="AS56" s="377">
        <v>250000</v>
      </c>
      <c r="AT56" s="377"/>
      <c r="AU56" s="377"/>
      <c r="AV56" s="377"/>
      <c r="AW56" s="377"/>
      <c r="AX56" s="377"/>
      <c r="AY56" s="377"/>
      <c r="AZ56" s="378"/>
      <c r="BA56" s="403">
        <f t="shared" si="25"/>
        <v>1161450.2</v>
      </c>
    </row>
    <row r="57" spans="1:53" s="29" customFormat="1" ht="20.100000000000001" customHeight="1">
      <c r="A57" s="33" t="str">
        <f>Vecinos!A57</f>
        <v>Familia Romero</v>
      </c>
      <c r="B57" s="34" t="str">
        <f>Vecinos!C57</f>
        <v>Calle Guacara Nro. 89-50</v>
      </c>
      <c r="C57" s="35" t="str">
        <f>IF(SUMIFS(Vigilancia!$E:$E,Vigilancia!$F:$F,A57,Vigilancia!$J:$J,"Vigilancia")=BA57,"ü","û")</f>
        <v>ü</v>
      </c>
      <c r="D57" s="186"/>
      <c r="E57" s="187"/>
      <c r="F57" s="188"/>
      <c r="G57" s="188"/>
      <c r="H57" s="188"/>
      <c r="I57" s="188"/>
      <c r="J57" s="188"/>
      <c r="K57" s="188"/>
      <c r="L57" s="188"/>
      <c r="M57" s="188"/>
      <c r="N57" s="188"/>
      <c r="O57" s="188"/>
      <c r="P57" s="186">
        <f>50000/100000</f>
        <v>0.5</v>
      </c>
      <c r="Q57" s="189">
        <f>50000/100000</f>
        <v>0.5</v>
      </c>
      <c r="R57" s="190">
        <f>50000/100000</f>
        <v>0.5</v>
      </c>
      <c r="S57" s="190">
        <f>50000/100000</f>
        <v>0.5</v>
      </c>
      <c r="T57" s="190">
        <f>50000/100000</f>
        <v>0.5</v>
      </c>
      <c r="U57" s="190">
        <f>400000/100000</f>
        <v>4</v>
      </c>
      <c r="V57" s="190">
        <f>400000/100000</f>
        <v>4</v>
      </c>
      <c r="W57" s="190">
        <f>850000/100000+150000/100000</f>
        <v>10</v>
      </c>
      <c r="X57" s="190">
        <f>1000000/100000</f>
        <v>10</v>
      </c>
      <c r="Y57" s="190">
        <v>160</v>
      </c>
      <c r="Z57" s="190">
        <v>160</v>
      </c>
      <c r="AA57" s="355"/>
      <c r="AB57" s="186">
        <v>800</v>
      </c>
      <c r="AC57" s="373">
        <v>3000</v>
      </c>
      <c r="AD57" s="374">
        <v>3000</v>
      </c>
      <c r="AE57" s="374">
        <v>3000</v>
      </c>
      <c r="AF57" s="374">
        <f>3000+2000</f>
        <v>5000</v>
      </c>
      <c r="AG57" s="374">
        <v>8000</v>
      </c>
      <c r="AH57" s="374">
        <v>8000</v>
      </c>
      <c r="AI57" s="374">
        <v>10000</v>
      </c>
      <c r="AJ57" s="374">
        <v>10000</v>
      </c>
      <c r="AK57" s="374">
        <v>20500</v>
      </c>
      <c r="AL57" s="374">
        <f>4500+42500</f>
        <v>47000</v>
      </c>
      <c r="AM57" s="374">
        <v>56250</v>
      </c>
      <c r="AN57" s="375">
        <v>81750</v>
      </c>
      <c r="AO57" s="373">
        <v>136250</v>
      </c>
      <c r="AP57" s="374">
        <v>185250</v>
      </c>
      <c r="AQ57" s="374">
        <v>185250</v>
      </c>
      <c r="AR57" s="374">
        <v>185250</v>
      </c>
      <c r="AS57" s="374"/>
      <c r="AT57" s="374"/>
      <c r="AU57" s="374"/>
      <c r="AV57" s="374"/>
      <c r="AW57" s="374"/>
      <c r="AX57" s="374"/>
      <c r="AY57" s="374"/>
      <c r="AZ57" s="375"/>
      <c r="BA57" s="402">
        <f t="shared" si="25"/>
        <v>948650.5</v>
      </c>
    </row>
    <row r="58" spans="1:53" s="29" customFormat="1" ht="20.100000000000001" customHeight="1">
      <c r="A58" s="30" t="str">
        <f>Vecinos!A58</f>
        <v>Familia Durvelle Serrano</v>
      </c>
      <c r="B58" s="31" t="str">
        <f>Vecinos!C58</f>
        <v>Calle Guacara Nro. 89-60</v>
      </c>
      <c r="C58" s="36" t="str">
        <f>IF(SUMIFS(Vigilancia!$E:$E,Vigilancia!$F:$F,A58,Vigilancia!$J:$J,"Vigilancia")=BA58,"ü","û")</f>
        <v>ü</v>
      </c>
      <c r="D58" s="179"/>
      <c r="E58" s="195">
        <f>10000/100000</f>
        <v>0.1</v>
      </c>
      <c r="F58" s="181">
        <f t="shared" ref="F58:H60" si="41">17000/100000</f>
        <v>0.17</v>
      </c>
      <c r="G58" s="181">
        <f t="shared" si="41"/>
        <v>0.17</v>
      </c>
      <c r="H58" s="181">
        <f t="shared" si="41"/>
        <v>0.17</v>
      </c>
      <c r="I58" s="181">
        <f>26000/100000</f>
        <v>0.26</v>
      </c>
      <c r="J58" s="181">
        <f>27000/100000</f>
        <v>0.27</v>
      </c>
      <c r="K58" s="181">
        <f>27000/100000+9000/100000</f>
        <v>0.36</v>
      </c>
      <c r="L58" s="181">
        <f>35000/100000</f>
        <v>0.35</v>
      </c>
      <c r="M58" s="181">
        <f>35000/100000</f>
        <v>0.35</v>
      </c>
      <c r="N58" s="181">
        <f>35000/100000</f>
        <v>0.35</v>
      </c>
      <c r="O58" s="181">
        <f>35000/100000+15000/100000</f>
        <v>0.5</v>
      </c>
      <c r="P58" s="179">
        <f>50000/100000</f>
        <v>0.5</v>
      </c>
      <c r="Q58" s="183">
        <f>50000/100000+50000/100000</f>
        <v>1</v>
      </c>
      <c r="R58" s="184">
        <f>100000/100000</f>
        <v>1</v>
      </c>
      <c r="S58" s="184">
        <f>200000/100000</f>
        <v>2</v>
      </c>
      <c r="T58" s="184">
        <f>250000/100000</f>
        <v>2.5</v>
      </c>
      <c r="U58" s="184">
        <f>300000/100000+100000/100000</f>
        <v>4</v>
      </c>
      <c r="V58" s="184">
        <f>400000/100000+225000/100000</f>
        <v>6.25</v>
      </c>
      <c r="W58" s="184">
        <f>200000/100000+800000/100000</f>
        <v>10</v>
      </c>
      <c r="X58" s="191">
        <f>215000/100000+1500000/100000-515000/100000</f>
        <v>11.999999999999998</v>
      </c>
      <c r="Y58" s="191">
        <f>515000/100000+400</f>
        <v>405.15</v>
      </c>
      <c r="Z58" s="184">
        <v>500</v>
      </c>
      <c r="AA58" s="184">
        <v>500</v>
      </c>
      <c r="AB58" s="179">
        <v>1000</v>
      </c>
      <c r="AC58" s="381">
        <f>1000+3000</f>
        <v>4000</v>
      </c>
      <c r="AD58" s="377">
        <v>4000</v>
      </c>
      <c r="AE58" s="377">
        <v>6000</v>
      </c>
      <c r="AF58" s="377">
        <v>5000</v>
      </c>
      <c r="AG58" s="377">
        <f>5000+3000</f>
        <v>8000</v>
      </c>
      <c r="AH58" s="377">
        <v>8000</v>
      </c>
      <c r="AI58" s="377">
        <v>15000</v>
      </c>
      <c r="AJ58" s="377">
        <v>10000</v>
      </c>
      <c r="AK58" s="377">
        <v>24000</v>
      </c>
      <c r="AL58" s="382">
        <f>25000+22000</f>
        <v>47000</v>
      </c>
      <c r="AM58" s="377">
        <f>47000+10000</f>
        <v>57000</v>
      </c>
      <c r="AN58" s="562">
        <f>100000-1250</f>
        <v>98750</v>
      </c>
      <c r="AO58" s="607">
        <f>135000+1250</f>
        <v>136250</v>
      </c>
      <c r="AP58" s="377">
        <v>140000</v>
      </c>
      <c r="AQ58" s="377">
        <v>400000</v>
      </c>
      <c r="AR58" s="377">
        <v>300000</v>
      </c>
      <c r="AS58" s="377">
        <v>250000</v>
      </c>
      <c r="AT58" s="377"/>
      <c r="AU58" s="377"/>
      <c r="AV58" s="377"/>
      <c r="AW58" s="377"/>
      <c r="AX58" s="377"/>
      <c r="AY58" s="377"/>
      <c r="AZ58" s="378"/>
      <c r="BA58" s="403">
        <f t="shared" si="25"/>
        <v>1515447.45</v>
      </c>
    </row>
    <row r="59" spans="1:53" s="29" customFormat="1" ht="20.100000000000001" customHeight="1">
      <c r="A59" s="30" t="str">
        <f>Vecinos!A59</f>
        <v>Yuraima Rodríguez</v>
      </c>
      <c r="B59" s="31" t="str">
        <f>Vecinos!C59</f>
        <v>Calle Guacara Nro. 89-70</v>
      </c>
      <c r="C59" s="36" t="str">
        <f>IF(SUMIFS(Vigilancia!$E:$E,Vigilancia!$F:$F,A59,Vigilancia!$J:$J,"Vigilancia")=BA59,"ü","û")</f>
        <v>ü</v>
      </c>
      <c r="D59" s="179"/>
      <c r="E59" s="180">
        <f>17000/100000</f>
        <v>0.17</v>
      </c>
      <c r="F59" s="181">
        <f t="shared" si="41"/>
        <v>0.17</v>
      </c>
      <c r="G59" s="181">
        <f t="shared" si="41"/>
        <v>0.17</v>
      </c>
      <c r="H59" s="181">
        <f t="shared" si="41"/>
        <v>0.17</v>
      </c>
      <c r="I59" s="181"/>
      <c r="J59" s="181"/>
      <c r="K59" s="181"/>
      <c r="L59" s="181"/>
      <c r="M59" s="181"/>
      <c r="N59" s="181"/>
      <c r="O59" s="181"/>
      <c r="P59" s="179"/>
      <c r="Q59" s="183"/>
      <c r="R59" s="184"/>
      <c r="S59" s="184"/>
      <c r="T59" s="184"/>
      <c r="U59" s="184">
        <f>400000/100000</f>
        <v>4</v>
      </c>
      <c r="V59" s="192">
        <f>400000/100000</f>
        <v>4</v>
      </c>
      <c r="W59" s="184">
        <f>1000000/100000</f>
        <v>10</v>
      </c>
      <c r="X59" s="184">
        <f>1200000/100000</f>
        <v>12</v>
      </c>
      <c r="Y59" s="184">
        <v>320</v>
      </c>
      <c r="Z59" s="184">
        <v>320</v>
      </c>
      <c r="AA59" s="184">
        <v>320</v>
      </c>
      <c r="AB59" s="179">
        <v>800</v>
      </c>
      <c r="AC59" s="376">
        <v>3000</v>
      </c>
      <c r="AD59" s="377">
        <v>3000</v>
      </c>
      <c r="AE59" s="377">
        <v>3000</v>
      </c>
      <c r="AF59" s="377">
        <v>5000</v>
      </c>
      <c r="AG59" s="377">
        <v>8000</v>
      </c>
      <c r="AH59" s="377">
        <v>8000</v>
      </c>
      <c r="AI59" s="377"/>
      <c r="AJ59" s="377"/>
      <c r="AK59" s="377"/>
      <c r="AL59" s="377"/>
      <c r="AM59" s="377"/>
      <c r="AN59" s="378"/>
      <c r="AO59" s="376"/>
      <c r="AP59" s="377"/>
      <c r="AQ59" s="377"/>
      <c r="AR59" s="377"/>
      <c r="AS59" s="377"/>
      <c r="AT59" s="377"/>
      <c r="AU59" s="377"/>
      <c r="AV59" s="377"/>
      <c r="AW59" s="377"/>
      <c r="AX59" s="377"/>
      <c r="AY59" s="377"/>
      <c r="AZ59" s="378"/>
      <c r="BA59" s="403">
        <f t="shared" si="25"/>
        <v>31790.68</v>
      </c>
    </row>
    <row r="60" spans="1:53" s="29" customFormat="1" ht="20.100000000000001" customHeight="1">
      <c r="A60" s="30" t="str">
        <f>Vecinos!A60</f>
        <v>Familia Nava Gordon</v>
      </c>
      <c r="B60" s="31" t="str">
        <f>Vecinos!C60</f>
        <v>Calle Guacara Nro. 89-78</v>
      </c>
      <c r="C60" s="36" t="str">
        <f>IF(SUMIFS(Vigilancia!$E:$E,Vigilancia!$F:$F,A60,Vigilancia!$J:$J,"Vigilancia")=BA60,"ü","û")</f>
        <v>ü</v>
      </c>
      <c r="D60" s="179"/>
      <c r="E60" s="180">
        <f>17000/100000</f>
        <v>0.17</v>
      </c>
      <c r="F60" s="181">
        <f t="shared" si="41"/>
        <v>0.17</v>
      </c>
      <c r="G60" s="181">
        <f t="shared" si="41"/>
        <v>0.17</v>
      </c>
      <c r="H60" s="181">
        <f t="shared" si="41"/>
        <v>0.17</v>
      </c>
      <c r="I60" s="181">
        <f>26000/100000</f>
        <v>0.26</v>
      </c>
      <c r="J60" s="181">
        <f>26000/100000</f>
        <v>0.26</v>
      </c>
      <c r="K60" s="181">
        <f>2000/100000+33000/100000</f>
        <v>0.35000000000000003</v>
      </c>
      <c r="L60" s="181">
        <f t="shared" ref="L60:N61" si="42">35000/100000</f>
        <v>0.35</v>
      </c>
      <c r="M60" s="181">
        <f t="shared" si="42"/>
        <v>0.35</v>
      </c>
      <c r="N60" s="181">
        <f t="shared" si="42"/>
        <v>0.35</v>
      </c>
      <c r="O60" s="181">
        <f>50000/100000</f>
        <v>0.5</v>
      </c>
      <c r="P60" s="179">
        <f>50000/100000</f>
        <v>0.5</v>
      </c>
      <c r="Q60" s="183">
        <f>80000/100000</f>
        <v>0.8</v>
      </c>
      <c r="R60" s="184">
        <f>80000/100000</f>
        <v>0.8</v>
      </c>
      <c r="S60" s="184">
        <f>140000/100000</f>
        <v>1.4</v>
      </c>
      <c r="T60" s="184">
        <f>140000/100000</f>
        <v>1.4</v>
      </c>
      <c r="U60" s="184">
        <f>400000/100000</f>
        <v>4</v>
      </c>
      <c r="V60" s="184">
        <f>400/100000+399600/100000+225000/100000</f>
        <v>6.25</v>
      </c>
      <c r="W60" s="184">
        <f>850000/100000+150000/100000</f>
        <v>10</v>
      </c>
      <c r="X60" s="184">
        <f>1200000/100000</f>
        <v>12</v>
      </c>
      <c r="Y60" s="184">
        <v>320</v>
      </c>
      <c r="Z60" s="184">
        <v>320</v>
      </c>
      <c r="AA60" s="191">
        <f>40+280</f>
        <v>320</v>
      </c>
      <c r="AB60" s="179">
        <f>40+760</f>
        <v>800</v>
      </c>
      <c r="AC60" s="376">
        <v>3000</v>
      </c>
      <c r="AD60" s="382">
        <f>40+3000</f>
        <v>3040</v>
      </c>
      <c r="AE60" s="377">
        <v>3000</v>
      </c>
      <c r="AF60" s="377">
        <v>5000</v>
      </c>
      <c r="AG60" s="377">
        <v>8000</v>
      </c>
      <c r="AH60" s="377">
        <v>8000</v>
      </c>
      <c r="AI60" s="377">
        <v>10000</v>
      </c>
      <c r="AJ60" s="483">
        <v>15000</v>
      </c>
      <c r="AK60" s="377">
        <v>23400</v>
      </c>
      <c r="AL60" s="377">
        <f>20255+845+25900</f>
        <v>47000</v>
      </c>
      <c r="AM60" s="377">
        <v>56250</v>
      </c>
      <c r="AN60" s="387">
        <f>2300+79450</f>
        <v>81750</v>
      </c>
      <c r="AO60" s="376">
        <f>2300+133950</f>
        <v>136250</v>
      </c>
      <c r="AP60" s="382">
        <f>2300+133950</f>
        <v>136250</v>
      </c>
      <c r="AQ60" s="377">
        <f>2300+182950</f>
        <v>185250</v>
      </c>
      <c r="AR60" s="377">
        <f>2300+182950</f>
        <v>185250</v>
      </c>
      <c r="AS60" s="377">
        <f>2300+247700</f>
        <v>250000</v>
      </c>
      <c r="AT60" s="377">
        <f>2300</f>
        <v>2300</v>
      </c>
      <c r="AU60" s="377"/>
      <c r="AV60" s="377"/>
      <c r="AW60" s="377"/>
      <c r="AX60" s="377"/>
      <c r="AY60" s="377"/>
      <c r="AZ60" s="378"/>
      <c r="BA60" s="403">
        <f t="shared" si="25"/>
        <v>1160540.25</v>
      </c>
    </row>
    <row r="61" spans="1:53" s="29" customFormat="1" ht="20.100000000000001" customHeight="1">
      <c r="A61" s="30" t="str">
        <f>Vecinos!A61</f>
        <v>Familia González Arévalo</v>
      </c>
      <c r="B61" s="31" t="str">
        <f>Vecinos!C61</f>
        <v>Calle Guacara Nro. 89-86</v>
      </c>
      <c r="C61" s="36" t="str">
        <f>IF(SUMIFS(Vigilancia!$E:$E,Vigilancia!$F:$F,A61,Vigilancia!$J:$J,"Vigilancia")=BA61,"ü","û")</f>
        <v>ü</v>
      </c>
      <c r="D61" s="179"/>
      <c r="E61" s="195">
        <f>10500/100000</f>
        <v>0.105</v>
      </c>
      <c r="F61" s="181">
        <f>17000/100000</f>
        <v>0.17</v>
      </c>
      <c r="G61" s="181">
        <f>22000/100000</f>
        <v>0.22</v>
      </c>
      <c r="H61" s="181">
        <f>22000/100000</f>
        <v>0.22</v>
      </c>
      <c r="I61" s="181">
        <f>22000/100000</f>
        <v>0.22</v>
      </c>
      <c r="J61" s="181">
        <f>26000/100000</f>
        <v>0.26</v>
      </c>
      <c r="K61" s="181">
        <f>26000/100000+9000/100000</f>
        <v>0.35</v>
      </c>
      <c r="L61" s="181">
        <f t="shared" si="42"/>
        <v>0.35</v>
      </c>
      <c r="M61" s="181">
        <f t="shared" si="42"/>
        <v>0.35</v>
      </c>
      <c r="N61" s="181">
        <f t="shared" si="42"/>
        <v>0.35</v>
      </c>
      <c r="O61" s="181">
        <f>50000/100000</f>
        <v>0.5</v>
      </c>
      <c r="P61" s="179">
        <f>50000/100000</f>
        <v>0.5</v>
      </c>
      <c r="Q61" s="183">
        <f>80000/100000</f>
        <v>0.8</v>
      </c>
      <c r="R61" s="184">
        <f>80000/100000</f>
        <v>0.8</v>
      </c>
      <c r="S61" s="184">
        <f>140000/100000</f>
        <v>1.4</v>
      </c>
      <c r="T61" s="184">
        <f>140000/100000</f>
        <v>1.4</v>
      </c>
      <c r="U61" s="184">
        <f>140000/100000+260000/100000</f>
        <v>4</v>
      </c>
      <c r="V61" s="184">
        <f>400000/100000+225000/100000</f>
        <v>6.25</v>
      </c>
      <c r="W61" s="191">
        <f>850000/100000+150000/100000</f>
        <v>10</v>
      </c>
      <c r="X61" s="184">
        <v>12</v>
      </c>
      <c r="Y61" s="184">
        <v>320</v>
      </c>
      <c r="Z61" s="184">
        <v>320</v>
      </c>
      <c r="AA61" s="191">
        <v>320</v>
      </c>
      <c r="AB61" s="343">
        <f>320+450</f>
        <v>770</v>
      </c>
      <c r="AC61" s="381">
        <f>800+2200</f>
        <v>3000</v>
      </c>
      <c r="AD61" s="377">
        <f>3000</f>
        <v>3000</v>
      </c>
      <c r="AE61" s="377">
        <v>3000</v>
      </c>
      <c r="AF61" s="377">
        <f>3000+2000</f>
        <v>5000</v>
      </c>
      <c r="AG61" s="377">
        <f>5000+3000</f>
        <v>8000</v>
      </c>
      <c r="AH61" s="377">
        <v>8000</v>
      </c>
      <c r="AI61" s="382">
        <v>10000</v>
      </c>
      <c r="AJ61" s="382">
        <f>5000+5000</f>
        <v>10000</v>
      </c>
      <c r="AK61" s="377">
        <f>10000+13400</f>
        <v>23400</v>
      </c>
      <c r="AL61" s="382">
        <f>10000+11100+25900</f>
        <v>47000</v>
      </c>
      <c r="AM61" s="382">
        <v>56250</v>
      </c>
      <c r="AN61" s="387">
        <f>100000+100000</f>
        <v>200000</v>
      </c>
      <c r="AO61" s="381">
        <v>136250</v>
      </c>
      <c r="AP61" s="377">
        <v>150000</v>
      </c>
      <c r="AQ61" s="377">
        <v>150000</v>
      </c>
      <c r="AR61" s="377">
        <v>225000</v>
      </c>
      <c r="AS61" s="377">
        <f>225000+50000</f>
        <v>275000</v>
      </c>
      <c r="AT61" s="377"/>
      <c r="AU61" s="382"/>
      <c r="AV61" s="377"/>
      <c r="AW61" s="377"/>
      <c r="AX61" s="377"/>
      <c r="AY61" s="382"/>
      <c r="AZ61" s="387"/>
      <c r="BA61" s="403">
        <f t="shared" si="25"/>
        <v>1314670.2450000001</v>
      </c>
    </row>
    <row r="62" spans="1:53" s="29" customFormat="1" ht="20.100000000000001" customHeight="1">
      <c r="A62" s="33" t="str">
        <f>Vecinos!A62</f>
        <v>Héctor Hernández</v>
      </c>
      <c r="B62" s="34" t="str">
        <f>Vecinos!C62</f>
        <v>Calle Guacara Nro. 89-94</v>
      </c>
      <c r="C62" s="35" t="str">
        <f>IF(SUMIFS(Vigilancia!$E:$E,Vigilancia!$F:$F,A62,Vigilancia!$J:$J,"Vigilancia")=BA62,"ü","û")</f>
        <v>ü</v>
      </c>
      <c r="D62" s="186"/>
      <c r="E62" s="187">
        <f>6000/100000+4000/100000</f>
        <v>0.1</v>
      </c>
      <c r="F62" s="188">
        <f>10000/100000</f>
        <v>0.1</v>
      </c>
      <c r="G62" s="188">
        <f>10000/100000</f>
        <v>0.1</v>
      </c>
      <c r="H62" s="188">
        <f>10000/100000</f>
        <v>0.1</v>
      </c>
      <c r="I62" s="188"/>
      <c r="J62" s="188"/>
      <c r="K62" s="188">
        <f>15000/100000</f>
        <v>0.15</v>
      </c>
      <c r="L62" s="188">
        <f>15000/100000</f>
        <v>0.15</v>
      </c>
      <c r="M62" s="188">
        <f>20000/100000</f>
        <v>0.2</v>
      </c>
      <c r="N62" s="188">
        <f>25000/100000</f>
        <v>0.25</v>
      </c>
      <c r="O62" s="188">
        <f>30000/100000</f>
        <v>0.3</v>
      </c>
      <c r="P62" s="186">
        <f>30000/100000</f>
        <v>0.3</v>
      </c>
      <c r="Q62" s="189">
        <f>30000/100000</f>
        <v>0.3</v>
      </c>
      <c r="R62" s="190">
        <f>30000/100000</f>
        <v>0.3</v>
      </c>
      <c r="S62" s="190">
        <f>70000/100000</f>
        <v>0.7</v>
      </c>
      <c r="T62" s="190">
        <f>80000/100000</f>
        <v>0.8</v>
      </c>
      <c r="U62" s="190">
        <f>200000/100000</f>
        <v>2</v>
      </c>
      <c r="V62" s="190">
        <f>400000/100000+225000/100000</f>
        <v>6.25</v>
      </c>
      <c r="W62" s="191">
        <f>1000000/100000</f>
        <v>10</v>
      </c>
      <c r="X62" s="191">
        <f>1200000/100000</f>
        <v>12</v>
      </c>
      <c r="Y62" s="191">
        <v>320</v>
      </c>
      <c r="Z62" s="191">
        <v>320</v>
      </c>
      <c r="AA62" s="191">
        <v>320</v>
      </c>
      <c r="AB62" s="344">
        <v>800</v>
      </c>
      <c r="AC62" s="381">
        <f>800+2200</f>
        <v>3000</v>
      </c>
      <c r="AD62" s="382">
        <v>3000</v>
      </c>
      <c r="AE62" s="377">
        <v>3000</v>
      </c>
      <c r="AF62" s="377">
        <f>3000+2000</f>
        <v>5000</v>
      </c>
      <c r="AG62" s="377">
        <f>5000+3000</f>
        <v>8000</v>
      </c>
      <c r="AH62" s="382">
        <v>8000</v>
      </c>
      <c r="AI62" s="377">
        <v>10000</v>
      </c>
      <c r="AJ62" s="382">
        <v>10000</v>
      </c>
      <c r="AK62" s="377">
        <f>10000+10500</f>
        <v>20500</v>
      </c>
      <c r="AL62" s="382">
        <f>21100+30150</f>
        <v>51250</v>
      </c>
      <c r="AM62" s="382">
        <v>51250</v>
      </c>
      <c r="AN62" s="387">
        <v>81750</v>
      </c>
      <c r="AO62" s="381">
        <v>136250</v>
      </c>
      <c r="AP62" s="382">
        <v>136250</v>
      </c>
      <c r="AQ62" s="377">
        <v>185250</v>
      </c>
      <c r="AR62" s="377">
        <v>185250</v>
      </c>
      <c r="AS62" s="377">
        <f>185250+64750</f>
        <v>250000</v>
      </c>
      <c r="AT62" s="382"/>
      <c r="AU62" s="377"/>
      <c r="AV62" s="377"/>
      <c r="AW62" s="377"/>
      <c r="AX62" s="377"/>
      <c r="AY62" s="382"/>
      <c r="AZ62" s="387"/>
      <c r="BA62" s="405">
        <f t="shared" si="25"/>
        <v>1149544.1000000001</v>
      </c>
    </row>
    <row r="63" spans="1:53" s="29" customFormat="1" ht="20.100000000000001" customHeight="1">
      <c r="A63" s="30" t="str">
        <f>Vecinos!A63</f>
        <v>Familia Soto Urdaneta</v>
      </c>
      <c r="B63" s="31" t="str">
        <f>Vecinos!C63</f>
        <v>Calle Guacara Nro. 89-102</v>
      </c>
      <c r="C63" s="36" t="str">
        <f>IF(SUMIFS(Vigilancia!$E:$E,Vigilancia!$F:$F,A63,Vigilancia!$J:$J,"Vigilancia")=BA63,"ü","û")</f>
        <v>ü</v>
      </c>
      <c r="D63" s="179"/>
      <c r="E63" s="180"/>
      <c r="F63" s="181"/>
      <c r="G63" s="181"/>
      <c r="H63" s="181"/>
      <c r="I63" s="181"/>
      <c r="J63" s="181"/>
      <c r="K63" s="181"/>
      <c r="L63" s="181"/>
      <c r="M63" s="181"/>
      <c r="N63" s="181"/>
      <c r="O63" s="181"/>
      <c r="P63" s="179"/>
      <c r="Q63" s="183"/>
      <c r="R63" s="184"/>
      <c r="S63" s="184"/>
      <c r="T63" s="184"/>
      <c r="U63" s="184"/>
      <c r="V63" s="184"/>
      <c r="W63" s="184"/>
      <c r="X63" s="184"/>
      <c r="Y63" s="184"/>
      <c r="Z63" s="184"/>
      <c r="AA63" s="184"/>
      <c r="AB63" s="179"/>
      <c r="AC63" s="376">
        <v>3000</v>
      </c>
      <c r="AD63" s="377">
        <v>3000</v>
      </c>
      <c r="AE63" s="377">
        <v>4000</v>
      </c>
      <c r="AF63" s="377">
        <v>5000</v>
      </c>
      <c r="AG63" s="377">
        <v>8000</v>
      </c>
      <c r="AH63" s="377">
        <v>8000</v>
      </c>
      <c r="AI63" s="377">
        <v>10000</v>
      </c>
      <c r="AJ63" s="377">
        <v>10000</v>
      </c>
      <c r="AK63" s="377">
        <v>23400</v>
      </c>
      <c r="AL63" s="377">
        <f>21100+25900</f>
        <v>47000</v>
      </c>
      <c r="AM63" s="377">
        <v>56250</v>
      </c>
      <c r="AN63" s="378">
        <v>81750</v>
      </c>
      <c r="AO63" s="376">
        <f>105250+31000</f>
        <v>136250</v>
      </c>
      <c r="AP63" s="377">
        <v>136250</v>
      </c>
      <c r="AQ63" s="377">
        <v>185250</v>
      </c>
      <c r="AR63" s="377">
        <v>186250</v>
      </c>
      <c r="AS63" s="377">
        <v>250000</v>
      </c>
      <c r="AT63" s="377"/>
      <c r="AU63" s="377"/>
      <c r="AV63" s="377"/>
      <c r="AW63" s="377"/>
      <c r="AX63" s="377"/>
      <c r="AY63" s="377"/>
      <c r="AZ63" s="378"/>
      <c r="BA63" s="403">
        <f t="shared" si="25"/>
        <v>1153400</v>
      </c>
    </row>
    <row r="64" spans="1:53" s="29" customFormat="1" ht="20.100000000000001" customHeight="1">
      <c r="A64" s="30" t="str">
        <f>Vecinos!A64</f>
        <v>Familia Aparicio. Anexo</v>
      </c>
      <c r="B64" s="31" t="str">
        <f>Vecinos!C64</f>
        <v>Calle Guacara Nro. 89-129</v>
      </c>
      <c r="C64" s="36" t="str">
        <f>IF(SUMIFS(Vigilancia!$E:$E,Vigilancia!$F:$F,A64,Vigilancia!$J:$J,"Vigilancia")=BA64,"ü","û")</f>
        <v>ü</v>
      </c>
      <c r="D64" s="179"/>
      <c r="E64" s="180"/>
      <c r="F64" s="181"/>
      <c r="G64" s="181"/>
      <c r="H64" s="181"/>
      <c r="I64" s="181"/>
      <c r="J64" s="181"/>
      <c r="K64" s="181"/>
      <c r="L64" s="181"/>
      <c r="M64" s="181"/>
      <c r="N64" s="181"/>
      <c r="O64" s="181"/>
      <c r="P64" s="179"/>
      <c r="Q64" s="183"/>
      <c r="R64" s="184"/>
      <c r="S64" s="184"/>
      <c r="T64" s="184"/>
      <c r="U64" s="184"/>
      <c r="V64" s="184"/>
      <c r="W64" s="184"/>
      <c r="X64" s="184"/>
      <c r="Y64" s="184"/>
      <c r="Z64" s="184"/>
      <c r="AA64" s="184"/>
      <c r="AB64" s="179"/>
      <c r="AC64" s="376"/>
      <c r="AD64" s="377"/>
      <c r="AE64" s="377"/>
      <c r="AF64" s="377"/>
      <c r="AG64" s="377"/>
      <c r="AH64" s="377"/>
      <c r="AI64" s="377"/>
      <c r="AJ64" s="377"/>
      <c r="AK64" s="377"/>
      <c r="AL64" s="377"/>
      <c r="AM64" s="377"/>
      <c r="AN64" s="378"/>
      <c r="AO64" s="376"/>
      <c r="AP64" s="377"/>
      <c r="AQ64" s="377"/>
      <c r="AR64" s="377"/>
      <c r="AS64" s="377"/>
      <c r="AT64" s="377"/>
      <c r="AU64" s="377"/>
      <c r="AV64" s="377"/>
      <c r="AW64" s="377"/>
      <c r="AX64" s="377"/>
      <c r="AY64" s="377"/>
      <c r="AZ64" s="378"/>
      <c r="BA64" s="403">
        <f t="shared" si="25"/>
        <v>0</v>
      </c>
    </row>
    <row r="65" spans="1:53" s="29" customFormat="1" ht="20.100000000000001" customHeight="1">
      <c r="A65" s="30" t="str">
        <f>Vecinos!A65</f>
        <v>Beatriz Lara</v>
      </c>
      <c r="B65" s="31" t="str">
        <f>Vecinos!C65</f>
        <v>Calle Guacara Nro. 89-130</v>
      </c>
      <c r="C65" s="36" t="str">
        <f>IF(SUMIFS(Vigilancia!$E:$E,Vigilancia!$F:$F,A65,Vigilancia!$J:$J,"Vigilancia")=BA65,"ü","û")</f>
        <v>ü</v>
      </c>
      <c r="D65" s="179"/>
      <c r="E65" s="180">
        <f>17000/100000</f>
        <v>0.17</v>
      </c>
      <c r="F65" s="181">
        <f>17000/100000</f>
        <v>0.17</v>
      </c>
      <c r="G65" s="181">
        <f>17000/100000</f>
        <v>0.17</v>
      </c>
      <c r="H65" s="181">
        <f>17000/100000</f>
        <v>0.17</v>
      </c>
      <c r="I65" s="181">
        <f>26000/100000</f>
        <v>0.26</v>
      </c>
      <c r="J65" s="181">
        <f>26000/100000</f>
        <v>0.26</v>
      </c>
      <c r="K65" s="181">
        <f t="shared" ref="K65:N67" si="43">35000/100000</f>
        <v>0.35</v>
      </c>
      <c r="L65" s="181">
        <f t="shared" si="43"/>
        <v>0.35</v>
      </c>
      <c r="M65" s="181">
        <f t="shared" si="43"/>
        <v>0.35</v>
      </c>
      <c r="N65" s="181">
        <f t="shared" si="43"/>
        <v>0.35</v>
      </c>
      <c r="O65" s="181">
        <f t="shared" ref="O65:P67" si="44">50000/100000</f>
        <v>0.5</v>
      </c>
      <c r="P65" s="179">
        <f t="shared" si="44"/>
        <v>0.5</v>
      </c>
      <c r="Q65" s="183">
        <f t="shared" ref="Q65:R67" si="45">80000/100000</f>
        <v>0.8</v>
      </c>
      <c r="R65" s="184">
        <f t="shared" si="45"/>
        <v>0.8</v>
      </c>
      <c r="S65" s="184">
        <f>140000/100000</f>
        <v>1.4</v>
      </c>
      <c r="T65" s="184">
        <f>140000/100000</f>
        <v>1.4</v>
      </c>
      <c r="U65" s="184">
        <f>400000/100000</f>
        <v>4</v>
      </c>
      <c r="V65" s="184">
        <f>400000/100000+250000/100000</f>
        <v>6.5</v>
      </c>
      <c r="W65" s="184">
        <f>1000000/100000</f>
        <v>10</v>
      </c>
      <c r="X65" s="184">
        <f>1200000/100000</f>
        <v>12</v>
      </c>
      <c r="Y65" s="184">
        <v>320</v>
      </c>
      <c r="Z65" s="184">
        <v>320</v>
      </c>
      <c r="AA65" s="184">
        <v>320</v>
      </c>
      <c r="AB65" s="179">
        <v>800</v>
      </c>
      <c r="AC65" s="381">
        <f>800+2200</f>
        <v>3000</v>
      </c>
      <c r="AD65" s="377">
        <v>3000</v>
      </c>
      <c r="AE65" s="377">
        <v>3000</v>
      </c>
      <c r="AF65" s="377">
        <v>5000</v>
      </c>
      <c r="AG65" s="377">
        <f>5000+3000</f>
        <v>8000</v>
      </c>
      <c r="AH65" s="377">
        <v>8000</v>
      </c>
      <c r="AI65" s="377">
        <v>10000</v>
      </c>
      <c r="AJ65" s="377">
        <v>10000</v>
      </c>
      <c r="AK65" s="377">
        <v>20500</v>
      </c>
      <c r="AL65" s="377">
        <f>20300+26700</f>
        <v>47000</v>
      </c>
      <c r="AM65" s="377">
        <f>1.4*25800+1.1*25800</f>
        <v>64500</v>
      </c>
      <c r="AN65" s="378">
        <v>97500</v>
      </c>
      <c r="AO65" s="381">
        <v>136250</v>
      </c>
      <c r="AP65" s="377">
        <v>136250</v>
      </c>
      <c r="AQ65" s="377">
        <v>186000</v>
      </c>
      <c r="AR65" s="377">
        <v>186000</v>
      </c>
      <c r="AS65" s="377">
        <v>250000</v>
      </c>
      <c r="AT65" s="377"/>
      <c r="AU65" s="377"/>
      <c r="AV65" s="377"/>
      <c r="AW65" s="377"/>
      <c r="AX65" s="377"/>
      <c r="AY65" s="377"/>
      <c r="AZ65" s="378"/>
      <c r="BA65" s="403">
        <f t="shared" si="25"/>
        <v>1175800.5</v>
      </c>
    </row>
    <row r="66" spans="1:53" s="29" customFormat="1" ht="20.100000000000001" customHeight="1">
      <c r="A66" s="81" t="str">
        <f>Vecinos!A66</f>
        <v>Familia Zavarce Pérez</v>
      </c>
      <c r="B66" s="31" t="str">
        <f>Vecinos!C66</f>
        <v>Calle Guacara Nro. 90-35</v>
      </c>
      <c r="C66" s="36" t="str">
        <f>IF(SUMIFS(Vigilancia!$E:$E,Vigilancia!$F:$F,A66,Vigilancia!$J:$J,"Vigilancia")=BA66,"ü","û")</f>
        <v>ü</v>
      </c>
      <c r="D66" s="179"/>
      <c r="E66" s="180">
        <f>17000/100000</f>
        <v>0.17</v>
      </c>
      <c r="F66" s="181">
        <f>17000/100000</f>
        <v>0.17</v>
      </c>
      <c r="G66" s="181">
        <f>3000/100000+14000/100000</f>
        <v>0.17</v>
      </c>
      <c r="H66" s="181">
        <f>17000/100000</f>
        <v>0.17</v>
      </c>
      <c r="I66" s="181">
        <f>17000/100000+9000/100000</f>
        <v>0.26</v>
      </c>
      <c r="J66" s="181">
        <f>26000/100000</f>
        <v>0.26</v>
      </c>
      <c r="K66" s="181">
        <f t="shared" si="43"/>
        <v>0.35</v>
      </c>
      <c r="L66" s="181">
        <f t="shared" si="43"/>
        <v>0.35</v>
      </c>
      <c r="M66" s="181">
        <f t="shared" si="43"/>
        <v>0.35</v>
      </c>
      <c r="N66" s="181">
        <f t="shared" si="43"/>
        <v>0.35</v>
      </c>
      <c r="O66" s="181">
        <f t="shared" si="44"/>
        <v>0.5</v>
      </c>
      <c r="P66" s="179">
        <f t="shared" si="44"/>
        <v>0.5</v>
      </c>
      <c r="Q66" s="183">
        <f t="shared" si="45"/>
        <v>0.8</v>
      </c>
      <c r="R66" s="184">
        <f t="shared" si="45"/>
        <v>0.8</v>
      </c>
      <c r="S66" s="184">
        <f>140000/100000</f>
        <v>1.4</v>
      </c>
      <c r="T66" s="184">
        <f>40000/100000+100000/100000</f>
        <v>1.4</v>
      </c>
      <c r="U66" s="184">
        <f>400000/100000</f>
        <v>4</v>
      </c>
      <c r="V66" s="184">
        <f>625000/100000</f>
        <v>6.25</v>
      </c>
      <c r="W66" s="184">
        <f>1000000/100000</f>
        <v>10</v>
      </c>
      <c r="X66" s="184">
        <v>12</v>
      </c>
      <c r="Y66" s="184">
        <v>320</v>
      </c>
      <c r="Z66" s="184">
        <v>320</v>
      </c>
      <c r="AA66" s="184">
        <v>320</v>
      </c>
      <c r="AB66" s="179">
        <v>800</v>
      </c>
      <c r="AC66" s="381">
        <f>800+2200</f>
        <v>3000</v>
      </c>
      <c r="AD66" s="377">
        <v>3000</v>
      </c>
      <c r="AE66" s="377">
        <v>3000</v>
      </c>
      <c r="AF66" s="377">
        <v>5000</v>
      </c>
      <c r="AG66" s="377">
        <v>8000</v>
      </c>
      <c r="AH66" s="377">
        <v>8000</v>
      </c>
      <c r="AI66" s="377">
        <v>10000</v>
      </c>
      <c r="AJ66" s="377">
        <v>10000</v>
      </c>
      <c r="AK66" s="377">
        <v>23400</v>
      </c>
      <c r="AL66" s="377">
        <f>20000+1100</f>
        <v>21100</v>
      </c>
      <c r="AM66" s="377">
        <v>56250</v>
      </c>
      <c r="AN66" s="378">
        <f>104750+500</f>
        <v>105250</v>
      </c>
      <c r="AO66" s="381">
        <v>105250</v>
      </c>
      <c r="AP66" s="377">
        <v>136250</v>
      </c>
      <c r="AQ66" s="377">
        <v>200000</v>
      </c>
      <c r="AR66" s="377">
        <v>185250</v>
      </c>
      <c r="AS66" s="377">
        <v>250000</v>
      </c>
      <c r="AT66" s="377"/>
      <c r="AU66" s="377"/>
      <c r="AV66" s="377"/>
      <c r="AW66" s="377"/>
      <c r="AX66" s="377"/>
      <c r="AY66" s="377"/>
      <c r="AZ66" s="378"/>
      <c r="BA66" s="403">
        <f t="shared" si="25"/>
        <v>1134550.25</v>
      </c>
    </row>
    <row r="67" spans="1:53" s="29" customFormat="1" ht="20.100000000000001" customHeight="1">
      <c r="A67" s="81" t="str">
        <f>Vecinos!A67</f>
        <v>Familia Castro Jiménez</v>
      </c>
      <c r="B67" s="31" t="str">
        <f>Vecinos!C67</f>
        <v>Calle Guacara Nro. 90-51</v>
      </c>
      <c r="C67" s="36" t="str">
        <f>IF(SUMIFS(Vigilancia!$E:$E,Vigilancia!$F:$F,A67,Vigilancia!$J:$J,"Vigilancia")=BA67,"ü","û")</f>
        <v>ü</v>
      </c>
      <c r="D67" s="179"/>
      <c r="E67" s="180">
        <f>10500/100000+6500/100000</f>
        <v>0.16999999999999998</v>
      </c>
      <c r="F67" s="181">
        <f>17000/100000</f>
        <v>0.17</v>
      </c>
      <c r="G67" s="181">
        <f>17000/100000</f>
        <v>0.17</v>
      </c>
      <c r="H67" s="181">
        <f>17000/100000</f>
        <v>0.17</v>
      </c>
      <c r="I67" s="181">
        <f>26000/100000</f>
        <v>0.26</v>
      </c>
      <c r="J67" s="181">
        <f>26000/100000</f>
        <v>0.26</v>
      </c>
      <c r="K67" s="181">
        <f t="shared" si="43"/>
        <v>0.35</v>
      </c>
      <c r="L67" s="181">
        <f t="shared" si="43"/>
        <v>0.35</v>
      </c>
      <c r="M67" s="181">
        <f t="shared" si="43"/>
        <v>0.35</v>
      </c>
      <c r="N67" s="181">
        <f t="shared" si="43"/>
        <v>0.35</v>
      </c>
      <c r="O67" s="181">
        <f t="shared" si="44"/>
        <v>0.5</v>
      </c>
      <c r="P67" s="179">
        <f t="shared" si="44"/>
        <v>0.5</v>
      </c>
      <c r="Q67" s="183">
        <f t="shared" si="45"/>
        <v>0.8</v>
      </c>
      <c r="R67" s="184">
        <f t="shared" si="45"/>
        <v>0.8</v>
      </c>
      <c r="S67" s="184">
        <f>150000/100000</f>
        <v>1.5</v>
      </c>
      <c r="T67" s="184">
        <f>150000/100000</f>
        <v>1.5</v>
      </c>
      <c r="U67" s="184">
        <f>400000/100000</f>
        <v>4</v>
      </c>
      <c r="V67" s="184">
        <f>400000/100000+225000/100000</f>
        <v>6.25</v>
      </c>
      <c r="W67" s="184">
        <f>1000000/100000</f>
        <v>10</v>
      </c>
      <c r="X67" s="184">
        <v>12</v>
      </c>
      <c r="Y67" s="184">
        <v>320</v>
      </c>
      <c r="Z67" s="184">
        <v>320</v>
      </c>
      <c r="AA67" s="184">
        <v>320</v>
      </c>
      <c r="AB67" s="179">
        <v>800</v>
      </c>
      <c r="AC67" s="376">
        <f>1000+2000</f>
        <v>3000</v>
      </c>
      <c r="AD67" s="377">
        <v>3000</v>
      </c>
      <c r="AE67" s="377">
        <v>3000</v>
      </c>
      <c r="AF67" s="377">
        <v>5000</v>
      </c>
      <c r="AG67" s="377">
        <v>8000</v>
      </c>
      <c r="AH67" s="377">
        <v>8000</v>
      </c>
      <c r="AI67" s="377">
        <v>10000</v>
      </c>
      <c r="AJ67" s="377">
        <v>10000</v>
      </c>
      <c r="AK67" s="544">
        <f>10000+11000</f>
        <v>21000</v>
      </c>
      <c r="AL67" s="483">
        <f>20300+28065</f>
        <v>48365</v>
      </c>
      <c r="AM67" s="483">
        <v>75000</v>
      </c>
      <c r="AN67" s="378">
        <v>105250</v>
      </c>
      <c r="AO67" s="376">
        <v>150000</v>
      </c>
      <c r="AP67" s="377">
        <v>150000</v>
      </c>
      <c r="AQ67" s="377">
        <v>185250</v>
      </c>
      <c r="AR67" s="377">
        <v>250000</v>
      </c>
      <c r="AS67" s="377">
        <v>300000</v>
      </c>
      <c r="AT67" s="377"/>
      <c r="AU67" s="377"/>
      <c r="AV67" s="377"/>
      <c r="AW67" s="377"/>
      <c r="AX67" s="377"/>
      <c r="AY67" s="377"/>
      <c r="AZ67" s="378"/>
      <c r="BA67" s="403">
        <f t="shared" si="25"/>
        <v>1336665.45</v>
      </c>
    </row>
    <row r="68" spans="1:53" s="29" customFormat="1" ht="20.100000000000001" customHeight="1">
      <c r="A68" s="33" t="str">
        <f>Vecinos!A68</f>
        <v>Familia Triana González</v>
      </c>
      <c r="B68" s="34" t="str">
        <f>Vecinos!C68</f>
        <v>Calle Guacara Nro. 90-61</v>
      </c>
      <c r="C68" s="35" t="str">
        <f>IF(SUMIFS(Vigilancia!$E:$E,Vigilancia!$F:$F,A68,Vigilancia!$J:$J,"Vigilancia")=BA68,"ü","û")</f>
        <v>ü</v>
      </c>
      <c r="D68" s="186"/>
      <c r="E68" s="187">
        <f>2000/100000</f>
        <v>0.02</v>
      </c>
      <c r="F68" s="188">
        <f>2000/100000</f>
        <v>0.02</v>
      </c>
      <c r="G68" s="188">
        <f>2000/100000</f>
        <v>0.02</v>
      </c>
      <c r="H68" s="188">
        <f>2000/100000</f>
        <v>0.02</v>
      </c>
      <c r="I68" s="188">
        <f>2000/100000</f>
        <v>0.02</v>
      </c>
      <c r="J68" s="188"/>
      <c r="K68" s="188"/>
      <c r="L68" s="188"/>
      <c r="M68" s="188"/>
      <c r="N68" s="188"/>
      <c r="O68" s="188"/>
      <c r="P68" s="186"/>
      <c r="Q68" s="189"/>
      <c r="R68" s="190"/>
      <c r="S68" s="190"/>
      <c r="T68" s="190">
        <f>140000/100000</f>
        <v>1.4</v>
      </c>
      <c r="U68" s="190">
        <f>100000/100000</f>
        <v>1</v>
      </c>
      <c r="V68" s="190">
        <f>100000/100000</f>
        <v>1</v>
      </c>
      <c r="W68" s="190">
        <f>200000/100000</f>
        <v>2</v>
      </c>
      <c r="X68" s="190">
        <v>12</v>
      </c>
      <c r="Y68" s="190">
        <v>100</v>
      </c>
      <c r="Z68" s="190">
        <v>100</v>
      </c>
      <c r="AA68" s="190">
        <v>320</v>
      </c>
      <c r="AB68" s="186">
        <v>800</v>
      </c>
      <c r="AC68" s="373">
        <v>3000</v>
      </c>
      <c r="AD68" s="374">
        <v>3000</v>
      </c>
      <c r="AE68" s="374">
        <v>3000</v>
      </c>
      <c r="AF68" s="374">
        <v>5000</v>
      </c>
      <c r="AG68" s="374">
        <v>4880</v>
      </c>
      <c r="AH68" s="374">
        <v>8000</v>
      </c>
      <c r="AI68" s="374">
        <v>10000</v>
      </c>
      <c r="AJ68" s="374">
        <v>10000</v>
      </c>
      <c r="AK68" s="374">
        <v>23500</v>
      </c>
      <c r="AL68" s="374">
        <f>21100+27000</f>
        <v>48100</v>
      </c>
      <c r="AM68" s="374">
        <v>56300</v>
      </c>
      <c r="AN68" s="375">
        <v>81750</v>
      </c>
      <c r="AO68" s="373">
        <v>136250</v>
      </c>
      <c r="AP68" s="374">
        <v>136250</v>
      </c>
      <c r="AQ68" s="374">
        <v>185250</v>
      </c>
      <c r="AR68" s="374">
        <v>186000</v>
      </c>
      <c r="AS68" s="374">
        <v>250000</v>
      </c>
      <c r="AT68" s="374"/>
      <c r="AU68" s="374"/>
      <c r="AV68" s="374"/>
      <c r="AW68" s="374"/>
      <c r="AX68" s="374"/>
      <c r="AY68" s="374"/>
      <c r="AZ68" s="375"/>
      <c r="BA68" s="402">
        <f t="shared" si="25"/>
        <v>1151617.5</v>
      </c>
    </row>
    <row r="69" spans="1:53" s="29" customFormat="1" ht="20.100000000000001" customHeight="1">
      <c r="A69" s="30" t="str">
        <f>Vecinos!A69</f>
        <v>Neira Chacón</v>
      </c>
      <c r="B69" s="31" t="str">
        <f>Vecinos!C69</f>
        <v>Calle Guacara Nro. 90-71</v>
      </c>
      <c r="C69" s="36" t="str">
        <f>IF(SUMIFS(Vigilancia!$E:$E,Vigilancia!$F:$F,A69,Vigilancia!$J:$J,"Vigilancia")=BA69,"ü","û")</f>
        <v>ü</v>
      </c>
      <c r="D69" s="179"/>
      <c r="E69" s="180"/>
      <c r="F69" s="181"/>
      <c r="G69" s="181"/>
      <c r="H69" s="181"/>
      <c r="I69" s="181"/>
      <c r="J69" s="181"/>
      <c r="K69" s="181"/>
      <c r="L69" s="181"/>
      <c r="M69" s="181"/>
      <c r="N69" s="181"/>
      <c r="O69" s="181"/>
      <c r="P69" s="179"/>
      <c r="Q69" s="183"/>
      <c r="R69" s="184"/>
      <c r="S69" s="184"/>
      <c r="T69" s="184"/>
      <c r="U69" s="184"/>
      <c r="V69" s="184"/>
      <c r="W69" s="184"/>
      <c r="X69" s="184"/>
      <c r="Y69" s="184"/>
      <c r="Z69" s="184"/>
      <c r="AA69" s="184"/>
      <c r="AB69" s="179"/>
      <c r="AC69" s="376"/>
      <c r="AD69" s="377"/>
      <c r="AE69" s="377"/>
      <c r="AF69" s="377"/>
      <c r="AG69" s="377"/>
      <c r="AH69" s="377"/>
      <c r="AI69" s="377"/>
      <c r="AJ69" s="377"/>
      <c r="AK69" s="377"/>
      <c r="AL69" s="377"/>
      <c r="AM69" s="377"/>
      <c r="AN69" s="378"/>
      <c r="AO69" s="376"/>
      <c r="AP69" s="377"/>
      <c r="AQ69" s="377"/>
      <c r="AR69" s="377"/>
      <c r="AS69" s="377"/>
      <c r="AT69" s="377"/>
      <c r="AU69" s="377"/>
      <c r="AV69" s="377"/>
      <c r="AW69" s="377"/>
      <c r="AX69" s="377"/>
      <c r="AY69" s="377"/>
      <c r="AZ69" s="378"/>
      <c r="BA69" s="403">
        <f t="shared" ref="BA69:BA134" si="46">SUM(D69:AZ69)</f>
        <v>0</v>
      </c>
    </row>
    <row r="70" spans="1:53" s="29" customFormat="1" ht="20.100000000000001" customHeight="1">
      <c r="A70" s="30" t="str">
        <f>Vecinos!A70</f>
        <v>Wu Hung Fung</v>
      </c>
      <c r="B70" s="31" t="str">
        <f>Vecinos!C70</f>
        <v>Calle Guacara Nro. 90-81</v>
      </c>
      <c r="C70" s="36" t="str">
        <f>IF(SUMIFS(Vigilancia!$E:$E,Vigilancia!$F:$F,A70,Vigilancia!$J:$J,"Vigilancia")=BA70,"ü","û")</f>
        <v>ü</v>
      </c>
      <c r="D70" s="179"/>
      <c r="E70" s="180">
        <f>17000/100000</f>
        <v>0.17</v>
      </c>
      <c r="F70" s="181">
        <f>17000/100000</f>
        <v>0.17</v>
      </c>
      <c r="G70" s="181">
        <f>19000/100000</f>
        <v>0.19</v>
      </c>
      <c r="H70" s="181">
        <f>17000/100000</f>
        <v>0.17</v>
      </c>
      <c r="I70" s="181">
        <f>17000/100000+9000/100000</f>
        <v>0.26</v>
      </c>
      <c r="J70" s="181">
        <f>26000/100000</f>
        <v>0.26</v>
      </c>
      <c r="K70" s="181">
        <f>26000/100000+9000/100000</f>
        <v>0.35</v>
      </c>
      <c r="L70" s="181">
        <f>35000/100000</f>
        <v>0.35</v>
      </c>
      <c r="M70" s="181">
        <f>35000/100000</f>
        <v>0.35</v>
      </c>
      <c r="N70" s="181">
        <f>35000/100000</f>
        <v>0.35</v>
      </c>
      <c r="O70" s="181">
        <f>50000/100000</f>
        <v>0.5</v>
      </c>
      <c r="P70" s="179">
        <f>50000/100000</f>
        <v>0.5</v>
      </c>
      <c r="Q70" s="183">
        <f>80000/100000</f>
        <v>0.8</v>
      </c>
      <c r="R70" s="184">
        <f>100000/100000</f>
        <v>1</v>
      </c>
      <c r="S70" s="184">
        <f>140000/100000</f>
        <v>1.4</v>
      </c>
      <c r="T70" s="184">
        <f>140000/100000</f>
        <v>1.4</v>
      </c>
      <c r="U70" s="184">
        <f>400000/100000</f>
        <v>4</v>
      </c>
      <c r="V70" s="184">
        <f>400000/100000+225000/100000</f>
        <v>6.25</v>
      </c>
      <c r="W70" s="184">
        <f>200000/100000+650000/100000+150000/100000</f>
        <v>10</v>
      </c>
      <c r="X70" s="191">
        <f>200000/100000-150000/100000+11.5</f>
        <v>12</v>
      </c>
      <c r="Y70" s="184">
        <v>320</v>
      </c>
      <c r="Z70" s="191">
        <f>500-320-11.5+152</f>
        <v>320.5</v>
      </c>
      <c r="AA70" s="191">
        <v>320</v>
      </c>
      <c r="AB70" s="179">
        <v>800</v>
      </c>
      <c r="AC70" s="381">
        <f>528+1500+972</f>
        <v>3000</v>
      </c>
      <c r="AD70" s="377">
        <v>5000</v>
      </c>
      <c r="AE70" s="377">
        <v>5000</v>
      </c>
      <c r="AF70" s="377">
        <v>5000</v>
      </c>
      <c r="AG70" s="377">
        <v>8000</v>
      </c>
      <c r="AH70" s="377">
        <f>7000+1000</f>
        <v>8000</v>
      </c>
      <c r="AI70" s="483">
        <v>15000</v>
      </c>
      <c r="AJ70" s="483">
        <v>15000</v>
      </c>
      <c r="AK70" s="377">
        <f>15000+4800</f>
        <v>19800</v>
      </c>
      <c r="AL70" s="377">
        <v>60000</v>
      </c>
      <c r="AM70" s="377">
        <v>100000</v>
      </c>
      <c r="AN70" s="378">
        <v>150000</v>
      </c>
      <c r="AO70" s="381">
        <v>150000</v>
      </c>
      <c r="AP70" s="377">
        <v>150000</v>
      </c>
      <c r="AQ70" s="377">
        <v>200000</v>
      </c>
      <c r="AR70" s="377">
        <v>200000</v>
      </c>
      <c r="AS70" s="377">
        <v>250000</v>
      </c>
      <c r="AT70" s="377"/>
      <c r="AU70" s="377"/>
      <c r="AV70" s="377"/>
      <c r="AW70" s="377"/>
      <c r="AX70" s="377"/>
      <c r="AY70" s="377"/>
      <c r="AZ70" s="378"/>
      <c r="BA70" s="403">
        <f t="shared" si="46"/>
        <v>1345600.97</v>
      </c>
    </row>
    <row r="71" spans="1:53" s="29" customFormat="1" ht="20.100000000000001" customHeight="1">
      <c r="A71" s="33" t="str">
        <f>Vecinos!A71</f>
        <v>Familia Santos Carrillo</v>
      </c>
      <c r="B71" s="34" t="str">
        <f>Vecinos!C71</f>
        <v>Calle Guacara Nro. 90-93</v>
      </c>
      <c r="C71" s="35" t="str">
        <f>IF(SUMIFS(Vigilancia!$E:$E,Vigilancia!$F:$F,A71,Vigilancia!$J:$J,"Vigilancia")=BA71,"ü","û")</f>
        <v>ü</v>
      </c>
      <c r="D71" s="186">
        <f>4000/100000</f>
        <v>0.04</v>
      </c>
      <c r="E71" s="187">
        <f t="shared" ref="E71:J71" si="47">3000/100000</f>
        <v>0.03</v>
      </c>
      <c r="F71" s="188">
        <f t="shared" si="47"/>
        <v>0.03</v>
      </c>
      <c r="G71" s="188">
        <f t="shared" si="47"/>
        <v>0.03</v>
      </c>
      <c r="H71" s="188">
        <f t="shared" si="47"/>
        <v>0.03</v>
      </c>
      <c r="I71" s="188">
        <f t="shared" si="47"/>
        <v>0.03</v>
      </c>
      <c r="J71" s="188">
        <f t="shared" si="47"/>
        <v>0.03</v>
      </c>
      <c r="K71" s="188">
        <f>6000/100000</f>
        <v>0.06</v>
      </c>
      <c r="L71" s="188">
        <f>6500/100000</f>
        <v>6.5000000000000002E-2</v>
      </c>
      <c r="M71" s="188">
        <f>14900/100000</f>
        <v>0.14899999999999999</v>
      </c>
      <c r="N71" s="188">
        <f>20000/100000</f>
        <v>0.2</v>
      </c>
      <c r="O71" s="188">
        <f>18000/100000</f>
        <v>0.18</v>
      </c>
      <c r="P71" s="186">
        <f>20000/100000</f>
        <v>0.2</v>
      </c>
      <c r="Q71" s="189">
        <f>20000/100000</f>
        <v>0.2</v>
      </c>
      <c r="R71" s="190">
        <f>20000/100000</f>
        <v>0.2</v>
      </c>
      <c r="S71" s="190">
        <f>140000/100000</f>
        <v>1.4</v>
      </c>
      <c r="T71" s="190">
        <f>140000/100000</f>
        <v>1.4</v>
      </c>
      <c r="U71" s="190"/>
      <c r="V71" s="190"/>
      <c r="W71" s="190"/>
      <c r="X71" s="190"/>
      <c r="Y71" s="190"/>
      <c r="Z71" s="190"/>
      <c r="AA71" s="190"/>
      <c r="AB71" s="186"/>
      <c r="AC71" s="373"/>
      <c r="AD71" s="374"/>
      <c r="AE71" s="374"/>
      <c r="AF71" s="374"/>
      <c r="AG71" s="374"/>
      <c r="AH71" s="374"/>
      <c r="AI71" s="374"/>
      <c r="AJ71" s="374"/>
      <c r="AK71" s="374"/>
      <c r="AL71" s="374"/>
      <c r="AM71" s="374"/>
      <c r="AN71" s="375"/>
      <c r="AO71" s="373"/>
      <c r="AP71" s="374"/>
      <c r="AQ71" s="374"/>
      <c r="AR71" s="374"/>
      <c r="AS71" s="374"/>
      <c r="AT71" s="374"/>
      <c r="AU71" s="374"/>
      <c r="AV71" s="374"/>
      <c r="AW71" s="374"/>
      <c r="AX71" s="374"/>
      <c r="AY71" s="374"/>
      <c r="AZ71" s="375"/>
      <c r="BA71" s="402">
        <f t="shared" si="46"/>
        <v>4.2739999999999991</v>
      </c>
    </row>
    <row r="72" spans="1:53" s="29" customFormat="1" ht="20.100000000000001" customHeight="1">
      <c r="A72" s="33" t="str">
        <f>Vecinos!A72</f>
        <v>Familia García Hurtado</v>
      </c>
      <c r="B72" s="34" t="str">
        <f>Vecinos!C72</f>
        <v>Calle Guacara Nro. 90-110</v>
      </c>
      <c r="C72" s="35" t="str">
        <f>IF(SUMIFS(Vigilancia!$E:$E,Vigilancia!$F:$F,A72,Vigilancia!$J:$J,"Vigilancia")=BA72,"ü","û")</f>
        <v>ü</v>
      </c>
      <c r="D72" s="186"/>
      <c r="E72" s="187">
        <f>10000/100000</f>
        <v>0.1</v>
      </c>
      <c r="F72" s="188">
        <f>10000/100000</f>
        <v>0.1</v>
      </c>
      <c r="G72" s="188"/>
      <c r="H72" s="188"/>
      <c r="I72" s="188"/>
      <c r="J72" s="188"/>
      <c r="K72" s="188"/>
      <c r="L72" s="188"/>
      <c r="M72" s="188"/>
      <c r="N72" s="188"/>
      <c r="O72" s="188"/>
      <c r="P72" s="186"/>
      <c r="Q72" s="189"/>
      <c r="R72" s="190"/>
      <c r="S72" s="190"/>
      <c r="T72" s="190"/>
      <c r="U72" s="190"/>
      <c r="V72" s="190"/>
      <c r="W72" s="190"/>
      <c r="X72" s="190"/>
      <c r="Y72" s="190"/>
      <c r="Z72" s="190"/>
      <c r="AA72" s="190"/>
      <c r="AB72" s="186"/>
      <c r="AC72" s="373"/>
      <c r="AD72" s="374"/>
      <c r="AE72" s="374"/>
      <c r="AF72" s="374"/>
      <c r="AG72" s="374"/>
      <c r="AH72" s="374"/>
      <c r="AI72" s="374"/>
      <c r="AJ72" s="374"/>
      <c r="AK72" s="374"/>
      <c r="AL72" s="374"/>
      <c r="AM72" s="374"/>
      <c r="AN72" s="375"/>
      <c r="AO72" s="373"/>
      <c r="AP72" s="374"/>
      <c r="AQ72" s="374"/>
      <c r="AR72" s="374"/>
      <c r="AS72" s="374"/>
      <c r="AT72" s="374"/>
      <c r="AU72" s="374"/>
      <c r="AV72" s="374"/>
      <c r="AW72" s="374"/>
      <c r="AX72" s="374"/>
      <c r="AY72" s="374"/>
      <c r="AZ72" s="375"/>
      <c r="BA72" s="402">
        <f t="shared" si="46"/>
        <v>0.2</v>
      </c>
    </row>
    <row r="73" spans="1:53" s="29" customFormat="1" ht="20.100000000000001" customHeight="1">
      <c r="A73" s="30" t="str">
        <f>Vecinos!A73</f>
        <v>Familia Rodríguez Chiappeta</v>
      </c>
      <c r="B73" s="31" t="str">
        <f>Vecinos!C73</f>
        <v>Calle Guacara Nro. 90-120</v>
      </c>
      <c r="C73" s="36" t="str">
        <f>IF(SUMIFS(Vigilancia!$E:$E,Vigilancia!$F:$F,A73,Vigilancia!$J:$J,"Vigilancia")=BA73,"ü","û")</f>
        <v>ü</v>
      </c>
      <c r="D73" s="179"/>
      <c r="E73" s="180"/>
      <c r="F73" s="181"/>
      <c r="G73" s="181"/>
      <c r="H73" s="181"/>
      <c r="I73" s="181"/>
      <c r="J73" s="181"/>
      <c r="K73" s="181"/>
      <c r="L73" s="181"/>
      <c r="M73" s="181"/>
      <c r="N73" s="181"/>
      <c r="O73" s="181"/>
      <c r="P73" s="179"/>
      <c r="Q73" s="183"/>
      <c r="R73" s="184"/>
      <c r="S73" s="184"/>
      <c r="T73" s="184"/>
      <c r="U73" s="184"/>
      <c r="V73" s="184"/>
      <c r="W73" s="184"/>
      <c r="X73" s="184"/>
      <c r="Y73" s="184"/>
      <c r="Z73" s="184"/>
      <c r="AA73" s="184"/>
      <c r="AB73" s="179"/>
      <c r="AC73" s="376"/>
      <c r="AD73" s="377"/>
      <c r="AE73" s="377"/>
      <c r="AF73" s="377"/>
      <c r="AG73" s="377"/>
      <c r="AH73" s="377"/>
      <c r="AI73" s="377"/>
      <c r="AJ73" s="377"/>
      <c r="AK73" s="377"/>
      <c r="AL73" s="377"/>
      <c r="AM73" s="377"/>
      <c r="AN73" s="378"/>
      <c r="AO73" s="376"/>
      <c r="AP73" s="377"/>
      <c r="AQ73" s="377"/>
      <c r="AR73" s="377"/>
      <c r="AS73" s="377"/>
      <c r="AT73" s="377"/>
      <c r="AU73" s="377"/>
      <c r="AV73" s="377"/>
      <c r="AW73" s="377"/>
      <c r="AX73" s="377"/>
      <c r="AY73" s="377"/>
      <c r="AZ73" s="378"/>
      <c r="BA73" s="403">
        <f t="shared" si="46"/>
        <v>0</v>
      </c>
    </row>
    <row r="74" spans="1:53" s="29" customFormat="1" ht="20.100000000000001" customHeight="1">
      <c r="A74" s="30" t="str">
        <f>Vecinos!A74</f>
        <v>Familia Ledezma Hernández</v>
      </c>
      <c r="B74" s="31" t="str">
        <f>Vecinos!C74</f>
        <v>Calle Guacara Nro. 145-30</v>
      </c>
      <c r="C74" s="36" t="str">
        <f>IF(SUMIFS(Vigilancia!$E:$E,Vigilancia!$F:$F,A74,Vigilancia!$J:$J,"Vigilancia")=BA74,"ü","û")</f>
        <v>ü</v>
      </c>
      <c r="D74" s="179"/>
      <c r="E74" s="180"/>
      <c r="F74" s="181"/>
      <c r="G74" s="181"/>
      <c r="H74" s="181"/>
      <c r="I74" s="181"/>
      <c r="J74" s="181"/>
      <c r="K74" s="181"/>
      <c r="L74" s="181"/>
      <c r="M74" s="181"/>
      <c r="N74" s="181"/>
      <c r="O74" s="181"/>
      <c r="P74" s="179"/>
      <c r="Q74" s="183"/>
      <c r="R74" s="184"/>
      <c r="S74" s="184"/>
      <c r="T74" s="184"/>
      <c r="U74" s="184"/>
      <c r="V74" s="184"/>
      <c r="W74" s="184"/>
      <c r="X74" s="184"/>
      <c r="Y74" s="184"/>
      <c r="Z74" s="184"/>
      <c r="AA74" s="184"/>
      <c r="AB74" s="179"/>
      <c r="AC74" s="376"/>
      <c r="AD74" s="377"/>
      <c r="AE74" s="377"/>
      <c r="AF74" s="377"/>
      <c r="AG74" s="377"/>
      <c r="AH74" s="377"/>
      <c r="AI74" s="377"/>
      <c r="AJ74" s="377"/>
      <c r="AK74" s="377"/>
      <c r="AL74" s="377"/>
      <c r="AM74" s="377"/>
      <c r="AN74" s="378"/>
      <c r="AO74" s="376"/>
      <c r="AP74" s="377"/>
      <c r="AQ74" s="377"/>
      <c r="AR74" s="377"/>
      <c r="AS74" s="377"/>
      <c r="AT74" s="377"/>
      <c r="AU74" s="377"/>
      <c r="AV74" s="377"/>
      <c r="AW74" s="377"/>
      <c r="AX74" s="377"/>
      <c r="AY74" s="377"/>
      <c r="AZ74" s="378"/>
      <c r="BA74" s="403">
        <f t="shared" si="46"/>
        <v>0</v>
      </c>
    </row>
    <row r="75" spans="1:53" s="29" customFormat="1" ht="20.100000000000001" customHeight="1">
      <c r="A75" s="29" t="str">
        <f>Vecinos!A75</f>
        <v>Familia Narváez Caldera</v>
      </c>
      <c r="B75" s="31" t="str">
        <f>Vecinos!C75</f>
        <v>Calle Güigüe Nro. 87-A-11</v>
      </c>
      <c r="C75" s="36" t="str">
        <f>IF(SUMIFS(Vigilancia!$E:$E,Vigilancia!$F:$F,A75,Vigilancia!$J:$J,"Vigilancia")=BA75,"ü","û")</f>
        <v>ü</v>
      </c>
      <c r="D75" s="179"/>
      <c r="E75" s="180">
        <f>10000/100000+7000/100000</f>
        <v>0.17</v>
      </c>
      <c r="F75" s="181">
        <f>17000/100000</f>
        <v>0.17</v>
      </c>
      <c r="G75" s="181">
        <f>17000/100000</f>
        <v>0.17</v>
      </c>
      <c r="H75" s="181">
        <f>17000/100000</f>
        <v>0.17</v>
      </c>
      <c r="I75" s="181">
        <f>26000/100000</f>
        <v>0.26</v>
      </c>
      <c r="J75" s="181">
        <f>26000/100000</f>
        <v>0.26</v>
      </c>
      <c r="K75" s="181">
        <f>26000/100000+9000/100000</f>
        <v>0.35</v>
      </c>
      <c r="L75" s="181">
        <f>35000/100000</f>
        <v>0.35</v>
      </c>
      <c r="M75" s="181">
        <f>35000/100000</f>
        <v>0.35</v>
      </c>
      <c r="N75" s="181">
        <f>35000/100000</f>
        <v>0.35</v>
      </c>
      <c r="O75" s="181">
        <f>35000/100000+15000/100000</f>
        <v>0.5</v>
      </c>
      <c r="P75" s="179">
        <f>50000/100000</f>
        <v>0.5</v>
      </c>
      <c r="Q75" s="183">
        <f>80000/100000</f>
        <v>0.8</v>
      </c>
      <c r="R75" s="184">
        <f>80000/100000</f>
        <v>0.8</v>
      </c>
      <c r="S75" s="184">
        <f>140000/100000</f>
        <v>1.4</v>
      </c>
      <c r="T75" s="184">
        <f>140000/100000</f>
        <v>1.4</v>
      </c>
      <c r="U75" s="184">
        <f>400000/100000</f>
        <v>4</v>
      </c>
      <c r="V75" s="184">
        <f>225000/100000+400000/100000</f>
        <v>6.25</v>
      </c>
      <c r="W75" s="184">
        <f>850000/100000+150000/100000</f>
        <v>10</v>
      </c>
      <c r="X75" s="184">
        <f>1200000/100000</f>
        <v>12</v>
      </c>
      <c r="Y75" s="184">
        <v>320</v>
      </c>
      <c r="Z75" s="184">
        <v>320</v>
      </c>
      <c r="AA75" s="184">
        <v>320</v>
      </c>
      <c r="AB75" s="179">
        <v>800</v>
      </c>
      <c r="AC75" s="376">
        <v>3000</v>
      </c>
      <c r="AD75" s="377">
        <v>3000</v>
      </c>
      <c r="AE75" s="377">
        <v>3000</v>
      </c>
      <c r="AF75" s="377">
        <v>5000</v>
      </c>
      <c r="AG75" s="377">
        <v>8000</v>
      </c>
      <c r="AH75" s="377">
        <v>8000</v>
      </c>
      <c r="AI75" s="377">
        <v>10000</v>
      </c>
      <c r="AJ75" s="377">
        <v>10000</v>
      </c>
      <c r="AK75" s="377">
        <f>10000+13400</f>
        <v>23400</v>
      </c>
      <c r="AL75" s="377">
        <v>51250</v>
      </c>
      <c r="AM75" s="377">
        <v>56250</v>
      </c>
      <c r="AN75" s="378">
        <v>136250</v>
      </c>
      <c r="AO75" s="376">
        <v>136250</v>
      </c>
      <c r="AP75" s="377">
        <v>136250</v>
      </c>
      <c r="AQ75" s="377">
        <v>185250</v>
      </c>
      <c r="AR75" s="377">
        <v>300000</v>
      </c>
      <c r="AS75" s="377">
        <v>250000</v>
      </c>
      <c r="AT75" s="377"/>
      <c r="AU75" s="377"/>
      <c r="AV75" s="377"/>
      <c r="AW75" s="377"/>
      <c r="AX75" s="377"/>
      <c r="AY75" s="377"/>
      <c r="AZ75" s="378"/>
      <c r="BA75" s="403">
        <f t="shared" si="46"/>
        <v>1326700.25</v>
      </c>
    </row>
    <row r="76" spans="1:53" s="29" customFormat="1" ht="20.100000000000001" customHeight="1">
      <c r="A76" s="68" t="str">
        <f>Vecinos!A76</f>
        <v>Claudia González</v>
      </c>
      <c r="B76" s="69" t="str">
        <f>Vecinos!C76</f>
        <v>Calle Güigüe Nro. 88-06</v>
      </c>
      <c r="C76" s="35" t="str">
        <f>IF(SUMIFS(Vigilancia!$E:$E,Vigilancia!$F:$F,A76,Vigilancia!$J:$J,"Vigilancia")=BA76,"ü","û")</f>
        <v>ü</v>
      </c>
      <c r="D76" s="186"/>
      <c r="E76" s="187"/>
      <c r="F76" s="188"/>
      <c r="G76" s="188"/>
      <c r="H76" s="188"/>
      <c r="I76" s="188"/>
      <c r="J76" s="188"/>
      <c r="K76" s="188"/>
      <c r="L76" s="188"/>
      <c r="M76" s="188"/>
      <c r="N76" s="188"/>
      <c r="O76" s="221" t="s">
        <v>1229</v>
      </c>
      <c r="P76" s="222"/>
      <c r="Q76" s="223"/>
      <c r="R76" s="224"/>
      <c r="S76" s="224"/>
      <c r="T76" s="224"/>
      <c r="U76" s="224"/>
      <c r="V76" s="224"/>
      <c r="W76" s="224"/>
      <c r="X76" s="224"/>
      <c r="Y76" s="224"/>
      <c r="Z76" s="224"/>
      <c r="AA76" s="224"/>
      <c r="AB76" s="222"/>
      <c r="AC76" s="392"/>
      <c r="AD76" s="393"/>
      <c r="AE76" s="393"/>
      <c r="AF76" s="393"/>
      <c r="AG76" s="393"/>
      <c r="AH76" s="393"/>
      <c r="AI76" s="393"/>
      <c r="AJ76" s="393"/>
      <c r="AK76" s="393"/>
      <c r="AL76" s="393"/>
      <c r="AM76" s="393"/>
      <c r="AN76" s="394"/>
      <c r="AO76" s="392"/>
      <c r="AP76" s="393"/>
      <c r="AQ76" s="393"/>
      <c r="AR76" s="393"/>
      <c r="AS76" s="393"/>
      <c r="AT76" s="393"/>
      <c r="AU76" s="393"/>
      <c r="AV76" s="393"/>
      <c r="AW76" s="393"/>
      <c r="AX76" s="393"/>
      <c r="AY76" s="393"/>
      <c r="AZ76" s="394"/>
      <c r="BA76" s="407">
        <f t="shared" si="46"/>
        <v>0</v>
      </c>
    </row>
    <row r="77" spans="1:53" s="29" customFormat="1" ht="20.100000000000001" customHeight="1">
      <c r="A77" s="30" t="str">
        <f>Vecinos!A77</f>
        <v>Familia Ozar Rivero</v>
      </c>
      <c r="B77" s="31" t="str">
        <f>Vecinos!C77</f>
        <v>Calle Güigüe Nro. 88-06</v>
      </c>
      <c r="C77" s="36" t="str">
        <f>IF(SUMIFS(Vigilancia!$E:$E,Vigilancia!$F:$F,A77,Vigilancia!$J:$J,"Vigilancia")=BA77,"ü","û")</f>
        <v>ü</v>
      </c>
      <c r="D77" s="207"/>
      <c r="E77" s="208"/>
      <c r="F77" s="209"/>
      <c r="G77" s="209"/>
      <c r="H77" s="209"/>
      <c r="I77" s="209"/>
      <c r="J77" s="209"/>
      <c r="K77" s="209"/>
      <c r="L77" s="209"/>
      <c r="M77" s="209"/>
      <c r="N77" s="209">
        <f>35000/100000</f>
        <v>0.35</v>
      </c>
      <c r="O77" s="181">
        <f>50000/100000</f>
        <v>0.5</v>
      </c>
      <c r="P77" s="179">
        <f>50000/100000</f>
        <v>0.5</v>
      </c>
      <c r="Q77" s="183">
        <f>80000/100000</f>
        <v>0.8</v>
      </c>
      <c r="R77" s="192">
        <f>65000/100000</f>
        <v>0.65</v>
      </c>
      <c r="S77" s="184">
        <f t="shared" ref="S77:T79" si="48">140000/100000</f>
        <v>1.4</v>
      </c>
      <c r="T77" s="184">
        <f t="shared" si="48"/>
        <v>1.4</v>
      </c>
      <c r="U77" s="184">
        <f>400000/100000</f>
        <v>4</v>
      </c>
      <c r="V77" s="184">
        <f>400000/100000+225000/100000</f>
        <v>6.25</v>
      </c>
      <c r="W77" s="184">
        <f>200000/100000+650000/100000+150000/100000</f>
        <v>10</v>
      </c>
      <c r="X77" s="184">
        <f>1200000/100000</f>
        <v>12</v>
      </c>
      <c r="Y77" s="184">
        <v>320</v>
      </c>
      <c r="Z77" s="184">
        <v>320</v>
      </c>
      <c r="AA77" s="184">
        <v>320</v>
      </c>
      <c r="AB77" s="179">
        <v>800</v>
      </c>
      <c r="AC77" s="376">
        <f>800+760+1440</f>
        <v>3000</v>
      </c>
      <c r="AD77" s="377">
        <v>3000</v>
      </c>
      <c r="AE77" s="377">
        <f>1560+1440</f>
        <v>3000</v>
      </c>
      <c r="AF77" s="377">
        <v>5000</v>
      </c>
      <c r="AG77" s="377">
        <v>8000</v>
      </c>
      <c r="AH77" s="377">
        <v>8000</v>
      </c>
      <c r="AI77" s="382">
        <f>8000+2000</f>
        <v>10000</v>
      </c>
      <c r="AJ77" s="377">
        <v>10000</v>
      </c>
      <c r="AK77" s="377">
        <v>22000</v>
      </c>
      <c r="AL77" s="377">
        <f>22000+29250</f>
        <v>51250</v>
      </c>
      <c r="AM77" s="377">
        <v>73500</v>
      </c>
      <c r="AN77" s="378">
        <v>136250</v>
      </c>
      <c r="AO77" s="376">
        <v>136250</v>
      </c>
      <c r="AP77" s="377">
        <v>136250</v>
      </c>
      <c r="AQ77" s="377">
        <v>185250</v>
      </c>
      <c r="AR77" s="377">
        <f>114750+70500</f>
        <v>185250</v>
      </c>
      <c r="AS77" s="377">
        <f>229500</f>
        <v>229500</v>
      </c>
      <c r="AT77" s="377"/>
      <c r="AU77" s="382"/>
      <c r="AV77" s="377"/>
      <c r="AW77" s="377"/>
      <c r="AX77" s="377"/>
      <c r="AY77" s="377"/>
      <c r="AZ77" s="378"/>
      <c r="BA77" s="403">
        <f t="shared" si="46"/>
        <v>1207297.8500000001</v>
      </c>
    </row>
    <row r="78" spans="1:53" s="29" customFormat="1" ht="20.100000000000001" customHeight="1">
      <c r="A78" s="30" t="str">
        <f>Vecinos!A78</f>
        <v>Familia Delgado Hidalgo</v>
      </c>
      <c r="B78" s="31" t="str">
        <f>Vecinos!C78</f>
        <v>Calle Güigüe Nro. 88-10</v>
      </c>
      <c r="C78" s="36" t="str">
        <f>IF(SUMIFS(Vigilancia!$E:$E,Vigilancia!$F:$F,A78,Vigilancia!$J:$J,"Vigilancia")=BA78,"ü","û")</f>
        <v>ü</v>
      </c>
      <c r="D78" s="179"/>
      <c r="E78" s="180">
        <f>17000/100000</f>
        <v>0.17</v>
      </c>
      <c r="F78" s="181">
        <f>17000/100000</f>
        <v>0.17</v>
      </c>
      <c r="G78" s="181">
        <f>17000/100000</f>
        <v>0.17</v>
      </c>
      <c r="H78" s="181">
        <f>17000/100000</f>
        <v>0.17</v>
      </c>
      <c r="I78" s="181">
        <f>26000/100000</f>
        <v>0.26</v>
      </c>
      <c r="J78" s="181">
        <f>26000/100000</f>
        <v>0.26</v>
      </c>
      <c r="K78" s="181">
        <f>35000/100000</f>
        <v>0.35</v>
      </c>
      <c r="L78" s="181">
        <f>35000/100000</f>
        <v>0.35</v>
      </c>
      <c r="M78" s="181">
        <f>35000/100000</f>
        <v>0.35</v>
      </c>
      <c r="N78" s="181">
        <f>35000/100000</f>
        <v>0.35</v>
      </c>
      <c r="O78" s="181">
        <f>50000/100000</f>
        <v>0.5</v>
      </c>
      <c r="P78" s="179">
        <f>50000/100000</f>
        <v>0.5</v>
      </c>
      <c r="Q78" s="183">
        <f>80000/100000</f>
        <v>0.8</v>
      </c>
      <c r="R78" s="184">
        <f>80000/100000</f>
        <v>0.8</v>
      </c>
      <c r="S78" s="184">
        <f t="shared" si="48"/>
        <v>1.4</v>
      </c>
      <c r="T78" s="184">
        <f t="shared" si="48"/>
        <v>1.4</v>
      </c>
      <c r="U78" s="184">
        <f>400000/100000</f>
        <v>4</v>
      </c>
      <c r="V78" s="184">
        <f>400000/100000+225000/100000</f>
        <v>6.25</v>
      </c>
      <c r="W78" s="184">
        <f>850000/100000+150000/100000</f>
        <v>10</v>
      </c>
      <c r="X78" s="184">
        <f>1200000/100000</f>
        <v>12</v>
      </c>
      <c r="Y78" s="184">
        <v>320</v>
      </c>
      <c r="Z78" s="184">
        <v>320</v>
      </c>
      <c r="AA78" s="184">
        <v>320</v>
      </c>
      <c r="AB78" s="179">
        <v>800</v>
      </c>
      <c r="AC78" s="376">
        <f>800+2200</f>
        <v>3000</v>
      </c>
      <c r="AD78" s="377">
        <v>3000</v>
      </c>
      <c r="AE78" s="377">
        <v>3000</v>
      </c>
      <c r="AF78" s="377">
        <v>5000</v>
      </c>
      <c r="AG78" s="377">
        <f>5000+3000</f>
        <v>8000</v>
      </c>
      <c r="AH78" s="377">
        <v>8000</v>
      </c>
      <c r="AI78" s="382">
        <f>8000+2000</f>
        <v>10000</v>
      </c>
      <c r="AJ78" s="377">
        <v>10000</v>
      </c>
      <c r="AK78" s="377">
        <v>20500</v>
      </c>
      <c r="AL78" s="377">
        <f>19800+36460</f>
        <v>56260</v>
      </c>
      <c r="AM78" s="377">
        <v>56250</v>
      </c>
      <c r="AN78" s="378">
        <v>81750</v>
      </c>
      <c r="AO78" s="376">
        <v>136250</v>
      </c>
      <c r="AP78" s="377">
        <f>131000+5250</f>
        <v>136250</v>
      </c>
      <c r="AQ78" s="377">
        <v>185250</v>
      </c>
      <c r="AR78" s="377">
        <v>185250</v>
      </c>
      <c r="AS78" s="377">
        <v>250000</v>
      </c>
      <c r="AT78" s="377"/>
      <c r="AU78" s="382"/>
      <c r="AV78" s="377"/>
      <c r="AW78" s="377"/>
      <c r="AX78" s="377"/>
      <c r="AY78" s="377"/>
      <c r="AZ78" s="378"/>
      <c r="BA78" s="403">
        <f t="shared" si="46"/>
        <v>1159560.25</v>
      </c>
    </row>
    <row r="79" spans="1:53" s="29" customFormat="1" ht="20.100000000000001" customHeight="1">
      <c r="A79" s="30" t="str">
        <f>Vecinos!A79</f>
        <v>Familia Costermani Terrer</v>
      </c>
      <c r="B79" s="31" t="str">
        <f>Vecinos!C79</f>
        <v>Calle Güigüe Nro. 88-11</v>
      </c>
      <c r="C79" s="36" t="str">
        <f>IF(SUMIFS(Vigilancia!$E:$E,Vigilancia!$F:$F,A79,Vigilancia!$J:$J,"Vigilancia")=BA79,"ü","û")</f>
        <v>ü</v>
      </c>
      <c r="D79" s="179"/>
      <c r="E79" s="180"/>
      <c r="F79" s="181"/>
      <c r="G79" s="181"/>
      <c r="H79" s="181"/>
      <c r="I79" s="181"/>
      <c r="J79" s="181"/>
      <c r="K79" s="181"/>
      <c r="L79" s="181"/>
      <c r="M79" s="181"/>
      <c r="N79" s="181"/>
      <c r="O79" s="181"/>
      <c r="P79" s="179"/>
      <c r="Q79" s="183"/>
      <c r="R79" s="184">
        <f>80000/100000</f>
        <v>0.8</v>
      </c>
      <c r="S79" s="184">
        <f t="shared" si="48"/>
        <v>1.4</v>
      </c>
      <c r="T79" s="184">
        <f t="shared" si="48"/>
        <v>1.4</v>
      </c>
      <c r="U79" s="184">
        <f>400000/100000</f>
        <v>4</v>
      </c>
      <c r="V79" s="184">
        <f>400000/100000+250000/100000</f>
        <v>6.5</v>
      </c>
      <c r="W79" s="184">
        <f>1000000/100000</f>
        <v>10</v>
      </c>
      <c r="X79" s="184">
        <f>1200000/100000</f>
        <v>12</v>
      </c>
      <c r="Y79" s="184">
        <v>320</v>
      </c>
      <c r="Z79" s="184">
        <v>320</v>
      </c>
      <c r="AA79" s="184">
        <v>320</v>
      </c>
      <c r="AB79" s="179">
        <v>800</v>
      </c>
      <c r="AC79" s="376">
        <v>3000</v>
      </c>
      <c r="AD79" s="377">
        <v>3000</v>
      </c>
      <c r="AE79" s="377">
        <v>3000</v>
      </c>
      <c r="AF79" s="377">
        <v>5000</v>
      </c>
      <c r="AG79" s="377">
        <v>8000</v>
      </c>
      <c r="AH79" s="377">
        <v>8000</v>
      </c>
      <c r="AI79" s="377">
        <v>10000</v>
      </c>
      <c r="AJ79" s="377">
        <v>10000</v>
      </c>
      <c r="AK79" s="377">
        <v>20500</v>
      </c>
      <c r="AL79" s="377">
        <v>51250</v>
      </c>
      <c r="AM79" s="382">
        <v>64500</v>
      </c>
      <c r="AN79" s="378">
        <v>105250</v>
      </c>
      <c r="AO79" s="376">
        <v>136250</v>
      </c>
      <c r="AP79" s="377">
        <v>136250</v>
      </c>
      <c r="AQ79" s="377">
        <v>185250</v>
      </c>
      <c r="AR79" s="377">
        <v>185250</v>
      </c>
      <c r="AS79" s="377">
        <v>250000</v>
      </c>
      <c r="AT79" s="377"/>
      <c r="AU79" s="377"/>
      <c r="AV79" s="377"/>
      <c r="AW79" s="377"/>
      <c r="AX79" s="377"/>
      <c r="AY79" s="377"/>
      <c r="AZ79" s="378"/>
      <c r="BA79" s="403">
        <f t="shared" si="46"/>
        <v>1186296.1000000001</v>
      </c>
    </row>
    <row r="80" spans="1:53" s="29" customFormat="1" ht="20.100000000000001" customHeight="1">
      <c r="A80" s="33" t="str">
        <f>Vecinos!A80</f>
        <v>Familia Chávez Hernández</v>
      </c>
      <c r="B80" s="34" t="str">
        <f>Vecinos!C80</f>
        <v>Calle Güigüe Nro. 88-20</v>
      </c>
      <c r="C80" s="35" t="str">
        <f>IF(SUMIFS(Vigilancia!$E:$E,Vigilancia!$F:$F,A80,Vigilancia!$J:$J,"Vigilancia")=BA80,"ü","û")</f>
        <v>ü</v>
      </c>
      <c r="D80" s="186">
        <f>6000/100000</f>
        <v>0.06</v>
      </c>
      <c r="E80" s="187">
        <f t="shared" ref="E80:N80" si="49">3000/100000</f>
        <v>0.03</v>
      </c>
      <c r="F80" s="188">
        <f t="shared" si="49"/>
        <v>0.03</v>
      </c>
      <c r="G80" s="188">
        <f t="shared" si="49"/>
        <v>0.03</v>
      </c>
      <c r="H80" s="188">
        <f t="shared" si="49"/>
        <v>0.03</v>
      </c>
      <c r="I80" s="188">
        <f t="shared" si="49"/>
        <v>0.03</v>
      </c>
      <c r="J80" s="188">
        <f t="shared" si="49"/>
        <v>0.03</v>
      </c>
      <c r="K80" s="188">
        <f t="shared" si="49"/>
        <v>0.03</v>
      </c>
      <c r="L80" s="188">
        <f t="shared" si="49"/>
        <v>0.03</v>
      </c>
      <c r="M80" s="188">
        <f t="shared" si="49"/>
        <v>0.03</v>
      </c>
      <c r="N80" s="188">
        <f t="shared" si="49"/>
        <v>0.03</v>
      </c>
      <c r="O80" s="188">
        <f>10000/100000</f>
        <v>0.1</v>
      </c>
      <c r="P80" s="186">
        <f>10000/100000</f>
        <v>0.1</v>
      </c>
      <c r="Q80" s="189">
        <f>10000/100000</f>
        <v>0.1</v>
      </c>
      <c r="R80" s="190">
        <f>10000/100000</f>
        <v>0.1</v>
      </c>
      <c r="S80" s="190">
        <f>30000/100000</f>
        <v>0.3</v>
      </c>
      <c r="T80" s="190">
        <f>30000/100000</f>
        <v>0.3</v>
      </c>
      <c r="U80" s="190">
        <f>50000/100000</f>
        <v>0.5</v>
      </c>
      <c r="V80" s="190">
        <f>50000/100000</f>
        <v>0.5</v>
      </c>
      <c r="W80" s="190">
        <f>100000/100000</f>
        <v>1</v>
      </c>
      <c r="X80" s="190">
        <v>12</v>
      </c>
      <c r="Y80" s="190">
        <v>100</v>
      </c>
      <c r="Z80" s="190">
        <v>100</v>
      </c>
      <c r="AA80" s="190">
        <v>100</v>
      </c>
      <c r="AB80" s="186">
        <v>100</v>
      </c>
      <c r="AC80" s="373">
        <v>300</v>
      </c>
      <c r="AD80" s="374">
        <v>300</v>
      </c>
      <c r="AE80" s="374">
        <v>300</v>
      </c>
      <c r="AF80" s="374">
        <v>300</v>
      </c>
      <c r="AG80" s="374">
        <v>1000</v>
      </c>
      <c r="AH80" s="374">
        <v>3000</v>
      </c>
      <c r="AI80" s="374">
        <v>6000</v>
      </c>
      <c r="AJ80" s="374">
        <v>5000</v>
      </c>
      <c r="AK80" s="374">
        <v>10000</v>
      </c>
      <c r="AL80" s="374">
        <v>10000</v>
      </c>
      <c r="AM80" s="374">
        <v>20000</v>
      </c>
      <c r="AN80" s="375">
        <v>20000</v>
      </c>
      <c r="AO80" s="373">
        <v>30000</v>
      </c>
      <c r="AP80" s="374">
        <v>40000</v>
      </c>
      <c r="AQ80" s="374">
        <v>70000</v>
      </c>
      <c r="AR80" s="374">
        <v>70000</v>
      </c>
      <c r="AS80" s="374">
        <v>70000</v>
      </c>
      <c r="AT80" s="374"/>
      <c r="AU80" s="374"/>
      <c r="AV80" s="374"/>
      <c r="AW80" s="374"/>
      <c r="AX80" s="374"/>
      <c r="AY80" s="374"/>
      <c r="AZ80" s="375"/>
      <c r="BA80" s="402">
        <f t="shared" si="46"/>
        <v>356615.36</v>
      </c>
    </row>
    <row r="81" spans="1:53" s="29" customFormat="1" ht="20.100000000000001" customHeight="1">
      <c r="A81" s="33" t="str">
        <f>Vecinos!A81</f>
        <v>Ma. de Jesus Alonso</v>
      </c>
      <c r="B81" s="34" t="str">
        <f>Vecinos!C81</f>
        <v>Calle Güigüe Nro. 88-30</v>
      </c>
      <c r="C81" s="35" t="str">
        <f>IF(SUMIFS(Vigilancia!$E:$E,Vigilancia!$F:$F,A81,Vigilancia!$J:$J,"Vigilancia")=BA81,"ü","û")</f>
        <v>ü</v>
      </c>
      <c r="D81" s="186"/>
      <c r="E81" s="187">
        <f>3000/100000</f>
        <v>0.03</v>
      </c>
      <c r="F81" s="188">
        <f>3000/100000</f>
        <v>0.03</v>
      </c>
      <c r="G81" s="188">
        <f>4000/100000</f>
        <v>0.04</v>
      </c>
      <c r="H81" s="188">
        <f>3000/100000</f>
        <v>0.03</v>
      </c>
      <c r="I81" s="188">
        <f>3000/100000</f>
        <v>0.03</v>
      </c>
      <c r="J81" s="188">
        <f>3000/100000</f>
        <v>0.03</v>
      </c>
      <c r="K81" s="188">
        <f>5000/100000</f>
        <v>0.05</v>
      </c>
      <c r="L81" s="188">
        <f>5000/100000</f>
        <v>0.05</v>
      </c>
      <c r="M81" s="188">
        <f>10000/100000</f>
        <v>0.1</v>
      </c>
      <c r="N81" s="188">
        <f>10000/100000</f>
        <v>0.1</v>
      </c>
      <c r="O81" s="188">
        <f>10000/100000</f>
        <v>0.1</v>
      </c>
      <c r="P81" s="186">
        <f>10000/100000</f>
        <v>0.1</v>
      </c>
      <c r="Q81" s="189">
        <f>10000/100000</f>
        <v>0.1</v>
      </c>
      <c r="R81" s="190">
        <f>10000/100000+20000/100000</f>
        <v>0.30000000000000004</v>
      </c>
      <c r="S81" s="190">
        <f>100000/100000+40000/100000</f>
        <v>1.4</v>
      </c>
      <c r="T81" s="190">
        <f>100000/100000+40000/100000</f>
        <v>1.4</v>
      </c>
      <c r="U81" s="190">
        <f>100000/100000+300000/100000</f>
        <v>4</v>
      </c>
      <c r="V81" s="190">
        <f>400000/100000+225000/100000</f>
        <v>6.25</v>
      </c>
      <c r="W81" s="191">
        <f>1000000/100000</f>
        <v>10</v>
      </c>
      <c r="X81" s="191">
        <v>12</v>
      </c>
      <c r="Y81" s="191">
        <v>320</v>
      </c>
      <c r="Z81" s="191">
        <v>320</v>
      </c>
      <c r="AA81" s="191">
        <v>400</v>
      </c>
      <c r="AB81" s="344">
        <v>800</v>
      </c>
      <c r="AC81" s="381">
        <v>3000</v>
      </c>
      <c r="AD81" s="382">
        <v>3000</v>
      </c>
      <c r="AE81" s="382">
        <v>3000</v>
      </c>
      <c r="AF81" s="382">
        <v>5000</v>
      </c>
      <c r="AG81" s="382">
        <f>5000+3000</f>
        <v>8000</v>
      </c>
      <c r="AH81" s="382">
        <v>8000</v>
      </c>
      <c r="AI81" s="382">
        <v>10000</v>
      </c>
      <c r="AJ81" s="382">
        <v>10000</v>
      </c>
      <c r="AK81" s="382"/>
      <c r="AL81" s="382"/>
      <c r="AM81" s="382"/>
      <c r="AN81" s="387"/>
      <c r="AO81" s="381"/>
      <c r="AP81" s="382"/>
      <c r="AQ81" s="382"/>
      <c r="AR81" s="382"/>
      <c r="AS81" s="382"/>
      <c r="AT81" s="382"/>
      <c r="AU81" s="382"/>
      <c r="AV81" s="382"/>
      <c r="AW81" s="382"/>
      <c r="AX81" s="382"/>
      <c r="AY81" s="382"/>
      <c r="AZ81" s="387"/>
      <c r="BA81" s="405">
        <f t="shared" si="46"/>
        <v>51876.14</v>
      </c>
    </row>
    <row r="82" spans="1:53" s="29" customFormat="1" ht="20.100000000000001" customHeight="1">
      <c r="A82" s="33" t="str">
        <f>Vecinos!A82</f>
        <v>Familia Moyetones</v>
      </c>
      <c r="B82" s="34" t="str">
        <f>Vecinos!C82</f>
        <v>Calle Güigüe Nro. 88-36</v>
      </c>
      <c r="C82" s="35" t="str">
        <f>IF(SUMIFS(Vigilancia!$E:$E,Vigilancia!$F:$F,A82,Vigilancia!$J:$J,"Vigilancia")=BA82,"ü","û")</f>
        <v>ü</v>
      </c>
      <c r="D82" s="186"/>
      <c r="E82" s="187"/>
      <c r="F82" s="188"/>
      <c r="G82" s="188"/>
      <c r="H82" s="188"/>
      <c r="I82" s="188"/>
      <c r="J82" s="188"/>
      <c r="K82" s="188"/>
      <c r="L82" s="188"/>
      <c r="M82" s="188"/>
      <c r="N82" s="188"/>
      <c r="O82" s="188"/>
      <c r="P82" s="186"/>
      <c r="Q82" s="189"/>
      <c r="R82" s="190"/>
      <c r="S82" s="190"/>
      <c r="T82" s="190"/>
      <c r="U82" s="190"/>
      <c r="V82" s="190"/>
      <c r="W82" s="190"/>
      <c r="X82" s="190"/>
      <c r="Y82" s="190"/>
      <c r="Z82" s="190"/>
      <c r="AA82" s="190"/>
      <c r="AB82" s="186"/>
      <c r="AC82" s="373"/>
      <c r="AD82" s="374"/>
      <c r="AE82" s="374"/>
      <c r="AF82" s="374"/>
      <c r="AG82" s="374"/>
      <c r="AH82" s="374"/>
      <c r="AI82" s="374"/>
      <c r="AJ82" s="374"/>
      <c r="AK82" s="374"/>
      <c r="AL82" s="374"/>
      <c r="AM82" s="374"/>
      <c r="AN82" s="375"/>
      <c r="AO82" s="373"/>
      <c r="AP82" s="374"/>
      <c r="AQ82" s="374"/>
      <c r="AR82" s="374"/>
      <c r="AS82" s="374"/>
      <c r="AT82" s="374"/>
      <c r="AU82" s="374"/>
      <c r="AV82" s="374"/>
      <c r="AW82" s="374"/>
      <c r="AX82" s="374"/>
      <c r="AY82" s="374"/>
      <c r="AZ82" s="375"/>
      <c r="BA82" s="402">
        <f t="shared" si="46"/>
        <v>0</v>
      </c>
    </row>
    <row r="83" spans="1:53" s="29" customFormat="1" ht="20.100000000000001" customHeight="1">
      <c r="A83" s="33" t="str">
        <f>Vecinos!A83</f>
        <v>Familia Rivero</v>
      </c>
      <c r="B83" s="34" t="str">
        <f>Vecinos!C83</f>
        <v>Calle Güigüe Nro. 88-40</v>
      </c>
      <c r="C83" s="35" t="str">
        <f>IF(SUMIFS(Vigilancia!$E:$E,Vigilancia!$F:$F,A83,Vigilancia!$J:$J,"Vigilancia")=BA83,"ü","û")</f>
        <v>ü</v>
      </c>
      <c r="D83" s="186"/>
      <c r="E83" s="187">
        <f>3000/100000</f>
        <v>0.03</v>
      </c>
      <c r="F83" s="188">
        <f>3000/100000</f>
        <v>0.03</v>
      </c>
      <c r="G83" s="188">
        <f>3000/100000</f>
        <v>0.03</v>
      </c>
      <c r="H83" s="188">
        <f>3000/100000</f>
        <v>0.03</v>
      </c>
      <c r="I83" s="188">
        <f>5000/100000</f>
        <v>0.05</v>
      </c>
      <c r="J83" s="188">
        <f>5000/100000</f>
        <v>0.05</v>
      </c>
      <c r="K83" s="188">
        <f>5000/100000</f>
        <v>0.05</v>
      </c>
      <c r="L83" s="188">
        <f>10000/100000</f>
        <v>0.1</v>
      </c>
      <c r="M83" s="188">
        <f>20000/100000</f>
        <v>0.2</v>
      </c>
      <c r="N83" s="188">
        <f>20000/100000</f>
        <v>0.2</v>
      </c>
      <c r="O83" s="188">
        <f>25000/100000</f>
        <v>0.25</v>
      </c>
      <c r="P83" s="186">
        <f t="shared" ref="P83:U83" si="50">30000/100000</f>
        <v>0.3</v>
      </c>
      <c r="Q83" s="189">
        <f t="shared" si="50"/>
        <v>0.3</v>
      </c>
      <c r="R83" s="190">
        <f t="shared" si="50"/>
        <v>0.3</v>
      </c>
      <c r="S83" s="190">
        <f t="shared" si="50"/>
        <v>0.3</v>
      </c>
      <c r="T83" s="190">
        <f t="shared" si="50"/>
        <v>0.3</v>
      </c>
      <c r="U83" s="190">
        <f t="shared" si="50"/>
        <v>0.3</v>
      </c>
      <c r="V83" s="190">
        <f>40000/100000</f>
        <v>0.4</v>
      </c>
      <c r="W83" s="190">
        <v>10</v>
      </c>
      <c r="X83" s="190">
        <v>12</v>
      </c>
      <c r="Y83" s="190">
        <f>100-22</f>
        <v>78</v>
      </c>
      <c r="Z83" s="190"/>
      <c r="AA83" s="190"/>
      <c r="AB83" s="186"/>
      <c r="AC83" s="373"/>
      <c r="AD83" s="374"/>
      <c r="AE83" s="374"/>
      <c r="AF83" s="374"/>
      <c r="AG83" s="374"/>
      <c r="AH83" s="374"/>
      <c r="AI83" s="374"/>
      <c r="AJ83" s="374"/>
      <c r="AK83" s="374"/>
      <c r="AL83" s="374"/>
      <c r="AM83" s="374">
        <v>20000</v>
      </c>
      <c r="AN83" s="375"/>
      <c r="AO83" s="373"/>
      <c r="AP83" s="374"/>
      <c r="AQ83" s="374"/>
      <c r="AR83" s="374"/>
      <c r="AS83" s="374"/>
      <c r="AT83" s="374"/>
      <c r="AU83" s="374"/>
      <c r="AV83" s="374"/>
      <c r="AW83" s="374"/>
      <c r="AX83" s="374"/>
      <c r="AY83" s="374"/>
      <c r="AZ83" s="375"/>
      <c r="BA83" s="402">
        <f t="shared" si="46"/>
        <v>20103.22</v>
      </c>
    </row>
    <row r="84" spans="1:53" s="29" customFormat="1" ht="20.100000000000001" customHeight="1">
      <c r="A84" s="33" t="str">
        <f>Vecinos!A84</f>
        <v>Thanya Albornoz</v>
      </c>
      <c r="B84" s="34" t="str">
        <f>Vecinos!C84</f>
        <v>Calle Güigüe Nro. 88-42</v>
      </c>
      <c r="C84" s="35" t="str">
        <f>IF(SUMIFS(Vigilancia!$E:$E,Vigilancia!$F:$F,A84,Vigilancia!$J:$J,"Vigilancia")=BA84,"ü","û")</f>
        <v>ü</v>
      </c>
      <c r="D84" s="186"/>
      <c r="E84" s="187"/>
      <c r="F84" s="188"/>
      <c r="G84" s="188"/>
      <c r="H84" s="188"/>
      <c r="I84" s="188"/>
      <c r="J84" s="188"/>
      <c r="K84" s="188"/>
      <c r="L84" s="188"/>
      <c r="M84" s="188"/>
      <c r="N84" s="188"/>
      <c r="O84" s="188"/>
      <c r="P84" s="186"/>
      <c r="Q84" s="189"/>
      <c r="R84" s="190"/>
      <c r="S84" s="190"/>
      <c r="T84" s="190"/>
      <c r="U84" s="190"/>
      <c r="V84" s="190"/>
      <c r="W84" s="190"/>
      <c r="X84" s="190"/>
      <c r="Y84" s="190"/>
      <c r="Z84" s="190"/>
      <c r="AA84" s="190"/>
      <c r="AB84" s="186"/>
      <c r="AC84" s="373"/>
      <c r="AD84" s="374"/>
      <c r="AE84" s="374"/>
      <c r="AF84" s="374"/>
      <c r="AG84" s="374"/>
      <c r="AH84" s="374"/>
      <c r="AI84" s="374"/>
      <c r="AJ84" s="374"/>
      <c r="AK84" s="374"/>
      <c r="AL84" s="374"/>
      <c r="AM84" s="374"/>
      <c r="AN84" s="375"/>
      <c r="AO84" s="373"/>
      <c r="AP84" s="374"/>
      <c r="AQ84" s="374"/>
      <c r="AR84" s="374"/>
      <c r="AS84" s="374"/>
      <c r="AT84" s="374"/>
      <c r="AU84" s="374"/>
      <c r="AV84" s="374"/>
      <c r="AW84" s="374"/>
      <c r="AX84" s="374"/>
      <c r="AY84" s="374"/>
      <c r="AZ84" s="375"/>
      <c r="BA84" s="402">
        <f t="shared" si="46"/>
        <v>0</v>
      </c>
    </row>
    <row r="85" spans="1:53" s="29" customFormat="1" ht="20.100000000000001" customHeight="1">
      <c r="A85" s="30" t="str">
        <f>Vecinos!A85</f>
        <v>Familia Colosso Delgado</v>
      </c>
      <c r="B85" s="31" t="str">
        <f>Vecinos!C85</f>
        <v>Calle Güigüe Nro. 88-44</v>
      </c>
      <c r="C85" s="36" t="str">
        <f>IF(SUMIFS(Vigilancia!$E:$E,Vigilancia!$F:$F,A85,Vigilancia!$J:$J,"Vigilancia")=BA85,"ü","û")</f>
        <v>ü</v>
      </c>
      <c r="D85" s="179"/>
      <c r="E85" s="180">
        <f>10500/100000+6500/100000</f>
        <v>0.16999999999999998</v>
      </c>
      <c r="F85" s="181">
        <f t="shared" ref="F85:H86" si="51">17000/100000</f>
        <v>0.17</v>
      </c>
      <c r="G85" s="181">
        <f t="shared" si="51"/>
        <v>0.17</v>
      </c>
      <c r="H85" s="181">
        <f t="shared" si="51"/>
        <v>0.17</v>
      </c>
      <c r="I85" s="181">
        <f>26000/100000</f>
        <v>0.26</v>
      </c>
      <c r="J85" s="181">
        <f>26000/100000</f>
        <v>0.26</v>
      </c>
      <c r="K85" s="181">
        <f>26000/100000+9000/100000</f>
        <v>0.35</v>
      </c>
      <c r="L85" s="181">
        <f t="shared" ref="L85:N88" si="52">35000/100000</f>
        <v>0.35</v>
      </c>
      <c r="M85" s="181">
        <f t="shared" si="52"/>
        <v>0.35</v>
      </c>
      <c r="N85" s="181">
        <f t="shared" si="52"/>
        <v>0.35</v>
      </c>
      <c r="O85" s="181">
        <f t="shared" ref="O85:P88" si="53">50000/100000</f>
        <v>0.5</v>
      </c>
      <c r="P85" s="179">
        <f t="shared" si="53"/>
        <v>0.5</v>
      </c>
      <c r="Q85" s="183">
        <f t="shared" ref="Q85:R88" si="54">80000/100000</f>
        <v>0.8</v>
      </c>
      <c r="R85" s="184">
        <f t="shared" si="54"/>
        <v>0.8</v>
      </c>
      <c r="S85" s="184">
        <f>140000/100000</f>
        <v>1.4</v>
      </c>
      <c r="T85" s="184">
        <f>140000/100000</f>
        <v>1.4</v>
      </c>
      <c r="U85" s="184">
        <f>400000/100000</f>
        <v>4</v>
      </c>
      <c r="V85" s="184">
        <f>400000/100000+225000/100000</f>
        <v>6.25</v>
      </c>
      <c r="W85" s="184">
        <f>850000/100000+150000/100000</f>
        <v>10</v>
      </c>
      <c r="X85" s="184">
        <f>1200000/100000</f>
        <v>12</v>
      </c>
      <c r="Y85" s="184">
        <v>320</v>
      </c>
      <c r="Z85" s="184">
        <v>320</v>
      </c>
      <c r="AA85" s="184">
        <v>320</v>
      </c>
      <c r="AB85" s="344">
        <f>320+480</f>
        <v>800</v>
      </c>
      <c r="AC85" s="381">
        <f>800+2200</f>
        <v>3000</v>
      </c>
      <c r="AD85" s="377">
        <v>3000</v>
      </c>
      <c r="AE85" s="377">
        <v>3000</v>
      </c>
      <c r="AF85" s="377">
        <f>3000+2000</f>
        <v>5000</v>
      </c>
      <c r="AG85" s="377">
        <v>8000</v>
      </c>
      <c r="AH85" s="377">
        <v>8000</v>
      </c>
      <c r="AI85" s="377">
        <v>10000</v>
      </c>
      <c r="AJ85" s="377">
        <v>10000</v>
      </c>
      <c r="AK85" s="377">
        <v>23400</v>
      </c>
      <c r="AL85" s="377">
        <f>21100+25900</f>
        <v>47000</v>
      </c>
      <c r="AM85" s="377">
        <v>51250</v>
      </c>
      <c r="AN85" s="378">
        <v>81750</v>
      </c>
      <c r="AO85" s="376">
        <v>136250</v>
      </c>
      <c r="AP85" s="377">
        <v>136250</v>
      </c>
      <c r="AQ85" s="377">
        <v>185250</v>
      </c>
      <c r="AR85" s="377">
        <v>185250</v>
      </c>
      <c r="AS85" s="377">
        <v>250000</v>
      </c>
      <c r="AT85" s="377"/>
      <c r="AU85" s="377"/>
      <c r="AV85" s="377"/>
      <c r="AW85" s="377"/>
      <c r="AX85" s="377"/>
      <c r="AY85" s="377"/>
      <c r="AZ85" s="378"/>
      <c r="BA85" s="403">
        <f t="shared" si="46"/>
        <v>1148200.25</v>
      </c>
    </row>
    <row r="86" spans="1:53" s="29" customFormat="1" ht="20.100000000000001" customHeight="1">
      <c r="A86" s="30" t="str">
        <f>Vecinos!A86</f>
        <v>Familia Jiménez Navarro</v>
      </c>
      <c r="B86" s="31" t="str">
        <f>Vecinos!C86</f>
        <v>Calle Güigüe Nro. 88-50</v>
      </c>
      <c r="C86" s="36" t="str">
        <f>IF(SUMIFS(Vigilancia!$E:$E,Vigilancia!$F:$F,A86,Vigilancia!$J:$J,"Vigilancia")=BA86,"ü","û")</f>
        <v>ü</v>
      </c>
      <c r="D86" s="179"/>
      <c r="E86" s="180">
        <f>17000/100000</f>
        <v>0.17</v>
      </c>
      <c r="F86" s="181">
        <f t="shared" si="51"/>
        <v>0.17</v>
      </c>
      <c r="G86" s="181">
        <f t="shared" si="51"/>
        <v>0.17</v>
      </c>
      <c r="H86" s="181">
        <f t="shared" si="51"/>
        <v>0.17</v>
      </c>
      <c r="I86" s="181">
        <f>26000/100000</f>
        <v>0.26</v>
      </c>
      <c r="J86" s="225"/>
      <c r="K86" s="181">
        <f>35000/100000</f>
        <v>0.35</v>
      </c>
      <c r="L86" s="181">
        <f t="shared" si="52"/>
        <v>0.35</v>
      </c>
      <c r="M86" s="181">
        <f t="shared" si="52"/>
        <v>0.35</v>
      </c>
      <c r="N86" s="181">
        <f t="shared" si="52"/>
        <v>0.35</v>
      </c>
      <c r="O86" s="181">
        <f t="shared" si="53"/>
        <v>0.5</v>
      </c>
      <c r="P86" s="179">
        <f t="shared" si="53"/>
        <v>0.5</v>
      </c>
      <c r="Q86" s="183">
        <f t="shared" si="54"/>
        <v>0.8</v>
      </c>
      <c r="R86" s="184">
        <f t="shared" si="54"/>
        <v>0.8</v>
      </c>
      <c r="S86" s="184">
        <f>140000/100000</f>
        <v>1.4</v>
      </c>
      <c r="T86" s="184">
        <f>300000/100000</f>
        <v>3</v>
      </c>
      <c r="U86" s="184">
        <f>400000/100000</f>
        <v>4</v>
      </c>
      <c r="V86" s="184">
        <f>1000000/100000</f>
        <v>10</v>
      </c>
      <c r="W86" s="184">
        <f>1000000/100000</f>
        <v>10</v>
      </c>
      <c r="X86" s="184">
        <v>12</v>
      </c>
      <c r="Y86" s="184">
        <v>320</v>
      </c>
      <c r="Z86" s="184">
        <v>320</v>
      </c>
      <c r="AA86" s="184">
        <v>320</v>
      </c>
      <c r="AB86" s="179">
        <v>800</v>
      </c>
      <c r="AC86" s="376">
        <v>3000</v>
      </c>
      <c r="AD86" s="377">
        <v>3000</v>
      </c>
      <c r="AE86" s="377">
        <v>3000</v>
      </c>
      <c r="AF86" s="377">
        <v>5000</v>
      </c>
      <c r="AG86" s="377">
        <f>5000+3000</f>
        <v>8000</v>
      </c>
      <c r="AH86" s="377">
        <v>8000</v>
      </c>
      <c r="AI86" s="377">
        <v>10000</v>
      </c>
      <c r="AJ86" s="377">
        <v>10000</v>
      </c>
      <c r="AK86" s="377">
        <v>24000</v>
      </c>
      <c r="AL86" s="377">
        <f>20000+27000</f>
        <v>47000</v>
      </c>
      <c r="AM86" s="377">
        <v>81750</v>
      </c>
      <c r="AN86" s="378">
        <v>136500</v>
      </c>
      <c r="AO86" s="376">
        <v>136500</v>
      </c>
      <c r="AP86" s="377">
        <v>190000</v>
      </c>
      <c r="AQ86" s="377">
        <v>185250</v>
      </c>
      <c r="AR86" s="377">
        <f>185250/2.5*0.5+148200</f>
        <v>185250</v>
      </c>
      <c r="AS86" s="377">
        <v>250000</v>
      </c>
      <c r="AT86" s="377"/>
      <c r="AU86" s="377"/>
      <c r="AV86" s="377"/>
      <c r="AW86" s="377"/>
      <c r="AX86" s="377"/>
      <c r="AY86" s="377"/>
      <c r="AZ86" s="378"/>
      <c r="BA86" s="403">
        <f t="shared" si="46"/>
        <v>1288055.3399999999</v>
      </c>
    </row>
    <row r="87" spans="1:53" s="29" customFormat="1" ht="20.100000000000001" customHeight="1">
      <c r="A87" s="33" t="str">
        <f>Vecinos!A87</f>
        <v>Dra. Lilia Magallanes</v>
      </c>
      <c r="B87" s="34" t="str">
        <f>Vecinos!C87</f>
        <v>Calle Güigüe Nro. 88-51</v>
      </c>
      <c r="C87" s="35" t="str">
        <f>IF(SUMIFS(Vigilancia!$E:$E,Vigilancia!$F:$F,A87,Vigilancia!$J:$J,"Vigilancia")=BA87,"ü","û")</f>
        <v>ü</v>
      </c>
      <c r="D87" s="186"/>
      <c r="E87" s="187">
        <f>5000/100000</f>
        <v>0.05</v>
      </c>
      <c r="F87" s="188">
        <f>5000/100000</f>
        <v>0.05</v>
      </c>
      <c r="G87" s="188">
        <f>7000/100000</f>
        <v>7.0000000000000007E-2</v>
      </c>
      <c r="H87" s="188">
        <f>10000/100000</f>
        <v>0.1</v>
      </c>
      <c r="I87" s="188">
        <f>20000/100000</f>
        <v>0.2</v>
      </c>
      <c r="J87" s="188">
        <f>20000/100000</f>
        <v>0.2</v>
      </c>
      <c r="K87" s="188">
        <f>30000/100000</f>
        <v>0.3</v>
      </c>
      <c r="L87" s="181">
        <f t="shared" si="52"/>
        <v>0.35</v>
      </c>
      <c r="M87" s="181">
        <f t="shared" si="52"/>
        <v>0.35</v>
      </c>
      <c r="N87" s="181">
        <f t="shared" si="52"/>
        <v>0.35</v>
      </c>
      <c r="O87" s="181">
        <f t="shared" si="53"/>
        <v>0.5</v>
      </c>
      <c r="P87" s="179">
        <f t="shared" si="53"/>
        <v>0.5</v>
      </c>
      <c r="Q87" s="183">
        <f t="shared" si="54"/>
        <v>0.8</v>
      </c>
      <c r="R87" s="184">
        <f t="shared" si="54"/>
        <v>0.8</v>
      </c>
      <c r="S87" s="184">
        <f>40000/100000+100000/100000</f>
        <v>1.4</v>
      </c>
      <c r="T87" s="184">
        <f>140000/100000</f>
        <v>1.4</v>
      </c>
      <c r="U87" s="184">
        <f>400000/100000</f>
        <v>4</v>
      </c>
      <c r="V87" s="184">
        <f>625000/100000</f>
        <v>6.25</v>
      </c>
      <c r="W87" s="191">
        <f>1000000/100000</f>
        <v>10</v>
      </c>
      <c r="X87" s="191">
        <v>12</v>
      </c>
      <c r="Y87" s="191">
        <f>0.05+320</f>
        <v>320.05</v>
      </c>
      <c r="Z87" s="184">
        <v>320</v>
      </c>
      <c r="AA87" s="184">
        <v>320</v>
      </c>
      <c r="AB87" s="179">
        <v>800</v>
      </c>
      <c r="AC87" s="376">
        <v>3000</v>
      </c>
      <c r="AD87" s="377">
        <v>3000</v>
      </c>
      <c r="AE87" s="377">
        <v>3000</v>
      </c>
      <c r="AF87" s="377">
        <v>5000</v>
      </c>
      <c r="AG87" s="377">
        <v>8000</v>
      </c>
      <c r="AH87" s="377">
        <v>8000</v>
      </c>
      <c r="AI87" s="377">
        <v>10000</v>
      </c>
      <c r="AJ87" s="377">
        <v>10000</v>
      </c>
      <c r="AK87" s="377">
        <v>23400</v>
      </c>
      <c r="AL87" s="483">
        <f>20300+3000+27965</f>
        <v>51265</v>
      </c>
      <c r="AM87" s="377">
        <v>56250</v>
      </c>
      <c r="AN87" s="378">
        <v>97500</v>
      </c>
      <c r="AO87" s="376">
        <v>136250</v>
      </c>
      <c r="AP87" s="377">
        <v>136250</v>
      </c>
      <c r="AQ87" s="377">
        <v>185250</v>
      </c>
      <c r="AR87" s="377">
        <v>186250</v>
      </c>
      <c r="AS87" s="377">
        <v>250000</v>
      </c>
      <c r="AT87" s="377"/>
      <c r="AU87" s="377"/>
      <c r="AV87" s="377"/>
      <c r="AW87" s="377"/>
      <c r="AX87" s="377"/>
      <c r="AY87" s="377"/>
      <c r="AZ87" s="378"/>
      <c r="BA87" s="403">
        <f t="shared" si="46"/>
        <v>1174214.72</v>
      </c>
    </row>
    <row r="88" spans="1:53" s="29" customFormat="1" ht="20.100000000000001" customHeight="1">
      <c r="A88" s="30" t="str">
        <f>Vecinos!A88</f>
        <v>Familia Navarro Assing</v>
      </c>
      <c r="B88" s="31" t="str">
        <f>Vecinos!C88</f>
        <v>Calle Güigüe Nro. 88-54</v>
      </c>
      <c r="C88" s="36" t="str">
        <f>IF(SUMIFS(Vigilancia!$E:$E,Vigilancia!$F:$F,A88,Vigilancia!$J:$J,"Vigilancia")=BA88,"ü","û")</f>
        <v>ü</v>
      </c>
      <c r="D88" s="179"/>
      <c r="E88" s="180">
        <f>17000/100000</f>
        <v>0.17</v>
      </c>
      <c r="F88" s="181">
        <f>17000/100000</f>
        <v>0.17</v>
      </c>
      <c r="G88" s="181">
        <f>17000/100000</f>
        <v>0.17</v>
      </c>
      <c r="H88" s="181">
        <f>17000/100000</f>
        <v>0.17</v>
      </c>
      <c r="I88" s="181">
        <f>22000/100000+4000/100000</f>
        <v>0.26</v>
      </c>
      <c r="J88" s="181">
        <f>26000/100000</f>
        <v>0.26</v>
      </c>
      <c r="K88" s="181">
        <f>35000/100000</f>
        <v>0.35</v>
      </c>
      <c r="L88" s="181">
        <f t="shared" si="52"/>
        <v>0.35</v>
      </c>
      <c r="M88" s="181">
        <f t="shared" si="52"/>
        <v>0.35</v>
      </c>
      <c r="N88" s="181">
        <f t="shared" si="52"/>
        <v>0.35</v>
      </c>
      <c r="O88" s="181">
        <f t="shared" si="53"/>
        <v>0.5</v>
      </c>
      <c r="P88" s="179">
        <f t="shared" si="53"/>
        <v>0.5</v>
      </c>
      <c r="Q88" s="183">
        <f t="shared" si="54"/>
        <v>0.8</v>
      </c>
      <c r="R88" s="184">
        <f t="shared" si="54"/>
        <v>0.8</v>
      </c>
      <c r="S88" s="184">
        <f>140000/100000</f>
        <v>1.4</v>
      </c>
      <c r="T88" s="184">
        <f>140000/100000</f>
        <v>1.4</v>
      </c>
      <c r="U88" s="184">
        <f>400000/100000</f>
        <v>4</v>
      </c>
      <c r="V88" s="184">
        <f>400000/100000+250000/100000</f>
        <v>6.5</v>
      </c>
      <c r="W88" s="184">
        <f>1000000/100000</f>
        <v>10</v>
      </c>
      <c r="X88" s="184">
        <v>12</v>
      </c>
      <c r="Y88" s="184">
        <v>320</v>
      </c>
      <c r="Z88" s="184">
        <v>320</v>
      </c>
      <c r="AA88" s="184">
        <v>320</v>
      </c>
      <c r="AB88" s="179">
        <v>800</v>
      </c>
      <c r="AC88" s="381">
        <f>800+2200</f>
        <v>3000</v>
      </c>
      <c r="AD88" s="377">
        <v>3000</v>
      </c>
      <c r="AE88" s="377">
        <v>3000</v>
      </c>
      <c r="AF88" s="377">
        <f>500+4500</f>
        <v>5000</v>
      </c>
      <c r="AG88" s="382">
        <v>8000</v>
      </c>
      <c r="AH88" s="382">
        <f>500+3000+4500</f>
        <v>8000</v>
      </c>
      <c r="AI88" s="377">
        <v>10000</v>
      </c>
      <c r="AJ88" s="377">
        <v>10000</v>
      </c>
      <c r="AK88" s="377">
        <v>21600</v>
      </c>
      <c r="AL88" s="377">
        <f>19800+31450</f>
        <v>51250</v>
      </c>
      <c r="AM88" s="483">
        <f>8550+56000</f>
        <v>64550</v>
      </c>
      <c r="AN88" s="378">
        <v>105500</v>
      </c>
      <c r="AO88" s="381">
        <v>136250</v>
      </c>
      <c r="AP88" s="382">
        <f>7950+73500+50000+5000</f>
        <v>136450</v>
      </c>
      <c r="AQ88" s="377">
        <v>185250</v>
      </c>
      <c r="AR88" s="377">
        <v>185250</v>
      </c>
      <c r="AS88" s="382">
        <v>250000</v>
      </c>
      <c r="AT88" s="382"/>
      <c r="AU88" s="377"/>
      <c r="AV88" s="377"/>
      <c r="AW88" s="377"/>
      <c r="AX88" s="377"/>
      <c r="AY88" s="377"/>
      <c r="AZ88" s="378"/>
      <c r="BA88" s="403">
        <f t="shared" si="46"/>
        <v>1187900.5</v>
      </c>
    </row>
    <row r="89" spans="1:53" s="29" customFormat="1" ht="20.100000000000001" customHeight="1">
      <c r="A89" s="33" t="str">
        <f>Vecinos!A89</f>
        <v>Familia Rodríguez Aular</v>
      </c>
      <c r="B89" s="34" t="str">
        <f>Vecinos!C89</f>
        <v>Calle Güigüe Nro. 88-58</v>
      </c>
      <c r="C89" s="35" t="str">
        <f>IF(SUMIFS(Vigilancia!$E:$E,Vigilancia!$F:$F,A89,Vigilancia!$J:$J,"Vigilancia")=BA89,"ü","û")</f>
        <v>ü</v>
      </c>
      <c r="D89" s="186"/>
      <c r="E89" s="187">
        <f>10500/100000</f>
        <v>0.105</v>
      </c>
      <c r="F89" s="188">
        <f>12000/100000</f>
        <v>0.12</v>
      </c>
      <c r="G89" s="188">
        <f>12000/100000</f>
        <v>0.12</v>
      </c>
      <c r="H89" s="188">
        <f>12000/100000</f>
        <v>0.12</v>
      </c>
      <c r="I89" s="188">
        <f>12000/100000</f>
        <v>0.12</v>
      </c>
      <c r="J89" s="188">
        <f>15000/100000</f>
        <v>0.15</v>
      </c>
      <c r="K89" s="188">
        <f>15000/100000</f>
        <v>0.15</v>
      </c>
      <c r="L89" s="188">
        <f>18000/100000</f>
        <v>0.18</v>
      </c>
      <c r="M89" s="188">
        <f>20000/100000</f>
        <v>0.2</v>
      </c>
      <c r="N89" s="188">
        <f>20000/100000</f>
        <v>0.2</v>
      </c>
      <c r="O89" s="188">
        <f>30000/100000</f>
        <v>0.3</v>
      </c>
      <c r="P89" s="186">
        <f>40000/100000</f>
        <v>0.4</v>
      </c>
      <c r="Q89" s="189">
        <f>40000/100000</f>
        <v>0.4</v>
      </c>
      <c r="R89" s="190">
        <f>80000/100000</f>
        <v>0.8</v>
      </c>
      <c r="S89" s="190">
        <f>120000/100000</f>
        <v>1.2</v>
      </c>
      <c r="T89" s="190">
        <f>140000/100000</f>
        <v>1.4</v>
      </c>
      <c r="U89" s="190">
        <f>200000/100000</f>
        <v>2</v>
      </c>
      <c r="V89" s="190">
        <f>400000/100000</f>
        <v>4</v>
      </c>
      <c r="W89" s="190">
        <f>1000000/100000</f>
        <v>10</v>
      </c>
      <c r="X89" s="190">
        <v>12</v>
      </c>
      <c r="Y89" s="355"/>
      <c r="Z89" s="191">
        <v>320</v>
      </c>
      <c r="AA89" s="191">
        <v>320</v>
      </c>
      <c r="AB89" s="344">
        <v>800</v>
      </c>
      <c r="AC89" s="381">
        <f>800+2200</f>
        <v>3000</v>
      </c>
      <c r="AD89" s="382">
        <v>3000</v>
      </c>
      <c r="AE89" s="382">
        <v>3000</v>
      </c>
      <c r="AF89" s="382">
        <v>5000</v>
      </c>
      <c r="AG89" s="382">
        <v>8000</v>
      </c>
      <c r="AH89" s="382">
        <v>8000</v>
      </c>
      <c r="AI89" s="382">
        <v>10000</v>
      </c>
      <c r="AJ89" s="377">
        <v>10000</v>
      </c>
      <c r="AK89" s="377">
        <v>19800</v>
      </c>
      <c r="AL89" s="382">
        <v>51250</v>
      </c>
      <c r="AM89" s="382">
        <v>64500</v>
      </c>
      <c r="AN89" s="387">
        <v>136250</v>
      </c>
      <c r="AO89" s="381">
        <v>136250</v>
      </c>
      <c r="AP89" s="609">
        <f>136250</f>
        <v>136250</v>
      </c>
      <c r="AQ89" s="382">
        <v>185250</v>
      </c>
      <c r="AR89" s="382">
        <f>185250</f>
        <v>185250</v>
      </c>
      <c r="AS89" s="382">
        <v>250000</v>
      </c>
      <c r="AT89" s="382"/>
      <c r="AU89" s="382"/>
      <c r="AV89" s="377"/>
      <c r="AW89" s="382"/>
      <c r="AX89" s="382"/>
      <c r="AY89" s="382"/>
      <c r="AZ89" s="387"/>
      <c r="BA89" s="405">
        <f t="shared" si="46"/>
        <v>1216273.9649999999</v>
      </c>
    </row>
    <row r="90" spans="1:53" s="29" customFormat="1" ht="20.100000000000001" customHeight="1">
      <c r="A90" s="30" t="str">
        <f>Vecinos!A90</f>
        <v>Familia Ramírez</v>
      </c>
      <c r="B90" s="31" t="str">
        <f>Vecinos!C90</f>
        <v>Calle Güigüe Nro. 88-61</v>
      </c>
      <c r="C90" s="36" t="str">
        <f>IF(SUMIFS(Vigilancia!$E:$E,Vigilancia!$F:$F,A90,Vigilancia!$J:$J,"Vigilancia")=BA90,"ü","û")</f>
        <v>ü</v>
      </c>
      <c r="D90" s="179"/>
      <c r="E90" s="180"/>
      <c r="F90" s="181"/>
      <c r="G90" s="181"/>
      <c r="H90" s="181"/>
      <c r="I90" s="181"/>
      <c r="J90" s="181"/>
      <c r="K90" s="181"/>
      <c r="L90" s="181"/>
      <c r="M90" s="181"/>
      <c r="N90" s="181"/>
      <c r="O90" s="181"/>
      <c r="P90" s="179"/>
      <c r="Q90" s="183"/>
      <c r="R90" s="184"/>
      <c r="S90" s="184"/>
      <c r="T90" s="184"/>
      <c r="U90" s="184"/>
      <c r="V90" s="184"/>
      <c r="W90" s="184"/>
      <c r="X90" s="184"/>
      <c r="Y90" s="184"/>
      <c r="Z90" s="184"/>
      <c r="AA90" s="184"/>
      <c r="AB90" s="179"/>
      <c r="AC90" s="376"/>
      <c r="AD90" s="377"/>
      <c r="AE90" s="377"/>
      <c r="AF90" s="377"/>
      <c r="AG90" s="377"/>
      <c r="AH90" s="377"/>
      <c r="AI90" s="377"/>
      <c r="AJ90" s="377"/>
      <c r="AK90" s="377"/>
      <c r="AL90" s="377"/>
      <c r="AM90" s="377"/>
      <c r="AN90" s="378"/>
      <c r="AO90" s="376"/>
      <c r="AP90" s="377"/>
      <c r="AQ90" s="377"/>
      <c r="AR90" s="377"/>
      <c r="AS90" s="377"/>
      <c r="AT90" s="377"/>
      <c r="AU90" s="377"/>
      <c r="AV90" s="377"/>
      <c r="AW90" s="377"/>
      <c r="AX90" s="377"/>
      <c r="AY90" s="377"/>
      <c r="AZ90" s="378"/>
      <c r="BA90" s="403">
        <f t="shared" si="46"/>
        <v>0</v>
      </c>
    </row>
    <row r="91" spans="1:53" s="29" customFormat="1" ht="20.100000000000001" customHeight="1">
      <c r="A91" s="33" t="str">
        <f>Vecinos!A91</f>
        <v>Familia Martínez Boada</v>
      </c>
      <c r="B91" s="34" t="str">
        <f>Vecinos!C91</f>
        <v>Calle Güigüe Nro. 88-62</v>
      </c>
      <c r="C91" s="35" t="str">
        <f>IF(SUMIFS(Vigilancia!$E:$E,Vigilancia!$F:$F,A91,Vigilancia!$J:$J,"Vigilancia")=BA91,"ü","û")</f>
        <v>ü</v>
      </c>
      <c r="D91" s="186"/>
      <c r="E91" s="187">
        <f>10500/100000+6500/100000</f>
        <v>0.16999999999999998</v>
      </c>
      <c r="F91" s="188">
        <f>13613/100000+3387/100000</f>
        <v>0.16999999999999998</v>
      </c>
      <c r="G91" s="188">
        <f>17000/100000</f>
        <v>0.17</v>
      </c>
      <c r="H91" s="188">
        <f>17000/100000</f>
        <v>0.17</v>
      </c>
      <c r="I91" s="188">
        <f>26000/100000</f>
        <v>0.26</v>
      </c>
      <c r="J91" s="188">
        <f>26000/100000</f>
        <v>0.26</v>
      </c>
      <c r="K91" s="188">
        <f>35000/100000</f>
        <v>0.35</v>
      </c>
      <c r="L91" s="188">
        <f>35000/100000</f>
        <v>0.35</v>
      </c>
      <c r="M91" s="193" t="s">
        <v>490</v>
      </c>
      <c r="N91" s="193" t="s">
        <v>490</v>
      </c>
      <c r="O91" s="193" t="s">
        <v>490</v>
      </c>
      <c r="P91" s="450" t="s">
        <v>490</v>
      </c>
      <c r="Q91" s="189">
        <f>75000/100000</f>
        <v>0.75</v>
      </c>
      <c r="R91" s="190">
        <f>75000/100000</f>
        <v>0.75</v>
      </c>
      <c r="S91" s="190">
        <f>100000/100000</f>
        <v>1</v>
      </c>
      <c r="T91" s="190">
        <f>100000/100000</f>
        <v>1</v>
      </c>
      <c r="U91" s="190">
        <f>100000/100000</f>
        <v>1</v>
      </c>
      <c r="V91" s="190">
        <f>600000/100000</f>
        <v>6</v>
      </c>
      <c r="W91" s="190">
        <f>600000/100000</f>
        <v>6</v>
      </c>
      <c r="X91" s="190">
        <v>12</v>
      </c>
      <c r="Y91" s="190">
        <v>320</v>
      </c>
      <c r="Z91" s="190">
        <f>350-320-12+250</f>
        <v>268</v>
      </c>
      <c r="AA91" s="190">
        <v>320</v>
      </c>
      <c r="AB91" s="186">
        <v>680</v>
      </c>
      <c r="AC91" s="373">
        <v>2000</v>
      </c>
      <c r="AD91" s="374">
        <v>2000</v>
      </c>
      <c r="AE91" s="374">
        <v>3000</v>
      </c>
      <c r="AF91" s="374">
        <v>3000</v>
      </c>
      <c r="AG91" s="374">
        <v>8000</v>
      </c>
      <c r="AH91" s="374">
        <v>8000</v>
      </c>
      <c r="AI91" s="374">
        <v>10000</v>
      </c>
      <c r="AJ91" s="374">
        <v>10000</v>
      </c>
      <c r="AK91" s="374">
        <v>21100</v>
      </c>
      <c r="AL91" s="374">
        <v>32500</v>
      </c>
      <c r="AM91" s="374">
        <v>32500</v>
      </c>
      <c r="AN91" s="375">
        <v>32500</v>
      </c>
      <c r="AO91" s="373">
        <v>136250</v>
      </c>
      <c r="AP91" s="374">
        <f>8750+100000</f>
        <v>108750</v>
      </c>
      <c r="AQ91" s="374">
        <v>100000</v>
      </c>
      <c r="AR91" s="374">
        <v>250000</v>
      </c>
      <c r="AS91" s="374"/>
      <c r="AT91" s="374"/>
      <c r="AU91" s="374"/>
      <c r="AV91" s="374"/>
      <c r="AW91" s="374"/>
      <c r="AX91" s="374"/>
      <c r="AY91" s="374"/>
      <c r="AZ91" s="375"/>
      <c r="BA91" s="402">
        <f t="shared" si="46"/>
        <v>761218.4</v>
      </c>
    </row>
    <row r="92" spans="1:53" s="29" customFormat="1" ht="20.100000000000001" customHeight="1">
      <c r="A92" s="30" t="str">
        <f>Vecinos!A92</f>
        <v>Familia Gascón Domínguez</v>
      </c>
      <c r="B92" s="31" t="str">
        <f>Vecinos!C92</f>
        <v>Calle Güigüe Nro. 88-70</v>
      </c>
      <c r="C92" s="36" t="str">
        <f>IF(SUMIFS(Vigilancia!$E:$E,Vigilancia!$F:$F,A92,Vigilancia!$J:$J,"Vigilancia")=BA92,"ü","û")</f>
        <v>ü</v>
      </c>
      <c r="D92" s="186"/>
      <c r="E92" s="187">
        <f>10000/100000</f>
        <v>0.1</v>
      </c>
      <c r="F92" s="188">
        <f>10000/100000</f>
        <v>0.1</v>
      </c>
      <c r="G92" s="188">
        <f>10000/100000</f>
        <v>0.1</v>
      </c>
      <c r="H92" s="181">
        <f>17000/100000</f>
        <v>0.17</v>
      </c>
      <c r="I92" s="181">
        <f>26000/100000</f>
        <v>0.26</v>
      </c>
      <c r="J92" s="181">
        <f>26000/100000</f>
        <v>0.26</v>
      </c>
      <c r="K92" s="181">
        <f>35000/100000</f>
        <v>0.35</v>
      </c>
      <c r="L92" s="181">
        <f>35000/100000</f>
        <v>0.35</v>
      </c>
      <c r="M92" s="181">
        <f>35000/100000</f>
        <v>0.35</v>
      </c>
      <c r="N92" s="181">
        <f>35000/100000</f>
        <v>0.35</v>
      </c>
      <c r="O92" s="181">
        <f>50000/100000</f>
        <v>0.5</v>
      </c>
      <c r="P92" s="179">
        <f>50000/100000</f>
        <v>0.5</v>
      </c>
      <c r="Q92" s="183">
        <f>80000/100000</f>
        <v>0.8</v>
      </c>
      <c r="R92" s="184">
        <f>80000/100000</f>
        <v>0.8</v>
      </c>
      <c r="S92" s="184">
        <f>140000/100000</f>
        <v>1.4</v>
      </c>
      <c r="T92" s="184">
        <f>140000/100000</f>
        <v>1.4</v>
      </c>
      <c r="U92" s="184">
        <f>400000/100000</f>
        <v>4</v>
      </c>
      <c r="V92" s="184">
        <f>625000/100000</f>
        <v>6.25</v>
      </c>
      <c r="W92" s="184">
        <f>1000000/100000</f>
        <v>10</v>
      </c>
      <c r="X92" s="184">
        <v>12</v>
      </c>
      <c r="Y92" s="184">
        <v>320</v>
      </c>
      <c r="Z92" s="184">
        <v>320</v>
      </c>
      <c r="AA92" s="184">
        <v>320</v>
      </c>
      <c r="AB92" s="179">
        <v>800</v>
      </c>
      <c r="AC92" s="376">
        <v>3000</v>
      </c>
      <c r="AD92" s="377">
        <v>3000</v>
      </c>
      <c r="AE92" s="382">
        <v>3000</v>
      </c>
      <c r="AF92" s="377">
        <v>5000</v>
      </c>
      <c r="AG92" s="377">
        <v>8000</v>
      </c>
      <c r="AH92" s="377">
        <v>8000</v>
      </c>
      <c r="AI92" s="377">
        <f>8000+2000</f>
        <v>10000</v>
      </c>
      <c r="AJ92" s="377">
        <v>10000</v>
      </c>
      <c r="AK92" s="377">
        <v>21600</v>
      </c>
      <c r="AL92" s="377">
        <f>19800+31450</f>
        <v>51250</v>
      </c>
      <c r="AM92" s="382">
        <v>64500</v>
      </c>
      <c r="AN92" s="378">
        <v>105250</v>
      </c>
      <c r="AO92" s="376">
        <v>136250</v>
      </c>
      <c r="AP92" s="377">
        <v>136250</v>
      </c>
      <c r="AQ92" s="382">
        <v>185250</v>
      </c>
      <c r="AR92" s="382">
        <v>185250</v>
      </c>
      <c r="AS92" s="377">
        <v>250000</v>
      </c>
      <c r="AT92" s="377"/>
      <c r="AU92" s="377"/>
      <c r="AV92" s="377"/>
      <c r="AW92" s="377"/>
      <c r="AX92" s="377"/>
      <c r="AY92" s="377"/>
      <c r="AZ92" s="378"/>
      <c r="BA92" s="403">
        <f t="shared" si="46"/>
        <v>1187400.04</v>
      </c>
    </row>
    <row r="93" spans="1:53" s="29" customFormat="1" ht="20.100000000000001" customHeight="1">
      <c r="A93" s="30" t="str">
        <f>Vecinos!A93</f>
        <v>Colegio El Trigal</v>
      </c>
      <c r="B93" s="31" t="str">
        <f>Vecinos!C93</f>
        <v>Calle Güigüe Nros. 88-71 y 88-81</v>
      </c>
      <c r="C93" s="36" t="str">
        <f>IF(SUMIFS(Vigilancia!$E:$E,Vigilancia!$F:$F,A93,Vigilancia!$J:$J,"Vigilancia")=BA93,"ü","û")</f>
        <v>ü</v>
      </c>
      <c r="D93" s="179"/>
      <c r="E93" s="180">
        <f>10000/100000+20000/100000</f>
        <v>0.30000000000000004</v>
      </c>
      <c r="F93" s="181">
        <f>30000/100000</f>
        <v>0.3</v>
      </c>
      <c r="G93" s="181">
        <f>30000/100000</f>
        <v>0.3</v>
      </c>
      <c r="H93" s="181">
        <f>30000/100000</f>
        <v>0.3</v>
      </c>
      <c r="I93" s="181">
        <f>40000/100000</f>
        <v>0.4</v>
      </c>
      <c r="J93" s="181">
        <f>40000/100000</f>
        <v>0.4</v>
      </c>
      <c r="K93" s="181">
        <f>54000/100000</f>
        <v>0.54</v>
      </c>
      <c r="L93" s="181">
        <f>54000/100000</f>
        <v>0.54</v>
      </c>
      <c r="M93" s="181">
        <f>54000/100000</f>
        <v>0.54</v>
      </c>
      <c r="N93" s="181">
        <f>54000/100000</f>
        <v>0.54</v>
      </c>
      <c r="O93" s="181">
        <f>71000/100000</f>
        <v>0.71</v>
      </c>
      <c r="P93" s="179">
        <f>71000/100000</f>
        <v>0.71</v>
      </c>
      <c r="Q93" s="183">
        <f>113600/100000</f>
        <v>1.1359999999999999</v>
      </c>
      <c r="R93" s="184">
        <f>113600/100000</f>
        <v>1.1359999999999999</v>
      </c>
      <c r="S93" s="184">
        <f>200000/100000</f>
        <v>2</v>
      </c>
      <c r="T93" s="184">
        <f>200000/100000</f>
        <v>2</v>
      </c>
      <c r="U93" s="184">
        <f>580000/100000</f>
        <v>5.8</v>
      </c>
      <c r="V93" s="184">
        <f>905000/100000</f>
        <v>9.0500000000000007</v>
      </c>
      <c r="W93" s="184">
        <f>1450000/100000</f>
        <v>14.5</v>
      </c>
      <c r="X93" s="184">
        <f>1740000/100000</f>
        <v>17.399999999999999</v>
      </c>
      <c r="Y93" s="184">
        <v>465</v>
      </c>
      <c r="Z93" s="184">
        <v>465</v>
      </c>
      <c r="AA93" s="184">
        <v>465</v>
      </c>
      <c r="AB93" s="179">
        <v>1160</v>
      </c>
      <c r="AC93" s="376">
        <f>1160+3190</f>
        <v>4350</v>
      </c>
      <c r="AD93" s="377">
        <v>4350</v>
      </c>
      <c r="AE93" s="377">
        <v>4350</v>
      </c>
      <c r="AF93" s="377">
        <f>4350+2900</f>
        <v>7250</v>
      </c>
      <c r="AG93" s="377">
        <v>11600</v>
      </c>
      <c r="AH93" s="377">
        <v>11600</v>
      </c>
      <c r="AI93" s="377">
        <v>14500</v>
      </c>
      <c r="AJ93" s="382">
        <v>14500</v>
      </c>
      <c r="AK93" s="377">
        <v>29725</v>
      </c>
      <c r="AL93" s="377">
        <f>29435+38715</f>
        <v>68150</v>
      </c>
      <c r="AM93" s="377">
        <v>118540</v>
      </c>
      <c r="AN93" s="378">
        <v>141375</v>
      </c>
      <c r="AO93" s="376">
        <v>197575</v>
      </c>
      <c r="AP93" s="377">
        <v>197575</v>
      </c>
      <c r="AQ93" s="377">
        <f>265615+3000</f>
        <v>268615</v>
      </c>
      <c r="AR93" s="377">
        <v>268615</v>
      </c>
      <c r="AS93" s="377">
        <v>362500</v>
      </c>
      <c r="AT93" s="377"/>
      <c r="AU93" s="377"/>
      <c r="AV93" s="382"/>
      <c r="AW93" s="377"/>
      <c r="AX93" s="377"/>
      <c r="AY93" s="377"/>
      <c r="AZ93" s="378"/>
      <c r="BA93" s="403">
        <f t="shared" si="46"/>
        <v>1727783.602</v>
      </c>
    </row>
    <row r="94" spans="1:53" s="29" customFormat="1" ht="20.100000000000001" customHeight="1">
      <c r="A94" s="33" t="str">
        <f>Vecinos!A94</f>
        <v>Zoraida Khair</v>
      </c>
      <c r="B94" s="34" t="str">
        <f>Vecinos!C94</f>
        <v>Calle Güigüe Nro. 88-80</v>
      </c>
      <c r="C94" s="35" t="str">
        <f>IF(SUMIFS(Vigilancia!$E:$E,Vigilancia!$F:$F,A94,Vigilancia!$J:$J,"Vigilancia")=BA94,"ü","û")</f>
        <v>ü</v>
      </c>
      <c r="D94" s="186"/>
      <c r="E94" s="187"/>
      <c r="F94" s="188">
        <f>6000/100000</f>
        <v>0.06</v>
      </c>
      <c r="G94" s="188"/>
      <c r="H94" s="188"/>
      <c r="I94" s="188">
        <f>10000/100000</f>
        <v>0.1</v>
      </c>
      <c r="J94" s="188">
        <f>25000/100000</f>
        <v>0.25</v>
      </c>
      <c r="K94" s="188">
        <f>25000/100000</f>
        <v>0.25</v>
      </c>
      <c r="L94" s="188">
        <f>25000/100000</f>
        <v>0.25</v>
      </c>
      <c r="M94" s="188">
        <f>25000/100000</f>
        <v>0.25</v>
      </c>
      <c r="N94" s="188">
        <f>40000/100000</f>
        <v>0.4</v>
      </c>
      <c r="O94" s="188">
        <f>40000/100000</f>
        <v>0.4</v>
      </c>
      <c r="P94" s="186">
        <f>40000/100000</f>
        <v>0.4</v>
      </c>
      <c r="Q94" s="189">
        <f>100000/100000</f>
        <v>1</v>
      </c>
      <c r="R94" s="190">
        <f>100000/100000</f>
        <v>1</v>
      </c>
      <c r="S94" s="190">
        <f>100000/100000</f>
        <v>1</v>
      </c>
      <c r="T94" s="190">
        <f>100000/100000</f>
        <v>1</v>
      </c>
      <c r="U94" s="190">
        <f>400000/100000</f>
        <v>4</v>
      </c>
      <c r="V94" s="190">
        <f>625000/100000</f>
        <v>6.25</v>
      </c>
      <c r="W94" s="190">
        <f>1000000/100000</f>
        <v>10</v>
      </c>
      <c r="X94" s="190">
        <f>400000/100000+800000/100000</f>
        <v>12</v>
      </c>
      <c r="Y94" s="190">
        <f>400000/100000+316</f>
        <v>320</v>
      </c>
      <c r="Z94" s="190">
        <v>320</v>
      </c>
      <c r="AA94" s="190">
        <v>320</v>
      </c>
      <c r="AB94" s="186">
        <v>800</v>
      </c>
      <c r="AC94" s="373">
        <v>3000</v>
      </c>
      <c r="AD94" s="374">
        <v>3000</v>
      </c>
      <c r="AE94" s="374">
        <f>345.55+2020</f>
        <v>2365.5500000000002</v>
      </c>
      <c r="AF94" s="374">
        <v>5000</v>
      </c>
      <c r="AG94" s="374">
        <f>4000+4000</f>
        <v>8000</v>
      </c>
      <c r="AH94" s="374">
        <v>8000</v>
      </c>
      <c r="AI94" s="374">
        <v>8000</v>
      </c>
      <c r="AJ94" s="374">
        <v>10000</v>
      </c>
      <c r="AK94" s="374">
        <f>10000+13000</f>
        <v>23000</v>
      </c>
      <c r="AL94" s="374">
        <f>10000+11000+23000+7250</f>
        <v>51250</v>
      </c>
      <c r="AM94" s="374">
        <f>13000+18000+21000</f>
        <v>52000</v>
      </c>
      <c r="AN94" s="375">
        <f>20000+20000</f>
        <v>40000</v>
      </c>
      <c r="AO94" s="373">
        <f>30000+107000</f>
        <v>137000</v>
      </c>
      <c r="AP94" s="374">
        <f>100000+80000+5250</f>
        <v>185250</v>
      </c>
      <c r="AQ94" s="374">
        <v>185250</v>
      </c>
      <c r="AR94" s="374">
        <v>185250</v>
      </c>
      <c r="AS94" s="374">
        <f>14750+235250</f>
        <v>250000</v>
      </c>
      <c r="AT94" s="374"/>
      <c r="AU94" s="374"/>
      <c r="AV94" s="374"/>
      <c r="AW94" s="374"/>
      <c r="AX94" s="374"/>
      <c r="AY94" s="374"/>
      <c r="AZ94" s="375"/>
      <c r="BA94" s="402">
        <f t="shared" si="46"/>
        <v>1158164.1600000001</v>
      </c>
    </row>
    <row r="95" spans="1:53" s="29" customFormat="1" ht="20.100000000000001" customHeight="1">
      <c r="A95" s="30" t="str">
        <f>Vecinos!A95</f>
        <v>Familia Matta Palomino</v>
      </c>
      <c r="B95" s="31" t="str">
        <f>Vecinos!C95</f>
        <v>Calle Güigüe Nro. 88-90</v>
      </c>
      <c r="C95" s="36" t="str">
        <f>IF(SUMIFS(Vigilancia!$E:$E,Vigilancia!$F:$F,A95,Vigilancia!$J:$J,"Vigilancia")=BA95,"ü","û")</f>
        <v>ü</v>
      </c>
      <c r="D95" s="179"/>
      <c r="E95" s="180">
        <f>17000/100000</f>
        <v>0.17</v>
      </c>
      <c r="F95" s="181">
        <f>17000/100000</f>
        <v>0.17</v>
      </c>
      <c r="G95" s="182">
        <f>16000/100000</f>
        <v>0.16</v>
      </c>
      <c r="H95" s="182">
        <f>16000/100000</f>
        <v>0.16</v>
      </c>
      <c r="I95" s="181">
        <f>26000/100000</f>
        <v>0.26</v>
      </c>
      <c r="J95" s="181">
        <f>26000/100000</f>
        <v>0.26</v>
      </c>
      <c r="K95" s="181">
        <f>35000/100000</f>
        <v>0.35</v>
      </c>
      <c r="L95" s="181">
        <f>35000/100000</f>
        <v>0.35</v>
      </c>
      <c r="M95" s="181">
        <f>2000/100000+33000/100000</f>
        <v>0.35000000000000003</v>
      </c>
      <c r="N95" s="181">
        <f>35000/100000</f>
        <v>0.35</v>
      </c>
      <c r="O95" s="181">
        <f>50000/100000</f>
        <v>0.5</v>
      </c>
      <c r="P95" s="179">
        <f>50000/100000</f>
        <v>0.5</v>
      </c>
      <c r="Q95" s="183">
        <f>80000/100000</f>
        <v>0.8</v>
      </c>
      <c r="R95" s="184">
        <f>80000/100000</f>
        <v>0.8</v>
      </c>
      <c r="S95" s="184">
        <f>140000/100000</f>
        <v>1.4</v>
      </c>
      <c r="T95" s="184">
        <f>140000/100000</f>
        <v>1.4</v>
      </c>
      <c r="U95" s="184">
        <f>400000/100000</f>
        <v>4</v>
      </c>
      <c r="V95" s="184">
        <f>625000/100000</f>
        <v>6.25</v>
      </c>
      <c r="W95" s="184">
        <f>850000/100000+150000/100000</f>
        <v>10</v>
      </c>
      <c r="X95" s="184">
        <f>1200000/100000</f>
        <v>12</v>
      </c>
      <c r="Y95" s="184">
        <v>320</v>
      </c>
      <c r="Z95" s="184">
        <v>320</v>
      </c>
      <c r="AA95" s="184">
        <v>320</v>
      </c>
      <c r="AB95" s="179">
        <v>800</v>
      </c>
      <c r="AC95" s="376">
        <v>3000</v>
      </c>
      <c r="AD95" s="377">
        <v>3000</v>
      </c>
      <c r="AE95" s="377">
        <v>3000</v>
      </c>
      <c r="AF95" s="377">
        <v>5000</v>
      </c>
      <c r="AG95" s="377">
        <v>8000</v>
      </c>
      <c r="AH95" s="377">
        <v>8000</v>
      </c>
      <c r="AI95" s="377">
        <v>10000</v>
      </c>
      <c r="AJ95" s="377">
        <v>10000</v>
      </c>
      <c r="AK95" s="377">
        <v>21100</v>
      </c>
      <c r="AL95" s="377">
        <f>19800+36450+3550</f>
        <v>59800</v>
      </c>
      <c r="AM95" s="377">
        <v>97500</v>
      </c>
      <c r="AN95" s="378">
        <v>136250</v>
      </c>
      <c r="AO95" s="376">
        <v>136250</v>
      </c>
      <c r="AP95" s="377">
        <v>185250</v>
      </c>
      <c r="AQ95" s="377">
        <v>185250</v>
      </c>
      <c r="AR95" s="377">
        <v>185250</v>
      </c>
      <c r="AS95" s="377">
        <v>250000</v>
      </c>
      <c r="AT95" s="377"/>
      <c r="AU95" s="377"/>
      <c r="AV95" s="377"/>
      <c r="AW95" s="377"/>
      <c r="AX95" s="377"/>
      <c r="AY95" s="377"/>
      <c r="AZ95" s="378"/>
      <c r="BA95" s="403">
        <f t="shared" si="46"/>
        <v>1308450.23</v>
      </c>
    </row>
    <row r="96" spans="1:53" s="29" customFormat="1" ht="20.100000000000001" customHeight="1">
      <c r="A96" s="30" t="str">
        <f>Vecinos!A96</f>
        <v>Familia Castillo Rodríguez</v>
      </c>
      <c r="B96" s="31" t="str">
        <f>Vecinos!C96</f>
        <v>Calle Güigüe Nro. 88-91</v>
      </c>
      <c r="C96" s="36" t="str">
        <f>IF(SUMIFS(Vigilancia!$E:$E,Vigilancia!$F:$F,A96,Vigilancia!$J:$J,"Vigilancia")=BA96,"ü","û")</f>
        <v>ü</v>
      </c>
      <c r="D96" s="179"/>
      <c r="E96" s="180">
        <f>17000/100000</f>
        <v>0.17</v>
      </c>
      <c r="F96" s="181">
        <f>17000/100000</f>
        <v>0.17</v>
      </c>
      <c r="G96" s="225"/>
      <c r="H96" s="225"/>
      <c r="I96" s="181">
        <f>26000/100000</f>
        <v>0.26</v>
      </c>
      <c r="J96" s="181">
        <f>26000/100000</f>
        <v>0.26</v>
      </c>
      <c r="K96" s="226">
        <f>26000/100000</f>
        <v>0.26</v>
      </c>
      <c r="L96" s="181"/>
      <c r="M96" s="181"/>
      <c r="N96" s="181"/>
      <c r="O96" s="181"/>
      <c r="P96" s="179"/>
      <c r="Q96" s="183"/>
      <c r="R96" s="184"/>
      <c r="S96" s="184"/>
      <c r="T96" s="184"/>
      <c r="U96" s="184"/>
      <c r="V96" s="184"/>
      <c r="W96" s="184"/>
      <c r="X96" s="184"/>
      <c r="Y96" s="184"/>
      <c r="Z96" s="184"/>
      <c r="AA96" s="184"/>
      <c r="AB96" s="179"/>
      <c r="AC96" s="376"/>
      <c r="AD96" s="377"/>
      <c r="AE96" s="377"/>
      <c r="AF96" s="377"/>
      <c r="AG96" s="377"/>
      <c r="AH96" s="377"/>
      <c r="AI96" s="377"/>
      <c r="AJ96" s="377"/>
      <c r="AK96" s="377"/>
      <c r="AL96" s="377">
        <v>159299</v>
      </c>
      <c r="AM96" s="377">
        <v>81750</v>
      </c>
      <c r="AN96" s="378"/>
      <c r="AO96" s="376"/>
      <c r="AP96" s="377"/>
      <c r="AQ96" s="377"/>
      <c r="AR96" s="377"/>
      <c r="AS96" s="377"/>
      <c r="AT96" s="377"/>
      <c r="AU96" s="377"/>
      <c r="AV96" s="377"/>
      <c r="AW96" s="377"/>
      <c r="AX96" s="377"/>
      <c r="AY96" s="377"/>
      <c r="AZ96" s="378"/>
      <c r="BA96" s="403">
        <f t="shared" si="46"/>
        <v>241050.12</v>
      </c>
    </row>
    <row r="97" spans="1:53" s="29" customFormat="1" ht="20.100000000000001" customHeight="1">
      <c r="A97" s="30" t="str">
        <f>Vecinos!A97</f>
        <v>Familia Hernández Castillo</v>
      </c>
      <c r="B97" s="31" t="str">
        <f>Vecinos!C97</f>
        <v>Calle Güigüe Nro. 88-94</v>
      </c>
      <c r="C97" s="36" t="str">
        <f>IF(SUMIFS(Vigilancia!$E:$E,Vigilancia!$F:$F,A97,Vigilancia!$J:$J,"Vigilancia")=BA97,"ü","û")</f>
        <v>ü</v>
      </c>
      <c r="D97" s="179"/>
      <c r="E97" s="180"/>
      <c r="F97" s="181"/>
      <c r="G97" s="181"/>
      <c r="H97" s="181"/>
      <c r="I97" s="181"/>
      <c r="J97" s="181"/>
      <c r="K97" s="181"/>
      <c r="L97" s="181"/>
      <c r="M97" s="181"/>
      <c r="N97" s="181"/>
      <c r="O97" s="181"/>
      <c r="P97" s="179"/>
      <c r="Q97" s="183"/>
      <c r="R97" s="184"/>
      <c r="S97" s="184"/>
      <c r="T97" s="184"/>
      <c r="U97" s="184"/>
      <c r="V97" s="184"/>
      <c r="W97" s="184"/>
      <c r="X97" s="184"/>
      <c r="Y97" s="184"/>
      <c r="Z97" s="184"/>
      <c r="AA97" s="184"/>
      <c r="AB97" s="179"/>
      <c r="AC97" s="376"/>
      <c r="AD97" s="377"/>
      <c r="AE97" s="377"/>
      <c r="AF97" s="377"/>
      <c r="AG97" s="377"/>
      <c r="AH97" s="377"/>
      <c r="AI97" s="377"/>
      <c r="AJ97" s="377"/>
      <c r="AK97" s="377"/>
      <c r="AL97" s="377"/>
      <c r="AM97" s="377"/>
      <c r="AN97" s="378"/>
      <c r="AO97" s="376"/>
      <c r="AP97" s="377"/>
      <c r="AQ97" s="377"/>
      <c r="AR97" s="377"/>
      <c r="AS97" s="377"/>
      <c r="AT97" s="377"/>
      <c r="AU97" s="377"/>
      <c r="AV97" s="377"/>
      <c r="AW97" s="377"/>
      <c r="AX97" s="377"/>
      <c r="AY97" s="377"/>
      <c r="AZ97" s="378"/>
      <c r="BA97" s="403">
        <f t="shared" si="46"/>
        <v>0</v>
      </c>
    </row>
    <row r="98" spans="1:53" s="29" customFormat="1" ht="20.100000000000001" customHeight="1">
      <c r="A98" s="30" t="str">
        <f>Vecinos!A98</f>
        <v>Familia Castillo Mena</v>
      </c>
      <c r="B98" s="31" t="str">
        <f>Vecinos!C98</f>
        <v>Calle Güigüe Nro. 88-101</v>
      </c>
      <c r="C98" s="36" t="str">
        <f>IF(SUMIFS(Vigilancia!$E:$E,Vigilancia!$F:$F,A98,Vigilancia!$J:$J,"Vigilancia")=BA98,"ü","û")</f>
        <v>ü</v>
      </c>
      <c r="D98" s="179"/>
      <c r="E98" s="180">
        <f>17000/100000</f>
        <v>0.17</v>
      </c>
      <c r="F98" s="181">
        <f>17000/100000</f>
        <v>0.17</v>
      </c>
      <c r="G98" s="181">
        <f>17000/100000</f>
        <v>0.17</v>
      </c>
      <c r="H98" s="181">
        <f>17000/100000</f>
        <v>0.17</v>
      </c>
      <c r="I98" s="181">
        <f>26000/100000</f>
        <v>0.26</v>
      </c>
      <c r="J98" s="181">
        <f>26000/100000</f>
        <v>0.26</v>
      </c>
      <c r="K98" s="181">
        <f>35000/100000</f>
        <v>0.35</v>
      </c>
      <c r="L98" s="181">
        <f>35000/100000</f>
        <v>0.35</v>
      </c>
      <c r="M98" s="181">
        <f>35000/100000</f>
        <v>0.35</v>
      </c>
      <c r="N98" s="181">
        <f>35000/100000</f>
        <v>0.35</v>
      </c>
      <c r="O98" s="181">
        <f>50000/100000</f>
        <v>0.5</v>
      </c>
      <c r="P98" s="179">
        <f>50000/100000</f>
        <v>0.5</v>
      </c>
      <c r="Q98" s="183">
        <f>80000/100000</f>
        <v>0.8</v>
      </c>
      <c r="R98" s="184">
        <f>80000/100000</f>
        <v>0.8</v>
      </c>
      <c r="S98" s="184">
        <f>140000/100000</f>
        <v>1.4</v>
      </c>
      <c r="T98" s="184">
        <f>140000/100000</f>
        <v>1.4</v>
      </c>
      <c r="U98" s="184">
        <f>400000/100000</f>
        <v>4</v>
      </c>
      <c r="V98" s="184">
        <f>625000/100000</f>
        <v>6.25</v>
      </c>
      <c r="W98" s="191">
        <f>1075000/100000-625000/100000+550000/100000</f>
        <v>10</v>
      </c>
      <c r="X98" s="184">
        <v>12</v>
      </c>
      <c r="Y98" s="184">
        <v>320</v>
      </c>
      <c r="Z98" s="184">
        <v>320</v>
      </c>
      <c r="AA98" s="184">
        <v>320</v>
      </c>
      <c r="AB98" s="179">
        <v>800</v>
      </c>
      <c r="AC98" s="381">
        <f>800+2200</f>
        <v>3000</v>
      </c>
      <c r="AD98" s="377">
        <v>3000</v>
      </c>
      <c r="AE98" s="377">
        <v>3000</v>
      </c>
      <c r="AF98" s="377">
        <v>5000</v>
      </c>
      <c r="AG98" s="377">
        <v>8000</v>
      </c>
      <c r="AH98" s="377">
        <v>8000</v>
      </c>
      <c r="AI98" s="377">
        <v>10000</v>
      </c>
      <c r="AJ98" s="377">
        <v>10000</v>
      </c>
      <c r="AK98" s="377">
        <v>21100</v>
      </c>
      <c r="AL98" s="377">
        <v>51250</v>
      </c>
      <c r="AM98" s="377">
        <v>81750</v>
      </c>
      <c r="AN98" s="378">
        <v>105250</v>
      </c>
      <c r="AO98" s="381">
        <v>136250</v>
      </c>
      <c r="AP98" s="377">
        <v>136250</v>
      </c>
      <c r="AQ98" s="377">
        <v>185250</v>
      </c>
      <c r="AR98" s="377">
        <v>185250</v>
      </c>
      <c r="AS98" s="377">
        <v>250000</v>
      </c>
      <c r="AT98" s="377"/>
      <c r="AU98" s="377"/>
      <c r="AV98" s="377"/>
      <c r="AW98" s="377"/>
      <c r="AX98" s="377"/>
      <c r="AY98" s="377"/>
      <c r="AZ98" s="378"/>
      <c r="BA98" s="403">
        <f t="shared" si="46"/>
        <v>1204150.25</v>
      </c>
    </row>
    <row r="99" spans="1:53" s="29" customFormat="1" ht="20.100000000000001" customHeight="1">
      <c r="A99" s="30" t="str">
        <f>Vecinos!A99</f>
        <v>Familia Centeno Rizzo</v>
      </c>
      <c r="B99" s="31" t="str">
        <f>Vecinos!C99</f>
        <v>Calle Güigüe Nro. 88-102</v>
      </c>
      <c r="C99" s="36" t="str">
        <f>IF(SUMIFS(Vigilancia!$E:$E,Vigilancia!$F:$F,A99,Vigilancia!$J:$J,"Vigilancia")=BA99,"ü","û")</f>
        <v>ü</v>
      </c>
      <c r="D99" s="179"/>
      <c r="E99" s="180"/>
      <c r="F99" s="181"/>
      <c r="G99" s="181"/>
      <c r="H99" s="181"/>
      <c r="I99" s="181"/>
      <c r="J99" s="181"/>
      <c r="K99" s="181"/>
      <c r="L99" s="181"/>
      <c r="M99" s="181"/>
      <c r="N99" s="181"/>
      <c r="O99" s="181"/>
      <c r="P99" s="179"/>
      <c r="Q99" s="183"/>
      <c r="R99" s="184"/>
      <c r="S99" s="184"/>
      <c r="T99" s="184"/>
      <c r="U99" s="184"/>
      <c r="V99" s="184"/>
      <c r="W99" s="184"/>
      <c r="X99" s="184"/>
      <c r="Y99" s="184"/>
      <c r="Z99" s="184"/>
      <c r="AA99" s="184"/>
      <c r="AB99" s="179"/>
      <c r="AC99" s="376"/>
      <c r="AD99" s="377"/>
      <c r="AE99" s="377"/>
      <c r="AF99" s="377"/>
      <c r="AG99" s="377"/>
      <c r="AH99" s="377"/>
      <c r="AI99" s="377"/>
      <c r="AJ99" s="377"/>
      <c r="AK99" s="377"/>
      <c r="AL99" s="377"/>
      <c r="AM99" s="377"/>
      <c r="AN99" s="378"/>
      <c r="AO99" s="376"/>
      <c r="AP99" s="377"/>
      <c r="AQ99" s="377"/>
      <c r="AR99" s="377"/>
      <c r="AS99" s="377"/>
      <c r="AT99" s="377"/>
      <c r="AU99" s="377"/>
      <c r="AV99" s="377"/>
      <c r="AW99" s="377"/>
      <c r="AX99" s="377"/>
      <c r="AY99" s="377"/>
      <c r="AZ99" s="378"/>
      <c r="BA99" s="403">
        <f t="shared" si="46"/>
        <v>0</v>
      </c>
    </row>
    <row r="100" spans="1:53" s="29" customFormat="1" ht="20.100000000000001" customHeight="1">
      <c r="A100" s="33" t="str">
        <f>Vecinos!A100</f>
        <v>Familia Pérez Malpica</v>
      </c>
      <c r="B100" s="34" t="str">
        <f>Vecinos!C100</f>
        <v>Calle Güigüe Nro. 88-110</v>
      </c>
      <c r="C100" s="35" t="str">
        <f>IF(SUMIFS(Vigilancia!$E:$E,Vigilancia!$F:$F,A100,Vigilancia!$J:$J,"Vigilancia")=BA100,"ü","û")</f>
        <v>ü</v>
      </c>
      <c r="D100" s="186"/>
      <c r="E100" s="187">
        <f>2000/100000</f>
        <v>0.02</v>
      </c>
      <c r="F100" s="188"/>
      <c r="G100" s="188"/>
      <c r="H100" s="188"/>
      <c r="I100" s="188"/>
      <c r="J100" s="188"/>
      <c r="K100" s="188"/>
      <c r="L100" s="188"/>
      <c r="M100" s="188"/>
      <c r="N100" s="188"/>
      <c r="O100" s="188"/>
      <c r="P100" s="186"/>
      <c r="Q100" s="189"/>
      <c r="R100" s="190"/>
      <c r="S100" s="190"/>
      <c r="T100" s="190"/>
      <c r="U100" s="190"/>
      <c r="V100" s="190"/>
      <c r="W100" s="190"/>
      <c r="X100" s="190"/>
      <c r="Y100" s="190"/>
      <c r="Z100" s="190"/>
      <c r="AA100" s="190"/>
      <c r="AB100" s="186"/>
      <c r="AC100" s="373"/>
      <c r="AD100" s="374"/>
      <c r="AE100" s="374"/>
      <c r="AF100" s="374"/>
      <c r="AG100" s="374"/>
      <c r="AH100" s="374"/>
      <c r="AI100" s="374"/>
      <c r="AJ100" s="374"/>
      <c r="AK100" s="374"/>
      <c r="AL100" s="374"/>
      <c r="AM100" s="374"/>
      <c r="AN100" s="375"/>
      <c r="AO100" s="373"/>
      <c r="AP100" s="374"/>
      <c r="AQ100" s="374"/>
      <c r="AR100" s="374"/>
      <c r="AS100" s="374"/>
      <c r="AT100" s="374"/>
      <c r="AU100" s="374"/>
      <c r="AV100" s="374"/>
      <c r="AW100" s="374"/>
      <c r="AX100" s="374"/>
      <c r="AY100" s="374"/>
      <c r="AZ100" s="375"/>
      <c r="BA100" s="402">
        <f t="shared" si="46"/>
        <v>0.02</v>
      </c>
    </row>
    <row r="101" spans="1:53" s="29" customFormat="1" ht="20.100000000000001" customHeight="1">
      <c r="A101" s="30" t="str">
        <f>Vecinos!A101</f>
        <v>Familia Astor Zamora</v>
      </c>
      <c r="B101" s="31" t="str">
        <f>Vecinos!C101</f>
        <v>Calle Güigüe Nro. 88-111</v>
      </c>
      <c r="C101" s="36" t="str">
        <f>IF(SUMIFS(Vigilancia!$E:$E,Vigilancia!$F:$F,A101,Vigilancia!$J:$J,"Vigilancia")=BA101,"ü","û")</f>
        <v>ü</v>
      </c>
      <c r="D101" s="179"/>
      <c r="E101" s="180">
        <f t="shared" ref="E101:H105" si="55">17000/100000</f>
        <v>0.17</v>
      </c>
      <c r="F101" s="181">
        <f t="shared" si="55"/>
        <v>0.17</v>
      </c>
      <c r="G101" s="181">
        <f t="shared" si="55"/>
        <v>0.17</v>
      </c>
      <c r="H101" s="181">
        <f t="shared" si="55"/>
        <v>0.17</v>
      </c>
      <c r="I101" s="181">
        <f t="shared" ref="I101:J105" si="56">26000/100000</f>
        <v>0.26</v>
      </c>
      <c r="J101" s="181">
        <f t="shared" si="56"/>
        <v>0.26</v>
      </c>
      <c r="K101" s="181">
        <f>35000/100000</f>
        <v>0.35</v>
      </c>
      <c r="L101" s="181">
        <f>35000/100000</f>
        <v>0.35</v>
      </c>
      <c r="M101" s="181"/>
      <c r="N101" s="181"/>
      <c r="O101" s="181"/>
      <c r="P101" s="179"/>
      <c r="Q101" s="183">
        <f>80000/100000</f>
        <v>0.8</v>
      </c>
      <c r="R101" s="184">
        <f>80000/100000</f>
        <v>0.8</v>
      </c>
      <c r="S101" s="184">
        <f t="shared" ref="S101:T105" si="57">140000/100000</f>
        <v>1.4</v>
      </c>
      <c r="T101" s="184">
        <f t="shared" si="57"/>
        <v>1.4</v>
      </c>
      <c r="U101" s="184">
        <f>400000/100000</f>
        <v>4</v>
      </c>
      <c r="V101" s="192">
        <v>3.25</v>
      </c>
      <c r="W101" s="184">
        <v>10</v>
      </c>
      <c r="X101" s="184">
        <v>12</v>
      </c>
      <c r="Y101" s="184">
        <v>320</v>
      </c>
      <c r="Z101" s="184">
        <v>320</v>
      </c>
      <c r="AA101" s="184">
        <v>320</v>
      </c>
      <c r="AB101" s="179">
        <v>800</v>
      </c>
      <c r="AC101" s="376">
        <v>3000</v>
      </c>
      <c r="AD101" s="377">
        <v>3000</v>
      </c>
      <c r="AE101" s="377">
        <v>3000</v>
      </c>
      <c r="AF101" s="377">
        <v>5000</v>
      </c>
      <c r="AG101" s="377">
        <f>5000+3000</f>
        <v>8000</v>
      </c>
      <c r="AH101" s="377">
        <v>8000</v>
      </c>
      <c r="AI101" s="377">
        <v>10000</v>
      </c>
      <c r="AJ101" s="377">
        <v>10000</v>
      </c>
      <c r="AK101" s="377">
        <v>19800</v>
      </c>
      <c r="AL101" s="377">
        <v>56250</v>
      </c>
      <c r="AM101" s="377"/>
      <c r="AN101" s="378"/>
      <c r="AO101" s="376"/>
      <c r="AP101" s="377"/>
      <c r="AQ101" s="377"/>
      <c r="AR101" s="377"/>
      <c r="AS101" s="377"/>
      <c r="AT101" s="377"/>
      <c r="AU101" s="377"/>
      <c r="AV101" s="377"/>
      <c r="AW101" s="377"/>
      <c r="AX101" s="377"/>
      <c r="AY101" s="377"/>
      <c r="AZ101" s="378"/>
      <c r="BA101" s="403">
        <f t="shared" si="46"/>
        <v>127845.55</v>
      </c>
    </row>
    <row r="102" spans="1:53" s="29" customFormat="1" ht="20.100000000000001" customHeight="1">
      <c r="A102" s="30" t="str">
        <f>Vecinos!A102</f>
        <v>Familia Díaz González</v>
      </c>
      <c r="B102" s="31" t="str">
        <f>Vecinos!C102</f>
        <v>Calle Güigüe Nro. 88-116</v>
      </c>
      <c r="C102" s="36" t="str">
        <f>IF(SUMIFS(Vigilancia!$E:$E,Vigilancia!$F:$F,A102,Vigilancia!$J:$J,"Vigilancia")=BA102,"ü","û")</f>
        <v>ü</v>
      </c>
      <c r="D102" s="179"/>
      <c r="E102" s="180">
        <f t="shared" si="55"/>
        <v>0.17</v>
      </c>
      <c r="F102" s="181">
        <f t="shared" si="55"/>
        <v>0.17</v>
      </c>
      <c r="G102" s="181">
        <f t="shared" si="55"/>
        <v>0.17</v>
      </c>
      <c r="H102" s="181">
        <f t="shared" si="55"/>
        <v>0.17</v>
      </c>
      <c r="I102" s="181">
        <f t="shared" si="56"/>
        <v>0.26</v>
      </c>
      <c r="J102" s="181">
        <f t="shared" si="56"/>
        <v>0.26</v>
      </c>
      <c r="K102" s="181">
        <f>26000/100000+9000/100000</f>
        <v>0.35</v>
      </c>
      <c r="L102" s="181">
        <f t="shared" ref="L102:N105" si="58">35000/100000</f>
        <v>0.35</v>
      </c>
      <c r="M102" s="181">
        <f t="shared" si="58"/>
        <v>0.35</v>
      </c>
      <c r="N102" s="181">
        <f t="shared" si="58"/>
        <v>0.35</v>
      </c>
      <c r="O102" s="181">
        <f>50000/100000</f>
        <v>0.5</v>
      </c>
      <c r="P102" s="179">
        <f>50000/100000</f>
        <v>0.5</v>
      </c>
      <c r="Q102" s="183">
        <f>80000/100000</f>
        <v>0.8</v>
      </c>
      <c r="R102" s="184">
        <f>80000/100000</f>
        <v>0.8</v>
      </c>
      <c r="S102" s="184">
        <f t="shared" si="57"/>
        <v>1.4</v>
      </c>
      <c r="T102" s="184">
        <f t="shared" si="57"/>
        <v>1.4</v>
      </c>
      <c r="U102" s="184">
        <f>400000/100000</f>
        <v>4</v>
      </c>
      <c r="V102" s="184">
        <f>625000/100000</f>
        <v>6.25</v>
      </c>
      <c r="W102" s="184">
        <f>1000000/100000</f>
        <v>10</v>
      </c>
      <c r="X102" s="184">
        <f>1200000/100000</f>
        <v>12</v>
      </c>
      <c r="Y102" s="184">
        <v>320</v>
      </c>
      <c r="Z102" s="184">
        <v>320</v>
      </c>
      <c r="AA102" s="184">
        <v>320</v>
      </c>
      <c r="AB102" s="179">
        <v>800</v>
      </c>
      <c r="AC102" s="376">
        <v>3000</v>
      </c>
      <c r="AD102" s="377">
        <v>3000</v>
      </c>
      <c r="AE102" s="377">
        <v>3000</v>
      </c>
      <c r="AF102" s="377">
        <v>5000</v>
      </c>
      <c r="AG102" s="377">
        <v>8000</v>
      </c>
      <c r="AH102" s="377">
        <v>8000</v>
      </c>
      <c r="AI102" s="377">
        <v>10000</v>
      </c>
      <c r="AJ102" s="377">
        <v>10000</v>
      </c>
      <c r="AK102" s="377">
        <v>19800</v>
      </c>
      <c r="AL102" s="377">
        <v>47000</v>
      </c>
      <c r="AM102" s="377">
        <v>64500</v>
      </c>
      <c r="AN102" s="378">
        <v>64500</v>
      </c>
      <c r="AO102" s="376">
        <v>136250</v>
      </c>
      <c r="AP102" s="377">
        <v>136250</v>
      </c>
      <c r="AQ102" s="377">
        <v>185250</v>
      </c>
      <c r="AR102" s="377">
        <v>185250</v>
      </c>
      <c r="AS102" s="377">
        <v>250000</v>
      </c>
      <c r="AT102" s="377"/>
      <c r="AU102" s="377"/>
      <c r="AV102" s="377"/>
      <c r="AW102" s="377"/>
      <c r="AX102" s="377"/>
      <c r="AY102" s="377"/>
      <c r="AZ102" s="378"/>
      <c r="BA102" s="403">
        <f t="shared" si="46"/>
        <v>1140600.25</v>
      </c>
    </row>
    <row r="103" spans="1:53" s="29" customFormat="1" ht="20.100000000000001" customHeight="1">
      <c r="A103" s="30" t="str">
        <f>Vecinos!A103</f>
        <v>Familia Loponte Arteaga</v>
      </c>
      <c r="B103" s="31" t="str">
        <f>Vecinos!C103</f>
        <v>Calle Güigüe Nro. 88-120</v>
      </c>
      <c r="C103" s="36" t="str">
        <f>IF(SUMIFS(Vigilancia!$E:$E,Vigilancia!$F:$F,A103,Vigilancia!$J:$J,"Vigilancia")=BA103,"ü","û")</f>
        <v>ü</v>
      </c>
      <c r="D103" s="179"/>
      <c r="E103" s="195">
        <f>10500/100000</f>
        <v>0.105</v>
      </c>
      <c r="F103" s="181">
        <f t="shared" si="55"/>
        <v>0.17</v>
      </c>
      <c r="G103" s="181">
        <f t="shared" si="55"/>
        <v>0.17</v>
      </c>
      <c r="H103" s="181">
        <f t="shared" si="55"/>
        <v>0.17</v>
      </c>
      <c r="I103" s="181">
        <f t="shared" si="56"/>
        <v>0.26</v>
      </c>
      <c r="J103" s="181">
        <f t="shared" si="56"/>
        <v>0.26</v>
      </c>
      <c r="K103" s="226">
        <f>26000/100000</f>
        <v>0.26</v>
      </c>
      <c r="L103" s="181">
        <f t="shared" si="58"/>
        <v>0.35</v>
      </c>
      <c r="M103" s="181">
        <f t="shared" si="58"/>
        <v>0.35</v>
      </c>
      <c r="N103" s="181">
        <f t="shared" si="58"/>
        <v>0.35</v>
      </c>
      <c r="O103" s="181">
        <f>35000/100000+15000/100000</f>
        <v>0.5</v>
      </c>
      <c r="P103" s="179">
        <f>50000/100000</f>
        <v>0.5</v>
      </c>
      <c r="Q103" s="183">
        <f>50000/100000+30000/100000</f>
        <v>0.8</v>
      </c>
      <c r="R103" s="184">
        <f>80000/100000</f>
        <v>0.8</v>
      </c>
      <c r="S103" s="184">
        <f t="shared" si="57"/>
        <v>1.4</v>
      </c>
      <c r="T103" s="184">
        <f t="shared" si="57"/>
        <v>1.4</v>
      </c>
      <c r="U103" s="184">
        <f>400000/100000</f>
        <v>4</v>
      </c>
      <c r="V103" s="184">
        <f>400000/100000+225000/100000</f>
        <v>6.25</v>
      </c>
      <c r="W103" s="184">
        <f>400000/100000+600000/100000</f>
        <v>10</v>
      </c>
      <c r="X103" s="184">
        <f>1000000/100000+200000/100000</f>
        <v>12</v>
      </c>
      <c r="Y103" s="191">
        <f>1200000/100000+27+281</f>
        <v>320</v>
      </c>
      <c r="Z103" s="191">
        <v>320</v>
      </c>
      <c r="AA103" s="184">
        <v>320</v>
      </c>
      <c r="AB103" s="348">
        <f>320+180</f>
        <v>500</v>
      </c>
      <c r="AC103" s="381">
        <f>800+2200</f>
        <v>3000</v>
      </c>
      <c r="AD103" s="377">
        <f>300+2700</f>
        <v>3000</v>
      </c>
      <c r="AE103" s="377">
        <f>800+2200</f>
        <v>3000</v>
      </c>
      <c r="AF103" s="377">
        <f>3000+2000</f>
        <v>5000</v>
      </c>
      <c r="AG103" s="377">
        <f>3000+2000+3000</f>
        <v>8000</v>
      </c>
      <c r="AH103" s="377">
        <f>5000-3000+6000</f>
        <v>8000</v>
      </c>
      <c r="AI103" s="377">
        <v>10000</v>
      </c>
      <c r="AJ103" s="377">
        <v>10000</v>
      </c>
      <c r="AK103" s="544">
        <f>10000+10000</f>
        <v>20000</v>
      </c>
      <c r="AL103" s="377">
        <v>47000</v>
      </c>
      <c r="AM103" s="377">
        <v>56250</v>
      </c>
      <c r="AN103" s="378">
        <v>97500</v>
      </c>
      <c r="AO103" s="381">
        <v>136250</v>
      </c>
      <c r="AP103" s="377">
        <v>136250</v>
      </c>
      <c r="AQ103" s="377">
        <v>185250</v>
      </c>
      <c r="AR103" s="377">
        <v>186250</v>
      </c>
      <c r="AS103" s="377">
        <v>250000</v>
      </c>
      <c r="AT103" s="377">
        <f>250000</f>
        <v>250000</v>
      </c>
      <c r="AU103" s="377"/>
      <c r="AV103" s="377"/>
      <c r="AW103" s="377"/>
      <c r="AX103" s="377"/>
      <c r="AY103" s="377"/>
      <c r="AZ103" s="378"/>
      <c r="BA103" s="403">
        <f t="shared" si="46"/>
        <v>1416250.095</v>
      </c>
    </row>
    <row r="104" spans="1:53" s="29" customFormat="1" ht="20.100000000000001" customHeight="1">
      <c r="A104" s="33" t="str">
        <f>Vecinos!A104</f>
        <v>Zoraida Arteaga</v>
      </c>
      <c r="B104" s="34" t="str">
        <f>Vecinos!C104</f>
        <v>Calle Güigüe Nro. 88-120</v>
      </c>
      <c r="C104" s="35" t="str">
        <f>IF(SUMIFS(Vigilancia!$E:$E,Vigilancia!$F:$F,A104,Vigilancia!$J:$J,"Vigilancia")=BA104,"ü","û")</f>
        <v>ü</v>
      </c>
      <c r="D104" s="186"/>
      <c r="E104" s="187"/>
      <c r="F104" s="188"/>
      <c r="G104" s="188"/>
      <c r="H104" s="188"/>
      <c r="I104" s="188"/>
      <c r="J104" s="188"/>
      <c r="K104" s="188"/>
      <c r="L104" s="188"/>
      <c r="M104" s="188"/>
      <c r="N104" s="188"/>
      <c r="O104" s="188"/>
      <c r="P104" s="186"/>
      <c r="Q104" s="189"/>
      <c r="R104" s="190"/>
      <c r="S104" s="190"/>
      <c r="T104" s="190"/>
      <c r="U104" s="190"/>
      <c r="V104" s="190"/>
      <c r="W104" s="190"/>
      <c r="X104" s="190"/>
      <c r="Y104" s="190"/>
      <c r="Z104" s="190"/>
      <c r="AA104" s="190"/>
      <c r="AB104" s="186"/>
      <c r="AC104" s="373"/>
      <c r="AD104" s="374"/>
      <c r="AE104" s="374"/>
      <c r="AF104" s="374"/>
      <c r="AG104" s="374"/>
      <c r="AH104" s="374"/>
      <c r="AI104" s="374"/>
      <c r="AJ104" s="374"/>
      <c r="AK104" s="374"/>
      <c r="AL104" s="374"/>
      <c r="AM104" s="374"/>
      <c r="AN104" s="375"/>
      <c r="AO104" s="373"/>
      <c r="AP104" s="374"/>
      <c r="AQ104" s="374"/>
      <c r="AR104" s="374"/>
      <c r="AS104" s="374"/>
      <c r="AT104" s="374"/>
      <c r="AU104" s="374"/>
      <c r="AV104" s="374"/>
      <c r="AW104" s="374"/>
      <c r="AX104" s="374"/>
      <c r="AY104" s="374"/>
      <c r="AZ104" s="375"/>
      <c r="BA104" s="402">
        <f t="shared" ref="BA104" si="59">SUM(D104:AZ104)</f>
        <v>0</v>
      </c>
    </row>
    <row r="105" spans="1:53" s="29" customFormat="1" ht="20.100000000000001" customHeight="1">
      <c r="A105" s="59" t="str">
        <f>Vecinos!A105</f>
        <v>Familia Sayago Peñaranda</v>
      </c>
      <c r="B105" s="60" t="str">
        <f>Vecinos!C105</f>
        <v>Calle Güigüe Nro. 89-04</v>
      </c>
      <c r="C105" s="36" t="str">
        <f>IF(SUMIFS(Vigilancia!$E:$E,Vigilancia!$F:$F,A105,Vigilancia!$J:$J,"Vigilancia")=BA105,"ü","û")</f>
        <v>ü</v>
      </c>
      <c r="D105" s="179"/>
      <c r="E105" s="180">
        <f>17000/100000</f>
        <v>0.17</v>
      </c>
      <c r="F105" s="181">
        <f t="shared" si="55"/>
        <v>0.17</v>
      </c>
      <c r="G105" s="181">
        <f t="shared" si="55"/>
        <v>0.17</v>
      </c>
      <c r="H105" s="181">
        <f t="shared" si="55"/>
        <v>0.17</v>
      </c>
      <c r="I105" s="181">
        <f t="shared" si="56"/>
        <v>0.26</v>
      </c>
      <c r="J105" s="181">
        <f t="shared" si="56"/>
        <v>0.26</v>
      </c>
      <c r="K105" s="181">
        <f>35000/100000</f>
        <v>0.35</v>
      </c>
      <c r="L105" s="181">
        <f t="shared" si="58"/>
        <v>0.35</v>
      </c>
      <c r="M105" s="181">
        <f t="shared" si="58"/>
        <v>0.35</v>
      </c>
      <c r="N105" s="181">
        <f t="shared" si="58"/>
        <v>0.35</v>
      </c>
      <c r="O105" s="181">
        <f>35600/100000+14400/100000</f>
        <v>0.5</v>
      </c>
      <c r="P105" s="179">
        <f>34800/100000+15200/100000</f>
        <v>0.5</v>
      </c>
      <c r="Q105" s="183">
        <f>80000/100000</f>
        <v>0.8</v>
      </c>
      <c r="R105" s="184">
        <f>80000/100000</f>
        <v>0.8</v>
      </c>
      <c r="S105" s="184">
        <f t="shared" si="57"/>
        <v>1.4</v>
      </c>
      <c r="T105" s="184">
        <f t="shared" si="57"/>
        <v>1.4</v>
      </c>
      <c r="U105" s="224"/>
      <c r="V105" s="224"/>
      <c r="W105" s="224"/>
      <c r="X105" s="224"/>
      <c r="Y105" s="224"/>
      <c r="Z105" s="224"/>
      <c r="AA105" s="224"/>
      <c r="AB105" s="222"/>
      <c r="AC105" s="392"/>
      <c r="AD105" s="393"/>
      <c r="AE105" s="393"/>
      <c r="AF105" s="393"/>
      <c r="AG105" s="393"/>
      <c r="AH105" s="393"/>
      <c r="AI105" s="393"/>
      <c r="AJ105" s="393"/>
      <c r="AK105" s="393"/>
      <c r="AL105" s="393"/>
      <c r="AM105" s="393"/>
      <c r="AN105" s="394"/>
      <c r="AO105" s="392"/>
      <c r="AP105" s="393"/>
      <c r="AQ105" s="393"/>
      <c r="AR105" s="393"/>
      <c r="AS105" s="393"/>
      <c r="AT105" s="393"/>
      <c r="AU105" s="393"/>
      <c r="AV105" s="393"/>
      <c r="AW105" s="393"/>
      <c r="AX105" s="393"/>
      <c r="AY105" s="393"/>
      <c r="AZ105" s="394"/>
      <c r="BA105" s="407">
        <f t="shared" si="46"/>
        <v>8</v>
      </c>
    </row>
    <row r="106" spans="1:53" s="29" customFormat="1" ht="20.100000000000001" customHeight="1">
      <c r="A106" s="30" t="str">
        <f>Vecinos!A106</f>
        <v>Carmen Moreno</v>
      </c>
      <c r="B106" s="31" t="str">
        <f>Vecinos!C106</f>
        <v>Calle Güigüe Nro. 89-04</v>
      </c>
      <c r="C106" s="36" t="str">
        <f>IF(SUMIFS(Vigilancia!$E:$E,Vigilancia!$F:$F,A106,Vigilancia!$J:$J,"Vigilancia")=BA106,"ü","û")</f>
        <v>ü</v>
      </c>
      <c r="D106" s="207"/>
      <c r="E106" s="208"/>
      <c r="F106" s="209"/>
      <c r="G106" s="209"/>
      <c r="H106" s="209"/>
      <c r="I106" s="209"/>
      <c r="J106" s="209"/>
      <c r="K106" s="209"/>
      <c r="L106" s="209"/>
      <c r="M106" s="209"/>
      <c r="N106" s="209"/>
      <c r="O106" s="209"/>
      <c r="P106" s="207"/>
      <c r="Q106" s="210"/>
      <c r="R106" s="211"/>
      <c r="S106" s="211"/>
      <c r="T106" s="211"/>
      <c r="U106" s="184">
        <f>400000/100000</f>
        <v>4</v>
      </c>
      <c r="V106" s="184">
        <f>400000/100000+225000/100000</f>
        <v>6.25</v>
      </c>
      <c r="W106" s="184">
        <f>850000/100000+150000/100000</f>
        <v>10</v>
      </c>
      <c r="X106" s="184">
        <f>1200000/100000</f>
        <v>12</v>
      </c>
      <c r="Y106" s="184">
        <v>320</v>
      </c>
      <c r="Z106" s="191">
        <v>320</v>
      </c>
      <c r="AA106" s="184">
        <v>320</v>
      </c>
      <c r="AB106" s="179">
        <v>800</v>
      </c>
      <c r="AC106" s="381">
        <f>800+2200</f>
        <v>3000</v>
      </c>
      <c r="AD106" s="377">
        <v>3000</v>
      </c>
      <c r="AE106" s="377">
        <v>3000</v>
      </c>
      <c r="AF106" s="377">
        <f>3000+2000</f>
        <v>5000</v>
      </c>
      <c r="AG106" s="377">
        <v>8000</v>
      </c>
      <c r="AH106" s="377">
        <v>8000</v>
      </c>
      <c r="AI106" s="377">
        <v>10000</v>
      </c>
      <c r="AJ106" s="377">
        <v>10000</v>
      </c>
      <c r="AK106" s="377">
        <v>23400</v>
      </c>
      <c r="AL106" s="377">
        <f>21100+25900</f>
        <v>47000</v>
      </c>
      <c r="AM106" s="377">
        <v>73500</v>
      </c>
      <c r="AN106" s="378">
        <v>97500</v>
      </c>
      <c r="AO106" s="381">
        <v>136250</v>
      </c>
      <c r="AP106" s="377">
        <v>136250</v>
      </c>
      <c r="AQ106" s="377">
        <v>185250</v>
      </c>
      <c r="AR106" s="377">
        <v>185250</v>
      </c>
      <c r="AS106" s="377">
        <v>250000</v>
      </c>
      <c r="AT106" s="377"/>
      <c r="AU106" s="377"/>
      <c r="AV106" s="377"/>
      <c r="AW106" s="377"/>
      <c r="AX106" s="377"/>
      <c r="AY106" s="377"/>
      <c r="AZ106" s="378"/>
      <c r="BA106" s="403">
        <f t="shared" si="46"/>
        <v>1186192.25</v>
      </c>
    </row>
    <row r="107" spans="1:53" s="29" customFormat="1" ht="20.100000000000001" customHeight="1">
      <c r="A107" s="30" t="str">
        <f>Vecinos!A107</f>
        <v>Familia Acosta Carpio</v>
      </c>
      <c r="B107" s="31" t="str">
        <f>Vecinos!C107</f>
        <v>Calle Güigüe Nro. 89-10</v>
      </c>
      <c r="C107" s="36" t="str">
        <f>IF(SUMIFS(Vigilancia!$E:$E,Vigilancia!$F:$F,A107,Vigilancia!$J:$J,"Vigilancia")=BA107,"ü","û")</f>
        <v>ü</v>
      </c>
      <c r="D107" s="179"/>
      <c r="E107" s="180">
        <f>17000/100000</f>
        <v>0.17</v>
      </c>
      <c r="F107" s="181">
        <f>17000/100000</f>
        <v>0.17</v>
      </c>
      <c r="G107" s="181">
        <f>17000/100000</f>
        <v>0.17</v>
      </c>
      <c r="H107" s="181">
        <f>17000/100000</f>
        <v>0.17</v>
      </c>
      <c r="I107" s="181">
        <f>26000/100000</f>
        <v>0.26</v>
      </c>
      <c r="J107" s="181">
        <f>13000/100000+13000/100000</f>
        <v>0.26</v>
      </c>
      <c r="K107" s="181">
        <f>35000/100000</f>
        <v>0.35</v>
      </c>
      <c r="L107" s="181">
        <f>35000/100000</f>
        <v>0.35</v>
      </c>
      <c r="M107" s="181">
        <f>35000/100000</f>
        <v>0.35</v>
      </c>
      <c r="N107" s="181">
        <f>35000/100000</f>
        <v>0.35</v>
      </c>
      <c r="O107" s="181">
        <f>50000/100000</f>
        <v>0.5</v>
      </c>
      <c r="P107" s="179">
        <f>50000/100000</f>
        <v>0.5</v>
      </c>
      <c r="Q107" s="183">
        <f>80000/100000</f>
        <v>0.8</v>
      </c>
      <c r="R107" s="184">
        <f>80000/100000</f>
        <v>0.8</v>
      </c>
      <c r="S107" s="184">
        <f>140000/100000</f>
        <v>1.4</v>
      </c>
      <c r="T107" s="184">
        <f>140000/100000</f>
        <v>1.4</v>
      </c>
      <c r="U107" s="184">
        <f>400000/100000</f>
        <v>4</v>
      </c>
      <c r="V107" s="184">
        <f>625000/100000</f>
        <v>6.25</v>
      </c>
      <c r="W107" s="191">
        <f>375000/100000+625000/100000</f>
        <v>10</v>
      </c>
      <c r="X107" s="184">
        <f>1200000/100000</f>
        <v>12</v>
      </c>
      <c r="Y107" s="184">
        <v>320</v>
      </c>
      <c r="Z107" s="184">
        <v>320</v>
      </c>
      <c r="AA107" s="354"/>
      <c r="AB107" s="179">
        <v>800</v>
      </c>
      <c r="AC107" s="376">
        <v>3000</v>
      </c>
      <c r="AD107" s="377">
        <v>3000</v>
      </c>
      <c r="AE107" s="377">
        <v>3000</v>
      </c>
      <c r="AF107" s="377">
        <v>5000</v>
      </c>
      <c r="AG107" s="377">
        <v>8000</v>
      </c>
      <c r="AH107" s="377">
        <v>8000</v>
      </c>
      <c r="AI107" s="377">
        <v>10000</v>
      </c>
      <c r="AJ107" s="377">
        <v>10000</v>
      </c>
      <c r="AK107" s="377">
        <v>19800</v>
      </c>
      <c r="AL107" s="377">
        <v>52000</v>
      </c>
      <c r="AM107" s="377">
        <v>64500</v>
      </c>
      <c r="AN107" s="378">
        <v>105250</v>
      </c>
      <c r="AO107" s="376"/>
      <c r="AP107" s="377"/>
      <c r="AQ107" s="377"/>
      <c r="AR107" s="377"/>
      <c r="AS107" s="377"/>
      <c r="AT107" s="377"/>
      <c r="AU107" s="377"/>
      <c r="AV107" s="377"/>
      <c r="AW107" s="377"/>
      <c r="AX107" s="377"/>
      <c r="AY107" s="377"/>
      <c r="AZ107" s="378"/>
      <c r="BA107" s="403">
        <f t="shared" si="46"/>
        <v>293030.25</v>
      </c>
    </row>
    <row r="108" spans="1:53" s="29" customFormat="1" ht="20.100000000000001" customHeight="1">
      <c r="A108" s="30" t="str">
        <f>Vecinos!A108</f>
        <v>Familia Acosta Saravia</v>
      </c>
      <c r="B108" s="31" t="str">
        <f>Vecinos!C108</f>
        <v>Calle Güigüe Nro. 89-10</v>
      </c>
      <c r="C108" s="36" t="str">
        <f>IF(SUMIFS(Vigilancia!$E:$E,Vigilancia!$F:$F,A108,Vigilancia!$J:$J,"Vigilancia")=BA108,"ü","û")</f>
        <v>ü</v>
      </c>
      <c r="D108" s="179"/>
      <c r="E108" s="180"/>
      <c r="F108" s="181"/>
      <c r="G108" s="181"/>
      <c r="H108" s="181"/>
      <c r="I108" s="181"/>
      <c r="J108" s="181"/>
      <c r="K108" s="181"/>
      <c r="L108" s="181"/>
      <c r="M108" s="181"/>
      <c r="N108" s="181"/>
      <c r="O108" s="181"/>
      <c r="P108" s="179"/>
      <c r="Q108" s="183"/>
      <c r="R108" s="184"/>
      <c r="S108" s="184"/>
      <c r="T108" s="184"/>
      <c r="U108" s="184"/>
      <c r="V108" s="184"/>
      <c r="W108" s="191"/>
      <c r="X108" s="184"/>
      <c r="Y108" s="184"/>
      <c r="Z108" s="184"/>
      <c r="AA108" s="354"/>
      <c r="AB108" s="179"/>
      <c r="AC108" s="376"/>
      <c r="AD108" s="377"/>
      <c r="AE108" s="377"/>
      <c r="AF108" s="377"/>
      <c r="AG108" s="377"/>
      <c r="AH108" s="377"/>
      <c r="AI108" s="377"/>
      <c r="AJ108" s="377"/>
      <c r="AK108" s="377"/>
      <c r="AL108" s="377"/>
      <c r="AM108" s="377"/>
      <c r="AN108" s="378"/>
      <c r="AO108" s="376"/>
      <c r="AP108" s="377">
        <v>186000</v>
      </c>
      <c r="AQ108" s="377">
        <v>186000</v>
      </c>
      <c r="AR108" s="377">
        <v>200000</v>
      </c>
      <c r="AS108" s="377">
        <v>250000</v>
      </c>
      <c r="AT108" s="377"/>
      <c r="AU108" s="377"/>
      <c r="AV108" s="377"/>
      <c r="AW108" s="377"/>
      <c r="AX108" s="377"/>
      <c r="AY108" s="377"/>
      <c r="AZ108" s="378"/>
      <c r="BA108" s="403">
        <f t="shared" ref="BA108" si="60">SUM(D108:AZ108)</f>
        <v>822000</v>
      </c>
    </row>
    <row r="109" spans="1:53" s="29" customFormat="1" ht="20.100000000000001" customHeight="1">
      <c r="A109" s="33" t="str">
        <f>Vecinos!A109</f>
        <v>Silvia Power</v>
      </c>
      <c r="B109" s="34" t="str">
        <f>Vecinos!C109</f>
        <v>Calle Güigüe Nro. 89-16</v>
      </c>
      <c r="C109" s="35" t="str">
        <f>IF(SUMIFS(Vigilancia!$E:$E,Vigilancia!$F:$F,A109,Vigilancia!$J:$J,"Vigilancia")=BA109,"ü","û")</f>
        <v>ü</v>
      </c>
      <c r="D109" s="186"/>
      <c r="E109" s="187">
        <f>1500/100000</f>
        <v>1.4999999999999999E-2</v>
      </c>
      <c r="F109" s="188">
        <f>1500/100000</f>
        <v>1.4999999999999999E-2</v>
      </c>
      <c r="G109" s="227" t="s">
        <v>17</v>
      </c>
      <c r="H109" s="227" t="s">
        <v>17</v>
      </c>
      <c r="I109" s="227" t="s">
        <v>17</v>
      </c>
      <c r="J109" s="227" t="s">
        <v>17</v>
      </c>
      <c r="K109" s="227" t="s">
        <v>17</v>
      </c>
      <c r="L109" s="227" t="s">
        <v>17</v>
      </c>
      <c r="M109" s="227" t="s">
        <v>17</v>
      </c>
      <c r="N109" s="227" t="s">
        <v>17</v>
      </c>
      <c r="O109" s="227" t="s">
        <v>17</v>
      </c>
      <c r="P109" s="228" t="s">
        <v>17</v>
      </c>
      <c r="Q109" s="229" t="s">
        <v>17</v>
      </c>
      <c r="R109" s="190">
        <f>80000/100000</f>
        <v>0.8</v>
      </c>
      <c r="S109" s="190">
        <f>140000/100000</f>
        <v>1.4</v>
      </c>
      <c r="T109" s="190">
        <f>140000/100000</f>
        <v>1.4</v>
      </c>
      <c r="U109" s="190">
        <f>400000/100000-200000/100000</f>
        <v>2</v>
      </c>
      <c r="V109" s="190">
        <f>625000/100000-200000/100000</f>
        <v>4.25</v>
      </c>
      <c r="W109" s="190">
        <f>1000000/100000</f>
        <v>10</v>
      </c>
      <c r="X109" s="190"/>
      <c r="Y109" s="190"/>
      <c r="Z109" s="190"/>
      <c r="AA109" s="190"/>
      <c r="AB109" s="186"/>
      <c r="AC109" s="373"/>
      <c r="AD109" s="374"/>
      <c r="AE109" s="374"/>
      <c r="AF109" s="374">
        <v>5000</v>
      </c>
      <c r="AG109" s="374">
        <v>5000</v>
      </c>
      <c r="AH109" s="374">
        <v>5000</v>
      </c>
      <c r="AI109" s="374">
        <f>3500+1500</f>
        <v>5000</v>
      </c>
      <c r="AJ109" s="374">
        <v>5000</v>
      </c>
      <c r="AK109" s="374">
        <f>3500</f>
        <v>3500</v>
      </c>
      <c r="AL109" s="374">
        <v>16000</v>
      </c>
      <c r="AM109" s="374">
        <v>17000</v>
      </c>
      <c r="AN109" s="375">
        <v>17000</v>
      </c>
      <c r="AO109" s="373">
        <f>182800/2</f>
        <v>91400</v>
      </c>
      <c r="AP109" s="374">
        <f>182800/2</f>
        <v>91400</v>
      </c>
      <c r="AQ109" s="374"/>
      <c r="AR109" s="374"/>
      <c r="AS109" s="374"/>
      <c r="AT109" s="374"/>
      <c r="AU109" s="374"/>
      <c r="AV109" s="374"/>
      <c r="AW109" s="374"/>
      <c r="AX109" s="374"/>
      <c r="AY109" s="374"/>
      <c r="AZ109" s="375"/>
      <c r="BA109" s="402">
        <f t="shared" si="46"/>
        <v>261319.88</v>
      </c>
    </row>
    <row r="110" spans="1:53" s="29" customFormat="1" ht="20.100000000000001" customHeight="1">
      <c r="A110" s="33" t="str">
        <f>Vecinos!A110</f>
        <v>Mibzar Cárdenas</v>
      </c>
      <c r="B110" s="34" t="str">
        <f>Vecinos!C110</f>
        <v>Calle Güigüe Nro. 89-16</v>
      </c>
      <c r="C110" s="35" t="str">
        <f>IF(SUMIFS(Vigilancia!$E:$E,Vigilancia!$F:$F,A110,Vigilancia!$J:$J,"Vigilancia")=BA110,"ü","û")</f>
        <v>ü</v>
      </c>
      <c r="D110" s="186"/>
      <c r="E110" s="187"/>
      <c r="F110" s="188"/>
      <c r="G110" s="227"/>
      <c r="H110" s="227"/>
      <c r="I110" s="227"/>
      <c r="J110" s="227"/>
      <c r="K110" s="227"/>
      <c r="L110" s="227"/>
      <c r="M110" s="227"/>
      <c r="N110" s="227"/>
      <c r="O110" s="227"/>
      <c r="P110" s="228"/>
      <c r="Q110" s="229"/>
      <c r="R110" s="190"/>
      <c r="S110" s="190"/>
      <c r="T110" s="190"/>
      <c r="U110" s="190"/>
      <c r="V110" s="190"/>
      <c r="W110" s="190"/>
      <c r="X110" s="190"/>
      <c r="Y110" s="190"/>
      <c r="Z110" s="190"/>
      <c r="AA110" s="190"/>
      <c r="AB110" s="186"/>
      <c r="AC110" s="373"/>
      <c r="AD110" s="374"/>
      <c r="AE110" s="374"/>
      <c r="AF110" s="374"/>
      <c r="AG110" s="374"/>
      <c r="AH110" s="374"/>
      <c r="AI110" s="374"/>
      <c r="AJ110" s="374"/>
      <c r="AK110" s="374"/>
      <c r="AL110" s="374"/>
      <c r="AM110" s="374"/>
      <c r="AN110" s="375"/>
      <c r="AO110" s="373"/>
      <c r="AP110" s="374"/>
      <c r="AQ110" s="374"/>
      <c r="AR110" s="374"/>
      <c r="AS110" s="374"/>
      <c r="AT110" s="374"/>
      <c r="AU110" s="374"/>
      <c r="AV110" s="374"/>
      <c r="AW110" s="374"/>
      <c r="AX110" s="374"/>
      <c r="AY110" s="374"/>
      <c r="AZ110" s="375"/>
      <c r="BA110" s="402">
        <f t="shared" si="46"/>
        <v>0</v>
      </c>
    </row>
    <row r="111" spans="1:53" s="29" customFormat="1" ht="20.100000000000001" customHeight="1">
      <c r="A111" s="30" t="str">
        <f>Vecinos!A111</f>
        <v>Familia Piñero Padilla</v>
      </c>
      <c r="B111" s="31" t="str">
        <f>Vecinos!C111</f>
        <v>Calle Güigüe Nro. 89-21</v>
      </c>
      <c r="C111" s="36" t="str">
        <f>IF(SUMIFS(Vigilancia!$E:$E,Vigilancia!$F:$F,A111,Vigilancia!$J:$J,"Vigilancia")=BA111,"ü","û")</f>
        <v>ü</v>
      </c>
      <c r="D111" s="179"/>
      <c r="E111" s="180">
        <f>17000/100000</f>
        <v>0.17</v>
      </c>
      <c r="F111" s="181">
        <f>17000/100000</f>
        <v>0.17</v>
      </c>
      <c r="G111" s="181">
        <f>17000/100000</f>
        <v>0.17</v>
      </c>
      <c r="H111" s="181">
        <f>17000/100000</f>
        <v>0.17</v>
      </c>
      <c r="I111" s="181">
        <f>26000/100000</f>
        <v>0.26</v>
      </c>
      <c r="J111" s="181">
        <f>26000/100000</f>
        <v>0.26</v>
      </c>
      <c r="K111" s="181">
        <f t="shared" ref="K111:N112" si="61">35000/100000</f>
        <v>0.35</v>
      </c>
      <c r="L111" s="181">
        <f t="shared" si="61"/>
        <v>0.35</v>
      </c>
      <c r="M111" s="181">
        <f t="shared" si="61"/>
        <v>0.35</v>
      </c>
      <c r="N111" s="181">
        <f t="shared" si="61"/>
        <v>0.35</v>
      </c>
      <c r="O111" s="181">
        <f>50000/100000</f>
        <v>0.5</v>
      </c>
      <c r="P111" s="179">
        <f>50000/100000</f>
        <v>0.5</v>
      </c>
      <c r="Q111" s="183">
        <f>50000/100000+12450/100000+17550/100000</f>
        <v>0.8</v>
      </c>
      <c r="R111" s="184">
        <f>80000/100000</f>
        <v>0.8</v>
      </c>
      <c r="S111" s="184">
        <f>100000/100000-80000/100000-17550/100000+97550/100000+40000/100000</f>
        <v>1.4</v>
      </c>
      <c r="T111" s="184">
        <f>140000/100000</f>
        <v>1.4</v>
      </c>
      <c r="U111" s="184">
        <f>400000/100000</f>
        <v>4</v>
      </c>
      <c r="V111" s="184">
        <f>625000/100000</f>
        <v>6.25</v>
      </c>
      <c r="W111" s="184">
        <f>1000000/100000</f>
        <v>10</v>
      </c>
      <c r="X111" s="184">
        <v>12</v>
      </c>
      <c r="Y111" s="184">
        <v>320</v>
      </c>
      <c r="Z111" s="184">
        <v>320</v>
      </c>
      <c r="AA111" s="184">
        <v>320</v>
      </c>
      <c r="AB111" s="179">
        <v>800</v>
      </c>
      <c r="AC111" s="381">
        <f>800+2200</f>
        <v>3000</v>
      </c>
      <c r="AD111" s="377">
        <v>3000</v>
      </c>
      <c r="AE111" s="377">
        <v>3000</v>
      </c>
      <c r="AF111" s="377">
        <v>5000</v>
      </c>
      <c r="AG111" s="377">
        <v>8000</v>
      </c>
      <c r="AH111" s="377">
        <v>8000</v>
      </c>
      <c r="AI111" s="377">
        <v>10000</v>
      </c>
      <c r="AJ111" s="377">
        <v>10000</v>
      </c>
      <c r="AK111" s="382">
        <v>20500</v>
      </c>
      <c r="AL111" s="377">
        <v>73500</v>
      </c>
      <c r="AM111" s="377">
        <v>73500</v>
      </c>
      <c r="AN111" s="378">
        <f>105250+31000</f>
        <v>136250</v>
      </c>
      <c r="AO111" s="381">
        <v>185250</v>
      </c>
      <c r="AP111" s="377">
        <v>185250</v>
      </c>
      <c r="AQ111" s="377">
        <v>185250</v>
      </c>
      <c r="AR111" s="377">
        <v>187000</v>
      </c>
      <c r="AS111" s="377">
        <v>250000</v>
      </c>
      <c r="AT111" s="377"/>
      <c r="AU111" s="377"/>
      <c r="AV111" s="377"/>
      <c r="AW111" s="377"/>
      <c r="AX111" s="377"/>
      <c r="AY111" s="377"/>
      <c r="AZ111" s="378"/>
      <c r="BA111" s="403">
        <f t="shared" si="46"/>
        <v>1348300.25</v>
      </c>
    </row>
    <row r="112" spans="1:53" s="29" customFormat="1" ht="20.100000000000001" customHeight="1">
      <c r="A112" s="59" t="str">
        <f>Vecinos!A112</f>
        <v>Familia Navarrete Medina</v>
      </c>
      <c r="B112" s="60" t="str">
        <f>Vecinos!C112</f>
        <v>Calle Güigüe Nro. 89-22</v>
      </c>
      <c r="C112" s="36" t="str">
        <f>IF(SUMIFS(Vigilancia!$E:$E,Vigilancia!$F:$F,A112,Vigilancia!$J:$J,"Vigilancia")=BA112,"ü","û")</f>
        <v>ü</v>
      </c>
      <c r="D112" s="179"/>
      <c r="E112" s="180"/>
      <c r="F112" s="181"/>
      <c r="G112" s="181"/>
      <c r="H112" s="181"/>
      <c r="I112" s="181"/>
      <c r="J112" s="181"/>
      <c r="K112" s="181">
        <f t="shared" si="61"/>
        <v>0.35</v>
      </c>
      <c r="L112" s="181">
        <f t="shared" si="61"/>
        <v>0.35</v>
      </c>
      <c r="M112" s="181">
        <f t="shared" si="61"/>
        <v>0.35</v>
      </c>
      <c r="N112" s="181">
        <f t="shared" si="61"/>
        <v>0.35</v>
      </c>
      <c r="O112" s="181">
        <f>50000/100000</f>
        <v>0.5</v>
      </c>
      <c r="P112" s="179">
        <f>50000/100000</f>
        <v>0.5</v>
      </c>
      <c r="Q112" s="183">
        <f>80000/100000</f>
        <v>0.8</v>
      </c>
      <c r="R112" s="184">
        <f>80000/100000</f>
        <v>0.8</v>
      </c>
      <c r="S112" s="184">
        <f>140000/100000</f>
        <v>1.4</v>
      </c>
      <c r="T112" s="184">
        <f>140000/100000</f>
        <v>1.4</v>
      </c>
      <c r="U112" s="184">
        <f>400000/100000</f>
        <v>4</v>
      </c>
      <c r="V112" s="184">
        <f>625000/100000</f>
        <v>6.25</v>
      </c>
      <c r="W112" s="184">
        <f>800000/100000-625000/100000+825000/100000</f>
        <v>10</v>
      </c>
      <c r="X112" s="191">
        <f>50000/100000+11.5</f>
        <v>12</v>
      </c>
      <c r="Y112" s="184">
        <v>320</v>
      </c>
      <c r="Z112" s="184">
        <v>320</v>
      </c>
      <c r="AA112" s="184">
        <v>320</v>
      </c>
      <c r="AB112" s="179">
        <v>800</v>
      </c>
      <c r="AC112" s="376">
        <v>3000</v>
      </c>
      <c r="AD112" s="377">
        <v>3000</v>
      </c>
      <c r="AE112" s="377">
        <v>3000</v>
      </c>
      <c r="AF112" s="377">
        <v>5000</v>
      </c>
      <c r="AG112" s="377">
        <v>8000</v>
      </c>
      <c r="AH112" s="511" t="s">
        <v>1229</v>
      </c>
      <c r="AI112" s="380"/>
      <c r="AJ112" s="380"/>
      <c r="AK112" s="380"/>
      <c r="AL112" s="380"/>
      <c r="AM112" s="380"/>
      <c r="AN112" s="391"/>
      <c r="AO112" s="390"/>
      <c r="AP112" s="380"/>
      <c r="AQ112" s="380"/>
      <c r="AR112" s="380"/>
      <c r="AS112" s="380"/>
      <c r="AT112" s="511"/>
      <c r="AU112" s="380"/>
      <c r="AV112" s="380"/>
      <c r="AW112" s="380"/>
      <c r="AX112" s="380"/>
      <c r="AY112" s="380"/>
      <c r="AZ112" s="391"/>
      <c r="BA112" s="406">
        <f t="shared" si="46"/>
        <v>23799.05</v>
      </c>
    </row>
    <row r="113" spans="1:53" s="29" customFormat="1" ht="20.100000000000001" customHeight="1">
      <c r="A113" s="30" t="str">
        <f>Vecinos!A113</f>
        <v>Familia Rodríguez Girón</v>
      </c>
      <c r="B113" s="31" t="str">
        <f>Vecinos!C113</f>
        <v>Calle Güigüe Nro. 89-22</v>
      </c>
      <c r="C113" s="36" t="str">
        <f>IF(SUMIFS(Vigilancia!$E:$E,Vigilancia!$F:$F,A113,Vigilancia!$J:$J,"Vigilancia")=BA113,"ü","û")</f>
        <v>ü</v>
      </c>
      <c r="D113" s="497"/>
      <c r="E113" s="498"/>
      <c r="F113" s="499"/>
      <c r="G113" s="499"/>
      <c r="H113" s="499"/>
      <c r="I113" s="499"/>
      <c r="J113" s="499"/>
      <c r="K113" s="499"/>
      <c r="L113" s="499"/>
      <c r="M113" s="499"/>
      <c r="N113" s="499"/>
      <c r="O113" s="499"/>
      <c r="P113" s="497"/>
      <c r="Q113" s="500"/>
      <c r="R113" s="501"/>
      <c r="S113" s="501"/>
      <c r="T113" s="501"/>
      <c r="U113" s="501"/>
      <c r="V113" s="501"/>
      <c r="W113" s="501"/>
      <c r="X113" s="501"/>
      <c r="Y113" s="501"/>
      <c r="Z113" s="501"/>
      <c r="AA113" s="501"/>
      <c r="AB113" s="497"/>
      <c r="AC113" s="502"/>
      <c r="AD113" s="503"/>
      <c r="AE113" s="503"/>
      <c r="AF113" s="503"/>
      <c r="AG113" s="503"/>
      <c r="AH113" s="377">
        <v>8000</v>
      </c>
      <c r="AI113" s="377">
        <v>10000</v>
      </c>
      <c r="AJ113" s="377">
        <v>10000</v>
      </c>
      <c r="AK113" s="483">
        <v>21100</v>
      </c>
      <c r="AL113" s="377">
        <f>19800+28800</f>
        <v>48600</v>
      </c>
      <c r="AM113" s="483">
        <v>60000</v>
      </c>
      <c r="AN113" s="378">
        <v>81750</v>
      </c>
      <c r="AO113" s="381">
        <v>136250</v>
      </c>
      <c r="AP113" s="377">
        <v>136250</v>
      </c>
      <c r="AQ113" s="377">
        <v>185250</v>
      </c>
      <c r="AR113" s="377">
        <v>186250</v>
      </c>
      <c r="AS113" s="377">
        <v>250000</v>
      </c>
      <c r="AT113" s="377"/>
      <c r="AU113" s="377"/>
      <c r="AV113" s="377"/>
      <c r="AW113" s="377"/>
      <c r="AX113" s="377"/>
      <c r="AY113" s="377"/>
      <c r="AZ113" s="378"/>
      <c r="BA113" s="403">
        <f t="shared" si="46"/>
        <v>1133450</v>
      </c>
    </row>
    <row r="114" spans="1:53" s="29" customFormat="1" ht="20.100000000000001" customHeight="1">
      <c r="A114" s="33" t="str">
        <f>Vecinos!A114</f>
        <v>Familia Rodríguez Landaeta</v>
      </c>
      <c r="B114" s="34" t="str">
        <f>Vecinos!C114</f>
        <v>Calle Güigüe Nro. 89-29</v>
      </c>
      <c r="C114" s="35" t="str">
        <f>IF(SUMIFS(Vigilancia!$E:$E,Vigilancia!$F:$F,A114,Vigilancia!$J:$J,"Vigilancia")=BA114,"ü","û")</f>
        <v>ü</v>
      </c>
      <c r="D114" s="186"/>
      <c r="E114" s="187"/>
      <c r="F114" s="188"/>
      <c r="G114" s="188"/>
      <c r="H114" s="188">
        <f>10000/100000</f>
        <v>0.1</v>
      </c>
      <c r="I114" s="188">
        <f>10000/100000</f>
        <v>0.1</v>
      </c>
      <c r="J114" s="188">
        <f>13000/100000</f>
        <v>0.13</v>
      </c>
      <c r="K114" s="188">
        <f>15000/100000</f>
        <v>0.15</v>
      </c>
      <c r="L114" s="188">
        <f>15000/100000</f>
        <v>0.15</v>
      </c>
      <c r="M114" s="188">
        <f>17000/100000</f>
        <v>0.17</v>
      </c>
      <c r="N114" s="188">
        <f>15000/100000</f>
        <v>0.15</v>
      </c>
      <c r="O114" s="188">
        <f>15000/100000</f>
        <v>0.15</v>
      </c>
      <c r="P114" s="186">
        <f>17000/100000</f>
        <v>0.17</v>
      </c>
      <c r="Q114" s="189">
        <f>40000/100000</f>
        <v>0.4</v>
      </c>
      <c r="R114" s="190">
        <f>40000/100000</f>
        <v>0.4</v>
      </c>
      <c r="S114" s="190">
        <f>80000/100000</f>
        <v>0.8</v>
      </c>
      <c r="T114" s="190">
        <f>80000/100000</f>
        <v>0.8</v>
      </c>
      <c r="U114" s="190">
        <f>200000/100000</f>
        <v>2</v>
      </c>
      <c r="V114" s="190">
        <f>200000/100000+100000/100000</f>
        <v>3</v>
      </c>
      <c r="W114" s="190">
        <f>500000/100000</f>
        <v>5</v>
      </c>
      <c r="X114" s="190">
        <v>12</v>
      </c>
      <c r="Y114" s="190">
        <v>320</v>
      </c>
      <c r="Z114" s="190">
        <v>250</v>
      </c>
      <c r="AA114" s="190">
        <v>250</v>
      </c>
      <c r="AB114" s="186">
        <v>400</v>
      </c>
      <c r="AC114" s="373">
        <v>600</v>
      </c>
      <c r="AD114" s="374">
        <v>1500</v>
      </c>
      <c r="AE114" s="374">
        <v>2000</v>
      </c>
      <c r="AF114" s="374">
        <v>2500</v>
      </c>
      <c r="AG114" s="374">
        <f>2500</f>
        <v>2500</v>
      </c>
      <c r="AH114" s="374">
        <v>5000</v>
      </c>
      <c r="AI114" s="374">
        <v>5000</v>
      </c>
      <c r="AJ114" s="374">
        <v>5000</v>
      </c>
      <c r="AK114" s="374">
        <v>10000</v>
      </c>
      <c r="AL114" s="374">
        <v>10000</v>
      </c>
      <c r="AM114" s="374">
        <v>25000</v>
      </c>
      <c r="AN114" s="375">
        <v>55600</v>
      </c>
      <c r="AO114" s="373">
        <v>55600</v>
      </c>
      <c r="AP114" s="374">
        <v>55600</v>
      </c>
      <c r="AQ114" s="374">
        <v>80000</v>
      </c>
      <c r="AR114" s="374">
        <v>80000</v>
      </c>
      <c r="AS114" s="374">
        <v>100000</v>
      </c>
      <c r="AT114" s="374"/>
      <c r="AU114" s="374"/>
      <c r="AV114" s="374"/>
      <c r="AW114" s="374"/>
      <c r="AX114" s="374"/>
      <c r="AY114" s="374"/>
      <c r="AZ114" s="375"/>
      <c r="BA114" s="402">
        <f t="shared" si="46"/>
        <v>497145.67</v>
      </c>
    </row>
    <row r="115" spans="1:53" s="29" customFormat="1" ht="20.100000000000001" customHeight="1">
      <c r="A115" s="30" t="str">
        <f>Vecinos!A115</f>
        <v>Familia Molina Estopiñán</v>
      </c>
      <c r="B115" s="31" t="str">
        <f>Vecinos!C115</f>
        <v>Calle Güigüe Nro. 89-30</v>
      </c>
      <c r="C115" s="36" t="str">
        <f>IF(SUMIFS(Vigilancia!$E:$E,Vigilancia!$F:$F,A115,Vigilancia!$J:$J,"Vigilancia")=BA115,"ü","û")</f>
        <v>ü</v>
      </c>
      <c r="D115" s="179"/>
      <c r="E115" s="180"/>
      <c r="F115" s="181"/>
      <c r="G115" s="181"/>
      <c r="H115" s="181"/>
      <c r="I115" s="181"/>
      <c r="J115" s="181"/>
      <c r="K115" s="181"/>
      <c r="L115" s="181"/>
      <c r="M115" s="181"/>
      <c r="N115" s="181"/>
      <c r="O115" s="181"/>
      <c r="P115" s="179"/>
      <c r="Q115" s="183"/>
      <c r="R115" s="184"/>
      <c r="S115" s="184"/>
      <c r="T115" s="184"/>
      <c r="U115" s="184"/>
      <c r="V115" s="184"/>
      <c r="W115" s="184"/>
      <c r="X115" s="184"/>
      <c r="Y115" s="184"/>
      <c r="Z115" s="184"/>
      <c r="AA115" s="184"/>
      <c r="AB115" s="179"/>
      <c r="AC115" s="376"/>
      <c r="AD115" s="377"/>
      <c r="AE115" s="377"/>
      <c r="AF115" s="377"/>
      <c r="AG115" s="377"/>
      <c r="AH115" s="377"/>
      <c r="AI115" s="377"/>
      <c r="AJ115" s="377"/>
      <c r="AK115" s="377"/>
      <c r="AL115" s="377"/>
      <c r="AM115" s="377"/>
      <c r="AN115" s="378"/>
      <c r="AO115" s="376"/>
      <c r="AP115" s="377"/>
      <c r="AQ115" s="377"/>
      <c r="AR115" s="377"/>
      <c r="AS115" s="377"/>
      <c r="AT115" s="377"/>
      <c r="AU115" s="377"/>
      <c r="AV115" s="377"/>
      <c r="AW115" s="377"/>
      <c r="AX115" s="377"/>
      <c r="AY115" s="377"/>
      <c r="AZ115" s="378"/>
      <c r="BA115" s="403">
        <f t="shared" si="46"/>
        <v>0</v>
      </c>
    </row>
    <row r="116" spans="1:53" s="29" customFormat="1" ht="20.100000000000001" customHeight="1">
      <c r="A116" s="33" t="str">
        <f>Vecinos!A116</f>
        <v>Familia Sirit Palencia</v>
      </c>
      <c r="B116" s="34" t="str">
        <f>Vecinos!C116</f>
        <v>Calle Güigüe Nro. 89-35</v>
      </c>
      <c r="C116" s="35" t="str">
        <f>IF(SUMIFS(Vigilancia!$E:$E,Vigilancia!$F:$F,A116,Vigilancia!$J:$J,"Vigilancia")=BA116,"ü","û")</f>
        <v>ü</v>
      </c>
      <c r="D116" s="186"/>
      <c r="E116" s="187"/>
      <c r="F116" s="188"/>
      <c r="G116" s="188"/>
      <c r="H116" s="188">
        <f>5000/100000</f>
        <v>0.05</v>
      </c>
      <c r="I116" s="188"/>
      <c r="J116" s="188"/>
      <c r="K116" s="188"/>
      <c r="L116" s="188">
        <f>10000/100000</f>
        <v>0.1</v>
      </c>
      <c r="M116" s="188">
        <f>10000/100000</f>
        <v>0.1</v>
      </c>
      <c r="N116" s="188"/>
      <c r="O116" s="188"/>
      <c r="P116" s="186"/>
      <c r="Q116" s="189"/>
      <c r="R116" s="190"/>
      <c r="S116" s="190"/>
      <c r="T116" s="190"/>
      <c r="U116" s="190"/>
      <c r="V116" s="190"/>
      <c r="W116" s="190">
        <f>500000/100000</f>
        <v>5</v>
      </c>
      <c r="X116" s="190"/>
      <c r="Y116" s="190"/>
      <c r="Z116" s="190">
        <v>320</v>
      </c>
      <c r="AA116" s="190">
        <v>320</v>
      </c>
      <c r="AB116" s="186">
        <v>800</v>
      </c>
      <c r="AC116" s="373">
        <f>160+640+160</f>
        <v>960</v>
      </c>
      <c r="AD116" s="374">
        <v>1500</v>
      </c>
      <c r="AE116" s="374">
        <v>3000</v>
      </c>
      <c r="AF116" s="374">
        <f>3000+2000</f>
        <v>5000</v>
      </c>
      <c r="AG116" s="374">
        <v>8000</v>
      </c>
      <c r="AH116" s="374">
        <v>8000</v>
      </c>
      <c r="AI116" s="374">
        <v>10000</v>
      </c>
      <c r="AJ116" s="374">
        <v>10000</v>
      </c>
      <c r="AK116" s="374">
        <v>21600</v>
      </c>
      <c r="AL116" s="374">
        <f>21100</f>
        <v>21100</v>
      </c>
      <c r="AM116" s="374">
        <v>100000</v>
      </c>
      <c r="AN116" s="375">
        <v>100000</v>
      </c>
      <c r="AO116" s="373">
        <v>100000</v>
      </c>
      <c r="AP116" s="374">
        <v>100000</v>
      </c>
      <c r="AQ116" s="374">
        <v>100000</v>
      </c>
      <c r="AR116" s="374">
        <v>175000</v>
      </c>
      <c r="AS116" s="374">
        <v>175000</v>
      </c>
      <c r="AT116" s="374"/>
      <c r="AU116" s="374"/>
      <c r="AV116" s="374"/>
      <c r="AW116" s="374"/>
      <c r="AX116" s="374"/>
      <c r="AY116" s="374"/>
      <c r="AZ116" s="375"/>
      <c r="BA116" s="402">
        <f t="shared" si="46"/>
        <v>940605.25</v>
      </c>
    </row>
    <row r="117" spans="1:53" s="29" customFormat="1" ht="20.100000000000001" customHeight="1">
      <c r="A117" s="30" t="str">
        <f>Vecinos!A117</f>
        <v>Familia Guerra Miret</v>
      </c>
      <c r="B117" s="31" t="str">
        <f>Vecinos!C117</f>
        <v>Calle Güigüe Nro. 89-40</v>
      </c>
      <c r="C117" s="36" t="str">
        <f>IF(SUMIFS(Vigilancia!$E:$E,Vigilancia!$F:$F,A117,Vigilancia!$J:$J,"Vigilancia")=BA117,"ü","û")</f>
        <v>ü</v>
      </c>
      <c r="D117" s="179"/>
      <c r="E117" s="195">
        <f>12000/100000</f>
        <v>0.12</v>
      </c>
      <c r="F117" s="182">
        <f>12000/100000</f>
        <v>0.12</v>
      </c>
      <c r="G117" s="182">
        <f>12000/100000</f>
        <v>0.12</v>
      </c>
      <c r="H117" s="181">
        <f>17000/100000</f>
        <v>0.17</v>
      </c>
      <c r="I117" s="225"/>
      <c r="J117" s="181">
        <f>26000/100000</f>
        <v>0.26</v>
      </c>
      <c r="K117" s="181">
        <f>1000/100000+34000/100000</f>
        <v>0.35000000000000003</v>
      </c>
      <c r="L117" s="181">
        <f>1000/100000+34000/100000</f>
        <v>0.35000000000000003</v>
      </c>
      <c r="M117" s="181">
        <f>1000/100000+34000/100000</f>
        <v>0.35000000000000003</v>
      </c>
      <c r="N117" s="181">
        <f>1000/100000+34000/100000</f>
        <v>0.35000000000000003</v>
      </c>
      <c r="O117" s="181">
        <f>50000/100000</f>
        <v>0.5</v>
      </c>
      <c r="P117" s="179">
        <f>50000/100000</f>
        <v>0.5</v>
      </c>
      <c r="Q117" s="183">
        <f>50000/100000+30000/100000</f>
        <v>0.8</v>
      </c>
      <c r="R117" s="184">
        <f>80000/100000</f>
        <v>0.8</v>
      </c>
      <c r="S117" s="184">
        <f>80000/100000+60000/100000</f>
        <v>1.4</v>
      </c>
      <c r="T117" s="184">
        <f>80000/100000+60000/100000</f>
        <v>1.4</v>
      </c>
      <c r="U117" s="184">
        <f>400000/100000</f>
        <v>4</v>
      </c>
      <c r="V117" s="184">
        <f>400000/100000+225000/100000</f>
        <v>6.25</v>
      </c>
      <c r="W117" s="184">
        <f>1000000/100000</f>
        <v>10</v>
      </c>
      <c r="X117" s="184">
        <f>1200000/100000</f>
        <v>12</v>
      </c>
      <c r="Y117" s="184">
        <v>320</v>
      </c>
      <c r="Z117" s="184">
        <v>320</v>
      </c>
      <c r="AA117" s="184">
        <v>320</v>
      </c>
      <c r="AB117" s="344">
        <v>800</v>
      </c>
      <c r="AC117" s="376">
        <f>800+2200</f>
        <v>3000</v>
      </c>
      <c r="AD117" s="377">
        <v>3000</v>
      </c>
      <c r="AE117" s="377">
        <v>3000</v>
      </c>
      <c r="AF117" s="377">
        <f>3000+2000</f>
        <v>5000</v>
      </c>
      <c r="AG117" s="377">
        <f>5000+3000</f>
        <v>8000</v>
      </c>
      <c r="AH117" s="377">
        <v>8000</v>
      </c>
      <c r="AI117" s="377">
        <v>10000</v>
      </c>
      <c r="AJ117" s="377">
        <v>10000</v>
      </c>
      <c r="AK117" s="377">
        <v>23400</v>
      </c>
      <c r="AL117" s="377">
        <f>21100+25900+4250</f>
        <v>51250</v>
      </c>
      <c r="AM117" s="377">
        <v>51250</v>
      </c>
      <c r="AN117" s="378">
        <v>81750</v>
      </c>
      <c r="AO117" s="376">
        <v>105250</v>
      </c>
      <c r="AP117" s="377">
        <v>136250</v>
      </c>
      <c r="AQ117" s="377">
        <v>185250</v>
      </c>
      <c r="AR117" s="377">
        <v>185250</v>
      </c>
      <c r="AS117" s="377">
        <v>250000</v>
      </c>
      <c r="AT117" s="377"/>
      <c r="AU117" s="377"/>
      <c r="AV117" s="377"/>
      <c r="AW117" s="377"/>
      <c r="AX117" s="377"/>
      <c r="AY117" s="377"/>
      <c r="AZ117" s="378"/>
      <c r="BA117" s="403">
        <f t="shared" si="46"/>
        <v>1121449.8399999999</v>
      </c>
    </row>
    <row r="118" spans="1:53" s="29" customFormat="1" ht="20.100000000000001" customHeight="1">
      <c r="A118" s="30" t="str">
        <f>Vecinos!A118</f>
        <v>Familia Jiménez Salvatierra</v>
      </c>
      <c r="B118" s="31" t="str">
        <f>Vecinos!C118</f>
        <v>Calle Güigüe Nro. 89-45</v>
      </c>
      <c r="C118" s="36" t="str">
        <f>IF(SUMIFS(Vigilancia!$E:$E,Vigilancia!$F:$F,A118,Vigilancia!$J:$J,"Vigilancia")=BA118,"ü","û")</f>
        <v>ü</v>
      </c>
      <c r="D118" s="179"/>
      <c r="E118" s="180">
        <f>16000/100000+1000/100000</f>
        <v>0.17</v>
      </c>
      <c r="F118" s="181">
        <f>17000/100000</f>
        <v>0.17</v>
      </c>
      <c r="G118" s="181">
        <f>17000/100000</f>
        <v>0.17</v>
      </c>
      <c r="H118" s="181">
        <f>17000/100000</f>
        <v>0.17</v>
      </c>
      <c r="I118" s="181">
        <f>26000/100000</f>
        <v>0.26</v>
      </c>
      <c r="J118" s="181">
        <f>26000/100000</f>
        <v>0.26</v>
      </c>
      <c r="K118" s="181">
        <f>35000/100000</f>
        <v>0.35</v>
      </c>
      <c r="L118" s="181">
        <f>35000/100000</f>
        <v>0.35</v>
      </c>
      <c r="M118" s="181">
        <f>35000/100000</f>
        <v>0.35</v>
      </c>
      <c r="N118" s="181">
        <f>35000/100000</f>
        <v>0.35</v>
      </c>
      <c r="O118" s="181">
        <f>35000/100000+15000/100000</f>
        <v>0.5</v>
      </c>
      <c r="P118" s="179">
        <f>25000/100000+25000/100000</f>
        <v>0.5</v>
      </c>
      <c r="Q118" s="183">
        <f>80000/100000</f>
        <v>0.8</v>
      </c>
      <c r="R118" s="184">
        <f>20000/100000+60000/100000</f>
        <v>0.8</v>
      </c>
      <c r="S118" s="184">
        <f>80000/100000+60000/100000</f>
        <v>1.4</v>
      </c>
      <c r="T118" s="184">
        <f>20000/100000+120000/100000</f>
        <v>1.4</v>
      </c>
      <c r="U118" s="184">
        <f>400000/100000</f>
        <v>4</v>
      </c>
      <c r="V118" s="184">
        <f>400000/100000+225000/100000</f>
        <v>6.25</v>
      </c>
      <c r="W118" s="184">
        <f>1000000/100000</f>
        <v>10</v>
      </c>
      <c r="X118" s="184">
        <f>1200000/100000</f>
        <v>12</v>
      </c>
      <c r="Y118" s="184"/>
      <c r="Z118" s="184"/>
      <c r="AA118" s="184"/>
      <c r="AB118" s="179"/>
      <c r="AC118" s="376"/>
      <c r="AD118" s="377"/>
      <c r="AE118" s="377"/>
      <c r="AF118" s="377"/>
      <c r="AG118" s="377"/>
      <c r="AH118" s="377"/>
      <c r="AI118" s="377"/>
      <c r="AJ118" s="377"/>
      <c r="AK118" s="377"/>
      <c r="AL118" s="377"/>
      <c r="AM118" s="377"/>
      <c r="AN118" s="378"/>
      <c r="AO118" s="376"/>
      <c r="AP118" s="377"/>
      <c r="AQ118" s="377"/>
      <c r="AR118" s="377"/>
      <c r="AS118" s="377"/>
      <c r="AT118" s="377"/>
      <c r="AU118" s="377"/>
      <c r="AV118" s="377"/>
      <c r="AW118" s="377"/>
      <c r="AX118" s="377"/>
      <c r="AY118" s="377"/>
      <c r="AZ118" s="378"/>
      <c r="BA118" s="403">
        <f t="shared" si="46"/>
        <v>40.25</v>
      </c>
    </row>
    <row r="119" spans="1:53" s="29" customFormat="1" ht="20.100000000000001" customHeight="1">
      <c r="A119" s="30" t="str">
        <f>Vecinos!A119</f>
        <v>Familia Alonso Rojas</v>
      </c>
      <c r="B119" s="31" t="str">
        <f>Vecinos!C119</f>
        <v>Calle Güigüe Nro. 89-54</v>
      </c>
      <c r="C119" s="36" t="str">
        <f>IF(SUMIFS(Vigilancia!$E:$E,Vigilancia!$F:$F,A119,Vigilancia!$J:$J,"Vigilancia")=BA119,"ü","û")</f>
        <v>ü</v>
      </c>
      <c r="D119" s="179"/>
      <c r="E119" s="180"/>
      <c r="F119" s="181"/>
      <c r="G119" s="181"/>
      <c r="H119" s="181"/>
      <c r="I119" s="181"/>
      <c r="J119" s="181"/>
      <c r="K119" s="181"/>
      <c r="L119" s="181"/>
      <c r="M119" s="181"/>
      <c r="N119" s="181"/>
      <c r="O119" s="181">
        <f>50000/100000</f>
        <v>0.5</v>
      </c>
      <c r="P119" s="179">
        <f>50000/100000</f>
        <v>0.5</v>
      </c>
      <c r="Q119" s="183">
        <f>50000/100000+30000/100000</f>
        <v>0.8</v>
      </c>
      <c r="R119" s="184">
        <f>80000/100000</f>
        <v>0.8</v>
      </c>
      <c r="S119" s="184">
        <f>140000/100000</f>
        <v>1.4</v>
      </c>
      <c r="T119" s="184">
        <f>20000/100000+120000/100000</f>
        <v>1.4</v>
      </c>
      <c r="U119" s="184">
        <f>140000/100000+260000/100000</f>
        <v>4</v>
      </c>
      <c r="V119" s="184">
        <f>400000/100000+225000/100000</f>
        <v>6.25</v>
      </c>
      <c r="W119" s="184">
        <f>850000/100000+150000/100000</f>
        <v>10</v>
      </c>
      <c r="X119" s="184">
        <v>15</v>
      </c>
      <c r="Y119" s="184">
        <v>320</v>
      </c>
      <c r="Z119" s="184">
        <v>320</v>
      </c>
      <c r="AA119" s="184">
        <v>320</v>
      </c>
      <c r="AB119" s="348">
        <v>500</v>
      </c>
      <c r="AC119" s="381">
        <f>850+2150</f>
        <v>3000</v>
      </c>
      <c r="AD119" s="377">
        <f>2850+150</f>
        <v>3000</v>
      </c>
      <c r="AE119" s="377">
        <v>3000</v>
      </c>
      <c r="AF119" s="377">
        <v>5000</v>
      </c>
      <c r="AG119" s="377">
        <v>8000</v>
      </c>
      <c r="AH119" s="377">
        <v>8000</v>
      </c>
      <c r="AI119" s="377">
        <v>10000</v>
      </c>
      <c r="AJ119" s="382">
        <f>666+9334</f>
        <v>10000</v>
      </c>
      <c r="AK119" s="483">
        <v>20000</v>
      </c>
      <c r="AL119" s="377">
        <v>56250</v>
      </c>
      <c r="AM119" s="377">
        <v>56250</v>
      </c>
      <c r="AN119" s="378">
        <v>105250</v>
      </c>
      <c r="AO119" s="381">
        <v>136250</v>
      </c>
      <c r="AP119" s="377">
        <v>140000</v>
      </c>
      <c r="AQ119" s="377">
        <v>200000</v>
      </c>
      <c r="AR119" s="377">
        <v>185250</v>
      </c>
      <c r="AS119" s="377">
        <f>214750+50000</f>
        <v>264750</v>
      </c>
      <c r="AT119" s="377"/>
      <c r="AU119" s="377"/>
      <c r="AV119" s="382"/>
      <c r="AW119" s="377"/>
      <c r="AX119" s="377"/>
      <c r="AY119" s="377"/>
      <c r="AZ119" s="378"/>
      <c r="BA119" s="403">
        <f t="shared" si="46"/>
        <v>1215500.6499999999</v>
      </c>
    </row>
    <row r="120" spans="1:53" s="29" customFormat="1" ht="20.100000000000001" customHeight="1">
      <c r="A120" s="30" t="str">
        <f>Vecinos!A120</f>
        <v>Familia Fermín Rivas</v>
      </c>
      <c r="B120" s="31" t="str">
        <f>Vecinos!C120</f>
        <v>Calle Güigüe Nro. 89-55</v>
      </c>
      <c r="C120" s="36" t="str">
        <f>IF(SUMIFS(Vigilancia!$E:$E,Vigilancia!$F:$F,A120,Vigilancia!$J:$J,"Vigilancia")=BA120,"ü","û")</f>
        <v>ü</v>
      </c>
      <c r="D120" s="179"/>
      <c r="E120" s="180">
        <f>10500/100000+6500/100000</f>
        <v>0.16999999999999998</v>
      </c>
      <c r="F120" s="181">
        <f>7488/100000+9512/100000</f>
        <v>0.16999999999999998</v>
      </c>
      <c r="G120" s="181">
        <f>17000/100000</f>
        <v>0.17</v>
      </c>
      <c r="H120" s="181">
        <f>17000/100000</f>
        <v>0.17</v>
      </c>
      <c r="I120" s="181">
        <f>26000/100000</f>
        <v>0.26</v>
      </c>
      <c r="J120" s="181">
        <f>26000/100000</f>
        <v>0.26</v>
      </c>
      <c r="K120" s="181">
        <f>25000/100000+10000/100000</f>
        <v>0.35</v>
      </c>
      <c r="L120" s="181">
        <f>30000/100000+5000/100000</f>
        <v>0.35</v>
      </c>
      <c r="M120" s="181">
        <f>35000/100000</f>
        <v>0.35</v>
      </c>
      <c r="N120" s="181">
        <f>35000/100000</f>
        <v>0.35</v>
      </c>
      <c r="O120" s="181">
        <f>50000/100000</f>
        <v>0.5</v>
      </c>
      <c r="P120" s="179">
        <f>50000/100000</f>
        <v>0.5</v>
      </c>
      <c r="Q120" s="183">
        <f>80000/100000</f>
        <v>0.8</v>
      </c>
      <c r="R120" s="184">
        <f>80000/100000</f>
        <v>0.8</v>
      </c>
      <c r="S120" s="184">
        <f>140000/100000</f>
        <v>1.4</v>
      </c>
      <c r="T120" s="184">
        <f>20000/100000+120000/100000</f>
        <v>1.4</v>
      </c>
      <c r="U120" s="184">
        <f>400000/100000</f>
        <v>4</v>
      </c>
      <c r="V120" s="184">
        <f>400000/100000+225000/100000</f>
        <v>6.25</v>
      </c>
      <c r="W120" s="184">
        <f>1000000/100000</f>
        <v>10</v>
      </c>
      <c r="X120" s="184">
        <f>1200000/100000</f>
        <v>12</v>
      </c>
      <c r="Y120" s="184">
        <v>320</v>
      </c>
      <c r="Z120" s="184">
        <v>320</v>
      </c>
      <c r="AA120" s="184">
        <v>320</v>
      </c>
      <c r="AB120" s="344">
        <v>800</v>
      </c>
      <c r="AC120" s="381">
        <f>1800+1200</f>
        <v>3000</v>
      </c>
      <c r="AD120" s="377">
        <f>1425+1575</f>
        <v>3000</v>
      </c>
      <c r="AE120" s="377">
        <v>3000</v>
      </c>
      <c r="AF120" s="377">
        <f>3000+5000</f>
        <v>8000</v>
      </c>
      <c r="AG120" s="377">
        <v>8000</v>
      </c>
      <c r="AH120" s="377">
        <f>3666+4334</f>
        <v>8000</v>
      </c>
      <c r="AI120" s="377">
        <f>8000+2000</f>
        <v>10000</v>
      </c>
      <c r="AJ120" s="382">
        <f>666+9334</f>
        <v>10000</v>
      </c>
      <c r="AK120" s="377">
        <f>4966+18435</f>
        <v>23401</v>
      </c>
      <c r="AL120" s="377">
        <f>21100+25900</f>
        <v>47000</v>
      </c>
      <c r="AM120" s="377">
        <v>51250</v>
      </c>
      <c r="AN120" s="378">
        <v>81750</v>
      </c>
      <c r="AO120" s="376">
        <v>136250</v>
      </c>
      <c r="AP120" s="377">
        <v>136250</v>
      </c>
      <c r="AQ120" s="377">
        <v>185250</v>
      </c>
      <c r="AR120" s="377">
        <v>185250</v>
      </c>
      <c r="AS120" s="377">
        <v>250000</v>
      </c>
      <c r="AT120" s="377"/>
      <c r="AU120" s="377"/>
      <c r="AV120" s="377"/>
      <c r="AW120" s="377"/>
      <c r="AX120" s="377"/>
      <c r="AY120" s="377"/>
      <c r="AZ120" s="378"/>
      <c r="BA120" s="403">
        <f t="shared" si="46"/>
        <v>1151201.25</v>
      </c>
    </row>
    <row r="121" spans="1:53" s="29" customFormat="1" ht="20.100000000000001" customHeight="1">
      <c r="A121" s="30" t="str">
        <f>Vecinos!A121</f>
        <v>Familia Blonval Hernández</v>
      </c>
      <c r="B121" s="31" t="str">
        <f>Vecinos!C121</f>
        <v>Calle Güigüe Nro. 89-64</v>
      </c>
      <c r="C121" s="36" t="str">
        <f>IF(SUMIFS(Vigilancia!$E:$E,Vigilancia!$F:$F,A121,Vigilancia!$J:$J,"Vigilancia")=BA121,"ü","û")</f>
        <v>ü</v>
      </c>
      <c r="D121" s="179"/>
      <c r="E121" s="180"/>
      <c r="F121" s="181"/>
      <c r="G121" s="181"/>
      <c r="H121" s="181"/>
      <c r="I121" s="181"/>
      <c r="J121" s="181"/>
      <c r="K121" s="181"/>
      <c r="L121" s="181"/>
      <c r="M121" s="181"/>
      <c r="N121" s="181"/>
      <c r="O121" s="181"/>
      <c r="P121" s="179"/>
      <c r="Q121" s="183"/>
      <c r="R121" s="184"/>
      <c r="S121" s="184"/>
      <c r="T121" s="184"/>
      <c r="U121" s="184"/>
      <c r="V121" s="184"/>
      <c r="W121" s="184"/>
      <c r="X121" s="184"/>
      <c r="Y121" s="184"/>
      <c r="Z121" s="184"/>
      <c r="AA121" s="184"/>
      <c r="AB121" s="179"/>
      <c r="AC121" s="376"/>
      <c r="AD121" s="377"/>
      <c r="AE121" s="377"/>
      <c r="AF121" s="377"/>
      <c r="AG121" s="377"/>
      <c r="AH121" s="377"/>
      <c r="AI121" s="377"/>
      <c r="AJ121" s="377"/>
      <c r="AK121" s="377"/>
      <c r="AL121" s="377"/>
      <c r="AM121" s="377"/>
      <c r="AN121" s="378"/>
      <c r="AO121" s="376"/>
      <c r="AP121" s="377"/>
      <c r="AQ121" s="377"/>
      <c r="AR121" s="377"/>
      <c r="AS121" s="377"/>
      <c r="AT121" s="377"/>
      <c r="AU121" s="377"/>
      <c r="AV121" s="377"/>
      <c r="AW121" s="377"/>
      <c r="AX121" s="377"/>
      <c r="AY121" s="377"/>
      <c r="AZ121" s="378"/>
      <c r="BA121" s="403">
        <f t="shared" si="46"/>
        <v>0</v>
      </c>
    </row>
    <row r="122" spans="1:53" s="29" customFormat="1" ht="20.100000000000001" customHeight="1">
      <c r="A122" s="30" t="str">
        <f>Vecinos!A122</f>
        <v>Familia Milanés Carmona</v>
      </c>
      <c r="B122" s="31" t="str">
        <f>Vecinos!C122</f>
        <v>Calle Güigüe Nro. 89-65</v>
      </c>
      <c r="C122" s="36" t="str">
        <f>IF(SUMIFS(Vigilancia!$E:$E,Vigilancia!$F:$F,A122,Vigilancia!$J:$J,"Vigilancia")=BA122,"ü","û")</f>
        <v>ü</v>
      </c>
      <c r="D122" s="179"/>
      <c r="E122" s="195"/>
      <c r="F122" s="182"/>
      <c r="G122" s="182"/>
      <c r="H122" s="182"/>
      <c r="I122" s="182"/>
      <c r="J122" s="181">
        <f>26000/100000</f>
        <v>0.26</v>
      </c>
      <c r="K122" s="181">
        <f>35000/100000</f>
        <v>0.35</v>
      </c>
      <c r="L122" s="181">
        <f>35000/100000</f>
        <v>0.35</v>
      </c>
      <c r="M122" s="181">
        <f>35000/100000</f>
        <v>0.35</v>
      </c>
      <c r="N122" s="181">
        <f>35000/100000</f>
        <v>0.35</v>
      </c>
      <c r="O122" s="181">
        <f>50000/100000</f>
        <v>0.5</v>
      </c>
      <c r="P122" s="179">
        <f>50000/100000</f>
        <v>0.5</v>
      </c>
      <c r="Q122" s="183">
        <f>80000/100000</f>
        <v>0.8</v>
      </c>
      <c r="R122" s="184">
        <f>80000/100000</f>
        <v>0.8</v>
      </c>
      <c r="S122" s="184">
        <f>80000/100000+60000/100000</f>
        <v>1.4</v>
      </c>
      <c r="T122" s="184">
        <f>140000/100000</f>
        <v>1.4</v>
      </c>
      <c r="U122" s="184">
        <f>400000/100000</f>
        <v>4</v>
      </c>
      <c r="V122" s="184">
        <f>400000/100000+225000/100000</f>
        <v>6.25</v>
      </c>
      <c r="W122" s="184">
        <f>850000/100000+150000/100000</f>
        <v>10</v>
      </c>
      <c r="X122" s="184">
        <f>1200000/100000</f>
        <v>12</v>
      </c>
      <c r="Y122" s="191">
        <f>1300000/100000+320</f>
        <v>333</v>
      </c>
      <c r="Z122" s="191">
        <f>13+307</f>
        <v>320</v>
      </c>
      <c r="AA122" s="184">
        <v>320</v>
      </c>
      <c r="AB122" s="344">
        <f>320+480</f>
        <v>800</v>
      </c>
      <c r="AC122" s="381">
        <f>13+787+2200</f>
        <v>3000</v>
      </c>
      <c r="AD122" s="377">
        <v>3000</v>
      </c>
      <c r="AE122" s="377">
        <v>3000</v>
      </c>
      <c r="AF122" s="377">
        <v>5000</v>
      </c>
      <c r="AG122" s="377">
        <v>8000</v>
      </c>
      <c r="AH122" s="377">
        <v>8000</v>
      </c>
      <c r="AI122" s="377">
        <v>10000</v>
      </c>
      <c r="AJ122" s="377">
        <v>10000</v>
      </c>
      <c r="AK122" s="377">
        <v>19800</v>
      </c>
      <c r="AL122" s="544">
        <f>20000+30000</f>
        <v>50000</v>
      </c>
      <c r="AM122" s="544">
        <v>60000</v>
      </c>
      <c r="AN122" s="378">
        <v>105250</v>
      </c>
      <c r="AO122" s="381">
        <v>136250</v>
      </c>
      <c r="AP122" s="377">
        <v>136250</v>
      </c>
      <c r="AQ122" s="377">
        <v>185250</v>
      </c>
      <c r="AR122" s="377">
        <v>200000</v>
      </c>
      <c r="AS122" s="377">
        <v>250000</v>
      </c>
      <c r="AT122" s="377"/>
      <c r="AU122" s="377"/>
      <c r="AV122" s="377"/>
      <c r="AW122" s="377"/>
      <c r="AX122" s="377"/>
      <c r="AY122" s="377"/>
      <c r="AZ122" s="378"/>
      <c r="BA122" s="403">
        <f t="shared" si="46"/>
        <v>1194612.31</v>
      </c>
    </row>
    <row r="123" spans="1:53" s="29" customFormat="1" ht="20.100000000000001" customHeight="1">
      <c r="A123" s="30" t="str">
        <f>Vecinos!A123</f>
        <v>Familia Medina Colina</v>
      </c>
      <c r="B123" s="31" t="str">
        <f>Vecinos!C123</f>
        <v>Calle Güigüe Nro. 89-70</v>
      </c>
      <c r="C123" s="36" t="str">
        <f>IF(SUMIFS(Vigilancia!$E:$E,Vigilancia!$F:$F,A123,Vigilancia!$J:$J,"Vigilancia")=BA123,"ü","û")</f>
        <v>ü</v>
      </c>
      <c r="D123" s="179"/>
      <c r="E123" s="180">
        <f>17000/100000</f>
        <v>0.17</v>
      </c>
      <c r="F123" s="181">
        <f>17000/100000</f>
        <v>0.17</v>
      </c>
      <c r="G123" s="181"/>
      <c r="H123" s="181"/>
      <c r="I123" s="181"/>
      <c r="J123" s="181"/>
      <c r="K123" s="181"/>
      <c r="L123" s="181"/>
      <c r="M123" s="181"/>
      <c r="N123" s="181"/>
      <c r="O123" s="181"/>
      <c r="P123" s="179"/>
      <c r="Q123" s="230" t="s">
        <v>17</v>
      </c>
      <c r="R123" s="231" t="s">
        <v>17</v>
      </c>
      <c r="S123" s="231" t="s">
        <v>17</v>
      </c>
      <c r="T123" s="231" t="s">
        <v>17</v>
      </c>
      <c r="U123" s="231" t="s">
        <v>17</v>
      </c>
      <c r="V123" s="231" t="s">
        <v>17</v>
      </c>
      <c r="W123" s="231" t="s">
        <v>17</v>
      </c>
      <c r="X123" s="231" t="s">
        <v>17</v>
      </c>
      <c r="Y123" s="231" t="s">
        <v>17</v>
      </c>
      <c r="Z123" s="231" t="s">
        <v>17</v>
      </c>
      <c r="AA123" s="231" t="s">
        <v>17</v>
      </c>
      <c r="AB123" s="232" t="s">
        <v>17</v>
      </c>
      <c r="AC123" s="376"/>
      <c r="AD123" s="377"/>
      <c r="AE123" s="377"/>
      <c r="AF123" s="377"/>
      <c r="AG123" s="377"/>
      <c r="AH123" s="377"/>
      <c r="AI123" s="377"/>
      <c r="AJ123" s="377"/>
      <c r="AK123" s="377"/>
      <c r="AL123" s="377"/>
      <c r="AM123" s="377"/>
      <c r="AN123" s="378"/>
      <c r="AO123" s="376"/>
      <c r="AP123" s="377"/>
      <c r="AQ123" s="377"/>
      <c r="AR123" s="377"/>
      <c r="AS123" s="377"/>
      <c r="AT123" s="377"/>
      <c r="AU123" s="377"/>
      <c r="AV123" s="377"/>
      <c r="AW123" s="377"/>
      <c r="AX123" s="377"/>
      <c r="AY123" s="377"/>
      <c r="AZ123" s="378"/>
      <c r="BA123" s="403">
        <f t="shared" si="46"/>
        <v>0.34</v>
      </c>
    </row>
    <row r="124" spans="1:53" s="29" customFormat="1" ht="20.100000000000001" customHeight="1">
      <c r="A124" s="33" t="str">
        <f>Vecinos!A124</f>
        <v>Gloria Molina</v>
      </c>
      <c r="B124" s="34" t="str">
        <f>Vecinos!C124</f>
        <v>Calle Güigüe Nro. 89-71</v>
      </c>
      <c r="C124" s="35" t="str">
        <f>IF(SUMIFS(Vigilancia!$E:$E,Vigilancia!$F:$F,A124,Vigilancia!$J:$J,"Vigilancia")=BA124,"ü","û")</f>
        <v>ü</v>
      </c>
      <c r="D124" s="186"/>
      <c r="E124" s="187">
        <f>10000/100000</f>
        <v>0.1</v>
      </c>
      <c r="F124" s="188">
        <f>10000/100000</f>
        <v>0.1</v>
      </c>
      <c r="G124" s="188">
        <f>10000/100000</f>
        <v>0.1</v>
      </c>
      <c r="H124" s="188">
        <f t="shared" ref="H124:M124" si="62">15000/100000</f>
        <v>0.15</v>
      </c>
      <c r="I124" s="188">
        <f t="shared" si="62"/>
        <v>0.15</v>
      </c>
      <c r="J124" s="188">
        <f t="shared" si="62"/>
        <v>0.15</v>
      </c>
      <c r="K124" s="188">
        <f t="shared" si="62"/>
        <v>0.15</v>
      </c>
      <c r="L124" s="188">
        <f t="shared" si="62"/>
        <v>0.15</v>
      </c>
      <c r="M124" s="188">
        <f t="shared" si="62"/>
        <v>0.15</v>
      </c>
      <c r="N124" s="188">
        <f>20000/100000</f>
        <v>0.2</v>
      </c>
      <c r="O124" s="188">
        <f>20000/100000</f>
        <v>0.2</v>
      </c>
      <c r="P124" s="186">
        <f>20000/100000</f>
        <v>0.2</v>
      </c>
      <c r="Q124" s="189">
        <f>50000/100000</f>
        <v>0.5</v>
      </c>
      <c r="R124" s="190">
        <f>50000/100000</f>
        <v>0.5</v>
      </c>
      <c r="S124" s="190">
        <f>100000/100000</f>
        <v>1</v>
      </c>
      <c r="T124" s="190">
        <f>100000/100000</f>
        <v>1</v>
      </c>
      <c r="U124" s="190">
        <f>200000/100000</f>
        <v>2</v>
      </c>
      <c r="V124" s="190">
        <f>400000/100000</f>
        <v>4</v>
      </c>
      <c r="W124" s="190">
        <f>500000/100000</f>
        <v>5</v>
      </c>
      <c r="X124" s="190">
        <v>10</v>
      </c>
      <c r="Y124" s="190">
        <v>300</v>
      </c>
      <c r="Z124" s="190">
        <v>200</v>
      </c>
      <c r="AA124" s="190">
        <v>200</v>
      </c>
      <c r="AB124" s="186">
        <v>500</v>
      </c>
      <c r="AC124" s="373">
        <v>1500</v>
      </c>
      <c r="AD124" s="374">
        <v>1500</v>
      </c>
      <c r="AE124" s="374">
        <v>3000</v>
      </c>
      <c r="AF124" s="374">
        <f>3000</f>
        <v>3000</v>
      </c>
      <c r="AG124" s="374">
        <v>8000</v>
      </c>
      <c r="AH124" s="374">
        <v>8000</v>
      </c>
      <c r="AI124" s="374">
        <v>10000</v>
      </c>
      <c r="AJ124" s="374">
        <v>10000</v>
      </c>
      <c r="AK124" s="374">
        <v>19800</v>
      </c>
      <c r="AL124" s="374">
        <v>47000</v>
      </c>
      <c r="AM124" s="374">
        <v>60000</v>
      </c>
      <c r="AN124" s="375">
        <v>60000</v>
      </c>
      <c r="AO124" s="373">
        <v>100000</v>
      </c>
      <c r="AP124" s="374">
        <v>100000</v>
      </c>
      <c r="AQ124" s="374">
        <v>100000</v>
      </c>
      <c r="AR124" s="374">
        <v>100000</v>
      </c>
      <c r="AS124" s="374"/>
      <c r="AT124" s="374"/>
      <c r="AU124" s="374"/>
      <c r="AV124" s="374"/>
      <c r="AW124" s="374"/>
      <c r="AX124" s="374"/>
      <c r="AY124" s="374"/>
      <c r="AZ124" s="375"/>
      <c r="BA124" s="402">
        <f t="shared" si="46"/>
        <v>633025.80000000005</v>
      </c>
    </row>
    <row r="125" spans="1:53" s="29" customFormat="1" ht="20.100000000000001" customHeight="1">
      <c r="A125" s="30" t="str">
        <f>Vecinos!A125</f>
        <v>Familia Gurmeitte</v>
      </c>
      <c r="B125" s="31" t="str">
        <f>Vecinos!C125</f>
        <v>Calle Güigüe Nro. 89-74</v>
      </c>
      <c r="C125" s="36" t="str">
        <f>IF(SUMIFS(Vigilancia!$E:$E,Vigilancia!$F:$F,A125,Vigilancia!$J:$J,"Vigilancia")=BA125,"ü","û")</f>
        <v>ü</v>
      </c>
      <c r="D125" s="179"/>
      <c r="E125" s="180"/>
      <c r="F125" s="181"/>
      <c r="G125" s="181"/>
      <c r="H125" s="181"/>
      <c r="I125" s="181"/>
      <c r="J125" s="181"/>
      <c r="K125" s="181"/>
      <c r="L125" s="181"/>
      <c r="M125" s="181"/>
      <c r="N125" s="181"/>
      <c r="O125" s="181"/>
      <c r="P125" s="179"/>
      <c r="Q125" s="183"/>
      <c r="R125" s="184"/>
      <c r="S125" s="184"/>
      <c r="T125" s="184"/>
      <c r="U125" s="184"/>
      <c r="V125" s="184"/>
      <c r="W125" s="184"/>
      <c r="X125" s="184"/>
      <c r="Y125" s="184"/>
      <c r="Z125" s="184"/>
      <c r="AA125" s="184"/>
      <c r="AB125" s="179"/>
      <c r="AC125" s="376"/>
      <c r="AD125" s="377"/>
      <c r="AE125" s="377"/>
      <c r="AF125" s="377"/>
      <c r="AG125" s="377"/>
      <c r="AH125" s="377"/>
      <c r="AI125" s="377"/>
      <c r="AJ125" s="377"/>
      <c r="AK125" s="377"/>
      <c r="AL125" s="377"/>
      <c r="AM125" s="377"/>
      <c r="AN125" s="378"/>
      <c r="AO125" s="376"/>
      <c r="AP125" s="377"/>
      <c r="AQ125" s="377"/>
      <c r="AR125" s="377"/>
      <c r="AS125" s="377"/>
      <c r="AT125" s="377"/>
      <c r="AU125" s="377"/>
      <c r="AV125" s="377"/>
      <c r="AW125" s="377"/>
      <c r="AX125" s="377"/>
      <c r="AY125" s="377"/>
      <c r="AZ125" s="378"/>
      <c r="BA125" s="403">
        <f t="shared" si="46"/>
        <v>0</v>
      </c>
    </row>
    <row r="126" spans="1:53" s="29" customFormat="1" ht="20.100000000000001" customHeight="1">
      <c r="A126" s="30" t="str">
        <f>Vecinos!A126</f>
        <v>Familia López Hermoso</v>
      </c>
      <c r="B126" s="31" t="str">
        <f>Vecinos!C126</f>
        <v>Calle Güigüe Nro. 89-79</v>
      </c>
      <c r="C126" s="36" t="str">
        <f>IF(SUMIFS(Vigilancia!$E:$E,Vigilancia!$F:$F,A126,Vigilancia!$J:$J,"Vigilancia")=BA126,"ü","û")</f>
        <v>ü</v>
      </c>
      <c r="D126" s="179"/>
      <c r="E126" s="180">
        <f>17000/100000</f>
        <v>0.17</v>
      </c>
      <c r="F126" s="181">
        <f>17000/100000</f>
        <v>0.17</v>
      </c>
      <c r="G126" s="181">
        <f>17000/100000</f>
        <v>0.17</v>
      </c>
      <c r="H126" s="181">
        <f>17000/100000</f>
        <v>0.17</v>
      </c>
      <c r="I126" s="181">
        <f>26000/100000</f>
        <v>0.26</v>
      </c>
      <c r="J126" s="181">
        <f>17000/100000+9000/100000</f>
        <v>0.26</v>
      </c>
      <c r="K126" s="181">
        <f>35000/100000</f>
        <v>0.35</v>
      </c>
      <c r="L126" s="181">
        <f>35000/100000</f>
        <v>0.35</v>
      </c>
      <c r="M126" s="181">
        <f>35000/100000</f>
        <v>0.35</v>
      </c>
      <c r="N126" s="181">
        <f>35000/100000</f>
        <v>0.35</v>
      </c>
      <c r="O126" s="181">
        <f>50000/100000</f>
        <v>0.5</v>
      </c>
      <c r="P126" s="179">
        <f>50000/100000</f>
        <v>0.5</v>
      </c>
      <c r="Q126" s="183">
        <f>80000/100000</f>
        <v>0.8</v>
      </c>
      <c r="R126" s="184">
        <f>80000/100000</f>
        <v>0.8</v>
      </c>
      <c r="S126" s="184">
        <f t="shared" ref="S126:T128" si="63">140000/100000</f>
        <v>1.4</v>
      </c>
      <c r="T126" s="184">
        <f t="shared" si="63"/>
        <v>1.4</v>
      </c>
      <c r="U126" s="184">
        <f>400000/100000</f>
        <v>4</v>
      </c>
      <c r="V126" s="184">
        <f>625000/100000</f>
        <v>6.25</v>
      </c>
      <c r="W126" s="184">
        <f>1000000/100000</f>
        <v>10</v>
      </c>
      <c r="X126" s="184">
        <f>1200000/100000</f>
        <v>12</v>
      </c>
      <c r="Y126" s="184">
        <v>320</v>
      </c>
      <c r="Z126" s="184">
        <v>320</v>
      </c>
      <c r="AA126" s="184">
        <v>320</v>
      </c>
      <c r="AB126" s="179">
        <f>800+11.15</f>
        <v>811.15</v>
      </c>
      <c r="AC126" s="376">
        <v>3000</v>
      </c>
      <c r="AD126" s="377">
        <v>3000</v>
      </c>
      <c r="AE126" s="377">
        <v>3000</v>
      </c>
      <c r="AF126" s="377">
        <v>5000</v>
      </c>
      <c r="AG126" s="377">
        <v>8000</v>
      </c>
      <c r="AH126" s="377">
        <v>8000</v>
      </c>
      <c r="AI126" s="377">
        <v>10000</v>
      </c>
      <c r="AJ126" s="377">
        <v>10000</v>
      </c>
      <c r="AK126" s="377">
        <v>19800</v>
      </c>
      <c r="AL126" s="377">
        <v>47000</v>
      </c>
      <c r="AM126" s="377">
        <v>73500</v>
      </c>
      <c r="AN126" s="378">
        <v>105250</v>
      </c>
      <c r="AO126" s="376">
        <v>137000</v>
      </c>
      <c r="AP126" s="377">
        <v>137000</v>
      </c>
      <c r="AQ126" s="377">
        <v>200000</v>
      </c>
      <c r="AR126" s="377">
        <v>200000</v>
      </c>
      <c r="AS126" s="377">
        <v>250000</v>
      </c>
      <c r="AT126" s="377"/>
      <c r="AU126" s="377"/>
      <c r="AV126" s="377"/>
      <c r="AW126" s="377"/>
      <c r="AX126" s="377"/>
      <c r="AY126" s="377"/>
      <c r="AZ126" s="378"/>
      <c r="BA126" s="403">
        <f t="shared" si="46"/>
        <v>1221361.3999999999</v>
      </c>
    </row>
    <row r="127" spans="1:53" s="29" customFormat="1" ht="20.100000000000001" customHeight="1">
      <c r="A127" s="33" t="str">
        <f>Vecinos!A127</f>
        <v>Familia Kablan Sarmiento</v>
      </c>
      <c r="B127" s="34" t="str">
        <f>Vecinos!C127</f>
        <v>Calle Güigüe Nro. 89-80</v>
      </c>
      <c r="C127" s="35" t="str">
        <f>IF(SUMIFS(Vigilancia!$E:$E,Vigilancia!$F:$F,A127,Vigilancia!$J:$J,"Vigilancia")=BA127,"ü","û")</f>
        <v>ü</v>
      </c>
      <c r="D127" s="186"/>
      <c r="E127" s="187">
        <f>10000/100000</f>
        <v>0.1</v>
      </c>
      <c r="F127" s="188">
        <f>10000/100000</f>
        <v>0.1</v>
      </c>
      <c r="G127" s="188">
        <f>10000/100000</f>
        <v>0.1</v>
      </c>
      <c r="H127" s="188">
        <f>10000/100000</f>
        <v>0.1</v>
      </c>
      <c r="I127" s="188">
        <f>15000/100000</f>
        <v>0.15</v>
      </c>
      <c r="J127" s="188">
        <f>15000/100000</f>
        <v>0.15</v>
      </c>
      <c r="K127" s="188">
        <f>20000/100000</f>
        <v>0.2</v>
      </c>
      <c r="L127" s="188">
        <f>20000/100000</f>
        <v>0.2</v>
      </c>
      <c r="M127" s="188">
        <f>20000/100000</f>
        <v>0.2</v>
      </c>
      <c r="N127" s="188">
        <f>20000/100000</f>
        <v>0.2</v>
      </c>
      <c r="O127" s="188">
        <f>40000/100000</f>
        <v>0.4</v>
      </c>
      <c r="P127" s="186">
        <f>40000/100000</f>
        <v>0.4</v>
      </c>
      <c r="Q127" s="183">
        <f>80000/100000</f>
        <v>0.8</v>
      </c>
      <c r="R127" s="184">
        <f>80000/100000</f>
        <v>0.8</v>
      </c>
      <c r="S127" s="184">
        <f t="shared" si="63"/>
        <v>1.4</v>
      </c>
      <c r="T127" s="184">
        <f t="shared" si="63"/>
        <v>1.4</v>
      </c>
      <c r="U127" s="184">
        <f>400000/100000</f>
        <v>4</v>
      </c>
      <c r="V127" s="184">
        <f>400000/100000+225000/100000</f>
        <v>6.25</v>
      </c>
      <c r="W127" s="184">
        <f>1000000/100000</f>
        <v>10</v>
      </c>
      <c r="X127" s="184">
        <f>1200000/100000</f>
        <v>12</v>
      </c>
      <c r="Y127" s="184">
        <v>320</v>
      </c>
      <c r="Z127" s="184">
        <v>320</v>
      </c>
      <c r="AA127" s="184">
        <v>320</v>
      </c>
      <c r="AB127" s="179">
        <v>800</v>
      </c>
      <c r="AC127" s="376">
        <v>3000</v>
      </c>
      <c r="AD127" s="377">
        <v>3000</v>
      </c>
      <c r="AE127" s="377">
        <v>3000</v>
      </c>
      <c r="AF127" s="377">
        <v>5000</v>
      </c>
      <c r="AG127" s="377">
        <v>8000</v>
      </c>
      <c r="AH127" s="377">
        <v>8000</v>
      </c>
      <c r="AI127" s="377">
        <v>10000</v>
      </c>
      <c r="AJ127" s="377">
        <v>10000</v>
      </c>
      <c r="AK127" s="483">
        <v>20000</v>
      </c>
      <c r="AL127" s="544">
        <f>20000+31000</f>
        <v>51000</v>
      </c>
      <c r="AM127" s="377">
        <f>47000+4250</f>
        <v>51250</v>
      </c>
      <c r="AN127" s="378">
        <v>97500</v>
      </c>
      <c r="AO127" s="376">
        <v>136250</v>
      </c>
      <c r="AP127" s="377">
        <v>136250</v>
      </c>
      <c r="AQ127" s="377">
        <v>185250</v>
      </c>
      <c r="AR127" s="377">
        <v>185250</v>
      </c>
      <c r="AS127" s="377">
        <v>250000</v>
      </c>
      <c r="AT127" s="377"/>
      <c r="AU127" s="377"/>
      <c r="AV127" s="377"/>
      <c r="AW127" s="377"/>
      <c r="AX127" s="377"/>
      <c r="AY127" s="377"/>
      <c r="AZ127" s="378"/>
      <c r="BA127" s="403">
        <f t="shared" si="46"/>
        <v>1164548.95</v>
      </c>
    </row>
    <row r="128" spans="1:53" s="29" customFormat="1" ht="20.100000000000001" customHeight="1">
      <c r="A128" s="30" t="str">
        <f>Vecinos!A128</f>
        <v>Familia Ferrer Bahri</v>
      </c>
      <c r="B128" s="31" t="str">
        <f>Vecinos!C128</f>
        <v>Calle Güigüe Nro. 89-83</v>
      </c>
      <c r="C128" s="36" t="str">
        <f>IF(SUMIFS(Vigilancia!$E:$E,Vigilancia!$F:$F,A128,Vigilancia!$J:$J,"Vigilancia")=BA128,"ü","û")</f>
        <v>ü</v>
      </c>
      <c r="D128" s="179"/>
      <c r="E128" s="180">
        <f>17000/100000</f>
        <v>0.17</v>
      </c>
      <c r="F128" s="181">
        <f>17000/100000</f>
        <v>0.17</v>
      </c>
      <c r="G128" s="181">
        <f>17000/100000</f>
        <v>0.17</v>
      </c>
      <c r="H128" s="181">
        <f>17000/100000</f>
        <v>0.17</v>
      </c>
      <c r="I128" s="181">
        <f>26000/100000</f>
        <v>0.26</v>
      </c>
      <c r="J128" s="181">
        <f>26000/100000</f>
        <v>0.26</v>
      </c>
      <c r="K128" s="181">
        <f>26000/100000+9000/100000</f>
        <v>0.35</v>
      </c>
      <c r="L128" s="181">
        <f>35000/100000</f>
        <v>0.35</v>
      </c>
      <c r="M128" s="181">
        <f>35000/100000</f>
        <v>0.35</v>
      </c>
      <c r="N128" s="181">
        <f>35000/100000</f>
        <v>0.35</v>
      </c>
      <c r="O128" s="181">
        <f>35000/100000+15000/100000</f>
        <v>0.5</v>
      </c>
      <c r="P128" s="179">
        <f>50000/100000</f>
        <v>0.5</v>
      </c>
      <c r="Q128" s="183">
        <f>50000/100000+30000/100000</f>
        <v>0.8</v>
      </c>
      <c r="R128" s="184">
        <f>80000/100000</f>
        <v>0.8</v>
      </c>
      <c r="S128" s="184">
        <f t="shared" si="63"/>
        <v>1.4</v>
      </c>
      <c r="T128" s="184">
        <f t="shared" si="63"/>
        <v>1.4</v>
      </c>
      <c r="U128" s="184">
        <f>400000/100000</f>
        <v>4</v>
      </c>
      <c r="V128" s="184">
        <f>400000/100000+225000/100000</f>
        <v>6.25</v>
      </c>
      <c r="W128" s="184">
        <f>850000/100000+150000/100000</f>
        <v>10</v>
      </c>
      <c r="X128" s="184">
        <f>1200000/100000</f>
        <v>12</v>
      </c>
      <c r="Y128" s="184">
        <v>320</v>
      </c>
      <c r="Z128" s="184">
        <v>320</v>
      </c>
      <c r="AA128" s="191">
        <v>320</v>
      </c>
      <c r="AB128" s="344">
        <f t="shared" ref="AB128" si="64">320+480</f>
        <v>800</v>
      </c>
      <c r="AC128" s="381">
        <f>320+480+2200</f>
        <v>3000</v>
      </c>
      <c r="AD128" s="377">
        <v>3000</v>
      </c>
      <c r="AE128" s="377">
        <v>6000</v>
      </c>
      <c r="AF128" s="377">
        <v>6000</v>
      </c>
      <c r="AG128" s="377">
        <v>12000</v>
      </c>
      <c r="AH128" s="483">
        <v>12000</v>
      </c>
      <c r="AI128" s="483">
        <v>20000</v>
      </c>
      <c r="AJ128" s="483">
        <v>20000</v>
      </c>
      <c r="AK128" s="377">
        <f>20000+3400</f>
        <v>23400</v>
      </c>
      <c r="AL128" s="377">
        <f>30000+17000</f>
        <v>47000</v>
      </c>
      <c r="AM128" s="544">
        <v>60000</v>
      </c>
      <c r="AN128" s="378">
        <v>150000</v>
      </c>
      <c r="AO128" s="376">
        <v>150000</v>
      </c>
      <c r="AP128" s="377">
        <v>150000</v>
      </c>
      <c r="AQ128" s="377">
        <v>200000</v>
      </c>
      <c r="AR128" s="377">
        <v>250000</v>
      </c>
      <c r="AS128" s="377">
        <v>350000</v>
      </c>
      <c r="AT128" s="377"/>
      <c r="AU128" s="377"/>
      <c r="AV128" s="377"/>
      <c r="AW128" s="377"/>
      <c r="AX128" s="377"/>
      <c r="AY128" s="377"/>
      <c r="AZ128" s="378"/>
      <c r="BA128" s="403">
        <f t="shared" si="46"/>
        <v>1464200.25</v>
      </c>
    </row>
    <row r="129" spans="1:53" s="29" customFormat="1" ht="20.100000000000001" customHeight="1">
      <c r="A129" s="68" t="str">
        <f>Vecinos!A129</f>
        <v>Familia Amirante</v>
      </c>
      <c r="B129" s="69" t="str">
        <f>Vecinos!C129</f>
        <v>Calle Güigüe Nro. 89-89</v>
      </c>
      <c r="C129" s="36" t="str">
        <f>IF(SUMIFS(Vigilancia!$E:$E,Vigilancia!$F:$F,A129,Vigilancia!$J:$J,"Vigilancia")=BA129,"ü","û")</f>
        <v>ü</v>
      </c>
      <c r="D129" s="179"/>
      <c r="E129" s="180"/>
      <c r="F129" s="181"/>
      <c r="G129" s="181"/>
      <c r="H129" s="181"/>
      <c r="I129" s="181"/>
      <c r="J129" s="181"/>
      <c r="K129" s="181"/>
      <c r="L129" s="181"/>
      <c r="M129" s="181"/>
      <c r="N129" s="181"/>
      <c r="O129" s="181"/>
      <c r="P129" s="179"/>
      <c r="Q129" s="183"/>
      <c r="R129" s="184"/>
      <c r="S129" s="184"/>
      <c r="T129" s="204" t="s">
        <v>1229</v>
      </c>
      <c r="U129" s="205"/>
      <c r="V129" s="205"/>
      <c r="W129" s="205"/>
      <c r="X129" s="205"/>
      <c r="Y129" s="205"/>
      <c r="Z129" s="205"/>
      <c r="AA129" s="205"/>
      <c r="AB129" s="206"/>
      <c r="AC129" s="390"/>
      <c r="AD129" s="380"/>
      <c r="AE129" s="380"/>
      <c r="AF129" s="380"/>
      <c r="AG129" s="380"/>
      <c r="AH129" s="380"/>
      <c r="AI129" s="380"/>
      <c r="AJ129" s="380"/>
      <c r="AK129" s="380"/>
      <c r="AL129" s="380"/>
      <c r="AM129" s="380"/>
      <c r="AN129" s="391"/>
      <c r="AO129" s="390"/>
      <c r="AP129" s="380"/>
      <c r="AQ129" s="380"/>
      <c r="AR129" s="380"/>
      <c r="AS129" s="380"/>
      <c r="AT129" s="380"/>
      <c r="AU129" s="380"/>
      <c r="AV129" s="380"/>
      <c r="AW129" s="380"/>
      <c r="AX129" s="380"/>
      <c r="AY129" s="380"/>
      <c r="AZ129" s="391"/>
      <c r="BA129" s="406">
        <f t="shared" si="46"/>
        <v>0</v>
      </c>
    </row>
    <row r="130" spans="1:53" s="29" customFormat="1" ht="20.100000000000001" customHeight="1">
      <c r="A130" s="68" t="str">
        <f>Vecinos!A130</f>
        <v>Familia Civitico Rueda</v>
      </c>
      <c r="B130" s="69" t="str">
        <f>Vecinos!C130</f>
        <v>Calle Güigüe Nro. 89-89</v>
      </c>
      <c r="C130" s="36" t="str">
        <f>IF(SUMIFS(Vigilancia!$E:$E,Vigilancia!$F:$F,A130,Vigilancia!$J:$J,"Vigilancia")=BA130,"ü","û")</f>
        <v>ü</v>
      </c>
      <c r="D130" s="214"/>
      <c r="E130" s="215"/>
      <c r="F130" s="216"/>
      <c r="G130" s="216"/>
      <c r="H130" s="216"/>
      <c r="I130" s="216"/>
      <c r="J130" s="216"/>
      <c r="K130" s="216"/>
      <c r="L130" s="216"/>
      <c r="M130" s="216"/>
      <c r="N130" s="216"/>
      <c r="O130" s="216"/>
      <c r="P130" s="214"/>
      <c r="Q130" s="217"/>
      <c r="R130" s="218"/>
      <c r="S130" s="218"/>
      <c r="T130" s="184">
        <f>20000/100000+120000/100000</f>
        <v>1.4</v>
      </c>
      <c r="U130" s="184">
        <f>140000/100000+260000/100000</f>
        <v>4</v>
      </c>
      <c r="V130" s="192">
        <f>400000/100000</f>
        <v>4</v>
      </c>
      <c r="W130" s="204" t="s">
        <v>1231</v>
      </c>
      <c r="X130" s="205"/>
      <c r="Y130" s="205"/>
      <c r="Z130" s="205"/>
      <c r="AA130" s="205"/>
      <c r="AB130" s="206"/>
      <c r="AC130" s="390"/>
      <c r="AD130" s="380"/>
      <c r="AE130" s="380"/>
      <c r="AF130" s="380"/>
      <c r="AG130" s="380"/>
      <c r="AH130" s="380"/>
      <c r="AI130" s="380"/>
      <c r="AJ130" s="380"/>
      <c r="AK130" s="380"/>
      <c r="AL130" s="380"/>
      <c r="AM130" s="380"/>
      <c r="AN130" s="391"/>
      <c r="AO130" s="390"/>
      <c r="AP130" s="380"/>
      <c r="AQ130" s="380"/>
      <c r="AR130" s="380"/>
      <c r="AS130" s="380"/>
      <c r="AT130" s="380"/>
      <c r="AU130" s="380"/>
      <c r="AV130" s="380"/>
      <c r="AW130" s="380"/>
      <c r="AX130" s="380"/>
      <c r="AY130" s="380"/>
      <c r="AZ130" s="391"/>
      <c r="BA130" s="406">
        <f t="shared" si="46"/>
        <v>9.4</v>
      </c>
    </row>
    <row r="131" spans="1:53" s="29" customFormat="1" ht="20.100000000000001" customHeight="1">
      <c r="A131" s="30" t="str">
        <f>Vecinos!A131</f>
        <v>Wilson Escamilla</v>
      </c>
      <c r="B131" s="31" t="str">
        <f>Vecinos!C131</f>
        <v>Calle Güigüe Nro. 89-89</v>
      </c>
      <c r="C131" s="36" t="str">
        <f>IF(SUMIFS(Vigilancia!$E:$E,Vigilancia!$F:$F,A131,Vigilancia!$J:$J,"Vigilancia")=BA131,"ü","û")</f>
        <v>ü</v>
      </c>
      <c r="D131" s="214"/>
      <c r="E131" s="215"/>
      <c r="F131" s="216"/>
      <c r="G131" s="216"/>
      <c r="H131" s="216"/>
      <c r="I131" s="216"/>
      <c r="J131" s="216"/>
      <c r="K131" s="216"/>
      <c r="L131" s="216"/>
      <c r="M131" s="216"/>
      <c r="N131" s="216"/>
      <c r="O131" s="216"/>
      <c r="P131" s="214"/>
      <c r="Q131" s="217"/>
      <c r="R131" s="218"/>
      <c r="S131" s="218"/>
      <c r="T131" s="218"/>
      <c r="U131" s="218"/>
      <c r="V131" s="218">
        <f>225000/100000</f>
        <v>2.25</v>
      </c>
      <c r="W131" s="184">
        <f>1000000/100000</f>
        <v>10</v>
      </c>
      <c r="X131" s="184">
        <v>12</v>
      </c>
      <c r="Y131" s="184">
        <v>320</v>
      </c>
      <c r="Z131" s="184">
        <v>320</v>
      </c>
      <c r="AA131" s="191">
        <v>320</v>
      </c>
      <c r="AB131" s="344">
        <v>800</v>
      </c>
      <c r="AC131" s="383">
        <f>44.2+755.8+2000</f>
        <v>2800</v>
      </c>
      <c r="AD131" s="377">
        <v>3000</v>
      </c>
      <c r="AE131" s="382">
        <v>3000</v>
      </c>
      <c r="AF131" s="377">
        <v>5000</v>
      </c>
      <c r="AG131" s="377">
        <f>3000+5000</f>
        <v>8000</v>
      </c>
      <c r="AH131" s="377">
        <v>8000</v>
      </c>
      <c r="AI131" s="377">
        <v>10000</v>
      </c>
      <c r="AJ131" s="377">
        <v>10000</v>
      </c>
      <c r="AK131" s="377">
        <v>20500</v>
      </c>
      <c r="AL131" s="377">
        <v>56250</v>
      </c>
      <c r="AM131" s="377">
        <v>56250</v>
      </c>
      <c r="AN131" s="378">
        <v>183500</v>
      </c>
      <c r="AO131" s="376">
        <v>183500</v>
      </c>
      <c r="AP131" s="377">
        <v>183500</v>
      </c>
      <c r="AQ131" s="377">
        <v>183500</v>
      </c>
      <c r="AR131" s="377">
        <v>185250</v>
      </c>
      <c r="AS131" s="377">
        <v>250000</v>
      </c>
      <c r="AT131" s="377">
        <f>250000</f>
        <v>250000</v>
      </c>
      <c r="AU131" s="377"/>
      <c r="AV131" s="377"/>
      <c r="AW131" s="377"/>
      <c r="AX131" s="377"/>
      <c r="AY131" s="377"/>
      <c r="AZ131" s="378"/>
      <c r="BA131" s="403">
        <f t="shared" si="46"/>
        <v>1603834.25</v>
      </c>
    </row>
    <row r="132" spans="1:53" s="29" customFormat="1" ht="20.100000000000001" customHeight="1">
      <c r="A132" s="68" t="str">
        <f>Vecinos!A132</f>
        <v>Familia Herrera Guada</v>
      </c>
      <c r="B132" s="69" t="str">
        <f>Vecinos!C132</f>
        <v>Calle Güigüe Nro. 89-90</v>
      </c>
      <c r="C132" s="36" t="str">
        <f>IF(SUMIFS(Vigilancia!$E:$E,Vigilancia!$F:$F,A132,Vigilancia!$J:$J,"Vigilancia")=BA132,"ü","û")</f>
        <v>ü</v>
      </c>
      <c r="D132" s="186"/>
      <c r="E132" s="187">
        <f>4500/100000</f>
        <v>4.4999999999999998E-2</v>
      </c>
      <c r="F132" s="188">
        <f>4500/100000</f>
        <v>4.4999999999999998E-2</v>
      </c>
      <c r="G132" s="188">
        <f>5000/100000</f>
        <v>0.05</v>
      </c>
      <c r="H132" s="188">
        <f>5000/100000</f>
        <v>0.05</v>
      </c>
      <c r="I132" s="188">
        <f>5000/100000</f>
        <v>0.05</v>
      </c>
      <c r="J132" s="221" t="s">
        <v>1229</v>
      </c>
      <c r="K132" s="233"/>
      <c r="L132" s="233"/>
      <c r="M132" s="233"/>
      <c r="N132" s="233"/>
      <c r="O132" s="233"/>
      <c r="P132" s="222"/>
      <c r="Q132" s="223"/>
      <c r="R132" s="224"/>
      <c r="S132" s="224"/>
      <c r="T132" s="224"/>
      <c r="U132" s="224"/>
      <c r="V132" s="224"/>
      <c r="W132" s="224"/>
      <c r="X132" s="224"/>
      <c r="Y132" s="224"/>
      <c r="Z132" s="224"/>
      <c r="AA132" s="224"/>
      <c r="AB132" s="222"/>
      <c r="AC132" s="392"/>
      <c r="AD132" s="393"/>
      <c r="AE132" s="393"/>
      <c r="AF132" s="393"/>
      <c r="AG132" s="393"/>
      <c r="AH132" s="393"/>
      <c r="AI132" s="393"/>
      <c r="AJ132" s="393"/>
      <c r="AK132" s="393"/>
      <c r="AL132" s="393"/>
      <c r="AM132" s="393"/>
      <c r="AN132" s="394"/>
      <c r="AO132" s="392"/>
      <c r="AP132" s="393"/>
      <c r="AQ132" s="393"/>
      <c r="AR132" s="393"/>
      <c r="AS132" s="393"/>
      <c r="AT132" s="393"/>
      <c r="AU132" s="393"/>
      <c r="AV132" s="393"/>
      <c r="AW132" s="393"/>
      <c r="AX132" s="393"/>
      <c r="AY132" s="393"/>
      <c r="AZ132" s="394"/>
      <c r="BA132" s="407">
        <f t="shared" si="46"/>
        <v>0.24</v>
      </c>
    </row>
    <row r="133" spans="1:53" s="29" customFormat="1" ht="20.100000000000001" customHeight="1">
      <c r="A133" s="30" t="str">
        <f>Vecinos!A133</f>
        <v>Familia Montilla García</v>
      </c>
      <c r="B133" s="31" t="str">
        <f>Vecinos!C133</f>
        <v>Calle Güigüe Nro. 89-90</v>
      </c>
      <c r="C133" s="36" t="str">
        <f>IF(SUMIFS(Vigilancia!$E:$E,Vigilancia!$F:$F,A133,Vigilancia!$J:$J,"Vigilancia")=BA133,"ü","û")</f>
        <v>ü</v>
      </c>
      <c r="D133" s="214"/>
      <c r="E133" s="215"/>
      <c r="F133" s="216"/>
      <c r="G133" s="216"/>
      <c r="H133" s="216"/>
      <c r="I133" s="216"/>
      <c r="J133" s="181">
        <f>26000/100000</f>
        <v>0.26</v>
      </c>
      <c r="K133" s="226">
        <f>26000/100000</f>
        <v>0.26</v>
      </c>
      <c r="L133" s="181">
        <f t="shared" ref="L133:N137" si="65">35000/100000</f>
        <v>0.35</v>
      </c>
      <c r="M133" s="181">
        <f t="shared" si="65"/>
        <v>0.35</v>
      </c>
      <c r="N133" s="181">
        <f t="shared" si="65"/>
        <v>0.35</v>
      </c>
      <c r="O133" s="181">
        <f t="shared" ref="O133:P137" si="66">50000/100000</f>
        <v>0.5</v>
      </c>
      <c r="P133" s="179">
        <f t="shared" si="66"/>
        <v>0.5</v>
      </c>
      <c r="Q133" s="183">
        <f t="shared" ref="Q133:R137" si="67">80000/100000</f>
        <v>0.8</v>
      </c>
      <c r="R133" s="184">
        <f t="shared" si="67"/>
        <v>0.8</v>
      </c>
      <c r="S133" s="184">
        <f>140000/100000</f>
        <v>1.4</v>
      </c>
      <c r="T133" s="184">
        <f>140000/100000</f>
        <v>1.4</v>
      </c>
      <c r="U133" s="184">
        <f>400000/100000</f>
        <v>4</v>
      </c>
      <c r="V133" s="184">
        <f>400000/100000+225000/100000</f>
        <v>6.25</v>
      </c>
      <c r="W133" s="184">
        <f>1030000/100000-225000/100000+195000/100000</f>
        <v>10</v>
      </c>
      <c r="X133" s="184">
        <f>1200000/100000</f>
        <v>12</v>
      </c>
      <c r="Y133" s="184">
        <v>320</v>
      </c>
      <c r="Z133" s="184">
        <v>320</v>
      </c>
      <c r="AA133" s="184">
        <v>320</v>
      </c>
      <c r="AB133" s="179">
        <v>800</v>
      </c>
      <c r="AC133" s="376">
        <v>3000</v>
      </c>
      <c r="AD133" s="377">
        <v>3000</v>
      </c>
      <c r="AE133" s="382">
        <v>3000</v>
      </c>
      <c r="AF133" s="382">
        <f>3000+2000</f>
        <v>5000</v>
      </c>
      <c r="AG133" s="377">
        <v>8000</v>
      </c>
      <c r="AH133" s="377">
        <v>8000</v>
      </c>
      <c r="AI133" s="377">
        <v>10000</v>
      </c>
      <c r="AJ133" s="382">
        <v>10000</v>
      </c>
      <c r="AK133" s="377">
        <v>20500</v>
      </c>
      <c r="AL133" s="377">
        <f>19800+36450</f>
        <v>56250</v>
      </c>
      <c r="AM133" s="377">
        <v>56250</v>
      </c>
      <c r="AN133" s="387">
        <f>7300+98700</f>
        <v>106000</v>
      </c>
      <c r="AO133" s="376">
        <f>7300+129700</f>
        <v>137000</v>
      </c>
      <c r="AP133" s="377">
        <f>7300+129000</f>
        <v>136300</v>
      </c>
      <c r="AQ133" s="382">
        <f>185000</f>
        <v>185000</v>
      </c>
      <c r="AR133" s="382">
        <v>187000</v>
      </c>
      <c r="AS133" s="377">
        <v>250000</v>
      </c>
      <c r="AT133" s="377"/>
      <c r="AU133" s="377"/>
      <c r="AV133" s="382"/>
      <c r="AW133" s="377"/>
      <c r="AX133" s="377"/>
      <c r="AY133" s="377"/>
      <c r="AZ133" s="378"/>
      <c r="BA133" s="403">
        <f t="shared" si="46"/>
        <v>1186099.22</v>
      </c>
    </row>
    <row r="134" spans="1:53" s="29" customFormat="1" ht="20.100000000000001" customHeight="1">
      <c r="A134" s="30" t="str">
        <f>Vecinos!A134</f>
        <v>Familia Kattar González</v>
      </c>
      <c r="B134" s="31" t="str">
        <f>Vecinos!C134</f>
        <v>Calle Güigüe Nro. 89-95</v>
      </c>
      <c r="C134" s="36" t="str">
        <f>IF(SUMIFS(Vigilancia!$E:$E,Vigilancia!$F:$F,A134,Vigilancia!$J:$J,"Vigilancia")=BA134,"ü","û")</f>
        <v>ü</v>
      </c>
      <c r="D134" s="179"/>
      <c r="E134" s="180">
        <f>17000/100000</f>
        <v>0.17</v>
      </c>
      <c r="F134" s="182">
        <f>12000/100000</f>
        <v>0.12</v>
      </c>
      <c r="G134" s="182"/>
      <c r="H134" s="182"/>
      <c r="I134" s="181">
        <f>26000/100000</f>
        <v>0.26</v>
      </c>
      <c r="J134" s="181">
        <f>26000/100000</f>
        <v>0.26</v>
      </c>
      <c r="K134" s="181">
        <f>35000/100000</f>
        <v>0.35</v>
      </c>
      <c r="L134" s="181">
        <f t="shared" si="65"/>
        <v>0.35</v>
      </c>
      <c r="M134" s="181">
        <f t="shared" si="65"/>
        <v>0.35</v>
      </c>
      <c r="N134" s="181">
        <f t="shared" si="65"/>
        <v>0.35</v>
      </c>
      <c r="O134" s="181">
        <f t="shared" si="66"/>
        <v>0.5</v>
      </c>
      <c r="P134" s="179">
        <f t="shared" si="66"/>
        <v>0.5</v>
      </c>
      <c r="Q134" s="183">
        <f t="shared" si="67"/>
        <v>0.8</v>
      </c>
      <c r="R134" s="184">
        <f t="shared" si="67"/>
        <v>0.8</v>
      </c>
      <c r="S134" s="181">
        <f>50000/100000+90000/100000</f>
        <v>1.4</v>
      </c>
      <c r="T134" s="184">
        <f>140000/100000</f>
        <v>1.4</v>
      </c>
      <c r="U134" s="184">
        <f>20000/100000+380000/100000</f>
        <v>4</v>
      </c>
      <c r="V134" s="184">
        <f>400000/100000+225000/100000</f>
        <v>6.25</v>
      </c>
      <c r="W134" s="191">
        <f>400000/100000+450000/100000+150000/100000</f>
        <v>10</v>
      </c>
      <c r="X134" s="191">
        <f>400000/100000+800000/100000</f>
        <v>12</v>
      </c>
      <c r="Y134" s="191">
        <f>400000/100000+316</f>
        <v>320</v>
      </c>
      <c r="Z134" s="191">
        <f>20000/100000+319.8</f>
        <v>320</v>
      </c>
      <c r="AA134" s="184">
        <v>320</v>
      </c>
      <c r="AB134" s="344">
        <v>800</v>
      </c>
      <c r="AC134" s="381">
        <f>44.2+755.8+2200+44.2</f>
        <v>3044.2</v>
      </c>
      <c r="AD134" s="377">
        <v>3000</v>
      </c>
      <c r="AE134" s="382">
        <v>3000</v>
      </c>
      <c r="AF134" s="382">
        <v>5000</v>
      </c>
      <c r="AG134" s="382">
        <v>8000</v>
      </c>
      <c r="AH134" s="382">
        <v>8000</v>
      </c>
      <c r="AI134" s="382">
        <v>10000</v>
      </c>
      <c r="AJ134" s="544">
        <f>3900</f>
        <v>3900</v>
      </c>
      <c r="AK134" s="382">
        <v>20500</v>
      </c>
      <c r="AL134" s="382">
        <v>48000</v>
      </c>
      <c r="AM134" s="382">
        <v>81750</v>
      </c>
      <c r="AN134" s="387">
        <v>137000</v>
      </c>
      <c r="AO134" s="381">
        <v>136250</v>
      </c>
      <c r="AP134" s="377">
        <v>136000</v>
      </c>
      <c r="AQ134" s="382">
        <v>188000</v>
      </c>
      <c r="AR134" s="382">
        <v>186000</v>
      </c>
      <c r="AS134" s="382">
        <v>250000</v>
      </c>
      <c r="AT134" s="382"/>
      <c r="AU134" s="382"/>
      <c r="AV134" s="382"/>
      <c r="AW134" s="382"/>
      <c r="AX134" s="382"/>
      <c r="AY134" s="382"/>
      <c r="AZ134" s="387"/>
      <c r="BA134" s="403">
        <f t="shared" si="46"/>
        <v>1229244.06</v>
      </c>
    </row>
    <row r="135" spans="1:53" s="29" customFormat="1" ht="20.100000000000001" customHeight="1">
      <c r="A135" s="30" t="str">
        <f>Vecinos!A135</f>
        <v>Amarilis Guerra</v>
      </c>
      <c r="B135" s="31" t="str">
        <f>Vecinos!C135</f>
        <v>Calle Güigüe Nro. 89-96</v>
      </c>
      <c r="C135" s="36" t="str">
        <f>IF(SUMIFS(Vigilancia!$E:$E,Vigilancia!$F:$F,A135,Vigilancia!$J:$J,"Vigilancia")=BA135,"ü","û")</f>
        <v>ü</v>
      </c>
      <c r="D135" s="179"/>
      <c r="E135" s="180">
        <f>17000/100000</f>
        <v>0.17</v>
      </c>
      <c r="F135" s="181">
        <f t="shared" ref="F135:H137" si="68">17000/100000</f>
        <v>0.17</v>
      </c>
      <c r="G135" s="181">
        <f t="shared" si="68"/>
        <v>0.17</v>
      </c>
      <c r="H135" s="181">
        <f t="shared" si="68"/>
        <v>0.17</v>
      </c>
      <c r="I135" s="181">
        <f>26000/100000</f>
        <v>0.26</v>
      </c>
      <c r="J135" s="181">
        <f>1000/100000+25000/100000</f>
        <v>0.26</v>
      </c>
      <c r="K135" s="181">
        <f>35000/100000</f>
        <v>0.35</v>
      </c>
      <c r="L135" s="181">
        <f t="shared" si="65"/>
        <v>0.35</v>
      </c>
      <c r="M135" s="181">
        <f t="shared" si="65"/>
        <v>0.35</v>
      </c>
      <c r="N135" s="181">
        <f t="shared" si="65"/>
        <v>0.35</v>
      </c>
      <c r="O135" s="181">
        <f t="shared" si="66"/>
        <v>0.5</v>
      </c>
      <c r="P135" s="179">
        <f t="shared" si="66"/>
        <v>0.5</v>
      </c>
      <c r="Q135" s="183">
        <f t="shared" si="67"/>
        <v>0.8</v>
      </c>
      <c r="R135" s="184">
        <f t="shared" si="67"/>
        <v>0.8</v>
      </c>
      <c r="S135" s="184">
        <f>140000/100000</f>
        <v>1.4</v>
      </c>
      <c r="T135" s="184">
        <f>140000/100000</f>
        <v>1.4</v>
      </c>
      <c r="U135" s="184">
        <f>400000/100000</f>
        <v>4</v>
      </c>
      <c r="V135" s="184">
        <f>400000/100000+225000/100000</f>
        <v>6.25</v>
      </c>
      <c r="W135" s="184">
        <f>1000000/100000</f>
        <v>10</v>
      </c>
      <c r="X135" s="184">
        <f>1200000/100000</f>
        <v>12</v>
      </c>
      <c r="Y135" s="184">
        <v>320</v>
      </c>
      <c r="Z135" s="184">
        <v>320</v>
      </c>
      <c r="AA135" s="184">
        <v>320</v>
      </c>
      <c r="AB135" s="344">
        <v>800</v>
      </c>
      <c r="AC135" s="381">
        <f>800+2200</f>
        <v>3000</v>
      </c>
      <c r="AD135" s="382">
        <v>3000</v>
      </c>
      <c r="AE135" s="382">
        <v>3000</v>
      </c>
      <c r="AF135" s="382">
        <f>3000+2000</f>
        <v>5000</v>
      </c>
      <c r="AG135" s="382">
        <f>5000+3000</f>
        <v>8000</v>
      </c>
      <c r="AH135" s="382">
        <f>5000+3000</f>
        <v>8000</v>
      </c>
      <c r="AI135" s="377">
        <v>10000</v>
      </c>
      <c r="AJ135" s="382">
        <v>10000</v>
      </c>
      <c r="AK135" s="382">
        <v>23400</v>
      </c>
      <c r="AL135" s="382">
        <f>21100+25900</f>
        <v>47000</v>
      </c>
      <c r="AM135" s="377">
        <v>73500</v>
      </c>
      <c r="AN135" s="387">
        <v>81750</v>
      </c>
      <c r="AO135" s="381">
        <v>136250</v>
      </c>
      <c r="AP135" s="382">
        <v>136250</v>
      </c>
      <c r="AQ135" s="382">
        <f>136250+50000</f>
        <v>186250</v>
      </c>
      <c r="AR135" s="382">
        <v>185250</v>
      </c>
      <c r="AS135" s="382">
        <v>250000</v>
      </c>
      <c r="AT135" s="382"/>
      <c r="AU135" s="377"/>
      <c r="AV135" s="382"/>
      <c r="AW135" s="382"/>
      <c r="AX135" s="382"/>
      <c r="AY135" s="382"/>
      <c r="AZ135" s="387"/>
      <c r="BA135" s="403">
        <f t="shared" ref="BA135:BA143" si="69">SUM(D135:AZ135)</f>
        <v>1171450.25</v>
      </c>
    </row>
    <row r="136" spans="1:53" s="29" customFormat="1" ht="20.100000000000001" customHeight="1">
      <c r="A136" s="30" t="str">
        <f>Vecinos!A136</f>
        <v>Familia Ochoa Mendoza</v>
      </c>
      <c r="B136" s="31" t="str">
        <f>Vecinos!C136</f>
        <v>Calle Güigüe Nro. 89-105</v>
      </c>
      <c r="C136" s="36" t="str">
        <f>IF(SUMIFS(Vigilancia!$E:$E,Vigilancia!$F:$F,A136,Vigilancia!$J:$J,"Vigilancia")=BA136,"ü","û")</f>
        <v>ü</v>
      </c>
      <c r="D136" s="179"/>
      <c r="E136" s="180">
        <f>17000/100000</f>
        <v>0.17</v>
      </c>
      <c r="F136" s="181">
        <f t="shared" si="68"/>
        <v>0.17</v>
      </c>
      <c r="G136" s="181">
        <f t="shared" si="68"/>
        <v>0.17</v>
      </c>
      <c r="H136" s="181">
        <f t="shared" si="68"/>
        <v>0.17</v>
      </c>
      <c r="I136" s="181">
        <f>26000/100000</f>
        <v>0.26</v>
      </c>
      <c r="J136" s="181">
        <f>26000/100000</f>
        <v>0.26</v>
      </c>
      <c r="K136" s="181">
        <f>26000/100000+9000/100000</f>
        <v>0.35</v>
      </c>
      <c r="L136" s="181">
        <f t="shared" si="65"/>
        <v>0.35</v>
      </c>
      <c r="M136" s="181">
        <f t="shared" si="65"/>
        <v>0.35</v>
      </c>
      <c r="N136" s="181">
        <f t="shared" si="65"/>
        <v>0.35</v>
      </c>
      <c r="O136" s="181">
        <f t="shared" si="66"/>
        <v>0.5</v>
      </c>
      <c r="P136" s="179">
        <f t="shared" si="66"/>
        <v>0.5</v>
      </c>
      <c r="Q136" s="183">
        <f t="shared" si="67"/>
        <v>0.8</v>
      </c>
      <c r="R136" s="184">
        <f t="shared" si="67"/>
        <v>0.8</v>
      </c>
      <c r="S136" s="184">
        <f>140000/100000</f>
        <v>1.4</v>
      </c>
      <c r="T136" s="184">
        <f>150000/100000</f>
        <v>1.5</v>
      </c>
      <c r="U136" s="184">
        <f>400000/100000</f>
        <v>4</v>
      </c>
      <c r="V136" s="184">
        <f>400000/100000+225000/100000</f>
        <v>6.25</v>
      </c>
      <c r="W136" s="184">
        <f>850000/100000+150000/100000</f>
        <v>10</v>
      </c>
      <c r="X136" s="192">
        <f>850000/100000+75000/100000+2</f>
        <v>11.25</v>
      </c>
      <c r="Y136" s="184">
        <v>320</v>
      </c>
      <c r="Z136" s="184">
        <v>320</v>
      </c>
      <c r="AA136" s="184">
        <v>350</v>
      </c>
      <c r="AB136" s="179">
        <v>800</v>
      </c>
      <c r="AC136" s="381">
        <f>800+2200</f>
        <v>3000</v>
      </c>
      <c r="AD136" s="377">
        <v>3000</v>
      </c>
      <c r="AE136" s="382">
        <v>3000</v>
      </c>
      <c r="AF136" s="382">
        <v>5000</v>
      </c>
      <c r="AG136" s="382">
        <f>5000+3000</f>
        <v>8000</v>
      </c>
      <c r="AH136" s="382">
        <f>5000+3000</f>
        <v>8000</v>
      </c>
      <c r="AI136" s="377">
        <v>10000</v>
      </c>
      <c r="AJ136" s="382">
        <v>10000</v>
      </c>
      <c r="AK136" s="382">
        <v>20500</v>
      </c>
      <c r="AL136" s="377">
        <f>19800+27200</f>
        <v>47000</v>
      </c>
      <c r="AM136" s="382">
        <v>56250</v>
      </c>
      <c r="AN136" s="378">
        <v>81750</v>
      </c>
      <c r="AO136" s="381">
        <v>136250</v>
      </c>
      <c r="AP136" s="377">
        <v>136250</v>
      </c>
      <c r="AQ136" s="382">
        <v>185250</v>
      </c>
      <c r="AR136" s="382">
        <v>185250</v>
      </c>
      <c r="AS136" s="382">
        <v>250000</v>
      </c>
      <c r="AT136" s="382"/>
      <c r="AU136" s="377"/>
      <c r="AV136" s="382"/>
      <c r="AW136" s="382"/>
      <c r="AX136" s="382"/>
      <c r="AY136" s="382"/>
      <c r="AZ136" s="387"/>
      <c r="BA136" s="403">
        <f t="shared" si="69"/>
        <v>1150329.6000000001</v>
      </c>
    </row>
    <row r="137" spans="1:53" s="29" customFormat="1" ht="20.100000000000001" customHeight="1">
      <c r="A137" s="59" t="str">
        <f>Vecinos!A137</f>
        <v>Anahiz Seijas</v>
      </c>
      <c r="B137" s="60" t="str">
        <f>Vecinos!C137</f>
        <v>Calle Güigüe Nro. 89-106</v>
      </c>
      <c r="C137" s="36" t="str">
        <f>IF(SUMIFS(Vigilancia!$E:$E,Vigilancia!$F:$F,A137,Vigilancia!$J:$J,"Vigilancia")=BA137,"ü","û")</f>
        <v>ü</v>
      </c>
      <c r="D137" s="179"/>
      <c r="E137" s="180">
        <f>17000/100000</f>
        <v>0.17</v>
      </c>
      <c r="F137" s="181">
        <f t="shared" si="68"/>
        <v>0.17</v>
      </c>
      <c r="G137" s="181">
        <f t="shared" si="68"/>
        <v>0.17</v>
      </c>
      <c r="H137" s="181">
        <f t="shared" si="68"/>
        <v>0.17</v>
      </c>
      <c r="I137" s="181">
        <f>26000/100000</f>
        <v>0.26</v>
      </c>
      <c r="J137" s="181">
        <f>26000/100000</f>
        <v>0.26</v>
      </c>
      <c r="K137" s="181">
        <f>35000/100000</f>
        <v>0.35</v>
      </c>
      <c r="L137" s="181">
        <f t="shared" si="65"/>
        <v>0.35</v>
      </c>
      <c r="M137" s="181">
        <f t="shared" si="65"/>
        <v>0.35</v>
      </c>
      <c r="N137" s="181">
        <f t="shared" si="65"/>
        <v>0.35</v>
      </c>
      <c r="O137" s="181">
        <f t="shared" si="66"/>
        <v>0.5</v>
      </c>
      <c r="P137" s="179">
        <f t="shared" si="66"/>
        <v>0.5</v>
      </c>
      <c r="Q137" s="183">
        <f t="shared" si="67"/>
        <v>0.8</v>
      </c>
      <c r="R137" s="184">
        <f t="shared" si="67"/>
        <v>0.8</v>
      </c>
      <c r="S137" s="184">
        <f>140000/100000</f>
        <v>1.4</v>
      </c>
      <c r="T137" s="184">
        <f>140000/100000</f>
        <v>1.4</v>
      </c>
      <c r="U137" s="184">
        <f>400000/100000</f>
        <v>4</v>
      </c>
      <c r="V137" s="184">
        <f>400000/100000+225000/100000</f>
        <v>6.25</v>
      </c>
      <c r="W137" s="184">
        <f>1000000/100000</f>
        <v>10</v>
      </c>
      <c r="X137" s="192">
        <f>1000000/100000</f>
        <v>10</v>
      </c>
      <c r="Y137" s="184">
        <v>320</v>
      </c>
      <c r="Z137" s="184">
        <v>320</v>
      </c>
      <c r="AA137" s="191">
        <v>320</v>
      </c>
      <c r="AB137" s="344">
        <f>320+480</f>
        <v>800</v>
      </c>
      <c r="AC137" s="381">
        <v>3000</v>
      </c>
      <c r="AD137" s="382">
        <v>3000</v>
      </c>
      <c r="AE137" s="377">
        <v>3000</v>
      </c>
      <c r="AF137" s="382">
        <f>3000+2000</f>
        <v>5000</v>
      </c>
      <c r="AG137" s="382">
        <f>5000+3000</f>
        <v>8000</v>
      </c>
      <c r="AH137" s="204" t="s">
        <v>1232</v>
      </c>
      <c r="AI137" s="205"/>
      <c r="AJ137" s="380"/>
      <c r="AK137" s="380"/>
      <c r="AL137" s="380"/>
      <c r="AM137" s="380"/>
      <c r="AN137" s="391"/>
      <c r="AO137" s="390"/>
      <c r="AP137" s="380"/>
      <c r="AQ137" s="380"/>
      <c r="AR137" s="380"/>
      <c r="AS137" s="380"/>
      <c r="AT137" s="204"/>
      <c r="AU137" s="205"/>
      <c r="AV137" s="380"/>
      <c r="AW137" s="380"/>
      <c r="AX137" s="380"/>
      <c r="AY137" s="380"/>
      <c r="AZ137" s="391"/>
      <c r="BA137" s="406">
        <f t="shared" si="69"/>
        <v>23798.25</v>
      </c>
    </row>
    <row r="138" spans="1:53" s="29" customFormat="1" ht="20.100000000000001" customHeight="1">
      <c r="A138" s="30" t="str">
        <f>Vecinos!A138</f>
        <v>Familia Chan García</v>
      </c>
      <c r="B138" s="31" t="str">
        <f>Vecinos!C138</f>
        <v>Calle Güigüe Nro. 89-106</v>
      </c>
      <c r="C138" s="36" t="str">
        <f>IF(SUMIFS(Vigilancia!$E:$E,Vigilancia!$F:$F,A138,Vigilancia!$J:$J,"Vigilancia")=BA138,"ü","û")</f>
        <v>ü</v>
      </c>
      <c r="D138" s="497"/>
      <c r="E138" s="498"/>
      <c r="F138" s="499"/>
      <c r="G138" s="499"/>
      <c r="H138" s="499"/>
      <c r="I138" s="499"/>
      <c r="J138" s="499"/>
      <c r="K138" s="499"/>
      <c r="L138" s="499"/>
      <c r="M138" s="499"/>
      <c r="N138" s="499"/>
      <c r="O138" s="499"/>
      <c r="P138" s="497"/>
      <c r="Q138" s="500"/>
      <c r="R138" s="501"/>
      <c r="S138" s="501"/>
      <c r="T138" s="501"/>
      <c r="U138" s="501"/>
      <c r="V138" s="501"/>
      <c r="W138" s="501"/>
      <c r="X138" s="501"/>
      <c r="Y138" s="501"/>
      <c r="Z138" s="501"/>
      <c r="AA138" s="501"/>
      <c r="AB138" s="497"/>
      <c r="AC138" s="502"/>
      <c r="AD138" s="503"/>
      <c r="AE138" s="503"/>
      <c r="AF138" s="503"/>
      <c r="AG138" s="503"/>
      <c r="AH138" s="382">
        <v>8000</v>
      </c>
      <c r="AI138" s="382">
        <v>10000</v>
      </c>
      <c r="AJ138" s="382">
        <v>10000</v>
      </c>
      <c r="AK138" s="382">
        <v>21600</v>
      </c>
      <c r="AL138" s="382">
        <v>47000</v>
      </c>
      <c r="AM138" s="377">
        <v>73500</v>
      </c>
      <c r="AN138" s="387">
        <v>105250</v>
      </c>
      <c r="AO138" s="381">
        <v>136250</v>
      </c>
      <c r="AP138" s="382">
        <v>136250</v>
      </c>
      <c r="AQ138" s="382">
        <v>185250</v>
      </c>
      <c r="AR138" s="377">
        <v>185250</v>
      </c>
      <c r="AS138" s="382">
        <v>250000</v>
      </c>
      <c r="AT138" s="382"/>
      <c r="AU138" s="382"/>
      <c r="AV138" s="382"/>
      <c r="AW138" s="382"/>
      <c r="AX138" s="382"/>
      <c r="AY138" s="382"/>
      <c r="AZ138" s="387"/>
      <c r="BA138" s="403">
        <f t="shared" si="69"/>
        <v>1168350</v>
      </c>
    </row>
    <row r="139" spans="1:53" s="29" customFormat="1" ht="20.100000000000001" customHeight="1">
      <c r="A139" s="33" t="str">
        <f>Vecinos!A139</f>
        <v>Familia Jiménez de Avila</v>
      </c>
      <c r="B139" s="34" t="str">
        <f>Vecinos!C139</f>
        <v>Calle Güigüe Nro. 89-116</v>
      </c>
      <c r="C139" s="35" t="str">
        <f>IF(SUMIFS(Vigilancia!$E:$E,Vigilancia!$F:$F,A139,Vigilancia!$J:$J,"Vigilancia")=BA139,"ü","û")</f>
        <v>ü</v>
      </c>
      <c r="D139" s="186"/>
      <c r="E139" s="187"/>
      <c r="F139" s="188"/>
      <c r="G139" s="188"/>
      <c r="H139" s="188"/>
      <c r="I139" s="188"/>
      <c r="J139" s="188"/>
      <c r="K139" s="188"/>
      <c r="L139" s="188"/>
      <c r="M139" s="188"/>
      <c r="N139" s="188"/>
      <c r="O139" s="188">
        <f>30000/100000</f>
        <v>0.3</v>
      </c>
      <c r="P139" s="186" t="s">
        <v>17</v>
      </c>
      <c r="Q139" s="518" t="s">
        <v>17</v>
      </c>
      <c r="R139" s="519" t="s">
        <v>17</v>
      </c>
      <c r="S139" s="519" t="s">
        <v>17</v>
      </c>
      <c r="T139" s="519" t="s">
        <v>17</v>
      </c>
      <c r="U139" s="519" t="s">
        <v>17</v>
      </c>
      <c r="V139" s="519" t="s">
        <v>17</v>
      </c>
      <c r="W139" s="519" t="s">
        <v>17</v>
      </c>
      <c r="X139" s="519" t="s">
        <v>17</v>
      </c>
      <c r="Y139" s="519" t="s">
        <v>17</v>
      </c>
      <c r="Z139" s="519" t="s">
        <v>17</v>
      </c>
      <c r="AA139" s="190">
        <v>1350</v>
      </c>
      <c r="AB139" s="520" t="s">
        <v>17</v>
      </c>
      <c r="AC139" s="516" t="s">
        <v>17</v>
      </c>
      <c r="AD139" s="517" t="s">
        <v>17</v>
      </c>
      <c r="AE139" s="517" t="s">
        <v>17</v>
      </c>
      <c r="AF139" s="517" t="s">
        <v>17</v>
      </c>
      <c r="AG139" s="517" t="s">
        <v>17</v>
      </c>
      <c r="AH139" s="517" t="s">
        <v>17</v>
      </c>
      <c r="AI139" s="374">
        <v>5000</v>
      </c>
      <c r="AJ139" s="374">
        <v>5000</v>
      </c>
      <c r="AK139" s="374">
        <v>5000</v>
      </c>
      <c r="AL139" s="374">
        <v>5000</v>
      </c>
      <c r="AM139" s="374">
        <v>5000</v>
      </c>
      <c r="AN139" s="375">
        <v>5000</v>
      </c>
      <c r="AO139" s="373">
        <v>70000</v>
      </c>
      <c r="AP139" s="374">
        <v>70000</v>
      </c>
      <c r="AQ139" s="374">
        <v>70000</v>
      </c>
      <c r="AR139" s="374"/>
      <c r="AS139" s="374"/>
      <c r="AT139" s="374"/>
      <c r="AU139" s="374"/>
      <c r="AV139" s="374"/>
      <c r="AW139" s="374"/>
      <c r="AX139" s="374"/>
      <c r="AY139" s="374"/>
      <c r="AZ139" s="375"/>
      <c r="BA139" s="402">
        <f t="shared" si="69"/>
        <v>241350.3</v>
      </c>
    </row>
    <row r="140" spans="1:53" s="29" customFormat="1" ht="20.100000000000001" customHeight="1">
      <c r="A140" s="59" t="str">
        <f>Vecinos!A140</f>
        <v>Familia Morales Sesar</v>
      </c>
      <c r="B140" s="60" t="str">
        <f>Vecinos!C140</f>
        <v>Calle Güigüe Nro. 89-120</v>
      </c>
      <c r="C140" s="36" t="str">
        <f>IF(SUMIFS(Vigilancia!$E:$E,Vigilancia!$F:$F,A140,Vigilancia!$J:$J,"Vigilancia")=BA140,"ü","û")</f>
        <v>ü</v>
      </c>
      <c r="D140" s="179"/>
      <c r="E140" s="180">
        <f>17000/100000</f>
        <v>0.17</v>
      </c>
      <c r="F140" s="181">
        <f>17000/100000</f>
        <v>0.17</v>
      </c>
      <c r="G140" s="181">
        <f>17000/100000</f>
        <v>0.17</v>
      </c>
      <c r="H140" s="181">
        <f>17000/100000</f>
        <v>0.17</v>
      </c>
      <c r="I140" s="181">
        <f>17000/100000+9000/100000</f>
        <v>0.26</v>
      </c>
      <c r="J140" s="181">
        <f>26000/100000</f>
        <v>0.26</v>
      </c>
      <c r="K140" s="226">
        <f>18000/100000</f>
        <v>0.18</v>
      </c>
      <c r="L140" s="181">
        <f>15000/100000</f>
        <v>0.15</v>
      </c>
      <c r="M140" s="181">
        <f>15000/100000</f>
        <v>0.15</v>
      </c>
      <c r="N140" s="181">
        <f>25000/100000</f>
        <v>0.25</v>
      </c>
      <c r="O140" s="234" t="s">
        <v>490</v>
      </c>
      <c r="P140" s="203" t="s">
        <v>490</v>
      </c>
      <c r="Q140" s="183">
        <f>40000/100000</f>
        <v>0.4</v>
      </c>
      <c r="R140" s="184">
        <f>40000/100000</f>
        <v>0.4</v>
      </c>
      <c r="S140" s="184">
        <f>50000/100000</f>
        <v>0.5</v>
      </c>
      <c r="T140" s="184">
        <f>50000/100000</f>
        <v>0.5</v>
      </c>
      <c r="U140" s="184">
        <f>100000/100000</f>
        <v>1</v>
      </c>
      <c r="V140" s="184">
        <f>100000/100000</f>
        <v>1</v>
      </c>
      <c r="W140" s="184"/>
      <c r="X140" s="184"/>
      <c r="Y140" s="184"/>
      <c r="Z140" s="204" t="s">
        <v>1229</v>
      </c>
      <c r="AA140" s="205"/>
      <c r="AB140" s="206"/>
      <c r="AC140" s="390"/>
      <c r="AD140" s="380"/>
      <c r="AE140" s="380"/>
      <c r="AF140" s="380"/>
      <c r="AG140" s="380"/>
      <c r="AH140" s="380"/>
      <c r="AI140" s="380"/>
      <c r="AJ140" s="380"/>
      <c r="AK140" s="380"/>
      <c r="AL140" s="380"/>
      <c r="AM140" s="380"/>
      <c r="AN140" s="391"/>
      <c r="AO140" s="390"/>
      <c r="AP140" s="380"/>
      <c r="AQ140" s="380"/>
      <c r="AR140" s="380"/>
      <c r="AS140" s="380"/>
      <c r="AT140" s="380"/>
      <c r="AU140" s="380"/>
      <c r="AV140" s="380"/>
      <c r="AW140" s="380"/>
      <c r="AX140" s="380"/>
      <c r="AY140" s="380"/>
      <c r="AZ140" s="391"/>
      <c r="BA140" s="406">
        <f t="shared" si="69"/>
        <v>5.73</v>
      </c>
    </row>
    <row r="141" spans="1:53" s="29" customFormat="1" ht="20.100000000000001" customHeight="1">
      <c r="A141" s="30" t="str">
        <f>Vecinos!A141</f>
        <v>Familia Abbinante Pinto</v>
      </c>
      <c r="B141" s="31" t="str">
        <f>Vecinos!C141</f>
        <v>Calle Güigüe Nro. 89-120</v>
      </c>
      <c r="C141" s="36" t="str">
        <f>IF(SUMIFS(Vigilancia!$E:$E,Vigilancia!$F:$F,A141,Vigilancia!$J:$J,"Vigilancia")=BA141,"ü","û")</f>
        <v>ü</v>
      </c>
      <c r="D141" s="206"/>
      <c r="E141" s="305"/>
      <c r="F141" s="213"/>
      <c r="G141" s="213"/>
      <c r="H141" s="213"/>
      <c r="I141" s="213"/>
      <c r="J141" s="213"/>
      <c r="K141" s="233"/>
      <c r="L141" s="213"/>
      <c r="M141" s="213"/>
      <c r="N141" s="213"/>
      <c r="O141" s="339"/>
      <c r="P141" s="340"/>
      <c r="Q141" s="338"/>
      <c r="R141" s="205"/>
      <c r="S141" s="205"/>
      <c r="T141" s="205"/>
      <c r="U141" s="205"/>
      <c r="V141" s="205"/>
      <c r="W141" s="205"/>
      <c r="X141" s="205"/>
      <c r="Y141" s="205"/>
      <c r="Z141" s="184">
        <v>320</v>
      </c>
      <c r="AA141" s="184">
        <v>320</v>
      </c>
      <c r="AB141" s="179">
        <v>800</v>
      </c>
      <c r="AC141" s="376">
        <v>3000</v>
      </c>
      <c r="AD141" s="377">
        <v>3000</v>
      </c>
      <c r="AE141" s="377">
        <v>3000</v>
      </c>
      <c r="AF141" s="377">
        <v>5000</v>
      </c>
      <c r="AG141" s="377">
        <v>8000</v>
      </c>
      <c r="AH141" s="377">
        <v>8000</v>
      </c>
      <c r="AI141" s="377">
        <f>8000+2000</f>
        <v>10000</v>
      </c>
      <c r="AJ141" s="377">
        <v>10000</v>
      </c>
      <c r="AK141" s="377">
        <v>21600</v>
      </c>
      <c r="AL141" s="377">
        <v>51250</v>
      </c>
      <c r="AM141" s="377">
        <v>73500</v>
      </c>
      <c r="AN141" s="378">
        <v>105250</v>
      </c>
      <c r="AO141" s="376">
        <v>136250</v>
      </c>
      <c r="AP141" s="377">
        <v>185250</v>
      </c>
      <c r="AQ141" s="377">
        <v>185250</v>
      </c>
      <c r="AR141" s="377">
        <v>186250</v>
      </c>
      <c r="AS141" s="377">
        <v>250000</v>
      </c>
      <c r="AT141" s="377"/>
      <c r="AU141" s="377"/>
      <c r="AV141" s="377"/>
      <c r="AW141" s="377"/>
      <c r="AX141" s="377"/>
      <c r="AY141" s="377"/>
      <c r="AZ141" s="378"/>
      <c r="BA141" s="403">
        <f t="shared" si="69"/>
        <v>1246040</v>
      </c>
    </row>
    <row r="142" spans="1:53" s="29" customFormat="1" ht="20.100000000000001" customHeight="1">
      <c r="A142" s="30" t="str">
        <f>Vecinos!A142</f>
        <v>Alexander Pena</v>
      </c>
      <c r="B142" s="31" t="str">
        <f>Vecinos!C142</f>
        <v>Calle Güigüe Nro. 89-126</v>
      </c>
      <c r="C142" s="36" t="str">
        <f>IF(SUMIFS(Vigilancia!$E:$E,Vigilancia!$F:$F,A142,Vigilancia!$J:$J,"Vigilancia")=BA142,"ü","û")</f>
        <v>ü</v>
      </c>
      <c r="D142" s="179"/>
      <c r="E142" s="180"/>
      <c r="F142" s="181"/>
      <c r="G142" s="181"/>
      <c r="H142" s="181"/>
      <c r="I142" s="181"/>
      <c r="J142" s="181"/>
      <c r="K142" s="181"/>
      <c r="L142" s="181"/>
      <c r="M142" s="181"/>
      <c r="N142" s="181"/>
      <c r="O142" s="181"/>
      <c r="P142" s="179"/>
      <c r="Q142" s="183"/>
      <c r="R142" s="184"/>
      <c r="S142" s="184"/>
      <c r="T142" s="184"/>
      <c r="U142" s="184"/>
      <c r="V142" s="184"/>
      <c r="W142" s="184"/>
      <c r="X142" s="184"/>
      <c r="Y142" s="184"/>
      <c r="Z142" s="184"/>
      <c r="AA142" s="184"/>
      <c r="AB142" s="179"/>
      <c r="AC142" s="376"/>
      <c r="AD142" s="377"/>
      <c r="AE142" s="377"/>
      <c r="AF142" s="377"/>
      <c r="AG142" s="377"/>
      <c r="AH142" s="377"/>
      <c r="AI142" s="377"/>
      <c r="AJ142" s="377"/>
      <c r="AK142" s="377"/>
      <c r="AL142" s="377"/>
      <c r="AM142" s="377"/>
      <c r="AN142" s="378"/>
      <c r="AO142" s="376"/>
      <c r="AP142" s="377"/>
      <c r="AQ142" s="377"/>
      <c r="AR142" s="377"/>
      <c r="AS142" s="377"/>
      <c r="AT142" s="377"/>
      <c r="AU142" s="377"/>
      <c r="AV142" s="377"/>
      <c r="AW142" s="377"/>
      <c r="AX142" s="377"/>
      <c r="AY142" s="377"/>
      <c r="AZ142" s="378"/>
      <c r="BA142" s="403">
        <f t="shared" si="69"/>
        <v>0</v>
      </c>
    </row>
    <row r="143" spans="1:53" s="29" customFormat="1" ht="20.100000000000001" customHeight="1">
      <c r="A143" s="40" t="str">
        <f>Vecinos!A143</f>
        <v>Familia Pena Wierman</v>
      </c>
      <c r="B143" s="41" t="str">
        <f>Vecinos!C143</f>
        <v>Calle Güigüe Nro. 89-126</v>
      </c>
      <c r="C143" s="42" t="str">
        <f>IF(SUMIFS(Vigilancia!$E:$E,Vigilancia!$F:$F,A143,Vigilancia!$J:$J,"Vigilancia")=BA143,"ü","û")</f>
        <v>ü</v>
      </c>
      <c r="D143" s="235"/>
      <c r="E143" s="236"/>
      <c r="F143" s="237"/>
      <c r="G143" s="237"/>
      <c r="H143" s="237"/>
      <c r="I143" s="237"/>
      <c r="J143" s="237"/>
      <c r="K143" s="237"/>
      <c r="L143" s="237"/>
      <c r="M143" s="237"/>
      <c r="N143" s="237"/>
      <c r="O143" s="237"/>
      <c r="P143" s="235"/>
      <c r="Q143" s="238"/>
      <c r="R143" s="239"/>
      <c r="S143" s="239"/>
      <c r="T143" s="239"/>
      <c r="U143" s="239"/>
      <c r="V143" s="239"/>
      <c r="W143" s="239"/>
      <c r="X143" s="239"/>
      <c r="Y143" s="239"/>
      <c r="Z143" s="239"/>
      <c r="AA143" s="239"/>
      <c r="AB143" s="235"/>
      <c r="AC143" s="398"/>
      <c r="AD143" s="399"/>
      <c r="AE143" s="399"/>
      <c r="AF143" s="399"/>
      <c r="AG143" s="399"/>
      <c r="AH143" s="399"/>
      <c r="AI143" s="399"/>
      <c r="AJ143" s="399"/>
      <c r="AK143" s="399"/>
      <c r="AL143" s="399"/>
      <c r="AM143" s="399"/>
      <c r="AN143" s="400"/>
      <c r="AO143" s="398"/>
      <c r="AP143" s="399"/>
      <c r="AQ143" s="399"/>
      <c r="AR143" s="399"/>
      <c r="AS143" s="399"/>
      <c r="AT143" s="399"/>
      <c r="AU143" s="399"/>
      <c r="AV143" s="399"/>
      <c r="AW143" s="399"/>
      <c r="AX143" s="399"/>
      <c r="AY143" s="399"/>
      <c r="AZ143" s="400"/>
      <c r="BA143" s="408">
        <f t="shared" si="69"/>
        <v>0</v>
      </c>
    </row>
    <row r="144" spans="1:53" s="29" customFormat="1" ht="20.100000000000001" customHeight="1" thickBot="1">
      <c r="A144" s="526"/>
      <c r="B144" s="534" t="s">
        <v>1227</v>
      </c>
      <c r="C144" s="527" t="str">
        <f>C1</f>
        <v>ü</v>
      </c>
      <c r="D144" s="528">
        <f>SUM(D2:D143)</f>
        <v>0.1</v>
      </c>
      <c r="E144" s="529">
        <f>SUM(E2:E143)</f>
        <v>10.254999999999997</v>
      </c>
      <c r="F144" s="530">
        <f t="shared" ref="F144:AB144" si="70">SUM(F2:F143)</f>
        <v>10.619999999999996</v>
      </c>
      <c r="G144" s="530">
        <f t="shared" si="70"/>
        <v>10.084999999999997</v>
      </c>
      <c r="H144" s="530">
        <f t="shared" si="70"/>
        <v>10.475999999999999</v>
      </c>
      <c r="I144" s="530">
        <f t="shared" si="70"/>
        <v>15.079999999999991</v>
      </c>
      <c r="J144" s="530">
        <f t="shared" si="70"/>
        <v>15.649999999999993</v>
      </c>
      <c r="K144" s="530">
        <f t="shared" si="70"/>
        <v>20.910000000000011</v>
      </c>
      <c r="L144" s="530">
        <f t="shared" si="70"/>
        <v>21.105000000000004</v>
      </c>
      <c r="M144" s="530">
        <f t="shared" si="70"/>
        <v>20.769000000000002</v>
      </c>
      <c r="N144" s="530">
        <f t="shared" si="70"/>
        <v>21.420000000000005</v>
      </c>
      <c r="O144" s="530">
        <f t="shared" si="70"/>
        <v>30.399999999999995</v>
      </c>
      <c r="P144" s="531">
        <f t="shared" si="70"/>
        <v>30.769999999999996</v>
      </c>
      <c r="Q144" s="532">
        <f t="shared" si="70"/>
        <v>53.99999999999995</v>
      </c>
      <c r="R144" s="533">
        <f t="shared" si="70"/>
        <v>56.999999999999943</v>
      </c>
      <c r="S144" s="533">
        <f t="shared" si="70"/>
        <v>98.200000000000088</v>
      </c>
      <c r="T144" s="533">
        <f t="shared" si="70"/>
        <v>103.15000000000009</v>
      </c>
      <c r="U144" s="533">
        <f t="shared" si="70"/>
        <v>280.10000000000002</v>
      </c>
      <c r="V144" s="533">
        <f t="shared" si="70"/>
        <v>451.35</v>
      </c>
      <c r="W144" s="535">
        <f t="shared" si="70"/>
        <v>767.75</v>
      </c>
      <c r="X144" s="535">
        <f t="shared" si="70"/>
        <v>934.85</v>
      </c>
      <c r="Y144" s="535">
        <f t="shared" si="70"/>
        <v>23201.41</v>
      </c>
      <c r="Z144" s="535">
        <f t="shared" si="70"/>
        <v>24138.5</v>
      </c>
      <c r="AA144" s="535">
        <f t="shared" si="70"/>
        <v>25420</v>
      </c>
      <c r="AB144" s="536">
        <f t="shared" si="70"/>
        <v>59421.15</v>
      </c>
      <c r="AC144" s="537">
        <f t="shared" ref="AC144:AN144" si="71">SUM(AC2:AC143)</f>
        <v>224154.2</v>
      </c>
      <c r="AD144" s="538">
        <f t="shared" si="71"/>
        <v>229490</v>
      </c>
      <c r="AE144" s="538">
        <f t="shared" si="71"/>
        <v>243715.55</v>
      </c>
      <c r="AF144" s="538">
        <f t="shared" si="71"/>
        <v>392130</v>
      </c>
      <c r="AG144" s="538">
        <f t="shared" si="71"/>
        <v>632980</v>
      </c>
      <c r="AH144" s="538">
        <f t="shared" si="71"/>
        <v>645640</v>
      </c>
      <c r="AI144" s="538">
        <f t="shared" si="71"/>
        <v>809500</v>
      </c>
      <c r="AJ144" s="538">
        <f t="shared" si="71"/>
        <v>809400</v>
      </c>
      <c r="AK144" s="538">
        <f t="shared" si="71"/>
        <v>1723176.22</v>
      </c>
      <c r="AL144" s="538">
        <f t="shared" si="71"/>
        <v>4089589</v>
      </c>
      <c r="AM144" s="538">
        <f t="shared" si="71"/>
        <v>7493371</v>
      </c>
      <c r="AN144" s="539">
        <f t="shared" si="71"/>
        <v>8064925</v>
      </c>
      <c r="AO144" s="537">
        <f t="shared" ref="AO144:AZ144" si="72">SUM(AO2:AO143)</f>
        <v>10541325</v>
      </c>
      <c r="AP144" s="538">
        <f t="shared" si="72"/>
        <v>11317025</v>
      </c>
      <c r="AQ144" s="538">
        <f t="shared" si="72"/>
        <v>14180040</v>
      </c>
      <c r="AR144" s="538">
        <f t="shared" si="72"/>
        <v>14181995.800000001</v>
      </c>
      <c r="AS144" s="538">
        <f t="shared" si="72"/>
        <v>16867000</v>
      </c>
      <c r="AT144" s="538">
        <f t="shared" si="72"/>
        <v>802300</v>
      </c>
      <c r="AU144" s="538">
        <f t="shared" si="72"/>
        <v>0</v>
      </c>
      <c r="AV144" s="538">
        <f t="shared" si="72"/>
        <v>0</v>
      </c>
      <c r="AW144" s="538">
        <f t="shared" si="72"/>
        <v>0</v>
      </c>
      <c r="AX144" s="538">
        <f t="shared" si="72"/>
        <v>0</v>
      </c>
      <c r="AY144" s="538">
        <f t="shared" si="72"/>
        <v>0</v>
      </c>
      <c r="AZ144" s="539">
        <f t="shared" si="72"/>
        <v>0</v>
      </c>
      <c r="BA144" s="540">
        <f>SUM(D144:AZ144)</f>
        <v>93382901.870000005</v>
      </c>
    </row>
    <row r="145" spans="1:54">
      <c r="A145" s="168"/>
      <c r="B145" s="169" t="s">
        <v>1233</v>
      </c>
      <c r="C145" s="323"/>
      <c r="D145" s="324">
        <f>COUNT(D2:D143)</f>
        <v>2</v>
      </c>
      <c r="E145" s="327">
        <f t="shared" ref="E145:AB145" si="73">COUNT(E2:E143)</f>
        <v>75</v>
      </c>
      <c r="F145" s="328">
        <f t="shared" si="73"/>
        <v>75</v>
      </c>
      <c r="G145" s="328">
        <f t="shared" si="73"/>
        <v>69</v>
      </c>
      <c r="H145" s="328">
        <f t="shared" si="73"/>
        <v>70</v>
      </c>
      <c r="I145" s="328">
        <f t="shared" si="73"/>
        <v>69</v>
      </c>
      <c r="J145" s="328">
        <f t="shared" si="73"/>
        <v>68</v>
      </c>
      <c r="K145" s="328">
        <f t="shared" si="73"/>
        <v>71</v>
      </c>
      <c r="L145" s="328">
        <f t="shared" si="73"/>
        <v>71</v>
      </c>
      <c r="M145" s="328">
        <f t="shared" si="73"/>
        <v>68</v>
      </c>
      <c r="N145" s="328">
        <f t="shared" si="73"/>
        <v>68</v>
      </c>
      <c r="O145" s="328">
        <f t="shared" si="73"/>
        <v>68</v>
      </c>
      <c r="P145" s="329">
        <f t="shared" si="73"/>
        <v>68</v>
      </c>
      <c r="Q145" s="316">
        <f t="shared" si="73"/>
        <v>74</v>
      </c>
      <c r="R145" s="171">
        <f t="shared" si="73"/>
        <v>76</v>
      </c>
      <c r="S145" s="171">
        <f t="shared" si="73"/>
        <v>76</v>
      </c>
      <c r="T145" s="171">
        <f t="shared" si="73"/>
        <v>77</v>
      </c>
      <c r="U145" s="171">
        <f>COUNT(U2:U143)</f>
        <v>78</v>
      </c>
      <c r="V145" s="171">
        <f t="shared" si="73"/>
        <v>79</v>
      </c>
      <c r="W145" s="171">
        <f t="shared" si="73"/>
        <v>80</v>
      </c>
      <c r="X145" s="171">
        <f t="shared" si="73"/>
        <v>78</v>
      </c>
      <c r="Y145" s="171">
        <f t="shared" si="73"/>
        <v>75</v>
      </c>
      <c r="Z145" s="171">
        <f t="shared" si="73"/>
        <v>77</v>
      </c>
      <c r="AA145" s="171">
        <f t="shared" si="73"/>
        <v>76</v>
      </c>
      <c r="AB145" s="170">
        <f t="shared" si="73"/>
        <v>76</v>
      </c>
      <c r="AC145" s="327">
        <f t="shared" ref="AC145:AN145" si="74">COUNT(AC2:AC143)</f>
        <v>78</v>
      </c>
      <c r="AD145" s="328">
        <f t="shared" si="74"/>
        <v>78</v>
      </c>
      <c r="AE145" s="328">
        <f t="shared" si="74"/>
        <v>79</v>
      </c>
      <c r="AF145" s="328">
        <f t="shared" si="74"/>
        <v>80</v>
      </c>
      <c r="AG145" s="328">
        <f t="shared" si="74"/>
        <v>81</v>
      </c>
      <c r="AH145" s="328">
        <f t="shared" si="74"/>
        <v>81</v>
      </c>
      <c r="AI145" s="328">
        <f t="shared" si="74"/>
        <v>81</v>
      </c>
      <c r="AJ145" s="328">
        <f t="shared" si="74"/>
        <v>81</v>
      </c>
      <c r="AK145" s="328">
        <f t="shared" si="74"/>
        <v>80</v>
      </c>
      <c r="AL145" s="328">
        <f t="shared" si="74"/>
        <v>81</v>
      </c>
      <c r="AM145" s="328">
        <f t="shared" si="74"/>
        <v>82</v>
      </c>
      <c r="AN145" s="349">
        <f t="shared" si="74"/>
        <v>80</v>
      </c>
      <c r="AO145" s="327">
        <f t="shared" ref="AO145:AZ145" si="75">COUNT(AO2:AO143)</f>
        <v>79</v>
      </c>
      <c r="AP145" s="328">
        <f t="shared" si="75"/>
        <v>80</v>
      </c>
      <c r="AQ145" s="328">
        <f t="shared" si="75"/>
        <v>79</v>
      </c>
      <c r="AR145" s="328">
        <f t="shared" si="75"/>
        <v>76</v>
      </c>
      <c r="AS145" s="328">
        <f t="shared" si="75"/>
        <v>69</v>
      </c>
      <c r="AT145" s="328">
        <f t="shared" si="75"/>
        <v>4</v>
      </c>
      <c r="AU145" s="328">
        <f t="shared" si="75"/>
        <v>0</v>
      </c>
      <c r="AV145" s="328">
        <f t="shared" si="75"/>
        <v>0</v>
      </c>
      <c r="AW145" s="328">
        <f t="shared" si="75"/>
        <v>0</v>
      </c>
      <c r="AX145" s="328">
        <f t="shared" si="75"/>
        <v>0</v>
      </c>
      <c r="AY145" s="328">
        <f t="shared" si="75"/>
        <v>0</v>
      </c>
      <c r="AZ145" s="349">
        <f t="shared" si="75"/>
        <v>0</v>
      </c>
      <c r="BA145" s="409">
        <f t="shared" ref="BA145:BA147" si="76">SUM(D145:AZ145)</f>
        <v>3113</v>
      </c>
    </row>
    <row r="146" spans="1:54" ht="15">
      <c r="A146" s="75"/>
      <c r="B146" s="76" t="s">
        <v>1234</v>
      </c>
      <c r="C146" s="325"/>
      <c r="D146" s="326">
        <f>COUNTIF(D2:D143,"&gt;="&amp;D148)</f>
        <v>0</v>
      </c>
      <c r="E146" s="330">
        <f t="shared" ref="E146:AB146" si="77">COUNTIF(E2:E143,"&gt;="&amp;E148)</f>
        <v>46</v>
      </c>
      <c r="F146" s="331">
        <f t="shared" si="77"/>
        <v>50</v>
      </c>
      <c r="G146" s="331">
        <f t="shared" si="77"/>
        <v>46</v>
      </c>
      <c r="H146" s="331">
        <f t="shared" si="77"/>
        <v>52</v>
      </c>
      <c r="I146" s="331">
        <f t="shared" si="77"/>
        <v>48</v>
      </c>
      <c r="J146" s="331">
        <f t="shared" si="77"/>
        <v>51</v>
      </c>
      <c r="K146" s="331">
        <f t="shared" si="77"/>
        <v>47</v>
      </c>
      <c r="L146" s="331">
        <f t="shared" si="77"/>
        <v>50</v>
      </c>
      <c r="M146" s="331">
        <f t="shared" si="77"/>
        <v>50</v>
      </c>
      <c r="N146" s="331">
        <f t="shared" si="77"/>
        <v>52</v>
      </c>
      <c r="O146" s="331">
        <f t="shared" si="77"/>
        <v>52</v>
      </c>
      <c r="P146" s="332">
        <f t="shared" si="77"/>
        <v>52</v>
      </c>
      <c r="Q146" s="317">
        <f t="shared" si="77"/>
        <v>59</v>
      </c>
      <c r="R146" s="79">
        <f t="shared" si="77"/>
        <v>63</v>
      </c>
      <c r="S146" s="79">
        <f t="shared" si="77"/>
        <v>61</v>
      </c>
      <c r="T146" s="79">
        <f t="shared" si="77"/>
        <v>64</v>
      </c>
      <c r="U146" s="79">
        <f t="shared" si="77"/>
        <v>64</v>
      </c>
      <c r="V146" s="79">
        <f t="shared" si="77"/>
        <v>62</v>
      </c>
      <c r="W146" s="79">
        <f t="shared" si="77"/>
        <v>73</v>
      </c>
      <c r="X146" s="79">
        <f t="shared" si="77"/>
        <v>73</v>
      </c>
      <c r="Y146" s="79">
        <f t="shared" si="77"/>
        <v>68</v>
      </c>
      <c r="Z146" s="79">
        <f t="shared" si="77"/>
        <v>70</v>
      </c>
      <c r="AA146" s="79">
        <f t="shared" si="77"/>
        <v>72</v>
      </c>
      <c r="AB146" s="77">
        <f t="shared" si="77"/>
        <v>69</v>
      </c>
      <c r="AC146" s="330">
        <f t="shared" ref="AC146:AN146" si="78">COUNTIF(AC2:AC143,"&gt;="&amp;AC148)</f>
        <v>71</v>
      </c>
      <c r="AD146" s="331">
        <f t="shared" si="78"/>
        <v>72</v>
      </c>
      <c r="AE146" s="331">
        <f t="shared" si="78"/>
        <v>75</v>
      </c>
      <c r="AF146" s="331">
        <f t="shared" si="78"/>
        <v>74</v>
      </c>
      <c r="AG146" s="331">
        <f t="shared" si="78"/>
        <v>75</v>
      </c>
      <c r="AH146" s="331">
        <f t="shared" si="78"/>
        <v>76</v>
      </c>
      <c r="AI146" s="331">
        <f t="shared" si="78"/>
        <v>75</v>
      </c>
      <c r="AJ146" s="331">
        <f t="shared" si="78"/>
        <v>75</v>
      </c>
      <c r="AK146" s="331">
        <f t="shared" si="78"/>
        <v>40</v>
      </c>
      <c r="AL146" s="331">
        <f t="shared" si="78"/>
        <v>38</v>
      </c>
      <c r="AM146" s="331">
        <f t="shared" si="78"/>
        <v>29</v>
      </c>
      <c r="AN146" s="350">
        <f t="shared" si="78"/>
        <v>38</v>
      </c>
      <c r="AO146" s="330">
        <f t="shared" ref="AO146:AZ146" si="79">COUNTIF(AO2:AO143,"&gt;="&amp;AO148)</f>
        <v>69</v>
      </c>
      <c r="AP146" s="331">
        <f t="shared" si="79"/>
        <v>69</v>
      </c>
      <c r="AQ146" s="331">
        <f t="shared" si="79"/>
        <v>66</v>
      </c>
      <c r="AR146" s="331">
        <f t="shared" si="79"/>
        <v>70</v>
      </c>
      <c r="AS146" s="331">
        <f t="shared" si="79"/>
        <v>62</v>
      </c>
      <c r="AT146" s="331">
        <f t="shared" si="79"/>
        <v>4</v>
      </c>
      <c r="AU146" s="331">
        <f t="shared" si="79"/>
        <v>0</v>
      </c>
      <c r="AV146" s="331">
        <f t="shared" si="79"/>
        <v>0</v>
      </c>
      <c r="AW146" s="331">
        <f t="shared" si="79"/>
        <v>0</v>
      </c>
      <c r="AX146" s="331">
        <f t="shared" si="79"/>
        <v>0</v>
      </c>
      <c r="AY146" s="331">
        <f t="shared" si="79"/>
        <v>0</v>
      </c>
      <c r="AZ146" s="350">
        <f t="shared" si="79"/>
        <v>0</v>
      </c>
      <c r="BA146" s="410">
        <f t="shared" si="76"/>
        <v>2472</v>
      </c>
      <c r="BB146"/>
    </row>
    <row r="147" spans="1:54" ht="15">
      <c r="A147" s="163"/>
      <c r="B147" s="164" t="s">
        <v>1235</v>
      </c>
      <c r="C147" s="321"/>
      <c r="D147" s="322"/>
      <c r="E147" s="172">
        <f t="shared" ref="E147:V147" si="80">IFERROR(E144/E148,"")</f>
        <v>60.323529411764689</v>
      </c>
      <c r="F147" s="173">
        <f t="shared" si="80"/>
        <v>62.470588235294088</v>
      </c>
      <c r="G147" s="173">
        <f t="shared" si="80"/>
        <v>59.323529411764689</v>
      </c>
      <c r="H147" s="173">
        <f t="shared" si="80"/>
        <v>61.623529411764693</v>
      </c>
      <c r="I147" s="173">
        <f t="shared" si="80"/>
        <v>57.999999999999964</v>
      </c>
      <c r="J147" s="173">
        <f t="shared" si="80"/>
        <v>60.192307692307665</v>
      </c>
      <c r="K147" s="173">
        <f t="shared" si="80"/>
        <v>59.742857142857176</v>
      </c>
      <c r="L147" s="173">
        <f t="shared" si="80"/>
        <v>60.300000000000018</v>
      </c>
      <c r="M147" s="173">
        <f t="shared" si="80"/>
        <v>59.340000000000011</v>
      </c>
      <c r="N147" s="173">
        <f t="shared" si="80"/>
        <v>61.200000000000017</v>
      </c>
      <c r="O147" s="173">
        <f t="shared" si="80"/>
        <v>60.79999999999999</v>
      </c>
      <c r="P147" s="175">
        <f t="shared" si="80"/>
        <v>61.539999999999992</v>
      </c>
      <c r="Q147" s="176">
        <f t="shared" si="80"/>
        <v>67.499999999999929</v>
      </c>
      <c r="R147" s="173">
        <f t="shared" si="80"/>
        <v>71.249999999999929</v>
      </c>
      <c r="S147" s="173">
        <f t="shared" si="80"/>
        <v>70.14285714285721</v>
      </c>
      <c r="T147" s="173">
        <f t="shared" si="80"/>
        <v>73.678571428571502</v>
      </c>
      <c r="U147" s="173">
        <f t="shared" si="80"/>
        <v>70.025000000000006</v>
      </c>
      <c r="V147" s="173">
        <f t="shared" si="80"/>
        <v>72.216000000000008</v>
      </c>
      <c r="W147" s="173">
        <f>IFERROR(W144/W148,"")</f>
        <v>76.775000000000006</v>
      </c>
      <c r="X147" s="173">
        <f t="shared" ref="X147:AB147" si="81">IFERROR(X144/X148,"")</f>
        <v>77.904166666666669</v>
      </c>
      <c r="Y147" s="173">
        <f t="shared" si="81"/>
        <v>72.504406250000002</v>
      </c>
      <c r="Z147" s="173">
        <f t="shared" si="81"/>
        <v>75.432812499999997</v>
      </c>
      <c r="AA147" s="173">
        <f t="shared" si="81"/>
        <v>79.4375</v>
      </c>
      <c r="AB147" s="174">
        <f t="shared" si="81"/>
        <v>74.2764375</v>
      </c>
      <c r="AC147" s="351">
        <f t="shared" ref="AC147:AN147" si="82">IFERROR(AC144/AC148,"")</f>
        <v>74.718066666666672</v>
      </c>
      <c r="AD147" s="352">
        <f t="shared" si="82"/>
        <v>76.49666666666667</v>
      </c>
      <c r="AE147" s="352">
        <f t="shared" si="82"/>
        <v>81.238516666666669</v>
      </c>
      <c r="AF147" s="352">
        <f t="shared" si="82"/>
        <v>78.426000000000002</v>
      </c>
      <c r="AG147" s="352">
        <f t="shared" si="82"/>
        <v>79.122500000000002</v>
      </c>
      <c r="AH147" s="352">
        <f t="shared" si="82"/>
        <v>80.704999999999998</v>
      </c>
      <c r="AI147" s="352">
        <f t="shared" si="82"/>
        <v>80.95</v>
      </c>
      <c r="AJ147" s="352">
        <f t="shared" si="82"/>
        <v>80.94</v>
      </c>
      <c r="AK147" s="352">
        <f t="shared" si="82"/>
        <v>83.164875482625476</v>
      </c>
      <c r="AL147" s="352">
        <f t="shared" si="82"/>
        <v>81.384855721393038</v>
      </c>
      <c r="AM147" s="352">
        <f t="shared" si="82"/>
        <v>114.4900076394194</v>
      </c>
      <c r="AN147" s="353">
        <f t="shared" si="82"/>
        <v>80.615660141607663</v>
      </c>
      <c r="AO147" s="351">
        <f t="shared" ref="AO147:AZ147" si="83">IFERROR(AO144/AO148,"")</f>
        <v>81.055940023068047</v>
      </c>
      <c r="AP147" s="352">
        <f t="shared" si="83"/>
        <v>83.060733944954123</v>
      </c>
      <c r="AQ147" s="352">
        <f t="shared" si="83"/>
        <v>76.545425101214576</v>
      </c>
      <c r="AR147" s="352">
        <f t="shared" si="83"/>
        <v>76.555982726045883</v>
      </c>
      <c r="AS147" s="352">
        <f t="shared" si="83"/>
        <v>67.468000000000004</v>
      </c>
      <c r="AT147" s="352" t="str">
        <f t="shared" si="83"/>
        <v/>
      </c>
      <c r="AU147" s="352" t="str">
        <f t="shared" si="83"/>
        <v/>
      </c>
      <c r="AV147" s="352" t="str">
        <f t="shared" si="83"/>
        <v/>
      </c>
      <c r="AW147" s="352" t="str">
        <f t="shared" si="83"/>
        <v/>
      </c>
      <c r="AX147" s="352" t="str">
        <f t="shared" si="83"/>
        <v/>
      </c>
      <c r="AY147" s="352" t="str">
        <f t="shared" si="83"/>
        <v/>
      </c>
      <c r="AZ147" s="353" t="str">
        <f t="shared" si="83"/>
        <v/>
      </c>
      <c r="BA147" s="411">
        <f t="shared" si="76"/>
        <v>2982.9373235741768</v>
      </c>
      <c r="BB147"/>
    </row>
    <row r="148" spans="1:54">
      <c r="A148" s="165" t="s">
        <v>1236</v>
      </c>
      <c r="B148" s="166"/>
      <c r="C148" s="167"/>
      <c r="D148" s="247"/>
      <c r="E148" s="248">
        <v>0.17</v>
      </c>
      <c r="F148" s="249">
        <v>0.17</v>
      </c>
      <c r="G148" s="249">
        <v>0.17</v>
      </c>
      <c r="H148" s="249">
        <v>0.17</v>
      </c>
      <c r="I148" s="249">
        <v>0.26</v>
      </c>
      <c r="J148" s="249">
        <v>0.26</v>
      </c>
      <c r="K148" s="249">
        <v>0.35</v>
      </c>
      <c r="L148" s="249">
        <v>0.35</v>
      </c>
      <c r="M148" s="249">
        <v>0.35</v>
      </c>
      <c r="N148" s="249">
        <v>0.35</v>
      </c>
      <c r="O148" s="249">
        <v>0.5</v>
      </c>
      <c r="P148" s="250">
        <v>0.5</v>
      </c>
      <c r="Q148" s="251">
        <v>0.8</v>
      </c>
      <c r="R148" s="252">
        <v>0.8</v>
      </c>
      <c r="S148" s="252">
        <v>1.4</v>
      </c>
      <c r="T148" s="252">
        <v>1.4</v>
      </c>
      <c r="U148" s="252">
        <v>4</v>
      </c>
      <c r="V148" s="252">
        <v>6.25</v>
      </c>
      <c r="W148" s="252">
        <v>10</v>
      </c>
      <c r="X148" s="252">
        <v>12</v>
      </c>
      <c r="Y148" s="252">
        <v>320</v>
      </c>
      <c r="Z148" s="252">
        <v>320</v>
      </c>
      <c r="AA148" s="252">
        <v>320</v>
      </c>
      <c r="AB148" s="253">
        <v>800</v>
      </c>
      <c r="AC148" s="363">
        <f>IFERROR(AVERAGEIF(CUOTAS!$F:$F,'RESUMEN VIGILANCIA'!AC$1,CUOTAS!$H:$H),0)</f>
        <v>3000</v>
      </c>
      <c r="AD148" s="364">
        <f>IFERROR(AVERAGEIF(CUOTAS!$F:$F,'RESUMEN VIGILANCIA'!AD$1,CUOTAS!$H:$H),0)</f>
        <v>3000</v>
      </c>
      <c r="AE148" s="364">
        <f>IFERROR(AVERAGEIF(CUOTAS!$F:$F,'RESUMEN VIGILANCIA'!AE$1,CUOTAS!$H:$H),0)</f>
        <v>3000</v>
      </c>
      <c r="AF148" s="364">
        <f>IFERROR(AVERAGEIF(CUOTAS!$F:$F,'RESUMEN VIGILANCIA'!AF$1,CUOTAS!$H:$H),0)</f>
        <v>5000</v>
      </c>
      <c r="AG148" s="364">
        <f>IFERROR(AVERAGEIF(CUOTAS!$F:$F,'RESUMEN VIGILANCIA'!AG$1,CUOTAS!$H:$H),0)</f>
        <v>8000</v>
      </c>
      <c r="AH148" s="525">
        <f>IFERROR(AVERAGEIF(CUOTAS!$F:$F,'RESUMEN VIGILANCIA'!AH$1,CUOTAS!$H:$H),0)</f>
        <v>8000</v>
      </c>
      <c r="AI148" s="364">
        <f>IFERROR(AVERAGEIF(CUOTAS!$F:$F,'RESUMEN VIGILANCIA'!AI$1,CUOTAS!$H:$H),0)</f>
        <v>10000</v>
      </c>
      <c r="AJ148" s="364">
        <f>IFERROR(AVERAGEIF(CUOTAS!$F:$F,'RESUMEN VIGILANCIA'!AJ$1,CUOTAS!$H:$H),0)</f>
        <v>10000</v>
      </c>
      <c r="AK148" s="364">
        <f>IFERROR(AVERAGEIF(CUOTAS!$F:$F,'RESUMEN VIGILANCIA'!AK$1,CUOTAS!$H:$H),0)</f>
        <v>20720</v>
      </c>
      <c r="AL148" s="364">
        <f>IFERROR(AVERAGEIF(CUOTAS!$F:$F,'RESUMEN VIGILANCIA'!AL$1,CUOTAS!$H:$H),0)</f>
        <v>50250</v>
      </c>
      <c r="AM148" s="364">
        <f>IFERROR(AVERAGEIF(CUOTAS!$F:$F,'RESUMEN VIGILANCIA'!AM$1,CUOTAS!$H:$H),0)</f>
        <v>65450</v>
      </c>
      <c r="AN148" s="365">
        <f>IFERROR(AVERAGEIF(CUOTAS!$F:$F,'RESUMEN VIGILANCIA'!AN$1,CUOTAS!$H:$H),0)</f>
        <v>100041.66666666667</v>
      </c>
      <c r="AO148" s="363">
        <f>IFERROR(AVERAGEIF(CUOTAS!$F:$F,'RESUMEN VIGILANCIA'!AO$1,CUOTAS!$H:$H),0)</f>
        <v>130050</v>
      </c>
      <c r="AP148" s="364">
        <f>IFERROR(AVERAGEIF(CUOTAS!$F:$F,'RESUMEN VIGILANCIA'!AP$1,CUOTAS!$H:$H),0)</f>
        <v>136250</v>
      </c>
      <c r="AQ148" s="364">
        <f>IFERROR(AVERAGEIF(CUOTAS!$F:$F,'RESUMEN VIGILANCIA'!AQ$1,CUOTAS!$H:$H),0)</f>
        <v>185250</v>
      </c>
      <c r="AR148" s="364">
        <f>IFERROR(AVERAGEIF(CUOTAS!$F:$F,'RESUMEN VIGILANCIA'!AR$1,CUOTAS!$H:$H),0)</f>
        <v>185250</v>
      </c>
      <c r="AS148" s="364">
        <f>IFERROR(AVERAGEIF(CUOTAS!$F:$F,'RESUMEN VIGILANCIA'!AS$1,CUOTAS!$H:$H),0)</f>
        <v>250000</v>
      </c>
      <c r="AT148" s="525">
        <f>IFERROR(AVERAGEIF(CUOTAS!$F:$F,'RESUMEN VIGILANCIA'!AT$1,CUOTAS!$H:$H),0)</f>
        <v>0</v>
      </c>
      <c r="AU148" s="364">
        <f>IFERROR(AVERAGEIF(CUOTAS!$F:$F,'RESUMEN VIGILANCIA'!AU$1,CUOTAS!$H:$H),0)</f>
        <v>0</v>
      </c>
      <c r="AV148" s="364">
        <f>IFERROR(AVERAGEIF(CUOTAS!$F:$F,'RESUMEN VIGILANCIA'!AV$1,CUOTAS!$H:$H),0)</f>
        <v>0</v>
      </c>
      <c r="AW148" s="364">
        <f>IFERROR(AVERAGEIF(CUOTAS!$F:$F,'RESUMEN VIGILANCIA'!AW$1,CUOTAS!$H:$H),0)</f>
        <v>0</v>
      </c>
      <c r="AX148" s="364">
        <f>IFERROR(AVERAGEIF(CUOTAS!$F:$F,'RESUMEN VIGILANCIA'!AX$1,CUOTAS!$H:$H),0)</f>
        <v>0</v>
      </c>
      <c r="AY148" s="364">
        <f>IFERROR(AVERAGEIF(CUOTAS!$F:$F,'RESUMEN VIGILANCIA'!AY$1,CUOTAS!$H:$H),0)</f>
        <v>0</v>
      </c>
      <c r="AZ148" s="365">
        <f>IFERROR(AVERAGEIF(CUOTAS!$F:$F,'RESUMEN VIGILANCIA'!AZ$1,CUOTAS!$H:$H),0)</f>
        <v>0</v>
      </c>
      <c r="BA148" s="412"/>
    </row>
    <row r="149" spans="1:54">
      <c r="A149" s="82" t="s">
        <v>1237</v>
      </c>
      <c r="B149" s="83"/>
      <c r="C149" s="84"/>
      <c r="D149" s="254"/>
      <c r="E149" s="255">
        <v>0.12</v>
      </c>
      <c r="F149" s="256">
        <v>0.2</v>
      </c>
      <c r="G149" s="256">
        <v>0.2</v>
      </c>
      <c r="H149" s="256">
        <v>0.2</v>
      </c>
      <c r="I149" s="256">
        <v>0.3</v>
      </c>
      <c r="J149" s="256">
        <v>0.3</v>
      </c>
      <c r="K149" s="256">
        <v>0.4</v>
      </c>
      <c r="L149" s="256">
        <v>0.4</v>
      </c>
      <c r="M149" s="256">
        <v>0.4</v>
      </c>
      <c r="N149" s="256">
        <v>0.4</v>
      </c>
      <c r="O149" s="256">
        <v>0.54</v>
      </c>
      <c r="P149" s="257">
        <v>0.54</v>
      </c>
      <c r="Q149" s="258">
        <v>0.86399999999999999</v>
      </c>
      <c r="R149" s="256">
        <v>0.86399999999999999</v>
      </c>
      <c r="S149" s="256">
        <v>1.55</v>
      </c>
      <c r="T149" s="256">
        <v>1.55</v>
      </c>
      <c r="U149" s="256">
        <f>IF(ISBLANK(U148),"",ROUNDUP(U148*110%*2,2)/2)</f>
        <v>4.4000000000000004</v>
      </c>
      <c r="V149" s="256">
        <f t="shared" ref="V149:X149" si="84">IF(ISBLANK(V148),"",ROUNDUP(V148*110%*2,2)/2)</f>
        <v>6.875</v>
      </c>
      <c r="W149" s="256">
        <f t="shared" si="84"/>
        <v>11</v>
      </c>
      <c r="X149" s="256">
        <f t="shared" si="84"/>
        <v>13.2</v>
      </c>
      <c r="Y149" s="256">
        <f>IF(ISBLANK(Y148),"",ROUNDUP(Y148*110%*2,-1)/2)</f>
        <v>355</v>
      </c>
      <c r="Z149" s="256">
        <f t="shared" ref="Z149:AA149" si="85">IF(ISBLANK(Z148),"",ROUNDUP(Z148*110%*2,-1)/2)</f>
        <v>355</v>
      </c>
      <c r="AA149" s="256">
        <f t="shared" si="85"/>
        <v>355</v>
      </c>
      <c r="AB149" s="254">
        <f>IF(ISBLANK(AB148),"",ROUNDUP(AB148*110%*2,-1)/2)</f>
        <v>880</v>
      </c>
      <c r="AC149" s="366">
        <f t="shared" ref="AC149:AN149" si="86">IF(ISBLANK(AC148),"",ROUNDUP(AC148*110%*2,-1)/2)</f>
        <v>3300</v>
      </c>
      <c r="AD149" s="367">
        <f t="shared" si="86"/>
        <v>3300</v>
      </c>
      <c r="AE149" s="367">
        <f t="shared" si="86"/>
        <v>3300</v>
      </c>
      <c r="AF149" s="367">
        <f t="shared" si="86"/>
        <v>5500</v>
      </c>
      <c r="AG149" s="367">
        <f t="shared" si="86"/>
        <v>8800</v>
      </c>
      <c r="AH149" s="367">
        <f t="shared" si="86"/>
        <v>8800</v>
      </c>
      <c r="AI149" s="367">
        <f t="shared" si="86"/>
        <v>11000</v>
      </c>
      <c r="AJ149" s="367">
        <f t="shared" si="86"/>
        <v>11000</v>
      </c>
      <c r="AK149" s="367">
        <f t="shared" si="86"/>
        <v>22795</v>
      </c>
      <c r="AL149" s="367">
        <f t="shared" si="86"/>
        <v>55275</v>
      </c>
      <c r="AM149" s="367">
        <f t="shared" si="86"/>
        <v>71995</v>
      </c>
      <c r="AN149" s="368">
        <f t="shared" si="86"/>
        <v>110050</v>
      </c>
      <c r="AO149" s="366">
        <f t="shared" ref="AO149:AZ149" si="87">IF(ISBLANK(AO148),"",ROUNDUP(AO148*110%*2,-1)/2)</f>
        <v>143055</v>
      </c>
      <c r="AP149" s="367">
        <f t="shared" si="87"/>
        <v>149875</v>
      </c>
      <c r="AQ149" s="367">
        <f t="shared" si="87"/>
        <v>203775</v>
      </c>
      <c r="AR149" s="367">
        <f t="shared" si="87"/>
        <v>203775</v>
      </c>
      <c r="AS149" s="367">
        <f t="shared" si="87"/>
        <v>275000</v>
      </c>
      <c r="AT149" s="367">
        <f t="shared" si="87"/>
        <v>0</v>
      </c>
      <c r="AU149" s="367">
        <f t="shared" si="87"/>
        <v>0</v>
      </c>
      <c r="AV149" s="367">
        <f t="shared" si="87"/>
        <v>0</v>
      </c>
      <c r="AW149" s="367">
        <f t="shared" si="87"/>
        <v>0</v>
      </c>
      <c r="AX149" s="367">
        <f t="shared" si="87"/>
        <v>0</v>
      </c>
      <c r="AY149" s="367">
        <f t="shared" si="87"/>
        <v>0</v>
      </c>
      <c r="AZ149" s="368">
        <f t="shared" si="87"/>
        <v>0</v>
      </c>
      <c r="BA149" s="413"/>
    </row>
    <row r="150" spans="1:54">
      <c r="A150" s="82" t="s">
        <v>1238</v>
      </c>
      <c r="B150" s="83"/>
      <c r="C150" s="84"/>
      <c r="D150" s="254"/>
      <c r="E150" s="255">
        <v>0.3</v>
      </c>
      <c r="F150" s="256">
        <v>0.3</v>
      </c>
      <c r="G150" s="256">
        <v>0.3</v>
      </c>
      <c r="H150" s="256">
        <v>0.3</v>
      </c>
      <c r="I150" s="256">
        <v>0.4</v>
      </c>
      <c r="J150" s="256">
        <v>0.4</v>
      </c>
      <c r="K150" s="256">
        <v>0.54</v>
      </c>
      <c r="L150" s="256">
        <v>0.54</v>
      </c>
      <c r="M150" s="256">
        <v>0.54</v>
      </c>
      <c r="N150" s="256">
        <v>0.54</v>
      </c>
      <c r="O150" s="256">
        <v>0.71</v>
      </c>
      <c r="P150" s="257">
        <v>0.71</v>
      </c>
      <c r="Q150" s="258">
        <v>1.1359999999999999</v>
      </c>
      <c r="R150" s="256">
        <v>1.1359999999999999</v>
      </c>
      <c r="S150" s="256">
        <v>2</v>
      </c>
      <c r="T150" s="256">
        <v>2</v>
      </c>
      <c r="U150" s="256">
        <f>IF(ISBLANK(U148),"",ROUND(U148*145%*2,2)/2)</f>
        <v>5.8</v>
      </c>
      <c r="V150" s="256">
        <f t="shared" ref="V150:X150" si="88">IF(ISBLANK(V148),"",ROUND(V148*145%*2,2)/2)</f>
        <v>9.0649999999999995</v>
      </c>
      <c r="W150" s="256">
        <f t="shared" si="88"/>
        <v>14.5</v>
      </c>
      <c r="X150" s="256">
        <f t="shared" si="88"/>
        <v>17.399999999999999</v>
      </c>
      <c r="Y150" s="256">
        <f>IF(ISBLANK(Y148),"",ROUND(Y148*145%*2,-1)/2)</f>
        <v>465</v>
      </c>
      <c r="Z150" s="256">
        <f t="shared" ref="Z150:AB150" si="89">IF(ISBLANK(Z148),"",ROUND(Z148*145%*2,-1)/2)</f>
        <v>465</v>
      </c>
      <c r="AA150" s="256">
        <f t="shared" si="89"/>
        <v>465</v>
      </c>
      <c r="AB150" s="254">
        <f t="shared" si="89"/>
        <v>1160</v>
      </c>
      <c r="AC150" s="366">
        <f t="shared" ref="AC150:AN150" si="90">IF(ISBLANK(AC148),"",ROUND(AC148*145%*2,-1)/2)</f>
        <v>4350</v>
      </c>
      <c r="AD150" s="367">
        <f t="shared" si="90"/>
        <v>4350</v>
      </c>
      <c r="AE150" s="367">
        <f t="shared" si="90"/>
        <v>4350</v>
      </c>
      <c r="AF150" s="367">
        <f t="shared" si="90"/>
        <v>7250</v>
      </c>
      <c r="AG150" s="367">
        <f t="shared" si="90"/>
        <v>11600</v>
      </c>
      <c r="AH150" s="367">
        <f t="shared" si="90"/>
        <v>11600</v>
      </c>
      <c r="AI150" s="367">
        <f t="shared" si="90"/>
        <v>14500</v>
      </c>
      <c r="AJ150" s="367">
        <f t="shared" si="90"/>
        <v>14500</v>
      </c>
      <c r="AK150" s="367">
        <f t="shared" si="90"/>
        <v>30045</v>
      </c>
      <c r="AL150" s="367">
        <f t="shared" si="90"/>
        <v>72865</v>
      </c>
      <c r="AM150" s="367">
        <f t="shared" si="90"/>
        <v>94905</v>
      </c>
      <c r="AN150" s="368">
        <f t="shared" si="90"/>
        <v>145060</v>
      </c>
      <c r="AO150" s="366">
        <f t="shared" ref="AO150:AZ150" si="91">IF(ISBLANK(AO148),"",ROUND(AO148*145%*2,-1)/2)</f>
        <v>188575</v>
      </c>
      <c r="AP150" s="367">
        <f t="shared" si="91"/>
        <v>197565</v>
      </c>
      <c r="AQ150" s="367">
        <f t="shared" si="91"/>
        <v>268615</v>
      </c>
      <c r="AR150" s="367">
        <f t="shared" si="91"/>
        <v>268615</v>
      </c>
      <c r="AS150" s="367">
        <f t="shared" si="91"/>
        <v>362500</v>
      </c>
      <c r="AT150" s="367">
        <f t="shared" si="91"/>
        <v>0</v>
      </c>
      <c r="AU150" s="367">
        <f t="shared" si="91"/>
        <v>0</v>
      </c>
      <c r="AV150" s="367">
        <f t="shared" si="91"/>
        <v>0</v>
      </c>
      <c r="AW150" s="367">
        <f t="shared" si="91"/>
        <v>0</v>
      </c>
      <c r="AX150" s="367">
        <f t="shared" si="91"/>
        <v>0</v>
      </c>
      <c r="AY150" s="367">
        <f t="shared" si="91"/>
        <v>0</v>
      </c>
      <c r="AZ150" s="368">
        <f t="shared" si="91"/>
        <v>0</v>
      </c>
      <c r="BA150" s="413"/>
    </row>
    <row r="151" spans="1:54">
      <c r="A151" s="165" t="s">
        <v>1239</v>
      </c>
      <c r="B151" s="166"/>
      <c r="C151" s="167"/>
      <c r="D151" s="247"/>
      <c r="E151" s="248"/>
      <c r="F151" s="249"/>
      <c r="G151" s="249"/>
      <c r="H151" s="249"/>
      <c r="I151" s="249"/>
      <c r="J151" s="249"/>
      <c r="K151" s="249"/>
      <c r="L151" s="249"/>
      <c r="M151" s="249"/>
      <c r="N151" s="249"/>
      <c r="O151" s="249"/>
      <c r="P151" s="250"/>
      <c r="Q151" s="251"/>
      <c r="R151" s="252"/>
      <c r="S151" s="252"/>
      <c r="T151" s="252">
        <v>57.409950000000002</v>
      </c>
      <c r="U151" s="252">
        <v>177.54</v>
      </c>
      <c r="V151" s="252">
        <v>445.77249999999998</v>
      </c>
      <c r="W151" s="252">
        <v>539.77250000000004</v>
      </c>
      <c r="X151" s="252">
        <v>539.77250000000004</v>
      </c>
      <c r="Y151" s="252">
        <v>14254.74</v>
      </c>
      <c r="Z151" s="252">
        <v>14254.74</v>
      </c>
      <c r="AA151" s="252">
        <v>14254.74</v>
      </c>
      <c r="AB151" s="253">
        <v>35483</v>
      </c>
      <c r="AC151" s="363">
        <f>ROUND(AB151*1.75,-2)*1.7</f>
        <v>105570</v>
      </c>
      <c r="AD151" s="364">
        <v>131820</v>
      </c>
      <c r="AE151" s="363">
        <f>ROUND(AD151*1.25,-2)</f>
        <v>164800</v>
      </c>
      <c r="AF151" s="364">
        <f>ROUND(AE151*1.25,-2)</f>
        <v>206000</v>
      </c>
      <c r="AG151" s="364">
        <f>ROUND(AF151*1.25,-2)</f>
        <v>257500</v>
      </c>
      <c r="AH151" s="364">
        <f>ROUND(AG151*1.25,-2)</f>
        <v>321900</v>
      </c>
      <c r="AI151" s="364">
        <f>IF(ISBLANK(AI148),"",ROUND(AH151*1.25,-2))</f>
        <v>402400</v>
      </c>
      <c r="AJ151" s="364">
        <f t="shared" ref="AJ151:AN151" si="92">IF(ISBLANK(AJ148),"",ROUND(AI151*1.25,-2))</f>
        <v>503000</v>
      </c>
      <c r="AK151" s="364">
        <f>IF(ISBLANK(AK148),"",ROUND(AJ151*2.25,-2))</f>
        <v>1131800</v>
      </c>
      <c r="AL151" s="364">
        <f>IF(ISBLANK(AL148),"",ROUND(3000000*1.1,-2))</f>
        <v>3300000</v>
      </c>
      <c r="AM151" s="364">
        <f t="shared" si="92"/>
        <v>4125000</v>
      </c>
      <c r="AN151" s="365">
        <f t="shared" si="92"/>
        <v>5156300</v>
      </c>
      <c r="AO151" s="363">
        <f t="shared" ref="AO151" si="93">IF(ISBLANK(AO148),"",ROUND(AN151*1.25,-2))</f>
        <v>6445400</v>
      </c>
      <c r="AP151" s="364">
        <f t="shared" ref="AP151" si="94">IF(ISBLANK(AP148),"",ROUND(AO151*1.25,-2))</f>
        <v>8056800</v>
      </c>
      <c r="AQ151" s="364">
        <f t="shared" ref="AQ151" si="95">IF(ISBLANK(AQ148),"",ROUND(AP151*1.25,-2))</f>
        <v>10071000</v>
      </c>
      <c r="AR151" s="364">
        <f t="shared" ref="AR151" si="96">IF(ISBLANK(AR148),"",ROUND(AQ151*1.25,-2))</f>
        <v>12588800</v>
      </c>
      <c r="AS151" s="364">
        <f t="shared" ref="AS151" si="97">IF(ISBLANK(AS148),"",ROUND(AR151*1.25,-2))</f>
        <v>15736000</v>
      </c>
      <c r="AT151" s="364">
        <f t="shared" ref="AT151" si="98">IF(ISBLANK(AT148),"",ROUND(AS151*1.25,-2))</f>
        <v>19670000</v>
      </c>
      <c r="AU151" s="364">
        <f t="shared" ref="AU151" si="99">IF(ISBLANK(AU148),"",ROUND(AT151*1.25,-2))</f>
        <v>24587500</v>
      </c>
      <c r="AV151" s="364">
        <f t="shared" ref="AV151" si="100">IF(ISBLANK(AV148),"",ROUND(AU151*1.25,-2))</f>
        <v>30734400</v>
      </c>
      <c r="AW151" s="364">
        <f t="shared" ref="AW151" si="101">IF(ISBLANK(AW148),"",ROUND(AV151*1.25,-2))</f>
        <v>38418000</v>
      </c>
      <c r="AX151" s="364">
        <f t="shared" ref="AX151" si="102">IF(ISBLANK(AX148),"",ROUND(AW151*1.25,-2))</f>
        <v>48022500</v>
      </c>
      <c r="AY151" s="364">
        <f t="shared" ref="AY151" si="103">IF(ISBLANK(AY148),"",ROUND(AX151*1.25,-2))</f>
        <v>60028100</v>
      </c>
      <c r="AZ151" s="365">
        <f t="shared" ref="AZ151" si="104">IF(ISBLANK(AZ148),"",ROUND(AY151*1.25,-2))</f>
        <v>75035100</v>
      </c>
      <c r="BA151" s="412"/>
    </row>
  </sheetData>
  <conditionalFormatting sqref="C1:C33 C109:C144 C35:C103 C105:C107">
    <cfRule type="cellIs" dxfId="37" priority="7" operator="equal">
      <formula>"û"</formula>
    </cfRule>
  </conditionalFormatting>
  <conditionalFormatting sqref="C108">
    <cfRule type="cellIs" dxfId="36" priority="5" operator="equal">
      <formula>"û"</formula>
    </cfRule>
  </conditionalFormatting>
  <conditionalFormatting sqref="C34">
    <cfRule type="cellIs" dxfId="35" priority="3" operator="equal">
      <formula>"û"</formula>
    </cfRule>
  </conditionalFormatting>
  <conditionalFormatting sqref="C104">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1"/>
  <sheetViews>
    <sheetView showGridLines="0" workbookViewId="0">
      <pane ySplit="3" topLeftCell="A76" activePane="bottomLeft" state="frozen"/>
      <selection pane="bottomLeft" activeCell="AL85" sqref="AL85"/>
      <selection activeCell="AL85" sqref="AL85"/>
    </sheetView>
  </sheetViews>
  <sheetFormatPr defaultColWidth="10.7109375" defaultRowHeight="15"/>
  <cols>
    <col min="1" max="1" width="11.42578125" style="2"/>
    <col min="2" max="2" width="12" style="617" bestFit="1" customWidth="1"/>
    <col min="3" max="3" width="10.7109375" style="556"/>
    <col min="4" max="4" width="11.7109375" style="551" customWidth="1"/>
    <col min="5" max="5" width="19.42578125" style="551" customWidth="1"/>
    <col min="6" max="6" width="10.5703125" style="585" bestFit="1" customWidth="1"/>
    <col min="7" max="13" width="11.7109375" style="551" customWidth="1"/>
  </cols>
  <sheetData>
    <row r="1" spans="1:13">
      <c r="A1" s="572" t="s">
        <v>1240</v>
      </c>
      <c r="B1" s="613"/>
      <c r="C1" s="563"/>
      <c r="D1" s="564"/>
      <c r="E1" s="564"/>
      <c r="F1" s="582"/>
      <c r="G1" s="564"/>
      <c r="H1" s="565" t="s">
        <v>1241</v>
      </c>
      <c r="I1" s="566">
        <f>LOOKUP(100000000000000000000,1/(E:E&lt;&gt;""),E:E)</f>
        <v>23995112795.700001</v>
      </c>
      <c r="J1" s="564"/>
      <c r="K1" s="564"/>
      <c r="L1" s="565" t="s">
        <v>1242</v>
      </c>
      <c r="M1" s="567" cm="1">
        <f t="array" ref="M1">LOOKUP(100000000000000000000,1/(G:G&lt;&gt;""),G:G)</f>
        <v>176600</v>
      </c>
    </row>
    <row r="3" spans="1:13" ht="41.25">
      <c r="A3" s="581" t="s">
        <v>3</v>
      </c>
      <c r="B3" s="614" t="s">
        <v>1243</v>
      </c>
      <c r="C3" s="580" t="s">
        <v>1244</v>
      </c>
      <c r="D3" s="579" t="s">
        <v>1245</v>
      </c>
      <c r="E3" s="580" t="s">
        <v>1246</v>
      </c>
      <c r="F3" s="580" t="s">
        <v>14</v>
      </c>
      <c r="G3" s="580" t="s">
        <v>1247</v>
      </c>
      <c r="H3" s="580" t="s">
        <v>1248</v>
      </c>
      <c r="I3" s="580" t="s">
        <v>1249</v>
      </c>
      <c r="J3" s="580" t="s">
        <v>1237</v>
      </c>
      <c r="K3" s="580" t="s">
        <v>1250</v>
      </c>
      <c r="L3" s="580" t="s">
        <v>1238</v>
      </c>
      <c r="M3" s="580" t="s">
        <v>1251</v>
      </c>
    </row>
    <row r="4" spans="1:13">
      <c r="A4" s="586">
        <v>42370</v>
      </c>
      <c r="B4" s="615">
        <v>0</v>
      </c>
      <c r="C4" s="587" t="s">
        <v>1252</v>
      </c>
      <c r="D4" s="557" t="s">
        <v>1253</v>
      </c>
      <c r="E4" s="557">
        <v>8826.9</v>
      </c>
      <c r="F4" s="583">
        <f>DATE(YEAR(A4),MONTH(A4),1)</f>
        <v>42370</v>
      </c>
      <c r="G4" s="560"/>
      <c r="H4" s="561">
        <f t="shared" ref="H4:H36" si="0">IF(C4="VEB",B4,G4*B4)</f>
        <v>0</v>
      </c>
      <c r="I4" s="560">
        <f t="shared" ref="I4:I35" si="1">IF(C4="VEB",(1+($I$1-E4)/E4)*B4,$M$1*B4)</f>
        <v>0</v>
      </c>
      <c r="J4" s="560">
        <v>0</v>
      </c>
      <c r="K4" s="560"/>
      <c r="L4" s="560">
        <v>0</v>
      </c>
      <c r="M4" s="561" t="str">
        <f t="shared" ref="M4:M67" si="2">IF(C4="VEB","",B4*145%)</f>
        <v/>
      </c>
    </row>
    <row r="5" spans="1:13">
      <c r="A5" s="586">
        <v>42736</v>
      </c>
      <c r="B5" s="615">
        <f>17000/100000</f>
        <v>0.17</v>
      </c>
      <c r="C5" s="587" t="s">
        <v>1252</v>
      </c>
      <c r="D5" s="557" t="s">
        <v>1253</v>
      </c>
      <c r="E5" s="557">
        <v>10378.1</v>
      </c>
      <c r="F5" s="583">
        <f t="shared" ref="F5:F46" si="3">DATE(YEAR(A5),MONTH(A5),1)</f>
        <v>42736</v>
      </c>
      <c r="G5" s="560"/>
      <c r="H5" s="561">
        <f t="shared" si="0"/>
        <v>0.17</v>
      </c>
      <c r="I5" s="560">
        <f t="shared" si="1"/>
        <v>393055.48947003792</v>
      </c>
      <c r="J5" s="560">
        <f>12000/100000</f>
        <v>0.12</v>
      </c>
      <c r="K5" s="560"/>
      <c r="L5" s="560">
        <f>30000/100000</f>
        <v>0.3</v>
      </c>
      <c r="M5" s="561" t="str">
        <f t="shared" si="2"/>
        <v/>
      </c>
    </row>
    <row r="6" spans="1:13">
      <c r="A6" s="586">
        <f t="shared" ref="A6:A36" si="4">EDATE(A5,1)</f>
        <v>42767</v>
      </c>
      <c r="B6" s="615">
        <f t="shared" ref="B6:B8" si="5">17000/100000</f>
        <v>0.17</v>
      </c>
      <c r="C6" s="587" t="s">
        <v>1252</v>
      </c>
      <c r="D6" s="557" t="s">
        <v>1253</v>
      </c>
      <c r="E6" s="557">
        <v>11697.2</v>
      </c>
      <c r="F6" s="583">
        <f t="shared" si="3"/>
        <v>42767</v>
      </c>
      <c r="G6" s="560"/>
      <c r="H6" s="561">
        <f t="shared" si="0"/>
        <v>0.17</v>
      </c>
      <c r="I6" s="560">
        <f t="shared" si="1"/>
        <v>348730.39490382315</v>
      </c>
      <c r="J6" s="560">
        <f>12000/100000</f>
        <v>0.12</v>
      </c>
      <c r="K6" s="560"/>
      <c r="L6" s="560">
        <f>30000/100000</f>
        <v>0.3</v>
      </c>
      <c r="M6" s="561" t="str">
        <f t="shared" si="2"/>
        <v/>
      </c>
    </row>
    <row r="7" spans="1:13">
      <c r="A7" s="586">
        <f t="shared" si="4"/>
        <v>42795</v>
      </c>
      <c r="B7" s="615">
        <f t="shared" si="5"/>
        <v>0.17</v>
      </c>
      <c r="C7" s="587" t="s">
        <v>1252</v>
      </c>
      <c r="D7" s="557" t="s">
        <v>1253</v>
      </c>
      <c r="E7" s="557">
        <v>12910.1</v>
      </c>
      <c r="F7" s="583">
        <f t="shared" si="3"/>
        <v>42795</v>
      </c>
      <c r="G7" s="560"/>
      <c r="H7" s="561">
        <f t="shared" si="0"/>
        <v>0.17</v>
      </c>
      <c r="I7" s="560">
        <f t="shared" si="1"/>
        <v>315967.2795151858</v>
      </c>
      <c r="J7" s="560">
        <f>20000/100000</f>
        <v>0.2</v>
      </c>
      <c r="K7" s="560"/>
      <c r="L7" s="560">
        <f>30000/100000</f>
        <v>0.3</v>
      </c>
      <c r="M7" s="561" t="str">
        <f t="shared" si="2"/>
        <v/>
      </c>
    </row>
    <row r="8" spans="1:13">
      <c r="A8" s="586">
        <f t="shared" si="4"/>
        <v>42826</v>
      </c>
      <c r="B8" s="615">
        <f t="shared" si="5"/>
        <v>0.17</v>
      </c>
      <c r="C8" s="587" t="s">
        <v>1252</v>
      </c>
      <c r="D8" s="557" t="s">
        <v>1253</v>
      </c>
      <c r="E8" s="557">
        <v>13975.9</v>
      </c>
      <c r="F8" s="583">
        <f t="shared" si="3"/>
        <v>42826</v>
      </c>
      <c r="G8" s="560"/>
      <c r="H8" s="561">
        <f t="shared" si="0"/>
        <v>0.17</v>
      </c>
      <c r="I8" s="560">
        <f t="shared" si="1"/>
        <v>291871.66302484996</v>
      </c>
      <c r="J8" s="560">
        <f>20000/100000</f>
        <v>0.2</v>
      </c>
      <c r="K8" s="560"/>
      <c r="L8" s="560">
        <f>30000/100000</f>
        <v>0.3</v>
      </c>
      <c r="M8" s="561" t="str">
        <f t="shared" si="2"/>
        <v/>
      </c>
    </row>
    <row r="9" spans="1:13">
      <c r="A9" s="586">
        <f t="shared" si="4"/>
        <v>42856</v>
      </c>
      <c r="B9" s="615">
        <f>26000/100000</f>
        <v>0.26</v>
      </c>
      <c r="C9" s="587" t="s">
        <v>1252</v>
      </c>
      <c r="D9" s="557" t="s">
        <v>1253</v>
      </c>
      <c r="E9" s="557">
        <v>15610.4</v>
      </c>
      <c r="F9" s="583">
        <f t="shared" si="3"/>
        <v>42856</v>
      </c>
      <c r="G9" s="560"/>
      <c r="H9" s="561">
        <f t="shared" si="0"/>
        <v>0.26</v>
      </c>
      <c r="I9" s="560">
        <f t="shared" si="1"/>
        <v>399652.11185376416</v>
      </c>
      <c r="J9" s="560">
        <f>20000/100000</f>
        <v>0.2</v>
      </c>
      <c r="K9" s="560"/>
      <c r="L9" s="560">
        <f>30000/100000</f>
        <v>0.3</v>
      </c>
      <c r="M9" s="561" t="str">
        <f t="shared" si="2"/>
        <v/>
      </c>
    </row>
    <row r="10" spans="1:13">
      <c r="A10" s="586">
        <f t="shared" si="4"/>
        <v>42887</v>
      </c>
      <c r="B10" s="615">
        <f>26000/100000</f>
        <v>0.26</v>
      </c>
      <c r="C10" s="587" t="s">
        <v>1252</v>
      </c>
      <c r="D10" s="557" t="s">
        <v>1253</v>
      </c>
      <c r="E10" s="557">
        <v>17537.8</v>
      </c>
      <c r="F10" s="583">
        <f t="shared" si="3"/>
        <v>42887</v>
      </c>
      <c r="G10" s="560"/>
      <c r="H10" s="561">
        <f t="shared" si="0"/>
        <v>0.26</v>
      </c>
      <c r="I10" s="560">
        <f t="shared" si="1"/>
        <v>355730.44092657004</v>
      </c>
      <c r="J10" s="560">
        <f>30000/100000</f>
        <v>0.3</v>
      </c>
      <c r="K10" s="560"/>
      <c r="L10" s="560">
        <f>40000/100000</f>
        <v>0.4</v>
      </c>
      <c r="M10" s="561" t="str">
        <f t="shared" si="2"/>
        <v/>
      </c>
    </row>
    <row r="11" spans="1:13">
      <c r="A11" s="586">
        <f t="shared" si="4"/>
        <v>42917</v>
      </c>
      <c r="B11" s="615">
        <f>35000/100000</f>
        <v>0.35</v>
      </c>
      <c r="C11" s="587" t="s">
        <v>1252</v>
      </c>
      <c r="D11" s="557" t="s">
        <v>1253</v>
      </c>
      <c r="E11" s="557">
        <v>19938.2</v>
      </c>
      <c r="F11" s="583">
        <f t="shared" si="3"/>
        <v>42917</v>
      </c>
      <c r="G11" s="560"/>
      <c r="H11" s="561">
        <f t="shared" si="0"/>
        <v>0.35</v>
      </c>
      <c r="I11" s="560">
        <f t="shared" si="1"/>
        <v>421216.03146196745</v>
      </c>
      <c r="J11" s="560">
        <f>30000/100000</f>
        <v>0.3</v>
      </c>
      <c r="K11" s="560"/>
      <c r="L11" s="560">
        <f>40000/100000</f>
        <v>0.4</v>
      </c>
      <c r="M11" s="561" t="str">
        <f t="shared" si="2"/>
        <v/>
      </c>
    </row>
    <row r="12" spans="1:13">
      <c r="A12" s="586">
        <f t="shared" si="4"/>
        <v>42948</v>
      </c>
      <c r="B12" s="615">
        <f t="shared" ref="B12:B14" si="6">35000/100000</f>
        <v>0.35</v>
      </c>
      <c r="C12" s="587" t="s">
        <v>1252</v>
      </c>
      <c r="D12" s="557" t="s">
        <v>1253</v>
      </c>
      <c r="E12" s="557">
        <v>23736.3</v>
      </c>
      <c r="F12" s="583">
        <f t="shared" si="3"/>
        <v>42948</v>
      </c>
      <c r="G12" s="560"/>
      <c r="H12" s="561">
        <f t="shared" si="0"/>
        <v>0.35</v>
      </c>
      <c r="I12" s="560">
        <f t="shared" si="1"/>
        <v>353816.28469875257</v>
      </c>
      <c r="J12" s="560">
        <f>40000/100000</f>
        <v>0.4</v>
      </c>
      <c r="K12" s="560"/>
      <c r="L12" s="560">
        <f>54000/100000</f>
        <v>0.54</v>
      </c>
      <c r="M12" s="561" t="str">
        <f t="shared" si="2"/>
        <v/>
      </c>
    </row>
    <row r="13" spans="1:13">
      <c r="A13" s="586">
        <f t="shared" si="4"/>
        <v>42979</v>
      </c>
      <c r="B13" s="615">
        <f t="shared" si="6"/>
        <v>0.35</v>
      </c>
      <c r="C13" s="587" t="s">
        <v>1252</v>
      </c>
      <c r="D13" s="557" t="s">
        <v>1253</v>
      </c>
      <c r="E13" s="557">
        <v>29921.9</v>
      </c>
      <c r="F13" s="583">
        <f t="shared" si="3"/>
        <v>42979</v>
      </c>
      <c r="G13" s="560"/>
      <c r="H13" s="561">
        <f t="shared" si="0"/>
        <v>0.35</v>
      </c>
      <c r="I13" s="560">
        <f t="shared" si="1"/>
        <v>280673.66973671451</v>
      </c>
      <c r="J13" s="560">
        <f>40000/100000</f>
        <v>0.4</v>
      </c>
      <c r="K13" s="560"/>
      <c r="L13" s="560">
        <f>54000/100000</f>
        <v>0.54</v>
      </c>
      <c r="M13" s="561" t="str">
        <f t="shared" si="2"/>
        <v/>
      </c>
    </row>
    <row r="14" spans="1:13">
      <c r="A14" s="586">
        <f t="shared" si="4"/>
        <v>43009</v>
      </c>
      <c r="B14" s="615">
        <f t="shared" si="6"/>
        <v>0.35</v>
      </c>
      <c r="C14" s="587" t="s">
        <v>1252</v>
      </c>
      <c r="D14" s="557" t="s">
        <v>1253</v>
      </c>
      <c r="E14" s="557">
        <v>39473.9</v>
      </c>
      <c r="F14" s="583">
        <f t="shared" si="3"/>
        <v>43009</v>
      </c>
      <c r="G14" s="560"/>
      <c r="H14" s="561">
        <f t="shared" si="0"/>
        <v>0.35</v>
      </c>
      <c r="I14" s="560">
        <f t="shared" si="1"/>
        <v>212755.5037251196</v>
      </c>
      <c r="J14" s="560">
        <f>40000/100000</f>
        <v>0.4</v>
      </c>
      <c r="K14" s="560"/>
      <c r="L14" s="560">
        <f>54000/100000</f>
        <v>0.54</v>
      </c>
      <c r="M14" s="561" t="str">
        <f t="shared" si="2"/>
        <v/>
      </c>
    </row>
    <row r="15" spans="1:13">
      <c r="A15" s="586">
        <f t="shared" si="4"/>
        <v>43040</v>
      </c>
      <c r="B15" s="615">
        <f>50000/100000</f>
        <v>0.5</v>
      </c>
      <c r="C15" s="587" t="s">
        <v>1252</v>
      </c>
      <c r="D15" s="557" t="s">
        <v>1253</v>
      </c>
      <c r="E15" s="557">
        <v>54611</v>
      </c>
      <c r="F15" s="583">
        <f t="shared" si="3"/>
        <v>43040</v>
      </c>
      <c r="G15" s="560"/>
      <c r="H15" s="561">
        <f t="shared" si="0"/>
        <v>0.5</v>
      </c>
      <c r="I15" s="560">
        <f t="shared" si="1"/>
        <v>219691.20502920658</v>
      </c>
      <c r="J15" s="560">
        <f>40000/100000</f>
        <v>0.4</v>
      </c>
      <c r="K15" s="560"/>
      <c r="L15" s="560">
        <f>54000/100000</f>
        <v>0.54</v>
      </c>
      <c r="M15" s="561" t="str">
        <f t="shared" si="2"/>
        <v/>
      </c>
    </row>
    <row r="16" spans="1:13">
      <c r="A16" s="586">
        <f t="shared" si="4"/>
        <v>43070</v>
      </c>
      <c r="B16" s="615">
        <f>50000/100000</f>
        <v>0.5</v>
      </c>
      <c r="C16" s="587" t="s">
        <v>1252</v>
      </c>
      <c r="D16" s="557" t="s">
        <v>1253</v>
      </c>
      <c r="E16" s="557">
        <v>84970.3</v>
      </c>
      <c r="F16" s="583">
        <f t="shared" si="3"/>
        <v>43070</v>
      </c>
      <c r="G16" s="560"/>
      <c r="H16" s="561">
        <f t="shared" si="0"/>
        <v>0.5</v>
      </c>
      <c r="I16" s="560">
        <f t="shared" si="1"/>
        <v>141197.05824093832</v>
      </c>
      <c r="J16" s="560">
        <f>54000/100000</f>
        <v>0.54</v>
      </c>
      <c r="K16" s="560"/>
      <c r="L16" s="560">
        <f>71000/100000</f>
        <v>0.71</v>
      </c>
      <c r="M16" s="561" t="str">
        <f t="shared" si="2"/>
        <v/>
      </c>
    </row>
    <row r="17" spans="1:13">
      <c r="A17" s="586">
        <f t="shared" si="4"/>
        <v>43101</v>
      </c>
      <c r="B17" s="615">
        <f>80000/100000</f>
        <v>0.8</v>
      </c>
      <c r="C17" s="587" t="s">
        <v>1252</v>
      </c>
      <c r="D17" s="557" t="s">
        <v>1253</v>
      </c>
      <c r="E17" s="557">
        <v>141060.9</v>
      </c>
      <c r="F17" s="583">
        <f t="shared" si="3"/>
        <v>43101</v>
      </c>
      <c r="G17" s="560"/>
      <c r="H17" s="561">
        <f t="shared" si="0"/>
        <v>0.8</v>
      </c>
      <c r="I17" s="560">
        <f t="shared" si="1"/>
        <v>136083.70736724351</v>
      </c>
      <c r="J17" s="560">
        <f>54000/100000</f>
        <v>0.54</v>
      </c>
      <c r="K17" s="560"/>
      <c r="L17" s="560">
        <f>71000/100000</f>
        <v>0.71</v>
      </c>
      <c r="M17" s="561" t="str">
        <f t="shared" si="2"/>
        <v/>
      </c>
    </row>
    <row r="18" spans="1:13">
      <c r="A18" s="586">
        <f t="shared" si="4"/>
        <v>43132</v>
      </c>
      <c r="B18" s="615">
        <f>80000/100000</f>
        <v>0.8</v>
      </c>
      <c r="C18" s="587" t="s">
        <v>1252</v>
      </c>
      <c r="D18" s="557" t="s">
        <v>1253</v>
      </c>
      <c r="E18" s="557">
        <v>204074.2</v>
      </c>
      <c r="F18" s="583">
        <f t="shared" si="3"/>
        <v>43132</v>
      </c>
      <c r="G18" s="560"/>
      <c r="H18" s="561">
        <f t="shared" si="0"/>
        <v>0.8</v>
      </c>
      <c r="I18" s="560">
        <f t="shared" si="1"/>
        <v>94064.267979783821</v>
      </c>
      <c r="J18" s="560">
        <f>86400/100000</f>
        <v>0.86399999999999999</v>
      </c>
      <c r="K18" s="560"/>
      <c r="L18" s="560">
        <f>113600/100000</f>
        <v>1.1359999999999999</v>
      </c>
      <c r="M18" s="561" t="str">
        <f t="shared" si="2"/>
        <v/>
      </c>
    </row>
    <row r="19" spans="1:13">
      <c r="A19" s="586">
        <f t="shared" si="4"/>
        <v>43160</v>
      </c>
      <c r="B19" s="615">
        <f>140000/100000</f>
        <v>1.4</v>
      </c>
      <c r="C19" s="587" t="s">
        <v>1252</v>
      </c>
      <c r="D19" s="557" t="s">
        <v>1253</v>
      </c>
      <c r="E19" s="557">
        <v>287622.2</v>
      </c>
      <c r="F19" s="583">
        <f t="shared" si="3"/>
        <v>43160</v>
      </c>
      <c r="G19" s="560"/>
      <c r="H19" s="561">
        <f t="shared" si="0"/>
        <v>1.4</v>
      </c>
      <c r="I19" s="560">
        <f t="shared" si="1"/>
        <v>116796.12322685801</v>
      </c>
      <c r="J19" s="560">
        <f>86400/100000</f>
        <v>0.86399999999999999</v>
      </c>
      <c r="K19" s="560"/>
      <c r="L19" s="560">
        <f>113600/100000</f>
        <v>1.1359999999999999</v>
      </c>
      <c r="M19" s="561" t="str">
        <f t="shared" si="2"/>
        <v/>
      </c>
    </row>
    <row r="20" spans="1:13">
      <c r="A20" s="586">
        <f t="shared" si="4"/>
        <v>43191</v>
      </c>
      <c r="B20" s="615">
        <f>140000/100000</f>
        <v>1.4</v>
      </c>
      <c r="C20" s="587" t="s">
        <v>1252</v>
      </c>
      <c r="D20" s="557" t="s">
        <v>1253</v>
      </c>
      <c r="E20" s="557">
        <v>448124</v>
      </c>
      <c r="F20" s="583">
        <f t="shared" si="3"/>
        <v>43191</v>
      </c>
      <c r="G20" s="560"/>
      <c r="H20" s="561">
        <f t="shared" si="0"/>
        <v>1.4</v>
      </c>
      <c r="I20" s="560">
        <f t="shared" si="1"/>
        <v>74963.978528219872</v>
      </c>
      <c r="J20" s="560">
        <f>155000/100000</f>
        <v>1.55</v>
      </c>
      <c r="K20" s="560"/>
      <c r="L20" s="560">
        <f>200000/100000</f>
        <v>2</v>
      </c>
      <c r="M20" s="561" t="str">
        <f t="shared" si="2"/>
        <v/>
      </c>
    </row>
    <row r="21" spans="1:13">
      <c r="A21" s="586">
        <f t="shared" si="4"/>
        <v>43221</v>
      </c>
      <c r="B21" s="615">
        <f>400000/100000</f>
        <v>4</v>
      </c>
      <c r="C21" s="587" t="s">
        <v>1252</v>
      </c>
      <c r="D21" s="557" t="s">
        <v>1253</v>
      </c>
      <c r="E21" s="557">
        <v>942481</v>
      </c>
      <c r="F21" s="583">
        <f t="shared" si="3"/>
        <v>43221</v>
      </c>
      <c r="G21" s="560"/>
      <c r="H21" s="561">
        <f t="shared" si="0"/>
        <v>4</v>
      </c>
      <c r="I21" s="560">
        <f t="shared" si="1"/>
        <v>101838.07544427952</v>
      </c>
      <c r="J21" s="560">
        <f>155000/100000</f>
        <v>1.55</v>
      </c>
      <c r="K21" s="560"/>
      <c r="L21" s="560">
        <f>200000/100000</f>
        <v>2</v>
      </c>
      <c r="M21" s="561" t="str">
        <f t="shared" si="2"/>
        <v/>
      </c>
    </row>
    <row r="22" spans="1:13">
      <c r="A22" s="586">
        <f t="shared" si="4"/>
        <v>43252</v>
      </c>
      <c r="B22" s="615">
        <f>625000/100000</f>
        <v>6.25</v>
      </c>
      <c r="C22" s="587" t="s">
        <v>1252</v>
      </c>
      <c r="D22" s="557" t="s">
        <v>1253</v>
      </c>
      <c r="E22" s="557">
        <v>1853869.6</v>
      </c>
      <c r="F22" s="583">
        <f t="shared" si="3"/>
        <v>43252</v>
      </c>
      <c r="G22" s="560"/>
      <c r="H22" s="561">
        <f t="shared" si="0"/>
        <v>6.25</v>
      </c>
      <c r="I22" s="560">
        <f t="shared" si="1"/>
        <v>80895.363391861538</v>
      </c>
      <c r="J22" s="560">
        <f>IF(ISBLANK(H22),"",ROUNDUP(H22*110%*2,2)/2)</f>
        <v>6.875</v>
      </c>
      <c r="K22" s="560"/>
      <c r="L22" s="560">
        <f>IF(ISBLANK(H22),"",ROUND(H22*145%*2,2)/2)</f>
        <v>9.0649999999999995</v>
      </c>
      <c r="M22" s="561" t="str">
        <f t="shared" si="2"/>
        <v/>
      </c>
    </row>
    <row r="23" spans="1:13">
      <c r="A23" s="586">
        <f t="shared" si="4"/>
        <v>43282</v>
      </c>
      <c r="B23" s="615">
        <f>1000000/100000</f>
        <v>10</v>
      </c>
      <c r="C23" s="587" t="s">
        <v>1252</v>
      </c>
      <c r="D23" s="557" t="s">
        <v>1253</v>
      </c>
      <c r="E23" s="557">
        <v>3362789.7</v>
      </c>
      <c r="F23" s="583">
        <f t="shared" si="3"/>
        <v>43282</v>
      </c>
      <c r="G23" s="560"/>
      <c r="H23" s="561">
        <f t="shared" si="0"/>
        <v>10</v>
      </c>
      <c r="I23" s="560">
        <f t="shared" si="1"/>
        <v>71354.782595236335</v>
      </c>
      <c r="J23" s="560">
        <f>IF(ISBLANK(H23),"",ROUNDUP(H23*110%*2,2)/2)</f>
        <v>11</v>
      </c>
      <c r="K23" s="560"/>
      <c r="L23" s="560">
        <f>IF(ISBLANK(H23),"",ROUND(H23*145%*2,2)/2)</f>
        <v>14.5</v>
      </c>
      <c r="M23" s="561" t="str">
        <f t="shared" si="2"/>
        <v/>
      </c>
    </row>
    <row r="24" spans="1:13">
      <c r="A24" s="586">
        <f t="shared" si="4"/>
        <v>43313</v>
      </c>
      <c r="B24" s="615">
        <f>1200000/100000</f>
        <v>12</v>
      </c>
      <c r="C24" s="587" t="s">
        <v>1252</v>
      </c>
      <c r="D24" s="557" t="s">
        <v>1253</v>
      </c>
      <c r="E24" s="557">
        <v>5919047.9000000004</v>
      </c>
      <c r="F24" s="583">
        <f t="shared" si="3"/>
        <v>43313</v>
      </c>
      <c r="G24" s="560"/>
      <c r="H24" s="561">
        <f t="shared" si="0"/>
        <v>12</v>
      </c>
      <c r="I24" s="560">
        <f t="shared" si="1"/>
        <v>48646.565868879014</v>
      </c>
      <c r="J24" s="560">
        <f>IF(ISBLANK(H24),"",ROUNDUP(H24*110%*2,2)/2)</f>
        <v>13.2</v>
      </c>
      <c r="K24" s="560"/>
      <c r="L24" s="560">
        <f>IF(ISBLANK(H24),"",ROUND(H24*145%*2,2)/2)</f>
        <v>17.399999999999999</v>
      </c>
      <c r="M24" s="561" t="str">
        <f t="shared" si="2"/>
        <v/>
      </c>
    </row>
    <row r="25" spans="1:13">
      <c r="A25" s="586">
        <f t="shared" si="4"/>
        <v>43344</v>
      </c>
      <c r="B25" s="615">
        <v>320</v>
      </c>
      <c r="C25" s="587" t="s">
        <v>1252</v>
      </c>
      <c r="D25" s="557" t="s">
        <v>1253</v>
      </c>
      <c r="E25" s="557">
        <v>13479980.5</v>
      </c>
      <c r="F25" s="583">
        <f t="shared" si="3"/>
        <v>43344</v>
      </c>
      <c r="G25" s="560"/>
      <c r="H25" s="561">
        <f t="shared" si="0"/>
        <v>320</v>
      </c>
      <c r="I25" s="560">
        <f t="shared" si="1"/>
        <v>569617.7449681029</v>
      </c>
      <c r="J25" s="560">
        <f t="shared" ref="J25:J28" si="7">IF(ISBLANK(H25),"",ROUNDUP(H25*110%*2,-1)/2)</f>
        <v>355</v>
      </c>
      <c r="K25" s="560"/>
      <c r="L25" s="560">
        <f t="shared" ref="L25:L36" si="8">IF(ISBLANK(H25),"",ROUND(H25*145%*2,-1)/2)</f>
        <v>465</v>
      </c>
      <c r="M25" s="561" t="str">
        <f t="shared" si="2"/>
        <v/>
      </c>
    </row>
    <row r="26" spans="1:13">
      <c r="A26" s="586">
        <f t="shared" si="4"/>
        <v>43374</v>
      </c>
      <c r="B26" s="615">
        <v>320</v>
      </c>
      <c r="C26" s="587" t="s">
        <v>1252</v>
      </c>
      <c r="D26" s="557" t="s">
        <v>1253</v>
      </c>
      <c r="E26" s="557">
        <v>25355573.699999999</v>
      </c>
      <c r="F26" s="583">
        <f t="shared" si="3"/>
        <v>43374</v>
      </c>
      <c r="G26" s="560"/>
      <c r="H26" s="561">
        <f t="shared" si="0"/>
        <v>320</v>
      </c>
      <c r="I26" s="560">
        <f t="shared" si="1"/>
        <v>302830.30411668424</v>
      </c>
      <c r="J26" s="560">
        <f t="shared" si="7"/>
        <v>355</v>
      </c>
      <c r="K26" s="560"/>
      <c r="L26" s="560">
        <f t="shared" si="8"/>
        <v>465</v>
      </c>
      <c r="M26" s="561" t="str">
        <f t="shared" si="2"/>
        <v/>
      </c>
    </row>
    <row r="27" spans="1:13">
      <c r="A27" s="586">
        <f t="shared" si="4"/>
        <v>43405</v>
      </c>
      <c r="B27" s="615">
        <v>320</v>
      </c>
      <c r="C27" s="587" t="s">
        <v>1252</v>
      </c>
      <c r="D27" s="557" t="s">
        <v>1253</v>
      </c>
      <c r="E27" s="557">
        <v>56589583.5</v>
      </c>
      <c r="F27" s="583">
        <f t="shared" si="3"/>
        <v>43405</v>
      </c>
      <c r="G27" s="560"/>
      <c r="H27" s="561">
        <f t="shared" si="0"/>
        <v>320</v>
      </c>
      <c r="I27" s="560">
        <f t="shared" si="1"/>
        <v>135686.38642876741</v>
      </c>
      <c r="J27" s="560">
        <f t="shared" si="7"/>
        <v>355</v>
      </c>
      <c r="K27" s="560"/>
      <c r="L27" s="560">
        <f t="shared" si="8"/>
        <v>465</v>
      </c>
      <c r="M27" s="561" t="str">
        <f t="shared" si="2"/>
        <v/>
      </c>
    </row>
    <row r="28" spans="1:13">
      <c r="A28" s="586">
        <f t="shared" si="4"/>
        <v>43435</v>
      </c>
      <c r="B28" s="615">
        <v>800</v>
      </c>
      <c r="C28" s="587" t="s">
        <v>1252</v>
      </c>
      <c r="D28" s="557" t="s">
        <v>1253</v>
      </c>
      <c r="E28" s="557">
        <v>110597550.2</v>
      </c>
      <c r="F28" s="583">
        <f t="shared" si="3"/>
        <v>43435</v>
      </c>
      <c r="G28" s="560"/>
      <c r="H28" s="561">
        <f t="shared" si="0"/>
        <v>800</v>
      </c>
      <c r="I28" s="560">
        <f t="shared" si="1"/>
        <v>173567.04738799902</v>
      </c>
      <c r="J28" s="560">
        <f t="shared" si="7"/>
        <v>880</v>
      </c>
      <c r="K28" s="560"/>
      <c r="L28" s="560">
        <f t="shared" si="8"/>
        <v>1160</v>
      </c>
      <c r="M28" s="561" t="str">
        <f t="shared" si="2"/>
        <v/>
      </c>
    </row>
    <row r="29" spans="1:13">
      <c r="A29" s="586">
        <f t="shared" si="4"/>
        <v>43466</v>
      </c>
      <c r="B29" s="615">
        <v>3000</v>
      </c>
      <c r="C29" s="587" t="s">
        <v>1252</v>
      </c>
      <c r="D29" s="557" t="s">
        <v>1253</v>
      </c>
      <c r="E29" s="557">
        <v>328067725.10000002</v>
      </c>
      <c r="F29" s="583">
        <f t="shared" si="3"/>
        <v>43466</v>
      </c>
      <c r="G29" s="560"/>
      <c r="H29" s="561">
        <f t="shared" si="0"/>
        <v>3000</v>
      </c>
      <c r="I29" s="560">
        <f t="shared" si="1"/>
        <v>219422.18901648364</v>
      </c>
      <c r="J29" s="560"/>
      <c r="K29" s="560"/>
      <c r="L29" s="560">
        <f t="shared" si="8"/>
        <v>4350</v>
      </c>
      <c r="M29" s="561" t="str">
        <f t="shared" si="2"/>
        <v/>
      </c>
    </row>
    <row r="30" spans="1:13">
      <c r="A30" s="586">
        <f t="shared" si="4"/>
        <v>43497</v>
      </c>
      <c r="B30" s="615">
        <v>3000</v>
      </c>
      <c r="C30" s="587" t="s">
        <v>1252</v>
      </c>
      <c r="D30" s="557" t="s">
        <v>1253</v>
      </c>
      <c r="E30" s="557">
        <v>703259098.20000005</v>
      </c>
      <c r="F30" s="583">
        <f t="shared" si="3"/>
        <v>43497</v>
      </c>
      <c r="G30" s="560"/>
      <c r="H30" s="561">
        <f t="shared" si="0"/>
        <v>3000</v>
      </c>
      <c r="I30" s="560">
        <f t="shared" si="1"/>
        <v>102359.62616245892</v>
      </c>
      <c r="J30" s="560"/>
      <c r="K30" s="560"/>
      <c r="L30" s="560">
        <f t="shared" si="8"/>
        <v>4350</v>
      </c>
      <c r="M30" s="561" t="str">
        <f t="shared" si="2"/>
        <v/>
      </c>
    </row>
    <row r="31" spans="1:13">
      <c r="A31" s="586">
        <f t="shared" si="4"/>
        <v>43525</v>
      </c>
      <c r="B31" s="615">
        <v>3000</v>
      </c>
      <c r="C31" s="587" t="s">
        <v>1252</v>
      </c>
      <c r="D31" s="557" t="s">
        <v>1253</v>
      </c>
      <c r="E31" s="557">
        <v>948197209.5</v>
      </c>
      <c r="F31" s="583">
        <f t="shared" si="3"/>
        <v>43525</v>
      </c>
      <c r="G31" s="560"/>
      <c r="H31" s="561">
        <f t="shared" si="0"/>
        <v>3000</v>
      </c>
      <c r="I31" s="560">
        <f t="shared" si="1"/>
        <v>75918.108243599519</v>
      </c>
      <c r="J31" s="560"/>
      <c r="K31" s="560"/>
      <c r="L31" s="560">
        <f t="shared" si="8"/>
        <v>4350</v>
      </c>
      <c r="M31" s="561" t="str">
        <f t="shared" si="2"/>
        <v/>
      </c>
    </row>
    <row r="32" spans="1:13">
      <c r="A32" s="586">
        <f t="shared" si="4"/>
        <v>43556</v>
      </c>
      <c r="B32" s="615">
        <v>5000</v>
      </c>
      <c r="C32" s="587" t="s">
        <v>1252</v>
      </c>
      <c r="D32" s="557" t="s">
        <v>1253</v>
      </c>
      <c r="E32" s="557">
        <v>1268517190.9000001</v>
      </c>
      <c r="F32" s="583">
        <f t="shared" si="3"/>
        <v>43556</v>
      </c>
      <c r="G32" s="560"/>
      <c r="H32" s="561">
        <f t="shared" si="0"/>
        <v>5000</v>
      </c>
      <c r="I32" s="560">
        <f t="shared" si="1"/>
        <v>94579.3756987862</v>
      </c>
      <c r="J32" s="560"/>
      <c r="K32" s="560"/>
      <c r="L32" s="560">
        <f t="shared" si="8"/>
        <v>7250</v>
      </c>
      <c r="M32" s="561" t="str">
        <f t="shared" si="2"/>
        <v/>
      </c>
    </row>
    <row r="33" spans="1:13">
      <c r="A33" s="586">
        <f t="shared" si="4"/>
        <v>43586</v>
      </c>
      <c r="B33" s="615">
        <v>8000</v>
      </c>
      <c r="C33" s="587" t="s">
        <v>1252</v>
      </c>
      <c r="D33" s="557" t="s">
        <v>1253</v>
      </c>
      <c r="E33" s="557">
        <v>1769365833.3</v>
      </c>
      <c r="F33" s="583">
        <f t="shared" si="3"/>
        <v>43586</v>
      </c>
      <c r="G33" s="560"/>
      <c r="H33" s="561">
        <f t="shared" si="0"/>
        <v>8000</v>
      </c>
      <c r="I33" s="560">
        <f t="shared" si="1"/>
        <v>108491.35817638037</v>
      </c>
      <c r="J33" s="560"/>
      <c r="K33" s="560"/>
      <c r="L33" s="560">
        <f t="shared" si="8"/>
        <v>11600</v>
      </c>
      <c r="M33" s="561" t="str">
        <f t="shared" si="2"/>
        <v/>
      </c>
    </row>
    <row r="34" spans="1:13">
      <c r="A34" s="586">
        <f t="shared" si="4"/>
        <v>43617</v>
      </c>
      <c r="B34" s="615">
        <v>8000</v>
      </c>
      <c r="C34" s="587" t="s">
        <v>1252</v>
      </c>
      <c r="D34" s="557" t="s">
        <v>1253</v>
      </c>
      <c r="E34" s="557">
        <v>2160431069.8000002</v>
      </c>
      <c r="F34" s="583">
        <f t="shared" si="3"/>
        <v>43617</v>
      </c>
      <c r="G34" s="560"/>
      <c r="H34" s="561">
        <f t="shared" si="0"/>
        <v>8000</v>
      </c>
      <c r="I34" s="560">
        <f t="shared" si="1"/>
        <v>88853.055785469056</v>
      </c>
      <c r="J34" s="560"/>
      <c r="K34" s="560"/>
      <c r="L34" s="560">
        <f t="shared" si="8"/>
        <v>11600</v>
      </c>
      <c r="M34" s="561" t="str">
        <f t="shared" si="2"/>
        <v/>
      </c>
    </row>
    <row r="35" spans="1:13">
      <c r="A35" s="586">
        <f t="shared" si="4"/>
        <v>43647</v>
      </c>
      <c r="B35" s="615">
        <v>10000</v>
      </c>
      <c r="C35" s="587" t="s">
        <v>1252</v>
      </c>
      <c r="D35" s="557" t="s">
        <v>1253</v>
      </c>
      <c r="E35" s="557">
        <v>2579165819.6999998</v>
      </c>
      <c r="F35" s="583">
        <f t="shared" si="3"/>
        <v>43647</v>
      </c>
      <c r="G35" s="560"/>
      <c r="H35" s="561">
        <f t="shared" si="0"/>
        <v>10000</v>
      </c>
      <c r="I35" s="560">
        <f t="shared" si="1"/>
        <v>93034.393571837238</v>
      </c>
      <c r="J35" s="560"/>
      <c r="K35" s="560"/>
      <c r="L35" s="560">
        <f t="shared" si="8"/>
        <v>14500</v>
      </c>
      <c r="M35" s="561" t="str">
        <f t="shared" si="2"/>
        <v/>
      </c>
    </row>
    <row r="36" spans="1:13">
      <c r="A36" s="586">
        <f t="shared" si="4"/>
        <v>43678</v>
      </c>
      <c r="B36" s="615">
        <v>10000</v>
      </c>
      <c r="C36" s="587" t="s">
        <v>1252</v>
      </c>
      <c r="D36" s="557" t="s">
        <v>1253</v>
      </c>
      <c r="E36" s="557">
        <v>3472176193.1999998</v>
      </c>
      <c r="F36" s="583">
        <f t="shared" si="3"/>
        <v>43678</v>
      </c>
      <c r="G36" s="560"/>
      <c r="H36" s="561">
        <f t="shared" si="0"/>
        <v>10000</v>
      </c>
      <c r="I36" s="560">
        <f>IF(C36="VEB",(1+($I$1-E36)/E36)*B36,$M$1*B36)</f>
        <v>69106.840956667613</v>
      </c>
      <c r="J36" s="560"/>
      <c r="K36" s="560"/>
      <c r="L36" s="560">
        <f t="shared" si="8"/>
        <v>14500</v>
      </c>
      <c r="M36" s="561" t="str">
        <f t="shared" si="2"/>
        <v/>
      </c>
    </row>
    <row r="37" spans="1:13">
      <c r="A37" s="586">
        <v>43709</v>
      </c>
      <c r="B37" s="616">
        <v>1</v>
      </c>
      <c r="C37" s="587" t="s">
        <v>1254</v>
      </c>
      <c r="D37" s="558">
        <v>20511.45</v>
      </c>
      <c r="E37" s="557">
        <v>5286006314.6999998</v>
      </c>
      <c r="F37" s="583">
        <f t="shared" si="3"/>
        <v>43709</v>
      </c>
      <c r="G37" s="561">
        <f t="shared" ref="G37:G44" si="9">ROUNDUP(D37,-2)</f>
        <v>20600</v>
      </c>
      <c r="H37" s="561">
        <f>IF(C37="VEB",B37,G37*B37)</f>
        <v>20600</v>
      </c>
      <c r="I37" s="560">
        <f t="shared" ref="I37:I77" si="10">IF(C37="VEB",(1+($I$1-E37)/E37)*B37,$M$1*B37)</f>
        <v>176600</v>
      </c>
      <c r="J37" s="560"/>
      <c r="K37" s="560"/>
      <c r="L37" s="560">
        <f t="shared" ref="L37:L44" si="11">IF(ISBLANK(H37),"",ROUND(H37*145%*2,-1)/2)</f>
        <v>29870</v>
      </c>
      <c r="M37" s="561">
        <f t="shared" si="2"/>
        <v>1.45</v>
      </c>
    </row>
    <row r="38" spans="1:13">
      <c r="A38" s="586">
        <v>43717</v>
      </c>
      <c r="B38" s="616">
        <v>1</v>
      </c>
      <c r="C38" s="587" t="s">
        <v>1254</v>
      </c>
      <c r="D38" s="558">
        <v>20430.11</v>
      </c>
      <c r="E38" s="557">
        <v>5286006314.6999998</v>
      </c>
      <c r="F38" s="583">
        <f t="shared" si="3"/>
        <v>43709</v>
      </c>
      <c r="G38" s="561">
        <f t="shared" si="9"/>
        <v>20500</v>
      </c>
      <c r="H38" s="561">
        <f t="shared" ref="H38:H45" si="12">IF(C38="VEB",B38,G38*B38)</f>
        <v>20500</v>
      </c>
      <c r="I38" s="560">
        <f t="shared" si="10"/>
        <v>176600</v>
      </c>
      <c r="J38" s="560"/>
      <c r="K38" s="560"/>
      <c r="L38" s="560">
        <f t="shared" si="11"/>
        <v>29725</v>
      </c>
      <c r="M38" s="561">
        <f t="shared" si="2"/>
        <v>1.45</v>
      </c>
    </row>
    <row r="39" spans="1:13">
      <c r="A39" s="586">
        <v>43724</v>
      </c>
      <c r="B39" s="616">
        <v>1</v>
      </c>
      <c r="C39" s="587" t="s">
        <v>1254</v>
      </c>
      <c r="D39" s="558">
        <v>21555.41</v>
      </c>
      <c r="E39" s="557">
        <v>5286006314.6999998</v>
      </c>
      <c r="F39" s="583">
        <f t="shared" si="3"/>
        <v>43709</v>
      </c>
      <c r="G39" s="561">
        <f t="shared" si="9"/>
        <v>21600</v>
      </c>
      <c r="H39" s="561">
        <f t="shared" si="12"/>
        <v>21600</v>
      </c>
      <c r="I39" s="560">
        <f t="shared" si="10"/>
        <v>176600</v>
      </c>
      <c r="J39" s="560"/>
      <c r="K39" s="560"/>
      <c r="L39" s="560">
        <f t="shared" si="11"/>
        <v>31320</v>
      </c>
      <c r="M39" s="561">
        <f t="shared" si="2"/>
        <v>1.45</v>
      </c>
    </row>
    <row r="40" spans="1:13">
      <c r="A40" s="586">
        <v>43731</v>
      </c>
      <c r="B40" s="616">
        <v>1</v>
      </c>
      <c r="C40" s="587" t="s">
        <v>1254</v>
      </c>
      <c r="D40" s="558">
        <v>19715.310000000001</v>
      </c>
      <c r="E40" s="557">
        <v>5286006314.6999998</v>
      </c>
      <c r="F40" s="583">
        <f t="shared" si="3"/>
        <v>43709</v>
      </c>
      <c r="G40" s="561">
        <f t="shared" si="9"/>
        <v>19800</v>
      </c>
      <c r="H40" s="561">
        <f t="shared" si="12"/>
        <v>19800</v>
      </c>
      <c r="I40" s="560">
        <f t="shared" si="10"/>
        <v>176600</v>
      </c>
      <c r="J40" s="560"/>
      <c r="K40" s="560"/>
      <c r="L40" s="560">
        <f t="shared" si="11"/>
        <v>28710</v>
      </c>
      <c r="M40" s="561">
        <f t="shared" si="2"/>
        <v>1.45</v>
      </c>
    </row>
    <row r="41" spans="1:13">
      <c r="A41" s="586">
        <v>43738</v>
      </c>
      <c r="B41" s="616">
        <v>1</v>
      </c>
      <c r="C41" s="587" t="s">
        <v>1254</v>
      </c>
      <c r="D41" s="558">
        <v>21028.080000000002</v>
      </c>
      <c r="E41" s="557">
        <v>5286006314.6999998</v>
      </c>
      <c r="F41" s="583">
        <f t="shared" si="3"/>
        <v>43709</v>
      </c>
      <c r="G41" s="561">
        <f t="shared" si="9"/>
        <v>21100</v>
      </c>
      <c r="H41" s="561">
        <f t="shared" si="12"/>
        <v>21100</v>
      </c>
      <c r="I41" s="560">
        <f t="shared" si="10"/>
        <v>176600</v>
      </c>
      <c r="J41" s="560"/>
      <c r="K41" s="560"/>
      <c r="L41" s="560">
        <f t="shared" ref="L41" si="13">IF(ISBLANK(H41),"",ROUND(H41*145%*2,-1)/2)</f>
        <v>30595</v>
      </c>
      <c r="M41" s="561">
        <f t="shared" si="2"/>
        <v>1.45</v>
      </c>
    </row>
    <row r="42" spans="1:13">
      <c r="A42" s="586">
        <v>43739</v>
      </c>
      <c r="B42" s="616">
        <v>2.5</v>
      </c>
      <c r="C42" s="587" t="s">
        <v>1254</v>
      </c>
      <c r="D42" s="558">
        <v>21028.080000000002</v>
      </c>
      <c r="E42" s="557">
        <v>6478423619.1999998</v>
      </c>
      <c r="F42" s="583">
        <f t="shared" si="3"/>
        <v>43739</v>
      </c>
      <c r="G42" s="561">
        <f t="shared" si="9"/>
        <v>21100</v>
      </c>
      <c r="H42" s="561">
        <f t="shared" si="12"/>
        <v>52750</v>
      </c>
      <c r="I42" s="560">
        <f t="shared" si="10"/>
        <v>441500</v>
      </c>
      <c r="J42" s="560"/>
      <c r="K42" s="560"/>
      <c r="L42" s="560">
        <f t="shared" ref="L42" si="14">IF(ISBLANK(H42),"",ROUND(H42*145%*2,-1)/2)</f>
        <v>76490</v>
      </c>
      <c r="M42" s="561">
        <f t="shared" si="2"/>
        <v>3.625</v>
      </c>
    </row>
    <row r="43" spans="1:13">
      <c r="A43" s="586">
        <v>43745</v>
      </c>
      <c r="B43" s="616">
        <v>2.5</v>
      </c>
      <c r="C43" s="587" t="s">
        <v>1254</v>
      </c>
      <c r="D43" s="558">
        <v>20218.03</v>
      </c>
      <c r="E43" s="557">
        <v>6478423619.1999998</v>
      </c>
      <c r="F43" s="583">
        <f t="shared" si="3"/>
        <v>43739</v>
      </c>
      <c r="G43" s="561">
        <f t="shared" si="9"/>
        <v>20300</v>
      </c>
      <c r="H43" s="561">
        <f t="shared" si="12"/>
        <v>50750</v>
      </c>
      <c r="I43" s="560">
        <f t="shared" si="10"/>
        <v>441500</v>
      </c>
      <c r="J43" s="560"/>
      <c r="K43" s="560"/>
      <c r="L43" s="560">
        <f t="shared" si="11"/>
        <v>73590</v>
      </c>
      <c r="M43" s="561">
        <f t="shared" si="2"/>
        <v>3.625</v>
      </c>
    </row>
    <row r="44" spans="1:13">
      <c r="A44" s="586">
        <v>43752</v>
      </c>
      <c r="B44" s="616">
        <v>2.5</v>
      </c>
      <c r="C44" s="587" t="s">
        <v>1254</v>
      </c>
      <c r="D44" s="558">
        <v>19733.41</v>
      </c>
      <c r="E44" s="557">
        <v>6478423619.1999998</v>
      </c>
      <c r="F44" s="583">
        <f t="shared" si="3"/>
        <v>43739</v>
      </c>
      <c r="G44" s="561">
        <f t="shared" si="9"/>
        <v>19800</v>
      </c>
      <c r="H44" s="561">
        <f t="shared" si="12"/>
        <v>49500</v>
      </c>
      <c r="I44" s="560">
        <f t="shared" si="10"/>
        <v>441500</v>
      </c>
      <c r="J44" s="560"/>
      <c r="K44" s="560"/>
      <c r="L44" s="560">
        <f t="shared" si="11"/>
        <v>71775</v>
      </c>
      <c r="M44" s="561">
        <f t="shared" si="2"/>
        <v>3.625</v>
      </c>
    </row>
    <row r="45" spans="1:13">
      <c r="A45" s="586">
        <v>43758</v>
      </c>
      <c r="B45" s="616">
        <v>2.5</v>
      </c>
      <c r="C45" s="587" t="s">
        <v>1254</v>
      </c>
      <c r="D45" s="558">
        <v>18710.560000000001</v>
      </c>
      <c r="E45" s="557">
        <v>6478423619.1999998</v>
      </c>
      <c r="F45" s="583">
        <f t="shared" si="3"/>
        <v>43739</v>
      </c>
      <c r="G45" s="561">
        <f t="shared" ref="G45:G52" si="15">ROUNDUP(D45,-2)</f>
        <v>18800</v>
      </c>
      <c r="H45" s="561">
        <f t="shared" si="12"/>
        <v>47000</v>
      </c>
      <c r="I45" s="560">
        <f t="shared" si="10"/>
        <v>441500</v>
      </c>
      <c r="J45" s="560"/>
      <c r="K45" s="560"/>
      <c r="L45" s="560">
        <f t="shared" ref="L45" si="16">IF(ISBLANK(H45),"",ROUND(H45*145%*2,-1)/2)</f>
        <v>68150</v>
      </c>
      <c r="M45" s="561">
        <f t="shared" si="2"/>
        <v>3.625</v>
      </c>
    </row>
    <row r="46" spans="1:13">
      <c r="A46" s="586">
        <v>43766</v>
      </c>
      <c r="B46" s="616">
        <v>2.5</v>
      </c>
      <c r="C46" s="587" t="s">
        <v>1254</v>
      </c>
      <c r="D46" s="558">
        <v>20454.310000000001</v>
      </c>
      <c r="E46" s="557">
        <v>6478423619.1999998</v>
      </c>
      <c r="F46" s="583">
        <f t="shared" si="3"/>
        <v>43739</v>
      </c>
      <c r="G46" s="561">
        <f t="shared" si="15"/>
        <v>20500</v>
      </c>
      <c r="H46" s="561">
        <f t="shared" ref="H46" si="17">IF(C46="VEB",B46,G46*B46)</f>
        <v>51250</v>
      </c>
      <c r="I46" s="560">
        <f t="shared" si="10"/>
        <v>441500</v>
      </c>
      <c r="J46" s="560"/>
      <c r="K46" s="560"/>
      <c r="L46" s="560">
        <f t="shared" ref="L46" si="18">IF(ISBLANK(H46),"",ROUND(H46*145%*2,-1)/2)</f>
        <v>74315</v>
      </c>
      <c r="M46" s="561">
        <f t="shared" si="2"/>
        <v>3.625</v>
      </c>
    </row>
    <row r="47" spans="1:13">
      <c r="A47" s="586">
        <v>43770</v>
      </c>
      <c r="B47" s="616">
        <v>2.5</v>
      </c>
      <c r="C47" s="587" t="s">
        <v>1254</v>
      </c>
      <c r="D47" s="558">
        <v>20454.310000000001</v>
      </c>
      <c r="E47" s="557">
        <v>8144026331.6999998</v>
      </c>
      <c r="F47" s="583">
        <f t="shared" ref="F47" si="19">DATE(YEAR(A47),MONTH(A47),1)</f>
        <v>43770</v>
      </c>
      <c r="G47" s="561">
        <f t="shared" si="15"/>
        <v>20500</v>
      </c>
      <c r="H47" s="561">
        <f t="shared" ref="H47" si="20">IF(C47="VEB",B47,G47*B47)</f>
        <v>51250</v>
      </c>
      <c r="I47" s="560">
        <f t="shared" si="10"/>
        <v>441500</v>
      </c>
      <c r="J47" s="560"/>
      <c r="K47" s="560"/>
      <c r="L47" s="560">
        <f t="shared" ref="L47" si="21">IF(ISBLANK(H47),"",ROUND(H47*145%*2,-1)/2)</f>
        <v>74315</v>
      </c>
      <c r="M47" s="561">
        <f t="shared" si="2"/>
        <v>3.625</v>
      </c>
    </row>
    <row r="48" spans="1:13">
      <c r="A48" s="586">
        <v>43773</v>
      </c>
      <c r="B48" s="616">
        <v>2.5</v>
      </c>
      <c r="C48" s="587" t="s">
        <v>1254</v>
      </c>
      <c r="D48" s="558">
        <v>22493.91</v>
      </c>
      <c r="E48" s="557">
        <v>8144026331.6999998</v>
      </c>
      <c r="F48" s="583">
        <f t="shared" ref="F48" si="22">DATE(YEAR(A48),MONTH(A48),1)</f>
        <v>43770</v>
      </c>
      <c r="G48" s="561">
        <f t="shared" si="15"/>
        <v>22500</v>
      </c>
      <c r="H48" s="561">
        <f t="shared" ref="H48" si="23">IF(C48="VEB",B48,G48*B48)</f>
        <v>56250</v>
      </c>
      <c r="I48" s="560">
        <f t="shared" si="10"/>
        <v>441500</v>
      </c>
      <c r="J48" s="560"/>
      <c r="K48" s="560"/>
      <c r="L48" s="560">
        <f t="shared" ref="L48" si="24">IF(ISBLANK(H48),"",ROUND(H48*145%*2,-1)/2)</f>
        <v>81565</v>
      </c>
      <c r="M48" s="561">
        <f t="shared" si="2"/>
        <v>3.625</v>
      </c>
    </row>
    <row r="49" spans="1:13">
      <c r="A49" s="586">
        <v>43780</v>
      </c>
      <c r="B49" s="616">
        <v>2.5</v>
      </c>
      <c r="C49" s="587" t="s">
        <v>1254</v>
      </c>
      <c r="D49" s="558">
        <v>25734.28</v>
      </c>
      <c r="E49" s="557">
        <v>8144026331.6999998</v>
      </c>
      <c r="F49" s="583">
        <f t="shared" ref="F49" si="25">DATE(YEAR(A49),MONTH(A49),1)</f>
        <v>43770</v>
      </c>
      <c r="G49" s="561">
        <f t="shared" si="15"/>
        <v>25800</v>
      </c>
      <c r="H49" s="561">
        <f t="shared" ref="H49" si="26">IF(C49="VEB",B49,G49*B49)</f>
        <v>64500</v>
      </c>
      <c r="I49" s="560">
        <f t="shared" si="10"/>
        <v>441500</v>
      </c>
      <c r="J49" s="560"/>
      <c r="K49" s="560"/>
      <c r="L49" s="560">
        <f t="shared" ref="L49" si="27">IF(ISBLANK(H49),"",ROUND(H49*145%*2,-1)/2)</f>
        <v>93525</v>
      </c>
      <c r="M49" s="561">
        <f t="shared" si="2"/>
        <v>3.625</v>
      </c>
    </row>
    <row r="50" spans="1:13">
      <c r="A50" s="586">
        <v>43787</v>
      </c>
      <c r="B50" s="616">
        <v>2.5</v>
      </c>
      <c r="C50" s="587" t="s">
        <v>1254</v>
      </c>
      <c r="D50" s="558">
        <v>29383.24</v>
      </c>
      <c r="E50" s="557">
        <v>8144026331.6999998</v>
      </c>
      <c r="F50" s="583">
        <f t="shared" ref="F50" si="28">DATE(YEAR(A50),MONTH(A50),1)</f>
        <v>43770</v>
      </c>
      <c r="G50" s="561">
        <f t="shared" si="15"/>
        <v>29400</v>
      </c>
      <c r="H50" s="561">
        <f t="shared" ref="H50" si="29">IF(C50="VEB",B50,G50*B50)</f>
        <v>73500</v>
      </c>
      <c r="I50" s="560">
        <f t="shared" si="10"/>
        <v>441500</v>
      </c>
      <c r="J50" s="560"/>
      <c r="K50" s="560"/>
      <c r="L50" s="560">
        <f t="shared" ref="L50" si="30">IF(ISBLANK(H50),"",ROUND(H50*145%*2,-1)/2)</f>
        <v>106575</v>
      </c>
      <c r="M50" s="561">
        <f t="shared" si="2"/>
        <v>3.625</v>
      </c>
    </row>
    <row r="51" spans="1:13">
      <c r="A51" s="586">
        <v>43794</v>
      </c>
      <c r="B51" s="616">
        <v>2.5</v>
      </c>
      <c r="C51" s="587" t="s">
        <v>1254</v>
      </c>
      <c r="D51" s="558">
        <v>32638.74</v>
      </c>
      <c r="E51" s="557">
        <v>8144026331.6999998</v>
      </c>
      <c r="F51" s="583">
        <f t="shared" ref="F51" si="31">DATE(YEAR(A51),MONTH(A51),1)</f>
        <v>43770</v>
      </c>
      <c r="G51" s="561">
        <f t="shared" si="15"/>
        <v>32700</v>
      </c>
      <c r="H51" s="561">
        <f t="shared" ref="H51" si="32">IF(C51="VEB",B51,G51*B51)</f>
        <v>81750</v>
      </c>
      <c r="I51" s="560">
        <f t="shared" si="10"/>
        <v>441500</v>
      </c>
      <c r="J51" s="560"/>
      <c r="K51" s="560"/>
      <c r="L51" s="560">
        <f t="shared" ref="L51" si="33">IF(ISBLANK(H51),"",ROUND(H51*145%*2,-1)/2)</f>
        <v>118540</v>
      </c>
      <c r="M51" s="561">
        <f t="shared" si="2"/>
        <v>3.625</v>
      </c>
    </row>
    <row r="52" spans="1:13">
      <c r="A52" s="586">
        <v>43800</v>
      </c>
      <c r="B52" s="616">
        <v>2.5</v>
      </c>
      <c r="C52" s="587" t="s">
        <v>1254</v>
      </c>
      <c r="D52" s="558">
        <v>32638.74</v>
      </c>
      <c r="E52" s="557">
        <v>10711919274.4</v>
      </c>
      <c r="F52" s="583">
        <f t="shared" ref="F52" si="34">DATE(YEAR(A52),MONTH(A52),1)</f>
        <v>43800</v>
      </c>
      <c r="G52" s="561">
        <f t="shared" si="15"/>
        <v>32700</v>
      </c>
      <c r="H52" s="561">
        <f t="shared" ref="H52" si="35">IF(C52="VEB",B52,G52*B52)</f>
        <v>81750</v>
      </c>
      <c r="I52" s="560">
        <f t="shared" si="10"/>
        <v>441500</v>
      </c>
      <c r="J52" s="560"/>
      <c r="K52" s="560"/>
      <c r="L52" s="560">
        <f t="shared" ref="L52" si="36">IF(ISBLANK(H52),"",ROUND(H52*145%*2,-1)/2)</f>
        <v>118540</v>
      </c>
      <c r="M52" s="561">
        <f t="shared" si="2"/>
        <v>3.625</v>
      </c>
    </row>
    <row r="53" spans="1:13">
      <c r="A53" s="586">
        <v>43801</v>
      </c>
      <c r="B53" s="616">
        <v>2.5</v>
      </c>
      <c r="C53" s="587" t="s">
        <v>1254</v>
      </c>
      <c r="D53" s="558">
        <v>38980.83</v>
      </c>
      <c r="E53" s="557">
        <v>10711919274.4</v>
      </c>
      <c r="F53" s="583">
        <f t="shared" ref="F53" si="37">DATE(YEAR(A53),MONTH(A53),1)</f>
        <v>43800</v>
      </c>
      <c r="G53" s="561">
        <f t="shared" ref="G53" si="38">ROUNDUP(D53,-2)</f>
        <v>39000</v>
      </c>
      <c r="H53" s="561">
        <f t="shared" ref="H53" si="39">IF(C53="VEB",B53,G53*B53)</f>
        <v>97500</v>
      </c>
      <c r="I53" s="560">
        <f t="shared" si="10"/>
        <v>441500</v>
      </c>
      <c r="J53" s="560"/>
      <c r="K53" s="560"/>
      <c r="L53" s="560">
        <f t="shared" ref="L53" si="40">IF(ISBLANK(H53),"",ROUND(H53*145%*2,-1)/2)</f>
        <v>141375</v>
      </c>
      <c r="M53" s="561">
        <f t="shared" si="2"/>
        <v>3.625</v>
      </c>
    </row>
    <row r="54" spans="1:13">
      <c r="A54" s="586">
        <v>43808</v>
      </c>
      <c r="B54" s="616">
        <v>2.5</v>
      </c>
      <c r="C54" s="587" t="s">
        <v>1254</v>
      </c>
      <c r="D54" s="558">
        <v>42087.68</v>
      </c>
      <c r="E54" s="557">
        <v>10711919274.4</v>
      </c>
      <c r="F54" s="583">
        <f t="shared" ref="F54" si="41">DATE(YEAR(A54),MONTH(A54),1)</f>
        <v>43800</v>
      </c>
      <c r="G54" s="561">
        <f t="shared" ref="G54" si="42">ROUNDUP(D54,-2)</f>
        <v>42100</v>
      </c>
      <c r="H54" s="561">
        <f t="shared" ref="H54" si="43">IF(C54="VEB",B54,G54*B54)</f>
        <v>105250</v>
      </c>
      <c r="I54" s="560">
        <f t="shared" si="10"/>
        <v>441500</v>
      </c>
      <c r="J54" s="560"/>
      <c r="K54" s="560"/>
      <c r="L54" s="560">
        <f t="shared" ref="L54" si="44">IF(ISBLANK(H54),"",ROUND(H54*145%*2,-1)/2)</f>
        <v>152615</v>
      </c>
      <c r="M54" s="561">
        <f t="shared" si="2"/>
        <v>3.625</v>
      </c>
    </row>
    <row r="55" spans="1:13">
      <c r="A55" s="586">
        <v>43815</v>
      </c>
      <c r="B55" s="616">
        <v>2.5</v>
      </c>
      <c r="C55" s="587" t="s">
        <v>1254</v>
      </c>
      <c r="D55" s="558">
        <v>46304.26</v>
      </c>
      <c r="E55" s="557">
        <v>10711919274.4</v>
      </c>
      <c r="F55" s="583">
        <f t="shared" ref="F55" si="45">DATE(YEAR(A55),MONTH(A55),1)</f>
        <v>43800</v>
      </c>
      <c r="G55" s="561">
        <f t="shared" ref="G55" si="46">ROUNDUP(D55,-2)</f>
        <v>46400</v>
      </c>
      <c r="H55" s="561">
        <f>H54</f>
        <v>105250</v>
      </c>
      <c r="I55" s="560">
        <f t="shared" si="10"/>
        <v>441500</v>
      </c>
      <c r="J55" s="560"/>
      <c r="K55" s="560"/>
      <c r="L55" s="560">
        <f t="shared" ref="L55" si="47">IF(ISBLANK(H55),"",ROUND(H55*145%*2,-1)/2)</f>
        <v>152615</v>
      </c>
      <c r="M55" s="561">
        <f t="shared" si="2"/>
        <v>3.625</v>
      </c>
    </row>
    <row r="56" spans="1:13">
      <c r="A56" s="586">
        <v>43822</v>
      </c>
      <c r="B56" s="616">
        <v>2.5</v>
      </c>
      <c r="C56" s="587" t="s">
        <v>1254</v>
      </c>
      <c r="D56" s="558">
        <v>46677.2</v>
      </c>
      <c r="E56" s="557">
        <v>10711919274.4</v>
      </c>
      <c r="F56" s="583">
        <f t="shared" ref="F56" si="48">DATE(YEAR(A56),MONTH(A56),1)</f>
        <v>43800</v>
      </c>
      <c r="G56" s="561">
        <f t="shared" ref="G56" si="49">ROUNDUP(D56,-2)</f>
        <v>46700</v>
      </c>
      <c r="H56" s="561">
        <f>H55</f>
        <v>105250</v>
      </c>
      <c r="I56" s="560">
        <f t="shared" si="10"/>
        <v>441500</v>
      </c>
      <c r="J56" s="560"/>
      <c r="K56" s="560"/>
      <c r="L56" s="560">
        <f t="shared" ref="L56" si="50">IF(ISBLANK(H56),"",ROUND(H56*145%*2,-1)/2)</f>
        <v>152615</v>
      </c>
      <c r="M56" s="561">
        <f t="shared" si="2"/>
        <v>3.625</v>
      </c>
    </row>
    <row r="57" spans="1:13">
      <c r="A57" s="586">
        <v>43829</v>
      </c>
      <c r="B57" s="616">
        <v>2.5</v>
      </c>
      <c r="C57" s="587" t="s">
        <v>1254</v>
      </c>
      <c r="D57" s="558">
        <v>45874.81</v>
      </c>
      <c r="E57" s="557">
        <v>10711919274.4</v>
      </c>
      <c r="F57" s="583">
        <f t="shared" ref="F57:F58" si="51">DATE(YEAR(A57),MONTH(A57),1)</f>
        <v>43800</v>
      </c>
      <c r="G57" s="561">
        <f t="shared" ref="G57:G58" si="52">ROUNDUP(D57,-2)</f>
        <v>45900</v>
      </c>
      <c r="H57" s="561">
        <f t="shared" ref="H57:H58" si="53">H56</f>
        <v>105250</v>
      </c>
      <c r="I57" s="560">
        <f t="shared" si="10"/>
        <v>441500</v>
      </c>
      <c r="J57" s="560"/>
      <c r="K57" s="560"/>
      <c r="L57" s="560">
        <f t="shared" ref="L57:L58" si="54">IF(ISBLANK(H57),"",ROUND(H57*145%*2,-1)/2)</f>
        <v>152615</v>
      </c>
      <c r="M57" s="561">
        <f t="shared" si="2"/>
        <v>3.625</v>
      </c>
    </row>
    <row r="58" spans="1:13">
      <c r="A58" s="586">
        <v>43831</v>
      </c>
      <c r="B58" s="616">
        <v>2.5</v>
      </c>
      <c r="C58" s="587" t="s">
        <v>1254</v>
      </c>
      <c r="D58" s="558">
        <v>45874.81</v>
      </c>
      <c r="E58" s="557">
        <v>17377625281.200001</v>
      </c>
      <c r="F58" s="583">
        <f t="shared" si="51"/>
        <v>43831</v>
      </c>
      <c r="G58" s="561">
        <f t="shared" si="52"/>
        <v>45900</v>
      </c>
      <c r="H58" s="561">
        <f t="shared" si="53"/>
        <v>105250</v>
      </c>
      <c r="I58" s="560">
        <f t="shared" si="10"/>
        <v>441500</v>
      </c>
      <c r="J58" s="560"/>
      <c r="K58" s="560"/>
      <c r="L58" s="560">
        <f t="shared" si="54"/>
        <v>152615</v>
      </c>
      <c r="M58" s="561">
        <f t="shared" si="2"/>
        <v>3.625</v>
      </c>
    </row>
    <row r="59" spans="1:13">
      <c r="A59" s="586">
        <v>43833</v>
      </c>
      <c r="B59" s="616">
        <v>2.5</v>
      </c>
      <c r="C59" s="587" t="s">
        <v>1254</v>
      </c>
      <c r="D59" s="558">
        <v>54441.93</v>
      </c>
      <c r="E59" s="557">
        <v>17377625281.200001</v>
      </c>
      <c r="F59" s="583">
        <f t="shared" ref="F59" si="55">DATE(YEAR(A59),MONTH(A59),1)</f>
        <v>43831</v>
      </c>
      <c r="G59" s="561">
        <f t="shared" ref="G59" si="56">ROUNDUP(D59,-2)</f>
        <v>54500</v>
      </c>
      <c r="H59" s="561">
        <f t="shared" ref="H59" si="57">IF(C59="VEB",B59,G59*B59)</f>
        <v>136250</v>
      </c>
      <c r="I59" s="560">
        <f t="shared" si="10"/>
        <v>441500</v>
      </c>
      <c r="J59" s="560"/>
      <c r="K59" s="560"/>
      <c r="L59" s="560">
        <f t="shared" ref="L59" si="58">IF(ISBLANK(H59),"",ROUND(H59*145%*2,-1)/2)</f>
        <v>197565</v>
      </c>
      <c r="M59" s="561">
        <f t="shared" si="2"/>
        <v>3.625</v>
      </c>
    </row>
    <row r="60" spans="1:13">
      <c r="A60" s="586">
        <v>43843</v>
      </c>
      <c r="B60" s="616">
        <v>2.5</v>
      </c>
      <c r="C60" s="587" t="s">
        <v>1254</v>
      </c>
      <c r="D60" s="558">
        <v>67213.990000000005</v>
      </c>
      <c r="E60" s="557">
        <v>17377625281.200001</v>
      </c>
      <c r="F60" s="583">
        <f t="shared" ref="F60" si="59">DATE(YEAR(A60),MONTH(A60),1)</f>
        <v>43831</v>
      </c>
      <c r="G60" s="561">
        <f t="shared" ref="G60" si="60">ROUNDUP(D60,-2)</f>
        <v>67300</v>
      </c>
      <c r="H60" s="561">
        <f t="shared" ref="H60:H65" si="61">H59</f>
        <v>136250</v>
      </c>
      <c r="I60" s="560">
        <f t="shared" si="10"/>
        <v>441500</v>
      </c>
      <c r="J60" s="560"/>
      <c r="K60" s="560"/>
      <c r="L60" s="560">
        <f t="shared" ref="L60" si="62">IF(ISBLANK(H60),"",ROUND(H60*145%*2,-1)/2)</f>
        <v>197565</v>
      </c>
      <c r="M60" s="561">
        <f t="shared" si="2"/>
        <v>3.625</v>
      </c>
    </row>
    <row r="61" spans="1:13">
      <c r="A61" s="586">
        <v>43850</v>
      </c>
      <c r="B61" s="616">
        <v>2.5</v>
      </c>
      <c r="C61" s="587" t="s">
        <v>1254</v>
      </c>
      <c r="D61" s="558">
        <v>74139.47</v>
      </c>
      <c r="E61" s="557">
        <v>17377625281.200001</v>
      </c>
      <c r="F61" s="583">
        <f t="shared" ref="F61" si="63">DATE(YEAR(A61),MONTH(A61),1)</f>
        <v>43831</v>
      </c>
      <c r="G61" s="561">
        <f t="shared" ref="G61" si="64">ROUNDUP(D61,-2)</f>
        <v>74200</v>
      </c>
      <c r="H61" s="561">
        <f t="shared" si="61"/>
        <v>136250</v>
      </c>
      <c r="I61" s="560">
        <f t="shared" si="10"/>
        <v>441500</v>
      </c>
      <c r="J61" s="560"/>
      <c r="K61" s="560"/>
      <c r="L61" s="560">
        <f t="shared" ref="L61" si="65">IF(ISBLANK(H61),"",ROUND(H61*145%*2,-1)/2)</f>
        <v>197565</v>
      </c>
      <c r="M61" s="561">
        <f t="shared" si="2"/>
        <v>3.625</v>
      </c>
    </row>
    <row r="62" spans="1:13">
      <c r="A62" s="586">
        <v>43857</v>
      </c>
      <c r="B62" s="616">
        <v>2.5</v>
      </c>
      <c r="C62" s="587" t="s">
        <v>1254</v>
      </c>
      <c r="D62" s="558">
        <v>74673.81</v>
      </c>
      <c r="E62" s="557">
        <v>17377625281.200001</v>
      </c>
      <c r="F62" s="583">
        <f t="shared" ref="F62" si="66">DATE(YEAR(A62),MONTH(A62),1)</f>
        <v>43831</v>
      </c>
      <c r="G62" s="561">
        <f t="shared" ref="G62" si="67">ROUNDUP(D62,-2)</f>
        <v>74700</v>
      </c>
      <c r="H62" s="561">
        <f t="shared" si="61"/>
        <v>136250</v>
      </c>
      <c r="I62" s="560">
        <f t="shared" si="10"/>
        <v>441500</v>
      </c>
      <c r="J62" s="560"/>
      <c r="K62" s="560"/>
      <c r="L62" s="560">
        <f t="shared" ref="L62" si="68">IF(ISBLANK(H62),"",ROUND(H62*145%*2,-1)/2)</f>
        <v>197565</v>
      </c>
      <c r="M62" s="561">
        <f t="shared" si="2"/>
        <v>3.625</v>
      </c>
    </row>
    <row r="63" spans="1:13">
      <c r="A63" s="586">
        <v>43864</v>
      </c>
      <c r="B63" s="616">
        <v>2.5</v>
      </c>
      <c r="C63" s="587" t="s">
        <v>1254</v>
      </c>
      <c r="D63" s="558">
        <v>74026.61</v>
      </c>
      <c r="E63" s="557">
        <v>21174462628.900002</v>
      </c>
      <c r="F63" s="583">
        <f t="shared" ref="F63" si="69">DATE(YEAR(A63),MONTH(A63),1)</f>
        <v>43862</v>
      </c>
      <c r="G63" s="561">
        <f t="shared" ref="G63" si="70">ROUNDUP(D63,-2)</f>
        <v>74100</v>
      </c>
      <c r="H63" s="561">
        <f t="shared" si="61"/>
        <v>136250</v>
      </c>
      <c r="I63" s="560">
        <f t="shared" si="10"/>
        <v>441500</v>
      </c>
      <c r="J63" s="560"/>
      <c r="K63" s="560"/>
      <c r="L63" s="560">
        <f t="shared" ref="L63" si="71">IF(ISBLANK(H63),"",ROUND(H63*145%*2,-1)/2)</f>
        <v>197565</v>
      </c>
      <c r="M63" s="561">
        <f t="shared" si="2"/>
        <v>3.625</v>
      </c>
    </row>
    <row r="64" spans="1:13">
      <c r="A64" s="586">
        <v>43871</v>
      </c>
      <c r="B64" s="616">
        <v>2.5</v>
      </c>
      <c r="C64" s="587" t="s">
        <v>1254</v>
      </c>
      <c r="D64" s="558">
        <v>73430.55</v>
      </c>
      <c r="E64" s="557">
        <v>21174462628.900002</v>
      </c>
      <c r="F64" s="583">
        <f t="shared" ref="F64" si="72">DATE(YEAR(A64),MONTH(A64),1)</f>
        <v>43862</v>
      </c>
      <c r="G64" s="561">
        <f t="shared" ref="G64" si="73">ROUNDUP(D64,-2)</f>
        <v>73500</v>
      </c>
      <c r="H64" s="561">
        <f t="shared" si="61"/>
        <v>136250</v>
      </c>
      <c r="I64" s="560">
        <f t="shared" si="10"/>
        <v>441500</v>
      </c>
      <c r="J64" s="560"/>
      <c r="K64" s="560"/>
      <c r="L64" s="560">
        <f t="shared" ref="L64" si="74">IF(ISBLANK(H64),"",ROUND(H64*145%*2,-1)/2)</f>
        <v>197565</v>
      </c>
      <c r="M64" s="561">
        <f t="shared" si="2"/>
        <v>3.625</v>
      </c>
    </row>
    <row r="65" spans="1:13">
      <c r="A65" s="586">
        <v>43878</v>
      </c>
      <c r="B65" s="616">
        <v>2.5</v>
      </c>
      <c r="C65" s="587" t="s">
        <v>1254</v>
      </c>
      <c r="D65" s="558">
        <v>73393.289999999994</v>
      </c>
      <c r="E65" s="557">
        <v>21174462628.900002</v>
      </c>
      <c r="F65" s="583">
        <f t="shared" ref="F65" si="75">DATE(YEAR(A65),MONTH(A65),1)</f>
        <v>43862</v>
      </c>
      <c r="G65" s="561">
        <f t="shared" ref="G65" si="76">ROUNDUP(D65,-2)</f>
        <v>73400</v>
      </c>
      <c r="H65" s="561">
        <f t="shared" si="61"/>
        <v>136250</v>
      </c>
      <c r="I65" s="560">
        <f t="shared" si="10"/>
        <v>441500</v>
      </c>
      <c r="J65" s="560"/>
      <c r="K65" s="560"/>
      <c r="L65" s="560">
        <f t="shared" ref="L65" si="77">IF(ISBLANK(H65),"",ROUND(H65*145%*2,-1)/2)</f>
        <v>197565</v>
      </c>
      <c r="M65" s="561">
        <f t="shared" si="2"/>
        <v>3.625</v>
      </c>
    </row>
    <row r="66" spans="1:13">
      <c r="A66" s="586">
        <v>43885</v>
      </c>
      <c r="B66" s="616">
        <v>2.5</v>
      </c>
      <c r="C66" s="587" t="s">
        <v>1254</v>
      </c>
      <c r="D66" s="558">
        <v>73787.06</v>
      </c>
      <c r="E66" s="557">
        <v>21174462628.900002</v>
      </c>
      <c r="F66" s="583">
        <f t="shared" ref="F66:F67" si="78">DATE(YEAR(A66),MONTH(A66),1)</f>
        <v>43862</v>
      </c>
      <c r="G66" s="561">
        <f t="shared" ref="G66:G67" si="79">ROUNDUP(D66,-2)</f>
        <v>73800</v>
      </c>
      <c r="H66" s="561">
        <f t="shared" ref="H66:H76" si="80">H65</f>
        <v>136250</v>
      </c>
      <c r="I66" s="560">
        <f t="shared" si="10"/>
        <v>441500</v>
      </c>
      <c r="J66" s="560"/>
      <c r="K66" s="560"/>
      <c r="L66" s="560">
        <f t="shared" ref="L66:L67" si="81">IF(ISBLANK(H66),"",ROUND(H66*145%*2,-1)/2)</f>
        <v>197565</v>
      </c>
      <c r="M66" s="561">
        <f t="shared" si="2"/>
        <v>3.625</v>
      </c>
    </row>
    <row r="67" spans="1:13">
      <c r="A67" s="586">
        <v>43891</v>
      </c>
      <c r="B67" s="616">
        <v>2.5</v>
      </c>
      <c r="C67" s="587" t="s">
        <v>1254</v>
      </c>
      <c r="D67" s="558">
        <v>74093.570000000007</v>
      </c>
      <c r="E67" s="557">
        <v>23995112795.700001</v>
      </c>
      <c r="F67" s="583">
        <f t="shared" si="78"/>
        <v>43891</v>
      </c>
      <c r="G67" s="561">
        <f t="shared" si="79"/>
        <v>74100</v>
      </c>
      <c r="H67" s="561">
        <f t="shared" ref="H67" si="82">IF(C67="VEB",B67,G67*B67)</f>
        <v>185250</v>
      </c>
      <c r="I67" s="560">
        <f t="shared" si="10"/>
        <v>441500</v>
      </c>
      <c r="J67" s="560"/>
      <c r="K67" s="560"/>
      <c r="L67" s="560">
        <f t="shared" si="81"/>
        <v>268615</v>
      </c>
      <c r="M67" s="561">
        <f t="shared" si="2"/>
        <v>3.625</v>
      </c>
    </row>
    <row r="68" spans="1:13">
      <c r="A68" s="586">
        <v>43899</v>
      </c>
      <c r="B68" s="616">
        <v>2.5</v>
      </c>
      <c r="C68" s="587" t="s">
        <v>1254</v>
      </c>
      <c r="D68" s="558">
        <v>73224.149999999994</v>
      </c>
      <c r="E68" s="557">
        <v>23995112795.700001</v>
      </c>
      <c r="F68" s="583">
        <f t="shared" ref="F68:F69" si="83">DATE(YEAR(A68),MONTH(A68),1)</f>
        <v>43891</v>
      </c>
      <c r="G68" s="561">
        <f t="shared" ref="G68:G69" si="84">ROUNDUP(D68,-2)</f>
        <v>73300</v>
      </c>
      <c r="H68" s="561">
        <f>H67</f>
        <v>185250</v>
      </c>
      <c r="I68" s="560">
        <f t="shared" si="10"/>
        <v>441500</v>
      </c>
      <c r="J68" s="560"/>
      <c r="K68" s="560"/>
      <c r="L68" s="560">
        <f t="shared" ref="L68:L69" si="85">IF(ISBLANK(H68),"",ROUND(H68*145%*2,-1)/2)</f>
        <v>268615</v>
      </c>
      <c r="M68" s="561">
        <f t="shared" ref="M68:M76" si="86">IF(C68="VEB","",B68*145%)</f>
        <v>3.625</v>
      </c>
    </row>
    <row r="69" spans="1:13">
      <c r="A69" s="586">
        <v>43906</v>
      </c>
      <c r="B69" s="616">
        <v>2.5</v>
      </c>
      <c r="C69" s="587" t="s">
        <v>1254</v>
      </c>
      <c r="D69" s="558">
        <v>74081.87</v>
      </c>
      <c r="E69" s="557">
        <v>23995112795.700001</v>
      </c>
      <c r="F69" s="583">
        <f t="shared" si="83"/>
        <v>43891</v>
      </c>
      <c r="G69" s="561">
        <f t="shared" si="84"/>
        <v>74100</v>
      </c>
      <c r="H69" s="561">
        <f t="shared" si="80"/>
        <v>185250</v>
      </c>
      <c r="I69" s="560">
        <f t="shared" si="10"/>
        <v>441500</v>
      </c>
      <c r="J69" s="560"/>
      <c r="K69" s="560"/>
      <c r="L69" s="560">
        <f t="shared" si="85"/>
        <v>268615</v>
      </c>
      <c r="M69" s="561">
        <f t="shared" si="86"/>
        <v>3.625</v>
      </c>
    </row>
    <row r="70" spans="1:13">
      <c r="A70" s="586">
        <v>43913</v>
      </c>
      <c r="B70" s="616">
        <v>2.5</v>
      </c>
      <c r="C70" s="587" t="s">
        <v>1254</v>
      </c>
      <c r="D70" s="558">
        <v>70718.58</v>
      </c>
      <c r="E70" s="557">
        <v>23995112795.700001</v>
      </c>
      <c r="F70" s="583">
        <f t="shared" ref="F70" si="87">DATE(YEAR(A70),MONTH(A70),1)</f>
        <v>43891</v>
      </c>
      <c r="G70" s="561">
        <f t="shared" ref="G70" si="88">ROUNDUP(D70,-2)</f>
        <v>70800</v>
      </c>
      <c r="H70" s="561">
        <f t="shared" si="80"/>
        <v>185250</v>
      </c>
      <c r="I70" s="560">
        <f t="shared" si="10"/>
        <v>441500</v>
      </c>
      <c r="J70" s="560"/>
      <c r="K70" s="560"/>
      <c r="L70" s="560">
        <f t="shared" ref="L70" si="89">IF(ISBLANK(H70),"",ROUND(H70*145%*2,-1)/2)</f>
        <v>268615</v>
      </c>
      <c r="M70" s="561">
        <f t="shared" si="86"/>
        <v>3.625</v>
      </c>
    </row>
    <row r="71" spans="1:13">
      <c r="A71" s="586">
        <v>43920</v>
      </c>
      <c r="B71" s="616">
        <v>2.5</v>
      </c>
      <c r="C71" s="587" t="s">
        <v>1254</v>
      </c>
      <c r="D71" s="558">
        <v>77893.460500000001</v>
      </c>
      <c r="E71" s="557">
        <v>23995112795.700001</v>
      </c>
      <c r="F71" s="583">
        <f t="shared" ref="F71:F72" si="90">DATE(YEAR(A71),MONTH(A71),1)</f>
        <v>43891</v>
      </c>
      <c r="G71" s="561">
        <f t="shared" ref="G71:G72" si="91">ROUNDUP(D71,-2)</f>
        <v>77900</v>
      </c>
      <c r="H71" s="561">
        <f t="shared" si="80"/>
        <v>185250</v>
      </c>
      <c r="I71" s="560">
        <f t="shared" si="10"/>
        <v>441500</v>
      </c>
      <c r="J71" s="560"/>
      <c r="K71" s="560"/>
      <c r="L71" s="560">
        <f t="shared" ref="L71:L72" si="92">IF(ISBLANK(H71),"",ROUND(H71*145%*2,-1)/2)</f>
        <v>268615</v>
      </c>
      <c r="M71" s="561">
        <f t="shared" si="86"/>
        <v>3.625</v>
      </c>
    </row>
    <row r="72" spans="1:13">
      <c r="A72" s="586">
        <v>43922</v>
      </c>
      <c r="B72" s="616">
        <v>2.5</v>
      </c>
      <c r="C72" s="587" t="s">
        <v>1254</v>
      </c>
      <c r="D72" s="558">
        <v>80945.724499999997</v>
      </c>
      <c r="E72" s="557">
        <v>23995112795.700001</v>
      </c>
      <c r="F72" s="583">
        <f t="shared" si="90"/>
        <v>43922</v>
      </c>
      <c r="G72" s="561">
        <f t="shared" si="91"/>
        <v>81000</v>
      </c>
      <c r="H72" s="561">
        <f t="shared" si="80"/>
        <v>185250</v>
      </c>
      <c r="I72" s="560">
        <f t="shared" si="10"/>
        <v>441500</v>
      </c>
      <c r="J72" s="560"/>
      <c r="K72" s="560"/>
      <c r="L72" s="560">
        <f t="shared" si="92"/>
        <v>268615</v>
      </c>
      <c r="M72" s="561">
        <f t="shared" si="86"/>
        <v>3.625</v>
      </c>
    </row>
    <row r="73" spans="1:13">
      <c r="A73" s="586">
        <v>43927</v>
      </c>
      <c r="B73" s="616">
        <v>2.5</v>
      </c>
      <c r="C73" s="587" t="s">
        <v>1254</v>
      </c>
      <c r="D73" s="558">
        <v>86657.88</v>
      </c>
      <c r="E73" s="557">
        <v>23995112795.700001</v>
      </c>
      <c r="F73" s="583">
        <f t="shared" ref="F73" si="93">DATE(YEAR(A73),MONTH(A73),1)</f>
        <v>43922</v>
      </c>
      <c r="G73" s="561">
        <f t="shared" ref="G73" si="94">ROUNDUP(D73,-2)</f>
        <v>86700</v>
      </c>
      <c r="H73" s="561">
        <f t="shared" si="80"/>
        <v>185250</v>
      </c>
      <c r="I73" s="560">
        <f t="shared" si="10"/>
        <v>441500</v>
      </c>
      <c r="J73" s="560"/>
      <c r="K73" s="560"/>
      <c r="L73" s="560">
        <f t="shared" ref="L73" si="95">IF(ISBLANK(H73),"",ROUND(H73*145%*2,-1)/2)</f>
        <v>268615</v>
      </c>
      <c r="M73" s="561">
        <f t="shared" si="86"/>
        <v>3.625</v>
      </c>
    </row>
    <row r="74" spans="1:13">
      <c r="A74" s="586">
        <v>43934</v>
      </c>
      <c r="B74" s="616">
        <v>2.5</v>
      </c>
      <c r="C74" s="587" t="s">
        <v>1254</v>
      </c>
      <c r="D74" s="558">
        <v>100980.13</v>
      </c>
      <c r="E74" s="557">
        <v>23995112795.700001</v>
      </c>
      <c r="F74" s="583">
        <f t="shared" ref="F74:F75" si="96">DATE(YEAR(A74),MONTH(A74),1)</f>
        <v>43922</v>
      </c>
      <c r="G74" s="561">
        <f t="shared" ref="G74:G75" si="97">ROUNDUP(D74,-2)</f>
        <v>101000</v>
      </c>
      <c r="H74" s="561">
        <f t="shared" si="80"/>
        <v>185250</v>
      </c>
      <c r="I74" s="560">
        <f t="shared" si="10"/>
        <v>441500</v>
      </c>
      <c r="J74" s="560"/>
      <c r="K74" s="560"/>
      <c r="L74" s="560">
        <f t="shared" ref="L74:L75" si="98">IF(ISBLANK(H74),"",ROUND(H74*145%*2,-1)/2)</f>
        <v>268615</v>
      </c>
      <c r="M74" s="561">
        <f t="shared" si="86"/>
        <v>3.625</v>
      </c>
    </row>
    <row r="75" spans="1:13">
      <c r="A75" s="586">
        <v>43941</v>
      </c>
      <c r="B75" s="616">
        <v>2.5</v>
      </c>
      <c r="C75" s="587" t="s">
        <v>1254</v>
      </c>
      <c r="D75" s="558">
        <v>125574.03</v>
      </c>
      <c r="E75" s="557">
        <v>23995112795.700001</v>
      </c>
      <c r="F75" s="583">
        <f t="shared" si="96"/>
        <v>43922</v>
      </c>
      <c r="G75" s="561">
        <f t="shared" si="97"/>
        <v>125600</v>
      </c>
      <c r="H75" s="561">
        <f t="shared" si="80"/>
        <v>185250</v>
      </c>
      <c r="I75" s="560">
        <f t="shared" si="10"/>
        <v>441500</v>
      </c>
      <c r="J75" s="560"/>
      <c r="K75" s="560"/>
      <c r="L75" s="560">
        <f t="shared" si="98"/>
        <v>268615</v>
      </c>
      <c r="M75" s="561">
        <f t="shared" si="86"/>
        <v>3.625</v>
      </c>
    </row>
    <row r="76" spans="1:13">
      <c r="A76" s="586">
        <v>43948</v>
      </c>
      <c r="B76" s="616">
        <v>2.5</v>
      </c>
      <c r="C76" s="587" t="s">
        <v>1254</v>
      </c>
      <c r="D76" s="558">
        <v>171072.85</v>
      </c>
      <c r="E76" s="557">
        <v>23995112795.700001</v>
      </c>
      <c r="F76" s="583">
        <f t="shared" ref="F76" si="99">DATE(YEAR(A76),MONTH(A76),1)</f>
        <v>43922</v>
      </c>
      <c r="G76" s="561">
        <f t="shared" ref="G76" si="100">ROUNDUP(D76,-2)</f>
        <v>171100</v>
      </c>
      <c r="H76" s="561">
        <f t="shared" si="80"/>
        <v>185250</v>
      </c>
      <c r="I76" s="560">
        <f t="shared" si="10"/>
        <v>441500</v>
      </c>
      <c r="J76" s="560"/>
      <c r="K76" s="560"/>
      <c r="L76" s="560">
        <f t="shared" ref="L76" si="101">IF(ISBLANK(H76),"",ROUND(H76*145%*2,-1)/2)</f>
        <v>268615</v>
      </c>
      <c r="M76" s="561">
        <f t="shared" si="86"/>
        <v>3.625</v>
      </c>
    </row>
    <row r="77" spans="1:13">
      <c r="A77" s="586">
        <v>43952</v>
      </c>
      <c r="B77" s="616">
        <v>250000</v>
      </c>
      <c r="C77" s="587" t="s">
        <v>1252</v>
      </c>
      <c r="D77" s="558">
        <v>176538.04</v>
      </c>
      <c r="E77" s="557">
        <v>23995112795.700001</v>
      </c>
      <c r="F77" s="583">
        <f t="shared" ref="F77" si="102">DATE(YEAR(A77),MONTH(A77),1)</f>
        <v>43952</v>
      </c>
      <c r="G77" s="561">
        <f t="shared" ref="G77" si="103">ROUNDUP(D77,-2)</f>
        <v>176600</v>
      </c>
      <c r="H77" s="561">
        <f t="shared" ref="H77" si="104">IF(C77="VEB",B77,G77*B77)</f>
        <v>250000</v>
      </c>
      <c r="I77" s="560">
        <f t="shared" si="10"/>
        <v>250000</v>
      </c>
      <c r="J77" s="560"/>
      <c r="K77" s="560"/>
      <c r="L77" s="560">
        <f t="shared" ref="L77" si="105">IF(ISBLANK(H77),"",ROUND(H77*145%*2,-1)/2)</f>
        <v>362500</v>
      </c>
      <c r="M77" s="561" t="str">
        <f>IF(C77="VEB","",B77*145%)</f>
        <v/>
      </c>
    </row>
    <row r="78" spans="1:13">
      <c r="A78" s="586"/>
      <c r="B78" s="616"/>
      <c r="C78" s="587"/>
      <c r="D78" s="558"/>
      <c r="E78" s="557"/>
      <c r="F78" s="584"/>
      <c r="G78" s="558"/>
      <c r="H78" s="558"/>
      <c r="I78" s="558"/>
      <c r="J78" s="559"/>
      <c r="K78" s="559"/>
      <c r="L78" s="559" t="str">
        <f t="shared" ref="L78:L80" si="106">IF(ISBLANK(H78),"",ROUND(H78*145%*2,-1)/2)</f>
        <v/>
      </c>
      <c r="M78" s="558"/>
    </row>
    <row r="79" spans="1:13">
      <c r="A79" s="586"/>
      <c r="B79" s="616"/>
      <c r="C79" s="587"/>
      <c r="D79" s="558"/>
      <c r="E79" s="557"/>
      <c r="F79" s="584"/>
      <c r="G79" s="558"/>
      <c r="H79" s="558"/>
      <c r="I79" s="558"/>
      <c r="J79" s="559"/>
      <c r="K79" s="559"/>
      <c r="L79" s="559" t="str">
        <f t="shared" si="106"/>
        <v/>
      </c>
      <c r="M79" s="558"/>
    </row>
    <row r="80" spans="1:13">
      <c r="A80" s="586"/>
      <c r="B80" s="616"/>
      <c r="C80" s="587"/>
      <c r="D80" s="558"/>
      <c r="E80" s="557"/>
      <c r="F80" s="584"/>
      <c r="G80" s="558"/>
      <c r="H80" s="558"/>
      <c r="I80" s="558"/>
      <c r="J80" s="559"/>
      <c r="K80" s="559"/>
      <c r="L80" s="559" t="str">
        <f t="shared" si="106"/>
        <v/>
      </c>
      <c r="M80" s="558"/>
    </row>
    <row r="81" spans="1:1">
      <c r="A81" s="586"/>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B76"/>
  <sheetViews>
    <sheetView showGridLines="0" topLeftCell="L1" workbookViewId="0">
      <pane ySplit="3" topLeftCell="L47" activePane="bottomLeft" state="frozen"/>
      <selection pane="bottomLeft" activeCell="M62" sqref="M62"/>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7"/>
    <col min="6" max="6" width="10.85546875" style="2" bestFit="1" customWidth="1"/>
    <col min="7" max="7" width="38.28515625" bestFit="1" customWidth="1"/>
    <col min="8" max="9" width="12.28515625" style="312" bestFit="1" customWidth="1"/>
    <col min="10" max="10" width="10.7109375" style="547"/>
    <col min="11" max="11" width="10.85546875" style="2" bestFit="1" customWidth="1"/>
    <col min="12" max="12" width="38.28515625" bestFit="1" customWidth="1"/>
    <col min="13" max="13" width="11.42578125" style="312" bestFit="1" customWidth="1"/>
    <col min="14" max="15" width="10.7109375" style="312"/>
    <col min="16" max="16" width="10.7109375" style="2" customWidth="1"/>
    <col min="17" max="17" width="38.28515625" bestFit="1" customWidth="1"/>
    <col min="18" max="19" width="12.28515625" style="312" customWidth="1"/>
    <col min="20" max="20" width="10.7109375" style="547"/>
    <col min="21" max="21" width="10.7109375" style="2"/>
    <col min="22" max="22" width="38.28515625" bestFit="1" customWidth="1"/>
    <col min="23" max="24" width="10.7109375" style="312"/>
    <col min="25" max="25" width="10.7109375" style="547"/>
    <col min="26" max="26" width="10.85546875" style="2" bestFit="1" customWidth="1"/>
    <col min="27" max="27" width="38.28515625" bestFit="1" customWidth="1"/>
    <col min="28" max="29" width="10.7109375" style="312"/>
    <col min="30" max="30" width="10.7109375" style="547"/>
    <col min="31" max="31" width="10.7109375" style="2"/>
    <col min="32" max="32" width="38.28515625" bestFit="1" customWidth="1"/>
    <col min="33" max="34" width="10.7109375" style="312"/>
    <col min="35" max="35" width="10.7109375" style="547"/>
    <col min="36" max="36" width="10.7109375" style="2"/>
    <col min="37" max="37" width="38.28515625" bestFit="1" customWidth="1"/>
    <col min="38" max="39" width="10.7109375" style="312"/>
    <col min="40" max="40" width="10.7109375" style="547"/>
    <col min="41" max="41" width="10.7109375" style="2"/>
    <col min="42" max="42" width="38.28515625" bestFit="1" customWidth="1"/>
    <col min="43" max="44" width="10.7109375" style="312"/>
    <col min="45" max="45" width="10.7109375" style="547"/>
    <col min="46" max="46" width="10.7109375" style="2"/>
    <col min="47" max="47" width="38.28515625" bestFit="1" customWidth="1"/>
    <col min="48" max="49" width="10.7109375" style="312"/>
    <col min="50" max="50" width="10.7109375" style="547"/>
    <col min="51" max="51" width="10.7109375" style="2"/>
    <col min="52" max="52" width="38.28515625" bestFit="1" customWidth="1"/>
    <col min="53" max="54" width="10.7109375" style="312"/>
  </cols>
  <sheetData>
    <row r="1" spans="1:54" ht="21">
      <c r="A1" s="357" t="s">
        <v>1255</v>
      </c>
      <c r="D1" s="80"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O:AO&lt;&gt;""),AO:AO),LOOKUP(100000000000000000000,1/(AY:AY&lt;&gt;""),AY:AY))</f>
        <v>43970</v>
      </c>
      <c r="F1" s="591" t="s">
        <v>1256</v>
      </c>
      <c r="K1" s="19" t="s">
        <v>1257</v>
      </c>
      <c r="P1" s="52" t="s">
        <v>1258</v>
      </c>
      <c r="U1" s="52" t="s">
        <v>1259</v>
      </c>
      <c r="Z1" s="52" t="s">
        <v>1260</v>
      </c>
      <c r="AE1" s="52" t="s">
        <v>1261</v>
      </c>
      <c r="AJ1" s="52" t="s">
        <v>1262</v>
      </c>
      <c r="AO1" s="52" t="s">
        <v>1263</v>
      </c>
      <c r="AT1" s="52" t="s">
        <v>1264</v>
      </c>
      <c r="AY1" s="52" t="s">
        <v>1265</v>
      </c>
    </row>
    <row r="3" spans="1:54">
      <c r="A3" s="577" t="s">
        <v>5</v>
      </c>
      <c r="B3" s="577" t="s">
        <v>7</v>
      </c>
      <c r="C3" s="577" t="s">
        <v>6</v>
      </c>
      <c r="D3" s="588" t="s">
        <v>1266</v>
      </c>
      <c r="F3" s="590" t="s">
        <v>3</v>
      </c>
      <c r="G3" s="589" t="s">
        <v>8</v>
      </c>
      <c r="H3" s="590" t="s">
        <v>4</v>
      </c>
      <c r="I3" s="590" t="s">
        <v>1266</v>
      </c>
      <c r="K3" s="590" t="s">
        <v>3</v>
      </c>
      <c r="L3" s="589" t="s">
        <v>8</v>
      </c>
      <c r="M3" s="590" t="s">
        <v>4</v>
      </c>
      <c r="N3" s="590" t="s">
        <v>1266</v>
      </c>
      <c r="O3" s="547"/>
      <c r="P3" s="590" t="s">
        <v>3</v>
      </c>
      <c r="Q3" s="589" t="s">
        <v>8</v>
      </c>
      <c r="R3" s="590" t="s">
        <v>4</v>
      </c>
      <c r="S3" s="590" t="s">
        <v>1266</v>
      </c>
      <c r="U3" s="590" t="s">
        <v>3</v>
      </c>
      <c r="V3" s="589" t="s">
        <v>8</v>
      </c>
      <c r="W3" s="590" t="s">
        <v>4</v>
      </c>
      <c r="X3" s="590" t="s">
        <v>1266</v>
      </c>
      <c r="Z3" s="590" t="s">
        <v>3</v>
      </c>
      <c r="AA3" s="589" t="s">
        <v>8</v>
      </c>
      <c r="AB3" s="590" t="s">
        <v>4</v>
      </c>
      <c r="AC3" s="590" t="s">
        <v>1266</v>
      </c>
      <c r="AE3" s="590" t="s">
        <v>3</v>
      </c>
      <c r="AF3" s="589" t="s">
        <v>8</v>
      </c>
      <c r="AG3" s="590" t="s">
        <v>4</v>
      </c>
      <c r="AH3" s="590" t="s">
        <v>1266</v>
      </c>
      <c r="AJ3" s="590" t="s">
        <v>3</v>
      </c>
      <c r="AK3" s="589" t="s">
        <v>8</v>
      </c>
      <c r="AL3" s="590" t="s">
        <v>4</v>
      </c>
      <c r="AM3" s="590" t="s">
        <v>1266</v>
      </c>
      <c r="AO3" s="590" t="s">
        <v>3</v>
      </c>
      <c r="AP3" s="589" t="s">
        <v>8</v>
      </c>
      <c r="AQ3" s="590" t="s">
        <v>4</v>
      </c>
      <c r="AR3" s="590" t="s">
        <v>1266</v>
      </c>
      <c r="AT3" s="590" t="s">
        <v>3</v>
      </c>
      <c r="AU3" s="589" t="s">
        <v>8</v>
      </c>
      <c r="AV3" s="590" t="s">
        <v>4</v>
      </c>
      <c r="AW3" s="590" t="s">
        <v>1266</v>
      </c>
      <c r="AY3" s="590" t="s">
        <v>3</v>
      </c>
      <c r="AZ3" s="589" t="s">
        <v>8</v>
      </c>
      <c r="BA3" s="590" t="s">
        <v>4</v>
      </c>
      <c r="BB3" s="590" t="s">
        <v>1266</v>
      </c>
    </row>
    <row r="4" spans="1:54">
      <c r="A4" s="313" t="s">
        <v>438</v>
      </c>
      <c r="B4" t="s">
        <v>440</v>
      </c>
      <c r="C4" t="s">
        <v>439</v>
      </c>
      <c r="D4" s="312">
        <f>LOOKUP(100000000000000000000,1/(N:N&lt;&gt;""),N:N)</f>
        <v>235202</v>
      </c>
      <c r="E4" s="548">
        <f>DATE(YEAR(F4),MONTH(F4),1)</f>
        <v>42767</v>
      </c>
      <c r="F4" s="2">
        <v>42782</v>
      </c>
      <c r="G4" s="6" t="s">
        <v>226</v>
      </c>
      <c r="H4" s="312">
        <f>170000/100000</f>
        <v>1.7</v>
      </c>
      <c r="I4" s="312">
        <f>ROUND(H4,2)</f>
        <v>1.7</v>
      </c>
      <c r="J4" s="548">
        <f>DATE(YEAR(K4),MONTH(K4),1)</f>
        <v>42887</v>
      </c>
      <c r="K4" s="2">
        <v>42887</v>
      </c>
      <c r="L4" s="6" t="s">
        <v>1267</v>
      </c>
      <c r="M4" s="312">
        <f>338000/100000</f>
        <v>3.38</v>
      </c>
      <c r="N4" s="312">
        <f>ROUND(M4,2)</f>
        <v>3.38</v>
      </c>
      <c r="P4" s="2">
        <v>43947</v>
      </c>
      <c r="Q4" t="s">
        <v>1268</v>
      </c>
      <c r="R4" s="312">
        <v>1100000</v>
      </c>
      <c r="S4" s="312">
        <f>ROUND(R4,2)</f>
        <v>1100000</v>
      </c>
      <c r="T4" s="548">
        <f>DATE(YEAR(U4),MONTH(U4),1)</f>
        <v>43252</v>
      </c>
      <c r="U4" s="2">
        <v>43281</v>
      </c>
      <c r="V4" t="s">
        <v>1269</v>
      </c>
      <c r="W4" s="312">
        <f>975000/100000</f>
        <v>9.75</v>
      </c>
      <c r="X4" s="312">
        <f>ROUND(W4,2)</f>
        <v>9.75</v>
      </c>
      <c r="Y4" s="548">
        <f>DATE(YEAR(Z4),MONTH(Z4),1)</f>
        <v>43282</v>
      </c>
      <c r="Z4" s="2">
        <v>43293</v>
      </c>
      <c r="AA4" t="s">
        <v>1269</v>
      </c>
      <c r="AB4" s="312">
        <f>4000000/100000</f>
        <v>40</v>
      </c>
      <c r="AC4" s="312">
        <f>ROUND(AB4,2)</f>
        <v>40</v>
      </c>
      <c r="AD4" s="548">
        <f>DATE(YEAR(AE4),MONTH(AE4),1)</f>
        <v>43160</v>
      </c>
      <c r="AE4" s="2">
        <v>43161</v>
      </c>
      <c r="AF4" t="s">
        <v>1270</v>
      </c>
      <c r="AG4" s="312">
        <f>573000/100000</f>
        <v>5.73</v>
      </c>
      <c r="AH4" s="312">
        <f>ROUND(AG4,2)</f>
        <v>5.73</v>
      </c>
      <c r="AI4" s="548">
        <f>DATE(YEAR(AJ4),MONTH(AJ4),1)</f>
        <v>43191</v>
      </c>
      <c r="AJ4" s="2">
        <v>43220</v>
      </c>
      <c r="AK4" t="s">
        <v>1271</v>
      </c>
      <c r="AL4" s="312">
        <f>250000/100000</f>
        <v>2.5</v>
      </c>
      <c r="AM4" s="312">
        <f>AL4</f>
        <v>2.5</v>
      </c>
      <c r="AN4" s="548">
        <f>DATE(YEAR(AO4),MONTH(AO4),1)</f>
        <v>43160</v>
      </c>
      <c r="AO4" s="2">
        <v>43189</v>
      </c>
      <c r="AP4" t="s">
        <v>1270</v>
      </c>
      <c r="AQ4" s="312">
        <f>840000/100000</f>
        <v>8.4</v>
      </c>
      <c r="AR4" s="312">
        <f>ROUND(AQ4,2)</f>
        <v>8.4</v>
      </c>
      <c r="AS4" s="548">
        <f>DATE(YEAR(AT4),MONTH(AT4),1)</f>
        <v>43282</v>
      </c>
      <c r="AT4" s="2">
        <v>43304</v>
      </c>
      <c r="AU4" t="s">
        <v>1269</v>
      </c>
      <c r="AV4" s="312">
        <f>3000000/100000</f>
        <v>30</v>
      </c>
      <c r="AW4" s="312">
        <f>ROUND(AV4,2)</f>
        <v>30</v>
      </c>
      <c r="AX4" s="548">
        <f>DATE(YEAR(AY4),MONTH(AY4),1)</f>
        <v>42917</v>
      </c>
      <c r="AY4" s="2">
        <v>42919</v>
      </c>
      <c r="AZ4" t="s">
        <v>1272</v>
      </c>
      <c r="BA4" s="312">
        <f>126000/100000</f>
        <v>1.26</v>
      </c>
      <c r="BB4" s="312">
        <f>ROUND(BA4,2)</f>
        <v>1.26</v>
      </c>
    </row>
    <row r="5" spans="1:54">
      <c r="A5" s="6" t="s">
        <v>18</v>
      </c>
      <c r="B5" t="s">
        <v>20</v>
      </c>
      <c r="C5" t="s">
        <v>19</v>
      </c>
      <c r="D5" s="312">
        <f>LOOKUP(100000000000000000000,1/(I:I&lt;&gt;""),I:I)</f>
        <v>382712.95</v>
      </c>
      <c r="E5" s="548">
        <f t="shared" ref="E5:E75" si="0">DATE(YEAR(F5),MONTH(F5),1)</f>
        <v>42826</v>
      </c>
      <c r="F5" s="2">
        <v>42831</v>
      </c>
      <c r="G5" s="6" t="s">
        <v>395</v>
      </c>
      <c r="H5" s="312">
        <f>-17000/100000</f>
        <v>-0.17</v>
      </c>
      <c r="I5" s="312">
        <f>IF(ISBLANK(H5),"",I4+ROUND(H5,2))</f>
        <v>1.53</v>
      </c>
      <c r="J5" s="548">
        <f t="shared" ref="J5:J75" si="1">DATE(YEAR(K5),MONTH(K5),1)</f>
        <v>42887</v>
      </c>
      <c r="K5" s="2">
        <v>42887</v>
      </c>
      <c r="L5" s="6" t="s">
        <v>1273</v>
      </c>
      <c r="M5" s="312">
        <f>-2*31000/100000</f>
        <v>-0.62</v>
      </c>
      <c r="N5" s="312">
        <f t="shared" ref="N5:N30" si="2">IF(ISBLANK(M5),"",N4+ROUND(M5,2))</f>
        <v>2.76</v>
      </c>
      <c r="P5" s="2">
        <v>43947</v>
      </c>
      <c r="Q5" t="s">
        <v>1175</v>
      </c>
      <c r="R5" s="312">
        <v>-185250</v>
      </c>
      <c r="S5" s="312">
        <f t="shared" ref="S5:S48" si="3">IF(ISBLANK(R5),"",ROUND(S4+R5,2))</f>
        <v>914750</v>
      </c>
      <c r="T5" s="548">
        <f t="shared" ref="T5:T75" si="4">DATE(YEAR(U5),MONTH(U5),1)</f>
        <v>43282</v>
      </c>
      <c r="U5" s="2">
        <v>43293</v>
      </c>
      <c r="V5" t="s">
        <v>1269</v>
      </c>
      <c r="W5" s="312">
        <f>3500000/100000</f>
        <v>35</v>
      </c>
      <c r="X5" s="312">
        <f t="shared" ref="X5:X75" si="5">IF(ISBLANK(W5),"",ROUND(X4+W5,2))</f>
        <v>44.75</v>
      </c>
      <c r="Y5" s="548">
        <f t="shared" ref="Y5:Y75" si="6">DATE(YEAR(Z5),MONTH(Z5),1)</f>
        <v>43282</v>
      </c>
      <c r="Z5" s="2">
        <v>43293</v>
      </c>
      <c r="AA5" t="s">
        <v>750</v>
      </c>
      <c r="AB5" s="312">
        <f>-1000000/100000</f>
        <v>-10</v>
      </c>
      <c r="AC5" s="312">
        <f t="shared" ref="AC5:AC75" si="7">IF(ISBLANK(AB5),"",ROUND(AC4+AB5,2))</f>
        <v>30</v>
      </c>
      <c r="AD5" s="548">
        <f t="shared" ref="AD5:AD75" si="8">DATE(YEAR(AE5),MONTH(AE5),1)</f>
        <v>43160</v>
      </c>
      <c r="AE5" s="2">
        <v>43161</v>
      </c>
      <c r="AF5" s="6" t="s">
        <v>1274</v>
      </c>
      <c r="AG5" s="312">
        <f>-60000/100000-120000/100000</f>
        <v>-1.7999999999999998</v>
      </c>
      <c r="AH5" s="312">
        <f t="shared" ref="AH5:AH75" si="9">IF(ISBLANK(AG5),"",ROUND(AH4+AG5,2))</f>
        <v>3.93</v>
      </c>
      <c r="AI5" s="548">
        <f t="shared" ref="AI5:AI75" si="10">DATE(YEAR(AJ5),MONTH(AJ5),1)</f>
        <v>43191</v>
      </c>
      <c r="AJ5" s="2">
        <v>43220</v>
      </c>
      <c r="AK5" t="s">
        <v>1275</v>
      </c>
      <c r="AL5" s="312">
        <f>510000/100000</f>
        <v>5.0999999999999996</v>
      </c>
      <c r="AM5" s="312">
        <f t="shared" ref="AM5:AM75" si="11">IF(ISBLANK(AL5),"",ROUND(AM4+AL5,2))</f>
        <v>7.6</v>
      </c>
      <c r="AN5" s="548">
        <f t="shared" ref="AN5:AN75" si="12">DATE(YEAR(AO5),MONTH(AO5),1)</f>
        <v>43160</v>
      </c>
      <c r="AO5" s="2">
        <v>43189</v>
      </c>
      <c r="AP5" s="6" t="s">
        <v>630</v>
      </c>
      <c r="AQ5" s="312">
        <f>-140000/100000</f>
        <v>-1.4</v>
      </c>
      <c r="AR5" s="312">
        <f t="shared" ref="AR5:AR75" si="13">IF(ISBLANK(AQ5),"",ROUND(AR4+AQ5,2))</f>
        <v>7</v>
      </c>
      <c r="AS5" s="548">
        <f t="shared" ref="AS5:AS75" si="14">DATE(YEAR(AT5),MONTH(AT5),1)</f>
        <v>43282</v>
      </c>
      <c r="AT5" s="2">
        <v>43304</v>
      </c>
      <c r="AU5" t="s">
        <v>742</v>
      </c>
      <c r="AV5" s="312">
        <f>-225000/100000</f>
        <v>-2.25</v>
      </c>
      <c r="AW5" s="312">
        <f t="shared" ref="AW5:AW75" si="15">IF(ISBLANK(AV5),"",ROUND(AW4+AV5,2))</f>
        <v>27.75</v>
      </c>
      <c r="AX5" s="548">
        <f t="shared" ref="AX5:AX75" si="16">DATE(YEAR(AY5),MONTH(AY5),1)</f>
        <v>42917</v>
      </c>
      <c r="AY5" s="2">
        <v>42919</v>
      </c>
      <c r="AZ5" t="s">
        <v>1276</v>
      </c>
      <c r="BA5" s="312">
        <f>-3387/100000-17000/100000-17000/100000-26000/100000-26000/100000</f>
        <v>-0.89387000000000005</v>
      </c>
      <c r="BB5" s="312">
        <f t="shared" ref="BB5:BB75" si="17">IF(ISBLANK(BA5),"",ROUND(BB4+BA5,2))</f>
        <v>0.37</v>
      </c>
    </row>
    <row r="6" spans="1:54">
      <c r="A6" s="6" t="s">
        <v>771</v>
      </c>
      <c r="B6" t="s">
        <v>773</v>
      </c>
      <c r="C6" t="s">
        <v>772</v>
      </c>
      <c r="D6" s="312">
        <f>LOOKUP(100000000000000000000,1/(AC:AC&lt;&gt;""),AC:AC)</f>
        <v>0</v>
      </c>
      <c r="E6" s="548">
        <f t="shared" si="0"/>
        <v>42826</v>
      </c>
      <c r="F6" s="2">
        <v>42840</v>
      </c>
      <c r="G6" s="6" t="s">
        <v>1269</v>
      </c>
      <c r="H6" s="312">
        <f>87500/100000</f>
        <v>0.875</v>
      </c>
      <c r="I6" s="312">
        <f t="shared" ref="I6:I30" si="18">IF(ISBLANK(H6),"",I5+ROUND(H6,2))</f>
        <v>2.41</v>
      </c>
      <c r="J6" s="548">
        <f t="shared" si="1"/>
        <v>42887</v>
      </c>
      <c r="K6" s="2">
        <v>42887</v>
      </c>
      <c r="L6" s="6" t="s">
        <v>1277</v>
      </c>
      <c r="M6" s="312">
        <f>-(4*17000+2*26000)/100000</f>
        <v>-1.2</v>
      </c>
      <c r="N6" s="312">
        <f t="shared" si="2"/>
        <v>1.5599999999999998</v>
      </c>
      <c r="P6" s="2">
        <v>43951</v>
      </c>
      <c r="Q6" s="6" t="s">
        <v>1210</v>
      </c>
      <c r="R6" s="312">
        <v>-250000</v>
      </c>
      <c r="S6" s="312">
        <f t="shared" si="3"/>
        <v>664750</v>
      </c>
      <c r="T6" s="548">
        <f t="shared" si="4"/>
        <v>43282</v>
      </c>
      <c r="U6" s="2">
        <v>43293</v>
      </c>
      <c r="V6" s="6" t="s">
        <v>744</v>
      </c>
      <c r="W6" s="312">
        <f>-1220000/100000</f>
        <v>-12.2</v>
      </c>
      <c r="X6" s="312">
        <f t="shared" si="5"/>
        <v>32.549999999999997</v>
      </c>
      <c r="Y6" s="548">
        <f t="shared" si="6"/>
        <v>43282</v>
      </c>
      <c r="Z6" s="2">
        <v>43293</v>
      </c>
      <c r="AA6" s="6" t="s">
        <v>744</v>
      </c>
      <c r="AB6" s="312">
        <f>-1220000/100000</f>
        <v>-12.2</v>
      </c>
      <c r="AC6" s="312">
        <f t="shared" si="7"/>
        <v>17.8</v>
      </c>
      <c r="AD6" s="548">
        <f t="shared" si="8"/>
        <v>43160</v>
      </c>
      <c r="AE6" s="2">
        <v>43175</v>
      </c>
      <c r="AF6" t="s">
        <v>1269</v>
      </c>
      <c r="AG6" s="312">
        <f>200000/100000</f>
        <v>2</v>
      </c>
      <c r="AH6" s="312">
        <f t="shared" si="9"/>
        <v>5.93</v>
      </c>
      <c r="AI6" s="548">
        <f t="shared" si="10"/>
        <v>43221</v>
      </c>
      <c r="AJ6" s="2">
        <v>43223</v>
      </c>
      <c r="AK6" t="s">
        <v>684</v>
      </c>
      <c r="AL6" s="312">
        <f>-400000/100000</f>
        <v>-4</v>
      </c>
      <c r="AM6" s="312">
        <f t="shared" si="11"/>
        <v>3.6</v>
      </c>
      <c r="AN6" s="548">
        <f t="shared" si="12"/>
        <v>43191</v>
      </c>
      <c r="AO6" s="2">
        <v>43195</v>
      </c>
      <c r="AP6" t="s">
        <v>668</v>
      </c>
      <c r="AQ6" s="312">
        <f>-140000/100000</f>
        <v>-1.4</v>
      </c>
      <c r="AR6" s="312">
        <f t="shared" si="13"/>
        <v>5.6</v>
      </c>
      <c r="AS6" s="548">
        <f t="shared" si="14"/>
        <v>43282</v>
      </c>
      <c r="AT6" s="2">
        <v>43304</v>
      </c>
      <c r="AU6" t="s">
        <v>746</v>
      </c>
      <c r="AV6" s="312">
        <f>-600000/100000</f>
        <v>-6</v>
      </c>
      <c r="AW6" s="312">
        <f t="shared" si="15"/>
        <v>21.75</v>
      </c>
      <c r="AX6" s="548">
        <f t="shared" si="16"/>
        <v>42948</v>
      </c>
      <c r="AY6" s="2">
        <v>42951</v>
      </c>
      <c r="AZ6" t="s">
        <v>514</v>
      </c>
      <c r="BA6" s="312">
        <f>-35000/100000</f>
        <v>-0.35</v>
      </c>
      <c r="BB6" s="312">
        <f t="shared" si="17"/>
        <v>0.02</v>
      </c>
    </row>
    <row r="7" spans="1:54">
      <c r="A7" s="6" t="s">
        <v>612</v>
      </c>
      <c r="B7" t="s">
        <v>614</v>
      </c>
      <c r="C7" t="s">
        <v>613</v>
      </c>
      <c r="D7" s="312">
        <f>LOOKUP(100000000000000000000,1/(X:X&lt;&gt;""),X:X)</f>
        <v>0</v>
      </c>
      <c r="E7" s="548">
        <f t="shared" si="0"/>
        <v>42826</v>
      </c>
      <c r="F7" s="2">
        <v>42840</v>
      </c>
      <c r="G7" t="s">
        <v>1278</v>
      </c>
      <c r="H7" s="312">
        <f>-23500/100000</f>
        <v>-0.23499999999999999</v>
      </c>
      <c r="I7" s="312">
        <f t="shared" si="18"/>
        <v>2.17</v>
      </c>
      <c r="J7" s="548">
        <f t="shared" si="1"/>
        <v>42917</v>
      </c>
      <c r="K7" s="2">
        <v>42917</v>
      </c>
      <c r="L7" s="6" t="s">
        <v>473</v>
      </c>
      <c r="M7" s="312">
        <f>-26000/100000</f>
        <v>-0.26</v>
      </c>
      <c r="N7" s="312">
        <f t="shared" si="2"/>
        <v>1.2999999999999998</v>
      </c>
      <c r="P7" s="2">
        <v>43951</v>
      </c>
      <c r="Q7" s="6" t="s">
        <v>1211</v>
      </c>
      <c r="R7" s="312">
        <v>-250000</v>
      </c>
      <c r="S7" s="312">
        <f t="shared" si="3"/>
        <v>414750</v>
      </c>
      <c r="T7" s="548">
        <f t="shared" si="4"/>
        <v>43313</v>
      </c>
      <c r="U7" s="2">
        <v>43313</v>
      </c>
      <c r="V7" t="s">
        <v>1279</v>
      </c>
      <c r="W7" s="312">
        <f>-1200000/100000</f>
        <v>-12</v>
      </c>
      <c r="X7" s="312">
        <f t="shared" si="5"/>
        <v>20.55</v>
      </c>
      <c r="Y7" s="548">
        <f t="shared" si="6"/>
        <v>43313</v>
      </c>
      <c r="Z7" s="2">
        <v>43313</v>
      </c>
      <c r="AA7" t="s">
        <v>1279</v>
      </c>
      <c r="AB7" s="312">
        <f>-1200000/100000</f>
        <v>-12</v>
      </c>
      <c r="AC7" s="312">
        <f t="shared" si="7"/>
        <v>5.8</v>
      </c>
      <c r="AD7" s="548">
        <f t="shared" si="8"/>
        <v>43191</v>
      </c>
      <c r="AE7" s="2">
        <v>43192</v>
      </c>
      <c r="AF7" t="s">
        <v>1269</v>
      </c>
      <c r="AG7" s="312">
        <f>250000/100000</f>
        <v>2.5</v>
      </c>
      <c r="AH7" s="312">
        <f t="shared" si="9"/>
        <v>8.43</v>
      </c>
      <c r="AI7" s="548">
        <f t="shared" si="10"/>
        <v>43221</v>
      </c>
      <c r="AJ7" s="2">
        <v>43224</v>
      </c>
      <c r="AK7" t="s">
        <v>1280</v>
      </c>
      <c r="AL7" s="312">
        <f>60000/100000</f>
        <v>0.6</v>
      </c>
      <c r="AM7" s="312">
        <f t="shared" si="11"/>
        <v>4.2</v>
      </c>
      <c r="AN7" s="548">
        <f t="shared" si="12"/>
        <v>43221</v>
      </c>
      <c r="AO7" s="2">
        <v>43223</v>
      </c>
      <c r="AP7" t="s">
        <v>684</v>
      </c>
      <c r="AQ7" s="312">
        <f>-400000/100000</f>
        <v>-4</v>
      </c>
      <c r="AR7" s="312">
        <f t="shared" si="13"/>
        <v>1.6</v>
      </c>
      <c r="AS7" s="548">
        <f t="shared" si="14"/>
        <v>43282</v>
      </c>
      <c r="AT7" s="2">
        <v>43304</v>
      </c>
      <c r="AU7" s="6" t="s">
        <v>744</v>
      </c>
      <c r="AV7" s="312">
        <f>-1220000/100000</f>
        <v>-12.2</v>
      </c>
      <c r="AW7" s="312">
        <f t="shared" si="15"/>
        <v>9.5500000000000007</v>
      </c>
      <c r="AX7" s="548">
        <f t="shared" si="16"/>
        <v>43770</v>
      </c>
      <c r="AY7" s="2">
        <v>43773</v>
      </c>
      <c r="AZ7" t="s">
        <v>1281</v>
      </c>
      <c r="BA7" s="312">
        <v>-0.02</v>
      </c>
      <c r="BB7" s="312">
        <f t="shared" si="17"/>
        <v>0</v>
      </c>
    </row>
    <row r="8" spans="1:54">
      <c r="A8" s="6" t="s">
        <v>32</v>
      </c>
      <c r="B8" t="s">
        <v>34</v>
      </c>
      <c r="C8" t="s">
        <v>33</v>
      </c>
      <c r="D8" s="312">
        <f>LOOKUP(100000000000000000000,1/(BB:BB&lt;&gt;""),BB:BB)</f>
        <v>0</v>
      </c>
      <c r="E8" s="548">
        <f t="shared" si="0"/>
        <v>42856</v>
      </c>
      <c r="F8" s="2">
        <v>42863</v>
      </c>
      <c r="G8" s="6" t="s">
        <v>420</v>
      </c>
      <c r="H8" s="312">
        <f>-26000/100000</f>
        <v>-0.26</v>
      </c>
      <c r="I8" s="312">
        <f t="shared" si="18"/>
        <v>1.91</v>
      </c>
      <c r="J8" s="548">
        <f t="shared" si="1"/>
        <v>42917</v>
      </c>
      <c r="K8" s="2">
        <v>42934</v>
      </c>
      <c r="L8" t="s">
        <v>499</v>
      </c>
      <c r="M8" s="312">
        <f>-9000/100000</f>
        <v>-0.09</v>
      </c>
      <c r="N8" s="312">
        <f t="shared" si="2"/>
        <v>1.2099999999999997</v>
      </c>
      <c r="P8" s="2">
        <v>43961</v>
      </c>
      <c r="Q8" t="s">
        <v>1216</v>
      </c>
      <c r="R8" s="312">
        <v>-50000</v>
      </c>
      <c r="S8" s="312">
        <f t="shared" si="3"/>
        <v>364750</v>
      </c>
      <c r="T8" s="548">
        <f t="shared" si="4"/>
        <v>43344</v>
      </c>
      <c r="U8" s="2">
        <v>43355</v>
      </c>
      <c r="V8" t="s">
        <v>1282</v>
      </c>
      <c r="W8" s="312">
        <v>-20.55</v>
      </c>
      <c r="X8" s="312">
        <f t="shared" si="5"/>
        <v>0</v>
      </c>
      <c r="Y8" s="548">
        <f t="shared" si="6"/>
        <v>43466</v>
      </c>
      <c r="Z8" s="2">
        <v>43490</v>
      </c>
      <c r="AA8" t="s">
        <v>1269</v>
      </c>
      <c r="AB8" s="312">
        <v>20000</v>
      </c>
      <c r="AC8" s="312">
        <f t="shared" si="7"/>
        <v>20005.8</v>
      </c>
      <c r="AD8" s="548">
        <f t="shared" si="8"/>
        <v>43221</v>
      </c>
      <c r="AE8" s="2">
        <v>43222</v>
      </c>
      <c r="AF8" t="s">
        <v>1269</v>
      </c>
      <c r="AG8" s="312">
        <f>950000/100000</f>
        <v>9.5</v>
      </c>
      <c r="AH8" s="312">
        <f t="shared" si="9"/>
        <v>17.93</v>
      </c>
      <c r="AI8" s="548">
        <f t="shared" si="10"/>
        <v>43221</v>
      </c>
      <c r="AJ8" s="2">
        <v>43241</v>
      </c>
      <c r="AK8" t="s">
        <v>1283</v>
      </c>
      <c r="AL8" s="312">
        <f>420000/100000</f>
        <v>4.2</v>
      </c>
      <c r="AM8" s="312">
        <f t="shared" si="11"/>
        <v>8.4</v>
      </c>
      <c r="AN8" s="548">
        <f t="shared" si="12"/>
        <v>43282</v>
      </c>
      <c r="AO8" s="2">
        <v>43284</v>
      </c>
      <c r="AP8" t="s">
        <v>1270</v>
      </c>
      <c r="AQ8" s="312">
        <f>5000000/100000</f>
        <v>50</v>
      </c>
      <c r="AR8" s="312">
        <f t="shared" si="13"/>
        <v>51.6</v>
      </c>
      <c r="AS8" s="548">
        <f t="shared" si="14"/>
        <v>43313</v>
      </c>
      <c r="AT8" s="2">
        <v>43319</v>
      </c>
      <c r="AU8" t="s">
        <v>1284</v>
      </c>
      <c r="AV8" s="312">
        <f>10000000/100000</f>
        <v>100</v>
      </c>
      <c r="AW8" s="312">
        <f t="shared" si="15"/>
        <v>109.55</v>
      </c>
      <c r="AX8" s="548">
        <f t="shared" si="16"/>
        <v>1</v>
      </c>
      <c r="BB8" s="312" t="str">
        <f t="shared" si="17"/>
        <v/>
      </c>
    </row>
    <row r="9" spans="1:54">
      <c r="A9" t="s">
        <v>252</v>
      </c>
      <c r="B9" t="s">
        <v>254</v>
      </c>
      <c r="C9" t="s">
        <v>253</v>
      </c>
      <c r="D9" s="312">
        <f>LOOKUP(100000000000000000000,1/(AW:AW&lt;&gt;""),AW:AW)</f>
        <v>0</v>
      </c>
      <c r="E9" s="548">
        <f t="shared" si="0"/>
        <v>42887</v>
      </c>
      <c r="F9" s="2">
        <v>42887</v>
      </c>
      <c r="G9" s="6" t="s">
        <v>445</v>
      </c>
      <c r="H9" s="312">
        <f>-26000/100000</f>
        <v>-0.26</v>
      </c>
      <c r="I9" s="312">
        <f t="shared" si="18"/>
        <v>1.65</v>
      </c>
      <c r="J9" s="548">
        <f t="shared" si="1"/>
        <v>42917</v>
      </c>
      <c r="K9" s="2">
        <v>42945</v>
      </c>
      <c r="L9" s="6" t="s">
        <v>451</v>
      </c>
      <c r="M9" s="312">
        <f>-7000/100000</f>
        <v>-7.0000000000000007E-2</v>
      </c>
      <c r="N9" s="312">
        <f t="shared" si="2"/>
        <v>1.1399999999999997</v>
      </c>
      <c r="S9" s="312" t="str">
        <f t="shared" si="3"/>
        <v/>
      </c>
      <c r="T9" s="548">
        <f t="shared" si="4"/>
        <v>1</v>
      </c>
      <c r="X9" s="312" t="str">
        <f t="shared" si="5"/>
        <v/>
      </c>
      <c r="Y9" s="548">
        <f t="shared" si="6"/>
        <v>43466</v>
      </c>
      <c r="Z9" s="2">
        <v>43490</v>
      </c>
      <c r="AA9" t="s">
        <v>887</v>
      </c>
      <c r="AB9" s="312">
        <v>-3000</v>
      </c>
      <c r="AC9" s="312">
        <f t="shared" si="7"/>
        <v>17005.8</v>
      </c>
      <c r="AD9" s="548">
        <f t="shared" si="8"/>
        <v>43221</v>
      </c>
      <c r="AE9" s="2">
        <v>43223</v>
      </c>
      <c r="AF9" t="s">
        <v>684</v>
      </c>
      <c r="AG9" s="312">
        <f>-400000/100000</f>
        <v>-4</v>
      </c>
      <c r="AH9" s="312">
        <f t="shared" si="9"/>
        <v>13.93</v>
      </c>
      <c r="AI9" s="548">
        <f t="shared" si="10"/>
        <v>43221</v>
      </c>
      <c r="AJ9" s="2">
        <v>43242</v>
      </c>
      <c r="AK9" t="s">
        <v>672</v>
      </c>
      <c r="AL9" s="312">
        <f>-350000/100000</f>
        <v>-3.5</v>
      </c>
      <c r="AM9" s="312">
        <f t="shared" si="11"/>
        <v>4.9000000000000004</v>
      </c>
      <c r="AN9" s="548">
        <f t="shared" si="12"/>
        <v>43282</v>
      </c>
      <c r="AO9" s="2">
        <v>43284</v>
      </c>
      <c r="AP9" t="s">
        <v>707</v>
      </c>
      <c r="AQ9" s="312">
        <f>-625000/100000</f>
        <v>-6.25</v>
      </c>
      <c r="AR9" s="312">
        <f t="shared" si="13"/>
        <v>45.35</v>
      </c>
      <c r="AS9" s="548">
        <f t="shared" si="14"/>
        <v>43313</v>
      </c>
      <c r="AT9" s="2">
        <v>43319</v>
      </c>
      <c r="AU9" t="s">
        <v>788</v>
      </c>
      <c r="AV9" s="312">
        <f>-800000/100000</f>
        <v>-8</v>
      </c>
      <c r="AW9" s="312">
        <f t="shared" si="15"/>
        <v>101.55</v>
      </c>
      <c r="AX9" s="548">
        <f t="shared" si="16"/>
        <v>1</v>
      </c>
      <c r="BB9" s="312" t="str">
        <f t="shared" si="17"/>
        <v/>
      </c>
    </row>
    <row r="10" spans="1:54">
      <c r="A10" s="6" t="s">
        <v>280</v>
      </c>
      <c r="B10" t="s">
        <v>282</v>
      </c>
      <c r="C10" t="s">
        <v>58</v>
      </c>
      <c r="D10" s="312">
        <f>LOOKUP(100000000000000000000,1/(AH:AH&lt;&gt;""),AH:AH)</f>
        <v>35.979999999999997</v>
      </c>
      <c r="E10" s="548">
        <f t="shared" si="0"/>
        <v>42917</v>
      </c>
      <c r="F10" s="2">
        <v>42917</v>
      </c>
      <c r="G10" s="6" t="s">
        <v>473</v>
      </c>
      <c r="H10" s="312">
        <f>-26000/100000</f>
        <v>-0.26</v>
      </c>
      <c r="I10" s="312">
        <f t="shared" si="18"/>
        <v>1.39</v>
      </c>
      <c r="J10" s="548">
        <f t="shared" si="1"/>
        <v>42948</v>
      </c>
      <c r="K10" s="2">
        <v>42953</v>
      </c>
      <c r="L10" s="6" t="s">
        <v>514</v>
      </c>
      <c r="M10" s="312">
        <f>-35000/100000</f>
        <v>-0.35</v>
      </c>
      <c r="N10" s="312">
        <f t="shared" si="2"/>
        <v>0.7899999999999997</v>
      </c>
      <c r="S10" s="312" t="str">
        <f t="shared" si="3"/>
        <v/>
      </c>
      <c r="T10" s="548">
        <f t="shared" si="4"/>
        <v>1</v>
      </c>
      <c r="X10" s="312" t="str">
        <f t="shared" si="5"/>
        <v/>
      </c>
      <c r="Y10" s="548">
        <f t="shared" si="6"/>
        <v>43497</v>
      </c>
      <c r="Z10" s="2">
        <v>43510</v>
      </c>
      <c r="AA10" t="s">
        <v>897</v>
      </c>
      <c r="AB10" s="312">
        <v>-3000</v>
      </c>
      <c r="AC10" s="312">
        <f t="shared" si="7"/>
        <v>14005.8</v>
      </c>
      <c r="AD10" s="548">
        <f t="shared" si="8"/>
        <v>43221</v>
      </c>
      <c r="AE10" s="2">
        <v>43237</v>
      </c>
      <c r="AF10" t="s">
        <v>1269</v>
      </c>
      <c r="AG10" s="312">
        <f>450000/100000</f>
        <v>4.5</v>
      </c>
      <c r="AH10" s="312">
        <f t="shared" si="9"/>
        <v>18.43</v>
      </c>
      <c r="AI10" s="548">
        <f t="shared" si="10"/>
        <v>43221</v>
      </c>
      <c r="AJ10" s="2">
        <v>43250</v>
      </c>
      <c r="AK10" t="s">
        <v>1285</v>
      </c>
      <c r="AL10" s="312">
        <f>570000/100000</f>
        <v>5.7</v>
      </c>
      <c r="AM10" s="312">
        <f t="shared" si="11"/>
        <v>10.6</v>
      </c>
      <c r="AN10" s="548">
        <f t="shared" si="12"/>
        <v>43282</v>
      </c>
      <c r="AO10" s="2">
        <v>43284</v>
      </c>
      <c r="AP10" t="s">
        <v>750</v>
      </c>
      <c r="AQ10" s="312">
        <f>-1000000/100000</f>
        <v>-10</v>
      </c>
      <c r="AR10" s="312">
        <f t="shared" si="13"/>
        <v>35.35</v>
      </c>
      <c r="AS10" s="548">
        <f t="shared" si="14"/>
        <v>43525</v>
      </c>
      <c r="AT10" s="2">
        <v>43538</v>
      </c>
      <c r="AU10" t="s">
        <v>1286</v>
      </c>
      <c r="AV10" s="312">
        <v>6000</v>
      </c>
      <c r="AW10" s="312">
        <f t="shared" si="15"/>
        <v>6101.55</v>
      </c>
      <c r="AX10" s="548">
        <f t="shared" si="16"/>
        <v>1</v>
      </c>
      <c r="BB10" s="312" t="str">
        <f t="shared" si="17"/>
        <v/>
      </c>
    </row>
    <row r="11" spans="1:54">
      <c r="A11" t="s">
        <v>36</v>
      </c>
      <c r="B11" t="s">
        <v>38</v>
      </c>
      <c r="C11" t="s">
        <v>37</v>
      </c>
      <c r="D11" s="312">
        <f>LOOKUP(100000000000000000000,1/(AM:AM&lt;&gt;""),AM:AM)</f>
        <v>0</v>
      </c>
      <c r="E11" s="548">
        <f t="shared" si="0"/>
        <v>42917</v>
      </c>
      <c r="F11" s="2">
        <v>42934</v>
      </c>
      <c r="G11" t="s">
        <v>499</v>
      </c>
      <c r="H11" s="312">
        <f>-9000/100000</f>
        <v>-0.09</v>
      </c>
      <c r="I11" s="312">
        <f t="shared" si="18"/>
        <v>1.2999999999999998</v>
      </c>
      <c r="J11" s="548">
        <f t="shared" si="1"/>
        <v>42979</v>
      </c>
      <c r="K11" s="2">
        <v>42979</v>
      </c>
      <c r="L11" s="6" t="s">
        <v>528</v>
      </c>
      <c r="M11" s="312">
        <f>-35000/100000</f>
        <v>-0.35</v>
      </c>
      <c r="N11" s="312">
        <f t="shared" si="2"/>
        <v>0.43999999999999972</v>
      </c>
      <c r="S11" s="312" t="str">
        <f t="shared" si="3"/>
        <v/>
      </c>
      <c r="T11" s="548">
        <f t="shared" si="4"/>
        <v>1</v>
      </c>
      <c r="X11" s="312" t="str">
        <f t="shared" si="5"/>
        <v/>
      </c>
      <c r="Y11" s="548">
        <f t="shared" si="6"/>
        <v>43525</v>
      </c>
      <c r="Z11" s="2">
        <v>43536</v>
      </c>
      <c r="AA11" t="s">
        <v>909</v>
      </c>
      <c r="AB11" s="312">
        <v>-3000</v>
      </c>
      <c r="AC11" s="312">
        <f t="shared" si="7"/>
        <v>11005.8</v>
      </c>
      <c r="AD11" s="548">
        <f t="shared" si="8"/>
        <v>43221</v>
      </c>
      <c r="AE11" s="2">
        <v>43242</v>
      </c>
      <c r="AF11" t="s">
        <v>672</v>
      </c>
      <c r="AG11" s="312">
        <f>-350000/100000</f>
        <v>-3.5</v>
      </c>
      <c r="AH11" s="312">
        <f t="shared" si="9"/>
        <v>14.93</v>
      </c>
      <c r="AI11" s="548">
        <f t="shared" si="10"/>
        <v>43252</v>
      </c>
      <c r="AJ11" s="2">
        <v>43257</v>
      </c>
      <c r="AK11" t="s">
        <v>707</v>
      </c>
      <c r="AL11" s="312">
        <f>-400000/100000</f>
        <v>-4</v>
      </c>
      <c r="AM11" s="312">
        <f t="shared" si="11"/>
        <v>6.6</v>
      </c>
      <c r="AN11" s="548">
        <f t="shared" si="12"/>
        <v>43282</v>
      </c>
      <c r="AO11" s="2">
        <v>43291</v>
      </c>
      <c r="AP11" s="6" t="s">
        <v>744</v>
      </c>
      <c r="AQ11" s="312">
        <f>-1220000/100000</f>
        <v>-12.2</v>
      </c>
      <c r="AR11" s="312">
        <f t="shared" si="13"/>
        <v>23.15</v>
      </c>
      <c r="AS11" s="548">
        <f t="shared" si="14"/>
        <v>43525</v>
      </c>
      <c r="AT11" s="2">
        <v>43539</v>
      </c>
      <c r="AU11" t="s">
        <v>1287</v>
      </c>
      <c r="AV11" s="312">
        <v>4</v>
      </c>
      <c r="AW11" s="312">
        <f t="shared" si="15"/>
        <v>6105.55</v>
      </c>
      <c r="AX11" s="548">
        <f t="shared" si="16"/>
        <v>1</v>
      </c>
      <c r="BB11" s="312" t="str">
        <f t="shared" si="17"/>
        <v/>
      </c>
    </row>
    <row r="12" spans="1:54">
      <c r="A12" s="6" t="s">
        <v>219</v>
      </c>
      <c r="B12" t="s">
        <v>221</v>
      </c>
      <c r="C12" t="s">
        <v>220</v>
      </c>
      <c r="D12" s="312">
        <f>LOOKUP(100000000000000000000,1/(AR:AR&lt;&gt;""),AR:AR)</f>
        <v>200</v>
      </c>
      <c r="E12" s="548">
        <f t="shared" si="0"/>
        <v>42948</v>
      </c>
      <c r="F12" s="2">
        <v>42953</v>
      </c>
      <c r="G12" s="6" t="s">
        <v>514</v>
      </c>
      <c r="H12" s="312">
        <f>-35000/100000</f>
        <v>-0.35</v>
      </c>
      <c r="I12" s="312">
        <f t="shared" si="18"/>
        <v>0.94999999999999984</v>
      </c>
      <c r="J12" s="548">
        <f t="shared" si="1"/>
        <v>43009</v>
      </c>
      <c r="K12" s="2">
        <v>43013</v>
      </c>
      <c r="L12" s="6" t="s">
        <v>545</v>
      </c>
      <c r="M12" s="312">
        <f>-35000/100000</f>
        <v>-0.35</v>
      </c>
      <c r="N12" s="312">
        <f t="shared" si="2"/>
        <v>8.9999999999999747E-2</v>
      </c>
      <c r="S12" s="312" t="str">
        <f t="shared" si="3"/>
        <v/>
      </c>
      <c r="T12" s="548">
        <f t="shared" si="4"/>
        <v>1</v>
      </c>
      <c r="X12" s="312" t="str">
        <f t="shared" si="5"/>
        <v/>
      </c>
      <c r="Y12" s="548">
        <f t="shared" si="6"/>
        <v>43556</v>
      </c>
      <c r="Z12" s="2">
        <v>43571</v>
      </c>
      <c r="AA12" t="s">
        <v>917</v>
      </c>
      <c r="AB12" s="312">
        <v>-5000</v>
      </c>
      <c r="AC12" s="312">
        <f t="shared" si="7"/>
        <v>6005.8</v>
      </c>
      <c r="AD12" s="548">
        <f t="shared" si="8"/>
        <v>43221</v>
      </c>
      <c r="AE12" s="2">
        <v>43245</v>
      </c>
      <c r="AF12" t="s">
        <v>1269</v>
      </c>
      <c r="AG12" s="312">
        <f>500000/100000</f>
        <v>5</v>
      </c>
      <c r="AH12" s="312">
        <f t="shared" si="9"/>
        <v>19.93</v>
      </c>
      <c r="AI12" s="548">
        <f t="shared" si="10"/>
        <v>43252</v>
      </c>
      <c r="AJ12" s="2">
        <v>43279</v>
      </c>
      <c r="AK12" t="s">
        <v>742</v>
      </c>
      <c r="AL12" s="312">
        <f>-225000/100000</f>
        <v>-2.25</v>
      </c>
      <c r="AM12" s="312">
        <f t="shared" si="11"/>
        <v>4.3499999999999996</v>
      </c>
      <c r="AN12" s="548">
        <f t="shared" si="12"/>
        <v>43313</v>
      </c>
      <c r="AO12" s="2">
        <v>43313</v>
      </c>
      <c r="AP12" t="s">
        <v>1279</v>
      </c>
      <c r="AQ12" s="312">
        <f>-1200000/100000</f>
        <v>-12</v>
      </c>
      <c r="AR12" s="312">
        <f t="shared" si="13"/>
        <v>11.15</v>
      </c>
      <c r="AS12" s="548">
        <f t="shared" si="14"/>
        <v>43525</v>
      </c>
      <c r="AT12" s="2">
        <v>43539</v>
      </c>
      <c r="AU12" t="s">
        <v>1288</v>
      </c>
      <c r="AV12" s="312">
        <f>-(320*3+800+3000)</f>
        <v>-4760</v>
      </c>
      <c r="AW12" s="312">
        <f t="shared" si="15"/>
        <v>1345.55</v>
      </c>
      <c r="AX12" s="548">
        <f t="shared" si="16"/>
        <v>1</v>
      </c>
      <c r="BB12" s="312" t="str">
        <f t="shared" si="17"/>
        <v/>
      </c>
    </row>
    <row r="13" spans="1:54">
      <c r="A13" t="s">
        <v>785</v>
      </c>
      <c r="B13" t="s">
        <v>719</v>
      </c>
      <c r="D13" s="312" cm="1">
        <f t="array" ref="D13">LOOKUP(100000000000000000000,1/(S:S&lt;&gt;""),S:S)</f>
        <v>364750</v>
      </c>
      <c r="E13" s="548">
        <f t="shared" si="0"/>
        <v>42979</v>
      </c>
      <c r="F13" s="2">
        <v>42979</v>
      </c>
      <c r="G13" s="6" t="s">
        <v>528</v>
      </c>
      <c r="H13" s="312">
        <f>-35000/100000</f>
        <v>-0.35</v>
      </c>
      <c r="I13" s="312">
        <f t="shared" si="18"/>
        <v>0.59999999999999987</v>
      </c>
      <c r="J13" s="548">
        <f t="shared" si="1"/>
        <v>43009</v>
      </c>
      <c r="K13" s="2">
        <v>43017</v>
      </c>
      <c r="L13" t="s">
        <v>1269</v>
      </c>
      <c r="M13" s="312">
        <f>156000/100000</f>
        <v>1.56</v>
      </c>
      <c r="N13" s="312">
        <f t="shared" si="2"/>
        <v>1.65</v>
      </c>
      <c r="S13" s="312" t="str">
        <f t="shared" si="3"/>
        <v/>
      </c>
      <c r="T13" s="548">
        <f t="shared" si="4"/>
        <v>1</v>
      </c>
      <c r="X13" s="312" t="str">
        <f t="shared" si="5"/>
        <v/>
      </c>
      <c r="Y13" s="548">
        <f t="shared" si="6"/>
        <v>43586</v>
      </c>
      <c r="Z13" s="2">
        <v>43610</v>
      </c>
      <c r="AA13" t="s">
        <v>1289</v>
      </c>
      <c r="AB13" s="312">
        <v>50000</v>
      </c>
      <c r="AC13" s="312">
        <f t="shared" si="7"/>
        <v>56005.8</v>
      </c>
      <c r="AD13" s="548">
        <f t="shared" si="8"/>
        <v>43252</v>
      </c>
      <c r="AE13" s="2">
        <v>43257</v>
      </c>
      <c r="AF13" t="s">
        <v>707</v>
      </c>
      <c r="AG13" s="312">
        <f>-400000/100000</f>
        <v>-4</v>
      </c>
      <c r="AH13" s="312">
        <f t="shared" si="9"/>
        <v>15.93</v>
      </c>
      <c r="AI13" s="548">
        <f t="shared" si="10"/>
        <v>43282</v>
      </c>
      <c r="AJ13" s="2">
        <v>43284</v>
      </c>
      <c r="AK13" t="s">
        <v>1290</v>
      </c>
      <c r="AL13" s="312">
        <f>400000/100000</f>
        <v>4</v>
      </c>
      <c r="AM13" s="312">
        <f t="shared" si="11"/>
        <v>8.35</v>
      </c>
      <c r="AN13" s="548">
        <f t="shared" si="12"/>
        <v>43344</v>
      </c>
      <c r="AO13" s="2">
        <v>43368</v>
      </c>
      <c r="AP13" t="s">
        <v>1269</v>
      </c>
      <c r="AQ13" s="312">
        <v>320</v>
      </c>
      <c r="AR13" s="312">
        <f t="shared" si="13"/>
        <v>331.15</v>
      </c>
      <c r="AS13" s="548">
        <f t="shared" si="14"/>
        <v>43556</v>
      </c>
      <c r="AT13" s="2">
        <v>43570</v>
      </c>
      <c r="AU13" t="s">
        <v>1291</v>
      </c>
      <c r="AV13" s="312">
        <v>2000</v>
      </c>
      <c r="AW13" s="312">
        <f t="shared" si="15"/>
        <v>3345.55</v>
      </c>
      <c r="AX13" s="548">
        <f t="shared" si="16"/>
        <v>1</v>
      </c>
      <c r="BB13" s="312" t="str">
        <f t="shared" si="17"/>
        <v/>
      </c>
    </row>
    <row r="14" spans="1:54">
      <c r="D14" s="312"/>
      <c r="E14" s="548">
        <f t="shared" si="0"/>
        <v>42979</v>
      </c>
      <c r="F14" s="2">
        <v>42999</v>
      </c>
      <c r="G14" s="6" t="s">
        <v>1269</v>
      </c>
      <c r="H14" s="312">
        <f>45000/100000</f>
        <v>0.45</v>
      </c>
      <c r="I14" s="312">
        <f t="shared" si="18"/>
        <v>1.0499999999999998</v>
      </c>
      <c r="J14" s="548">
        <f t="shared" si="1"/>
        <v>43040</v>
      </c>
      <c r="K14" s="2">
        <v>43046</v>
      </c>
      <c r="L14" s="6" t="s">
        <v>561</v>
      </c>
      <c r="M14" s="312">
        <f>-50000/100000</f>
        <v>-0.5</v>
      </c>
      <c r="N14" s="312">
        <f t="shared" si="2"/>
        <v>1.1499999999999999</v>
      </c>
      <c r="S14" s="312" t="str">
        <f t="shared" si="3"/>
        <v/>
      </c>
      <c r="T14" s="548">
        <f t="shared" si="4"/>
        <v>1</v>
      </c>
      <c r="X14" s="312" t="str">
        <f t="shared" si="5"/>
        <v/>
      </c>
      <c r="Y14" s="548">
        <f t="shared" si="6"/>
        <v>43586</v>
      </c>
      <c r="Z14" s="2">
        <v>43610</v>
      </c>
      <c r="AA14" t="s">
        <v>970</v>
      </c>
      <c r="AB14" s="312">
        <v>-10000</v>
      </c>
      <c r="AC14" s="312">
        <f t="shared" si="7"/>
        <v>46005.8</v>
      </c>
      <c r="AD14" s="548">
        <f t="shared" si="8"/>
        <v>43252</v>
      </c>
      <c r="AE14" s="2">
        <v>43279</v>
      </c>
      <c r="AF14" t="s">
        <v>742</v>
      </c>
      <c r="AG14" s="312">
        <f>-225000/100000</f>
        <v>-2.25</v>
      </c>
      <c r="AH14" s="312">
        <f t="shared" si="9"/>
        <v>13.68</v>
      </c>
      <c r="AI14" s="548">
        <f t="shared" si="10"/>
        <v>43282</v>
      </c>
      <c r="AJ14" s="2">
        <v>43291</v>
      </c>
      <c r="AK14" t="s">
        <v>1292</v>
      </c>
      <c r="AL14" s="312">
        <f>-835000/100000</f>
        <v>-8.35</v>
      </c>
      <c r="AM14" s="312">
        <f t="shared" si="11"/>
        <v>0</v>
      </c>
      <c r="AN14" s="548">
        <f t="shared" si="12"/>
        <v>43344</v>
      </c>
      <c r="AO14" s="2">
        <v>43368</v>
      </c>
      <c r="AP14" t="s">
        <v>810</v>
      </c>
      <c r="AQ14" s="312">
        <v>-320</v>
      </c>
      <c r="AR14" s="312">
        <f t="shared" si="13"/>
        <v>11.15</v>
      </c>
      <c r="AS14" s="548">
        <f t="shared" si="14"/>
        <v>43556</v>
      </c>
      <c r="AT14" s="2">
        <v>43573</v>
      </c>
      <c r="AU14" t="s">
        <v>897</v>
      </c>
      <c r="AV14" s="312">
        <v>-3000</v>
      </c>
      <c r="AW14" s="312">
        <f t="shared" si="15"/>
        <v>345.55</v>
      </c>
      <c r="AX14" s="548">
        <f t="shared" si="16"/>
        <v>1</v>
      </c>
      <c r="BB14" s="312" t="str">
        <f t="shared" si="17"/>
        <v/>
      </c>
    </row>
    <row r="15" spans="1:54">
      <c r="D15" s="312"/>
      <c r="E15" s="548">
        <f t="shared" si="0"/>
        <v>43009</v>
      </c>
      <c r="F15" s="2">
        <v>43013</v>
      </c>
      <c r="G15" s="6" t="s">
        <v>545</v>
      </c>
      <c r="H15" s="312">
        <f>-35000/100000</f>
        <v>-0.35</v>
      </c>
      <c r="I15" s="312">
        <f t="shared" si="18"/>
        <v>0.69999999999999984</v>
      </c>
      <c r="J15" s="548">
        <f t="shared" si="1"/>
        <v>43070</v>
      </c>
      <c r="K15" s="2">
        <v>43074</v>
      </c>
      <c r="L15" s="6" t="s">
        <v>575</v>
      </c>
      <c r="M15" s="312">
        <f>-50000/100000</f>
        <v>-0.5</v>
      </c>
      <c r="N15" s="312">
        <f t="shared" si="2"/>
        <v>0.64999999999999991</v>
      </c>
      <c r="S15" s="312" t="str">
        <f t="shared" si="3"/>
        <v/>
      </c>
      <c r="T15" s="548">
        <f t="shared" si="4"/>
        <v>1</v>
      </c>
      <c r="X15" s="312" t="str">
        <f t="shared" si="5"/>
        <v/>
      </c>
      <c r="Y15" s="548">
        <f t="shared" si="6"/>
        <v>43617</v>
      </c>
      <c r="Z15" s="2">
        <v>43623</v>
      </c>
      <c r="AA15" t="s">
        <v>986</v>
      </c>
      <c r="AB15" s="312">
        <v>-10000</v>
      </c>
      <c r="AC15" s="312">
        <f t="shared" si="7"/>
        <v>36005.800000000003</v>
      </c>
      <c r="AD15" s="548">
        <f t="shared" si="8"/>
        <v>43252</v>
      </c>
      <c r="AE15" s="2">
        <v>43280</v>
      </c>
      <c r="AF15" t="s">
        <v>1269</v>
      </c>
      <c r="AG15" s="312">
        <f>1150000/100000</f>
        <v>11.5</v>
      </c>
      <c r="AH15" s="312">
        <f t="shared" si="9"/>
        <v>25.18</v>
      </c>
      <c r="AI15" s="548">
        <f t="shared" si="10"/>
        <v>43282</v>
      </c>
      <c r="AJ15" s="2">
        <v>43302</v>
      </c>
      <c r="AK15" t="s">
        <v>1293</v>
      </c>
      <c r="AL15" s="312">
        <f>960000/100000</f>
        <v>9.6</v>
      </c>
      <c r="AM15" s="312">
        <f t="shared" si="11"/>
        <v>9.6</v>
      </c>
      <c r="AN15" s="548">
        <f t="shared" si="12"/>
        <v>43405</v>
      </c>
      <c r="AO15" s="2">
        <v>43406</v>
      </c>
      <c r="AP15" t="s">
        <v>1269</v>
      </c>
      <c r="AQ15" s="312">
        <v>320</v>
      </c>
      <c r="AR15" s="312">
        <f t="shared" si="13"/>
        <v>331.15</v>
      </c>
      <c r="AS15" s="548">
        <f t="shared" si="14"/>
        <v>43556</v>
      </c>
      <c r="AT15" s="2">
        <v>43577</v>
      </c>
      <c r="AU15" t="s">
        <v>1294</v>
      </c>
      <c r="AV15" s="312">
        <v>2020</v>
      </c>
      <c r="AW15" s="312">
        <f t="shared" si="15"/>
        <v>2365.5500000000002</v>
      </c>
      <c r="AX15" s="548">
        <f t="shared" si="16"/>
        <v>1</v>
      </c>
      <c r="BB15" s="312" t="str">
        <f t="shared" si="17"/>
        <v/>
      </c>
    </row>
    <row r="16" spans="1:54">
      <c r="D16" s="312"/>
      <c r="E16" s="548">
        <f t="shared" si="0"/>
        <v>43040</v>
      </c>
      <c r="F16" s="2">
        <v>43046</v>
      </c>
      <c r="G16" s="6" t="s">
        <v>561</v>
      </c>
      <c r="H16" s="312">
        <f>-50000/100000</f>
        <v>-0.5</v>
      </c>
      <c r="I16" s="312">
        <f t="shared" si="18"/>
        <v>0.19999999999999984</v>
      </c>
      <c r="J16" s="548">
        <f t="shared" si="1"/>
        <v>43101</v>
      </c>
      <c r="K16" s="2">
        <v>43118</v>
      </c>
      <c r="L16" t="s">
        <v>1269</v>
      </c>
      <c r="M16" s="312">
        <f>960000/100000</f>
        <v>9.6</v>
      </c>
      <c r="N16" s="312">
        <f t="shared" si="2"/>
        <v>10.25</v>
      </c>
      <c r="S16" s="312" t="str">
        <f t="shared" si="3"/>
        <v/>
      </c>
      <c r="T16" s="548">
        <f t="shared" si="4"/>
        <v>1</v>
      </c>
      <c r="X16" s="312" t="str">
        <f t="shared" si="5"/>
        <v/>
      </c>
      <c r="Y16" s="548">
        <f t="shared" si="6"/>
        <v>43647</v>
      </c>
      <c r="Z16" s="2">
        <v>43656</v>
      </c>
      <c r="AA16" t="s">
        <v>1007</v>
      </c>
      <c r="AB16" s="312">
        <v>-10000</v>
      </c>
      <c r="AC16" s="312">
        <f t="shared" si="7"/>
        <v>26005.8</v>
      </c>
      <c r="AD16" s="548">
        <f t="shared" si="8"/>
        <v>43282</v>
      </c>
      <c r="AE16" s="2">
        <v>43285</v>
      </c>
      <c r="AF16" t="s">
        <v>750</v>
      </c>
      <c r="AG16" s="312">
        <f>-1000000/100000</f>
        <v>-10</v>
      </c>
      <c r="AH16" s="312">
        <f t="shared" si="9"/>
        <v>15.18</v>
      </c>
      <c r="AI16" s="548">
        <f t="shared" si="10"/>
        <v>43313</v>
      </c>
      <c r="AJ16" s="2">
        <v>43319</v>
      </c>
      <c r="AK16" t="s">
        <v>1295</v>
      </c>
      <c r="AL16" s="312">
        <f>1400000/100000</f>
        <v>14</v>
      </c>
      <c r="AM16" s="312">
        <f t="shared" si="11"/>
        <v>23.6</v>
      </c>
      <c r="AN16" s="548">
        <f t="shared" si="12"/>
        <v>43405</v>
      </c>
      <c r="AO16" s="2">
        <v>43406</v>
      </c>
      <c r="AP16" t="s">
        <v>823</v>
      </c>
      <c r="AQ16" s="312">
        <v>-320</v>
      </c>
      <c r="AR16" s="312">
        <f t="shared" si="13"/>
        <v>11.15</v>
      </c>
      <c r="AS16" s="548">
        <f t="shared" si="14"/>
        <v>43556</v>
      </c>
      <c r="AT16" s="2">
        <v>43577</v>
      </c>
      <c r="AU16" t="s">
        <v>928</v>
      </c>
      <c r="AV16" s="312">
        <v>-2365.5500000000002</v>
      </c>
      <c r="AW16" s="312">
        <f t="shared" si="15"/>
        <v>0</v>
      </c>
      <c r="AX16" s="548">
        <f t="shared" si="16"/>
        <v>1</v>
      </c>
      <c r="BB16" s="312" t="str">
        <f t="shared" si="17"/>
        <v/>
      </c>
    </row>
    <row r="17" spans="4:54">
      <c r="D17" s="312"/>
      <c r="E17" s="548">
        <f t="shared" si="0"/>
        <v>43070</v>
      </c>
      <c r="F17" s="2">
        <v>43074</v>
      </c>
      <c r="G17" s="6" t="s">
        <v>1269</v>
      </c>
      <c r="H17" s="312">
        <f>80000/100000</f>
        <v>0.8</v>
      </c>
      <c r="I17" s="312">
        <f t="shared" si="18"/>
        <v>0.99999999999999989</v>
      </c>
      <c r="J17" s="548">
        <f t="shared" si="1"/>
        <v>43101</v>
      </c>
      <c r="K17" s="2">
        <v>43118</v>
      </c>
      <c r="L17" s="6" t="s">
        <v>600</v>
      </c>
      <c r="M17" s="312">
        <f>-80000/100000</f>
        <v>-0.8</v>
      </c>
      <c r="N17" s="312">
        <f t="shared" si="2"/>
        <v>9.4499999999999993</v>
      </c>
      <c r="S17" s="312" t="str">
        <f t="shared" si="3"/>
        <v/>
      </c>
      <c r="T17" s="548">
        <f t="shared" si="4"/>
        <v>1</v>
      </c>
      <c r="X17" s="312" t="str">
        <f t="shared" si="5"/>
        <v/>
      </c>
      <c r="Y17" s="548">
        <f t="shared" si="6"/>
        <v>43678</v>
      </c>
      <c r="Z17" s="2">
        <v>43682</v>
      </c>
      <c r="AA17" t="s">
        <v>1026</v>
      </c>
      <c r="AB17" s="312">
        <v>-10000</v>
      </c>
      <c r="AC17" s="312">
        <f t="shared" si="7"/>
        <v>16005.8</v>
      </c>
      <c r="AD17" s="548">
        <f t="shared" si="8"/>
        <v>43282</v>
      </c>
      <c r="AE17" s="2">
        <v>43288</v>
      </c>
      <c r="AF17" t="s">
        <v>1269</v>
      </c>
      <c r="AG17" s="312">
        <f>2000000/100000</f>
        <v>20</v>
      </c>
      <c r="AH17" s="312">
        <f t="shared" si="9"/>
        <v>35.18</v>
      </c>
      <c r="AI17" s="548">
        <f t="shared" si="10"/>
        <v>43313</v>
      </c>
      <c r="AJ17" s="2">
        <v>43324</v>
      </c>
      <c r="AK17" t="s">
        <v>1279</v>
      </c>
      <c r="AL17" s="312">
        <f>-1200000/100000</f>
        <v>-12</v>
      </c>
      <c r="AM17" s="312">
        <f t="shared" si="11"/>
        <v>11.6</v>
      </c>
      <c r="AN17" s="548">
        <f t="shared" si="12"/>
        <v>43435</v>
      </c>
      <c r="AO17" s="2">
        <v>43447</v>
      </c>
      <c r="AP17" t="s">
        <v>1269</v>
      </c>
      <c r="AQ17" s="312">
        <v>1120</v>
      </c>
      <c r="AR17" s="312">
        <f t="shared" si="13"/>
        <v>1131.1500000000001</v>
      </c>
      <c r="AS17" s="548">
        <f t="shared" si="14"/>
        <v>1</v>
      </c>
      <c r="AW17" s="312" t="str">
        <f t="shared" si="15"/>
        <v/>
      </c>
      <c r="AX17" s="548">
        <f t="shared" si="16"/>
        <v>1</v>
      </c>
      <c r="BB17" s="312" t="str">
        <f t="shared" si="17"/>
        <v/>
      </c>
    </row>
    <row r="18" spans="4:54">
      <c r="D18" s="312"/>
      <c r="E18" s="548">
        <f t="shared" si="0"/>
        <v>43070</v>
      </c>
      <c r="F18" s="2">
        <v>43074</v>
      </c>
      <c r="G18" s="6" t="s">
        <v>1269</v>
      </c>
      <c r="H18" s="312">
        <f>550000/100000</f>
        <v>5.5</v>
      </c>
      <c r="I18" s="312">
        <f t="shared" si="18"/>
        <v>6.5</v>
      </c>
      <c r="J18" s="548">
        <f t="shared" si="1"/>
        <v>43132</v>
      </c>
      <c r="K18" s="2">
        <v>43136</v>
      </c>
      <c r="L18" t="s">
        <v>616</v>
      </c>
      <c r="M18" s="312">
        <f>-80000/100000</f>
        <v>-0.8</v>
      </c>
      <c r="N18" s="312">
        <f t="shared" si="2"/>
        <v>8.6499999999999986</v>
      </c>
      <c r="Q18" s="6"/>
      <c r="S18" s="312" t="str">
        <f t="shared" si="3"/>
        <v/>
      </c>
      <c r="T18" s="548">
        <f t="shared" si="4"/>
        <v>1</v>
      </c>
      <c r="V18" s="6"/>
      <c r="X18" s="312" t="str">
        <f t="shared" si="5"/>
        <v/>
      </c>
      <c r="Y18" s="548">
        <f t="shared" si="6"/>
        <v>43709</v>
      </c>
      <c r="Z18" s="2">
        <v>43726</v>
      </c>
      <c r="AA18" t="s">
        <v>1296</v>
      </c>
      <c r="AB18" s="312">
        <v>50000</v>
      </c>
      <c r="AC18" s="312">
        <f t="shared" si="7"/>
        <v>66005.8</v>
      </c>
      <c r="AD18" s="548">
        <f t="shared" si="8"/>
        <v>43282</v>
      </c>
      <c r="AE18" s="2">
        <v>43290</v>
      </c>
      <c r="AF18" s="6" t="s">
        <v>744</v>
      </c>
      <c r="AG18" s="312">
        <f>-1220000/100000</f>
        <v>-12.2</v>
      </c>
      <c r="AH18" s="312">
        <f t="shared" si="9"/>
        <v>22.98</v>
      </c>
      <c r="AI18" s="548">
        <f t="shared" si="10"/>
        <v>43344</v>
      </c>
      <c r="AJ18" s="2">
        <v>43348</v>
      </c>
      <c r="AK18" t="s">
        <v>1282</v>
      </c>
      <c r="AL18" s="312">
        <v>-11.6</v>
      </c>
      <c r="AM18" s="312">
        <f t="shared" si="11"/>
        <v>0</v>
      </c>
      <c r="AN18" s="548">
        <f t="shared" si="12"/>
        <v>43435</v>
      </c>
      <c r="AO18" s="2">
        <v>43447</v>
      </c>
      <c r="AP18" t="s">
        <v>851</v>
      </c>
      <c r="AQ18" s="312">
        <f>-1120-11.15</f>
        <v>-1131.1500000000001</v>
      </c>
      <c r="AR18" s="312">
        <f t="shared" si="13"/>
        <v>0</v>
      </c>
      <c r="AS18" s="548">
        <f t="shared" si="14"/>
        <v>1</v>
      </c>
      <c r="AW18" s="312" t="str">
        <f t="shared" si="15"/>
        <v/>
      </c>
      <c r="AX18" s="548">
        <f t="shared" si="16"/>
        <v>1</v>
      </c>
      <c r="BB18" s="312" t="str">
        <f t="shared" si="17"/>
        <v/>
      </c>
    </row>
    <row r="19" spans="4:54">
      <c r="D19" s="312"/>
      <c r="E19" s="548">
        <f t="shared" si="0"/>
        <v>43070</v>
      </c>
      <c r="F19" s="2">
        <v>43074</v>
      </c>
      <c r="G19" s="6" t="s">
        <v>575</v>
      </c>
      <c r="H19" s="312">
        <f>-50000/100000</f>
        <v>-0.5</v>
      </c>
      <c r="I19" s="312">
        <f t="shared" si="18"/>
        <v>6</v>
      </c>
      <c r="J19" s="548">
        <f t="shared" si="1"/>
        <v>43160</v>
      </c>
      <c r="K19" s="2">
        <v>43168</v>
      </c>
      <c r="L19" t="s">
        <v>630</v>
      </c>
      <c r="M19" s="312">
        <f>-140000/100000</f>
        <v>-1.4</v>
      </c>
      <c r="N19" s="312">
        <f t="shared" si="2"/>
        <v>7.2499999999999982</v>
      </c>
      <c r="S19" s="312" t="str">
        <f t="shared" si="3"/>
        <v/>
      </c>
      <c r="T19" s="548">
        <f t="shared" si="4"/>
        <v>1</v>
      </c>
      <c r="X19" s="312" t="str">
        <f t="shared" si="5"/>
        <v/>
      </c>
      <c r="Y19" s="548">
        <f t="shared" si="6"/>
        <v>43709</v>
      </c>
      <c r="Z19" s="2">
        <v>43726</v>
      </c>
      <c r="AA19" t="s">
        <v>1035</v>
      </c>
      <c r="AB19" s="312">
        <v>-21600</v>
      </c>
      <c r="AC19" s="312">
        <f t="shared" si="7"/>
        <v>44405.8</v>
      </c>
      <c r="AD19" s="548">
        <f t="shared" si="8"/>
        <v>43313</v>
      </c>
      <c r="AE19" s="2">
        <v>43313</v>
      </c>
      <c r="AF19" t="s">
        <v>1269</v>
      </c>
      <c r="AG19" s="312">
        <f>2500000/100000</f>
        <v>25</v>
      </c>
      <c r="AH19" s="312">
        <f t="shared" si="9"/>
        <v>47.98</v>
      </c>
      <c r="AI19" s="548">
        <f t="shared" si="10"/>
        <v>1</v>
      </c>
      <c r="AM19" s="312" t="str">
        <f t="shared" si="11"/>
        <v/>
      </c>
      <c r="AN19" s="548">
        <f t="shared" si="12"/>
        <v>43525</v>
      </c>
      <c r="AO19" s="2">
        <v>43536</v>
      </c>
      <c r="AP19" t="s">
        <v>1297</v>
      </c>
      <c r="AQ19" s="312">
        <v>20000</v>
      </c>
      <c r="AR19" s="312">
        <f t="shared" si="13"/>
        <v>20000</v>
      </c>
      <c r="AS19" s="548">
        <f t="shared" si="14"/>
        <v>1</v>
      </c>
      <c r="AW19" s="312" t="str">
        <f t="shared" si="15"/>
        <v/>
      </c>
      <c r="AX19" s="548">
        <f t="shared" si="16"/>
        <v>1</v>
      </c>
      <c r="BB19" s="312" t="str">
        <f t="shared" si="17"/>
        <v/>
      </c>
    </row>
    <row r="20" spans="4:54">
      <c r="D20" s="312"/>
      <c r="E20" s="548">
        <f t="shared" si="0"/>
        <v>43101</v>
      </c>
      <c r="F20" s="2">
        <v>43103</v>
      </c>
      <c r="G20" s="6" t="s">
        <v>1269</v>
      </c>
      <c r="H20" s="312">
        <f>360000/100000</f>
        <v>3.6</v>
      </c>
      <c r="I20" s="312">
        <f t="shared" si="18"/>
        <v>9.6</v>
      </c>
      <c r="J20" s="548">
        <f t="shared" si="1"/>
        <v>43191</v>
      </c>
      <c r="K20" s="2">
        <v>43195</v>
      </c>
      <c r="L20" t="s">
        <v>668</v>
      </c>
      <c r="M20" s="312">
        <f>-140000/100000</f>
        <v>-1.4</v>
      </c>
      <c r="N20" s="312">
        <f t="shared" si="2"/>
        <v>5.8499999999999979</v>
      </c>
      <c r="S20" s="312" t="str">
        <f t="shared" si="3"/>
        <v/>
      </c>
      <c r="T20" s="548">
        <f t="shared" si="4"/>
        <v>1</v>
      </c>
      <c r="X20" s="312" t="str">
        <f t="shared" si="5"/>
        <v/>
      </c>
      <c r="Y20" s="548">
        <f t="shared" si="6"/>
        <v>43739</v>
      </c>
      <c r="Z20" s="2">
        <v>43740</v>
      </c>
      <c r="AA20" t="s">
        <v>1060</v>
      </c>
      <c r="AB20" s="312">
        <v>-21100</v>
      </c>
      <c r="AC20" s="312">
        <f t="shared" si="7"/>
        <v>23305.8</v>
      </c>
      <c r="AD20" s="548">
        <f t="shared" si="8"/>
        <v>43313</v>
      </c>
      <c r="AE20" s="2">
        <v>43313</v>
      </c>
      <c r="AF20" t="s">
        <v>1279</v>
      </c>
      <c r="AG20" s="312">
        <f>-1200000/100000</f>
        <v>-12</v>
      </c>
      <c r="AH20" s="312">
        <f t="shared" si="9"/>
        <v>35.979999999999997</v>
      </c>
      <c r="AI20" s="548">
        <f t="shared" si="10"/>
        <v>1</v>
      </c>
      <c r="AM20" s="312" t="str">
        <f t="shared" si="11"/>
        <v/>
      </c>
      <c r="AN20" s="548">
        <f t="shared" si="12"/>
        <v>43525</v>
      </c>
      <c r="AO20" s="2">
        <v>43536</v>
      </c>
      <c r="AP20" t="s">
        <v>927</v>
      </c>
      <c r="AQ20" s="312">
        <f>-3000*3</f>
        <v>-9000</v>
      </c>
      <c r="AR20" s="312">
        <f t="shared" si="13"/>
        <v>11000</v>
      </c>
      <c r="AS20" s="548">
        <f t="shared" si="14"/>
        <v>1</v>
      </c>
      <c r="AW20" s="312" t="str">
        <f t="shared" si="15"/>
        <v/>
      </c>
      <c r="AX20" s="548">
        <f t="shared" si="16"/>
        <v>1</v>
      </c>
      <c r="BB20" s="312" t="str">
        <f t="shared" si="17"/>
        <v/>
      </c>
    </row>
    <row r="21" spans="4:54">
      <c r="E21" s="548">
        <f t="shared" si="0"/>
        <v>43101</v>
      </c>
      <c r="F21" s="2">
        <v>43110</v>
      </c>
      <c r="G21" t="s">
        <v>600</v>
      </c>
      <c r="H21" s="312">
        <f>-80000/100000</f>
        <v>-0.8</v>
      </c>
      <c r="I21" s="312">
        <f t="shared" si="18"/>
        <v>8.7999999999999989</v>
      </c>
      <c r="J21" s="548">
        <f t="shared" si="1"/>
        <v>43221</v>
      </c>
      <c r="K21" s="2">
        <v>43223</v>
      </c>
      <c r="L21" t="s">
        <v>684</v>
      </c>
      <c r="M21" s="312">
        <f>-400000/100000</f>
        <v>-4</v>
      </c>
      <c r="N21" s="312">
        <f t="shared" si="2"/>
        <v>1.8499999999999979</v>
      </c>
      <c r="S21" s="312" t="str">
        <f t="shared" si="3"/>
        <v/>
      </c>
      <c r="T21" s="548">
        <f t="shared" si="4"/>
        <v>1</v>
      </c>
      <c r="X21" s="312" t="str">
        <f t="shared" si="5"/>
        <v/>
      </c>
      <c r="Y21" s="548">
        <f t="shared" si="6"/>
        <v>43739</v>
      </c>
      <c r="Z21" s="2">
        <v>43759</v>
      </c>
      <c r="AA21" t="s">
        <v>1298</v>
      </c>
      <c r="AB21" s="312">
        <v>200000</v>
      </c>
      <c r="AC21" s="312">
        <f t="shared" si="7"/>
        <v>223305.8</v>
      </c>
      <c r="AD21" s="548">
        <f t="shared" si="8"/>
        <v>1</v>
      </c>
      <c r="AH21" s="312" t="str">
        <f t="shared" si="9"/>
        <v/>
      </c>
      <c r="AI21" s="548">
        <f t="shared" si="10"/>
        <v>1</v>
      </c>
      <c r="AM21" s="312" t="str">
        <f t="shared" si="11"/>
        <v/>
      </c>
      <c r="AN21" s="548">
        <f t="shared" si="12"/>
        <v>43556</v>
      </c>
      <c r="AO21" s="2">
        <v>43571</v>
      </c>
      <c r="AP21" t="s">
        <v>917</v>
      </c>
      <c r="AQ21" s="312">
        <v>-5000</v>
      </c>
      <c r="AR21" s="312">
        <f t="shared" si="13"/>
        <v>6000</v>
      </c>
      <c r="AS21" s="548">
        <f t="shared" si="14"/>
        <v>1</v>
      </c>
      <c r="AW21" s="312" t="str">
        <f t="shared" si="15"/>
        <v/>
      </c>
      <c r="AX21" s="548">
        <f t="shared" si="16"/>
        <v>1</v>
      </c>
      <c r="BB21" s="312" t="str">
        <f t="shared" si="17"/>
        <v/>
      </c>
    </row>
    <row r="22" spans="4:54">
      <c r="E22" s="548">
        <f t="shared" si="0"/>
        <v>43132</v>
      </c>
      <c r="F22" s="2">
        <v>43136</v>
      </c>
      <c r="G22" t="s">
        <v>616</v>
      </c>
      <c r="H22" s="312">
        <f>-80000/100000</f>
        <v>-0.8</v>
      </c>
      <c r="I22" s="312">
        <f t="shared" si="18"/>
        <v>7.9999999999999991</v>
      </c>
      <c r="J22" s="548">
        <f t="shared" si="1"/>
        <v>43221</v>
      </c>
      <c r="K22" s="2">
        <v>43245</v>
      </c>
      <c r="L22" t="s">
        <v>1269</v>
      </c>
      <c r="M22" s="312">
        <f>4000000/100000</f>
        <v>40</v>
      </c>
      <c r="N22" s="312">
        <f t="shared" si="2"/>
        <v>41.849999999999994</v>
      </c>
      <c r="S22" s="312" t="str">
        <f t="shared" si="3"/>
        <v/>
      </c>
      <c r="T22" s="548">
        <f t="shared" si="4"/>
        <v>1</v>
      </c>
      <c r="X22" s="312" t="str">
        <f t="shared" si="5"/>
        <v/>
      </c>
      <c r="Y22" s="548">
        <f t="shared" si="6"/>
        <v>43739</v>
      </c>
      <c r="Z22" s="2">
        <v>43759</v>
      </c>
      <c r="AA22" t="s">
        <v>1065</v>
      </c>
      <c r="AB22" s="312">
        <v>-25900</v>
      </c>
      <c r="AC22" s="312">
        <f t="shared" si="7"/>
        <v>197405.8</v>
      </c>
      <c r="AD22" s="548">
        <f t="shared" si="8"/>
        <v>1</v>
      </c>
      <c r="AH22" s="312" t="str">
        <f t="shared" si="9"/>
        <v/>
      </c>
      <c r="AI22" s="548">
        <f t="shared" si="10"/>
        <v>1</v>
      </c>
      <c r="AM22" s="312" t="str">
        <f t="shared" si="11"/>
        <v/>
      </c>
      <c r="AN22" s="548">
        <f t="shared" si="12"/>
        <v>43586</v>
      </c>
      <c r="AO22" s="2">
        <v>43613</v>
      </c>
      <c r="AP22" t="s">
        <v>1269</v>
      </c>
      <c r="AQ22" s="312">
        <v>50000</v>
      </c>
      <c r="AR22" s="312">
        <f t="shared" si="13"/>
        <v>56000</v>
      </c>
      <c r="AS22" s="548">
        <f t="shared" si="14"/>
        <v>1</v>
      </c>
      <c r="AW22" s="312" t="str">
        <f t="shared" si="15"/>
        <v/>
      </c>
      <c r="AX22" s="548">
        <f t="shared" si="16"/>
        <v>1</v>
      </c>
      <c r="BB22" s="312" t="str">
        <f t="shared" si="17"/>
        <v/>
      </c>
    </row>
    <row r="23" spans="4:54">
      <c r="E23" s="548">
        <f t="shared" si="0"/>
        <v>43160</v>
      </c>
      <c r="F23" s="2">
        <v>43161</v>
      </c>
      <c r="G23" t="s">
        <v>630</v>
      </c>
      <c r="H23" s="312">
        <f>-140000/100000</f>
        <v>-1.4</v>
      </c>
      <c r="I23" s="312">
        <f t="shared" si="18"/>
        <v>6.6</v>
      </c>
      <c r="J23" s="548">
        <f t="shared" si="1"/>
        <v>43252</v>
      </c>
      <c r="K23" s="2">
        <v>43253</v>
      </c>
      <c r="L23" s="6" t="s">
        <v>672</v>
      </c>
      <c r="M23" s="312">
        <f>-350000/100000</f>
        <v>-3.5</v>
      </c>
      <c r="N23" s="312">
        <f t="shared" si="2"/>
        <v>38.349999999999994</v>
      </c>
      <c r="S23" s="312" t="str">
        <f t="shared" si="3"/>
        <v/>
      </c>
      <c r="T23" s="548">
        <f t="shared" si="4"/>
        <v>1</v>
      </c>
      <c r="X23" s="312" t="str">
        <f t="shared" si="5"/>
        <v/>
      </c>
      <c r="Y23" s="548">
        <f t="shared" si="6"/>
        <v>43770</v>
      </c>
      <c r="Z23" s="2">
        <v>43770</v>
      </c>
      <c r="AA23" t="s">
        <v>1082</v>
      </c>
      <c r="AB23" s="312">
        <v>-51250</v>
      </c>
      <c r="AC23" s="312">
        <f t="shared" si="7"/>
        <v>146155.79999999999</v>
      </c>
      <c r="AD23" s="548">
        <f t="shared" si="8"/>
        <v>1</v>
      </c>
      <c r="AH23" s="312" t="str">
        <f t="shared" si="9"/>
        <v/>
      </c>
      <c r="AI23" s="548">
        <f t="shared" si="10"/>
        <v>1</v>
      </c>
      <c r="AM23" s="312" t="str">
        <f t="shared" si="11"/>
        <v/>
      </c>
      <c r="AN23" s="548">
        <f t="shared" si="12"/>
        <v>43586</v>
      </c>
      <c r="AO23" s="2">
        <v>43613</v>
      </c>
      <c r="AP23" t="s">
        <v>970</v>
      </c>
      <c r="AQ23" s="312">
        <v>-8000</v>
      </c>
      <c r="AR23" s="312">
        <f t="shared" si="13"/>
        <v>48000</v>
      </c>
      <c r="AS23" s="548">
        <f t="shared" si="14"/>
        <v>1</v>
      </c>
      <c r="AW23" s="312" t="str">
        <f t="shared" si="15"/>
        <v/>
      </c>
      <c r="AX23" s="548">
        <f t="shared" si="16"/>
        <v>1</v>
      </c>
      <c r="BB23" s="312" t="str">
        <f t="shared" si="17"/>
        <v/>
      </c>
    </row>
    <row r="24" spans="4:54">
      <c r="E24" s="548">
        <f t="shared" si="0"/>
        <v>43191</v>
      </c>
      <c r="F24" s="2">
        <v>43195</v>
      </c>
      <c r="G24" t="s">
        <v>668</v>
      </c>
      <c r="H24" s="312">
        <f>-140000/100000</f>
        <v>-1.4</v>
      </c>
      <c r="I24" s="312">
        <f t="shared" si="18"/>
        <v>5.1999999999999993</v>
      </c>
      <c r="J24" s="548">
        <f t="shared" si="1"/>
        <v>43252</v>
      </c>
      <c r="K24" s="2">
        <v>43257</v>
      </c>
      <c r="L24" t="s">
        <v>707</v>
      </c>
      <c r="M24" s="312">
        <f>-400000/100000</f>
        <v>-4</v>
      </c>
      <c r="N24" s="312">
        <f t="shared" si="2"/>
        <v>34.349999999999994</v>
      </c>
      <c r="S24" s="312" t="str">
        <f t="shared" si="3"/>
        <v/>
      </c>
      <c r="T24" s="548">
        <f t="shared" si="4"/>
        <v>1</v>
      </c>
      <c r="X24" s="312" t="str">
        <f t="shared" si="5"/>
        <v/>
      </c>
      <c r="Y24" s="548">
        <f t="shared" si="6"/>
        <v>43770</v>
      </c>
      <c r="Z24" s="2">
        <v>43799</v>
      </c>
      <c r="AA24" t="s">
        <v>1100</v>
      </c>
      <c r="AB24" s="312">
        <v>-81750</v>
      </c>
      <c r="AC24" s="312">
        <f t="shared" si="7"/>
        <v>64405.8</v>
      </c>
      <c r="AD24" s="548">
        <f t="shared" si="8"/>
        <v>1</v>
      </c>
      <c r="AH24" s="312" t="str">
        <f t="shared" si="9"/>
        <v/>
      </c>
      <c r="AI24" s="548">
        <f t="shared" si="10"/>
        <v>1</v>
      </c>
      <c r="AM24" s="312" t="str">
        <f t="shared" si="11"/>
        <v/>
      </c>
      <c r="AN24" s="548">
        <f t="shared" si="12"/>
        <v>43617</v>
      </c>
      <c r="AO24" s="2">
        <v>43623</v>
      </c>
      <c r="AP24" t="s">
        <v>986</v>
      </c>
      <c r="AQ24" s="312">
        <v>-8000</v>
      </c>
      <c r="AR24" s="312">
        <f t="shared" si="13"/>
        <v>40000</v>
      </c>
      <c r="AS24" s="548">
        <f t="shared" si="14"/>
        <v>1</v>
      </c>
      <c r="AW24" s="312" t="str">
        <f t="shared" si="15"/>
        <v/>
      </c>
      <c r="AX24" s="548">
        <f t="shared" si="16"/>
        <v>1</v>
      </c>
      <c r="BB24" s="312" t="str">
        <f t="shared" si="17"/>
        <v/>
      </c>
    </row>
    <row r="25" spans="4:54">
      <c r="E25" s="548">
        <f t="shared" si="0"/>
        <v>43221</v>
      </c>
      <c r="F25" s="2">
        <v>43223</v>
      </c>
      <c r="G25" t="s">
        <v>684</v>
      </c>
      <c r="H25" s="312">
        <f>-400000/100000</f>
        <v>-4</v>
      </c>
      <c r="I25" s="312">
        <f t="shared" si="18"/>
        <v>1.1999999999999993</v>
      </c>
      <c r="J25" s="548">
        <f t="shared" si="1"/>
        <v>43252</v>
      </c>
      <c r="K25" s="2">
        <v>43279</v>
      </c>
      <c r="L25" t="s">
        <v>742</v>
      </c>
      <c r="M25" s="312">
        <f>-225000/100000</f>
        <v>-2.25</v>
      </c>
      <c r="N25" s="312">
        <f t="shared" si="2"/>
        <v>32.099999999999994</v>
      </c>
      <c r="S25" s="312" t="str">
        <f t="shared" si="3"/>
        <v/>
      </c>
      <c r="T25" s="548">
        <f t="shared" si="4"/>
        <v>1</v>
      </c>
      <c r="X25" s="312" t="str">
        <f t="shared" si="5"/>
        <v/>
      </c>
      <c r="Y25" s="548">
        <f t="shared" si="6"/>
        <v>43831</v>
      </c>
      <c r="Z25" s="2">
        <v>43852</v>
      </c>
      <c r="AA25" t="s">
        <v>1299</v>
      </c>
      <c r="AB25" s="312">
        <v>-64405.8</v>
      </c>
      <c r="AC25" s="312">
        <f t="shared" si="7"/>
        <v>0</v>
      </c>
      <c r="AD25" s="548">
        <f t="shared" si="8"/>
        <v>1</v>
      </c>
      <c r="AH25" s="312" t="str">
        <f t="shared" si="9"/>
        <v/>
      </c>
      <c r="AI25" s="548">
        <f t="shared" si="10"/>
        <v>1</v>
      </c>
      <c r="AM25" s="312" t="str">
        <f t="shared" si="11"/>
        <v/>
      </c>
      <c r="AN25" s="548">
        <f t="shared" si="12"/>
        <v>43647</v>
      </c>
      <c r="AO25" s="2">
        <v>43656</v>
      </c>
      <c r="AP25" t="s">
        <v>1007</v>
      </c>
      <c r="AQ25" s="312">
        <v>-10000</v>
      </c>
      <c r="AR25" s="312">
        <f t="shared" si="13"/>
        <v>30000</v>
      </c>
      <c r="AS25" s="548">
        <f t="shared" si="14"/>
        <v>1</v>
      </c>
      <c r="AW25" s="312" t="str">
        <f t="shared" si="15"/>
        <v/>
      </c>
      <c r="AX25" s="548">
        <f t="shared" si="16"/>
        <v>1</v>
      </c>
      <c r="BB25" s="312" t="str">
        <f t="shared" si="17"/>
        <v/>
      </c>
    </row>
    <row r="26" spans="4:54">
      <c r="E26" s="548">
        <f t="shared" si="0"/>
        <v>43221</v>
      </c>
      <c r="F26" s="2">
        <v>43242</v>
      </c>
      <c r="G26" s="6" t="s">
        <v>1269</v>
      </c>
      <c r="H26" s="312">
        <f>5000000/100000</f>
        <v>50</v>
      </c>
      <c r="I26" s="312">
        <f t="shared" si="18"/>
        <v>51.2</v>
      </c>
      <c r="J26" s="548">
        <f t="shared" si="1"/>
        <v>43282</v>
      </c>
      <c r="K26" s="2">
        <v>43285</v>
      </c>
      <c r="L26" t="s">
        <v>750</v>
      </c>
      <c r="M26" s="312">
        <f>-1000000/100000</f>
        <v>-10</v>
      </c>
      <c r="N26" s="312">
        <f t="shared" si="2"/>
        <v>22.099999999999994</v>
      </c>
      <c r="S26" s="312" t="str">
        <f t="shared" si="3"/>
        <v/>
      </c>
      <c r="T26" s="548">
        <f t="shared" si="4"/>
        <v>1</v>
      </c>
      <c r="X26" s="312" t="str">
        <f t="shared" si="5"/>
        <v/>
      </c>
      <c r="Y26" s="548">
        <f t="shared" si="6"/>
        <v>1</v>
      </c>
      <c r="AC26" s="312" t="str">
        <f t="shared" si="7"/>
        <v/>
      </c>
      <c r="AD26" s="548">
        <f t="shared" si="8"/>
        <v>1</v>
      </c>
      <c r="AH26" s="312" t="str">
        <f t="shared" si="9"/>
        <v/>
      </c>
      <c r="AI26" s="548">
        <f t="shared" si="10"/>
        <v>1</v>
      </c>
      <c r="AM26" s="312" t="str">
        <f t="shared" si="11"/>
        <v/>
      </c>
      <c r="AN26" s="548">
        <f t="shared" si="12"/>
        <v>43678</v>
      </c>
      <c r="AO26" s="2">
        <v>43682</v>
      </c>
      <c r="AP26" t="s">
        <v>1026</v>
      </c>
      <c r="AQ26" s="312">
        <v>-10000</v>
      </c>
      <c r="AR26" s="312">
        <f t="shared" si="13"/>
        <v>20000</v>
      </c>
      <c r="AS26" s="548">
        <f t="shared" si="14"/>
        <v>1</v>
      </c>
      <c r="AW26" s="312" t="str">
        <f t="shared" si="15"/>
        <v/>
      </c>
      <c r="AX26" s="548">
        <f t="shared" si="16"/>
        <v>1</v>
      </c>
      <c r="BB26" s="312" t="str">
        <f t="shared" si="17"/>
        <v/>
      </c>
    </row>
    <row r="27" spans="4:54">
      <c r="E27" s="548">
        <f t="shared" si="0"/>
        <v>43252</v>
      </c>
      <c r="F27" s="2">
        <v>43257</v>
      </c>
      <c r="G27" t="s">
        <v>707</v>
      </c>
      <c r="H27" s="312">
        <f>-400000/100000</f>
        <v>-4</v>
      </c>
      <c r="I27" s="312">
        <f t="shared" si="18"/>
        <v>47.2</v>
      </c>
      <c r="J27" s="548">
        <f t="shared" si="1"/>
        <v>43282</v>
      </c>
      <c r="K27" s="2">
        <v>43291</v>
      </c>
      <c r="L27" s="6" t="s">
        <v>744</v>
      </c>
      <c r="M27" s="312">
        <f>-1220000/100000</f>
        <v>-12.2</v>
      </c>
      <c r="N27" s="312">
        <f t="shared" si="2"/>
        <v>9.899999999999995</v>
      </c>
      <c r="S27" s="312" t="str">
        <f t="shared" si="3"/>
        <v/>
      </c>
      <c r="T27" s="548">
        <f t="shared" si="4"/>
        <v>1</v>
      </c>
      <c r="X27" s="312" t="str">
        <f t="shared" si="5"/>
        <v/>
      </c>
      <c r="Y27" s="548">
        <f t="shared" si="6"/>
        <v>1</v>
      </c>
      <c r="AC27" s="312" t="str">
        <f t="shared" si="7"/>
        <v/>
      </c>
      <c r="AD27" s="548">
        <f t="shared" si="8"/>
        <v>1</v>
      </c>
      <c r="AH27" s="312" t="str">
        <f t="shared" si="9"/>
        <v/>
      </c>
      <c r="AI27" s="548">
        <f t="shared" si="10"/>
        <v>1</v>
      </c>
      <c r="AM27" s="312" t="str">
        <f t="shared" si="11"/>
        <v/>
      </c>
      <c r="AN27" s="548">
        <f t="shared" si="12"/>
        <v>43709</v>
      </c>
      <c r="AO27" s="2">
        <v>43731</v>
      </c>
      <c r="AP27" t="s">
        <v>1035</v>
      </c>
      <c r="AQ27" s="312">
        <v>-19800</v>
      </c>
      <c r="AR27" s="312">
        <f t="shared" si="13"/>
        <v>200</v>
      </c>
      <c r="AS27" s="548">
        <f t="shared" si="14"/>
        <v>1</v>
      </c>
      <c r="AW27" s="312" t="str">
        <f t="shared" si="15"/>
        <v/>
      </c>
      <c r="AX27" s="548">
        <f t="shared" si="16"/>
        <v>1</v>
      </c>
      <c r="BB27" s="312" t="str">
        <f t="shared" si="17"/>
        <v/>
      </c>
    </row>
    <row r="28" spans="4:54">
      <c r="E28" s="548">
        <f t="shared" si="0"/>
        <v>43252</v>
      </c>
      <c r="F28" s="2">
        <v>43279</v>
      </c>
      <c r="G28" t="s">
        <v>742</v>
      </c>
      <c r="H28" s="312">
        <f>-225000/100000</f>
        <v>-2.25</v>
      </c>
      <c r="I28" s="312">
        <f t="shared" si="18"/>
        <v>44.95</v>
      </c>
      <c r="J28" s="548">
        <f t="shared" si="1"/>
        <v>43313</v>
      </c>
      <c r="K28" s="2">
        <v>43313</v>
      </c>
      <c r="L28" t="s">
        <v>806</v>
      </c>
      <c r="M28" s="312">
        <f>-990000/100000</f>
        <v>-9.9</v>
      </c>
      <c r="N28" s="312">
        <f t="shared" si="2"/>
        <v>-5.3290705182007514E-15</v>
      </c>
      <c r="S28" s="312" t="str">
        <f t="shared" si="3"/>
        <v/>
      </c>
      <c r="T28" s="548">
        <f t="shared" si="4"/>
        <v>1</v>
      </c>
      <c r="X28" s="312" t="str">
        <f t="shared" si="5"/>
        <v/>
      </c>
      <c r="Y28" s="548">
        <f t="shared" si="6"/>
        <v>1</v>
      </c>
      <c r="AC28" s="312" t="str">
        <f t="shared" si="7"/>
        <v/>
      </c>
      <c r="AD28" s="548">
        <f t="shared" si="8"/>
        <v>1</v>
      </c>
      <c r="AH28" s="312" t="str">
        <f t="shared" si="9"/>
        <v/>
      </c>
      <c r="AI28" s="548">
        <f t="shared" si="10"/>
        <v>1</v>
      </c>
      <c r="AM28" s="312" t="str">
        <f t="shared" si="11"/>
        <v/>
      </c>
      <c r="AN28" s="548">
        <f t="shared" si="12"/>
        <v>1</v>
      </c>
      <c r="AR28" s="312" t="str">
        <f t="shared" si="13"/>
        <v/>
      </c>
      <c r="AS28" s="548">
        <f t="shared" si="14"/>
        <v>1</v>
      </c>
      <c r="AW28" s="312" t="str">
        <f t="shared" si="15"/>
        <v/>
      </c>
      <c r="AX28" s="548">
        <f t="shared" si="16"/>
        <v>1</v>
      </c>
      <c r="BB28" s="312" t="str">
        <f t="shared" si="17"/>
        <v/>
      </c>
    </row>
    <row r="29" spans="4:54">
      <c r="E29" s="548">
        <f t="shared" si="0"/>
        <v>43282</v>
      </c>
      <c r="F29" s="2">
        <v>43285</v>
      </c>
      <c r="G29" t="s">
        <v>750</v>
      </c>
      <c r="H29" s="312">
        <f>-1000000/100000</f>
        <v>-10</v>
      </c>
      <c r="I29" s="312">
        <f t="shared" si="18"/>
        <v>34.950000000000003</v>
      </c>
      <c r="J29" s="548">
        <f t="shared" si="1"/>
        <v>43313</v>
      </c>
      <c r="K29" s="2">
        <v>43314</v>
      </c>
      <c r="L29" t="s">
        <v>1269</v>
      </c>
      <c r="M29" s="312">
        <f>7410000/100000</f>
        <v>74.099999999999994</v>
      </c>
      <c r="N29" s="312">
        <f t="shared" si="2"/>
        <v>74.099999999999994</v>
      </c>
      <c r="S29" s="312" t="str">
        <f t="shared" si="3"/>
        <v/>
      </c>
      <c r="T29" s="548">
        <f t="shared" si="4"/>
        <v>1</v>
      </c>
      <c r="X29" s="312" t="str">
        <f t="shared" si="5"/>
        <v/>
      </c>
      <c r="Y29" s="548">
        <f t="shared" si="6"/>
        <v>1</v>
      </c>
      <c r="AC29" s="312" t="str">
        <f t="shared" si="7"/>
        <v/>
      </c>
      <c r="AD29" s="548">
        <f t="shared" si="8"/>
        <v>1</v>
      </c>
      <c r="AH29" s="312" t="str">
        <f t="shared" si="9"/>
        <v/>
      </c>
      <c r="AI29" s="548">
        <f t="shared" si="10"/>
        <v>1</v>
      </c>
      <c r="AM29" s="312" t="str">
        <f t="shared" si="11"/>
        <v/>
      </c>
      <c r="AN29" s="548">
        <f t="shared" si="12"/>
        <v>1</v>
      </c>
      <c r="AR29" s="312" t="str">
        <f t="shared" si="13"/>
        <v/>
      </c>
      <c r="AS29" s="548">
        <f t="shared" si="14"/>
        <v>1</v>
      </c>
      <c r="AW29" s="312" t="str">
        <f t="shared" si="15"/>
        <v/>
      </c>
      <c r="AX29" s="548">
        <f t="shared" si="16"/>
        <v>1</v>
      </c>
      <c r="BB29" s="312" t="str">
        <f t="shared" si="17"/>
        <v/>
      </c>
    </row>
    <row r="30" spans="4:54">
      <c r="E30" s="548">
        <f t="shared" si="0"/>
        <v>43313</v>
      </c>
      <c r="F30" s="2">
        <v>43313</v>
      </c>
      <c r="G30" t="s">
        <v>787</v>
      </c>
      <c r="H30" s="312">
        <f>-1200000/100000</f>
        <v>-12</v>
      </c>
      <c r="I30" s="312">
        <f t="shared" si="18"/>
        <v>22.950000000000003</v>
      </c>
      <c r="J30" s="548">
        <f t="shared" si="1"/>
        <v>43313</v>
      </c>
      <c r="K30" s="2">
        <v>43314</v>
      </c>
      <c r="L30" t="s">
        <v>788</v>
      </c>
      <c r="M30" s="312">
        <f>-210000/100000</f>
        <v>-2.1</v>
      </c>
      <c r="N30" s="312">
        <f t="shared" si="2"/>
        <v>72</v>
      </c>
      <c r="S30" s="312" t="str">
        <f t="shared" si="3"/>
        <v/>
      </c>
      <c r="T30" s="548">
        <f t="shared" si="4"/>
        <v>1</v>
      </c>
      <c r="X30" s="312" t="str">
        <f t="shared" si="5"/>
        <v/>
      </c>
      <c r="Y30" s="548">
        <f t="shared" si="6"/>
        <v>1</v>
      </c>
      <c r="AC30" s="312" t="str">
        <f t="shared" si="7"/>
        <v/>
      </c>
      <c r="AD30" s="548">
        <f t="shared" si="8"/>
        <v>1</v>
      </c>
      <c r="AH30" s="312" t="str">
        <f t="shared" si="9"/>
        <v/>
      </c>
      <c r="AI30" s="548">
        <f t="shared" si="10"/>
        <v>1</v>
      </c>
      <c r="AM30" s="312" t="str">
        <f t="shared" si="11"/>
        <v/>
      </c>
      <c r="AN30" s="548">
        <f t="shared" si="12"/>
        <v>1</v>
      </c>
      <c r="AR30" s="312" t="str">
        <f t="shared" si="13"/>
        <v/>
      </c>
      <c r="AS30" s="548">
        <f t="shared" si="14"/>
        <v>1</v>
      </c>
      <c r="AW30" s="312" t="str">
        <f t="shared" si="15"/>
        <v/>
      </c>
      <c r="AX30" s="548">
        <f t="shared" si="16"/>
        <v>1</v>
      </c>
      <c r="BB30" s="312" t="str">
        <f t="shared" si="17"/>
        <v/>
      </c>
    </row>
    <row r="31" spans="4:54">
      <c r="E31" s="548">
        <f t="shared" si="0"/>
        <v>43344</v>
      </c>
      <c r="F31" s="2">
        <v>43355</v>
      </c>
      <c r="G31" t="s">
        <v>1300</v>
      </c>
      <c r="H31" s="312">
        <v>1600</v>
      </c>
      <c r="I31" s="312">
        <f t="shared" ref="I31:I75" si="19">IF(ISBLANK(H31),"",ROUND(I30+H31,2))</f>
        <v>1622.95</v>
      </c>
      <c r="J31" s="548">
        <f t="shared" si="1"/>
        <v>43374</v>
      </c>
      <c r="K31" s="2">
        <v>43403</v>
      </c>
      <c r="L31" t="s">
        <v>1269</v>
      </c>
      <c r="M31" s="312">
        <v>3850</v>
      </c>
      <c r="N31" s="312">
        <f t="shared" ref="N31:N75" si="20">IF(ISBLANK(M31),"",ROUND(N30+M31,2))</f>
        <v>3922</v>
      </c>
      <c r="S31" s="312" t="str">
        <f t="shared" si="3"/>
        <v/>
      </c>
      <c r="T31" s="548">
        <f t="shared" si="4"/>
        <v>1</v>
      </c>
      <c r="X31" s="312" t="str">
        <f t="shared" si="5"/>
        <v/>
      </c>
      <c r="Y31" s="548">
        <f t="shared" si="6"/>
        <v>1</v>
      </c>
      <c r="AC31" s="312" t="str">
        <f t="shared" si="7"/>
        <v/>
      </c>
      <c r="AD31" s="548">
        <f t="shared" si="8"/>
        <v>1</v>
      </c>
      <c r="AH31" s="312" t="str">
        <f t="shared" si="9"/>
        <v/>
      </c>
      <c r="AI31" s="548">
        <f t="shared" si="10"/>
        <v>1</v>
      </c>
      <c r="AM31" s="312" t="str">
        <f t="shared" si="11"/>
        <v/>
      </c>
      <c r="AN31" s="548">
        <f t="shared" si="12"/>
        <v>1</v>
      </c>
      <c r="AR31" s="312" t="str">
        <f t="shared" si="13"/>
        <v/>
      </c>
      <c r="AS31" s="548">
        <f t="shared" si="14"/>
        <v>1</v>
      </c>
      <c r="AW31" s="312" t="str">
        <f t="shared" si="15"/>
        <v/>
      </c>
      <c r="AX31" s="548">
        <f t="shared" si="16"/>
        <v>1</v>
      </c>
      <c r="BB31" s="312" t="str">
        <f t="shared" si="17"/>
        <v/>
      </c>
    </row>
    <row r="32" spans="4:54">
      <c r="E32" s="548">
        <f t="shared" si="0"/>
        <v>43344</v>
      </c>
      <c r="F32" s="2">
        <v>43355</v>
      </c>
      <c r="G32" t="s">
        <v>810</v>
      </c>
      <c r="H32" s="312">
        <v>-320</v>
      </c>
      <c r="I32" s="312">
        <f t="shared" si="19"/>
        <v>1302.95</v>
      </c>
      <c r="J32" s="548">
        <f t="shared" si="1"/>
        <v>43374</v>
      </c>
      <c r="K32" s="2">
        <v>43403</v>
      </c>
      <c r="L32" t="s">
        <v>826</v>
      </c>
      <c r="M32" s="312">
        <v>-10</v>
      </c>
      <c r="N32" s="312">
        <f t="shared" si="20"/>
        <v>3912</v>
      </c>
      <c r="S32" s="312" t="str">
        <f t="shared" si="3"/>
        <v/>
      </c>
      <c r="T32" s="548">
        <f t="shared" si="4"/>
        <v>1</v>
      </c>
      <c r="X32" s="312" t="str">
        <f t="shared" si="5"/>
        <v/>
      </c>
      <c r="Y32" s="548">
        <f t="shared" si="6"/>
        <v>1</v>
      </c>
      <c r="AC32" s="312" t="str">
        <f t="shared" si="7"/>
        <v/>
      </c>
      <c r="AD32" s="548">
        <f t="shared" si="8"/>
        <v>1</v>
      </c>
      <c r="AH32" s="312" t="str">
        <f t="shared" si="9"/>
        <v/>
      </c>
      <c r="AI32" s="548">
        <f t="shared" si="10"/>
        <v>1</v>
      </c>
      <c r="AM32" s="312" t="str">
        <f t="shared" si="11"/>
        <v/>
      </c>
      <c r="AN32" s="548">
        <f t="shared" si="12"/>
        <v>1</v>
      </c>
      <c r="AR32" s="312" t="str">
        <f t="shared" si="13"/>
        <v/>
      </c>
      <c r="AS32" s="548">
        <f t="shared" si="14"/>
        <v>1</v>
      </c>
      <c r="AW32" s="312" t="str">
        <f t="shared" si="15"/>
        <v/>
      </c>
      <c r="AX32" s="548">
        <f t="shared" si="16"/>
        <v>1</v>
      </c>
      <c r="BB32" s="312" t="str">
        <f t="shared" si="17"/>
        <v/>
      </c>
    </row>
    <row r="33" spans="5:54">
      <c r="E33" s="548">
        <f t="shared" si="0"/>
        <v>43374</v>
      </c>
      <c r="F33" s="2">
        <v>43384</v>
      </c>
      <c r="G33" t="s">
        <v>823</v>
      </c>
      <c r="H33" s="312">
        <v>-320</v>
      </c>
      <c r="I33" s="312">
        <f t="shared" si="19"/>
        <v>982.95</v>
      </c>
      <c r="J33" s="548">
        <f t="shared" si="1"/>
        <v>43374</v>
      </c>
      <c r="K33" s="2">
        <v>43403</v>
      </c>
      <c r="L33" t="s">
        <v>835</v>
      </c>
      <c r="M33" s="312">
        <f>-320*2</f>
        <v>-640</v>
      </c>
      <c r="N33" s="312">
        <f t="shared" si="20"/>
        <v>3272</v>
      </c>
      <c r="S33" s="312" t="str">
        <f t="shared" si="3"/>
        <v/>
      </c>
      <c r="T33" s="548">
        <f t="shared" si="4"/>
        <v>1</v>
      </c>
      <c r="X33" s="312" t="str">
        <f t="shared" si="5"/>
        <v/>
      </c>
      <c r="Y33" s="548">
        <f t="shared" si="6"/>
        <v>1</v>
      </c>
      <c r="AC33" s="312" t="str">
        <f t="shared" si="7"/>
        <v/>
      </c>
      <c r="AD33" s="548">
        <f t="shared" si="8"/>
        <v>1</v>
      </c>
      <c r="AH33" s="312" t="str">
        <f t="shared" si="9"/>
        <v/>
      </c>
      <c r="AI33" s="548">
        <f t="shared" si="10"/>
        <v>1</v>
      </c>
      <c r="AM33" s="312" t="str">
        <f t="shared" si="11"/>
        <v/>
      </c>
      <c r="AN33" s="548">
        <f t="shared" si="12"/>
        <v>1</v>
      </c>
      <c r="AR33" s="312" t="str">
        <f t="shared" si="13"/>
        <v/>
      </c>
      <c r="AS33" s="548">
        <f t="shared" si="14"/>
        <v>1</v>
      </c>
      <c r="AW33" s="312" t="str">
        <f t="shared" si="15"/>
        <v/>
      </c>
      <c r="AX33" s="548">
        <f t="shared" si="16"/>
        <v>1</v>
      </c>
      <c r="BB33" s="312" t="str">
        <f t="shared" si="17"/>
        <v/>
      </c>
    </row>
    <row r="34" spans="5:54">
      <c r="E34" s="548">
        <f t="shared" si="0"/>
        <v>43405</v>
      </c>
      <c r="F34" s="2">
        <v>43412</v>
      </c>
      <c r="G34" t="s">
        <v>848</v>
      </c>
      <c r="H34" s="312">
        <v>-320</v>
      </c>
      <c r="I34" s="312">
        <f t="shared" si="19"/>
        <v>662.95</v>
      </c>
      <c r="J34" s="548">
        <f t="shared" si="1"/>
        <v>43405</v>
      </c>
      <c r="K34" s="2">
        <v>43412</v>
      </c>
      <c r="L34" t="s">
        <v>848</v>
      </c>
      <c r="M34" s="312">
        <v>-320</v>
      </c>
      <c r="N34" s="312">
        <f t="shared" si="20"/>
        <v>2952</v>
      </c>
      <c r="S34" s="312" t="str">
        <f t="shared" si="3"/>
        <v/>
      </c>
      <c r="T34" s="548">
        <f t="shared" si="4"/>
        <v>1</v>
      </c>
      <c r="X34" s="312" t="str">
        <f t="shared" si="5"/>
        <v/>
      </c>
      <c r="Y34" s="548">
        <f t="shared" si="6"/>
        <v>1</v>
      </c>
      <c r="AC34" s="312" t="str">
        <f t="shared" si="7"/>
        <v/>
      </c>
      <c r="AD34" s="548">
        <f t="shared" si="8"/>
        <v>1</v>
      </c>
      <c r="AH34" s="312" t="str">
        <f t="shared" si="9"/>
        <v/>
      </c>
      <c r="AI34" s="548">
        <f t="shared" si="10"/>
        <v>1</v>
      </c>
      <c r="AM34" s="312" t="str">
        <f t="shared" si="11"/>
        <v/>
      </c>
      <c r="AN34" s="548">
        <f t="shared" si="12"/>
        <v>1</v>
      </c>
      <c r="AR34" s="312" t="str">
        <f t="shared" si="13"/>
        <v/>
      </c>
      <c r="AS34" s="548">
        <f t="shared" si="14"/>
        <v>1</v>
      </c>
      <c r="AW34" s="312" t="str">
        <f t="shared" si="15"/>
        <v/>
      </c>
      <c r="AX34" s="548">
        <f t="shared" si="16"/>
        <v>1</v>
      </c>
      <c r="BB34" s="312" t="str">
        <f t="shared" si="17"/>
        <v/>
      </c>
    </row>
    <row r="35" spans="5:54">
      <c r="E35" s="548">
        <f t="shared" si="0"/>
        <v>43435</v>
      </c>
      <c r="F35" s="2">
        <v>43439</v>
      </c>
      <c r="G35" s="6" t="s">
        <v>861</v>
      </c>
      <c r="H35" s="312">
        <v>-662.95</v>
      </c>
      <c r="I35" s="312">
        <f t="shared" si="19"/>
        <v>0</v>
      </c>
      <c r="J35" s="548">
        <f t="shared" si="1"/>
        <v>43435</v>
      </c>
      <c r="K35" s="2">
        <v>43439</v>
      </c>
      <c r="L35" s="6" t="s">
        <v>861</v>
      </c>
      <c r="M35" s="312">
        <v>-800</v>
      </c>
      <c r="N35" s="312">
        <f t="shared" si="20"/>
        <v>2152</v>
      </c>
      <c r="S35" s="312" t="str">
        <f t="shared" si="3"/>
        <v/>
      </c>
      <c r="T35" s="548">
        <f t="shared" si="4"/>
        <v>1</v>
      </c>
      <c r="X35" s="312" t="str">
        <f t="shared" si="5"/>
        <v/>
      </c>
      <c r="Y35" s="548">
        <f t="shared" si="6"/>
        <v>1</v>
      </c>
      <c r="AC35" s="312" t="str">
        <f t="shared" si="7"/>
        <v/>
      </c>
      <c r="AD35" s="548">
        <f t="shared" si="8"/>
        <v>1</v>
      </c>
      <c r="AH35" s="312" t="str">
        <f t="shared" si="9"/>
        <v/>
      </c>
      <c r="AI35" s="548">
        <f t="shared" si="10"/>
        <v>1</v>
      </c>
      <c r="AM35" s="312" t="str">
        <f t="shared" si="11"/>
        <v/>
      </c>
      <c r="AN35" s="548">
        <f t="shared" si="12"/>
        <v>1</v>
      </c>
      <c r="AR35" s="312" t="str">
        <f t="shared" si="13"/>
        <v/>
      </c>
      <c r="AS35" s="548">
        <f t="shared" si="14"/>
        <v>1</v>
      </c>
      <c r="AW35" s="312" t="str">
        <f t="shared" si="15"/>
        <v/>
      </c>
      <c r="AX35" s="548">
        <f t="shared" si="16"/>
        <v>1</v>
      </c>
      <c r="BB35" s="312" t="str">
        <f t="shared" si="17"/>
        <v/>
      </c>
    </row>
    <row r="36" spans="5:54">
      <c r="E36" s="548">
        <f t="shared" si="0"/>
        <v>43466</v>
      </c>
      <c r="F36" s="2">
        <v>43473</v>
      </c>
      <c r="G36" t="s">
        <v>1301</v>
      </c>
      <c r="H36" s="312">
        <v>10000</v>
      </c>
      <c r="I36" s="312">
        <f t="shared" si="19"/>
        <v>10000</v>
      </c>
      <c r="J36" s="548">
        <f t="shared" si="1"/>
        <v>43466</v>
      </c>
      <c r="K36" s="2">
        <v>43476</v>
      </c>
      <c r="L36" s="6" t="s">
        <v>881</v>
      </c>
      <c r="M36" s="312">
        <v>-800</v>
      </c>
      <c r="N36" s="312">
        <f t="shared" si="20"/>
        <v>1352</v>
      </c>
      <c r="S36" s="312" t="str">
        <f t="shared" si="3"/>
        <v/>
      </c>
      <c r="T36" s="548">
        <f t="shared" si="4"/>
        <v>1</v>
      </c>
      <c r="X36" s="312" t="str">
        <f t="shared" si="5"/>
        <v/>
      </c>
      <c r="Y36" s="548">
        <f t="shared" si="6"/>
        <v>1</v>
      </c>
      <c r="AC36" s="312" t="str">
        <f t="shared" si="7"/>
        <v/>
      </c>
      <c r="AD36" s="548">
        <f t="shared" si="8"/>
        <v>1</v>
      </c>
      <c r="AH36" s="312" t="str">
        <f t="shared" si="9"/>
        <v/>
      </c>
      <c r="AI36" s="548">
        <f t="shared" si="10"/>
        <v>1</v>
      </c>
      <c r="AM36" s="312" t="str">
        <f t="shared" si="11"/>
        <v/>
      </c>
      <c r="AN36" s="548">
        <f t="shared" si="12"/>
        <v>1</v>
      </c>
      <c r="AR36" s="312" t="str">
        <f t="shared" si="13"/>
        <v/>
      </c>
      <c r="AS36" s="548">
        <f t="shared" si="14"/>
        <v>1</v>
      </c>
      <c r="AW36" s="312" t="str">
        <f t="shared" si="15"/>
        <v/>
      </c>
      <c r="AX36" s="548">
        <f t="shared" si="16"/>
        <v>1</v>
      </c>
      <c r="BB36" s="312" t="str">
        <f t="shared" si="17"/>
        <v/>
      </c>
    </row>
    <row r="37" spans="5:54">
      <c r="E37" s="548">
        <f t="shared" si="0"/>
        <v>43466</v>
      </c>
      <c r="F37" s="2">
        <v>43473</v>
      </c>
      <c r="G37" t="s">
        <v>863</v>
      </c>
      <c r="H37" s="312">
        <f>-(800-662.95)</f>
        <v>-137.04999999999995</v>
      </c>
      <c r="I37" s="312">
        <f t="shared" si="19"/>
        <v>9862.9500000000007</v>
      </c>
      <c r="J37" s="548">
        <f t="shared" si="1"/>
        <v>43497</v>
      </c>
      <c r="K37" s="2">
        <v>43500</v>
      </c>
      <c r="L37" t="s">
        <v>1269</v>
      </c>
      <c r="M37" s="312">
        <v>35200</v>
      </c>
      <c r="N37" s="312">
        <f t="shared" si="20"/>
        <v>36552</v>
      </c>
      <c r="S37" s="312" t="str">
        <f t="shared" si="3"/>
        <v/>
      </c>
      <c r="T37" s="548">
        <f t="shared" si="4"/>
        <v>1</v>
      </c>
      <c r="X37" s="312" t="str">
        <f t="shared" si="5"/>
        <v/>
      </c>
      <c r="Y37" s="548">
        <f t="shared" si="6"/>
        <v>1</v>
      </c>
      <c r="AC37" s="312" t="str">
        <f t="shared" si="7"/>
        <v/>
      </c>
      <c r="AD37" s="548">
        <f t="shared" si="8"/>
        <v>1</v>
      </c>
      <c r="AH37" s="312" t="str">
        <f t="shared" si="9"/>
        <v/>
      </c>
      <c r="AI37" s="548">
        <f t="shared" si="10"/>
        <v>1</v>
      </c>
      <c r="AM37" s="312" t="str">
        <f t="shared" si="11"/>
        <v/>
      </c>
      <c r="AN37" s="548">
        <f t="shared" si="12"/>
        <v>1</v>
      </c>
      <c r="AR37" s="312" t="str">
        <f t="shared" si="13"/>
        <v/>
      </c>
      <c r="AS37" s="548">
        <f t="shared" si="14"/>
        <v>1</v>
      </c>
      <c r="AW37" s="312" t="str">
        <f t="shared" si="15"/>
        <v/>
      </c>
      <c r="AX37" s="548">
        <f t="shared" si="16"/>
        <v>1</v>
      </c>
      <c r="BB37" s="312" t="str">
        <f t="shared" si="17"/>
        <v/>
      </c>
    </row>
    <row r="38" spans="5:54">
      <c r="E38" s="548">
        <f t="shared" si="0"/>
        <v>43466</v>
      </c>
      <c r="F38" s="2">
        <v>43473</v>
      </c>
      <c r="G38" t="s">
        <v>887</v>
      </c>
      <c r="H38" s="312">
        <v>-800</v>
      </c>
      <c r="I38" s="312">
        <f t="shared" si="19"/>
        <v>9062.9500000000007</v>
      </c>
      <c r="J38" s="548">
        <f t="shared" si="1"/>
        <v>43497</v>
      </c>
      <c r="K38" s="2">
        <v>43502</v>
      </c>
      <c r="L38" t="s">
        <v>886</v>
      </c>
      <c r="M38" s="312">
        <v>-2200</v>
      </c>
      <c r="N38" s="312">
        <f t="shared" si="20"/>
        <v>34352</v>
      </c>
      <c r="S38" s="312" t="str">
        <f t="shared" si="3"/>
        <v/>
      </c>
      <c r="T38" s="548">
        <f t="shared" si="4"/>
        <v>1</v>
      </c>
      <c r="X38" s="312" t="str">
        <f t="shared" si="5"/>
        <v/>
      </c>
      <c r="Y38" s="548">
        <f t="shared" si="6"/>
        <v>1</v>
      </c>
      <c r="AC38" s="312" t="str">
        <f t="shared" si="7"/>
        <v/>
      </c>
      <c r="AD38" s="548">
        <f t="shared" si="8"/>
        <v>1</v>
      </c>
      <c r="AH38" s="312" t="str">
        <f t="shared" si="9"/>
        <v/>
      </c>
      <c r="AI38" s="548">
        <f t="shared" si="10"/>
        <v>1</v>
      </c>
      <c r="AM38" s="312" t="str">
        <f t="shared" si="11"/>
        <v/>
      </c>
      <c r="AN38" s="548">
        <f t="shared" si="12"/>
        <v>1</v>
      </c>
      <c r="AR38" s="312" t="str">
        <f t="shared" si="13"/>
        <v/>
      </c>
      <c r="AS38" s="548">
        <f t="shared" si="14"/>
        <v>1</v>
      </c>
      <c r="AW38" s="312" t="str">
        <f t="shared" si="15"/>
        <v/>
      </c>
      <c r="AX38" s="548">
        <f t="shared" si="16"/>
        <v>1</v>
      </c>
      <c r="BB38" s="312" t="str">
        <f t="shared" si="17"/>
        <v/>
      </c>
    </row>
    <row r="39" spans="5:54">
      <c r="E39" s="548">
        <f t="shared" si="0"/>
        <v>43466</v>
      </c>
      <c r="F39" s="2">
        <v>43481</v>
      </c>
      <c r="G39" t="s">
        <v>886</v>
      </c>
      <c r="H39" s="312">
        <v>-2200</v>
      </c>
      <c r="I39" s="312">
        <f t="shared" si="19"/>
        <v>6862.95</v>
      </c>
      <c r="J39" s="548">
        <f t="shared" si="1"/>
        <v>43497</v>
      </c>
      <c r="K39" s="2">
        <v>43502</v>
      </c>
      <c r="L39" t="s">
        <v>897</v>
      </c>
      <c r="M39" s="312">
        <v>-3000</v>
      </c>
      <c r="N39" s="312">
        <f t="shared" si="20"/>
        <v>31352</v>
      </c>
      <c r="S39" s="312" t="str">
        <f t="shared" si="3"/>
        <v/>
      </c>
      <c r="T39" s="548">
        <f t="shared" si="4"/>
        <v>1</v>
      </c>
      <c r="X39" s="312" t="str">
        <f t="shared" si="5"/>
        <v/>
      </c>
      <c r="Y39" s="548">
        <f t="shared" si="6"/>
        <v>1</v>
      </c>
      <c r="AC39" s="312" t="str">
        <f t="shared" si="7"/>
        <v/>
      </c>
      <c r="AD39" s="548">
        <f t="shared" si="8"/>
        <v>1</v>
      </c>
      <c r="AH39" s="312" t="str">
        <f t="shared" si="9"/>
        <v/>
      </c>
      <c r="AI39" s="548">
        <f t="shared" si="10"/>
        <v>1</v>
      </c>
      <c r="AM39" s="312" t="str">
        <f t="shared" si="11"/>
        <v/>
      </c>
      <c r="AN39" s="548">
        <f t="shared" si="12"/>
        <v>1</v>
      </c>
      <c r="AR39" s="312" t="str">
        <f t="shared" si="13"/>
        <v/>
      </c>
      <c r="AS39" s="548">
        <f t="shared" si="14"/>
        <v>1</v>
      </c>
      <c r="AW39" s="312" t="str">
        <f t="shared" si="15"/>
        <v/>
      </c>
      <c r="AX39" s="548">
        <f t="shared" si="16"/>
        <v>1</v>
      </c>
      <c r="BB39" s="312" t="str">
        <f t="shared" si="17"/>
        <v/>
      </c>
    </row>
    <row r="40" spans="5:54">
      <c r="E40" s="548">
        <f t="shared" si="0"/>
        <v>43497</v>
      </c>
      <c r="F40" s="2">
        <v>43509</v>
      </c>
      <c r="G40" t="s">
        <v>897</v>
      </c>
      <c r="H40" s="312">
        <v>-3000</v>
      </c>
      <c r="I40" s="312">
        <f t="shared" si="19"/>
        <v>3862.95</v>
      </c>
      <c r="J40" s="548">
        <f t="shared" si="1"/>
        <v>43525</v>
      </c>
      <c r="K40" s="2">
        <v>43536</v>
      </c>
      <c r="L40" t="s">
        <v>909</v>
      </c>
      <c r="M40" s="312">
        <v>-3000</v>
      </c>
      <c r="N40" s="312">
        <f t="shared" si="20"/>
        <v>28352</v>
      </c>
      <c r="S40" s="312" t="str">
        <f t="shared" si="3"/>
        <v/>
      </c>
      <c r="T40" s="548">
        <f t="shared" si="4"/>
        <v>1</v>
      </c>
      <c r="X40" s="312" t="str">
        <f t="shared" si="5"/>
        <v/>
      </c>
      <c r="Y40" s="548">
        <f t="shared" si="6"/>
        <v>1</v>
      </c>
      <c r="AC40" s="312" t="str">
        <f t="shared" si="7"/>
        <v/>
      </c>
      <c r="AD40" s="548">
        <f t="shared" si="8"/>
        <v>1</v>
      </c>
      <c r="AH40" s="312" t="str">
        <f t="shared" si="9"/>
        <v/>
      </c>
      <c r="AI40" s="548">
        <f t="shared" si="10"/>
        <v>1</v>
      </c>
      <c r="AM40" s="312" t="str">
        <f t="shared" si="11"/>
        <v/>
      </c>
      <c r="AN40" s="548">
        <f t="shared" si="12"/>
        <v>1</v>
      </c>
      <c r="AR40" s="312" t="str">
        <f t="shared" si="13"/>
        <v/>
      </c>
      <c r="AS40" s="548">
        <f t="shared" si="14"/>
        <v>1</v>
      </c>
      <c r="AW40" s="312" t="str">
        <f t="shared" si="15"/>
        <v/>
      </c>
      <c r="AX40" s="548">
        <f t="shared" si="16"/>
        <v>1</v>
      </c>
      <c r="BB40" s="312" t="str">
        <f t="shared" si="17"/>
        <v/>
      </c>
    </row>
    <row r="41" spans="5:54">
      <c r="E41" s="548">
        <f t="shared" si="0"/>
        <v>43525</v>
      </c>
      <c r="F41" s="2">
        <v>43536</v>
      </c>
      <c r="G41" t="s">
        <v>909</v>
      </c>
      <c r="H41" s="312">
        <v>-3000</v>
      </c>
      <c r="I41" s="312">
        <f t="shared" si="19"/>
        <v>862.95</v>
      </c>
      <c r="J41" s="548">
        <f t="shared" si="1"/>
        <v>43556</v>
      </c>
      <c r="K41" s="2">
        <v>43571</v>
      </c>
      <c r="L41" t="s">
        <v>917</v>
      </c>
      <c r="M41" s="312">
        <v>-5000</v>
      </c>
      <c r="N41" s="312">
        <f t="shared" si="20"/>
        <v>23352</v>
      </c>
      <c r="S41" s="312" t="str">
        <f t="shared" si="3"/>
        <v/>
      </c>
      <c r="T41" s="548">
        <f t="shared" si="4"/>
        <v>1</v>
      </c>
      <c r="X41" s="312" t="str">
        <f t="shared" si="5"/>
        <v/>
      </c>
      <c r="Y41" s="548">
        <f t="shared" si="6"/>
        <v>1</v>
      </c>
      <c r="AC41" s="312" t="str">
        <f t="shared" si="7"/>
        <v/>
      </c>
      <c r="AD41" s="548">
        <f t="shared" si="8"/>
        <v>1</v>
      </c>
      <c r="AH41" s="312" t="str">
        <f t="shared" si="9"/>
        <v/>
      </c>
      <c r="AI41" s="548">
        <f t="shared" si="10"/>
        <v>1</v>
      </c>
      <c r="AM41" s="312" t="str">
        <f t="shared" si="11"/>
        <v/>
      </c>
      <c r="AN41" s="548">
        <f t="shared" si="12"/>
        <v>1</v>
      </c>
      <c r="AR41" s="312" t="str">
        <f t="shared" si="13"/>
        <v/>
      </c>
      <c r="AS41" s="548">
        <f t="shared" si="14"/>
        <v>1</v>
      </c>
      <c r="AW41" s="312" t="str">
        <f t="shared" si="15"/>
        <v/>
      </c>
      <c r="AX41" s="548">
        <f t="shared" si="16"/>
        <v>1</v>
      </c>
      <c r="BB41" s="312" t="str">
        <f t="shared" si="17"/>
        <v/>
      </c>
    </row>
    <row r="42" spans="5:54">
      <c r="E42" s="548">
        <f t="shared" si="0"/>
        <v>43556</v>
      </c>
      <c r="F42" s="2">
        <v>43571</v>
      </c>
      <c r="G42" t="s">
        <v>1302</v>
      </c>
      <c r="H42" s="312">
        <v>100000</v>
      </c>
      <c r="I42" s="312">
        <f t="shared" si="19"/>
        <v>100862.95</v>
      </c>
      <c r="J42" s="548">
        <f t="shared" si="1"/>
        <v>43586</v>
      </c>
      <c r="K42" s="2">
        <v>43598</v>
      </c>
      <c r="L42" t="s">
        <v>970</v>
      </c>
      <c r="M42" s="312">
        <v>-8000</v>
      </c>
      <c r="N42" s="312">
        <f t="shared" si="20"/>
        <v>15352</v>
      </c>
      <c r="S42" s="312" t="str">
        <f t="shared" si="3"/>
        <v/>
      </c>
      <c r="T42" s="548">
        <f t="shared" si="4"/>
        <v>1</v>
      </c>
      <c r="X42" s="312" t="str">
        <f t="shared" si="5"/>
        <v/>
      </c>
      <c r="Y42" s="548">
        <f t="shared" si="6"/>
        <v>1</v>
      </c>
      <c r="AC42" s="312" t="str">
        <f t="shared" si="7"/>
        <v/>
      </c>
      <c r="AD42" s="548">
        <f t="shared" si="8"/>
        <v>1</v>
      </c>
      <c r="AH42" s="312" t="str">
        <f t="shared" si="9"/>
        <v/>
      </c>
      <c r="AI42" s="548">
        <f t="shared" si="10"/>
        <v>1</v>
      </c>
      <c r="AM42" s="312" t="str">
        <f t="shared" si="11"/>
        <v/>
      </c>
      <c r="AN42" s="548">
        <f t="shared" si="12"/>
        <v>1</v>
      </c>
      <c r="AR42" s="312" t="str">
        <f t="shared" si="13"/>
        <v/>
      </c>
      <c r="AS42" s="548">
        <f t="shared" si="14"/>
        <v>1</v>
      </c>
      <c r="AW42" s="312" t="str">
        <f t="shared" si="15"/>
        <v/>
      </c>
      <c r="AX42" s="548">
        <f t="shared" si="16"/>
        <v>1</v>
      </c>
      <c r="BB42" s="312" t="str">
        <f t="shared" si="17"/>
        <v/>
      </c>
    </row>
    <row r="43" spans="5:54">
      <c r="E43" s="548">
        <f t="shared" si="0"/>
        <v>43556</v>
      </c>
      <c r="F43" s="2">
        <v>43571</v>
      </c>
      <c r="G43" t="s">
        <v>917</v>
      </c>
      <c r="H43" s="312">
        <v>-5000</v>
      </c>
      <c r="I43" s="312">
        <f t="shared" si="19"/>
        <v>95862.95</v>
      </c>
      <c r="J43" s="548">
        <f t="shared" si="1"/>
        <v>43617</v>
      </c>
      <c r="K43" s="2">
        <v>43623</v>
      </c>
      <c r="L43" t="s">
        <v>986</v>
      </c>
      <c r="M43" s="312">
        <v>-8000</v>
      </c>
      <c r="N43" s="312">
        <f t="shared" si="20"/>
        <v>7352</v>
      </c>
      <c r="S43" s="312" t="str">
        <f t="shared" si="3"/>
        <v/>
      </c>
      <c r="T43" s="548">
        <f t="shared" si="4"/>
        <v>1</v>
      </c>
      <c r="X43" s="312" t="str">
        <f t="shared" si="5"/>
        <v/>
      </c>
      <c r="Y43" s="548">
        <f t="shared" si="6"/>
        <v>1</v>
      </c>
      <c r="AC43" s="312" t="str">
        <f t="shared" si="7"/>
        <v/>
      </c>
      <c r="AD43" s="548">
        <f t="shared" si="8"/>
        <v>1</v>
      </c>
      <c r="AH43" s="312" t="str">
        <f t="shared" si="9"/>
        <v/>
      </c>
      <c r="AI43" s="548">
        <f t="shared" si="10"/>
        <v>1</v>
      </c>
      <c r="AM43" s="312" t="str">
        <f t="shared" si="11"/>
        <v/>
      </c>
      <c r="AN43" s="548">
        <f t="shared" si="12"/>
        <v>1</v>
      </c>
      <c r="AR43" s="312" t="str">
        <f t="shared" si="13"/>
        <v/>
      </c>
      <c r="AS43" s="548">
        <f t="shared" si="14"/>
        <v>1</v>
      </c>
      <c r="AW43" s="312" t="str">
        <f t="shared" si="15"/>
        <v/>
      </c>
      <c r="AX43" s="548">
        <f t="shared" si="16"/>
        <v>1</v>
      </c>
      <c r="BB43" s="312" t="str">
        <f t="shared" si="17"/>
        <v/>
      </c>
    </row>
    <row r="44" spans="5:54">
      <c r="E44" s="548">
        <f t="shared" si="0"/>
        <v>43586</v>
      </c>
      <c r="F44" s="2">
        <v>43598</v>
      </c>
      <c r="G44" t="s">
        <v>970</v>
      </c>
      <c r="H44" s="312">
        <v>-8000</v>
      </c>
      <c r="I44" s="312">
        <f t="shared" si="19"/>
        <v>87862.95</v>
      </c>
      <c r="J44" s="548">
        <f t="shared" si="1"/>
        <v>43678</v>
      </c>
      <c r="K44" s="2">
        <v>43683</v>
      </c>
      <c r="L44" t="s">
        <v>1303</v>
      </c>
      <c r="M44" s="312">
        <v>100000</v>
      </c>
      <c r="N44" s="312">
        <f t="shared" si="20"/>
        <v>107352</v>
      </c>
      <c r="S44" s="312" t="str">
        <f t="shared" si="3"/>
        <v/>
      </c>
      <c r="T44" s="548">
        <f t="shared" si="4"/>
        <v>1</v>
      </c>
      <c r="X44" s="312" t="str">
        <f t="shared" si="5"/>
        <v/>
      </c>
      <c r="Y44" s="548">
        <f t="shared" si="6"/>
        <v>1</v>
      </c>
      <c r="AC44" s="312" t="str">
        <f t="shared" si="7"/>
        <v/>
      </c>
      <c r="AD44" s="548">
        <f t="shared" si="8"/>
        <v>1</v>
      </c>
      <c r="AH44" s="312" t="str">
        <f t="shared" si="9"/>
        <v/>
      </c>
      <c r="AI44" s="548">
        <f t="shared" si="10"/>
        <v>1</v>
      </c>
      <c r="AM44" s="312" t="str">
        <f t="shared" si="11"/>
        <v/>
      </c>
      <c r="AN44" s="548">
        <f t="shared" si="12"/>
        <v>1</v>
      </c>
      <c r="AR44" s="312" t="str">
        <f t="shared" si="13"/>
        <v/>
      </c>
      <c r="AS44" s="548">
        <f t="shared" si="14"/>
        <v>1</v>
      </c>
      <c r="AW44" s="312" t="str">
        <f t="shared" si="15"/>
        <v/>
      </c>
      <c r="AX44" s="548">
        <f t="shared" si="16"/>
        <v>1</v>
      </c>
      <c r="BB44" s="312" t="str">
        <f t="shared" si="17"/>
        <v/>
      </c>
    </row>
    <row r="45" spans="5:54">
      <c r="E45" s="548">
        <f t="shared" si="0"/>
        <v>43617</v>
      </c>
      <c r="F45" s="2">
        <v>43623</v>
      </c>
      <c r="G45" t="s">
        <v>986</v>
      </c>
      <c r="H45" s="312">
        <v>-8000</v>
      </c>
      <c r="I45" s="312">
        <f t="shared" si="19"/>
        <v>79862.95</v>
      </c>
      <c r="J45" s="548">
        <f t="shared" si="1"/>
        <v>43678</v>
      </c>
      <c r="K45" s="2">
        <v>43683</v>
      </c>
      <c r="L45" t="s">
        <v>1025</v>
      </c>
      <c r="M45" s="312">
        <v>-20000</v>
      </c>
      <c r="N45" s="312">
        <f t="shared" si="20"/>
        <v>87352</v>
      </c>
      <c r="S45" s="312" t="str">
        <f t="shared" si="3"/>
        <v/>
      </c>
      <c r="T45" s="548">
        <f t="shared" si="4"/>
        <v>1</v>
      </c>
      <c r="X45" s="312" t="str">
        <f t="shared" si="5"/>
        <v/>
      </c>
      <c r="Y45" s="548">
        <f t="shared" si="6"/>
        <v>1</v>
      </c>
      <c r="AC45" s="312" t="str">
        <f t="shared" si="7"/>
        <v/>
      </c>
      <c r="AD45" s="548">
        <f t="shared" si="8"/>
        <v>1</v>
      </c>
      <c r="AH45" s="312" t="str">
        <f t="shared" si="9"/>
        <v/>
      </c>
      <c r="AI45" s="548">
        <f t="shared" si="10"/>
        <v>1</v>
      </c>
      <c r="AM45" s="312" t="str">
        <f t="shared" si="11"/>
        <v/>
      </c>
      <c r="AN45" s="548">
        <f t="shared" si="12"/>
        <v>1</v>
      </c>
      <c r="AR45" s="312" t="str">
        <f t="shared" si="13"/>
        <v/>
      </c>
      <c r="AS45" s="548">
        <f t="shared" si="14"/>
        <v>1</v>
      </c>
      <c r="AW45" s="312" t="str">
        <f t="shared" si="15"/>
        <v/>
      </c>
      <c r="AX45" s="548">
        <f t="shared" si="16"/>
        <v>1</v>
      </c>
      <c r="BB45" s="312" t="str">
        <f t="shared" si="17"/>
        <v/>
      </c>
    </row>
    <row r="46" spans="5:54">
      <c r="E46" s="548">
        <f t="shared" si="0"/>
        <v>43647</v>
      </c>
      <c r="F46" s="2">
        <v>43656</v>
      </c>
      <c r="G46" t="s">
        <v>1007</v>
      </c>
      <c r="H46" s="312">
        <v>-10000</v>
      </c>
      <c r="I46" s="312">
        <f t="shared" si="19"/>
        <v>69862.95</v>
      </c>
      <c r="J46" s="548">
        <f t="shared" si="1"/>
        <v>43709</v>
      </c>
      <c r="K46" s="2">
        <v>43711</v>
      </c>
      <c r="L46" t="s">
        <v>1035</v>
      </c>
      <c r="M46" s="312">
        <v>-23400</v>
      </c>
      <c r="N46" s="312">
        <f t="shared" si="20"/>
        <v>63952</v>
      </c>
      <c r="S46" s="312" t="str">
        <f t="shared" si="3"/>
        <v/>
      </c>
      <c r="T46" s="548">
        <f t="shared" si="4"/>
        <v>1</v>
      </c>
      <c r="X46" s="312" t="str">
        <f t="shared" si="5"/>
        <v/>
      </c>
      <c r="Y46" s="548">
        <f t="shared" si="6"/>
        <v>1</v>
      </c>
      <c r="AC46" s="312" t="str">
        <f t="shared" si="7"/>
        <v/>
      </c>
      <c r="AD46" s="548">
        <f t="shared" si="8"/>
        <v>1</v>
      </c>
      <c r="AH46" s="312" t="str">
        <f t="shared" si="9"/>
        <v/>
      </c>
      <c r="AI46" s="548">
        <f t="shared" si="10"/>
        <v>1</v>
      </c>
      <c r="AM46" s="312" t="str">
        <f t="shared" si="11"/>
        <v/>
      </c>
      <c r="AN46" s="548">
        <f t="shared" si="12"/>
        <v>1</v>
      </c>
      <c r="AR46" s="312" t="str">
        <f t="shared" si="13"/>
        <v/>
      </c>
      <c r="AS46" s="548">
        <f t="shared" si="14"/>
        <v>1</v>
      </c>
      <c r="AW46" s="312" t="str">
        <f t="shared" si="15"/>
        <v/>
      </c>
      <c r="AX46" s="548">
        <f t="shared" si="16"/>
        <v>1</v>
      </c>
      <c r="BB46" s="312" t="str">
        <f t="shared" si="17"/>
        <v/>
      </c>
    </row>
    <row r="47" spans="5:54">
      <c r="E47" s="548">
        <f t="shared" si="0"/>
        <v>43678</v>
      </c>
      <c r="F47" s="2">
        <v>43682</v>
      </c>
      <c r="G47" t="s">
        <v>1026</v>
      </c>
      <c r="H47" s="312">
        <v>-10000</v>
      </c>
      <c r="I47" s="312">
        <f t="shared" si="19"/>
        <v>59862.95</v>
      </c>
      <c r="J47" s="548">
        <f t="shared" si="1"/>
        <v>43739</v>
      </c>
      <c r="K47" s="2">
        <v>43740</v>
      </c>
      <c r="L47" t="s">
        <v>1060</v>
      </c>
      <c r="M47" s="312">
        <v>-21100</v>
      </c>
      <c r="N47" s="312">
        <f t="shared" si="20"/>
        <v>42852</v>
      </c>
      <c r="S47" s="312" t="str">
        <f t="shared" si="3"/>
        <v/>
      </c>
      <c r="T47" s="548">
        <f t="shared" si="4"/>
        <v>1</v>
      </c>
      <c r="X47" s="312" t="str">
        <f t="shared" si="5"/>
        <v/>
      </c>
      <c r="Y47" s="548">
        <f t="shared" si="6"/>
        <v>1</v>
      </c>
      <c r="AC47" s="312" t="str">
        <f t="shared" si="7"/>
        <v/>
      </c>
      <c r="AD47" s="548">
        <f t="shared" si="8"/>
        <v>1</v>
      </c>
      <c r="AH47" s="312" t="str">
        <f t="shared" si="9"/>
        <v/>
      </c>
      <c r="AI47" s="548">
        <f t="shared" si="10"/>
        <v>1</v>
      </c>
      <c r="AM47" s="312" t="str">
        <f t="shared" si="11"/>
        <v/>
      </c>
      <c r="AN47" s="548">
        <f t="shared" si="12"/>
        <v>1</v>
      </c>
      <c r="AR47" s="312" t="str">
        <f t="shared" si="13"/>
        <v/>
      </c>
      <c r="AS47" s="548">
        <f t="shared" si="14"/>
        <v>1</v>
      </c>
      <c r="AW47" s="312" t="str">
        <f t="shared" si="15"/>
        <v/>
      </c>
      <c r="AX47" s="548">
        <f t="shared" si="16"/>
        <v>1</v>
      </c>
      <c r="BB47" s="312" t="str">
        <f t="shared" si="17"/>
        <v/>
      </c>
    </row>
    <row r="48" spans="5:54">
      <c r="E48" s="548">
        <f t="shared" si="0"/>
        <v>43709</v>
      </c>
      <c r="F48" s="2">
        <v>43711</v>
      </c>
      <c r="G48" t="s">
        <v>1035</v>
      </c>
      <c r="H48" s="312">
        <v>-23400</v>
      </c>
      <c r="I48" s="312">
        <f t="shared" si="19"/>
        <v>36462.949999999997</v>
      </c>
      <c r="J48" s="548">
        <f t="shared" si="1"/>
        <v>43739</v>
      </c>
      <c r="K48" s="2">
        <v>43758</v>
      </c>
      <c r="L48" t="s">
        <v>1065</v>
      </c>
      <c r="M48" s="312">
        <v>-25900</v>
      </c>
      <c r="N48" s="312">
        <f t="shared" si="20"/>
        <v>16952</v>
      </c>
      <c r="S48" s="312" t="str">
        <f t="shared" si="3"/>
        <v/>
      </c>
      <c r="T48" s="548">
        <f t="shared" si="4"/>
        <v>1</v>
      </c>
      <c r="X48" s="312" t="str">
        <f t="shared" si="5"/>
        <v/>
      </c>
      <c r="Y48" s="548">
        <f t="shared" si="6"/>
        <v>1</v>
      </c>
      <c r="AC48" s="312" t="str">
        <f t="shared" si="7"/>
        <v/>
      </c>
      <c r="AD48" s="548">
        <f t="shared" si="8"/>
        <v>1</v>
      </c>
      <c r="AH48" s="312" t="str">
        <f t="shared" si="9"/>
        <v/>
      </c>
      <c r="AI48" s="548">
        <f t="shared" si="10"/>
        <v>1</v>
      </c>
      <c r="AM48" s="312" t="str">
        <f t="shared" si="11"/>
        <v/>
      </c>
      <c r="AN48" s="548">
        <f t="shared" si="12"/>
        <v>1</v>
      </c>
      <c r="AR48" s="312" t="str">
        <f t="shared" si="13"/>
        <v/>
      </c>
      <c r="AS48" s="548">
        <f t="shared" si="14"/>
        <v>1</v>
      </c>
      <c r="AW48" s="312" t="str">
        <f t="shared" si="15"/>
        <v/>
      </c>
      <c r="AX48" s="548">
        <f t="shared" si="16"/>
        <v>1</v>
      </c>
      <c r="BB48" s="312" t="str">
        <f t="shared" si="17"/>
        <v/>
      </c>
    </row>
    <row r="49" spans="5:54">
      <c r="E49" s="548">
        <f t="shared" si="0"/>
        <v>43739</v>
      </c>
      <c r="F49" s="2">
        <v>43740</v>
      </c>
      <c r="G49" t="s">
        <v>1060</v>
      </c>
      <c r="H49" s="312">
        <v>-21100</v>
      </c>
      <c r="I49" s="312">
        <f t="shared" si="19"/>
        <v>15362.95</v>
      </c>
      <c r="J49" s="548">
        <f t="shared" si="1"/>
        <v>43770</v>
      </c>
      <c r="K49" s="2">
        <v>43787</v>
      </c>
      <c r="L49" t="s">
        <v>1304</v>
      </c>
      <c r="M49" s="312">
        <v>100000</v>
      </c>
      <c r="N49" s="312">
        <f t="shared" si="20"/>
        <v>116952</v>
      </c>
      <c r="S49" s="312" t="str">
        <f t="shared" ref="S49:S51" si="21">IF(ISBLANK(R49),"",ROUND(S3+R49,2))</f>
        <v/>
      </c>
      <c r="T49" s="548">
        <f t="shared" si="4"/>
        <v>1</v>
      </c>
      <c r="X49" s="312" t="str">
        <f t="shared" ref="X49:X51" si="22">IF(ISBLANK(W49),"",ROUND(X3+W49,2))</f>
        <v/>
      </c>
      <c r="Y49" s="548">
        <f t="shared" si="6"/>
        <v>1</v>
      </c>
      <c r="AC49" s="312" t="str">
        <f t="shared" ref="AC49:AC51" si="23">IF(ISBLANK(AB49),"",ROUND(AC3+AB49,2))</f>
        <v/>
      </c>
      <c r="AD49" s="548">
        <f t="shared" si="8"/>
        <v>1</v>
      </c>
      <c r="AH49" s="312" t="str">
        <f t="shared" ref="AH49:AH51" si="24">IF(ISBLANK(AG49),"",ROUND(AH3+AG49,2))</f>
        <v/>
      </c>
      <c r="AI49" s="548">
        <f t="shared" si="10"/>
        <v>1</v>
      </c>
      <c r="AM49" s="312" t="str">
        <f t="shared" ref="AM49:AM51" si="25">IF(ISBLANK(AL49),"",ROUND(AM3+AL49,2))</f>
        <v/>
      </c>
      <c r="AN49" s="548">
        <f t="shared" si="12"/>
        <v>1</v>
      </c>
      <c r="AR49" s="312" t="str">
        <f t="shared" ref="AR49:AR51" si="26">IF(ISBLANK(AQ49),"",ROUND(AR3+AQ49,2))</f>
        <v/>
      </c>
      <c r="AS49" s="548">
        <f t="shared" si="14"/>
        <v>1</v>
      </c>
      <c r="AW49" s="312" t="str">
        <f t="shared" ref="AW49:AW51" si="27">IF(ISBLANK(AV49),"",ROUND(AW3+AV49,2))</f>
        <v/>
      </c>
      <c r="AX49" s="548">
        <f t="shared" si="16"/>
        <v>1</v>
      </c>
      <c r="BB49" s="312" t="str">
        <f t="shared" ref="BB49:BB51" si="28">IF(ISBLANK(BA49),"",ROUND(BB3+BA49,2))</f>
        <v/>
      </c>
    </row>
    <row r="50" spans="5:54">
      <c r="E50" s="548">
        <f t="shared" si="0"/>
        <v>43770</v>
      </c>
      <c r="F50" s="2">
        <v>43782</v>
      </c>
      <c r="G50" t="s">
        <v>1305</v>
      </c>
      <c r="H50" s="312">
        <v>500000</v>
      </c>
      <c r="I50" s="312">
        <f t="shared" si="19"/>
        <v>515362.95</v>
      </c>
      <c r="J50" s="548">
        <f t="shared" si="1"/>
        <v>43770</v>
      </c>
      <c r="K50" s="2">
        <v>43787</v>
      </c>
      <c r="L50" t="s">
        <v>1084</v>
      </c>
      <c r="M50" s="312">
        <v>-73500</v>
      </c>
      <c r="N50" s="312">
        <f t="shared" si="20"/>
        <v>43452</v>
      </c>
      <c r="S50" s="312" t="str">
        <f t="shared" si="21"/>
        <v/>
      </c>
      <c r="T50" s="548">
        <f t="shared" si="4"/>
        <v>1</v>
      </c>
      <c r="X50" s="312" t="str">
        <f t="shared" si="22"/>
        <v/>
      </c>
      <c r="Y50" s="548">
        <f t="shared" si="6"/>
        <v>1</v>
      </c>
      <c r="AC50" s="312" t="str">
        <f t="shared" si="23"/>
        <v/>
      </c>
      <c r="AD50" s="548">
        <f t="shared" si="8"/>
        <v>1</v>
      </c>
      <c r="AH50" s="312" t="str">
        <f t="shared" si="24"/>
        <v/>
      </c>
      <c r="AI50" s="548">
        <f t="shared" si="10"/>
        <v>1</v>
      </c>
      <c r="AM50" s="312" t="str">
        <f t="shared" si="25"/>
        <v/>
      </c>
      <c r="AN50" s="548">
        <f t="shared" si="12"/>
        <v>1</v>
      </c>
      <c r="AR50" s="312" t="str">
        <f t="shared" si="26"/>
        <v/>
      </c>
      <c r="AS50" s="548">
        <f t="shared" si="14"/>
        <v>1</v>
      </c>
      <c r="AW50" s="312" t="str">
        <f t="shared" si="27"/>
        <v/>
      </c>
      <c r="AX50" s="548">
        <f t="shared" si="16"/>
        <v>1</v>
      </c>
      <c r="BB50" s="312" t="str">
        <f t="shared" si="28"/>
        <v/>
      </c>
    </row>
    <row r="51" spans="5:54">
      <c r="E51" s="548">
        <f t="shared" si="0"/>
        <v>43770</v>
      </c>
      <c r="F51" s="2">
        <v>43782</v>
      </c>
      <c r="G51" t="s">
        <v>1078</v>
      </c>
      <c r="H51" s="312">
        <v>-107900</v>
      </c>
      <c r="I51" s="312">
        <f t="shared" si="19"/>
        <v>407462.95</v>
      </c>
      <c r="J51" s="548">
        <f t="shared" si="1"/>
        <v>43800</v>
      </c>
      <c r="K51" s="2">
        <v>43810</v>
      </c>
      <c r="L51" t="s">
        <v>1306</v>
      </c>
      <c r="M51" s="312">
        <v>200000</v>
      </c>
      <c r="N51" s="312">
        <f t="shared" si="20"/>
        <v>243452</v>
      </c>
      <c r="S51" s="312" t="str">
        <f t="shared" si="21"/>
        <v/>
      </c>
      <c r="T51" s="548">
        <f t="shared" si="4"/>
        <v>1</v>
      </c>
      <c r="X51" s="312" t="str">
        <f t="shared" si="22"/>
        <v/>
      </c>
      <c r="Y51" s="548">
        <f t="shared" si="6"/>
        <v>1</v>
      </c>
      <c r="AC51" s="312" t="str">
        <f t="shared" si="23"/>
        <v/>
      </c>
      <c r="AD51" s="548">
        <f t="shared" si="8"/>
        <v>1</v>
      </c>
      <c r="AH51" s="312" t="str">
        <f t="shared" si="24"/>
        <v/>
      </c>
      <c r="AI51" s="548">
        <f t="shared" si="10"/>
        <v>1</v>
      </c>
      <c r="AM51" s="312" t="str">
        <f t="shared" si="25"/>
        <v/>
      </c>
      <c r="AN51" s="548">
        <f t="shared" si="12"/>
        <v>1</v>
      </c>
      <c r="AR51" s="312" t="str">
        <f t="shared" si="26"/>
        <v/>
      </c>
      <c r="AS51" s="548">
        <f t="shared" si="14"/>
        <v>1</v>
      </c>
      <c r="AW51" s="312" t="str">
        <f t="shared" si="27"/>
        <v/>
      </c>
      <c r="AX51" s="548">
        <f t="shared" si="16"/>
        <v>1</v>
      </c>
      <c r="BB51" s="312" t="str">
        <f t="shared" si="28"/>
        <v/>
      </c>
    </row>
    <row r="52" spans="5:54">
      <c r="E52" s="548">
        <f t="shared" si="0"/>
        <v>43770</v>
      </c>
      <c r="F52" s="2">
        <v>43799</v>
      </c>
      <c r="G52" t="s">
        <v>1100</v>
      </c>
      <c r="H52" s="312">
        <v>-81750</v>
      </c>
      <c r="I52" s="312">
        <f t="shared" si="19"/>
        <v>325712.95</v>
      </c>
      <c r="J52" s="548">
        <f t="shared" si="1"/>
        <v>43800</v>
      </c>
      <c r="K52" s="2">
        <v>43810</v>
      </c>
      <c r="L52" t="s">
        <v>1100</v>
      </c>
      <c r="M52" s="312">
        <v>-105250</v>
      </c>
      <c r="N52" s="312">
        <f t="shared" si="20"/>
        <v>138202</v>
      </c>
      <c r="S52" s="312" t="str">
        <f t="shared" ref="S52:S68" si="29">IF(ISBLANK(R52),"",ROUND(S31+R52,2))</f>
        <v/>
      </c>
      <c r="T52" s="548">
        <f t="shared" si="4"/>
        <v>1</v>
      </c>
      <c r="X52" s="312" t="str">
        <f t="shared" ref="X52:X68" si="30">IF(ISBLANK(W52),"",ROUND(X31+W52,2))</f>
        <v/>
      </c>
      <c r="Y52" s="548">
        <f t="shared" si="6"/>
        <v>1</v>
      </c>
      <c r="AC52" s="312" t="str">
        <f t="shared" ref="AC52:AC68" si="31">IF(ISBLANK(AB52),"",ROUND(AC31+AB52,2))</f>
        <v/>
      </c>
      <c r="AD52" s="548">
        <f t="shared" si="8"/>
        <v>1</v>
      </c>
      <c r="AH52" s="312" t="str">
        <f t="shared" ref="AH52:AH68" si="32">IF(ISBLANK(AG52),"",ROUND(AH31+AG52,2))</f>
        <v/>
      </c>
      <c r="AI52" s="548">
        <f t="shared" si="10"/>
        <v>1</v>
      </c>
      <c r="AM52" s="312" t="str">
        <f t="shared" ref="AM52:AM68" si="33">IF(ISBLANK(AL52),"",ROUND(AM31+AL52,2))</f>
        <v/>
      </c>
      <c r="AN52" s="548">
        <f t="shared" si="12"/>
        <v>1</v>
      </c>
      <c r="AR52" s="312" t="str">
        <f t="shared" ref="AR52:AR68" si="34">IF(ISBLANK(AQ52),"",ROUND(AR31+AQ52,2))</f>
        <v/>
      </c>
      <c r="AS52" s="548">
        <f t="shared" si="14"/>
        <v>1</v>
      </c>
      <c r="AW52" s="312" t="str">
        <f t="shared" ref="AW52:AW68" si="35">IF(ISBLANK(AV52),"",ROUND(AW31+AV52,2))</f>
        <v/>
      </c>
      <c r="AX52" s="548">
        <f t="shared" si="16"/>
        <v>1</v>
      </c>
      <c r="BB52" s="312" t="str">
        <f t="shared" ref="BB52:BB68" si="36">IF(ISBLANK(BA52),"",ROUND(BB31+BA52,2))</f>
        <v/>
      </c>
    </row>
    <row r="53" spans="5:54">
      <c r="E53" s="548">
        <f t="shared" si="0"/>
        <v>43831</v>
      </c>
      <c r="F53" s="2">
        <v>43834</v>
      </c>
      <c r="G53" t="s">
        <v>1121</v>
      </c>
      <c r="H53" s="312">
        <v>-136250</v>
      </c>
      <c r="I53" s="312">
        <f t="shared" si="19"/>
        <v>189462.95</v>
      </c>
      <c r="J53" s="548">
        <f t="shared" si="1"/>
        <v>43831</v>
      </c>
      <c r="K53" s="2">
        <v>43834</v>
      </c>
      <c r="L53" t="s">
        <v>1121</v>
      </c>
      <c r="M53" s="312">
        <v>-136250</v>
      </c>
      <c r="N53" s="312">
        <f t="shared" si="20"/>
        <v>1952</v>
      </c>
      <c r="S53" s="312" t="str">
        <f t="shared" si="29"/>
        <v/>
      </c>
      <c r="T53" s="548">
        <f t="shared" si="4"/>
        <v>1</v>
      </c>
      <c r="X53" s="312" t="str">
        <f t="shared" si="30"/>
        <v/>
      </c>
      <c r="Y53" s="548">
        <f t="shared" si="6"/>
        <v>1</v>
      </c>
      <c r="AC53" s="312" t="str">
        <f t="shared" si="31"/>
        <v/>
      </c>
      <c r="AD53" s="548">
        <f t="shared" si="8"/>
        <v>1</v>
      </c>
      <c r="AH53" s="312" t="str">
        <f t="shared" si="32"/>
        <v/>
      </c>
      <c r="AI53" s="548">
        <f t="shared" si="10"/>
        <v>1</v>
      </c>
      <c r="AM53" s="312" t="str">
        <f t="shared" si="33"/>
        <v/>
      </c>
      <c r="AN53" s="548">
        <f t="shared" si="12"/>
        <v>1</v>
      </c>
      <c r="AR53" s="312" t="str">
        <f t="shared" si="34"/>
        <v/>
      </c>
      <c r="AS53" s="548">
        <f t="shared" si="14"/>
        <v>1</v>
      </c>
      <c r="AW53" s="312" t="str">
        <f t="shared" si="35"/>
        <v/>
      </c>
      <c r="AX53" s="548">
        <f t="shared" si="16"/>
        <v>1</v>
      </c>
      <c r="BB53" s="312" t="str">
        <f t="shared" si="36"/>
        <v/>
      </c>
    </row>
    <row r="54" spans="5:54">
      <c r="E54" s="548">
        <f t="shared" si="0"/>
        <v>43862</v>
      </c>
      <c r="F54" s="2">
        <v>43864</v>
      </c>
      <c r="G54" t="s">
        <v>1142</v>
      </c>
      <c r="H54" s="312">
        <v>-136250</v>
      </c>
      <c r="I54" s="312">
        <f t="shared" si="19"/>
        <v>53212.95</v>
      </c>
      <c r="J54" s="548">
        <f t="shared" si="1"/>
        <v>43831</v>
      </c>
      <c r="K54" s="2">
        <v>43839</v>
      </c>
      <c r="L54" t="s">
        <v>1307</v>
      </c>
      <c r="M54" s="312">
        <v>140000</v>
      </c>
      <c r="N54" s="312">
        <f t="shared" si="20"/>
        <v>141952</v>
      </c>
      <c r="S54" s="312" t="str">
        <f t="shared" si="29"/>
        <v/>
      </c>
      <c r="T54" s="548">
        <f t="shared" si="4"/>
        <v>1</v>
      </c>
      <c r="X54" s="312" t="str">
        <f t="shared" si="30"/>
        <v/>
      </c>
      <c r="Y54" s="548">
        <f t="shared" si="6"/>
        <v>1</v>
      </c>
      <c r="AC54" s="312" t="str">
        <f t="shared" si="31"/>
        <v/>
      </c>
      <c r="AD54" s="548">
        <f t="shared" si="8"/>
        <v>1</v>
      </c>
      <c r="AH54" s="312" t="str">
        <f t="shared" si="32"/>
        <v/>
      </c>
      <c r="AI54" s="548">
        <f t="shared" si="10"/>
        <v>1</v>
      </c>
      <c r="AM54" s="312" t="str">
        <f t="shared" si="33"/>
        <v/>
      </c>
      <c r="AN54" s="548">
        <f t="shared" si="12"/>
        <v>1</v>
      </c>
      <c r="AR54" s="312" t="str">
        <f t="shared" si="34"/>
        <v/>
      </c>
      <c r="AS54" s="548">
        <f t="shared" si="14"/>
        <v>1</v>
      </c>
      <c r="AW54" s="312" t="str">
        <f t="shared" si="35"/>
        <v/>
      </c>
      <c r="AX54" s="548">
        <f t="shared" si="16"/>
        <v>1</v>
      </c>
      <c r="BB54" s="312" t="str">
        <f t="shared" si="36"/>
        <v/>
      </c>
    </row>
    <row r="55" spans="5:54">
      <c r="E55" s="548">
        <f t="shared" si="0"/>
        <v>43891</v>
      </c>
      <c r="F55" s="2">
        <v>43900</v>
      </c>
      <c r="G55" t="s">
        <v>1308</v>
      </c>
      <c r="H55" s="312">
        <v>1000000</v>
      </c>
      <c r="I55" s="312">
        <f t="shared" si="19"/>
        <v>1053212.95</v>
      </c>
      <c r="J55" s="548">
        <f t="shared" si="1"/>
        <v>43831</v>
      </c>
      <c r="K55" s="2">
        <v>43839</v>
      </c>
      <c r="L55" t="s">
        <v>1142</v>
      </c>
      <c r="M55" s="312">
        <v>-136250</v>
      </c>
      <c r="N55" s="312">
        <f t="shared" si="20"/>
        <v>5702</v>
      </c>
      <c r="S55" s="312" t="str">
        <f t="shared" si="29"/>
        <v/>
      </c>
      <c r="T55" s="548">
        <f t="shared" si="4"/>
        <v>1</v>
      </c>
      <c r="X55" s="312" t="str">
        <f t="shared" si="30"/>
        <v/>
      </c>
      <c r="Y55" s="548">
        <f t="shared" si="6"/>
        <v>1</v>
      </c>
      <c r="AC55" s="312" t="str">
        <f t="shared" si="31"/>
        <v/>
      </c>
      <c r="AD55" s="548">
        <f t="shared" si="8"/>
        <v>1</v>
      </c>
      <c r="AH55" s="312" t="str">
        <f t="shared" si="32"/>
        <v/>
      </c>
      <c r="AI55" s="548">
        <f t="shared" si="10"/>
        <v>1</v>
      </c>
      <c r="AM55" s="312" t="str">
        <f t="shared" si="33"/>
        <v/>
      </c>
      <c r="AN55" s="548">
        <f t="shared" si="12"/>
        <v>1</v>
      </c>
      <c r="AR55" s="312" t="str">
        <f t="shared" si="34"/>
        <v/>
      </c>
      <c r="AS55" s="548">
        <f t="shared" si="14"/>
        <v>1</v>
      </c>
      <c r="AW55" s="312" t="str">
        <f t="shared" si="35"/>
        <v/>
      </c>
      <c r="AX55" s="548">
        <f t="shared" si="16"/>
        <v>1</v>
      </c>
      <c r="BB55" s="312" t="str">
        <f t="shared" si="36"/>
        <v/>
      </c>
    </row>
    <row r="56" spans="5:54">
      <c r="E56" s="548">
        <f t="shared" si="0"/>
        <v>43891</v>
      </c>
      <c r="F56" s="2">
        <v>43900</v>
      </c>
      <c r="G56" t="s">
        <v>1163</v>
      </c>
      <c r="H56" s="312">
        <v>-185250</v>
      </c>
      <c r="I56" s="312">
        <f t="shared" si="19"/>
        <v>867962.95</v>
      </c>
      <c r="J56" s="548">
        <f t="shared" si="1"/>
        <v>43891</v>
      </c>
      <c r="K56" s="2">
        <v>43896</v>
      </c>
      <c r="L56" t="s">
        <v>1309</v>
      </c>
      <c r="M56" s="312">
        <v>400000</v>
      </c>
      <c r="N56" s="312">
        <f t="shared" si="20"/>
        <v>405702</v>
      </c>
      <c r="S56" s="312" t="str">
        <f t="shared" si="29"/>
        <v/>
      </c>
      <c r="T56" s="548">
        <f t="shared" si="4"/>
        <v>1</v>
      </c>
      <c r="X56" s="312" t="str">
        <f t="shared" si="30"/>
        <v/>
      </c>
      <c r="Y56" s="548">
        <f t="shared" si="6"/>
        <v>1</v>
      </c>
      <c r="AC56" s="312" t="str">
        <f t="shared" si="31"/>
        <v/>
      </c>
      <c r="AD56" s="548">
        <f t="shared" si="8"/>
        <v>1</v>
      </c>
      <c r="AH56" s="312" t="str">
        <f t="shared" si="32"/>
        <v/>
      </c>
      <c r="AI56" s="548">
        <f t="shared" si="10"/>
        <v>1</v>
      </c>
      <c r="AM56" s="312" t="str">
        <f t="shared" si="33"/>
        <v/>
      </c>
      <c r="AN56" s="548">
        <f t="shared" si="12"/>
        <v>1</v>
      </c>
      <c r="AR56" s="312" t="str">
        <f t="shared" si="34"/>
        <v/>
      </c>
      <c r="AS56" s="548">
        <f t="shared" si="14"/>
        <v>1</v>
      </c>
      <c r="AW56" s="312" t="str">
        <f t="shared" si="35"/>
        <v/>
      </c>
      <c r="AX56" s="548">
        <f t="shared" si="16"/>
        <v>1</v>
      </c>
      <c r="BB56" s="312" t="str">
        <f t="shared" si="36"/>
        <v/>
      </c>
    </row>
    <row r="57" spans="5:54">
      <c r="E57" s="548">
        <f t="shared" si="0"/>
        <v>43922</v>
      </c>
      <c r="F57" s="2">
        <v>43922</v>
      </c>
      <c r="G57" t="s">
        <v>1175</v>
      </c>
      <c r="H57" s="312">
        <v>-185250</v>
      </c>
      <c r="I57" s="312">
        <f t="shared" si="19"/>
        <v>682712.95</v>
      </c>
      <c r="J57" s="548">
        <f t="shared" si="1"/>
        <v>43891</v>
      </c>
      <c r="K57" s="2">
        <v>43896</v>
      </c>
      <c r="L57" t="s">
        <v>1163</v>
      </c>
      <c r="M57" s="312">
        <v>-185250</v>
      </c>
      <c r="N57" s="312">
        <f t="shared" si="20"/>
        <v>220452</v>
      </c>
      <c r="S57" s="312" t="str">
        <f t="shared" si="29"/>
        <v/>
      </c>
      <c r="T57" s="548">
        <f t="shared" si="4"/>
        <v>1</v>
      </c>
      <c r="X57" s="312" t="str">
        <f t="shared" si="30"/>
        <v/>
      </c>
      <c r="Y57" s="548">
        <f t="shared" si="6"/>
        <v>1</v>
      </c>
      <c r="AC57" s="312" t="str">
        <f t="shared" si="31"/>
        <v/>
      </c>
      <c r="AD57" s="548">
        <f t="shared" si="8"/>
        <v>1</v>
      </c>
      <c r="AH57" s="312" t="str">
        <f t="shared" si="32"/>
        <v/>
      </c>
      <c r="AI57" s="548">
        <f t="shared" si="10"/>
        <v>1</v>
      </c>
      <c r="AM57" s="312" t="str">
        <f t="shared" si="33"/>
        <v/>
      </c>
      <c r="AN57" s="548">
        <f t="shared" si="12"/>
        <v>1</v>
      </c>
      <c r="AR57" s="312" t="str">
        <f t="shared" si="34"/>
        <v/>
      </c>
      <c r="AS57" s="548">
        <f t="shared" si="14"/>
        <v>1</v>
      </c>
      <c r="AW57" s="312" t="str">
        <f t="shared" si="35"/>
        <v/>
      </c>
      <c r="AX57" s="548">
        <f t="shared" si="16"/>
        <v>1</v>
      </c>
      <c r="BB57" s="312" t="str">
        <f t="shared" si="36"/>
        <v/>
      </c>
    </row>
    <row r="58" spans="5:54">
      <c r="E58" s="548">
        <f t="shared" si="0"/>
        <v>43952</v>
      </c>
      <c r="F58" s="2">
        <v>43952</v>
      </c>
      <c r="G58" t="s">
        <v>1210</v>
      </c>
      <c r="H58" s="312">
        <v>-250000</v>
      </c>
      <c r="I58" s="312">
        <f t="shared" si="19"/>
        <v>432712.95</v>
      </c>
      <c r="J58" s="548">
        <f t="shared" si="1"/>
        <v>43922</v>
      </c>
      <c r="K58" s="2">
        <v>43922</v>
      </c>
      <c r="L58" t="s">
        <v>1175</v>
      </c>
      <c r="M58" s="312">
        <v>-185250</v>
      </c>
      <c r="N58" s="312">
        <f t="shared" si="20"/>
        <v>35202</v>
      </c>
      <c r="S58" s="312" t="str">
        <f t="shared" si="29"/>
        <v/>
      </c>
      <c r="T58" s="548">
        <f t="shared" si="4"/>
        <v>1</v>
      </c>
      <c r="X58" s="312" t="str">
        <f t="shared" si="30"/>
        <v/>
      </c>
      <c r="Y58" s="548">
        <f t="shared" si="6"/>
        <v>1</v>
      </c>
      <c r="AC58" s="312" t="str">
        <f t="shared" si="31"/>
        <v/>
      </c>
      <c r="AD58" s="548">
        <f t="shared" si="8"/>
        <v>1</v>
      </c>
      <c r="AH58" s="312" t="str">
        <f t="shared" si="32"/>
        <v/>
      </c>
      <c r="AI58" s="548">
        <f t="shared" si="10"/>
        <v>1</v>
      </c>
      <c r="AM58" s="312" t="str">
        <f t="shared" si="33"/>
        <v/>
      </c>
      <c r="AN58" s="548">
        <f t="shared" si="12"/>
        <v>1</v>
      </c>
      <c r="AR58" s="312" t="str">
        <f t="shared" si="34"/>
        <v/>
      </c>
      <c r="AS58" s="548">
        <f t="shared" si="14"/>
        <v>1</v>
      </c>
      <c r="AW58" s="312" t="str">
        <f t="shared" si="35"/>
        <v/>
      </c>
      <c r="AX58" s="548">
        <f t="shared" si="16"/>
        <v>1</v>
      </c>
      <c r="BB58" s="312" t="str">
        <f t="shared" si="36"/>
        <v/>
      </c>
    </row>
    <row r="59" spans="5:54">
      <c r="E59" s="548">
        <f t="shared" si="0"/>
        <v>43952</v>
      </c>
      <c r="F59" s="2">
        <v>43961</v>
      </c>
      <c r="G59" t="s">
        <v>1216</v>
      </c>
      <c r="H59" s="312">
        <v>-50000</v>
      </c>
      <c r="I59" s="312">
        <f t="shared" si="19"/>
        <v>382712.95</v>
      </c>
      <c r="J59" s="548">
        <f t="shared" si="1"/>
        <v>43952</v>
      </c>
      <c r="K59" s="2">
        <v>43970</v>
      </c>
      <c r="L59" t="s">
        <v>1310</v>
      </c>
      <c r="M59" s="312">
        <v>500000</v>
      </c>
      <c r="N59" s="312">
        <f t="shared" si="20"/>
        <v>535202</v>
      </c>
      <c r="S59" s="312" t="str">
        <f t="shared" si="29"/>
        <v/>
      </c>
      <c r="T59" s="548">
        <f t="shared" si="4"/>
        <v>1</v>
      </c>
      <c r="X59" s="312" t="str">
        <f t="shared" si="30"/>
        <v/>
      </c>
      <c r="Y59" s="548">
        <f t="shared" si="6"/>
        <v>1</v>
      </c>
      <c r="AC59" s="312" t="str">
        <f t="shared" si="31"/>
        <v/>
      </c>
      <c r="AD59" s="548">
        <f t="shared" si="8"/>
        <v>1</v>
      </c>
      <c r="AH59" s="312" t="str">
        <f t="shared" si="32"/>
        <v/>
      </c>
      <c r="AI59" s="548">
        <f t="shared" si="10"/>
        <v>1</v>
      </c>
      <c r="AM59" s="312" t="str">
        <f t="shared" si="33"/>
        <v/>
      </c>
      <c r="AN59" s="548">
        <f t="shared" si="12"/>
        <v>1</v>
      </c>
      <c r="AR59" s="312" t="str">
        <f t="shared" si="34"/>
        <v/>
      </c>
      <c r="AS59" s="548">
        <f t="shared" si="14"/>
        <v>1</v>
      </c>
      <c r="AW59" s="312" t="str">
        <f t="shared" si="35"/>
        <v/>
      </c>
      <c r="AX59" s="548">
        <f t="shared" si="16"/>
        <v>1</v>
      </c>
      <c r="BB59" s="312" t="str">
        <f t="shared" si="36"/>
        <v/>
      </c>
    </row>
    <row r="60" spans="5:54">
      <c r="E60" s="548">
        <f t="shared" si="0"/>
        <v>1</v>
      </c>
      <c r="I60" s="312" t="str">
        <f t="shared" si="19"/>
        <v/>
      </c>
      <c r="J60" s="548">
        <f t="shared" si="1"/>
        <v>43952</v>
      </c>
      <c r="K60" s="2">
        <v>43970</v>
      </c>
      <c r="L60" s="6" t="s">
        <v>1210</v>
      </c>
      <c r="M60" s="312">
        <v>-250000</v>
      </c>
      <c r="N60" s="312">
        <f t="shared" si="20"/>
        <v>285202</v>
      </c>
      <c r="S60" s="312" t="str">
        <f t="shared" si="29"/>
        <v/>
      </c>
      <c r="T60" s="548">
        <f t="shared" si="4"/>
        <v>1</v>
      </c>
      <c r="X60" s="312" t="str">
        <f t="shared" si="30"/>
        <v/>
      </c>
      <c r="Y60" s="548">
        <f t="shared" si="6"/>
        <v>1</v>
      </c>
      <c r="AC60" s="312" t="str">
        <f t="shared" si="31"/>
        <v/>
      </c>
      <c r="AD60" s="548">
        <f t="shared" si="8"/>
        <v>1</v>
      </c>
      <c r="AH60" s="312" t="str">
        <f t="shared" si="32"/>
        <v/>
      </c>
      <c r="AI60" s="548">
        <f t="shared" si="10"/>
        <v>1</v>
      </c>
      <c r="AM60" s="312" t="str">
        <f t="shared" si="33"/>
        <v/>
      </c>
      <c r="AN60" s="548">
        <f t="shared" si="12"/>
        <v>1</v>
      </c>
      <c r="AR60" s="312" t="str">
        <f t="shared" si="34"/>
        <v/>
      </c>
      <c r="AS60" s="548">
        <f t="shared" si="14"/>
        <v>1</v>
      </c>
      <c r="AW60" s="312" t="str">
        <f t="shared" si="35"/>
        <v/>
      </c>
      <c r="AX60" s="548">
        <f t="shared" si="16"/>
        <v>1</v>
      </c>
      <c r="BB60" s="312" t="str">
        <f t="shared" si="36"/>
        <v/>
      </c>
    </row>
    <row r="61" spans="5:54">
      <c r="E61" s="548">
        <f t="shared" si="0"/>
        <v>1</v>
      </c>
      <c r="I61" s="312" t="str">
        <f t="shared" si="19"/>
        <v/>
      </c>
      <c r="J61" s="548">
        <f t="shared" si="1"/>
        <v>43952</v>
      </c>
      <c r="K61" s="2">
        <v>43970</v>
      </c>
      <c r="L61" s="6" t="s">
        <v>1216</v>
      </c>
      <c r="M61" s="312">
        <v>-50000</v>
      </c>
      <c r="N61" s="312">
        <f t="shared" si="20"/>
        <v>235202</v>
      </c>
      <c r="S61" s="312" t="str">
        <f t="shared" si="29"/>
        <v/>
      </c>
      <c r="T61" s="548">
        <f t="shared" si="4"/>
        <v>1</v>
      </c>
      <c r="X61" s="312" t="str">
        <f t="shared" si="30"/>
        <v/>
      </c>
      <c r="Y61" s="548">
        <f t="shared" si="6"/>
        <v>1</v>
      </c>
      <c r="AC61" s="312" t="str">
        <f t="shared" si="31"/>
        <v/>
      </c>
      <c r="AD61" s="548">
        <f t="shared" si="8"/>
        <v>1</v>
      </c>
      <c r="AH61" s="312" t="str">
        <f t="shared" si="32"/>
        <v/>
      </c>
      <c r="AI61" s="548">
        <f t="shared" si="10"/>
        <v>1</v>
      </c>
      <c r="AM61" s="312" t="str">
        <f t="shared" si="33"/>
        <v/>
      </c>
      <c r="AN61" s="548">
        <f t="shared" si="12"/>
        <v>1</v>
      </c>
      <c r="AR61" s="312" t="str">
        <f t="shared" si="34"/>
        <v/>
      </c>
      <c r="AS61" s="548">
        <f t="shared" si="14"/>
        <v>1</v>
      </c>
      <c r="AW61" s="312" t="str">
        <f t="shared" si="35"/>
        <v/>
      </c>
      <c r="AX61" s="548">
        <f t="shared" si="16"/>
        <v>1</v>
      </c>
      <c r="BB61" s="312" t="str">
        <f t="shared" si="36"/>
        <v/>
      </c>
    </row>
    <row r="62" spans="5:54">
      <c r="E62" s="548">
        <f t="shared" si="0"/>
        <v>1</v>
      </c>
      <c r="I62" s="312" t="str">
        <f t="shared" si="19"/>
        <v/>
      </c>
      <c r="J62" s="548">
        <f t="shared" si="1"/>
        <v>1</v>
      </c>
      <c r="N62" s="312" t="str">
        <f t="shared" si="20"/>
        <v/>
      </c>
      <c r="S62" s="312" t="str">
        <f t="shared" si="29"/>
        <v/>
      </c>
      <c r="T62" s="548">
        <f t="shared" si="4"/>
        <v>1</v>
      </c>
      <c r="X62" s="312" t="str">
        <f t="shared" si="30"/>
        <v/>
      </c>
      <c r="Y62" s="548">
        <f t="shared" si="6"/>
        <v>1</v>
      </c>
      <c r="AC62" s="312" t="str">
        <f t="shared" si="31"/>
        <v/>
      </c>
      <c r="AD62" s="548">
        <f t="shared" si="8"/>
        <v>1</v>
      </c>
      <c r="AH62" s="312" t="str">
        <f t="shared" si="32"/>
        <v/>
      </c>
      <c r="AI62" s="548">
        <f t="shared" si="10"/>
        <v>1</v>
      </c>
      <c r="AM62" s="312" t="str">
        <f t="shared" si="33"/>
        <v/>
      </c>
      <c r="AN62" s="548">
        <f t="shared" si="12"/>
        <v>1</v>
      </c>
      <c r="AR62" s="312" t="str">
        <f t="shared" si="34"/>
        <v/>
      </c>
      <c r="AS62" s="548">
        <f t="shared" si="14"/>
        <v>1</v>
      </c>
      <c r="AW62" s="312" t="str">
        <f t="shared" si="35"/>
        <v/>
      </c>
      <c r="AX62" s="548">
        <f t="shared" si="16"/>
        <v>1</v>
      </c>
      <c r="BB62" s="312" t="str">
        <f t="shared" si="36"/>
        <v/>
      </c>
    </row>
    <row r="63" spans="5:54">
      <c r="E63" s="548">
        <f t="shared" si="0"/>
        <v>1</v>
      </c>
      <c r="I63" s="312" t="str">
        <f t="shared" si="19"/>
        <v/>
      </c>
      <c r="J63" s="548">
        <f t="shared" si="1"/>
        <v>1</v>
      </c>
      <c r="N63" s="312" t="str">
        <f t="shared" si="20"/>
        <v/>
      </c>
      <c r="S63" s="312" t="str">
        <f t="shared" si="29"/>
        <v/>
      </c>
      <c r="T63" s="548">
        <f t="shared" si="4"/>
        <v>1</v>
      </c>
      <c r="X63" s="312" t="str">
        <f t="shared" si="30"/>
        <v/>
      </c>
      <c r="Y63" s="548">
        <f t="shared" si="6"/>
        <v>1</v>
      </c>
      <c r="AC63" s="312" t="str">
        <f t="shared" si="31"/>
        <v/>
      </c>
      <c r="AD63" s="548">
        <f t="shared" si="8"/>
        <v>1</v>
      </c>
      <c r="AH63" s="312" t="str">
        <f t="shared" si="32"/>
        <v/>
      </c>
      <c r="AI63" s="548">
        <f t="shared" si="10"/>
        <v>1</v>
      </c>
      <c r="AM63" s="312" t="str">
        <f t="shared" si="33"/>
        <v/>
      </c>
      <c r="AN63" s="548">
        <f t="shared" si="12"/>
        <v>1</v>
      </c>
      <c r="AR63" s="312" t="str">
        <f t="shared" si="34"/>
        <v/>
      </c>
      <c r="AS63" s="548">
        <f t="shared" si="14"/>
        <v>1</v>
      </c>
      <c r="AW63" s="312" t="str">
        <f t="shared" si="35"/>
        <v/>
      </c>
      <c r="AX63" s="548">
        <f t="shared" si="16"/>
        <v>1</v>
      </c>
      <c r="BB63" s="312" t="str">
        <f t="shared" si="36"/>
        <v/>
      </c>
    </row>
    <row r="64" spans="5:54">
      <c r="E64" s="548">
        <f t="shared" si="0"/>
        <v>1</v>
      </c>
      <c r="I64" s="312" t="str">
        <f t="shared" si="19"/>
        <v/>
      </c>
      <c r="J64" s="548">
        <f t="shared" si="1"/>
        <v>1</v>
      </c>
      <c r="N64" s="312" t="str">
        <f t="shared" si="20"/>
        <v/>
      </c>
      <c r="S64" s="312" t="str">
        <f t="shared" si="29"/>
        <v/>
      </c>
      <c r="T64" s="548">
        <f t="shared" si="4"/>
        <v>1</v>
      </c>
      <c r="X64" s="312" t="str">
        <f t="shared" si="30"/>
        <v/>
      </c>
      <c r="Y64" s="548">
        <f t="shared" si="6"/>
        <v>1</v>
      </c>
      <c r="AC64" s="312" t="str">
        <f t="shared" si="31"/>
        <v/>
      </c>
      <c r="AD64" s="548">
        <f t="shared" si="8"/>
        <v>1</v>
      </c>
      <c r="AH64" s="312" t="str">
        <f t="shared" si="32"/>
        <v/>
      </c>
      <c r="AI64" s="548">
        <f t="shared" si="10"/>
        <v>1</v>
      </c>
      <c r="AM64" s="312" t="str">
        <f t="shared" si="33"/>
        <v/>
      </c>
      <c r="AN64" s="548">
        <f t="shared" si="12"/>
        <v>1</v>
      </c>
      <c r="AR64" s="312" t="str">
        <f t="shared" si="34"/>
        <v/>
      </c>
      <c r="AS64" s="548">
        <f t="shared" si="14"/>
        <v>1</v>
      </c>
      <c r="AW64" s="312" t="str">
        <f t="shared" si="35"/>
        <v/>
      </c>
      <c r="AX64" s="548">
        <f t="shared" si="16"/>
        <v>1</v>
      </c>
      <c r="BB64" s="312" t="str">
        <f t="shared" si="36"/>
        <v/>
      </c>
    </row>
    <row r="65" spans="1:54">
      <c r="E65" s="548">
        <f t="shared" si="0"/>
        <v>1</v>
      </c>
      <c r="I65" s="312" t="str">
        <f t="shared" si="19"/>
        <v/>
      </c>
      <c r="J65" s="548">
        <f t="shared" si="1"/>
        <v>1</v>
      </c>
      <c r="N65" s="312" t="str">
        <f t="shared" si="20"/>
        <v/>
      </c>
      <c r="S65" s="312" t="str">
        <f t="shared" si="29"/>
        <v/>
      </c>
      <c r="T65" s="548">
        <f t="shared" si="4"/>
        <v>1</v>
      </c>
      <c r="X65" s="312" t="str">
        <f t="shared" si="30"/>
        <v/>
      </c>
      <c r="Y65" s="548">
        <f t="shared" si="6"/>
        <v>1</v>
      </c>
      <c r="AC65" s="312" t="str">
        <f t="shared" si="31"/>
        <v/>
      </c>
      <c r="AD65" s="548">
        <f t="shared" si="8"/>
        <v>1</v>
      </c>
      <c r="AH65" s="312" t="str">
        <f t="shared" si="32"/>
        <v/>
      </c>
      <c r="AI65" s="548">
        <f t="shared" si="10"/>
        <v>1</v>
      </c>
      <c r="AM65" s="312" t="str">
        <f t="shared" si="33"/>
        <v/>
      </c>
      <c r="AN65" s="548">
        <f t="shared" si="12"/>
        <v>1</v>
      </c>
      <c r="AR65" s="312" t="str">
        <f t="shared" si="34"/>
        <v/>
      </c>
      <c r="AS65" s="548">
        <f t="shared" si="14"/>
        <v>1</v>
      </c>
      <c r="AW65" s="312" t="str">
        <f t="shared" si="35"/>
        <v/>
      </c>
      <c r="AX65" s="548">
        <f t="shared" si="16"/>
        <v>1</v>
      </c>
      <c r="BB65" s="312" t="str">
        <f t="shared" si="36"/>
        <v/>
      </c>
    </row>
    <row r="66" spans="1:54">
      <c r="E66" s="548">
        <f t="shared" si="0"/>
        <v>1</v>
      </c>
      <c r="I66" s="312" t="str">
        <f t="shared" si="19"/>
        <v/>
      </c>
      <c r="J66" s="548">
        <f t="shared" si="1"/>
        <v>1</v>
      </c>
      <c r="N66" s="312" t="str">
        <f t="shared" si="20"/>
        <v/>
      </c>
      <c r="S66" s="312" t="str">
        <f t="shared" si="29"/>
        <v/>
      </c>
      <c r="T66" s="548">
        <f t="shared" si="4"/>
        <v>1</v>
      </c>
      <c r="X66" s="312" t="str">
        <f t="shared" si="30"/>
        <v/>
      </c>
      <c r="Y66" s="548">
        <f t="shared" si="6"/>
        <v>1</v>
      </c>
      <c r="AC66" s="312" t="str">
        <f t="shared" si="31"/>
        <v/>
      </c>
      <c r="AD66" s="548">
        <f t="shared" si="8"/>
        <v>1</v>
      </c>
      <c r="AH66" s="312" t="str">
        <f t="shared" si="32"/>
        <v/>
      </c>
      <c r="AI66" s="548">
        <f t="shared" si="10"/>
        <v>1</v>
      </c>
      <c r="AM66" s="312" t="str">
        <f t="shared" si="33"/>
        <v/>
      </c>
      <c r="AN66" s="548">
        <f t="shared" si="12"/>
        <v>1</v>
      </c>
      <c r="AR66" s="312" t="str">
        <f t="shared" si="34"/>
        <v/>
      </c>
      <c r="AS66" s="548">
        <f t="shared" si="14"/>
        <v>1</v>
      </c>
      <c r="AW66" s="312" t="str">
        <f t="shared" si="35"/>
        <v/>
      </c>
      <c r="AX66" s="548">
        <f t="shared" si="16"/>
        <v>1</v>
      </c>
      <c r="BB66" s="312" t="str">
        <f t="shared" si="36"/>
        <v/>
      </c>
    </row>
    <row r="67" spans="1:54">
      <c r="E67" s="548">
        <f t="shared" si="0"/>
        <v>1</v>
      </c>
      <c r="I67" s="312" t="str">
        <f t="shared" si="19"/>
        <v/>
      </c>
      <c r="J67" s="548">
        <f t="shared" si="1"/>
        <v>1</v>
      </c>
      <c r="N67" s="312" t="str">
        <f t="shared" si="20"/>
        <v/>
      </c>
      <c r="S67" s="312" t="str">
        <f t="shared" si="29"/>
        <v/>
      </c>
      <c r="T67" s="548">
        <f t="shared" si="4"/>
        <v>1</v>
      </c>
      <c r="X67" s="312" t="str">
        <f t="shared" si="30"/>
        <v/>
      </c>
      <c r="Y67" s="548">
        <f t="shared" si="6"/>
        <v>1</v>
      </c>
      <c r="AC67" s="312" t="str">
        <f t="shared" si="31"/>
        <v/>
      </c>
      <c r="AD67" s="548">
        <f t="shared" si="8"/>
        <v>1</v>
      </c>
      <c r="AH67" s="312" t="str">
        <f t="shared" si="32"/>
        <v/>
      </c>
      <c r="AI67" s="548">
        <f t="shared" si="10"/>
        <v>1</v>
      </c>
      <c r="AM67" s="312" t="str">
        <f t="shared" si="33"/>
        <v/>
      </c>
      <c r="AN67" s="548">
        <f t="shared" si="12"/>
        <v>1</v>
      </c>
      <c r="AR67" s="312" t="str">
        <f t="shared" si="34"/>
        <v/>
      </c>
      <c r="AS67" s="548">
        <f t="shared" si="14"/>
        <v>1</v>
      </c>
      <c r="AW67" s="312" t="str">
        <f t="shared" si="35"/>
        <v/>
      </c>
      <c r="AX67" s="548">
        <f t="shared" si="16"/>
        <v>1</v>
      </c>
      <c r="BB67" s="312" t="str">
        <f t="shared" si="36"/>
        <v/>
      </c>
    </row>
    <row r="68" spans="1:54">
      <c r="E68" s="548">
        <f t="shared" si="0"/>
        <v>1</v>
      </c>
      <c r="I68" s="312" t="str">
        <f t="shared" si="19"/>
        <v/>
      </c>
      <c r="J68" s="548">
        <f t="shared" si="1"/>
        <v>1</v>
      </c>
      <c r="N68" s="312" t="str">
        <f t="shared" si="20"/>
        <v/>
      </c>
      <c r="S68" s="312" t="str">
        <f t="shared" si="29"/>
        <v/>
      </c>
      <c r="T68" s="548">
        <f t="shared" si="4"/>
        <v>1</v>
      </c>
      <c r="X68" s="312" t="str">
        <f t="shared" si="30"/>
        <v/>
      </c>
      <c r="Y68" s="548">
        <f t="shared" si="6"/>
        <v>1</v>
      </c>
      <c r="AC68" s="312" t="str">
        <f t="shared" si="31"/>
        <v/>
      </c>
      <c r="AD68" s="548">
        <f t="shared" si="8"/>
        <v>1</v>
      </c>
      <c r="AH68" s="312" t="str">
        <f t="shared" si="32"/>
        <v/>
      </c>
      <c r="AI68" s="548">
        <f t="shared" si="10"/>
        <v>1</v>
      </c>
      <c r="AM68" s="312" t="str">
        <f t="shared" si="33"/>
        <v/>
      </c>
      <c r="AN68" s="548">
        <f t="shared" si="12"/>
        <v>1</v>
      </c>
      <c r="AR68" s="312" t="str">
        <f t="shared" si="34"/>
        <v/>
      </c>
      <c r="AS68" s="548">
        <f t="shared" si="14"/>
        <v>1</v>
      </c>
      <c r="AW68" s="312" t="str">
        <f t="shared" si="35"/>
        <v/>
      </c>
      <c r="AX68" s="548">
        <f t="shared" si="16"/>
        <v>1</v>
      </c>
      <c r="BB68" s="312" t="str">
        <f t="shared" si="36"/>
        <v/>
      </c>
    </row>
    <row r="69" spans="1:54">
      <c r="E69" s="548">
        <f t="shared" si="0"/>
        <v>1</v>
      </c>
      <c r="I69" s="312" t="str">
        <f t="shared" si="19"/>
        <v/>
      </c>
      <c r="J69" s="548">
        <f t="shared" si="1"/>
        <v>1</v>
      </c>
      <c r="N69" s="312" t="str">
        <f t="shared" si="20"/>
        <v/>
      </c>
      <c r="S69" s="312" t="str">
        <f t="shared" ref="S69:S74" si="37">IF(ISBLANK(R69),"",ROUND(S43+R69,2))</f>
        <v/>
      </c>
      <c r="T69" s="548">
        <f t="shared" si="4"/>
        <v>1</v>
      </c>
      <c r="X69" s="312" t="str">
        <f t="shared" ref="X69:X74" si="38">IF(ISBLANK(W69),"",ROUND(X43+W69,2))</f>
        <v/>
      </c>
      <c r="Y69" s="548">
        <f t="shared" si="6"/>
        <v>1</v>
      </c>
      <c r="AC69" s="312" t="str">
        <f t="shared" ref="AC69:AC74" si="39">IF(ISBLANK(AB69),"",ROUND(AC43+AB69,2))</f>
        <v/>
      </c>
      <c r="AD69" s="548">
        <f t="shared" si="8"/>
        <v>1</v>
      </c>
      <c r="AH69" s="312" t="str">
        <f t="shared" ref="AH69:AH74" si="40">IF(ISBLANK(AG69),"",ROUND(AH43+AG69,2))</f>
        <v/>
      </c>
      <c r="AI69" s="548">
        <f t="shared" si="10"/>
        <v>1</v>
      </c>
      <c r="AM69" s="312" t="str">
        <f t="shared" ref="AM69:AM74" si="41">IF(ISBLANK(AL69),"",ROUND(AM43+AL69,2))</f>
        <v/>
      </c>
      <c r="AN69" s="548">
        <f t="shared" si="12"/>
        <v>1</v>
      </c>
      <c r="AR69" s="312" t="str">
        <f t="shared" ref="AR69:AR74" si="42">IF(ISBLANK(AQ69),"",ROUND(AR43+AQ69,2))</f>
        <v/>
      </c>
      <c r="AS69" s="548">
        <f t="shared" si="14"/>
        <v>1</v>
      </c>
      <c r="AW69" s="312" t="str">
        <f t="shared" ref="AW69:AW74" si="43">IF(ISBLANK(AV69),"",ROUND(AW43+AV69,2))</f>
        <v/>
      </c>
      <c r="AX69" s="548">
        <f t="shared" si="16"/>
        <v>1</v>
      </c>
      <c r="BB69" s="312" t="str">
        <f t="shared" ref="BB69:BB74" si="44">IF(ISBLANK(BA69),"",ROUND(BB43+BA69,2))</f>
        <v/>
      </c>
    </row>
    <row r="70" spans="1:54">
      <c r="E70" s="548">
        <f t="shared" si="0"/>
        <v>1</v>
      </c>
      <c r="I70" s="312" t="str">
        <f t="shared" si="19"/>
        <v/>
      </c>
      <c r="J70" s="548">
        <f t="shared" si="1"/>
        <v>1</v>
      </c>
      <c r="N70" s="312" t="str">
        <f t="shared" si="20"/>
        <v/>
      </c>
      <c r="S70" s="312" t="str">
        <f t="shared" si="37"/>
        <v/>
      </c>
      <c r="T70" s="548">
        <f t="shared" si="4"/>
        <v>1</v>
      </c>
      <c r="X70" s="312" t="str">
        <f t="shared" si="38"/>
        <v/>
      </c>
      <c r="Y70" s="548">
        <f t="shared" si="6"/>
        <v>1</v>
      </c>
      <c r="AC70" s="312" t="str">
        <f t="shared" si="39"/>
        <v/>
      </c>
      <c r="AD70" s="548">
        <f t="shared" si="8"/>
        <v>1</v>
      </c>
      <c r="AH70" s="312" t="str">
        <f t="shared" si="40"/>
        <v/>
      </c>
      <c r="AI70" s="548">
        <f t="shared" si="10"/>
        <v>1</v>
      </c>
      <c r="AM70" s="312" t="str">
        <f t="shared" si="41"/>
        <v/>
      </c>
      <c r="AN70" s="548">
        <f t="shared" si="12"/>
        <v>1</v>
      </c>
      <c r="AR70" s="312" t="str">
        <f t="shared" si="42"/>
        <v/>
      </c>
      <c r="AS70" s="548">
        <f t="shared" si="14"/>
        <v>1</v>
      </c>
      <c r="AW70" s="312" t="str">
        <f t="shared" si="43"/>
        <v/>
      </c>
      <c r="AX70" s="548">
        <f t="shared" si="16"/>
        <v>1</v>
      </c>
      <c r="BB70" s="312" t="str">
        <f t="shared" si="44"/>
        <v/>
      </c>
    </row>
    <row r="71" spans="1:54">
      <c r="E71" s="548">
        <f t="shared" si="0"/>
        <v>1</v>
      </c>
      <c r="I71" s="312" t="str">
        <f t="shared" ref="I71:I74" si="45">IF(ISBLANK(H71),"",ROUND(I45+H71,2))</f>
        <v/>
      </c>
      <c r="J71" s="548">
        <f t="shared" si="1"/>
        <v>1</v>
      </c>
      <c r="N71" s="312" t="str">
        <f t="shared" si="20"/>
        <v/>
      </c>
      <c r="S71" s="312" t="str">
        <f t="shared" si="37"/>
        <v/>
      </c>
      <c r="T71" s="548">
        <f t="shared" si="4"/>
        <v>1</v>
      </c>
      <c r="X71" s="312" t="str">
        <f t="shared" si="38"/>
        <v/>
      </c>
      <c r="Y71" s="548">
        <f t="shared" si="6"/>
        <v>1</v>
      </c>
      <c r="AC71" s="312" t="str">
        <f t="shared" si="39"/>
        <v/>
      </c>
      <c r="AD71" s="548">
        <f t="shared" si="8"/>
        <v>1</v>
      </c>
      <c r="AH71" s="312" t="str">
        <f t="shared" si="40"/>
        <v/>
      </c>
      <c r="AI71" s="548">
        <f t="shared" si="10"/>
        <v>1</v>
      </c>
      <c r="AM71" s="312" t="str">
        <f t="shared" si="41"/>
        <v/>
      </c>
      <c r="AN71" s="548">
        <f t="shared" si="12"/>
        <v>1</v>
      </c>
      <c r="AR71" s="312" t="str">
        <f t="shared" si="42"/>
        <v/>
      </c>
      <c r="AS71" s="548">
        <f t="shared" si="14"/>
        <v>1</v>
      </c>
      <c r="AW71" s="312" t="str">
        <f t="shared" si="43"/>
        <v/>
      </c>
      <c r="AX71" s="548">
        <f t="shared" si="16"/>
        <v>1</v>
      </c>
      <c r="BB71" s="312" t="str">
        <f t="shared" si="44"/>
        <v/>
      </c>
    </row>
    <row r="72" spans="1:54">
      <c r="E72" s="548">
        <f t="shared" si="0"/>
        <v>1</v>
      </c>
      <c r="I72" s="312" t="str">
        <f t="shared" si="45"/>
        <v/>
      </c>
      <c r="J72" s="548">
        <f t="shared" si="1"/>
        <v>1</v>
      </c>
      <c r="N72" s="312" t="str">
        <f t="shared" si="20"/>
        <v/>
      </c>
      <c r="S72" s="312" t="str">
        <f t="shared" si="37"/>
        <v/>
      </c>
      <c r="T72" s="548">
        <f t="shared" si="4"/>
        <v>1</v>
      </c>
      <c r="X72" s="312" t="str">
        <f t="shared" si="38"/>
        <v/>
      </c>
      <c r="Y72" s="548">
        <f t="shared" si="6"/>
        <v>1</v>
      </c>
      <c r="AC72" s="312" t="str">
        <f t="shared" si="39"/>
        <v/>
      </c>
      <c r="AD72" s="548">
        <f t="shared" si="8"/>
        <v>1</v>
      </c>
      <c r="AH72" s="312" t="str">
        <f t="shared" si="40"/>
        <v/>
      </c>
      <c r="AI72" s="548">
        <f t="shared" si="10"/>
        <v>1</v>
      </c>
      <c r="AM72" s="312" t="str">
        <f t="shared" si="41"/>
        <v/>
      </c>
      <c r="AN72" s="548">
        <f t="shared" si="12"/>
        <v>1</v>
      </c>
      <c r="AR72" s="312" t="str">
        <f t="shared" si="42"/>
        <v/>
      </c>
      <c r="AS72" s="548">
        <f t="shared" si="14"/>
        <v>1</v>
      </c>
      <c r="AW72" s="312" t="str">
        <f t="shared" si="43"/>
        <v/>
      </c>
      <c r="AX72" s="548">
        <f t="shared" si="16"/>
        <v>1</v>
      </c>
      <c r="BB72" s="312" t="str">
        <f t="shared" si="44"/>
        <v/>
      </c>
    </row>
    <row r="73" spans="1:54">
      <c r="E73" s="548">
        <f t="shared" si="0"/>
        <v>1</v>
      </c>
      <c r="I73" s="312" t="str">
        <f t="shared" si="45"/>
        <v/>
      </c>
      <c r="J73" s="548">
        <f t="shared" si="1"/>
        <v>1</v>
      </c>
      <c r="N73" s="312" t="str">
        <f t="shared" si="20"/>
        <v/>
      </c>
      <c r="S73" s="312" t="str">
        <f t="shared" si="37"/>
        <v/>
      </c>
      <c r="T73" s="548">
        <f t="shared" si="4"/>
        <v>1</v>
      </c>
      <c r="X73" s="312" t="str">
        <f t="shared" si="38"/>
        <v/>
      </c>
      <c r="Y73" s="548">
        <f t="shared" si="6"/>
        <v>1</v>
      </c>
      <c r="AC73" s="312" t="str">
        <f t="shared" si="39"/>
        <v/>
      </c>
      <c r="AD73" s="548">
        <f t="shared" si="8"/>
        <v>1</v>
      </c>
      <c r="AH73" s="312" t="str">
        <f t="shared" si="40"/>
        <v/>
      </c>
      <c r="AI73" s="548">
        <f t="shared" si="10"/>
        <v>1</v>
      </c>
      <c r="AM73" s="312" t="str">
        <f t="shared" si="41"/>
        <v/>
      </c>
      <c r="AN73" s="548">
        <f t="shared" si="12"/>
        <v>1</v>
      </c>
      <c r="AR73" s="312" t="str">
        <f t="shared" si="42"/>
        <v/>
      </c>
      <c r="AS73" s="548">
        <f t="shared" si="14"/>
        <v>1</v>
      </c>
      <c r="AW73" s="312" t="str">
        <f t="shared" si="43"/>
        <v/>
      </c>
      <c r="AX73" s="548">
        <f t="shared" si="16"/>
        <v>1</v>
      </c>
      <c r="BB73" s="312" t="str">
        <f t="shared" si="44"/>
        <v/>
      </c>
    </row>
    <row r="74" spans="1:54">
      <c r="A74" s="550" t="s">
        <v>1311</v>
      </c>
      <c r="E74" s="548">
        <f t="shared" si="0"/>
        <v>1</v>
      </c>
      <c r="I74" s="312" t="str">
        <f t="shared" si="45"/>
        <v/>
      </c>
      <c r="J74" s="548">
        <f t="shared" si="1"/>
        <v>1</v>
      </c>
      <c r="N74" s="312" t="str">
        <f t="shared" si="20"/>
        <v/>
      </c>
      <c r="S74" s="312" t="str">
        <f t="shared" si="37"/>
        <v/>
      </c>
      <c r="T74" s="548">
        <f t="shared" si="4"/>
        <v>1</v>
      </c>
      <c r="X74" s="312" t="str">
        <f t="shared" si="38"/>
        <v/>
      </c>
      <c r="Y74" s="548">
        <f t="shared" si="6"/>
        <v>1</v>
      </c>
      <c r="AC74" s="312" t="str">
        <f t="shared" si="39"/>
        <v/>
      </c>
      <c r="AD74" s="548">
        <f t="shared" si="8"/>
        <v>1</v>
      </c>
      <c r="AH74" s="312" t="str">
        <f t="shared" si="40"/>
        <v/>
      </c>
      <c r="AI74" s="548">
        <f t="shared" si="10"/>
        <v>1</v>
      </c>
      <c r="AM74" s="312" t="str">
        <f t="shared" si="41"/>
        <v/>
      </c>
      <c r="AN74" s="548">
        <f t="shared" si="12"/>
        <v>1</v>
      </c>
      <c r="AR74" s="312" t="str">
        <f t="shared" si="42"/>
        <v/>
      </c>
      <c r="AS74" s="548">
        <f t="shared" si="14"/>
        <v>1</v>
      </c>
      <c r="AW74" s="312" t="str">
        <f t="shared" si="43"/>
        <v/>
      </c>
      <c r="AX74" s="548">
        <f t="shared" si="16"/>
        <v>1</v>
      </c>
      <c r="BB74" s="312" t="str">
        <f t="shared" si="44"/>
        <v/>
      </c>
    </row>
    <row r="75" spans="1:54">
      <c r="E75" s="548">
        <f t="shared" si="0"/>
        <v>1</v>
      </c>
      <c r="I75" s="312" t="str">
        <f t="shared" si="19"/>
        <v/>
      </c>
      <c r="J75" s="548">
        <f t="shared" si="1"/>
        <v>1</v>
      </c>
      <c r="N75" s="312" t="str">
        <f t="shared" si="20"/>
        <v/>
      </c>
      <c r="S75" s="312" t="str">
        <f t="shared" ref="S75" si="46">IF(ISBLANK(R75),"",ROUND(S74+R75,2))</f>
        <v/>
      </c>
      <c r="T75" s="548">
        <f t="shared" si="4"/>
        <v>1</v>
      </c>
      <c r="X75" s="312" t="str">
        <f t="shared" si="5"/>
        <v/>
      </c>
      <c r="Y75" s="548">
        <f t="shared" si="6"/>
        <v>1</v>
      </c>
      <c r="AC75" s="312" t="str">
        <f t="shared" si="7"/>
        <v/>
      </c>
      <c r="AD75" s="548">
        <f t="shared" si="8"/>
        <v>1</v>
      </c>
      <c r="AH75" s="312" t="str">
        <f t="shared" si="9"/>
        <v/>
      </c>
      <c r="AI75" s="548">
        <f t="shared" si="10"/>
        <v>1</v>
      </c>
      <c r="AM75" s="312" t="str">
        <f t="shared" si="11"/>
        <v/>
      </c>
      <c r="AN75" s="548">
        <f t="shared" si="12"/>
        <v>1</v>
      </c>
      <c r="AR75" s="312" t="str">
        <f t="shared" si="13"/>
        <v/>
      </c>
      <c r="AS75" s="548">
        <f t="shared" si="14"/>
        <v>1</v>
      </c>
      <c r="AW75" s="312" t="str">
        <f t="shared" si="15"/>
        <v/>
      </c>
      <c r="AX75" s="548">
        <f t="shared" si="16"/>
        <v>1</v>
      </c>
      <c r="BB75" s="312" t="str">
        <f t="shared" si="17"/>
        <v/>
      </c>
    </row>
    <row r="76" spans="1:54">
      <c r="E76" s="549"/>
      <c r="F76" s="545"/>
      <c r="G76" s="134"/>
      <c r="H76" s="546"/>
      <c r="I76" s="546"/>
      <c r="J76" s="549"/>
      <c r="K76" s="545"/>
      <c r="L76" s="134"/>
      <c r="M76" s="546"/>
      <c r="N76" s="546"/>
      <c r="O76" s="546"/>
      <c r="P76" s="545"/>
      <c r="Q76" s="134"/>
      <c r="R76" s="546"/>
      <c r="S76" s="546"/>
      <c r="T76" s="549"/>
      <c r="U76" s="545"/>
      <c r="V76" s="134"/>
      <c r="W76" s="546"/>
      <c r="X76" s="546"/>
      <c r="Y76" s="549"/>
      <c r="Z76" s="545"/>
      <c r="AA76" s="134"/>
      <c r="AB76" s="546"/>
      <c r="AC76" s="546"/>
      <c r="AD76" s="549"/>
      <c r="AE76" s="545"/>
      <c r="AF76" s="134"/>
      <c r="AG76" s="546"/>
      <c r="AH76" s="546"/>
      <c r="AI76" s="549"/>
      <c r="AJ76" s="545"/>
      <c r="AK76" s="134"/>
      <c r="AL76" s="546"/>
      <c r="AM76" s="546"/>
      <c r="AN76" s="549"/>
      <c r="AO76" s="545"/>
      <c r="AP76" s="134"/>
      <c r="AQ76" s="546"/>
      <c r="AR76" s="546"/>
      <c r="AS76" s="549"/>
      <c r="AT76" s="545"/>
      <c r="AU76" s="134"/>
      <c r="AV76" s="546"/>
      <c r="AW76" s="546"/>
      <c r="AX76" s="549"/>
      <c r="AY76" s="545"/>
      <c r="AZ76" s="134"/>
      <c r="BA76" s="546"/>
      <c r="BB76" s="546"/>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49"/>
  <sheetViews>
    <sheetView showGridLines="0" zoomScale="85" zoomScaleNormal="85" workbookViewId="0">
      <pane xSplit="4" ySplit="1" topLeftCell="AD21" activePane="bottomRight" state="frozen"/>
      <selection pane="bottomRight" activeCell="E1" sqref="E1"/>
      <selection pane="bottomLeft" activeCell="A2" sqref="A2"/>
      <selection pane="topRight" activeCell="E1" sqref="E1"/>
    </sheetView>
  </sheetViews>
  <sheetFormatPr defaultColWidth="11.42578125" defaultRowHeight="14.25"/>
  <cols>
    <col min="1" max="1" width="24.5703125" style="45" bestFit="1" customWidth="1"/>
    <col min="2" max="2" width="20.85546875" style="45" customWidth="1"/>
    <col min="3" max="3" width="14.28515625" style="58" bestFit="1" customWidth="1"/>
    <col min="4" max="4" width="4.7109375" style="440"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2" t="s">
        <v>5</v>
      </c>
      <c r="B1" s="592" t="s">
        <v>7</v>
      </c>
      <c r="C1" s="592" t="s">
        <v>9</v>
      </c>
      <c r="D1" s="592" t="s">
        <v>1312</v>
      </c>
      <c r="E1" s="594">
        <f>'RESUMEN VIGILANCIA'!D1</f>
        <v>2016</v>
      </c>
      <c r="F1" s="592">
        <f>'RESUMEN VIGILANCIA'!E1</f>
        <v>42736</v>
      </c>
      <c r="G1" s="592">
        <f>'RESUMEN VIGILANCIA'!F1</f>
        <v>42767</v>
      </c>
      <c r="H1" s="592">
        <f>'RESUMEN VIGILANCIA'!G1</f>
        <v>42795</v>
      </c>
      <c r="I1" s="592">
        <f>'RESUMEN VIGILANCIA'!H1</f>
        <v>42826</v>
      </c>
      <c r="J1" s="592">
        <f>'RESUMEN VIGILANCIA'!I1</f>
        <v>42856</v>
      </c>
      <c r="K1" s="592">
        <f>'RESUMEN VIGILANCIA'!J1</f>
        <v>42887</v>
      </c>
      <c r="L1" s="592">
        <f>'RESUMEN VIGILANCIA'!K1</f>
        <v>42917</v>
      </c>
      <c r="M1" s="592">
        <f>'RESUMEN VIGILANCIA'!L1</f>
        <v>42948</v>
      </c>
      <c r="N1" s="592">
        <f>'RESUMEN VIGILANCIA'!M1</f>
        <v>42979</v>
      </c>
      <c r="O1" s="592">
        <f>'RESUMEN VIGILANCIA'!N1</f>
        <v>43009</v>
      </c>
      <c r="P1" s="592">
        <f>'RESUMEN VIGILANCIA'!O1</f>
        <v>43040</v>
      </c>
      <c r="Q1" s="592">
        <f>'RESUMEN VIGILANCIA'!P1</f>
        <v>43070</v>
      </c>
      <c r="R1" s="592">
        <f>'RESUMEN VIGILANCIA'!Q1</f>
        <v>43101</v>
      </c>
      <c r="S1" s="592">
        <f>'RESUMEN VIGILANCIA'!R1</f>
        <v>43132</v>
      </c>
      <c r="T1" s="592">
        <f>'RESUMEN VIGILANCIA'!S1</f>
        <v>43160</v>
      </c>
      <c r="U1" s="592">
        <f>'RESUMEN VIGILANCIA'!T1</f>
        <v>43191</v>
      </c>
      <c r="V1" s="592">
        <f>'RESUMEN VIGILANCIA'!U1</f>
        <v>43221</v>
      </c>
      <c r="W1" s="592">
        <f>'RESUMEN VIGILANCIA'!V1</f>
        <v>43252</v>
      </c>
      <c r="X1" s="592">
        <f>'RESUMEN VIGILANCIA'!W1</f>
        <v>43282</v>
      </c>
      <c r="Y1" s="592">
        <f>'RESUMEN VIGILANCIA'!X1</f>
        <v>43313</v>
      </c>
      <c r="Z1" s="592">
        <f>'RESUMEN VIGILANCIA'!Y1</f>
        <v>43344</v>
      </c>
      <c r="AA1" s="592">
        <f>'RESUMEN VIGILANCIA'!Z1</f>
        <v>43374</v>
      </c>
      <c r="AB1" s="592">
        <f>'RESUMEN VIGILANCIA'!AA1</f>
        <v>43405</v>
      </c>
      <c r="AC1" s="592">
        <f>'RESUMEN VIGILANCIA'!AB1</f>
        <v>43435</v>
      </c>
      <c r="AD1" s="592">
        <f>'RESUMEN VIGILANCIA'!AC1</f>
        <v>43466</v>
      </c>
      <c r="AE1" s="592">
        <f>'RESUMEN VIGILANCIA'!AD1</f>
        <v>43497</v>
      </c>
      <c r="AF1" s="592">
        <f>'RESUMEN VIGILANCIA'!AE1</f>
        <v>43525</v>
      </c>
      <c r="AG1" s="592">
        <f>'RESUMEN VIGILANCIA'!AF1</f>
        <v>43556</v>
      </c>
      <c r="AH1" s="592">
        <f>'RESUMEN VIGILANCIA'!AG1</f>
        <v>43586</v>
      </c>
      <c r="AI1" s="592">
        <f>'RESUMEN VIGILANCIA'!AH1</f>
        <v>43617</v>
      </c>
      <c r="AJ1" s="592">
        <f>'RESUMEN VIGILANCIA'!AI1</f>
        <v>43647</v>
      </c>
      <c r="AK1" s="592">
        <f>'RESUMEN VIGILANCIA'!AJ1</f>
        <v>43678</v>
      </c>
      <c r="AL1" s="592">
        <f>'RESUMEN VIGILANCIA'!AK1</f>
        <v>43709</v>
      </c>
      <c r="AM1" s="592">
        <f>'RESUMEN VIGILANCIA'!AL1</f>
        <v>43739</v>
      </c>
      <c r="AN1" s="592">
        <f>'RESUMEN VIGILANCIA'!AM1</f>
        <v>43770</v>
      </c>
      <c r="AO1" s="592">
        <f>'RESUMEN VIGILANCIA'!AN1</f>
        <v>43800</v>
      </c>
      <c r="AP1" s="592">
        <f>'RESUMEN VIGILANCIA'!AO1</f>
        <v>43831</v>
      </c>
      <c r="AQ1" s="592">
        <f>'RESUMEN VIGILANCIA'!AP1</f>
        <v>43862</v>
      </c>
      <c r="AR1" s="592">
        <f>'RESUMEN VIGILANCIA'!AQ1</f>
        <v>43891</v>
      </c>
      <c r="AS1" s="592">
        <f>'RESUMEN VIGILANCIA'!AR1</f>
        <v>43922</v>
      </c>
      <c r="AT1" s="592">
        <f>'RESUMEN VIGILANCIA'!AS1</f>
        <v>43952</v>
      </c>
      <c r="AU1" s="592">
        <f>'RESUMEN VIGILANCIA'!AT1</f>
        <v>43983</v>
      </c>
      <c r="AV1" s="592">
        <f>'RESUMEN VIGILANCIA'!AU1</f>
        <v>44013</v>
      </c>
      <c r="AW1" s="592">
        <f>'RESUMEN VIGILANCIA'!AV1</f>
        <v>44044</v>
      </c>
      <c r="AX1" s="592">
        <f>'RESUMEN VIGILANCIA'!AW1</f>
        <v>44075</v>
      </c>
      <c r="AY1" s="592">
        <f>'RESUMEN VIGILANCIA'!AX1</f>
        <v>44105</v>
      </c>
      <c r="AZ1" s="592">
        <f>'RESUMEN VIGILANCIA'!AY1</f>
        <v>44136</v>
      </c>
      <c r="BA1" s="592">
        <f>'RESUMEN VIGILANCIA'!AZ1</f>
        <v>44166</v>
      </c>
      <c r="BB1" s="592" t="s">
        <v>1227</v>
      </c>
      <c r="BC1" s="592" t="s">
        <v>1313</v>
      </c>
      <c r="BD1" s="592" t="s">
        <v>1314</v>
      </c>
    </row>
    <row r="2" spans="1:56" s="29" customFormat="1" ht="20.100000000000001" customHeight="1">
      <c r="A2" s="37" t="str">
        <f>'RESUMEN VIGILANCIA'!A24</f>
        <v>Familia Padrón C. Bollingher</v>
      </c>
      <c r="B2" s="38" t="str">
        <f>'RESUMEN VIGILANCIA'!B24</f>
        <v>Calle Guacara Nro. 87-30</v>
      </c>
      <c r="C2" s="426"/>
      <c r="D2" s="434" t="s">
        <v>1315</v>
      </c>
      <c r="E2" s="415" t="str">
        <f>IF(ISBLANK('RESUMEN VIGILANCIA'!D24),"",'RESUMEN VIGILANCIA'!D24)</f>
        <v/>
      </c>
      <c r="F2" s="263" t="str">
        <f>IF(ISBLANK('RESUMEN VIGILANCIA'!E24),"",'RESUMEN VIGILANCIA'!E24)</f>
        <v/>
      </c>
      <c r="G2" s="199" t="str">
        <f>IF(ISBLANK('RESUMEN VIGILANCIA'!F24),"",'RESUMEN VIGILANCIA'!F24)</f>
        <v/>
      </c>
      <c r="H2" s="199" t="str">
        <f>IF(ISBLANK('RESUMEN VIGILANCIA'!G24),"",'RESUMEN VIGILANCIA'!G24)</f>
        <v/>
      </c>
      <c r="I2" s="199" t="str">
        <f>IF(ISBLANK('RESUMEN VIGILANCIA'!H24),"",'RESUMEN VIGILANCIA'!H24)</f>
        <v/>
      </c>
      <c r="J2" s="199" t="str">
        <f>IF(ISBLANK('RESUMEN VIGILANCIA'!I24),"",'RESUMEN VIGILANCIA'!I24)</f>
        <v/>
      </c>
      <c r="K2" s="199" t="str">
        <f>IF(ISBLANK('RESUMEN VIGILANCIA'!J24),"",'RESUMEN VIGILANCIA'!J24)</f>
        <v/>
      </c>
      <c r="L2" s="199" t="str">
        <f>IF(ISBLANK('RESUMEN VIGILANCIA'!K24),"",'RESUMEN VIGILANCIA'!K24)</f>
        <v/>
      </c>
      <c r="M2" s="199" t="str">
        <f>IF(ISBLANK('RESUMEN VIGILANCIA'!L24),"",'RESUMEN VIGILANCIA'!L24)</f>
        <v/>
      </c>
      <c r="N2" s="199" t="str">
        <f>IF(ISBLANK('RESUMEN VIGILANCIA'!M24),"",'RESUMEN VIGILANCIA'!M24)</f>
        <v/>
      </c>
      <c r="O2" s="199" t="str">
        <f>IF(ISBLANK('RESUMEN VIGILANCIA'!N24),"",'RESUMEN VIGILANCIA'!N24)</f>
        <v/>
      </c>
      <c r="P2" s="264" t="str">
        <f>IF(ISBLANK('RESUMEN VIGILANCIA'!O24),"",'RESUMEN VIGILANCIA'!O24)</f>
        <v/>
      </c>
      <c r="Q2" s="197" t="str">
        <f>IF(ISBLANK('RESUMEN VIGILANCIA'!P24),"",'RESUMEN VIGILANCIA'!P24)</f>
        <v/>
      </c>
      <c r="R2" s="265" t="str">
        <f>IF(ISBLANK('RESUMEN VIGILANCIA'!Q24),"",'RESUMEN VIGILANCIA'!Q24)</f>
        <v/>
      </c>
      <c r="S2" s="264" t="str">
        <f>IF(ISBLANK('RESUMEN VIGILANCIA'!R24),"",'RESUMEN VIGILANCIA'!R24)</f>
        <v/>
      </c>
      <c r="T2" s="264" t="str">
        <f>IF(ISBLANK('RESUMEN VIGILANCIA'!S24),"",'RESUMEN VIGILANCIA'!S24)</f>
        <v/>
      </c>
      <c r="U2" s="264" t="str">
        <f>IF(ISBLANK('RESUMEN VIGILANCIA'!T24),"",'RESUMEN VIGILANCIA'!T24)</f>
        <v/>
      </c>
      <c r="V2" s="264" t="str">
        <f>IF(ISBLANK('RESUMEN VIGILANCIA'!U24),"",'RESUMEN VIGILANCIA'!U24)</f>
        <v/>
      </c>
      <c r="W2" s="264" t="str">
        <f>IF(ISBLANK('RESUMEN VIGILANCIA'!V24),"",'RESUMEN VIGILANCIA'!V24)</f>
        <v/>
      </c>
      <c r="X2" s="264" t="str">
        <f>IF(ISBLANK('RESUMEN VIGILANCIA'!W24),"",'RESUMEN VIGILANCIA'!W24)</f>
        <v/>
      </c>
      <c r="Y2" s="264" t="str">
        <f>IF(ISBLANK('RESUMEN VIGILANCIA'!X24),"",'RESUMEN VIGILANCIA'!X24)</f>
        <v/>
      </c>
      <c r="Z2" s="453" t="str">
        <f>IF(ISBLANK('RESUMEN VIGILANCIA'!Y24),"",'RESUMEN VIGILANCIA'!Y24)</f>
        <v/>
      </c>
      <c r="AA2" s="453" t="str">
        <f>IF(ISBLANK('RESUMEN VIGILANCIA'!Z24),"",'RESUMEN VIGILANCIA'!Z24)</f>
        <v/>
      </c>
      <c r="AB2" s="453" t="str">
        <f>IF(ISBLANK('RESUMEN VIGILANCIA'!AA24),"",'RESUMEN VIGILANCIA'!AA24)</f>
        <v/>
      </c>
      <c r="AC2" s="454" t="str">
        <f>IF(ISBLANK('RESUMEN VIGILANCIA'!AB24),"",'RESUMEN VIGILANCIA'!AB24)</f>
        <v/>
      </c>
      <c r="AD2" s="384" t="str">
        <f>IF(ISBLANK('RESUMEN VIGILANCIA'!AC24),"",'RESUMEN VIGILANCIA'!AC24)</f>
        <v/>
      </c>
      <c r="AE2" s="385" t="str">
        <f>IF(ISBLANK('RESUMEN VIGILANCIA'!AD24),"",'RESUMEN VIGILANCIA'!AD24)</f>
        <v/>
      </c>
      <c r="AF2" s="385" t="str">
        <f>IF(ISBLANK('RESUMEN VIGILANCIA'!AE24),"",'RESUMEN VIGILANCIA'!AE24)</f>
        <v/>
      </c>
      <c r="AG2" s="385" t="str">
        <f>IF(ISBLANK('RESUMEN VIGILANCIA'!AF24),"",'RESUMEN VIGILANCIA'!AF24)</f>
        <v/>
      </c>
      <c r="AH2" s="385" t="str">
        <f>IF(ISBLANK('RESUMEN VIGILANCIA'!AG24),"",'RESUMEN VIGILANCIA'!AG24)</f>
        <v/>
      </c>
      <c r="AI2" s="385" t="str">
        <f>IF(ISBLANK('RESUMEN VIGILANCIA'!AH24),"",'RESUMEN VIGILANCIA'!AH24)</f>
        <v/>
      </c>
      <c r="AJ2" s="385" t="str">
        <f>IF(ISBLANK('RESUMEN VIGILANCIA'!AI24),"",'RESUMEN VIGILANCIA'!AI24)</f>
        <v/>
      </c>
      <c r="AK2" s="385" t="str">
        <f>IF(ISBLANK('RESUMEN VIGILANCIA'!AJ24),"",'RESUMEN VIGILANCIA'!AJ24)</f>
        <v/>
      </c>
      <c r="AL2" s="385" t="str">
        <f>IF(ISBLANK('RESUMEN VIGILANCIA'!AK24),"",'RESUMEN VIGILANCIA'!AK24)</f>
        <v/>
      </c>
      <c r="AM2" s="385" t="str">
        <f>IF(ISBLANK('RESUMEN VIGILANCIA'!AL24),"",'RESUMEN VIGILANCIA'!AL24)</f>
        <v/>
      </c>
      <c r="AN2" s="385" t="str">
        <f>IF(ISBLANK('RESUMEN VIGILANCIA'!AM24),"",'RESUMEN VIGILANCIA'!AM24)</f>
        <v/>
      </c>
      <c r="AO2" s="386" t="str">
        <f>IF(ISBLANK('RESUMEN VIGILANCIA'!AN24),"",'RESUMEN VIGILANCIA'!AN24)</f>
        <v/>
      </c>
      <c r="AP2" s="384" t="str">
        <f>IF(ISBLANK('RESUMEN VIGILANCIA'!AO24),"",'RESUMEN VIGILANCIA'!AO24)</f>
        <v/>
      </c>
      <c r="AQ2" s="385" t="str">
        <f>IF(ISBLANK('RESUMEN VIGILANCIA'!AP24),"",'RESUMEN VIGILANCIA'!AP24)</f>
        <v/>
      </c>
      <c r="AR2" s="385" t="str">
        <f>IF(ISBLANK('RESUMEN VIGILANCIA'!AQ24),"",'RESUMEN VIGILANCIA'!AQ24)</f>
        <v/>
      </c>
      <c r="AS2" s="385" t="str">
        <f>IF(ISBLANK('RESUMEN VIGILANCIA'!AR24),"",'RESUMEN VIGILANCIA'!AR24)</f>
        <v/>
      </c>
      <c r="AT2" s="385" t="str">
        <f>IF(ISBLANK('RESUMEN VIGILANCIA'!AS24),"",'RESUMEN VIGILANCIA'!AS24)</f>
        <v/>
      </c>
      <c r="AU2" s="385" t="str">
        <f>IF(ISBLANK('RESUMEN VIGILANCIA'!AT24),"",'RESUMEN VIGILANCIA'!AT24)</f>
        <v/>
      </c>
      <c r="AV2" s="385" t="str">
        <f>IF(ISBLANK('RESUMEN VIGILANCIA'!AU24),"",'RESUMEN VIGILANCIA'!AU24)</f>
        <v/>
      </c>
      <c r="AW2" s="385" t="str">
        <f>IF(ISBLANK('RESUMEN VIGILANCIA'!AV24),"",'RESUMEN VIGILANCIA'!AV24)</f>
        <v/>
      </c>
      <c r="AX2" s="385" t="str">
        <f>IF(ISBLANK('RESUMEN VIGILANCIA'!AW24),"",'RESUMEN VIGILANCIA'!AW24)</f>
        <v/>
      </c>
      <c r="AY2" s="385" t="str">
        <f>IF(ISBLANK('RESUMEN VIGILANCIA'!AX24),"",'RESUMEN VIGILANCIA'!AX24)</f>
        <v/>
      </c>
      <c r="AZ2" s="385" t="str">
        <f>IF(ISBLANK('RESUMEN VIGILANCIA'!AY24),"",'RESUMEN VIGILANCIA'!AY24)</f>
        <v/>
      </c>
      <c r="BA2" s="386" t="str">
        <f>IF(ISBLANK('RESUMEN VIGILANCIA'!AZ24),"",'RESUMEN VIGILANCIA'!AZ24)</f>
        <v/>
      </c>
      <c r="BB2" s="243">
        <f t="shared" ref="BB2:BB34" si="0">SUM(E2:AO2)</f>
        <v>0</v>
      </c>
      <c r="BC2" s="110"/>
      <c r="BD2" s="110"/>
    </row>
    <row r="3" spans="1:56" s="29" customFormat="1" ht="20.100000000000001" customHeight="1">
      <c r="A3" s="37" t="str">
        <f>'RESUMEN VIGILANCIA'!A26</f>
        <v>Familia Gorrín Gianfrancesco</v>
      </c>
      <c r="B3" s="38" t="str">
        <f>'RESUMEN VIGILANCIA'!B26</f>
        <v>Calle Guacara Nro. 87-40</v>
      </c>
      <c r="C3" s="427"/>
      <c r="D3" s="434" t="s">
        <v>1315</v>
      </c>
      <c r="E3" s="415" t="str">
        <f>IF(ISBLANK('RESUMEN VIGILANCIA'!D26),"",'RESUMEN VIGILANCIA'!D26)</f>
        <v/>
      </c>
      <c r="F3" s="263" t="str">
        <f>IF(ISBLANK('RESUMEN VIGILANCIA'!E26),"",'RESUMEN VIGILANCIA'!E26)</f>
        <v/>
      </c>
      <c r="G3" s="199" t="str">
        <f>IF(ISBLANK('RESUMEN VIGILANCIA'!F26),"",'RESUMEN VIGILANCIA'!F26)</f>
        <v/>
      </c>
      <c r="H3" s="199" t="str">
        <f>IF(ISBLANK('RESUMEN VIGILANCIA'!G26),"",'RESUMEN VIGILANCIA'!G26)</f>
        <v/>
      </c>
      <c r="I3" s="199" t="str">
        <f>IF(ISBLANK('RESUMEN VIGILANCIA'!H26),"",'RESUMEN VIGILANCIA'!H26)</f>
        <v/>
      </c>
      <c r="J3" s="199" t="str">
        <f>IF(ISBLANK('RESUMEN VIGILANCIA'!I26),"",'RESUMEN VIGILANCIA'!I26)</f>
        <v/>
      </c>
      <c r="K3" s="199" t="str">
        <f>IF(ISBLANK('RESUMEN VIGILANCIA'!J26),"",'RESUMEN VIGILANCIA'!J26)</f>
        <v/>
      </c>
      <c r="L3" s="199" t="str">
        <f>IF(ISBLANK('RESUMEN VIGILANCIA'!K26),"",'RESUMEN VIGILANCIA'!K26)</f>
        <v/>
      </c>
      <c r="M3" s="199" t="str">
        <f>IF(ISBLANK('RESUMEN VIGILANCIA'!L26),"",'RESUMEN VIGILANCIA'!L26)</f>
        <v/>
      </c>
      <c r="N3" s="199" t="str">
        <f>IF(ISBLANK('RESUMEN VIGILANCIA'!M26),"",'RESUMEN VIGILANCIA'!M26)</f>
        <v/>
      </c>
      <c r="O3" s="199" t="str">
        <f>IF(ISBLANK('RESUMEN VIGILANCIA'!N26),"",'RESUMEN VIGILANCIA'!N26)</f>
        <v/>
      </c>
      <c r="P3" s="264" t="str">
        <f>IF(ISBLANK('RESUMEN VIGILANCIA'!O26),"",'RESUMEN VIGILANCIA'!O26)</f>
        <v/>
      </c>
      <c r="Q3" s="197" t="str">
        <f>IF(ISBLANK('RESUMEN VIGILANCIA'!P26),"",'RESUMEN VIGILANCIA'!P26)</f>
        <v/>
      </c>
      <c r="R3" s="265" t="str">
        <f>IF(ISBLANK('RESUMEN VIGILANCIA'!Q26),"",'RESUMEN VIGILANCIA'!Q26)</f>
        <v/>
      </c>
      <c r="S3" s="264" t="str">
        <f>IF(ISBLANK('RESUMEN VIGILANCIA'!R26),"",'RESUMEN VIGILANCIA'!R26)</f>
        <v/>
      </c>
      <c r="T3" s="264" t="str">
        <f>IF(ISBLANK('RESUMEN VIGILANCIA'!S26),"",'RESUMEN VIGILANCIA'!S26)</f>
        <v/>
      </c>
      <c r="U3" s="264" t="str">
        <f>IF(ISBLANK('RESUMEN VIGILANCIA'!T26),"",'RESUMEN VIGILANCIA'!T26)</f>
        <v/>
      </c>
      <c r="V3" s="264" t="str">
        <f>IF(ISBLANK('RESUMEN VIGILANCIA'!U26),"",'RESUMEN VIGILANCIA'!U26)</f>
        <v/>
      </c>
      <c r="W3" s="264" t="str">
        <f>IF(ISBLANK('RESUMEN VIGILANCIA'!V26),"",'RESUMEN VIGILANCIA'!V26)</f>
        <v/>
      </c>
      <c r="X3" s="264" t="str">
        <f>IF(ISBLANK('RESUMEN VIGILANCIA'!W26),"",'RESUMEN VIGILANCIA'!W26)</f>
        <v/>
      </c>
      <c r="Y3" s="264" t="str">
        <f>IF(ISBLANK('RESUMEN VIGILANCIA'!X26),"",'RESUMEN VIGILANCIA'!X26)</f>
        <v/>
      </c>
      <c r="Z3" s="453" t="str">
        <f>IF(ISBLANK('RESUMEN VIGILANCIA'!Y26),"",'RESUMEN VIGILANCIA'!Y26)</f>
        <v/>
      </c>
      <c r="AA3" s="453" t="str">
        <f>IF(ISBLANK('RESUMEN VIGILANCIA'!Z26),"",'RESUMEN VIGILANCIA'!Z26)</f>
        <v/>
      </c>
      <c r="AB3" s="453" t="str">
        <f>IF(ISBLANK('RESUMEN VIGILANCIA'!AA26),"",'RESUMEN VIGILANCIA'!AA26)</f>
        <v/>
      </c>
      <c r="AC3" s="454" t="str">
        <f>IF(ISBLANK('RESUMEN VIGILANCIA'!AB26),"",'RESUMEN VIGILANCIA'!AB26)</f>
        <v/>
      </c>
      <c r="AD3" s="384" t="str">
        <f>IF(ISBLANK('RESUMEN VIGILANCIA'!AC26),"",'RESUMEN VIGILANCIA'!AC26)</f>
        <v/>
      </c>
      <c r="AE3" s="385" t="str">
        <f>IF(ISBLANK('RESUMEN VIGILANCIA'!AD26),"",'RESUMEN VIGILANCIA'!AD26)</f>
        <v/>
      </c>
      <c r="AF3" s="385" t="str">
        <f>IF(ISBLANK('RESUMEN VIGILANCIA'!AE26),"",'RESUMEN VIGILANCIA'!AE26)</f>
        <v/>
      </c>
      <c r="AG3" s="385" t="str">
        <f>IF(ISBLANK('RESUMEN VIGILANCIA'!AF26),"",'RESUMEN VIGILANCIA'!AF26)</f>
        <v/>
      </c>
      <c r="AH3" s="385" t="str">
        <f>IF(ISBLANK('RESUMEN VIGILANCIA'!AG26),"",'RESUMEN VIGILANCIA'!AG26)</f>
        <v/>
      </c>
      <c r="AI3" s="385" t="str">
        <f>IF(ISBLANK('RESUMEN VIGILANCIA'!AH26),"",'RESUMEN VIGILANCIA'!AH26)</f>
        <v/>
      </c>
      <c r="AJ3" s="385" t="str">
        <f>IF(ISBLANK('RESUMEN VIGILANCIA'!AI26),"",'RESUMEN VIGILANCIA'!AI26)</f>
        <v/>
      </c>
      <c r="AK3" s="385" t="str">
        <f>IF(ISBLANK('RESUMEN VIGILANCIA'!AJ26),"",'RESUMEN VIGILANCIA'!AJ26)</f>
        <v/>
      </c>
      <c r="AL3" s="385" t="str">
        <f>IF(ISBLANK('RESUMEN VIGILANCIA'!AK26),"",'RESUMEN VIGILANCIA'!AK26)</f>
        <v/>
      </c>
      <c r="AM3" s="385" t="str">
        <f>IF(ISBLANK('RESUMEN VIGILANCIA'!AL26),"",'RESUMEN VIGILANCIA'!AL26)</f>
        <v/>
      </c>
      <c r="AN3" s="385" t="str">
        <f>IF(ISBLANK('RESUMEN VIGILANCIA'!AM26),"",'RESUMEN VIGILANCIA'!AM26)</f>
        <v/>
      </c>
      <c r="AO3" s="386" t="str">
        <f>IF(ISBLANK('RESUMEN VIGILANCIA'!AN26),"",'RESUMEN VIGILANCIA'!AN26)</f>
        <v/>
      </c>
      <c r="AP3" s="384" t="str">
        <f>IF(ISBLANK('RESUMEN VIGILANCIA'!AO26),"",'RESUMEN VIGILANCIA'!AO26)</f>
        <v/>
      </c>
      <c r="AQ3" s="385" t="str">
        <f>IF(ISBLANK('RESUMEN VIGILANCIA'!AP26),"",'RESUMEN VIGILANCIA'!AP26)</f>
        <v/>
      </c>
      <c r="AR3" s="385" t="str">
        <f>IF(ISBLANK('RESUMEN VIGILANCIA'!AQ26),"",'RESUMEN VIGILANCIA'!AQ26)</f>
        <v/>
      </c>
      <c r="AS3" s="385" t="str">
        <f>IF(ISBLANK('RESUMEN VIGILANCIA'!AR26),"",'RESUMEN VIGILANCIA'!AR26)</f>
        <v/>
      </c>
      <c r="AT3" s="385" t="str">
        <f>IF(ISBLANK('RESUMEN VIGILANCIA'!AS26),"",'RESUMEN VIGILANCIA'!AS26)</f>
        <v/>
      </c>
      <c r="AU3" s="385" t="str">
        <f>IF(ISBLANK('RESUMEN VIGILANCIA'!AT26),"",'RESUMEN VIGILANCIA'!AT26)</f>
        <v/>
      </c>
      <c r="AV3" s="385" t="str">
        <f>IF(ISBLANK('RESUMEN VIGILANCIA'!AU26),"",'RESUMEN VIGILANCIA'!AU26)</f>
        <v/>
      </c>
      <c r="AW3" s="385" t="str">
        <f>IF(ISBLANK('RESUMEN VIGILANCIA'!AV26),"",'RESUMEN VIGILANCIA'!AV26)</f>
        <v/>
      </c>
      <c r="AX3" s="385" t="str">
        <f>IF(ISBLANK('RESUMEN VIGILANCIA'!AW26),"",'RESUMEN VIGILANCIA'!AW26)</f>
        <v/>
      </c>
      <c r="AY3" s="385" t="str">
        <f>IF(ISBLANK('RESUMEN VIGILANCIA'!AX26),"",'RESUMEN VIGILANCIA'!AX26)</f>
        <v/>
      </c>
      <c r="AZ3" s="385" t="str">
        <f>IF(ISBLANK('RESUMEN VIGILANCIA'!AY26),"",'RESUMEN VIGILANCIA'!AY26)</f>
        <v/>
      </c>
      <c r="BA3" s="386" t="str">
        <f>IF(ISBLANK('RESUMEN VIGILANCIA'!AZ26),"",'RESUMEN VIGILANCIA'!AZ26)</f>
        <v/>
      </c>
      <c r="BB3" s="243">
        <f t="shared" si="0"/>
        <v>0</v>
      </c>
      <c r="BC3" s="110"/>
      <c r="BD3" s="110"/>
    </row>
    <row r="4" spans="1:56" s="29" customFormat="1" ht="20.100000000000001" customHeight="1">
      <c r="A4" s="37" t="str">
        <f>'RESUMEN VIGILANCIA'!A30</f>
        <v>Familia De Libero Marinelli</v>
      </c>
      <c r="B4" s="38" t="str">
        <f>'RESUMEN VIGILANCIA'!B30</f>
        <v>Calle Guacara Nro. 87-70</v>
      </c>
      <c r="C4" s="427"/>
      <c r="D4" s="434" t="s">
        <v>1315</v>
      </c>
      <c r="E4" s="415" t="str">
        <f>IF(ISBLANK('RESUMEN VIGILANCIA'!D30),"",'RESUMEN VIGILANCIA'!D30)</f>
        <v/>
      </c>
      <c r="F4" s="263" t="str">
        <f>IF(ISBLANK('RESUMEN VIGILANCIA'!E30),"",'RESUMEN VIGILANCIA'!E30)</f>
        <v/>
      </c>
      <c r="G4" s="199" t="str">
        <f>IF(ISBLANK('RESUMEN VIGILANCIA'!F30),"",'RESUMEN VIGILANCIA'!F30)</f>
        <v/>
      </c>
      <c r="H4" s="199" t="str">
        <f>IF(ISBLANK('RESUMEN VIGILANCIA'!G30),"",'RESUMEN VIGILANCIA'!G30)</f>
        <v/>
      </c>
      <c r="I4" s="199" t="str">
        <f>IF(ISBLANK('RESUMEN VIGILANCIA'!H30),"",'RESUMEN VIGILANCIA'!H30)</f>
        <v/>
      </c>
      <c r="J4" s="199" t="str">
        <f>IF(ISBLANK('RESUMEN VIGILANCIA'!I30),"",'RESUMEN VIGILANCIA'!I30)</f>
        <v/>
      </c>
      <c r="K4" s="199" t="str">
        <f>IF(ISBLANK('RESUMEN VIGILANCIA'!J30),"",'RESUMEN VIGILANCIA'!J30)</f>
        <v/>
      </c>
      <c r="L4" s="199" t="str">
        <f>IF(ISBLANK('RESUMEN VIGILANCIA'!K30),"",'RESUMEN VIGILANCIA'!K30)</f>
        <v/>
      </c>
      <c r="M4" s="199" t="str">
        <f>IF(ISBLANK('RESUMEN VIGILANCIA'!L30),"",'RESUMEN VIGILANCIA'!L30)</f>
        <v/>
      </c>
      <c r="N4" s="199" t="str">
        <f>IF(ISBLANK('RESUMEN VIGILANCIA'!M30),"",'RESUMEN VIGILANCIA'!M30)</f>
        <v/>
      </c>
      <c r="O4" s="199" t="str">
        <f>IF(ISBLANK('RESUMEN VIGILANCIA'!N30),"",'RESUMEN VIGILANCIA'!N30)</f>
        <v/>
      </c>
      <c r="P4" s="264" t="str">
        <f>IF(ISBLANK('RESUMEN VIGILANCIA'!O30),"",'RESUMEN VIGILANCIA'!O30)</f>
        <v/>
      </c>
      <c r="Q4" s="197" t="str">
        <f>IF(ISBLANK('RESUMEN VIGILANCIA'!P30),"",'RESUMEN VIGILANCIA'!P30)</f>
        <v/>
      </c>
      <c r="R4" s="265" t="str">
        <f>IF(ISBLANK('RESUMEN VIGILANCIA'!Q30),"",'RESUMEN VIGILANCIA'!Q30)</f>
        <v/>
      </c>
      <c r="S4" s="264" t="str">
        <f>IF(ISBLANK('RESUMEN VIGILANCIA'!R30),"",'RESUMEN VIGILANCIA'!R30)</f>
        <v/>
      </c>
      <c r="T4" s="264" t="str">
        <f>IF(ISBLANK('RESUMEN VIGILANCIA'!S30),"",'RESUMEN VIGILANCIA'!S30)</f>
        <v/>
      </c>
      <c r="U4" s="264" t="str">
        <f>IF(ISBLANK('RESUMEN VIGILANCIA'!T30),"",'RESUMEN VIGILANCIA'!T30)</f>
        <v/>
      </c>
      <c r="V4" s="264" t="str">
        <f>IF(ISBLANK('RESUMEN VIGILANCIA'!U30),"",'RESUMEN VIGILANCIA'!U30)</f>
        <v/>
      </c>
      <c r="W4" s="264" t="str">
        <f>IF(ISBLANK('RESUMEN VIGILANCIA'!V30),"",'RESUMEN VIGILANCIA'!V30)</f>
        <v/>
      </c>
      <c r="X4" s="264" t="str">
        <f>IF(ISBLANK('RESUMEN VIGILANCIA'!W30),"",'RESUMEN VIGILANCIA'!W30)</f>
        <v/>
      </c>
      <c r="Y4" s="264" t="str">
        <f>IF(ISBLANK('RESUMEN VIGILANCIA'!X30),"",'RESUMEN VIGILANCIA'!X30)</f>
        <v/>
      </c>
      <c r="Z4" s="453" t="str">
        <f>IF(ISBLANK('RESUMEN VIGILANCIA'!Y30),"",'RESUMEN VIGILANCIA'!Y30)</f>
        <v/>
      </c>
      <c r="AA4" s="453" t="str">
        <f>IF(ISBLANK('RESUMEN VIGILANCIA'!Z30),"",'RESUMEN VIGILANCIA'!Z30)</f>
        <v/>
      </c>
      <c r="AB4" s="453" t="str">
        <f>IF(ISBLANK('RESUMEN VIGILANCIA'!AA30),"",'RESUMEN VIGILANCIA'!AA30)</f>
        <v/>
      </c>
      <c r="AC4" s="454" t="str">
        <f>IF(ISBLANK('RESUMEN VIGILANCIA'!AB30),"",'RESUMEN VIGILANCIA'!AB30)</f>
        <v/>
      </c>
      <c r="AD4" s="384" t="str">
        <f>IF(ISBLANK('RESUMEN VIGILANCIA'!AC30),"",'RESUMEN VIGILANCIA'!AC30)</f>
        <v/>
      </c>
      <c r="AE4" s="385" t="str">
        <f>IF(ISBLANK('RESUMEN VIGILANCIA'!AD30),"",'RESUMEN VIGILANCIA'!AD30)</f>
        <v/>
      </c>
      <c r="AF4" s="385" t="str">
        <f>IF(ISBLANK('RESUMEN VIGILANCIA'!AE30),"",'RESUMEN VIGILANCIA'!AE30)</f>
        <v/>
      </c>
      <c r="AG4" s="385" t="str">
        <f>IF(ISBLANK('RESUMEN VIGILANCIA'!AF30),"",'RESUMEN VIGILANCIA'!AF30)</f>
        <v/>
      </c>
      <c r="AH4" s="385" t="str">
        <f>IF(ISBLANK('RESUMEN VIGILANCIA'!AG30),"",'RESUMEN VIGILANCIA'!AG30)</f>
        <v/>
      </c>
      <c r="AI4" s="385" t="str">
        <f>IF(ISBLANK('RESUMEN VIGILANCIA'!AH30),"",'RESUMEN VIGILANCIA'!AH30)</f>
        <v/>
      </c>
      <c r="AJ4" s="385" t="str">
        <f>IF(ISBLANK('RESUMEN VIGILANCIA'!AI30),"",'RESUMEN VIGILANCIA'!AI30)</f>
        <v/>
      </c>
      <c r="AK4" s="385" t="str">
        <f>IF(ISBLANK('RESUMEN VIGILANCIA'!AJ30),"",'RESUMEN VIGILANCIA'!AJ30)</f>
        <v/>
      </c>
      <c r="AL4" s="385" t="str">
        <f>IF(ISBLANK('RESUMEN VIGILANCIA'!AK30),"",'RESUMEN VIGILANCIA'!AK30)</f>
        <v/>
      </c>
      <c r="AM4" s="385" t="str">
        <f>IF(ISBLANK('RESUMEN VIGILANCIA'!AL30),"",'RESUMEN VIGILANCIA'!AL30)</f>
        <v/>
      </c>
      <c r="AN4" s="385" t="str">
        <f>IF(ISBLANK('RESUMEN VIGILANCIA'!AM30),"",'RESUMEN VIGILANCIA'!AM30)</f>
        <v/>
      </c>
      <c r="AO4" s="386" t="str">
        <f>IF(ISBLANK('RESUMEN VIGILANCIA'!AN30),"",'RESUMEN VIGILANCIA'!AN30)</f>
        <v/>
      </c>
      <c r="AP4" s="384" t="str">
        <f>IF(ISBLANK('RESUMEN VIGILANCIA'!AO30),"",'RESUMEN VIGILANCIA'!AO30)</f>
        <v/>
      </c>
      <c r="AQ4" s="385" t="str">
        <f>IF(ISBLANK('RESUMEN VIGILANCIA'!AP30),"",'RESUMEN VIGILANCIA'!AP30)</f>
        <v/>
      </c>
      <c r="AR4" s="385" t="str">
        <f>IF(ISBLANK('RESUMEN VIGILANCIA'!AQ30),"",'RESUMEN VIGILANCIA'!AQ30)</f>
        <v/>
      </c>
      <c r="AS4" s="385" t="str">
        <f>IF(ISBLANK('RESUMEN VIGILANCIA'!AR30),"",'RESUMEN VIGILANCIA'!AR30)</f>
        <v/>
      </c>
      <c r="AT4" s="385" t="str">
        <f>IF(ISBLANK('RESUMEN VIGILANCIA'!AS30),"",'RESUMEN VIGILANCIA'!AS30)</f>
        <v/>
      </c>
      <c r="AU4" s="385" t="str">
        <f>IF(ISBLANK('RESUMEN VIGILANCIA'!AT30),"",'RESUMEN VIGILANCIA'!AT30)</f>
        <v/>
      </c>
      <c r="AV4" s="385" t="str">
        <f>IF(ISBLANK('RESUMEN VIGILANCIA'!AU30),"",'RESUMEN VIGILANCIA'!AU30)</f>
        <v/>
      </c>
      <c r="AW4" s="385" t="str">
        <f>IF(ISBLANK('RESUMEN VIGILANCIA'!AV30),"",'RESUMEN VIGILANCIA'!AV30)</f>
        <v/>
      </c>
      <c r="AX4" s="385" t="str">
        <f>IF(ISBLANK('RESUMEN VIGILANCIA'!AW30),"",'RESUMEN VIGILANCIA'!AW30)</f>
        <v/>
      </c>
      <c r="AY4" s="385" t="str">
        <f>IF(ISBLANK('RESUMEN VIGILANCIA'!AX30),"",'RESUMEN VIGILANCIA'!AX30)</f>
        <v/>
      </c>
      <c r="AZ4" s="385" t="str">
        <f>IF(ISBLANK('RESUMEN VIGILANCIA'!AY30),"",'RESUMEN VIGILANCIA'!AY30)</f>
        <v/>
      </c>
      <c r="BA4" s="386" t="str">
        <f>IF(ISBLANK('RESUMEN VIGILANCIA'!AZ30),"",'RESUMEN VIGILANCIA'!AZ30)</f>
        <v/>
      </c>
      <c r="BB4" s="243">
        <f t="shared" si="0"/>
        <v>0</v>
      </c>
      <c r="BC4" s="110"/>
      <c r="BD4" s="110"/>
    </row>
    <row r="5" spans="1:56" s="29" customFormat="1" ht="20.100000000000001" customHeight="1">
      <c r="A5" s="37" t="str">
        <f>'RESUMEN VIGILANCIA'!A31</f>
        <v>Familia Martínez</v>
      </c>
      <c r="B5" s="38" t="str">
        <f>'RESUMEN VIGILANCIA'!B31</f>
        <v>Calle Guacara Nro. 87-80</v>
      </c>
      <c r="C5" s="427"/>
      <c r="D5" s="434" t="s">
        <v>1315</v>
      </c>
      <c r="E5" s="415" t="str">
        <f>IF(ISBLANK('RESUMEN VIGILANCIA'!D31),"",'RESUMEN VIGILANCIA'!D31)</f>
        <v/>
      </c>
      <c r="F5" s="263" t="str">
        <f>IF(ISBLANK('RESUMEN VIGILANCIA'!E31),"",'RESUMEN VIGILANCIA'!E31)</f>
        <v/>
      </c>
      <c r="G5" s="199" t="str">
        <f>IF(ISBLANK('RESUMEN VIGILANCIA'!F31),"",'RESUMEN VIGILANCIA'!F31)</f>
        <v/>
      </c>
      <c r="H5" s="199" t="str">
        <f>IF(ISBLANK('RESUMEN VIGILANCIA'!G31),"",'RESUMEN VIGILANCIA'!G31)</f>
        <v/>
      </c>
      <c r="I5" s="199" t="str">
        <f>IF(ISBLANK('RESUMEN VIGILANCIA'!H31),"",'RESUMEN VIGILANCIA'!H31)</f>
        <v/>
      </c>
      <c r="J5" s="199" t="str">
        <f>IF(ISBLANK('RESUMEN VIGILANCIA'!I31),"",'RESUMEN VIGILANCIA'!I31)</f>
        <v/>
      </c>
      <c r="K5" s="199" t="str">
        <f>IF(ISBLANK('RESUMEN VIGILANCIA'!J31),"",'RESUMEN VIGILANCIA'!J31)</f>
        <v/>
      </c>
      <c r="L5" s="199" t="str">
        <f>IF(ISBLANK('RESUMEN VIGILANCIA'!K31),"",'RESUMEN VIGILANCIA'!K31)</f>
        <v/>
      </c>
      <c r="M5" s="199" t="str">
        <f>IF(ISBLANK('RESUMEN VIGILANCIA'!L31),"",'RESUMEN VIGILANCIA'!L31)</f>
        <v/>
      </c>
      <c r="N5" s="199" t="str">
        <f>IF(ISBLANK('RESUMEN VIGILANCIA'!M31),"",'RESUMEN VIGILANCIA'!M31)</f>
        <v/>
      </c>
      <c r="O5" s="199" t="str">
        <f>IF(ISBLANK('RESUMEN VIGILANCIA'!N31),"",'RESUMEN VIGILANCIA'!N31)</f>
        <v/>
      </c>
      <c r="P5" s="264" t="str">
        <f>IF(ISBLANK('RESUMEN VIGILANCIA'!O31),"",'RESUMEN VIGILANCIA'!O31)</f>
        <v/>
      </c>
      <c r="Q5" s="197" t="str">
        <f>IF(ISBLANK('RESUMEN VIGILANCIA'!P31),"",'RESUMEN VIGILANCIA'!P31)</f>
        <v/>
      </c>
      <c r="R5" s="265" t="str">
        <f>IF(ISBLANK('RESUMEN VIGILANCIA'!Q31),"",'RESUMEN VIGILANCIA'!Q31)</f>
        <v/>
      </c>
      <c r="S5" s="264" t="str">
        <f>IF(ISBLANK('RESUMEN VIGILANCIA'!R31),"",'RESUMEN VIGILANCIA'!R31)</f>
        <v/>
      </c>
      <c r="T5" s="264" t="str">
        <f>IF(ISBLANK('RESUMEN VIGILANCIA'!S31),"",'RESUMEN VIGILANCIA'!S31)</f>
        <v/>
      </c>
      <c r="U5" s="264" t="str">
        <f>IF(ISBLANK('RESUMEN VIGILANCIA'!T31),"",'RESUMEN VIGILANCIA'!T31)</f>
        <v/>
      </c>
      <c r="V5" s="264" t="str">
        <f>IF(ISBLANK('RESUMEN VIGILANCIA'!U31),"",'RESUMEN VIGILANCIA'!U31)</f>
        <v/>
      </c>
      <c r="W5" s="264" t="str">
        <f>IF(ISBLANK('RESUMEN VIGILANCIA'!V31),"",'RESUMEN VIGILANCIA'!V31)</f>
        <v/>
      </c>
      <c r="X5" s="264" t="str">
        <f>IF(ISBLANK('RESUMEN VIGILANCIA'!W31),"",'RESUMEN VIGILANCIA'!W31)</f>
        <v/>
      </c>
      <c r="Y5" s="264" t="str">
        <f>IF(ISBLANK('RESUMEN VIGILANCIA'!X31),"",'RESUMEN VIGILANCIA'!X31)</f>
        <v/>
      </c>
      <c r="Z5" s="453" t="str">
        <f>IF(ISBLANK('RESUMEN VIGILANCIA'!Y31),"",'RESUMEN VIGILANCIA'!Y31)</f>
        <v/>
      </c>
      <c r="AA5" s="453" t="str">
        <f>IF(ISBLANK('RESUMEN VIGILANCIA'!Z31),"",'RESUMEN VIGILANCIA'!Z31)</f>
        <v/>
      </c>
      <c r="AB5" s="453" t="str">
        <f>IF(ISBLANK('RESUMEN VIGILANCIA'!AA31),"",'RESUMEN VIGILANCIA'!AA31)</f>
        <v/>
      </c>
      <c r="AC5" s="454" t="str">
        <f>IF(ISBLANK('RESUMEN VIGILANCIA'!AB31),"",'RESUMEN VIGILANCIA'!AB31)</f>
        <v/>
      </c>
      <c r="AD5" s="384" t="str">
        <f>IF(ISBLANK('RESUMEN VIGILANCIA'!AC31),"",'RESUMEN VIGILANCIA'!AC31)</f>
        <v/>
      </c>
      <c r="AE5" s="385" t="str">
        <f>IF(ISBLANK('RESUMEN VIGILANCIA'!AD31),"",'RESUMEN VIGILANCIA'!AD31)</f>
        <v/>
      </c>
      <c r="AF5" s="385" t="str">
        <f>IF(ISBLANK('RESUMEN VIGILANCIA'!AE31),"",'RESUMEN VIGILANCIA'!AE31)</f>
        <v/>
      </c>
      <c r="AG5" s="385" t="str">
        <f>IF(ISBLANK('RESUMEN VIGILANCIA'!AF31),"",'RESUMEN VIGILANCIA'!AF31)</f>
        <v/>
      </c>
      <c r="AH5" s="385" t="str">
        <f>IF(ISBLANK('RESUMEN VIGILANCIA'!AG31),"",'RESUMEN VIGILANCIA'!AG31)</f>
        <v/>
      </c>
      <c r="AI5" s="385" t="str">
        <f>IF(ISBLANK('RESUMEN VIGILANCIA'!AH31),"",'RESUMEN VIGILANCIA'!AH31)</f>
        <v/>
      </c>
      <c r="AJ5" s="385" t="str">
        <f>IF(ISBLANK('RESUMEN VIGILANCIA'!AI31),"",'RESUMEN VIGILANCIA'!AI31)</f>
        <v/>
      </c>
      <c r="AK5" s="385" t="str">
        <f>IF(ISBLANK('RESUMEN VIGILANCIA'!AJ31),"",'RESUMEN VIGILANCIA'!AJ31)</f>
        <v/>
      </c>
      <c r="AL5" s="385" t="str">
        <f>IF(ISBLANK('RESUMEN VIGILANCIA'!AK31),"",'RESUMEN VIGILANCIA'!AK31)</f>
        <v/>
      </c>
      <c r="AM5" s="385" t="str">
        <f>IF(ISBLANK('RESUMEN VIGILANCIA'!AL31),"",'RESUMEN VIGILANCIA'!AL31)</f>
        <v/>
      </c>
      <c r="AN5" s="385" t="str">
        <f>IF(ISBLANK('RESUMEN VIGILANCIA'!AM31),"",'RESUMEN VIGILANCIA'!AM31)</f>
        <v/>
      </c>
      <c r="AO5" s="386" t="str">
        <f>IF(ISBLANK('RESUMEN VIGILANCIA'!AN31),"",'RESUMEN VIGILANCIA'!AN31)</f>
        <v/>
      </c>
      <c r="AP5" s="384" t="str">
        <f>IF(ISBLANK('RESUMEN VIGILANCIA'!AO31),"",'RESUMEN VIGILANCIA'!AO31)</f>
        <v/>
      </c>
      <c r="AQ5" s="385" t="str">
        <f>IF(ISBLANK('RESUMEN VIGILANCIA'!AP31),"",'RESUMEN VIGILANCIA'!AP31)</f>
        <v/>
      </c>
      <c r="AR5" s="385" t="str">
        <f>IF(ISBLANK('RESUMEN VIGILANCIA'!AQ31),"",'RESUMEN VIGILANCIA'!AQ31)</f>
        <v/>
      </c>
      <c r="AS5" s="385" t="str">
        <f>IF(ISBLANK('RESUMEN VIGILANCIA'!AR31),"",'RESUMEN VIGILANCIA'!AR31)</f>
        <v/>
      </c>
      <c r="AT5" s="385" t="str">
        <f>IF(ISBLANK('RESUMEN VIGILANCIA'!AS31),"",'RESUMEN VIGILANCIA'!AS31)</f>
        <v/>
      </c>
      <c r="AU5" s="385" t="str">
        <f>IF(ISBLANK('RESUMEN VIGILANCIA'!AT31),"",'RESUMEN VIGILANCIA'!AT31)</f>
        <v/>
      </c>
      <c r="AV5" s="385" t="str">
        <f>IF(ISBLANK('RESUMEN VIGILANCIA'!AU31),"",'RESUMEN VIGILANCIA'!AU31)</f>
        <v/>
      </c>
      <c r="AW5" s="385" t="str">
        <f>IF(ISBLANK('RESUMEN VIGILANCIA'!AV31),"",'RESUMEN VIGILANCIA'!AV31)</f>
        <v/>
      </c>
      <c r="AX5" s="385" t="str">
        <f>IF(ISBLANK('RESUMEN VIGILANCIA'!AW31),"",'RESUMEN VIGILANCIA'!AW31)</f>
        <v/>
      </c>
      <c r="AY5" s="385" t="str">
        <f>IF(ISBLANK('RESUMEN VIGILANCIA'!AX31),"",'RESUMEN VIGILANCIA'!AX31)</f>
        <v/>
      </c>
      <c r="AZ5" s="385" t="str">
        <f>IF(ISBLANK('RESUMEN VIGILANCIA'!AY31),"",'RESUMEN VIGILANCIA'!AY31)</f>
        <v/>
      </c>
      <c r="BA5" s="386" t="str">
        <f>IF(ISBLANK('RESUMEN VIGILANCIA'!AZ31),"",'RESUMEN VIGILANCIA'!AZ31)</f>
        <v/>
      </c>
      <c r="BB5" s="243">
        <f t="shared" si="0"/>
        <v>0</v>
      </c>
      <c r="BC5" s="110"/>
      <c r="BD5" s="110"/>
    </row>
    <row r="6" spans="1:56" s="29" customFormat="1" ht="20.100000000000001" customHeight="1">
      <c r="A6" s="37" t="str">
        <f>'RESUMEN VIGILANCIA'!A32</f>
        <v>Familia Suarez</v>
      </c>
      <c r="B6" s="38" t="str">
        <f>'RESUMEN VIGILANCIA'!B32</f>
        <v>Calle Guacara Nro. 87-82</v>
      </c>
      <c r="C6" s="427"/>
      <c r="D6" s="434" t="s">
        <v>1315</v>
      </c>
      <c r="E6" s="415" t="str">
        <f>IF(ISBLANK('RESUMEN VIGILANCIA'!D32),"",'RESUMEN VIGILANCIA'!D32)</f>
        <v/>
      </c>
      <c r="F6" s="263" t="str">
        <f>IF(ISBLANK('RESUMEN VIGILANCIA'!E32),"",'RESUMEN VIGILANCIA'!E32)</f>
        <v/>
      </c>
      <c r="G6" s="199" t="str">
        <f>IF(ISBLANK('RESUMEN VIGILANCIA'!F32),"",'RESUMEN VIGILANCIA'!F32)</f>
        <v/>
      </c>
      <c r="H6" s="199" t="str">
        <f>IF(ISBLANK('RESUMEN VIGILANCIA'!G32),"",'RESUMEN VIGILANCIA'!G32)</f>
        <v/>
      </c>
      <c r="I6" s="199" t="str">
        <f>IF(ISBLANK('RESUMEN VIGILANCIA'!H32),"",'RESUMEN VIGILANCIA'!H32)</f>
        <v/>
      </c>
      <c r="J6" s="199" t="str">
        <f>IF(ISBLANK('RESUMEN VIGILANCIA'!I32),"",'RESUMEN VIGILANCIA'!I32)</f>
        <v/>
      </c>
      <c r="K6" s="199" t="str">
        <f>IF(ISBLANK('RESUMEN VIGILANCIA'!J32),"",'RESUMEN VIGILANCIA'!J32)</f>
        <v/>
      </c>
      <c r="L6" s="199" t="str">
        <f>IF(ISBLANK('RESUMEN VIGILANCIA'!K32),"",'RESUMEN VIGILANCIA'!K32)</f>
        <v/>
      </c>
      <c r="M6" s="199" t="str">
        <f>IF(ISBLANK('RESUMEN VIGILANCIA'!L32),"",'RESUMEN VIGILANCIA'!L32)</f>
        <v/>
      </c>
      <c r="N6" s="199" t="str">
        <f>IF(ISBLANK('RESUMEN VIGILANCIA'!M32),"",'RESUMEN VIGILANCIA'!M32)</f>
        <v/>
      </c>
      <c r="O6" s="199" t="str">
        <f>IF(ISBLANK('RESUMEN VIGILANCIA'!N32),"",'RESUMEN VIGILANCIA'!N32)</f>
        <v/>
      </c>
      <c r="P6" s="264" t="str">
        <f>IF(ISBLANK('RESUMEN VIGILANCIA'!O32),"",'RESUMEN VIGILANCIA'!O32)</f>
        <v/>
      </c>
      <c r="Q6" s="197" t="str">
        <f>IF(ISBLANK('RESUMEN VIGILANCIA'!P32),"",'RESUMEN VIGILANCIA'!P32)</f>
        <v/>
      </c>
      <c r="R6" s="265" t="str">
        <f>IF(ISBLANK('RESUMEN VIGILANCIA'!Q32),"",'RESUMEN VIGILANCIA'!Q32)</f>
        <v/>
      </c>
      <c r="S6" s="264" t="str">
        <f>IF(ISBLANK('RESUMEN VIGILANCIA'!R32),"",'RESUMEN VIGILANCIA'!R32)</f>
        <v/>
      </c>
      <c r="T6" s="264" t="str">
        <f>IF(ISBLANK('RESUMEN VIGILANCIA'!S32),"",'RESUMEN VIGILANCIA'!S32)</f>
        <v/>
      </c>
      <c r="U6" s="264" t="str">
        <f>IF(ISBLANK('RESUMEN VIGILANCIA'!T32),"",'RESUMEN VIGILANCIA'!T32)</f>
        <v/>
      </c>
      <c r="V6" s="264" t="str">
        <f>IF(ISBLANK('RESUMEN VIGILANCIA'!U32),"",'RESUMEN VIGILANCIA'!U32)</f>
        <v/>
      </c>
      <c r="W6" s="264" t="str">
        <f>IF(ISBLANK('RESUMEN VIGILANCIA'!V32),"",'RESUMEN VIGILANCIA'!V32)</f>
        <v/>
      </c>
      <c r="X6" s="264" t="str">
        <f>IF(ISBLANK('RESUMEN VIGILANCIA'!W32),"",'RESUMEN VIGILANCIA'!W32)</f>
        <v/>
      </c>
      <c r="Y6" s="264" t="str">
        <f>IF(ISBLANK('RESUMEN VIGILANCIA'!X32),"",'RESUMEN VIGILANCIA'!X32)</f>
        <v/>
      </c>
      <c r="Z6" s="453" t="str">
        <f>IF(ISBLANK('RESUMEN VIGILANCIA'!Y32),"",'RESUMEN VIGILANCIA'!Y32)</f>
        <v/>
      </c>
      <c r="AA6" s="453" t="str">
        <f>IF(ISBLANK('RESUMEN VIGILANCIA'!Z32),"",'RESUMEN VIGILANCIA'!Z32)</f>
        <v/>
      </c>
      <c r="AB6" s="453" t="str">
        <f>IF(ISBLANK('RESUMEN VIGILANCIA'!AA32),"",'RESUMEN VIGILANCIA'!AA32)</f>
        <v/>
      </c>
      <c r="AC6" s="454" t="str">
        <f>IF(ISBLANK('RESUMEN VIGILANCIA'!AB32),"",'RESUMEN VIGILANCIA'!AB32)</f>
        <v/>
      </c>
      <c r="AD6" s="384" t="str">
        <f>IF(ISBLANK('RESUMEN VIGILANCIA'!AC32),"",'RESUMEN VIGILANCIA'!AC32)</f>
        <v/>
      </c>
      <c r="AE6" s="385" t="str">
        <f>IF(ISBLANK('RESUMEN VIGILANCIA'!AD32),"",'RESUMEN VIGILANCIA'!AD32)</f>
        <v/>
      </c>
      <c r="AF6" s="385" t="str">
        <f>IF(ISBLANK('RESUMEN VIGILANCIA'!AE32),"",'RESUMEN VIGILANCIA'!AE32)</f>
        <v/>
      </c>
      <c r="AG6" s="385" t="str">
        <f>IF(ISBLANK('RESUMEN VIGILANCIA'!AF32),"",'RESUMEN VIGILANCIA'!AF32)</f>
        <v/>
      </c>
      <c r="AH6" s="385" t="str">
        <f>IF(ISBLANK('RESUMEN VIGILANCIA'!AG32),"",'RESUMEN VIGILANCIA'!AG32)</f>
        <v/>
      </c>
      <c r="AI6" s="385" t="str">
        <f>IF(ISBLANK('RESUMEN VIGILANCIA'!AH32),"",'RESUMEN VIGILANCIA'!AH32)</f>
        <v/>
      </c>
      <c r="AJ6" s="385" t="str">
        <f>IF(ISBLANK('RESUMEN VIGILANCIA'!AI32),"",'RESUMEN VIGILANCIA'!AI32)</f>
        <v/>
      </c>
      <c r="AK6" s="385" t="str">
        <f>IF(ISBLANK('RESUMEN VIGILANCIA'!AJ32),"",'RESUMEN VIGILANCIA'!AJ32)</f>
        <v/>
      </c>
      <c r="AL6" s="385" t="str">
        <f>IF(ISBLANK('RESUMEN VIGILANCIA'!AK32),"",'RESUMEN VIGILANCIA'!AK32)</f>
        <v/>
      </c>
      <c r="AM6" s="385" t="str">
        <f>IF(ISBLANK('RESUMEN VIGILANCIA'!AL32),"",'RESUMEN VIGILANCIA'!AL32)</f>
        <v/>
      </c>
      <c r="AN6" s="385" t="str">
        <f>IF(ISBLANK('RESUMEN VIGILANCIA'!AM32),"",'RESUMEN VIGILANCIA'!AM32)</f>
        <v/>
      </c>
      <c r="AO6" s="386" t="str">
        <f>IF(ISBLANK('RESUMEN VIGILANCIA'!AN32),"",'RESUMEN VIGILANCIA'!AN32)</f>
        <v/>
      </c>
      <c r="AP6" s="384" t="str">
        <f>IF(ISBLANK('RESUMEN VIGILANCIA'!AO32),"",'RESUMEN VIGILANCIA'!AO32)</f>
        <v/>
      </c>
      <c r="AQ6" s="385" t="str">
        <f>IF(ISBLANK('RESUMEN VIGILANCIA'!AP32),"",'RESUMEN VIGILANCIA'!AP32)</f>
        <v/>
      </c>
      <c r="AR6" s="385" t="str">
        <f>IF(ISBLANK('RESUMEN VIGILANCIA'!AQ32),"",'RESUMEN VIGILANCIA'!AQ32)</f>
        <v/>
      </c>
      <c r="AS6" s="385" t="str">
        <f>IF(ISBLANK('RESUMEN VIGILANCIA'!AR32),"",'RESUMEN VIGILANCIA'!AR32)</f>
        <v/>
      </c>
      <c r="AT6" s="385" t="str">
        <f>IF(ISBLANK('RESUMEN VIGILANCIA'!AS32),"",'RESUMEN VIGILANCIA'!AS32)</f>
        <v/>
      </c>
      <c r="AU6" s="385" t="str">
        <f>IF(ISBLANK('RESUMEN VIGILANCIA'!AT32),"",'RESUMEN VIGILANCIA'!AT32)</f>
        <v/>
      </c>
      <c r="AV6" s="385" t="str">
        <f>IF(ISBLANK('RESUMEN VIGILANCIA'!AU32),"",'RESUMEN VIGILANCIA'!AU32)</f>
        <v/>
      </c>
      <c r="AW6" s="385" t="str">
        <f>IF(ISBLANK('RESUMEN VIGILANCIA'!AV32),"",'RESUMEN VIGILANCIA'!AV32)</f>
        <v/>
      </c>
      <c r="AX6" s="385" t="str">
        <f>IF(ISBLANK('RESUMEN VIGILANCIA'!AW32),"",'RESUMEN VIGILANCIA'!AW32)</f>
        <v/>
      </c>
      <c r="AY6" s="385" t="str">
        <f>IF(ISBLANK('RESUMEN VIGILANCIA'!AX32),"",'RESUMEN VIGILANCIA'!AX32)</f>
        <v/>
      </c>
      <c r="AZ6" s="385" t="str">
        <f>IF(ISBLANK('RESUMEN VIGILANCIA'!AY32),"",'RESUMEN VIGILANCIA'!AY32)</f>
        <v/>
      </c>
      <c r="BA6" s="386" t="str">
        <f>IF(ISBLANK('RESUMEN VIGILANCIA'!AZ32),"",'RESUMEN VIGILANCIA'!AZ32)</f>
        <v/>
      </c>
      <c r="BB6" s="243">
        <f t="shared" si="0"/>
        <v>0</v>
      </c>
      <c r="BC6" s="110"/>
      <c r="BD6" s="110"/>
    </row>
    <row r="7" spans="1:56" s="29" customFormat="1" ht="20.100000000000001" customHeight="1">
      <c r="A7" s="358" t="str">
        <f>'RESUMEN VIGILANCIA'!A33</f>
        <v>Chin Chun Ya (Goya)</v>
      </c>
      <c r="B7" s="359" t="str">
        <f>'RESUMEN VIGILANCIA'!B33</f>
        <v>Calle Guacara Nro. 87-86</v>
      </c>
      <c r="C7" s="430" t="s">
        <v>1316</v>
      </c>
      <c r="D7" s="435" t="s">
        <v>1315</v>
      </c>
      <c r="E7" s="416" t="str">
        <f>IF(ISBLANK('RESUMEN VIGILANCIA'!D33),"",'RESUMEN VIGILANCIA'!D33)</f>
        <v/>
      </c>
      <c r="F7" s="266">
        <f>IF(ISBLANK('RESUMEN VIGILANCIA'!E33),"",'RESUMEN VIGILANCIA'!E33)</f>
        <v>0.05</v>
      </c>
      <c r="G7" s="188">
        <f>IF(ISBLANK('RESUMEN VIGILANCIA'!F33),"",'RESUMEN VIGILANCIA'!F33)</f>
        <v>0.05</v>
      </c>
      <c r="H7" s="188">
        <f>IF(ISBLANK('RESUMEN VIGILANCIA'!G33),"",'RESUMEN VIGILANCIA'!G33)</f>
        <v>7.0000000000000007E-2</v>
      </c>
      <c r="I7" s="188">
        <f>IF(ISBLANK('RESUMEN VIGILANCIA'!H33),"",'RESUMEN VIGILANCIA'!H33)</f>
        <v>7.0000000000000007E-2</v>
      </c>
      <c r="J7" s="188">
        <f>IF(ISBLANK('RESUMEN VIGILANCIA'!I33),"",'RESUMEN VIGILANCIA'!I33)</f>
        <v>7.0000000000000007E-2</v>
      </c>
      <c r="K7" s="188">
        <f>IF(ISBLANK('RESUMEN VIGILANCIA'!J33),"",'RESUMEN VIGILANCIA'!J33)</f>
        <v>0.1</v>
      </c>
      <c r="L7" s="188">
        <f>IF(ISBLANK('RESUMEN VIGILANCIA'!K33),"",'RESUMEN VIGILANCIA'!K33)</f>
        <v>0.1</v>
      </c>
      <c r="M7" s="188">
        <f>IF(ISBLANK('RESUMEN VIGILANCIA'!L33),"",'RESUMEN VIGILANCIA'!L33)</f>
        <v>0.15</v>
      </c>
      <c r="N7" s="188">
        <f>IF(ISBLANK('RESUMEN VIGILANCIA'!M33),"",'RESUMEN VIGILANCIA'!M33)</f>
        <v>0.15</v>
      </c>
      <c r="O7" s="188">
        <f>IF(ISBLANK('RESUMEN VIGILANCIA'!N33),"",'RESUMEN VIGILANCIA'!N33)</f>
        <v>0.15</v>
      </c>
      <c r="P7" s="267">
        <f>IF(ISBLANK('RESUMEN VIGILANCIA'!O33),"",'RESUMEN VIGILANCIA'!O33)</f>
        <v>0.35</v>
      </c>
      <c r="Q7" s="186">
        <f>IF(ISBLANK('RESUMEN VIGILANCIA'!P33),"",'RESUMEN VIGILANCIA'!P33)</f>
        <v>0.35</v>
      </c>
      <c r="R7" s="268">
        <f>IF(ISBLANK('RESUMEN VIGILANCIA'!Q33),"",'RESUMEN VIGILANCIA'!Q33)</f>
        <v>0.35</v>
      </c>
      <c r="S7" s="267">
        <f>IF(ISBLANK('RESUMEN VIGILANCIA'!R33),"",'RESUMEN VIGILANCIA'!R33)</f>
        <v>0.8</v>
      </c>
      <c r="T7" s="267">
        <f>IF(ISBLANK('RESUMEN VIGILANCIA'!S33),"",'RESUMEN VIGILANCIA'!S33)</f>
        <v>1</v>
      </c>
      <c r="U7" s="267">
        <f>IF(ISBLANK('RESUMEN VIGILANCIA'!T33),"",'RESUMEN VIGILANCIA'!T33)</f>
        <v>1</v>
      </c>
      <c r="V7" s="267">
        <f>IF(ISBLANK('RESUMEN VIGILANCIA'!U33),"",'RESUMEN VIGILANCIA'!U33)</f>
        <v>2</v>
      </c>
      <c r="W7" s="267">
        <f>IF(ISBLANK('RESUMEN VIGILANCIA'!V33),"",'RESUMEN VIGILANCIA'!V33)</f>
        <v>6.25</v>
      </c>
      <c r="X7" s="270">
        <f>IF(ISBLANK('RESUMEN VIGILANCIA'!W33),"",'RESUMEN VIGILANCIA'!W33)</f>
        <v>10</v>
      </c>
      <c r="Y7" s="270">
        <f>IF(ISBLANK('RESUMEN VIGILANCIA'!X33),"",'RESUMEN VIGILANCIA'!X33)</f>
        <v>12</v>
      </c>
      <c r="Z7" s="455">
        <f>IF(ISBLANK('RESUMEN VIGILANCIA'!Y33),"",'RESUMEN VIGILANCIA'!Y33)</f>
        <v>320</v>
      </c>
      <c r="AA7" s="455">
        <f>IF(ISBLANK('RESUMEN VIGILANCIA'!Z33),"",'RESUMEN VIGILANCIA'!Z33)</f>
        <v>320</v>
      </c>
      <c r="AB7" s="455">
        <f>IF(ISBLANK('RESUMEN VIGILANCIA'!AA33),"",'RESUMEN VIGILANCIA'!AA33)</f>
        <v>320</v>
      </c>
      <c r="AC7" s="456">
        <f>IF(ISBLANK('RESUMEN VIGILANCIA'!AB33),"",'RESUMEN VIGILANCIA'!AB33)</f>
        <v>800</v>
      </c>
      <c r="AD7" s="376">
        <f>IF(ISBLANK('RESUMEN VIGILANCIA'!AC33),"",'RESUMEN VIGILANCIA'!AC33)</f>
        <v>3000</v>
      </c>
      <c r="AE7" s="377">
        <f>IF(ISBLANK('RESUMEN VIGILANCIA'!AD33),"",'RESUMEN VIGILANCIA'!AD33)</f>
        <v>3000</v>
      </c>
      <c r="AF7" s="377">
        <f>IF(ISBLANK('RESUMEN VIGILANCIA'!AE33),"",'RESUMEN VIGILANCIA'!AE33)</f>
        <v>3000</v>
      </c>
      <c r="AG7" s="377">
        <f>IF(ISBLANK('RESUMEN VIGILANCIA'!AF33),"",'RESUMEN VIGILANCIA'!AF33)</f>
        <v>5000</v>
      </c>
      <c r="AH7" s="377">
        <f>IF(ISBLANK('RESUMEN VIGILANCIA'!AG33),"",'RESUMEN VIGILANCIA'!AG33)</f>
        <v>5000</v>
      </c>
      <c r="AI7" s="377">
        <f>IF(ISBLANK('RESUMEN VIGILANCIA'!AH33),"",'RESUMEN VIGILANCIA'!AH33)</f>
        <v>8000</v>
      </c>
      <c r="AJ7" s="377">
        <f>IF(ISBLANK('RESUMEN VIGILANCIA'!AI33),"",'RESUMEN VIGILANCIA'!AI33)</f>
        <v>10000</v>
      </c>
      <c r="AK7" s="377">
        <f>IF(ISBLANK('RESUMEN VIGILANCIA'!AJ33),"",'RESUMEN VIGILANCIA'!AJ33)</f>
        <v>10000</v>
      </c>
      <c r="AL7" s="377">
        <f>IF(ISBLANK('RESUMEN VIGILANCIA'!AK33),"",'RESUMEN VIGILANCIA'!AK33)</f>
        <v>23400</v>
      </c>
      <c r="AM7" s="377">
        <f>IF(ISBLANK('RESUMEN VIGILANCIA'!AL33),"",'RESUMEN VIGILANCIA'!AL33)</f>
        <v>51100</v>
      </c>
      <c r="AN7" s="377">
        <f>IF(ISBLANK('RESUMEN VIGILANCIA'!AM33),"",'RESUMEN VIGILANCIA'!AM33)</f>
        <v>56250</v>
      </c>
      <c r="AO7" s="378">
        <f>IF(ISBLANK('RESUMEN VIGILANCIA'!AN33),"",'RESUMEN VIGILANCIA'!AN33)</f>
        <v>97500</v>
      </c>
      <c r="AP7" s="376">
        <f>IF(ISBLANK('RESUMEN VIGILANCIA'!AO33),"",'RESUMEN VIGILANCIA'!AO33)</f>
        <v>136250</v>
      </c>
      <c r="AQ7" s="377">
        <f>IF(ISBLANK('RESUMEN VIGILANCIA'!AP33),"",'RESUMEN VIGILANCIA'!AP33)</f>
        <v>136250</v>
      </c>
      <c r="AR7" s="377">
        <f>IF(ISBLANK('RESUMEN VIGILANCIA'!AQ33),"",'RESUMEN VIGILANCIA'!AQ33)</f>
        <v>185250</v>
      </c>
      <c r="AS7" s="377" t="str">
        <f>IF(ISBLANK('RESUMEN VIGILANCIA'!AR33),"",'RESUMEN VIGILANCIA'!AR33)</f>
        <v/>
      </c>
      <c r="AT7" s="377" t="str">
        <f>IF(ISBLANK('RESUMEN VIGILANCIA'!AS33),"",'RESUMEN VIGILANCIA'!AS33)</f>
        <v/>
      </c>
      <c r="AU7" s="377" t="str">
        <f>IF(ISBLANK('RESUMEN VIGILANCIA'!AT33),"",'RESUMEN VIGILANCIA'!AT33)</f>
        <v/>
      </c>
      <c r="AV7" s="377" t="str">
        <f>IF(ISBLANK('RESUMEN VIGILANCIA'!AU33),"",'RESUMEN VIGILANCIA'!AU33)</f>
        <v/>
      </c>
      <c r="AW7" s="377" t="str">
        <f>IF(ISBLANK('RESUMEN VIGILANCIA'!AV33),"",'RESUMEN VIGILANCIA'!AV33)</f>
        <v/>
      </c>
      <c r="AX7" s="377" t="str">
        <f>IF(ISBLANK('RESUMEN VIGILANCIA'!AW33),"",'RESUMEN VIGILANCIA'!AW33)</f>
        <v/>
      </c>
      <c r="AY7" s="377" t="str">
        <f>IF(ISBLANK('RESUMEN VIGILANCIA'!AX33),"",'RESUMEN VIGILANCIA'!AX33)</f>
        <v/>
      </c>
      <c r="AZ7" s="377" t="str">
        <f>IF(ISBLANK('RESUMEN VIGILANCIA'!AY33),"",'RESUMEN VIGILANCIA'!AY33)</f>
        <v/>
      </c>
      <c r="BA7" s="378" t="str">
        <f>IF(ISBLANK('RESUMEN VIGILANCIA'!AZ33),"",'RESUMEN VIGILANCIA'!AZ33)</f>
        <v/>
      </c>
      <c r="BB7" s="242">
        <f t="shared" si="0"/>
        <v>277045.06</v>
      </c>
      <c r="BC7" s="112"/>
      <c r="BD7" s="112">
        <v>43921</v>
      </c>
    </row>
    <row r="8" spans="1:56" s="29" customFormat="1" ht="20.100000000000001" customHeight="1">
      <c r="A8" s="358" t="str">
        <f>'RESUMEN VIGILANCIA'!A34</f>
        <v>Familia Ríos Sambrano</v>
      </c>
      <c r="B8" s="359" t="str">
        <f>'RESUMEN VIGILANCIA'!B34</f>
        <v>Calle Guacara Nro. 87-86</v>
      </c>
      <c r="C8" s="430" t="s">
        <v>1316</v>
      </c>
      <c r="D8" s="435" t="s">
        <v>17</v>
      </c>
      <c r="E8" s="416" t="str">
        <f>IF(ISBLANK('RESUMEN VIGILANCIA'!D34),"",'RESUMEN VIGILANCIA'!D34)</f>
        <v/>
      </c>
      <c r="F8" s="266" t="str">
        <f>IF(ISBLANK('RESUMEN VIGILANCIA'!E34),"",'RESUMEN VIGILANCIA'!E34)</f>
        <v/>
      </c>
      <c r="G8" s="188" t="str">
        <f>IF(ISBLANK('RESUMEN VIGILANCIA'!F34),"",'RESUMEN VIGILANCIA'!F34)</f>
        <v/>
      </c>
      <c r="H8" s="188" t="str">
        <f>IF(ISBLANK('RESUMEN VIGILANCIA'!G34),"",'RESUMEN VIGILANCIA'!G34)</f>
        <v/>
      </c>
      <c r="I8" s="188" t="str">
        <f>IF(ISBLANK('RESUMEN VIGILANCIA'!H34),"",'RESUMEN VIGILANCIA'!H34)</f>
        <v/>
      </c>
      <c r="J8" s="188" t="str">
        <f>IF(ISBLANK('RESUMEN VIGILANCIA'!I34),"",'RESUMEN VIGILANCIA'!I34)</f>
        <v/>
      </c>
      <c r="K8" s="188" t="str">
        <f>IF(ISBLANK('RESUMEN VIGILANCIA'!J34),"",'RESUMEN VIGILANCIA'!J34)</f>
        <v/>
      </c>
      <c r="L8" s="188" t="str">
        <f>IF(ISBLANK('RESUMEN VIGILANCIA'!K34),"",'RESUMEN VIGILANCIA'!K34)</f>
        <v/>
      </c>
      <c r="M8" s="188" t="str">
        <f>IF(ISBLANK('RESUMEN VIGILANCIA'!L34),"",'RESUMEN VIGILANCIA'!L34)</f>
        <v/>
      </c>
      <c r="N8" s="188" t="str">
        <f>IF(ISBLANK('RESUMEN VIGILANCIA'!M34),"",'RESUMEN VIGILANCIA'!M34)</f>
        <v/>
      </c>
      <c r="O8" s="188" t="str">
        <f>IF(ISBLANK('RESUMEN VIGILANCIA'!N34),"",'RESUMEN VIGILANCIA'!N34)</f>
        <v/>
      </c>
      <c r="P8" s="267" t="str">
        <f>IF(ISBLANK('RESUMEN VIGILANCIA'!O34),"",'RESUMEN VIGILANCIA'!O34)</f>
        <v/>
      </c>
      <c r="Q8" s="186" t="str">
        <f>IF(ISBLANK('RESUMEN VIGILANCIA'!P34),"",'RESUMEN VIGILANCIA'!P34)</f>
        <v/>
      </c>
      <c r="R8" s="268" t="str">
        <f>IF(ISBLANK('RESUMEN VIGILANCIA'!Q34),"",'RESUMEN VIGILANCIA'!Q34)</f>
        <v/>
      </c>
      <c r="S8" s="267" t="str">
        <f>IF(ISBLANK('RESUMEN VIGILANCIA'!R34),"",'RESUMEN VIGILANCIA'!R34)</f>
        <v/>
      </c>
      <c r="T8" s="267" t="str">
        <f>IF(ISBLANK('RESUMEN VIGILANCIA'!S34),"",'RESUMEN VIGILANCIA'!S34)</f>
        <v/>
      </c>
      <c r="U8" s="267" t="str">
        <f>IF(ISBLANK('RESUMEN VIGILANCIA'!T34),"",'RESUMEN VIGILANCIA'!T34)</f>
        <v/>
      </c>
      <c r="V8" s="267" t="str">
        <f>IF(ISBLANK('RESUMEN VIGILANCIA'!U34),"",'RESUMEN VIGILANCIA'!U34)</f>
        <v/>
      </c>
      <c r="W8" s="267" t="str">
        <f>IF(ISBLANK('RESUMEN VIGILANCIA'!V34),"",'RESUMEN VIGILANCIA'!V34)</f>
        <v/>
      </c>
      <c r="X8" s="270" t="str">
        <f>IF(ISBLANK('RESUMEN VIGILANCIA'!W34),"",'RESUMEN VIGILANCIA'!W34)</f>
        <v/>
      </c>
      <c r="Y8" s="270" t="str">
        <f>IF(ISBLANK('RESUMEN VIGILANCIA'!X34),"",'RESUMEN VIGILANCIA'!X34)</f>
        <v/>
      </c>
      <c r="Z8" s="455" t="str">
        <f>IF(ISBLANK('RESUMEN VIGILANCIA'!Y34),"",'RESUMEN VIGILANCIA'!Y34)</f>
        <v/>
      </c>
      <c r="AA8" s="455" t="str">
        <f>IF(ISBLANK('RESUMEN VIGILANCIA'!Z34),"",'RESUMEN VIGILANCIA'!Z34)</f>
        <v/>
      </c>
      <c r="AB8" s="455" t="str">
        <f>IF(ISBLANK('RESUMEN VIGILANCIA'!AA34),"",'RESUMEN VIGILANCIA'!AA34)</f>
        <v/>
      </c>
      <c r="AC8" s="456" t="str">
        <f>IF(ISBLANK('RESUMEN VIGILANCIA'!AB34),"",'RESUMEN VIGILANCIA'!AB34)</f>
        <v/>
      </c>
      <c r="AD8" s="376" t="str">
        <f>IF(ISBLANK('RESUMEN VIGILANCIA'!AC34),"",'RESUMEN VIGILANCIA'!AC34)</f>
        <v/>
      </c>
      <c r="AE8" s="377" t="str">
        <f>IF(ISBLANK('RESUMEN VIGILANCIA'!AD34),"",'RESUMEN VIGILANCIA'!AD34)</f>
        <v/>
      </c>
      <c r="AF8" s="377" t="str">
        <f>IF(ISBLANK('RESUMEN VIGILANCIA'!AE34),"",'RESUMEN VIGILANCIA'!AE34)</f>
        <v/>
      </c>
      <c r="AG8" s="377" t="str">
        <f>IF(ISBLANK('RESUMEN VIGILANCIA'!AF34),"",'RESUMEN VIGILANCIA'!AF34)</f>
        <v/>
      </c>
      <c r="AH8" s="377" t="str">
        <f>IF(ISBLANK('RESUMEN VIGILANCIA'!AG34),"",'RESUMEN VIGILANCIA'!AG34)</f>
        <v/>
      </c>
      <c r="AI8" s="377" t="str">
        <f>IF(ISBLANK('RESUMEN VIGILANCIA'!AH34),"",'RESUMEN VIGILANCIA'!AH34)</f>
        <v/>
      </c>
      <c r="AJ8" s="377" t="str">
        <f>IF(ISBLANK('RESUMEN VIGILANCIA'!AI34),"",'RESUMEN VIGILANCIA'!AI34)</f>
        <v/>
      </c>
      <c r="AK8" s="377" t="str">
        <f>IF(ISBLANK('RESUMEN VIGILANCIA'!AJ34),"",'RESUMEN VIGILANCIA'!AJ34)</f>
        <v/>
      </c>
      <c r="AL8" s="377" t="str">
        <f>IF(ISBLANK('RESUMEN VIGILANCIA'!AK34),"",'RESUMEN VIGILANCIA'!AK34)</f>
        <v/>
      </c>
      <c r="AM8" s="377" t="str">
        <f>IF(ISBLANK('RESUMEN VIGILANCIA'!AL34),"",'RESUMEN VIGILANCIA'!AL34)</f>
        <v/>
      </c>
      <c r="AN8" s="377" t="str">
        <f>IF(ISBLANK('RESUMEN VIGILANCIA'!AM34),"",'RESUMEN VIGILANCIA'!AM34)</f>
        <v/>
      </c>
      <c r="AO8" s="378" t="str">
        <f>IF(ISBLANK('RESUMEN VIGILANCIA'!AN34),"",'RESUMEN VIGILANCIA'!AN34)</f>
        <v/>
      </c>
      <c r="AP8" s="376" t="str">
        <f>IF(ISBLANK('RESUMEN VIGILANCIA'!AO34),"",'RESUMEN VIGILANCIA'!AO34)</f>
        <v/>
      </c>
      <c r="AQ8" s="377" t="str">
        <f>IF(ISBLANK('RESUMEN VIGILANCIA'!AP34),"",'RESUMEN VIGILANCIA'!AP34)</f>
        <v/>
      </c>
      <c r="AR8" s="377" t="str">
        <f>IF(ISBLANK('RESUMEN VIGILANCIA'!AQ34),"",'RESUMEN VIGILANCIA'!AQ34)</f>
        <v/>
      </c>
      <c r="AS8" s="377">
        <f>IF(ISBLANK('RESUMEN VIGILANCIA'!AR34),"",'RESUMEN VIGILANCIA'!AR34)</f>
        <v>186000</v>
      </c>
      <c r="AT8" s="377">
        <f>IF(ISBLANK('RESUMEN VIGILANCIA'!AS34),"",'RESUMEN VIGILANCIA'!AS34)</f>
        <v>250000</v>
      </c>
      <c r="AU8" s="377" t="str">
        <f>IF(ISBLANK('RESUMEN VIGILANCIA'!AT34),"",'RESUMEN VIGILANCIA'!AT34)</f>
        <v/>
      </c>
      <c r="AV8" s="377" t="str">
        <f>IF(ISBLANK('RESUMEN VIGILANCIA'!AU34),"",'RESUMEN VIGILANCIA'!AU34)</f>
        <v/>
      </c>
      <c r="AW8" s="377" t="str">
        <f>IF(ISBLANK('RESUMEN VIGILANCIA'!AV34),"",'RESUMEN VIGILANCIA'!AV34)</f>
        <v/>
      </c>
      <c r="AX8" s="377" t="str">
        <f>IF(ISBLANK('RESUMEN VIGILANCIA'!AW34),"",'RESUMEN VIGILANCIA'!AW34)</f>
        <v/>
      </c>
      <c r="AY8" s="377" t="str">
        <f>IF(ISBLANK('RESUMEN VIGILANCIA'!AX34),"",'RESUMEN VIGILANCIA'!AX34)</f>
        <v/>
      </c>
      <c r="AZ8" s="377" t="str">
        <f>IF(ISBLANK('RESUMEN VIGILANCIA'!AY34),"",'RESUMEN VIGILANCIA'!AY34)</f>
        <v/>
      </c>
      <c r="BA8" s="378" t="str">
        <f>IF(ISBLANK('RESUMEN VIGILANCIA'!AZ34),"",'RESUMEN VIGILANCIA'!AZ34)</f>
        <v/>
      </c>
      <c r="BB8" s="242">
        <f t="shared" ref="BB8" si="1">SUM(E8:AO8)</f>
        <v>0</v>
      </c>
      <c r="BC8" s="112">
        <v>43922</v>
      </c>
      <c r="BD8" s="112"/>
    </row>
    <row r="9" spans="1:56" s="29" customFormat="1" ht="20.100000000000001" customHeight="1">
      <c r="A9" s="30" t="str">
        <f>'RESUMEN VIGILANCIA'!A35</f>
        <v>Teresita Román</v>
      </c>
      <c r="B9" s="31" t="str">
        <f>'RESUMEN VIGILANCIA'!B35</f>
        <v>Calle Guacara Nro. 87-90</v>
      </c>
      <c r="C9" s="429" t="s">
        <v>1317</v>
      </c>
      <c r="D9" s="436" t="s">
        <v>1315</v>
      </c>
      <c r="E9" s="417" t="str">
        <f>IF(ISBLANK('RESUMEN VIGILANCIA'!D35),"",'RESUMEN VIGILANCIA'!D35)</f>
        <v/>
      </c>
      <c r="F9" s="269" t="str">
        <f>IF(ISBLANK('RESUMEN VIGILANCIA'!E35),"",'RESUMEN VIGILANCIA'!E35)</f>
        <v/>
      </c>
      <c r="G9" s="181" t="str">
        <f>IF(ISBLANK('RESUMEN VIGILANCIA'!F35),"",'RESUMEN VIGILANCIA'!F35)</f>
        <v/>
      </c>
      <c r="H9" s="181" t="str">
        <f>IF(ISBLANK('RESUMEN VIGILANCIA'!G35),"",'RESUMEN VIGILANCIA'!G35)</f>
        <v/>
      </c>
      <c r="I9" s="181" t="str">
        <f>IF(ISBLANK('RESUMEN VIGILANCIA'!H35),"",'RESUMEN VIGILANCIA'!H35)</f>
        <v/>
      </c>
      <c r="J9" s="181" t="str">
        <f>IF(ISBLANK('RESUMEN VIGILANCIA'!I35),"",'RESUMEN VIGILANCIA'!I35)</f>
        <v/>
      </c>
      <c r="K9" s="181" t="str">
        <f>IF(ISBLANK('RESUMEN VIGILANCIA'!J35),"",'RESUMEN VIGILANCIA'!J35)</f>
        <v/>
      </c>
      <c r="L9" s="181" t="str">
        <f>IF(ISBLANK('RESUMEN VIGILANCIA'!K35),"",'RESUMEN VIGILANCIA'!K35)</f>
        <v/>
      </c>
      <c r="M9" s="181" t="str">
        <f>IF(ISBLANK('RESUMEN VIGILANCIA'!L35),"",'RESUMEN VIGILANCIA'!L35)</f>
        <v/>
      </c>
      <c r="N9" s="181" t="str">
        <f>IF(ISBLANK('RESUMEN VIGILANCIA'!M35),"",'RESUMEN VIGILANCIA'!M35)</f>
        <v/>
      </c>
      <c r="O9" s="181" t="str">
        <f>IF(ISBLANK('RESUMEN VIGILANCIA'!N35),"",'RESUMEN VIGILANCIA'!N35)</f>
        <v/>
      </c>
      <c r="P9" s="270" t="str">
        <f>IF(ISBLANK('RESUMEN VIGILANCIA'!O35),"",'RESUMEN VIGILANCIA'!O35)</f>
        <v/>
      </c>
      <c r="Q9" s="179" t="str">
        <f>IF(ISBLANK('RESUMEN VIGILANCIA'!P35),"",'RESUMEN VIGILANCIA'!P35)</f>
        <v/>
      </c>
      <c r="R9" s="271" t="str">
        <f>IF(ISBLANK('RESUMEN VIGILANCIA'!Q35),"",'RESUMEN VIGILANCIA'!Q35)</f>
        <v/>
      </c>
      <c r="S9" s="270" t="str">
        <f>IF(ISBLANK('RESUMEN VIGILANCIA'!R35),"",'RESUMEN VIGILANCIA'!R35)</f>
        <v/>
      </c>
      <c r="T9" s="270" t="str">
        <f>IF(ISBLANK('RESUMEN VIGILANCIA'!S35),"",'RESUMEN VIGILANCIA'!S35)</f>
        <v/>
      </c>
      <c r="U9" s="270" t="str">
        <f>IF(ISBLANK('RESUMEN VIGILANCIA'!T35),"",'RESUMEN VIGILANCIA'!T35)</f>
        <v/>
      </c>
      <c r="V9" s="270" t="str">
        <f>IF(ISBLANK('RESUMEN VIGILANCIA'!U35),"",'RESUMEN VIGILANCIA'!U35)</f>
        <v/>
      </c>
      <c r="W9" s="270" t="str">
        <f>IF(ISBLANK('RESUMEN VIGILANCIA'!V35),"",'RESUMEN VIGILANCIA'!V35)</f>
        <v/>
      </c>
      <c r="X9" s="270" t="str">
        <f>IF(ISBLANK('RESUMEN VIGILANCIA'!W35),"",'RESUMEN VIGILANCIA'!W35)</f>
        <v/>
      </c>
      <c r="Y9" s="270" t="str">
        <f>IF(ISBLANK('RESUMEN VIGILANCIA'!X35),"",'RESUMEN VIGILANCIA'!X35)</f>
        <v/>
      </c>
      <c r="Z9" s="455" t="str">
        <f>IF(ISBLANK('RESUMEN VIGILANCIA'!Y35),"",'RESUMEN VIGILANCIA'!Y35)</f>
        <v/>
      </c>
      <c r="AA9" s="455" t="str">
        <f>IF(ISBLANK('RESUMEN VIGILANCIA'!Z35),"",'RESUMEN VIGILANCIA'!Z35)</f>
        <v/>
      </c>
      <c r="AB9" s="455" t="str">
        <f>IF(ISBLANK('RESUMEN VIGILANCIA'!AA35),"",'RESUMEN VIGILANCIA'!AA35)</f>
        <v/>
      </c>
      <c r="AC9" s="456" t="str">
        <f>IF(ISBLANK('RESUMEN VIGILANCIA'!AB35),"",'RESUMEN VIGILANCIA'!AB35)</f>
        <v/>
      </c>
      <c r="AD9" s="376" t="str">
        <f>IF(ISBLANK('RESUMEN VIGILANCIA'!AC35),"",'RESUMEN VIGILANCIA'!AC35)</f>
        <v/>
      </c>
      <c r="AE9" s="377" t="str">
        <f>IF(ISBLANK('RESUMEN VIGILANCIA'!AD35),"",'RESUMEN VIGILANCIA'!AD35)</f>
        <v/>
      </c>
      <c r="AF9" s="377" t="str">
        <f>IF(ISBLANK('RESUMEN VIGILANCIA'!AE35),"",'RESUMEN VIGILANCIA'!AE35)</f>
        <v/>
      </c>
      <c r="AG9" s="377" t="str">
        <f>IF(ISBLANK('RESUMEN VIGILANCIA'!AF35),"",'RESUMEN VIGILANCIA'!AF35)</f>
        <v/>
      </c>
      <c r="AH9" s="377" t="str">
        <f>IF(ISBLANK('RESUMEN VIGILANCIA'!AG35),"",'RESUMEN VIGILANCIA'!AG35)</f>
        <v/>
      </c>
      <c r="AI9" s="377" t="str">
        <f>IF(ISBLANK('RESUMEN VIGILANCIA'!AH35),"",'RESUMEN VIGILANCIA'!AH35)</f>
        <v/>
      </c>
      <c r="AJ9" s="377" t="str">
        <f>IF(ISBLANK('RESUMEN VIGILANCIA'!AI35),"",'RESUMEN VIGILANCIA'!AI35)</f>
        <v/>
      </c>
      <c r="AK9" s="377" t="str">
        <f>IF(ISBLANK('RESUMEN VIGILANCIA'!AJ35),"",'RESUMEN VIGILANCIA'!AJ35)</f>
        <v/>
      </c>
      <c r="AL9" s="377" t="str">
        <f>IF(ISBLANK('RESUMEN VIGILANCIA'!AK35),"",'RESUMEN VIGILANCIA'!AK35)</f>
        <v/>
      </c>
      <c r="AM9" s="377" t="str">
        <f>IF(ISBLANK('RESUMEN VIGILANCIA'!AL35),"",'RESUMEN VIGILANCIA'!AL35)</f>
        <v/>
      </c>
      <c r="AN9" s="377" t="str">
        <f>IF(ISBLANK('RESUMEN VIGILANCIA'!AM35),"",'RESUMEN VIGILANCIA'!AM35)</f>
        <v/>
      </c>
      <c r="AO9" s="378" t="str">
        <f>IF(ISBLANK('RESUMEN VIGILANCIA'!AN35),"",'RESUMEN VIGILANCIA'!AN35)</f>
        <v/>
      </c>
      <c r="AP9" s="376" t="str">
        <f>IF(ISBLANK('RESUMEN VIGILANCIA'!AO35),"",'RESUMEN VIGILANCIA'!AO35)</f>
        <v/>
      </c>
      <c r="AQ9" s="377" t="str">
        <f>IF(ISBLANK('RESUMEN VIGILANCIA'!AP35),"",'RESUMEN VIGILANCIA'!AP35)</f>
        <v/>
      </c>
      <c r="AR9" s="377" t="str">
        <f>IF(ISBLANK('RESUMEN VIGILANCIA'!AQ35),"",'RESUMEN VIGILANCIA'!AQ35)</f>
        <v/>
      </c>
      <c r="AS9" s="377" t="str">
        <f>IF(ISBLANK('RESUMEN VIGILANCIA'!AR35),"",'RESUMEN VIGILANCIA'!AR35)</f>
        <v/>
      </c>
      <c r="AT9" s="377" t="str">
        <f>IF(ISBLANK('RESUMEN VIGILANCIA'!AS35),"",'RESUMEN VIGILANCIA'!AS35)</f>
        <v/>
      </c>
      <c r="AU9" s="377" t="str">
        <f>IF(ISBLANK('RESUMEN VIGILANCIA'!AT35),"",'RESUMEN VIGILANCIA'!AT35)</f>
        <v/>
      </c>
      <c r="AV9" s="377" t="str">
        <f>IF(ISBLANK('RESUMEN VIGILANCIA'!AU35),"",'RESUMEN VIGILANCIA'!AU35)</f>
        <v/>
      </c>
      <c r="AW9" s="377" t="str">
        <f>IF(ISBLANK('RESUMEN VIGILANCIA'!AV35),"",'RESUMEN VIGILANCIA'!AV35)</f>
        <v/>
      </c>
      <c r="AX9" s="377" t="str">
        <f>IF(ISBLANK('RESUMEN VIGILANCIA'!AW35),"",'RESUMEN VIGILANCIA'!AW35)</f>
        <v/>
      </c>
      <c r="AY9" s="377" t="str">
        <f>IF(ISBLANK('RESUMEN VIGILANCIA'!AX35),"",'RESUMEN VIGILANCIA'!AX35)</f>
        <v/>
      </c>
      <c r="AZ9" s="377" t="str">
        <f>IF(ISBLANK('RESUMEN VIGILANCIA'!AY35),"",'RESUMEN VIGILANCIA'!AY35)</f>
        <v/>
      </c>
      <c r="BA9" s="378" t="str">
        <f>IF(ISBLANK('RESUMEN VIGILANCIA'!AZ35),"",'RESUMEN VIGILANCIA'!AZ35)</f>
        <v/>
      </c>
      <c r="BB9" s="242">
        <f t="shared" si="0"/>
        <v>0</v>
      </c>
      <c r="BC9" s="112"/>
      <c r="BD9" s="112"/>
    </row>
    <row r="10" spans="1:56" s="29" customFormat="1" ht="20.100000000000001" customHeight="1">
      <c r="A10" s="30" t="str">
        <f>'RESUMEN VIGILANCIA'!A36</f>
        <v>Familia Puerta Burguillos</v>
      </c>
      <c r="B10" s="31" t="str">
        <f>'RESUMEN VIGILANCIA'!B36</f>
        <v>Calle Guacara Nro. 87-100</v>
      </c>
      <c r="C10" s="429" t="s">
        <v>1316</v>
      </c>
      <c r="D10" s="436" t="s">
        <v>17</v>
      </c>
      <c r="E10" s="417" t="str">
        <f>IF(ISBLANK('RESUMEN VIGILANCIA'!D36),"",'RESUMEN VIGILANCIA'!D36)</f>
        <v/>
      </c>
      <c r="F10" s="269">
        <f>IF(ISBLANK('RESUMEN VIGILANCIA'!E36),"",'RESUMEN VIGILANCIA'!E36)</f>
        <v>0.17</v>
      </c>
      <c r="G10" s="181">
        <f>IF(ISBLANK('RESUMEN VIGILANCIA'!F36),"",'RESUMEN VIGILANCIA'!F36)</f>
        <v>0.17</v>
      </c>
      <c r="H10" s="181">
        <f>IF(ISBLANK('RESUMEN VIGILANCIA'!G36),"",'RESUMEN VIGILANCIA'!G36)</f>
        <v>0.16999999999999998</v>
      </c>
      <c r="I10" s="181">
        <f>IF(ISBLANK('RESUMEN VIGILANCIA'!H36),"",'RESUMEN VIGILANCIA'!H36)</f>
        <v>0.17</v>
      </c>
      <c r="J10" s="181">
        <f>IF(ISBLANK('RESUMEN VIGILANCIA'!I36),"",'RESUMEN VIGILANCIA'!I36)</f>
        <v>0.26</v>
      </c>
      <c r="K10" s="181">
        <f>IF(ISBLANK('RESUMEN VIGILANCIA'!J36),"",'RESUMEN VIGILANCIA'!J36)</f>
        <v>0.26</v>
      </c>
      <c r="L10" s="181">
        <f>IF(ISBLANK('RESUMEN VIGILANCIA'!K36),"",'RESUMEN VIGILANCIA'!K36)</f>
        <v>0.35</v>
      </c>
      <c r="M10" s="181">
        <f>IF(ISBLANK('RESUMEN VIGILANCIA'!L36),"",'RESUMEN VIGILANCIA'!L36)</f>
        <v>0.35</v>
      </c>
      <c r="N10" s="181">
        <f>IF(ISBLANK('RESUMEN VIGILANCIA'!M36),"",'RESUMEN VIGILANCIA'!M36)</f>
        <v>0.35</v>
      </c>
      <c r="O10" s="181">
        <f>IF(ISBLANK('RESUMEN VIGILANCIA'!N36),"",'RESUMEN VIGILANCIA'!N36)</f>
        <v>0.35</v>
      </c>
      <c r="P10" s="270">
        <f>IF(ISBLANK('RESUMEN VIGILANCIA'!O36),"",'RESUMEN VIGILANCIA'!O36)</f>
        <v>0.5</v>
      </c>
      <c r="Q10" s="179">
        <f>IF(ISBLANK('RESUMEN VIGILANCIA'!P36),"",'RESUMEN VIGILANCIA'!P36)</f>
        <v>0.5</v>
      </c>
      <c r="R10" s="271">
        <f>IF(ISBLANK('RESUMEN VIGILANCIA'!Q36),"",'RESUMEN VIGILANCIA'!Q36)</f>
        <v>0.8</v>
      </c>
      <c r="S10" s="270">
        <f>IF(ISBLANK('RESUMEN VIGILANCIA'!R36),"",'RESUMEN VIGILANCIA'!R36)</f>
        <v>0.8</v>
      </c>
      <c r="T10" s="270">
        <f>IF(ISBLANK('RESUMEN VIGILANCIA'!S36),"",'RESUMEN VIGILANCIA'!S36)</f>
        <v>1.4</v>
      </c>
      <c r="U10" s="270">
        <f>IF(ISBLANK('RESUMEN VIGILANCIA'!T36),"",'RESUMEN VIGILANCIA'!T36)</f>
        <v>1.4</v>
      </c>
      <c r="V10" s="270">
        <f>IF(ISBLANK('RESUMEN VIGILANCIA'!U36),"",'RESUMEN VIGILANCIA'!U36)</f>
        <v>4</v>
      </c>
      <c r="W10" s="270">
        <f>IF(ISBLANK('RESUMEN VIGILANCIA'!V36),"",'RESUMEN VIGILANCIA'!V36)</f>
        <v>6.25</v>
      </c>
      <c r="X10" s="270">
        <f>IF(ISBLANK('RESUMEN VIGILANCIA'!W36),"",'RESUMEN VIGILANCIA'!W36)</f>
        <v>10</v>
      </c>
      <c r="Y10" s="270">
        <f>IF(ISBLANK('RESUMEN VIGILANCIA'!X36),"",'RESUMEN VIGILANCIA'!X36)</f>
        <v>12</v>
      </c>
      <c r="Z10" s="455">
        <f>IF(ISBLANK('RESUMEN VIGILANCIA'!Y36),"",'RESUMEN VIGILANCIA'!Y36)</f>
        <v>320</v>
      </c>
      <c r="AA10" s="455">
        <f>IF(ISBLANK('RESUMEN VIGILANCIA'!Z36),"",'RESUMEN VIGILANCIA'!Z36)</f>
        <v>320</v>
      </c>
      <c r="AB10" s="455">
        <f>IF(ISBLANK('RESUMEN VIGILANCIA'!AA36),"",'RESUMEN VIGILANCIA'!AA36)</f>
        <v>320</v>
      </c>
      <c r="AC10" s="457">
        <f>IF(ISBLANK('RESUMEN VIGILANCIA'!AB36),"",'RESUMEN VIGILANCIA'!AB36)</f>
        <v>800</v>
      </c>
      <c r="AD10" s="376">
        <f>IF(ISBLANK('RESUMEN VIGILANCIA'!AC36),"",'RESUMEN VIGILANCIA'!AC36)</f>
        <v>3000</v>
      </c>
      <c r="AE10" s="377">
        <f>IF(ISBLANK('RESUMEN VIGILANCIA'!AD36),"",'RESUMEN VIGILANCIA'!AD36)</f>
        <v>3000</v>
      </c>
      <c r="AF10" s="377">
        <f>IF(ISBLANK('RESUMEN VIGILANCIA'!AE36),"",'RESUMEN VIGILANCIA'!AE36)</f>
        <v>3000</v>
      </c>
      <c r="AG10" s="377">
        <f>IF(ISBLANK('RESUMEN VIGILANCIA'!AF36),"",'RESUMEN VIGILANCIA'!AF36)</f>
        <v>5000</v>
      </c>
      <c r="AH10" s="377">
        <f>IF(ISBLANK('RESUMEN VIGILANCIA'!AG36),"",'RESUMEN VIGILANCIA'!AG36)</f>
        <v>8000</v>
      </c>
      <c r="AI10" s="377">
        <f>IF(ISBLANK('RESUMEN VIGILANCIA'!AH36),"",'RESUMEN VIGILANCIA'!AH36)</f>
        <v>10000</v>
      </c>
      <c r="AJ10" s="377">
        <f>IF(ISBLANK('RESUMEN VIGILANCIA'!AI36),"",'RESUMEN VIGILANCIA'!AI36)</f>
        <v>10000</v>
      </c>
      <c r="AK10" s="377">
        <f>IF(ISBLANK('RESUMEN VIGILANCIA'!AJ36),"",'RESUMEN VIGILANCIA'!AJ36)</f>
        <v>10000</v>
      </c>
      <c r="AL10" s="377">
        <f>IF(ISBLANK('RESUMEN VIGILANCIA'!AK36),"",'RESUMEN VIGILANCIA'!AK36)</f>
        <v>20500</v>
      </c>
      <c r="AM10" s="377">
        <f>IF(ISBLANK('RESUMEN VIGILANCIA'!AL36),"",'RESUMEN VIGILANCIA'!AL36)</f>
        <v>47000</v>
      </c>
      <c r="AN10" s="377">
        <f>IF(ISBLANK('RESUMEN VIGILANCIA'!AM36),"",'RESUMEN VIGILANCIA'!AM36)</f>
        <v>60000</v>
      </c>
      <c r="AO10" s="378">
        <f>IF(ISBLANK('RESUMEN VIGILANCIA'!AN36),"",'RESUMEN VIGILANCIA'!AN36)</f>
        <v>210500</v>
      </c>
      <c r="AP10" s="376">
        <f>IF(ISBLANK('RESUMEN VIGILANCIA'!AO36),"",'RESUMEN VIGILANCIA'!AO36)</f>
        <v>136250</v>
      </c>
      <c r="AQ10" s="377">
        <f>IF(ISBLANK('RESUMEN VIGILANCIA'!AP36),"",'RESUMEN VIGILANCIA'!AP36)</f>
        <v>136250</v>
      </c>
      <c r="AR10" s="377">
        <f>IF(ISBLANK('RESUMEN VIGILANCIA'!AQ36),"",'RESUMEN VIGILANCIA'!AQ36)</f>
        <v>186000</v>
      </c>
      <c r="AS10" s="377">
        <f>IF(ISBLANK('RESUMEN VIGILANCIA'!AR36),"",'RESUMEN VIGILANCIA'!AR36)</f>
        <v>185250</v>
      </c>
      <c r="AT10" s="377">
        <f>IF(ISBLANK('RESUMEN VIGILANCIA'!AS36),"",'RESUMEN VIGILANCIA'!AS36)</f>
        <v>250000</v>
      </c>
      <c r="AU10" s="377" t="str">
        <f>IF(ISBLANK('RESUMEN VIGILANCIA'!AT36),"",'RESUMEN VIGILANCIA'!AT36)</f>
        <v/>
      </c>
      <c r="AV10" s="377" t="str">
        <f>IF(ISBLANK('RESUMEN VIGILANCIA'!AU36),"",'RESUMEN VIGILANCIA'!AU36)</f>
        <v/>
      </c>
      <c r="AW10" s="377" t="str">
        <f>IF(ISBLANK('RESUMEN VIGILANCIA'!AV36),"",'RESUMEN VIGILANCIA'!AV36)</f>
        <v/>
      </c>
      <c r="AX10" s="377" t="str">
        <f>IF(ISBLANK('RESUMEN VIGILANCIA'!AW36),"",'RESUMEN VIGILANCIA'!AW36)</f>
        <v/>
      </c>
      <c r="AY10" s="377" t="str">
        <f>IF(ISBLANK('RESUMEN VIGILANCIA'!AX36),"",'RESUMEN VIGILANCIA'!AX36)</f>
        <v/>
      </c>
      <c r="AZ10" s="377" t="str">
        <f>IF(ISBLANK('RESUMEN VIGILANCIA'!AY36),"",'RESUMEN VIGILANCIA'!AY36)</f>
        <v/>
      </c>
      <c r="BA10" s="378" t="str">
        <f>IF(ISBLANK('RESUMEN VIGILANCIA'!AZ36),"",'RESUMEN VIGILANCIA'!AZ36)</f>
        <v/>
      </c>
      <c r="BB10" s="242">
        <f t="shared" si="0"/>
        <v>391800.25</v>
      </c>
      <c r="BC10" s="112"/>
      <c r="BD10" s="112"/>
    </row>
    <row r="11" spans="1:56" s="29" customFormat="1" ht="20.100000000000001" customHeight="1">
      <c r="A11" s="30" t="str">
        <f>'RESUMEN VIGILANCIA'!A54</f>
        <v>Familia Arcia Polanco</v>
      </c>
      <c r="B11" s="31" t="str">
        <f>'RESUMEN VIGILANCIA'!B54</f>
        <v>Calle Guacara Nro. 89-20</v>
      </c>
      <c r="C11" s="429" t="s">
        <v>1316</v>
      </c>
      <c r="D11" s="436" t="s">
        <v>1315</v>
      </c>
      <c r="E11" s="417" t="str">
        <f>IF(ISBLANK('RESUMEN VIGILANCIA'!D54),"",'RESUMEN VIGILANCIA'!D54)</f>
        <v/>
      </c>
      <c r="F11" s="269">
        <f>IF(ISBLANK('RESUMEN VIGILANCIA'!E54),"",'RESUMEN VIGILANCIA'!E54)</f>
        <v>0.16999999999999998</v>
      </c>
      <c r="G11" s="181">
        <f>IF(ISBLANK('RESUMEN VIGILANCIA'!F54),"",'RESUMEN VIGILANCIA'!F54)</f>
        <v>0.17</v>
      </c>
      <c r="H11" s="181">
        <f>IF(ISBLANK('RESUMEN VIGILANCIA'!G54),"",'RESUMEN VIGILANCIA'!G54)</f>
        <v>0.17</v>
      </c>
      <c r="I11" s="181">
        <f>IF(ISBLANK('RESUMEN VIGILANCIA'!H54),"",'RESUMEN VIGILANCIA'!H54)</f>
        <v>0.17</v>
      </c>
      <c r="J11" s="181">
        <f>IF(ISBLANK('RESUMEN VIGILANCIA'!I54),"",'RESUMEN VIGILANCIA'!I54)</f>
        <v>0.26</v>
      </c>
      <c r="K11" s="181">
        <f>IF(ISBLANK('RESUMEN VIGILANCIA'!J54),"",'RESUMEN VIGILANCIA'!J54)</f>
        <v>0.26</v>
      </c>
      <c r="L11" s="181">
        <f>IF(ISBLANK('RESUMEN VIGILANCIA'!K54),"",'RESUMEN VIGILANCIA'!K54)</f>
        <v>0.35</v>
      </c>
      <c r="M11" s="181">
        <f>IF(ISBLANK('RESUMEN VIGILANCIA'!L54),"",'RESUMEN VIGILANCIA'!L54)</f>
        <v>0.35</v>
      </c>
      <c r="N11" s="181">
        <f>IF(ISBLANK('RESUMEN VIGILANCIA'!M54),"",'RESUMEN VIGILANCIA'!M54)</f>
        <v>0.35</v>
      </c>
      <c r="O11" s="181">
        <f>IF(ISBLANK('RESUMEN VIGILANCIA'!N54),"",'RESUMEN VIGILANCIA'!N54)</f>
        <v>0.35</v>
      </c>
      <c r="P11" s="270">
        <f>IF(ISBLANK('RESUMEN VIGILANCIA'!O54),"",'RESUMEN VIGILANCIA'!O54)</f>
        <v>0.5</v>
      </c>
      <c r="Q11" s="179">
        <f>IF(ISBLANK('RESUMEN VIGILANCIA'!P54),"",'RESUMEN VIGILANCIA'!P54)</f>
        <v>0.5</v>
      </c>
      <c r="R11" s="271">
        <f>IF(ISBLANK('RESUMEN VIGILANCIA'!Q54),"",'RESUMEN VIGILANCIA'!Q54)</f>
        <v>0.8</v>
      </c>
      <c r="S11" s="270">
        <f>IF(ISBLANK('RESUMEN VIGILANCIA'!R54),"",'RESUMEN VIGILANCIA'!R54)</f>
        <v>0.8</v>
      </c>
      <c r="T11" s="270">
        <f>IF(ISBLANK('RESUMEN VIGILANCIA'!S54),"",'RESUMEN VIGILANCIA'!S54)</f>
        <v>1.4</v>
      </c>
      <c r="U11" s="270">
        <f>IF(ISBLANK('RESUMEN VIGILANCIA'!T54),"",'RESUMEN VIGILANCIA'!T54)</f>
        <v>1.4</v>
      </c>
      <c r="V11" s="270">
        <f>IF(ISBLANK('RESUMEN VIGILANCIA'!U54),"",'RESUMEN VIGILANCIA'!U54)</f>
        <v>4</v>
      </c>
      <c r="W11" s="270">
        <f>IF(ISBLANK('RESUMEN VIGILANCIA'!V54),"",'RESUMEN VIGILANCIA'!V54)</f>
        <v>6.25</v>
      </c>
      <c r="X11" s="270">
        <f>IF(ISBLANK('RESUMEN VIGILANCIA'!W54),"",'RESUMEN VIGILANCIA'!W54)</f>
        <v>10</v>
      </c>
      <c r="Y11" s="270">
        <f>IF(ISBLANK('RESUMEN VIGILANCIA'!X54),"",'RESUMEN VIGILANCIA'!X54)</f>
        <v>12</v>
      </c>
      <c r="Z11" s="455">
        <f>IF(ISBLANK('RESUMEN VIGILANCIA'!Y54),"",'RESUMEN VIGILANCIA'!Y54)</f>
        <v>320</v>
      </c>
      <c r="AA11" s="455">
        <f>IF(ISBLANK('RESUMEN VIGILANCIA'!Z54),"",'RESUMEN VIGILANCIA'!Z54)</f>
        <v>320</v>
      </c>
      <c r="AB11" s="455">
        <f>IF(ISBLANK('RESUMEN VIGILANCIA'!AA54),"",'RESUMEN VIGILANCIA'!AA54)</f>
        <v>320</v>
      </c>
      <c r="AC11" s="457">
        <f>IF(ISBLANK('RESUMEN VIGILANCIA'!AB54),"",'RESUMEN VIGILANCIA'!AB54)</f>
        <v>800</v>
      </c>
      <c r="AD11" s="376">
        <f>IF(ISBLANK('RESUMEN VIGILANCIA'!AC54),"",'RESUMEN VIGILANCIA'!AC54)</f>
        <v>3000</v>
      </c>
      <c r="AE11" s="377">
        <f>IF(ISBLANK('RESUMEN VIGILANCIA'!AD54),"",'RESUMEN VIGILANCIA'!AD54)</f>
        <v>3000</v>
      </c>
      <c r="AF11" s="377">
        <f>IF(ISBLANK('RESUMEN VIGILANCIA'!AE54),"",'RESUMEN VIGILANCIA'!AE54)</f>
        <v>3000</v>
      </c>
      <c r="AG11" s="377">
        <f>IF(ISBLANK('RESUMEN VIGILANCIA'!AF54),"",'RESUMEN VIGILANCIA'!AF54)</f>
        <v>5000</v>
      </c>
      <c r="AH11" s="377">
        <f>IF(ISBLANK('RESUMEN VIGILANCIA'!AG54),"",'RESUMEN VIGILANCIA'!AG54)</f>
        <v>8000</v>
      </c>
      <c r="AI11" s="377">
        <f>IF(ISBLANK('RESUMEN VIGILANCIA'!AH54),"",'RESUMEN VIGILANCIA'!AH54)</f>
        <v>8000</v>
      </c>
      <c r="AJ11" s="377">
        <f>IF(ISBLANK('RESUMEN VIGILANCIA'!AI54),"",'RESUMEN VIGILANCIA'!AI54)</f>
        <v>10000</v>
      </c>
      <c r="AK11" s="377">
        <f>IF(ISBLANK('RESUMEN VIGILANCIA'!AJ54),"",'RESUMEN VIGILANCIA'!AJ54)</f>
        <v>10000</v>
      </c>
      <c r="AL11" s="377">
        <f>IF(ISBLANK('RESUMEN VIGILANCIA'!AK54),"",'RESUMEN VIGILANCIA'!AK54)</f>
        <v>23400</v>
      </c>
      <c r="AM11" s="377">
        <f>IF(ISBLANK('RESUMEN VIGILANCIA'!AL54),"",'RESUMEN VIGILANCIA'!AL54)</f>
        <v>49300</v>
      </c>
      <c r="AN11" s="377">
        <f>IF(ISBLANK('RESUMEN VIGILANCIA'!AM54),"",'RESUMEN VIGILANCIA'!AM54)</f>
        <v>56250</v>
      </c>
      <c r="AO11" s="378">
        <f>IF(ISBLANK('RESUMEN VIGILANCIA'!AN54),"",'RESUMEN VIGILANCIA'!AN54)</f>
        <v>81750</v>
      </c>
      <c r="AP11" s="376">
        <f>IF(ISBLANK('RESUMEN VIGILANCIA'!AO54),"",'RESUMEN VIGILANCIA'!AO54)</f>
        <v>136250</v>
      </c>
      <c r="AQ11" s="377">
        <f>IF(ISBLANK('RESUMEN VIGILANCIA'!AP54),"",'RESUMEN VIGILANCIA'!AP54)</f>
        <v>136250</v>
      </c>
      <c r="AR11" s="377">
        <f>IF(ISBLANK('RESUMEN VIGILANCIA'!AQ54),"",'RESUMEN VIGILANCIA'!AQ54)</f>
        <v>185250</v>
      </c>
      <c r="AS11" s="377">
        <f>IF(ISBLANK('RESUMEN VIGILANCIA'!AR54),"",'RESUMEN VIGILANCIA'!AR54)</f>
        <v>185250</v>
      </c>
      <c r="AT11" s="377">
        <f>IF(ISBLANK('RESUMEN VIGILANCIA'!AS54),"",'RESUMEN VIGILANCIA'!AS54)</f>
        <v>250000</v>
      </c>
      <c r="AU11" s="377" t="str">
        <f>IF(ISBLANK('RESUMEN VIGILANCIA'!AT54),"",'RESUMEN VIGILANCIA'!AT54)</f>
        <v/>
      </c>
      <c r="AV11" s="377" t="str">
        <f>IF(ISBLANK('RESUMEN VIGILANCIA'!AU54),"",'RESUMEN VIGILANCIA'!AU54)</f>
        <v/>
      </c>
      <c r="AW11" s="377" t="str">
        <f>IF(ISBLANK('RESUMEN VIGILANCIA'!AV54),"",'RESUMEN VIGILANCIA'!AV54)</f>
        <v/>
      </c>
      <c r="AX11" s="377" t="str">
        <f>IF(ISBLANK('RESUMEN VIGILANCIA'!AW54),"",'RESUMEN VIGILANCIA'!AW54)</f>
        <v/>
      </c>
      <c r="AY11" s="377" t="str">
        <f>IF(ISBLANK('RESUMEN VIGILANCIA'!AX54),"",'RESUMEN VIGILANCIA'!AX54)</f>
        <v/>
      </c>
      <c r="AZ11" s="377" t="str">
        <f>IF(ISBLANK('RESUMEN VIGILANCIA'!AY54),"",'RESUMEN VIGILANCIA'!AY54)</f>
        <v/>
      </c>
      <c r="BA11" s="378" t="str">
        <f>IF(ISBLANK('RESUMEN VIGILANCIA'!AZ54),"",'RESUMEN VIGILANCIA'!AZ54)</f>
        <v/>
      </c>
      <c r="BB11" s="242">
        <f t="shared" si="0"/>
        <v>262500.25</v>
      </c>
      <c r="BC11" s="112"/>
      <c r="BD11" s="112"/>
    </row>
    <row r="12" spans="1:56" s="29" customFormat="1" ht="20.100000000000001" customHeight="1">
      <c r="A12" s="30" t="str">
        <f>'RESUMEN VIGILANCIA'!A55</f>
        <v>Familia Lomeña Agudo</v>
      </c>
      <c r="B12" s="31" t="str">
        <f>'RESUMEN VIGILANCIA'!B55</f>
        <v>Calle Guacara Nro. 89-30</v>
      </c>
      <c r="C12" s="429" t="s">
        <v>1316</v>
      </c>
      <c r="D12" s="436" t="s">
        <v>17</v>
      </c>
      <c r="E12" s="417" t="str">
        <f>IF(ISBLANK('RESUMEN VIGILANCIA'!D55),"",'RESUMEN VIGILANCIA'!D55)</f>
        <v/>
      </c>
      <c r="F12" s="269">
        <f>IF(ISBLANK('RESUMEN VIGILANCIA'!E55),"",'RESUMEN VIGILANCIA'!E55)</f>
        <v>0.17</v>
      </c>
      <c r="G12" s="181">
        <f>IF(ISBLANK('RESUMEN VIGILANCIA'!F55),"",'RESUMEN VIGILANCIA'!F55)</f>
        <v>0.17</v>
      </c>
      <c r="H12" s="181">
        <f>IF(ISBLANK('RESUMEN VIGILANCIA'!G55),"",'RESUMEN VIGILANCIA'!G55)</f>
        <v>0.17</v>
      </c>
      <c r="I12" s="181">
        <f>IF(ISBLANK('RESUMEN VIGILANCIA'!H55),"",'RESUMEN VIGILANCIA'!H55)</f>
        <v>0.17</v>
      </c>
      <c r="J12" s="181">
        <f>IF(ISBLANK('RESUMEN VIGILANCIA'!I55),"",'RESUMEN VIGILANCIA'!I55)</f>
        <v>0.26</v>
      </c>
      <c r="K12" s="181">
        <f>IF(ISBLANK('RESUMEN VIGILANCIA'!J55),"",'RESUMEN VIGILANCIA'!J55)</f>
        <v>0.26</v>
      </c>
      <c r="L12" s="181">
        <f>IF(ISBLANK('RESUMEN VIGILANCIA'!K55),"",'RESUMEN VIGILANCIA'!K55)</f>
        <v>0.35</v>
      </c>
      <c r="M12" s="181">
        <f>IF(ISBLANK('RESUMEN VIGILANCIA'!L55),"",'RESUMEN VIGILANCIA'!L55)</f>
        <v>0.35</v>
      </c>
      <c r="N12" s="181">
        <f>IF(ISBLANK('RESUMEN VIGILANCIA'!M55),"",'RESUMEN VIGILANCIA'!M55)</f>
        <v>0.35</v>
      </c>
      <c r="O12" s="181">
        <f>IF(ISBLANK('RESUMEN VIGILANCIA'!N55),"",'RESUMEN VIGILANCIA'!N55)</f>
        <v>0.35</v>
      </c>
      <c r="P12" s="270">
        <f>IF(ISBLANK('RESUMEN VIGILANCIA'!O55),"",'RESUMEN VIGILANCIA'!O55)</f>
        <v>0.5</v>
      </c>
      <c r="Q12" s="179">
        <f>IF(ISBLANK('RESUMEN VIGILANCIA'!P55),"",'RESUMEN VIGILANCIA'!P55)</f>
        <v>0.5</v>
      </c>
      <c r="R12" s="271">
        <f>IF(ISBLANK('RESUMEN VIGILANCIA'!Q55),"",'RESUMEN VIGILANCIA'!Q55)</f>
        <v>0.8</v>
      </c>
      <c r="S12" s="270">
        <f>IF(ISBLANK('RESUMEN VIGILANCIA'!R55),"",'RESUMEN VIGILANCIA'!R55)</f>
        <v>0.8</v>
      </c>
      <c r="T12" s="270">
        <f>IF(ISBLANK('RESUMEN VIGILANCIA'!S55),"",'RESUMEN VIGILANCIA'!S55)</f>
        <v>1.4000000000000001</v>
      </c>
      <c r="U12" s="270">
        <f>IF(ISBLANK('RESUMEN VIGILANCIA'!T55),"",'RESUMEN VIGILANCIA'!T55)</f>
        <v>1.4</v>
      </c>
      <c r="V12" s="270">
        <f>IF(ISBLANK('RESUMEN VIGILANCIA'!U55),"",'RESUMEN VIGILANCIA'!U55)</f>
        <v>4</v>
      </c>
      <c r="W12" s="270">
        <f>IF(ISBLANK('RESUMEN VIGILANCIA'!V55),"",'RESUMEN VIGILANCIA'!V55)</f>
        <v>6.25</v>
      </c>
      <c r="X12" s="270">
        <f>IF(ISBLANK('RESUMEN VIGILANCIA'!W55),"",'RESUMEN VIGILANCIA'!W55)</f>
        <v>12.25</v>
      </c>
      <c r="Y12" s="270">
        <f>IF(ISBLANK('RESUMEN VIGILANCIA'!X55),"",'RESUMEN VIGILANCIA'!X55)</f>
        <v>12</v>
      </c>
      <c r="Z12" s="458">
        <f>IF(ISBLANK('RESUMEN VIGILANCIA'!Y55),"",'RESUMEN VIGILANCIA'!Y55)</f>
        <v>350.2</v>
      </c>
      <c r="AA12" s="455">
        <f>IF(ISBLANK('RESUMEN VIGILANCIA'!Z55),"",'RESUMEN VIGILANCIA'!Z55)</f>
        <v>320</v>
      </c>
      <c r="AB12" s="455">
        <f>IF(ISBLANK('RESUMEN VIGILANCIA'!AA55),"",'RESUMEN VIGILANCIA'!AA55)</f>
        <v>350</v>
      </c>
      <c r="AC12" s="457">
        <f>IF(ISBLANK('RESUMEN VIGILANCIA'!AB55),"",'RESUMEN VIGILANCIA'!AB55)</f>
        <v>800</v>
      </c>
      <c r="AD12" s="376">
        <f>IF(ISBLANK('RESUMEN VIGILANCIA'!AC55),"",'RESUMEN VIGILANCIA'!AC55)</f>
        <v>3000</v>
      </c>
      <c r="AE12" s="377">
        <f>IF(ISBLANK('RESUMEN VIGILANCIA'!AD55),"",'RESUMEN VIGILANCIA'!AD55)</f>
        <v>3000</v>
      </c>
      <c r="AF12" s="377">
        <f>IF(ISBLANK('RESUMEN VIGILANCIA'!AE55),"",'RESUMEN VIGILANCIA'!AE55)</f>
        <v>4500</v>
      </c>
      <c r="AG12" s="377">
        <f>IF(ISBLANK('RESUMEN VIGILANCIA'!AF55),"",'RESUMEN VIGILANCIA'!AF55)</f>
        <v>5000</v>
      </c>
      <c r="AH12" s="377">
        <f>IF(ISBLANK('RESUMEN VIGILANCIA'!AG55),"",'RESUMEN VIGILANCIA'!AG55)</f>
        <v>8000</v>
      </c>
      <c r="AI12" s="377">
        <f>IF(ISBLANK('RESUMEN VIGILANCIA'!AH55),"",'RESUMEN VIGILANCIA'!AH55)</f>
        <v>10000</v>
      </c>
      <c r="AJ12" s="377">
        <f>IF(ISBLANK('RESUMEN VIGILANCIA'!AI55),"",'RESUMEN VIGILANCIA'!AI55)</f>
        <v>10000</v>
      </c>
      <c r="AK12" s="377">
        <f>IF(ISBLANK('RESUMEN VIGILANCIA'!AJ55),"",'RESUMEN VIGILANCIA'!AJ55)</f>
        <v>15000</v>
      </c>
      <c r="AL12" s="377">
        <f>IF(ISBLANK('RESUMEN VIGILANCIA'!AK55),"",'RESUMEN VIGILANCIA'!AK55)</f>
        <v>23400</v>
      </c>
      <c r="AM12" s="377">
        <f>IF(ISBLANK('RESUMEN VIGILANCIA'!AL55),"",'RESUMEN VIGILANCIA'!AL55)</f>
        <v>48000</v>
      </c>
      <c r="AN12" s="377">
        <f>IF(ISBLANK('RESUMEN VIGILANCIA'!AM55),"",'RESUMEN VIGILANCIA'!AM55)</f>
        <v>67481</v>
      </c>
      <c r="AO12" s="378">
        <f>IF(ISBLANK('RESUMEN VIGILANCIA'!AN55),"",'RESUMEN VIGILANCIA'!AN55)</f>
        <v>148000</v>
      </c>
      <c r="AP12" s="376">
        <f>IF(ISBLANK('RESUMEN VIGILANCIA'!AO55),"",'RESUMEN VIGILANCIA'!AO55)</f>
        <v>136250</v>
      </c>
      <c r="AQ12" s="377">
        <f>IF(ISBLANK('RESUMEN VIGILANCIA'!AP55),"",'RESUMEN VIGILANCIA'!AP55)</f>
        <v>210000</v>
      </c>
      <c r="AR12" s="377">
        <f>IF(ISBLANK('RESUMEN VIGILANCIA'!AQ55),"",'RESUMEN VIGILANCIA'!AQ55)</f>
        <v>186000</v>
      </c>
      <c r="AS12" s="377">
        <f>IF(ISBLANK('RESUMEN VIGILANCIA'!AR55),"",'RESUMEN VIGILANCIA'!AR55)</f>
        <v>187000</v>
      </c>
      <c r="AT12" s="377">
        <f>IF(ISBLANK('RESUMEN VIGILANCIA'!AS55),"",'RESUMEN VIGILANCIA'!AS55)</f>
        <v>250000</v>
      </c>
      <c r="AU12" s="377" t="str">
        <f>IF(ISBLANK('RESUMEN VIGILANCIA'!AT55),"",'RESUMEN VIGILANCIA'!AT55)</f>
        <v/>
      </c>
      <c r="AV12" s="377" t="str">
        <f>IF(ISBLANK('RESUMEN VIGILANCIA'!AU55),"",'RESUMEN VIGILANCIA'!AU55)</f>
        <v/>
      </c>
      <c r="AW12" s="377" t="str">
        <f>IF(ISBLANK('RESUMEN VIGILANCIA'!AV55),"",'RESUMEN VIGILANCIA'!AV55)</f>
        <v/>
      </c>
      <c r="AX12" s="377" t="str">
        <f>IF(ISBLANK('RESUMEN VIGILANCIA'!AW55),"",'RESUMEN VIGILANCIA'!AW55)</f>
        <v/>
      </c>
      <c r="AY12" s="377" t="str">
        <f>IF(ISBLANK('RESUMEN VIGILANCIA'!AX55),"",'RESUMEN VIGILANCIA'!AX55)</f>
        <v/>
      </c>
      <c r="AZ12" s="377" t="str">
        <f>IF(ISBLANK('RESUMEN VIGILANCIA'!AY55),"",'RESUMEN VIGILANCIA'!AY55)</f>
        <v/>
      </c>
      <c r="BA12" s="378" t="str">
        <f>IF(ISBLANK('RESUMEN VIGILANCIA'!AZ55),"",'RESUMEN VIGILANCIA'!AZ55)</f>
        <v/>
      </c>
      <c r="BB12" s="242">
        <f t="shared" si="0"/>
        <v>347243.7</v>
      </c>
      <c r="BC12" s="112"/>
      <c r="BD12" s="112"/>
    </row>
    <row r="13" spans="1:56" s="29" customFormat="1" ht="20.100000000000001" customHeight="1">
      <c r="A13" s="30" t="str">
        <f>'RESUMEN VIGILANCIA'!A56</f>
        <v>Familia Manrique Riera</v>
      </c>
      <c r="B13" s="31" t="str">
        <f>'RESUMEN VIGILANCIA'!B56</f>
        <v>Calle Guacara Nro. 89-40</v>
      </c>
      <c r="C13" s="429" t="s">
        <v>1316</v>
      </c>
      <c r="D13" s="436" t="s">
        <v>1315</v>
      </c>
      <c r="E13" s="417" t="str">
        <f>IF(ISBLANK('RESUMEN VIGILANCIA'!D56),"",'RESUMEN VIGILANCIA'!D56)</f>
        <v/>
      </c>
      <c r="F13" s="269">
        <f>IF(ISBLANK('RESUMEN VIGILANCIA'!E56),"",'RESUMEN VIGILANCIA'!E56)</f>
        <v>0.17</v>
      </c>
      <c r="G13" s="181">
        <f>IF(ISBLANK('RESUMEN VIGILANCIA'!F56),"",'RESUMEN VIGILANCIA'!F56)</f>
        <v>0.17</v>
      </c>
      <c r="H13" s="181">
        <f>IF(ISBLANK('RESUMEN VIGILANCIA'!G56),"",'RESUMEN VIGILANCIA'!G56)</f>
        <v>0.17</v>
      </c>
      <c r="I13" s="181">
        <f>IF(ISBLANK('RESUMEN VIGILANCIA'!H56),"",'RESUMEN VIGILANCIA'!H56)</f>
        <v>0.17</v>
      </c>
      <c r="J13" s="181">
        <f>IF(ISBLANK('RESUMEN VIGILANCIA'!I56),"",'RESUMEN VIGILANCIA'!I56)</f>
        <v>0.26</v>
      </c>
      <c r="K13" s="181">
        <f>IF(ISBLANK('RESUMEN VIGILANCIA'!J56),"",'RESUMEN VIGILANCIA'!J56)</f>
        <v>0.26</v>
      </c>
      <c r="L13" s="181">
        <f>IF(ISBLANK('RESUMEN VIGILANCIA'!K56),"",'RESUMEN VIGILANCIA'!K56)</f>
        <v>0.35</v>
      </c>
      <c r="M13" s="181">
        <f>IF(ISBLANK('RESUMEN VIGILANCIA'!L56),"",'RESUMEN VIGILANCIA'!L56)</f>
        <v>0.35</v>
      </c>
      <c r="N13" s="181">
        <f>IF(ISBLANK('RESUMEN VIGILANCIA'!M56),"",'RESUMEN VIGILANCIA'!M56)</f>
        <v>0.35</v>
      </c>
      <c r="O13" s="181">
        <f>IF(ISBLANK('RESUMEN VIGILANCIA'!N56),"",'RESUMEN VIGILANCIA'!N56)</f>
        <v>0.35</v>
      </c>
      <c r="P13" s="270">
        <f>IF(ISBLANK('RESUMEN VIGILANCIA'!O56),"",'RESUMEN VIGILANCIA'!O56)</f>
        <v>0.5</v>
      </c>
      <c r="Q13" s="179">
        <f>IF(ISBLANK('RESUMEN VIGILANCIA'!P56),"",'RESUMEN VIGILANCIA'!P56)</f>
        <v>0.2</v>
      </c>
      <c r="R13" s="271">
        <f>IF(ISBLANK('RESUMEN VIGILANCIA'!Q56),"",'RESUMEN VIGILANCIA'!Q56)</f>
        <v>0.8</v>
      </c>
      <c r="S13" s="270">
        <f>IF(ISBLANK('RESUMEN VIGILANCIA'!R56),"",'RESUMEN VIGILANCIA'!R56)</f>
        <v>0.8</v>
      </c>
      <c r="T13" s="270">
        <f>IF(ISBLANK('RESUMEN VIGILANCIA'!S56),"",'RESUMEN VIGILANCIA'!S56)</f>
        <v>1.4</v>
      </c>
      <c r="U13" s="270">
        <f>IF(ISBLANK('RESUMEN VIGILANCIA'!T56),"",'RESUMEN VIGILANCIA'!T56)</f>
        <v>1.4</v>
      </c>
      <c r="V13" s="270">
        <f>IF(ISBLANK('RESUMEN VIGILANCIA'!U56),"",'RESUMEN VIGILANCIA'!U56)</f>
        <v>4</v>
      </c>
      <c r="W13" s="270">
        <f>IF(ISBLANK('RESUMEN VIGILANCIA'!V56),"",'RESUMEN VIGILANCIA'!V56)</f>
        <v>6.5</v>
      </c>
      <c r="X13" s="272">
        <f>IF(ISBLANK('RESUMEN VIGILANCIA'!W56),"",'RESUMEN VIGILANCIA'!W56)</f>
        <v>10</v>
      </c>
      <c r="Y13" s="270">
        <f>IF(ISBLANK('RESUMEN VIGILANCIA'!X56),"",'RESUMEN VIGILANCIA'!X56)</f>
        <v>12</v>
      </c>
      <c r="Z13" s="455">
        <f>IF(ISBLANK('RESUMEN VIGILANCIA'!Y56),"",'RESUMEN VIGILANCIA'!Y56)</f>
        <v>320</v>
      </c>
      <c r="AA13" s="455">
        <f>IF(ISBLANK('RESUMEN VIGILANCIA'!Z56),"",'RESUMEN VIGILANCIA'!Z56)</f>
        <v>320</v>
      </c>
      <c r="AB13" s="455">
        <f>IF(ISBLANK('RESUMEN VIGILANCIA'!AA56),"",'RESUMEN VIGILANCIA'!AA56)</f>
        <v>320</v>
      </c>
      <c r="AC13" s="457">
        <f>IF(ISBLANK('RESUMEN VIGILANCIA'!AB56),"",'RESUMEN VIGILANCIA'!AB56)</f>
        <v>800</v>
      </c>
      <c r="AD13" s="376">
        <f>IF(ISBLANK('RESUMEN VIGILANCIA'!AC56),"",'RESUMEN VIGILANCIA'!AC56)</f>
        <v>3000</v>
      </c>
      <c r="AE13" s="377">
        <f>IF(ISBLANK('RESUMEN VIGILANCIA'!AD56),"",'RESUMEN VIGILANCIA'!AD56)</f>
        <v>3000</v>
      </c>
      <c r="AF13" s="377">
        <f>IF(ISBLANK('RESUMEN VIGILANCIA'!AE56),"",'RESUMEN VIGILANCIA'!AE56)</f>
        <v>3000</v>
      </c>
      <c r="AG13" s="377">
        <f>IF(ISBLANK('RESUMEN VIGILANCIA'!AF56),"",'RESUMEN VIGILANCIA'!AF56)</f>
        <v>5000</v>
      </c>
      <c r="AH13" s="377">
        <f>IF(ISBLANK('RESUMEN VIGILANCIA'!AG56),"",'RESUMEN VIGILANCIA'!AG56)</f>
        <v>8000</v>
      </c>
      <c r="AI13" s="377">
        <f>IF(ISBLANK('RESUMEN VIGILANCIA'!AH56),"",'RESUMEN VIGILANCIA'!AH56)</f>
        <v>8000</v>
      </c>
      <c r="AJ13" s="377">
        <f>IF(ISBLANK('RESUMEN VIGILANCIA'!AI56),"",'RESUMEN VIGILANCIA'!AI56)</f>
        <v>10000</v>
      </c>
      <c r="AK13" s="377">
        <f>IF(ISBLANK('RESUMEN VIGILANCIA'!AJ56),"",'RESUMEN VIGILANCIA'!AJ56)</f>
        <v>10000</v>
      </c>
      <c r="AL13" s="377">
        <f>IF(ISBLANK('RESUMEN VIGILANCIA'!AK56),"",'RESUMEN VIGILANCIA'!AK56)</f>
        <v>23400</v>
      </c>
      <c r="AM13" s="377">
        <f>IF(ISBLANK('RESUMEN VIGILANCIA'!AL56),"",'RESUMEN VIGILANCIA'!AL56)</f>
        <v>47000</v>
      </c>
      <c r="AN13" s="377">
        <f>IF(ISBLANK('RESUMEN VIGILANCIA'!AM56),"",'RESUMEN VIGILANCIA'!AM56)</f>
        <v>64500</v>
      </c>
      <c r="AO13" s="378">
        <f>IF(ISBLANK('RESUMEN VIGILANCIA'!AN56),"",'RESUMEN VIGILANCIA'!AN56)</f>
        <v>81750</v>
      </c>
      <c r="AP13" s="376">
        <f>IF(ISBLANK('RESUMEN VIGILANCIA'!AO56),"",'RESUMEN VIGILANCIA'!AO56)</f>
        <v>136250</v>
      </c>
      <c r="AQ13" s="377">
        <f>IF(ISBLANK('RESUMEN VIGILANCIA'!AP56),"",'RESUMEN VIGILANCIA'!AP56)</f>
        <v>136250</v>
      </c>
      <c r="AR13" s="377">
        <f>IF(ISBLANK('RESUMEN VIGILANCIA'!AQ56),"",'RESUMEN VIGILANCIA'!AQ56)</f>
        <v>185250</v>
      </c>
      <c r="AS13" s="377">
        <f>IF(ISBLANK('RESUMEN VIGILANCIA'!AR56),"",'RESUMEN VIGILANCIA'!AR56)</f>
        <v>185250</v>
      </c>
      <c r="AT13" s="377">
        <f>IF(ISBLANK('RESUMEN VIGILANCIA'!AS56),"",'RESUMEN VIGILANCIA'!AS56)</f>
        <v>250000</v>
      </c>
      <c r="AU13" s="377" t="str">
        <f>IF(ISBLANK('RESUMEN VIGILANCIA'!AT56),"",'RESUMEN VIGILANCIA'!AT56)</f>
        <v/>
      </c>
      <c r="AV13" s="377" t="str">
        <f>IF(ISBLANK('RESUMEN VIGILANCIA'!AU56),"",'RESUMEN VIGILANCIA'!AU56)</f>
        <v/>
      </c>
      <c r="AW13" s="377" t="str">
        <f>IF(ISBLANK('RESUMEN VIGILANCIA'!AV56),"",'RESUMEN VIGILANCIA'!AV56)</f>
        <v/>
      </c>
      <c r="AX13" s="377" t="str">
        <f>IF(ISBLANK('RESUMEN VIGILANCIA'!AW56),"",'RESUMEN VIGILANCIA'!AW56)</f>
        <v/>
      </c>
      <c r="AY13" s="377" t="str">
        <f>IF(ISBLANK('RESUMEN VIGILANCIA'!AX56),"",'RESUMEN VIGILANCIA'!AX56)</f>
        <v/>
      </c>
      <c r="AZ13" s="377" t="str">
        <f>IF(ISBLANK('RESUMEN VIGILANCIA'!AY56),"",'RESUMEN VIGILANCIA'!AY56)</f>
        <v/>
      </c>
      <c r="BA13" s="378" t="str">
        <f>IF(ISBLANK('RESUMEN VIGILANCIA'!AZ56),"",'RESUMEN VIGILANCIA'!AZ56)</f>
        <v/>
      </c>
      <c r="BB13" s="242">
        <f t="shared" si="0"/>
        <v>268450.2</v>
      </c>
      <c r="BC13" s="112"/>
      <c r="BD13" s="112"/>
    </row>
    <row r="14" spans="1:56" s="29" customFormat="1" ht="20.100000000000001" customHeight="1">
      <c r="A14" s="30" t="str">
        <f>'RESUMEN VIGILANCIA'!A57</f>
        <v>Familia Romero</v>
      </c>
      <c r="B14" s="31" t="str">
        <f>'RESUMEN VIGILANCIA'!B57</f>
        <v>Calle Guacara Nro. 89-50</v>
      </c>
      <c r="C14" s="429" t="s">
        <v>1316</v>
      </c>
      <c r="D14" s="436" t="s">
        <v>1315</v>
      </c>
      <c r="E14" s="417" t="str">
        <f>IF(ISBLANK('RESUMEN VIGILANCIA'!D57),"",'RESUMEN VIGILANCIA'!D57)</f>
        <v/>
      </c>
      <c r="F14" s="269" t="str">
        <f>IF(ISBLANK('RESUMEN VIGILANCIA'!E57),"",'RESUMEN VIGILANCIA'!E57)</f>
        <v/>
      </c>
      <c r="G14" s="181" t="str">
        <f>IF(ISBLANK('RESUMEN VIGILANCIA'!F57),"",'RESUMEN VIGILANCIA'!F57)</f>
        <v/>
      </c>
      <c r="H14" s="181" t="str">
        <f>IF(ISBLANK('RESUMEN VIGILANCIA'!G57),"",'RESUMEN VIGILANCIA'!G57)</f>
        <v/>
      </c>
      <c r="I14" s="181" t="str">
        <f>IF(ISBLANK('RESUMEN VIGILANCIA'!H57),"",'RESUMEN VIGILANCIA'!H57)</f>
        <v/>
      </c>
      <c r="J14" s="181" t="str">
        <f>IF(ISBLANK('RESUMEN VIGILANCIA'!I57),"",'RESUMEN VIGILANCIA'!I57)</f>
        <v/>
      </c>
      <c r="K14" s="181" t="str">
        <f>IF(ISBLANK('RESUMEN VIGILANCIA'!J57),"",'RESUMEN VIGILANCIA'!J57)</f>
        <v/>
      </c>
      <c r="L14" s="181" t="str">
        <f>IF(ISBLANK('RESUMEN VIGILANCIA'!K57),"",'RESUMEN VIGILANCIA'!K57)</f>
        <v/>
      </c>
      <c r="M14" s="181" t="str">
        <f>IF(ISBLANK('RESUMEN VIGILANCIA'!L57),"",'RESUMEN VIGILANCIA'!L57)</f>
        <v/>
      </c>
      <c r="N14" s="181" t="str">
        <f>IF(ISBLANK('RESUMEN VIGILANCIA'!M57),"",'RESUMEN VIGILANCIA'!M57)</f>
        <v/>
      </c>
      <c r="O14" s="181" t="str">
        <f>IF(ISBLANK('RESUMEN VIGILANCIA'!N57),"",'RESUMEN VIGILANCIA'!N57)</f>
        <v/>
      </c>
      <c r="P14" s="270" t="str">
        <f>IF(ISBLANK('RESUMEN VIGILANCIA'!O57),"",'RESUMEN VIGILANCIA'!O57)</f>
        <v/>
      </c>
      <c r="Q14" s="179">
        <f>IF(ISBLANK('RESUMEN VIGILANCIA'!P57),"",'RESUMEN VIGILANCIA'!P57)</f>
        <v>0.5</v>
      </c>
      <c r="R14" s="271">
        <f>IF(ISBLANK('RESUMEN VIGILANCIA'!Q57),"",'RESUMEN VIGILANCIA'!Q57)</f>
        <v>0.5</v>
      </c>
      <c r="S14" s="270">
        <f>IF(ISBLANK('RESUMEN VIGILANCIA'!R57),"",'RESUMEN VIGILANCIA'!R57)</f>
        <v>0.5</v>
      </c>
      <c r="T14" s="270">
        <f>IF(ISBLANK('RESUMEN VIGILANCIA'!S57),"",'RESUMEN VIGILANCIA'!S57)</f>
        <v>0.5</v>
      </c>
      <c r="U14" s="270">
        <f>IF(ISBLANK('RESUMEN VIGILANCIA'!T57),"",'RESUMEN VIGILANCIA'!T57)</f>
        <v>0.5</v>
      </c>
      <c r="V14" s="270">
        <f>IF(ISBLANK('RESUMEN VIGILANCIA'!U57),"",'RESUMEN VIGILANCIA'!U57)</f>
        <v>4</v>
      </c>
      <c r="W14" s="270">
        <f>IF(ISBLANK('RESUMEN VIGILANCIA'!V57),"",'RESUMEN VIGILANCIA'!V57)</f>
        <v>4</v>
      </c>
      <c r="X14" s="270">
        <f>IF(ISBLANK('RESUMEN VIGILANCIA'!W57),"",'RESUMEN VIGILANCIA'!W57)</f>
        <v>10</v>
      </c>
      <c r="Y14" s="272">
        <f>IF(ISBLANK('RESUMEN VIGILANCIA'!X57),"",'RESUMEN VIGILANCIA'!X57)</f>
        <v>10</v>
      </c>
      <c r="Z14" s="455">
        <f>IF(ISBLANK('RESUMEN VIGILANCIA'!Y57),"",'RESUMEN VIGILANCIA'!Y57)</f>
        <v>160</v>
      </c>
      <c r="AA14" s="455">
        <f>IF(ISBLANK('RESUMEN VIGILANCIA'!Z57),"",'RESUMEN VIGILANCIA'!Z57)</f>
        <v>160</v>
      </c>
      <c r="AB14" s="455" t="str">
        <f>IF(ISBLANK('RESUMEN VIGILANCIA'!AA57),"",'RESUMEN VIGILANCIA'!AA57)</f>
        <v/>
      </c>
      <c r="AC14" s="457">
        <f>IF(ISBLANK('RESUMEN VIGILANCIA'!AB57),"",'RESUMEN VIGILANCIA'!AB57)</f>
        <v>800</v>
      </c>
      <c r="AD14" s="376">
        <f>IF(ISBLANK('RESUMEN VIGILANCIA'!AC57),"",'RESUMEN VIGILANCIA'!AC57)</f>
        <v>3000</v>
      </c>
      <c r="AE14" s="377">
        <f>IF(ISBLANK('RESUMEN VIGILANCIA'!AD57),"",'RESUMEN VIGILANCIA'!AD57)</f>
        <v>3000</v>
      </c>
      <c r="AF14" s="377">
        <f>IF(ISBLANK('RESUMEN VIGILANCIA'!AE57),"",'RESUMEN VIGILANCIA'!AE57)</f>
        <v>3000</v>
      </c>
      <c r="AG14" s="377">
        <f>IF(ISBLANK('RESUMEN VIGILANCIA'!AF57),"",'RESUMEN VIGILANCIA'!AF57)</f>
        <v>5000</v>
      </c>
      <c r="AH14" s="377">
        <f>IF(ISBLANK('RESUMEN VIGILANCIA'!AG57),"",'RESUMEN VIGILANCIA'!AG57)</f>
        <v>8000</v>
      </c>
      <c r="AI14" s="377">
        <f>IF(ISBLANK('RESUMEN VIGILANCIA'!AH57),"",'RESUMEN VIGILANCIA'!AH57)</f>
        <v>8000</v>
      </c>
      <c r="AJ14" s="377">
        <f>IF(ISBLANK('RESUMEN VIGILANCIA'!AI57),"",'RESUMEN VIGILANCIA'!AI57)</f>
        <v>10000</v>
      </c>
      <c r="AK14" s="377">
        <f>IF(ISBLANK('RESUMEN VIGILANCIA'!AJ57),"",'RESUMEN VIGILANCIA'!AJ57)</f>
        <v>10000</v>
      </c>
      <c r="AL14" s="377">
        <f>IF(ISBLANK('RESUMEN VIGILANCIA'!AK57),"",'RESUMEN VIGILANCIA'!AK57)</f>
        <v>20500</v>
      </c>
      <c r="AM14" s="377">
        <f>IF(ISBLANK('RESUMEN VIGILANCIA'!AL57),"",'RESUMEN VIGILANCIA'!AL57)</f>
        <v>47000</v>
      </c>
      <c r="AN14" s="377">
        <f>IF(ISBLANK('RESUMEN VIGILANCIA'!AM57),"",'RESUMEN VIGILANCIA'!AM57)</f>
        <v>56250</v>
      </c>
      <c r="AO14" s="378">
        <f>IF(ISBLANK('RESUMEN VIGILANCIA'!AN57),"",'RESUMEN VIGILANCIA'!AN57)</f>
        <v>81750</v>
      </c>
      <c r="AP14" s="376">
        <f>IF(ISBLANK('RESUMEN VIGILANCIA'!AO57),"",'RESUMEN VIGILANCIA'!AO57)</f>
        <v>136250</v>
      </c>
      <c r="AQ14" s="377">
        <f>IF(ISBLANK('RESUMEN VIGILANCIA'!AP57),"",'RESUMEN VIGILANCIA'!AP57)</f>
        <v>185250</v>
      </c>
      <c r="AR14" s="377">
        <f>IF(ISBLANK('RESUMEN VIGILANCIA'!AQ57),"",'RESUMEN VIGILANCIA'!AQ57)</f>
        <v>185250</v>
      </c>
      <c r="AS14" s="377">
        <f>IF(ISBLANK('RESUMEN VIGILANCIA'!AR57),"",'RESUMEN VIGILANCIA'!AR57)</f>
        <v>185250</v>
      </c>
      <c r="AT14" s="377" t="str">
        <f>IF(ISBLANK('RESUMEN VIGILANCIA'!AS57),"",'RESUMEN VIGILANCIA'!AS57)</f>
        <v/>
      </c>
      <c r="AU14" s="377" t="str">
        <f>IF(ISBLANK('RESUMEN VIGILANCIA'!AT57),"",'RESUMEN VIGILANCIA'!AT57)</f>
        <v/>
      </c>
      <c r="AV14" s="377" t="str">
        <f>IF(ISBLANK('RESUMEN VIGILANCIA'!AU57),"",'RESUMEN VIGILANCIA'!AU57)</f>
        <v/>
      </c>
      <c r="AW14" s="377" t="str">
        <f>IF(ISBLANK('RESUMEN VIGILANCIA'!AV57),"",'RESUMEN VIGILANCIA'!AV57)</f>
        <v/>
      </c>
      <c r="AX14" s="377" t="str">
        <f>IF(ISBLANK('RESUMEN VIGILANCIA'!AW57),"",'RESUMEN VIGILANCIA'!AW57)</f>
        <v/>
      </c>
      <c r="AY14" s="377" t="str">
        <f>IF(ISBLANK('RESUMEN VIGILANCIA'!AX57),"",'RESUMEN VIGILANCIA'!AX57)</f>
        <v/>
      </c>
      <c r="AZ14" s="377" t="str">
        <f>IF(ISBLANK('RESUMEN VIGILANCIA'!AY57),"",'RESUMEN VIGILANCIA'!AY57)</f>
        <v/>
      </c>
      <c r="BA14" s="378" t="str">
        <f>IF(ISBLANK('RESUMEN VIGILANCIA'!AZ57),"",'RESUMEN VIGILANCIA'!AZ57)</f>
        <v/>
      </c>
      <c r="BB14" s="242">
        <f t="shared" si="0"/>
        <v>256650.5</v>
      </c>
      <c r="BC14" s="112"/>
      <c r="BD14" s="112"/>
    </row>
    <row r="15" spans="1:56" s="29" customFormat="1" ht="20.100000000000001" customHeight="1">
      <c r="A15" s="30" t="str">
        <f>'RESUMEN VIGILANCIA'!A58</f>
        <v>Familia Durvelle Serrano</v>
      </c>
      <c r="B15" s="31" t="str">
        <f>'RESUMEN VIGILANCIA'!B58</f>
        <v>Calle Guacara Nro. 89-60</v>
      </c>
      <c r="C15" s="429" t="s">
        <v>1316</v>
      </c>
      <c r="D15" s="436" t="s">
        <v>1315</v>
      </c>
      <c r="E15" s="417" t="str">
        <f>IF(ISBLANK('RESUMEN VIGILANCIA'!D58),"",'RESUMEN VIGILANCIA'!D58)</f>
        <v/>
      </c>
      <c r="F15" s="273">
        <f>IF(ISBLANK('RESUMEN VIGILANCIA'!E58),"",'RESUMEN VIGILANCIA'!E58)</f>
        <v>0.1</v>
      </c>
      <c r="G15" s="181">
        <f>IF(ISBLANK('RESUMEN VIGILANCIA'!F58),"",'RESUMEN VIGILANCIA'!F58)</f>
        <v>0.17</v>
      </c>
      <c r="H15" s="181">
        <f>IF(ISBLANK('RESUMEN VIGILANCIA'!G58),"",'RESUMEN VIGILANCIA'!G58)</f>
        <v>0.17</v>
      </c>
      <c r="I15" s="181">
        <f>IF(ISBLANK('RESUMEN VIGILANCIA'!H58),"",'RESUMEN VIGILANCIA'!H58)</f>
        <v>0.17</v>
      </c>
      <c r="J15" s="181">
        <f>IF(ISBLANK('RESUMEN VIGILANCIA'!I58),"",'RESUMEN VIGILANCIA'!I58)</f>
        <v>0.26</v>
      </c>
      <c r="K15" s="181">
        <f>IF(ISBLANK('RESUMEN VIGILANCIA'!J58),"",'RESUMEN VIGILANCIA'!J58)</f>
        <v>0.27</v>
      </c>
      <c r="L15" s="181">
        <f>IF(ISBLANK('RESUMEN VIGILANCIA'!K58),"",'RESUMEN VIGILANCIA'!K58)</f>
        <v>0.36</v>
      </c>
      <c r="M15" s="181">
        <f>IF(ISBLANK('RESUMEN VIGILANCIA'!L58),"",'RESUMEN VIGILANCIA'!L58)</f>
        <v>0.35</v>
      </c>
      <c r="N15" s="181">
        <f>IF(ISBLANK('RESUMEN VIGILANCIA'!M58),"",'RESUMEN VIGILANCIA'!M58)</f>
        <v>0.35</v>
      </c>
      <c r="O15" s="181">
        <f>IF(ISBLANK('RESUMEN VIGILANCIA'!N58),"",'RESUMEN VIGILANCIA'!N58)</f>
        <v>0.35</v>
      </c>
      <c r="P15" s="270">
        <f>IF(ISBLANK('RESUMEN VIGILANCIA'!O58),"",'RESUMEN VIGILANCIA'!O58)</f>
        <v>0.5</v>
      </c>
      <c r="Q15" s="179">
        <f>IF(ISBLANK('RESUMEN VIGILANCIA'!P58),"",'RESUMEN VIGILANCIA'!P58)</f>
        <v>0.5</v>
      </c>
      <c r="R15" s="271">
        <f>IF(ISBLANK('RESUMEN VIGILANCIA'!Q58),"",'RESUMEN VIGILANCIA'!Q58)</f>
        <v>1</v>
      </c>
      <c r="S15" s="270">
        <f>IF(ISBLANK('RESUMEN VIGILANCIA'!R58),"",'RESUMEN VIGILANCIA'!R58)</f>
        <v>1</v>
      </c>
      <c r="T15" s="270">
        <f>IF(ISBLANK('RESUMEN VIGILANCIA'!S58),"",'RESUMEN VIGILANCIA'!S58)</f>
        <v>2</v>
      </c>
      <c r="U15" s="270">
        <f>IF(ISBLANK('RESUMEN VIGILANCIA'!T58),"",'RESUMEN VIGILANCIA'!T58)</f>
        <v>2.5</v>
      </c>
      <c r="V15" s="270">
        <f>IF(ISBLANK('RESUMEN VIGILANCIA'!U58),"",'RESUMEN VIGILANCIA'!U58)</f>
        <v>4</v>
      </c>
      <c r="W15" s="270">
        <f>IF(ISBLANK('RESUMEN VIGILANCIA'!V58),"",'RESUMEN VIGILANCIA'!V58)</f>
        <v>6.25</v>
      </c>
      <c r="X15" s="270">
        <f>IF(ISBLANK('RESUMEN VIGILANCIA'!W58),"",'RESUMEN VIGILANCIA'!W58)</f>
        <v>10</v>
      </c>
      <c r="Y15" s="270">
        <f>IF(ISBLANK('RESUMEN VIGILANCIA'!X58),"",'RESUMEN VIGILANCIA'!X58)</f>
        <v>11.999999999999998</v>
      </c>
      <c r="Z15" s="455">
        <f>IF(ISBLANK('RESUMEN VIGILANCIA'!Y58),"",'RESUMEN VIGILANCIA'!Y58)</f>
        <v>405.15</v>
      </c>
      <c r="AA15" s="455">
        <f>IF(ISBLANK('RESUMEN VIGILANCIA'!Z58),"",'RESUMEN VIGILANCIA'!Z58)</f>
        <v>500</v>
      </c>
      <c r="AB15" s="455">
        <f>IF(ISBLANK('RESUMEN VIGILANCIA'!AA58),"",'RESUMEN VIGILANCIA'!AA58)</f>
        <v>500</v>
      </c>
      <c r="AC15" s="457">
        <f>IF(ISBLANK('RESUMEN VIGILANCIA'!AB58),"",'RESUMEN VIGILANCIA'!AB58)</f>
        <v>1000</v>
      </c>
      <c r="AD15" s="376">
        <f>IF(ISBLANK('RESUMEN VIGILANCIA'!AC58),"",'RESUMEN VIGILANCIA'!AC58)</f>
        <v>4000</v>
      </c>
      <c r="AE15" s="377">
        <f>IF(ISBLANK('RESUMEN VIGILANCIA'!AD58),"",'RESUMEN VIGILANCIA'!AD58)</f>
        <v>4000</v>
      </c>
      <c r="AF15" s="377">
        <f>IF(ISBLANK('RESUMEN VIGILANCIA'!AE58),"",'RESUMEN VIGILANCIA'!AE58)</f>
        <v>6000</v>
      </c>
      <c r="AG15" s="377">
        <f>IF(ISBLANK('RESUMEN VIGILANCIA'!AF58),"",'RESUMEN VIGILANCIA'!AF58)</f>
        <v>5000</v>
      </c>
      <c r="AH15" s="377">
        <f>IF(ISBLANK('RESUMEN VIGILANCIA'!AG58),"",'RESUMEN VIGILANCIA'!AG58)</f>
        <v>8000</v>
      </c>
      <c r="AI15" s="377">
        <f>IF(ISBLANK('RESUMEN VIGILANCIA'!AH58),"",'RESUMEN VIGILANCIA'!AH58)</f>
        <v>8000</v>
      </c>
      <c r="AJ15" s="377">
        <f>IF(ISBLANK('RESUMEN VIGILANCIA'!AI58),"",'RESUMEN VIGILANCIA'!AI58)</f>
        <v>15000</v>
      </c>
      <c r="AK15" s="377">
        <f>IF(ISBLANK('RESUMEN VIGILANCIA'!AJ58),"",'RESUMEN VIGILANCIA'!AJ58)</f>
        <v>10000</v>
      </c>
      <c r="AL15" s="377">
        <f>IF(ISBLANK('RESUMEN VIGILANCIA'!AK58),"",'RESUMEN VIGILANCIA'!AK58)</f>
        <v>24000</v>
      </c>
      <c r="AM15" s="377">
        <f>IF(ISBLANK('RESUMEN VIGILANCIA'!AL58),"",'RESUMEN VIGILANCIA'!AL58)</f>
        <v>47000</v>
      </c>
      <c r="AN15" s="377">
        <f>IF(ISBLANK('RESUMEN VIGILANCIA'!AM58),"",'RESUMEN VIGILANCIA'!AM58)</f>
        <v>57000</v>
      </c>
      <c r="AO15" s="378">
        <f>IF(ISBLANK('RESUMEN VIGILANCIA'!AN58),"",'RESUMEN VIGILANCIA'!AN58)</f>
        <v>98750</v>
      </c>
      <c r="AP15" s="376">
        <f>IF(ISBLANK('RESUMEN VIGILANCIA'!AO58),"",'RESUMEN VIGILANCIA'!AO58)</f>
        <v>136250</v>
      </c>
      <c r="AQ15" s="377">
        <f>IF(ISBLANK('RESUMEN VIGILANCIA'!AP58),"",'RESUMEN VIGILANCIA'!AP58)</f>
        <v>140000</v>
      </c>
      <c r="AR15" s="377">
        <f>IF(ISBLANK('RESUMEN VIGILANCIA'!AQ58),"",'RESUMEN VIGILANCIA'!AQ58)</f>
        <v>400000</v>
      </c>
      <c r="AS15" s="377">
        <f>IF(ISBLANK('RESUMEN VIGILANCIA'!AR58),"",'RESUMEN VIGILANCIA'!AR58)</f>
        <v>300000</v>
      </c>
      <c r="AT15" s="377">
        <f>IF(ISBLANK('RESUMEN VIGILANCIA'!AS58),"",'RESUMEN VIGILANCIA'!AS58)</f>
        <v>250000</v>
      </c>
      <c r="AU15" s="377" t="str">
        <f>IF(ISBLANK('RESUMEN VIGILANCIA'!AT58),"",'RESUMEN VIGILANCIA'!AT58)</f>
        <v/>
      </c>
      <c r="AV15" s="377" t="str">
        <f>IF(ISBLANK('RESUMEN VIGILANCIA'!AU58),"",'RESUMEN VIGILANCIA'!AU58)</f>
        <v/>
      </c>
      <c r="AW15" s="377" t="str">
        <f>IF(ISBLANK('RESUMEN VIGILANCIA'!AV58),"",'RESUMEN VIGILANCIA'!AV58)</f>
        <v/>
      </c>
      <c r="AX15" s="377" t="str">
        <f>IF(ISBLANK('RESUMEN VIGILANCIA'!AW58),"",'RESUMEN VIGILANCIA'!AW58)</f>
        <v/>
      </c>
      <c r="AY15" s="377" t="str">
        <f>IF(ISBLANK('RESUMEN VIGILANCIA'!AX58),"",'RESUMEN VIGILANCIA'!AX58)</f>
        <v/>
      </c>
      <c r="AZ15" s="377" t="str">
        <f>IF(ISBLANK('RESUMEN VIGILANCIA'!AY58),"",'RESUMEN VIGILANCIA'!AY58)</f>
        <v/>
      </c>
      <c r="BA15" s="378" t="str">
        <f>IF(ISBLANK('RESUMEN VIGILANCIA'!AZ58),"",'RESUMEN VIGILANCIA'!AZ58)</f>
        <v/>
      </c>
      <c r="BB15" s="242">
        <f t="shared" si="0"/>
        <v>289197.45</v>
      </c>
      <c r="BC15" s="112"/>
      <c r="BD15" s="112"/>
    </row>
    <row r="16" spans="1:56" s="29" customFormat="1" ht="20.100000000000001" customHeight="1">
      <c r="A16" s="30" t="str">
        <f>'RESUMEN VIGILANCIA'!A59</f>
        <v>Yuraima Rodríguez</v>
      </c>
      <c r="B16" s="31" t="str">
        <f>'RESUMEN VIGILANCIA'!B59</f>
        <v>Calle Guacara Nro. 89-70</v>
      </c>
      <c r="C16" s="429" t="s">
        <v>1317</v>
      </c>
      <c r="D16" s="436" t="s">
        <v>1315</v>
      </c>
      <c r="E16" s="417" t="str">
        <f>IF(ISBLANK('RESUMEN VIGILANCIA'!D59),"",'RESUMEN VIGILANCIA'!D59)</f>
        <v/>
      </c>
      <c r="F16" s="269">
        <f>IF(ISBLANK('RESUMEN VIGILANCIA'!E59),"",'RESUMEN VIGILANCIA'!E59)</f>
        <v>0.17</v>
      </c>
      <c r="G16" s="181">
        <f>IF(ISBLANK('RESUMEN VIGILANCIA'!F59),"",'RESUMEN VIGILANCIA'!F59)</f>
        <v>0.17</v>
      </c>
      <c r="H16" s="181">
        <f>IF(ISBLANK('RESUMEN VIGILANCIA'!G59),"",'RESUMEN VIGILANCIA'!G59)</f>
        <v>0.17</v>
      </c>
      <c r="I16" s="181">
        <f>IF(ISBLANK('RESUMEN VIGILANCIA'!H59),"",'RESUMEN VIGILANCIA'!H59)</f>
        <v>0.17</v>
      </c>
      <c r="J16" s="181" t="str">
        <f>IF(ISBLANK('RESUMEN VIGILANCIA'!I59),"",'RESUMEN VIGILANCIA'!I59)</f>
        <v/>
      </c>
      <c r="K16" s="181" t="str">
        <f>IF(ISBLANK('RESUMEN VIGILANCIA'!J59),"",'RESUMEN VIGILANCIA'!J59)</f>
        <v/>
      </c>
      <c r="L16" s="181" t="str">
        <f>IF(ISBLANK('RESUMEN VIGILANCIA'!K59),"",'RESUMEN VIGILANCIA'!K59)</f>
        <v/>
      </c>
      <c r="M16" s="181" t="str">
        <f>IF(ISBLANK('RESUMEN VIGILANCIA'!L59),"",'RESUMEN VIGILANCIA'!L59)</f>
        <v/>
      </c>
      <c r="N16" s="181" t="str">
        <f>IF(ISBLANK('RESUMEN VIGILANCIA'!M59),"",'RESUMEN VIGILANCIA'!M59)</f>
        <v/>
      </c>
      <c r="O16" s="181" t="str">
        <f>IF(ISBLANK('RESUMEN VIGILANCIA'!N59),"",'RESUMEN VIGILANCIA'!N59)</f>
        <v/>
      </c>
      <c r="P16" s="270" t="str">
        <f>IF(ISBLANK('RESUMEN VIGILANCIA'!O59),"",'RESUMEN VIGILANCIA'!O59)</f>
        <v/>
      </c>
      <c r="Q16" s="179" t="str">
        <f>IF(ISBLANK('RESUMEN VIGILANCIA'!P59),"",'RESUMEN VIGILANCIA'!P59)</f>
        <v/>
      </c>
      <c r="R16" s="271" t="str">
        <f>IF(ISBLANK('RESUMEN VIGILANCIA'!Q59),"",'RESUMEN VIGILANCIA'!Q59)</f>
        <v/>
      </c>
      <c r="S16" s="270" t="str">
        <f>IF(ISBLANK('RESUMEN VIGILANCIA'!R59),"",'RESUMEN VIGILANCIA'!R59)</f>
        <v/>
      </c>
      <c r="T16" s="270" t="str">
        <f>IF(ISBLANK('RESUMEN VIGILANCIA'!S59),"",'RESUMEN VIGILANCIA'!S59)</f>
        <v/>
      </c>
      <c r="U16" s="270" t="str">
        <f>IF(ISBLANK('RESUMEN VIGILANCIA'!T59),"",'RESUMEN VIGILANCIA'!T59)</f>
        <v/>
      </c>
      <c r="V16" s="270">
        <f>IF(ISBLANK('RESUMEN VIGILANCIA'!U59),"",'RESUMEN VIGILANCIA'!U59)</f>
        <v>4</v>
      </c>
      <c r="W16" s="270">
        <f>IF(ISBLANK('RESUMEN VIGILANCIA'!V59),"",'RESUMEN VIGILANCIA'!V59)</f>
        <v>4</v>
      </c>
      <c r="X16" s="270">
        <f>IF(ISBLANK('RESUMEN VIGILANCIA'!W59),"",'RESUMEN VIGILANCIA'!W59)</f>
        <v>10</v>
      </c>
      <c r="Y16" s="270">
        <f>IF(ISBLANK('RESUMEN VIGILANCIA'!X59),"",'RESUMEN VIGILANCIA'!X59)</f>
        <v>12</v>
      </c>
      <c r="Z16" s="455">
        <f>IF(ISBLANK('RESUMEN VIGILANCIA'!Y59),"",'RESUMEN VIGILANCIA'!Y59)</f>
        <v>320</v>
      </c>
      <c r="AA16" s="455">
        <f>IF(ISBLANK('RESUMEN VIGILANCIA'!Z59),"",'RESUMEN VIGILANCIA'!Z59)</f>
        <v>320</v>
      </c>
      <c r="AB16" s="455">
        <f>IF(ISBLANK('RESUMEN VIGILANCIA'!AA59),"",'RESUMEN VIGILANCIA'!AA59)</f>
        <v>320</v>
      </c>
      <c r="AC16" s="457">
        <f>IF(ISBLANK('RESUMEN VIGILANCIA'!AB59),"",'RESUMEN VIGILANCIA'!AB59)</f>
        <v>800</v>
      </c>
      <c r="AD16" s="376">
        <f>IF(ISBLANK('RESUMEN VIGILANCIA'!AC59),"",'RESUMEN VIGILANCIA'!AC59)</f>
        <v>3000</v>
      </c>
      <c r="AE16" s="377">
        <f>IF(ISBLANK('RESUMEN VIGILANCIA'!AD59),"",'RESUMEN VIGILANCIA'!AD59)</f>
        <v>3000</v>
      </c>
      <c r="AF16" s="377">
        <f>IF(ISBLANK('RESUMEN VIGILANCIA'!AE59),"",'RESUMEN VIGILANCIA'!AE59)</f>
        <v>3000</v>
      </c>
      <c r="AG16" s="377">
        <f>IF(ISBLANK('RESUMEN VIGILANCIA'!AF59),"",'RESUMEN VIGILANCIA'!AF59)</f>
        <v>5000</v>
      </c>
      <c r="AH16" s="377">
        <f>IF(ISBLANK('RESUMEN VIGILANCIA'!AG59),"",'RESUMEN VIGILANCIA'!AG59)</f>
        <v>8000</v>
      </c>
      <c r="AI16" s="377">
        <f>IF(ISBLANK('RESUMEN VIGILANCIA'!AH59),"",'RESUMEN VIGILANCIA'!AH59)</f>
        <v>8000</v>
      </c>
      <c r="AJ16" s="377" t="str">
        <f>IF(ISBLANK('RESUMEN VIGILANCIA'!AI59),"",'RESUMEN VIGILANCIA'!AI59)</f>
        <v/>
      </c>
      <c r="AK16" s="377" t="str">
        <f>IF(ISBLANK('RESUMEN VIGILANCIA'!AJ59),"",'RESUMEN VIGILANCIA'!AJ59)</f>
        <v/>
      </c>
      <c r="AL16" s="377" t="str">
        <f>IF(ISBLANK('RESUMEN VIGILANCIA'!AK59),"",'RESUMEN VIGILANCIA'!AK59)</f>
        <v/>
      </c>
      <c r="AM16" s="377" t="str">
        <f>IF(ISBLANK('RESUMEN VIGILANCIA'!AL59),"",'RESUMEN VIGILANCIA'!AL59)</f>
        <v/>
      </c>
      <c r="AN16" s="377" t="str">
        <f>IF(ISBLANK('RESUMEN VIGILANCIA'!AM59),"",'RESUMEN VIGILANCIA'!AM59)</f>
        <v/>
      </c>
      <c r="AO16" s="378" t="str">
        <f>IF(ISBLANK('RESUMEN VIGILANCIA'!AN59),"",'RESUMEN VIGILANCIA'!AN59)</f>
        <v/>
      </c>
      <c r="AP16" s="376" t="str">
        <f>IF(ISBLANK('RESUMEN VIGILANCIA'!AO59),"",'RESUMEN VIGILANCIA'!AO59)</f>
        <v/>
      </c>
      <c r="AQ16" s="377" t="str">
        <f>IF(ISBLANK('RESUMEN VIGILANCIA'!AP59),"",'RESUMEN VIGILANCIA'!AP59)</f>
        <v/>
      </c>
      <c r="AR16" s="377" t="str">
        <f>IF(ISBLANK('RESUMEN VIGILANCIA'!AQ59),"",'RESUMEN VIGILANCIA'!AQ59)</f>
        <v/>
      </c>
      <c r="AS16" s="377" t="str">
        <f>IF(ISBLANK('RESUMEN VIGILANCIA'!AR59),"",'RESUMEN VIGILANCIA'!AR59)</f>
        <v/>
      </c>
      <c r="AT16" s="377" t="str">
        <f>IF(ISBLANK('RESUMEN VIGILANCIA'!AS59),"",'RESUMEN VIGILANCIA'!AS59)</f>
        <v/>
      </c>
      <c r="AU16" s="377" t="str">
        <f>IF(ISBLANK('RESUMEN VIGILANCIA'!AT59),"",'RESUMEN VIGILANCIA'!AT59)</f>
        <v/>
      </c>
      <c r="AV16" s="377" t="str">
        <f>IF(ISBLANK('RESUMEN VIGILANCIA'!AU59),"",'RESUMEN VIGILANCIA'!AU59)</f>
        <v/>
      </c>
      <c r="AW16" s="377" t="str">
        <f>IF(ISBLANK('RESUMEN VIGILANCIA'!AV59),"",'RESUMEN VIGILANCIA'!AV59)</f>
        <v/>
      </c>
      <c r="AX16" s="377" t="str">
        <f>IF(ISBLANK('RESUMEN VIGILANCIA'!AW59),"",'RESUMEN VIGILANCIA'!AW59)</f>
        <v/>
      </c>
      <c r="AY16" s="377" t="str">
        <f>IF(ISBLANK('RESUMEN VIGILANCIA'!AX59),"",'RESUMEN VIGILANCIA'!AX59)</f>
        <v/>
      </c>
      <c r="AZ16" s="377" t="str">
        <f>IF(ISBLANK('RESUMEN VIGILANCIA'!AY59),"",'RESUMEN VIGILANCIA'!AY59)</f>
        <v/>
      </c>
      <c r="BA16" s="378" t="str">
        <f>IF(ISBLANK('RESUMEN VIGILANCIA'!AZ59),"",'RESUMEN VIGILANCIA'!AZ59)</f>
        <v/>
      </c>
      <c r="BB16" s="242">
        <f t="shared" si="0"/>
        <v>31790.68</v>
      </c>
      <c r="BC16" s="112"/>
      <c r="BD16" s="112"/>
    </row>
    <row r="17" spans="1:56" s="29" customFormat="1" ht="20.100000000000001" customHeight="1">
      <c r="A17" s="30" t="str">
        <f>'RESUMEN VIGILANCIA'!A60</f>
        <v>Familia Nava Gordon</v>
      </c>
      <c r="B17" s="31" t="str">
        <f>'RESUMEN VIGILANCIA'!B60</f>
        <v>Calle Guacara Nro. 89-78</v>
      </c>
      <c r="C17" s="429" t="s">
        <v>1316</v>
      </c>
      <c r="D17" s="436" t="s">
        <v>1315</v>
      </c>
      <c r="E17" s="417" t="str">
        <f>IF(ISBLANK('RESUMEN VIGILANCIA'!D60),"",'RESUMEN VIGILANCIA'!D60)</f>
        <v/>
      </c>
      <c r="F17" s="269">
        <f>IF(ISBLANK('RESUMEN VIGILANCIA'!E60),"",'RESUMEN VIGILANCIA'!E60)</f>
        <v>0.17</v>
      </c>
      <c r="G17" s="181">
        <f>IF(ISBLANK('RESUMEN VIGILANCIA'!F60),"",'RESUMEN VIGILANCIA'!F60)</f>
        <v>0.17</v>
      </c>
      <c r="H17" s="181">
        <f>IF(ISBLANK('RESUMEN VIGILANCIA'!G60),"",'RESUMEN VIGILANCIA'!G60)</f>
        <v>0.17</v>
      </c>
      <c r="I17" s="181">
        <f>IF(ISBLANK('RESUMEN VIGILANCIA'!H60),"",'RESUMEN VIGILANCIA'!H60)</f>
        <v>0.17</v>
      </c>
      <c r="J17" s="181">
        <f>IF(ISBLANK('RESUMEN VIGILANCIA'!I60),"",'RESUMEN VIGILANCIA'!I60)</f>
        <v>0.26</v>
      </c>
      <c r="K17" s="181">
        <f>IF(ISBLANK('RESUMEN VIGILANCIA'!J60),"",'RESUMEN VIGILANCIA'!J60)</f>
        <v>0.26</v>
      </c>
      <c r="L17" s="181">
        <f>IF(ISBLANK('RESUMEN VIGILANCIA'!K60),"",'RESUMEN VIGILANCIA'!K60)</f>
        <v>0.35000000000000003</v>
      </c>
      <c r="M17" s="181">
        <f>IF(ISBLANK('RESUMEN VIGILANCIA'!L60),"",'RESUMEN VIGILANCIA'!L60)</f>
        <v>0.35</v>
      </c>
      <c r="N17" s="181">
        <f>IF(ISBLANK('RESUMEN VIGILANCIA'!M60),"",'RESUMEN VIGILANCIA'!M60)</f>
        <v>0.35</v>
      </c>
      <c r="O17" s="181">
        <f>IF(ISBLANK('RESUMEN VIGILANCIA'!N60),"",'RESUMEN VIGILANCIA'!N60)</f>
        <v>0.35</v>
      </c>
      <c r="P17" s="270">
        <f>IF(ISBLANK('RESUMEN VIGILANCIA'!O60),"",'RESUMEN VIGILANCIA'!O60)</f>
        <v>0.5</v>
      </c>
      <c r="Q17" s="179">
        <f>IF(ISBLANK('RESUMEN VIGILANCIA'!P60),"",'RESUMEN VIGILANCIA'!P60)</f>
        <v>0.5</v>
      </c>
      <c r="R17" s="271">
        <f>IF(ISBLANK('RESUMEN VIGILANCIA'!Q60),"",'RESUMEN VIGILANCIA'!Q60)</f>
        <v>0.8</v>
      </c>
      <c r="S17" s="270">
        <f>IF(ISBLANK('RESUMEN VIGILANCIA'!R60),"",'RESUMEN VIGILANCIA'!R60)</f>
        <v>0.8</v>
      </c>
      <c r="T17" s="270">
        <f>IF(ISBLANK('RESUMEN VIGILANCIA'!S60),"",'RESUMEN VIGILANCIA'!S60)</f>
        <v>1.4</v>
      </c>
      <c r="U17" s="270">
        <f>IF(ISBLANK('RESUMEN VIGILANCIA'!T60),"",'RESUMEN VIGILANCIA'!T60)</f>
        <v>1.4</v>
      </c>
      <c r="V17" s="270">
        <f>IF(ISBLANK('RESUMEN VIGILANCIA'!U60),"",'RESUMEN VIGILANCIA'!U60)</f>
        <v>4</v>
      </c>
      <c r="W17" s="270">
        <f>IF(ISBLANK('RESUMEN VIGILANCIA'!V60),"",'RESUMEN VIGILANCIA'!V60)</f>
        <v>6.25</v>
      </c>
      <c r="X17" s="270">
        <f>IF(ISBLANK('RESUMEN VIGILANCIA'!W60),"",'RESUMEN VIGILANCIA'!W60)</f>
        <v>10</v>
      </c>
      <c r="Y17" s="270">
        <f>IF(ISBLANK('RESUMEN VIGILANCIA'!X60),"",'RESUMEN VIGILANCIA'!X60)</f>
        <v>12</v>
      </c>
      <c r="Z17" s="455">
        <f>IF(ISBLANK('RESUMEN VIGILANCIA'!Y60),"",'RESUMEN VIGILANCIA'!Y60)</f>
        <v>320</v>
      </c>
      <c r="AA17" s="455">
        <f>IF(ISBLANK('RESUMEN VIGILANCIA'!Z60),"",'RESUMEN VIGILANCIA'!Z60)</f>
        <v>320</v>
      </c>
      <c r="AB17" s="455">
        <f>IF(ISBLANK('RESUMEN VIGILANCIA'!AA60),"",'RESUMEN VIGILANCIA'!AA60)</f>
        <v>320</v>
      </c>
      <c r="AC17" s="457">
        <f>IF(ISBLANK('RESUMEN VIGILANCIA'!AB60),"",'RESUMEN VIGILANCIA'!AB60)</f>
        <v>800</v>
      </c>
      <c r="AD17" s="376">
        <f>IF(ISBLANK('RESUMEN VIGILANCIA'!AC60),"",'RESUMEN VIGILANCIA'!AC60)</f>
        <v>3000</v>
      </c>
      <c r="AE17" s="377">
        <f>IF(ISBLANK('RESUMEN VIGILANCIA'!AD60),"",'RESUMEN VIGILANCIA'!AD60)</f>
        <v>3040</v>
      </c>
      <c r="AF17" s="377">
        <f>IF(ISBLANK('RESUMEN VIGILANCIA'!AE60),"",'RESUMEN VIGILANCIA'!AE60)</f>
        <v>3000</v>
      </c>
      <c r="AG17" s="377">
        <f>IF(ISBLANK('RESUMEN VIGILANCIA'!AF60),"",'RESUMEN VIGILANCIA'!AF60)</f>
        <v>5000</v>
      </c>
      <c r="AH17" s="377">
        <f>IF(ISBLANK('RESUMEN VIGILANCIA'!AG60),"",'RESUMEN VIGILANCIA'!AG60)</f>
        <v>8000</v>
      </c>
      <c r="AI17" s="377">
        <f>IF(ISBLANK('RESUMEN VIGILANCIA'!AH60),"",'RESUMEN VIGILANCIA'!AH60)</f>
        <v>8000</v>
      </c>
      <c r="AJ17" s="377">
        <f>IF(ISBLANK('RESUMEN VIGILANCIA'!AI60),"",'RESUMEN VIGILANCIA'!AI60)</f>
        <v>10000</v>
      </c>
      <c r="AK17" s="377">
        <f>IF(ISBLANK('RESUMEN VIGILANCIA'!AJ60),"",'RESUMEN VIGILANCIA'!AJ60)</f>
        <v>15000</v>
      </c>
      <c r="AL17" s="377">
        <f>IF(ISBLANK('RESUMEN VIGILANCIA'!AK60),"",'RESUMEN VIGILANCIA'!AK60)</f>
        <v>23400</v>
      </c>
      <c r="AM17" s="377">
        <f>IF(ISBLANK('RESUMEN VIGILANCIA'!AL60),"",'RESUMEN VIGILANCIA'!AL60)</f>
        <v>47000</v>
      </c>
      <c r="AN17" s="377">
        <f>IF(ISBLANK('RESUMEN VIGILANCIA'!AM60),"",'RESUMEN VIGILANCIA'!AM60)</f>
        <v>56250</v>
      </c>
      <c r="AO17" s="378">
        <f>IF(ISBLANK('RESUMEN VIGILANCIA'!AN60),"",'RESUMEN VIGILANCIA'!AN60)</f>
        <v>81750</v>
      </c>
      <c r="AP17" s="376">
        <f>IF(ISBLANK('RESUMEN VIGILANCIA'!AO60),"",'RESUMEN VIGILANCIA'!AO60)</f>
        <v>136250</v>
      </c>
      <c r="AQ17" s="377">
        <f>IF(ISBLANK('RESUMEN VIGILANCIA'!AP60),"",'RESUMEN VIGILANCIA'!AP60)</f>
        <v>136250</v>
      </c>
      <c r="AR17" s="377">
        <f>IF(ISBLANK('RESUMEN VIGILANCIA'!AQ60),"",'RESUMEN VIGILANCIA'!AQ60)</f>
        <v>185250</v>
      </c>
      <c r="AS17" s="377">
        <f>IF(ISBLANK('RESUMEN VIGILANCIA'!AR60),"",'RESUMEN VIGILANCIA'!AR60)</f>
        <v>185250</v>
      </c>
      <c r="AT17" s="377">
        <f>IF(ISBLANK('RESUMEN VIGILANCIA'!AS60),"",'RESUMEN VIGILANCIA'!AS60)</f>
        <v>250000</v>
      </c>
      <c r="AU17" s="377">
        <f>IF(ISBLANK('RESUMEN VIGILANCIA'!AT60),"",'RESUMEN VIGILANCIA'!AT60)</f>
        <v>2300</v>
      </c>
      <c r="AV17" s="377" t="str">
        <f>IF(ISBLANK('RESUMEN VIGILANCIA'!AU60),"",'RESUMEN VIGILANCIA'!AU60)</f>
        <v/>
      </c>
      <c r="AW17" s="377" t="str">
        <f>IF(ISBLANK('RESUMEN VIGILANCIA'!AV60),"",'RESUMEN VIGILANCIA'!AV60)</f>
        <v/>
      </c>
      <c r="AX17" s="377" t="str">
        <f>IF(ISBLANK('RESUMEN VIGILANCIA'!AW60),"",'RESUMEN VIGILANCIA'!AW60)</f>
        <v/>
      </c>
      <c r="AY17" s="377" t="str">
        <f>IF(ISBLANK('RESUMEN VIGILANCIA'!AX60),"",'RESUMEN VIGILANCIA'!AX60)</f>
        <v/>
      </c>
      <c r="AZ17" s="377" t="str">
        <f>IF(ISBLANK('RESUMEN VIGILANCIA'!AY60),"",'RESUMEN VIGILANCIA'!AY60)</f>
        <v/>
      </c>
      <c r="BA17" s="378" t="str">
        <f>IF(ISBLANK('RESUMEN VIGILANCIA'!AZ60),"",'RESUMEN VIGILANCIA'!AZ60)</f>
        <v/>
      </c>
      <c r="BB17" s="242">
        <f t="shared" si="0"/>
        <v>265240.25</v>
      </c>
      <c r="BC17" s="112"/>
      <c r="BD17" s="112"/>
    </row>
    <row r="18" spans="1:56" s="29" customFormat="1" ht="20.100000000000001" customHeight="1">
      <c r="A18" s="30" t="str">
        <f>'RESUMEN VIGILANCIA'!A61</f>
        <v>Familia González Arévalo</v>
      </c>
      <c r="B18" s="31" t="str">
        <f>'RESUMEN VIGILANCIA'!B61</f>
        <v>Calle Guacara Nro. 89-86</v>
      </c>
      <c r="C18" s="429" t="s">
        <v>1316</v>
      </c>
      <c r="D18" s="436" t="s">
        <v>17</v>
      </c>
      <c r="E18" s="417" t="str">
        <f>IF(ISBLANK('RESUMEN VIGILANCIA'!D61),"",'RESUMEN VIGILANCIA'!D61)</f>
        <v/>
      </c>
      <c r="F18" s="273">
        <f>IF(ISBLANK('RESUMEN VIGILANCIA'!E61),"",'RESUMEN VIGILANCIA'!E61)</f>
        <v>0.105</v>
      </c>
      <c r="G18" s="181">
        <f>IF(ISBLANK('RESUMEN VIGILANCIA'!F61),"",'RESUMEN VIGILANCIA'!F61)</f>
        <v>0.17</v>
      </c>
      <c r="H18" s="181">
        <f>IF(ISBLANK('RESUMEN VIGILANCIA'!G61),"",'RESUMEN VIGILANCIA'!G61)</f>
        <v>0.22</v>
      </c>
      <c r="I18" s="181">
        <f>IF(ISBLANK('RESUMEN VIGILANCIA'!H61),"",'RESUMEN VIGILANCIA'!H61)</f>
        <v>0.22</v>
      </c>
      <c r="J18" s="181">
        <f>IF(ISBLANK('RESUMEN VIGILANCIA'!I61),"",'RESUMEN VIGILANCIA'!I61)</f>
        <v>0.22</v>
      </c>
      <c r="K18" s="181">
        <f>IF(ISBLANK('RESUMEN VIGILANCIA'!J61),"",'RESUMEN VIGILANCIA'!J61)</f>
        <v>0.26</v>
      </c>
      <c r="L18" s="181">
        <f>IF(ISBLANK('RESUMEN VIGILANCIA'!K61),"",'RESUMEN VIGILANCIA'!K61)</f>
        <v>0.35</v>
      </c>
      <c r="M18" s="181">
        <f>IF(ISBLANK('RESUMEN VIGILANCIA'!L61),"",'RESUMEN VIGILANCIA'!L61)</f>
        <v>0.35</v>
      </c>
      <c r="N18" s="181">
        <f>IF(ISBLANK('RESUMEN VIGILANCIA'!M61),"",'RESUMEN VIGILANCIA'!M61)</f>
        <v>0.35</v>
      </c>
      <c r="O18" s="181">
        <f>IF(ISBLANK('RESUMEN VIGILANCIA'!N61),"",'RESUMEN VIGILANCIA'!N61)</f>
        <v>0.35</v>
      </c>
      <c r="P18" s="270">
        <f>IF(ISBLANK('RESUMEN VIGILANCIA'!O61),"",'RESUMEN VIGILANCIA'!O61)</f>
        <v>0.5</v>
      </c>
      <c r="Q18" s="179">
        <f>IF(ISBLANK('RESUMEN VIGILANCIA'!P61),"",'RESUMEN VIGILANCIA'!P61)</f>
        <v>0.5</v>
      </c>
      <c r="R18" s="271">
        <f>IF(ISBLANK('RESUMEN VIGILANCIA'!Q61),"",'RESUMEN VIGILANCIA'!Q61)</f>
        <v>0.8</v>
      </c>
      <c r="S18" s="270">
        <f>IF(ISBLANK('RESUMEN VIGILANCIA'!R61),"",'RESUMEN VIGILANCIA'!R61)</f>
        <v>0.8</v>
      </c>
      <c r="T18" s="270">
        <f>IF(ISBLANK('RESUMEN VIGILANCIA'!S61),"",'RESUMEN VIGILANCIA'!S61)</f>
        <v>1.4</v>
      </c>
      <c r="U18" s="270">
        <f>IF(ISBLANK('RESUMEN VIGILANCIA'!T61),"",'RESUMEN VIGILANCIA'!T61)</f>
        <v>1.4</v>
      </c>
      <c r="V18" s="270">
        <f>IF(ISBLANK('RESUMEN VIGILANCIA'!U61),"",'RESUMEN VIGILANCIA'!U61)</f>
        <v>4</v>
      </c>
      <c r="W18" s="270">
        <f>IF(ISBLANK('RESUMEN VIGILANCIA'!V61),"",'RESUMEN VIGILANCIA'!V61)</f>
        <v>6.25</v>
      </c>
      <c r="X18" s="270">
        <f>IF(ISBLANK('RESUMEN VIGILANCIA'!W61),"",'RESUMEN VIGILANCIA'!W61)</f>
        <v>10</v>
      </c>
      <c r="Y18" s="270">
        <f>IF(ISBLANK('RESUMEN VIGILANCIA'!X61),"",'RESUMEN VIGILANCIA'!X61)</f>
        <v>12</v>
      </c>
      <c r="Z18" s="455">
        <f>IF(ISBLANK('RESUMEN VIGILANCIA'!Y61),"",'RESUMEN VIGILANCIA'!Y61)</f>
        <v>320</v>
      </c>
      <c r="AA18" s="455">
        <f>IF(ISBLANK('RESUMEN VIGILANCIA'!Z61),"",'RESUMEN VIGILANCIA'!Z61)</f>
        <v>320</v>
      </c>
      <c r="AB18" s="455">
        <f>IF(ISBLANK('RESUMEN VIGILANCIA'!AA61),"",'RESUMEN VIGILANCIA'!AA61)</f>
        <v>320</v>
      </c>
      <c r="AC18" s="457">
        <f>IF(ISBLANK('RESUMEN VIGILANCIA'!AB61),"",'RESUMEN VIGILANCIA'!AB61)</f>
        <v>770</v>
      </c>
      <c r="AD18" s="376">
        <f>IF(ISBLANK('RESUMEN VIGILANCIA'!AC61),"",'RESUMEN VIGILANCIA'!AC61)</f>
        <v>3000</v>
      </c>
      <c r="AE18" s="377">
        <f>IF(ISBLANK('RESUMEN VIGILANCIA'!AD61),"",'RESUMEN VIGILANCIA'!AD61)</f>
        <v>3000</v>
      </c>
      <c r="AF18" s="377">
        <f>IF(ISBLANK('RESUMEN VIGILANCIA'!AE61),"",'RESUMEN VIGILANCIA'!AE61)</f>
        <v>3000</v>
      </c>
      <c r="AG18" s="377">
        <f>IF(ISBLANK('RESUMEN VIGILANCIA'!AF61),"",'RESUMEN VIGILANCIA'!AF61)</f>
        <v>5000</v>
      </c>
      <c r="AH18" s="377">
        <f>IF(ISBLANK('RESUMEN VIGILANCIA'!AG61),"",'RESUMEN VIGILANCIA'!AG61)</f>
        <v>8000</v>
      </c>
      <c r="AI18" s="377">
        <f>IF(ISBLANK('RESUMEN VIGILANCIA'!AH61),"",'RESUMEN VIGILANCIA'!AH61)</f>
        <v>8000</v>
      </c>
      <c r="AJ18" s="377">
        <f>IF(ISBLANK('RESUMEN VIGILANCIA'!AI61),"",'RESUMEN VIGILANCIA'!AI61)</f>
        <v>10000</v>
      </c>
      <c r="AK18" s="377">
        <f>IF(ISBLANK('RESUMEN VIGILANCIA'!AJ61),"",'RESUMEN VIGILANCIA'!AJ61)</f>
        <v>10000</v>
      </c>
      <c r="AL18" s="377">
        <f>IF(ISBLANK('RESUMEN VIGILANCIA'!AK61),"",'RESUMEN VIGILANCIA'!AK61)</f>
        <v>23400</v>
      </c>
      <c r="AM18" s="377">
        <f>IF(ISBLANK('RESUMEN VIGILANCIA'!AL61),"",'RESUMEN VIGILANCIA'!AL61)</f>
        <v>47000</v>
      </c>
      <c r="AN18" s="377">
        <f>IF(ISBLANK('RESUMEN VIGILANCIA'!AM61),"",'RESUMEN VIGILANCIA'!AM61)</f>
        <v>56250</v>
      </c>
      <c r="AO18" s="378">
        <f>IF(ISBLANK('RESUMEN VIGILANCIA'!AN61),"",'RESUMEN VIGILANCIA'!AN61)</f>
        <v>200000</v>
      </c>
      <c r="AP18" s="608">
        <f>IF(ISBLANK('RESUMEN VIGILANCIA'!AO61),"",'RESUMEN VIGILANCIA'!AO61)</f>
        <v>136250</v>
      </c>
      <c r="AQ18" s="377">
        <f>IF(ISBLANK('RESUMEN VIGILANCIA'!AP61),"",'RESUMEN VIGILANCIA'!AP61)</f>
        <v>150000</v>
      </c>
      <c r="AR18" s="377">
        <f>IF(ISBLANK('RESUMEN VIGILANCIA'!AQ61),"",'RESUMEN VIGILANCIA'!AQ61)</f>
        <v>150000</v>
      </c>
      <c r="AS18" s="377">
        <f>IF(ISBLANK('RESUMEN VIGILANCIA'!AR61),"",'RESUMEN VIGILANCIA'!AR61)</f>
        <v>225000</v>
      </c>
      <c r="AT18" s="377">
        <f>IF(ISBLANK('RESUMEN VIGILANCIA'!AS61),"",'RESUMEN VIGILANCIA'!AS61)</f>
        <v>275000</v>
      </c>
      <c r="AU18" s="377" t="str">
        <f>IF(ISBLANK('RESUMEN VIGILANCIA'!AT61),"",'RESUMEN VIGILANCIA'!AT61)</f>
        <v/>
      </c>
      <c r="AV18" s="377" t="str">
        <f>IF(ISBLANK('RESUMEN VIGILANCIA'!AU61),"",'RESUMEN VIGILANCIA'!AU61)</f>
        <v/>
      </c>
      <c r="AW18" s="377" t="str">
        <f>IF(ISBLANK('RESUMEN VIGILANCIA'!AV61),"",'RESUMEN VIGILANCIA'!AV61)</f>
        <v/>
      </c>
      <c r="AX18" s="377" t="str">
        <f>IF(ISBLANK('RESUMEN VIGILANCIA'!AW61),"",'RESUMEN VIGILANCIA'!AW61)</f>
        <v/>
      </c>
      <c r="AY18" s="377" t="str">
        <f>IF(ISBLANK('RESUMEN VIGILANCIA'!AX61),"",'RESUMEN VIGILANCIA'!AX61)</f>
        <v/>
      </c>
      <c r="AZ18" s="377" t="str">
        <f>IF(ISBLANK('RESUMEN VIGILANCIA'!AY61),"",'RESUMEN VIGILANCIA'!AY61)</f>
        <v/>
      </c>
      <c r="BA18" s="378" t="str">
        <f>IF(ISBLANK('RESUMEN VIGILANCIA'!AZ61),"",'RESUMEN VIGILANCIA'!AZ61)</f>
        <v/>
      </c>
      <c r="BB18" s="242">
        <f t="shared" si="0"/>
        <v>378420.245</v>
      </c>
      <c r="BC18" s="112"/>
      <c r="BD18" s="112"/>
    </row>
    <row r="19" spans="1:56" s="29" customFormat="1" ht="20.100000000000001" customHeight="1">
      <c r="A19" s="358" t="str">
        <f>'RESUMEN VIGILANCIA'!A62</f>
        <v>Héctor Hernández</v>
      </c>
      <c r="B19" s="359" t="str">
        <f>'RESUMEN VIGILANCIA'!B62</f>
        <v>Calle Guacara Nro. 89-94</v>
      </c>
      <c r="C19" s="430" t="s">
        <v>1316</v>
      </c>
      <c r="D19" s="435" t="s">
        <v>1315</v>
      </c>
      <c r="E19" s="416" t="str">
        <f>IF(ISBLANK('RESUMEN VIGILANCIA'!D62),"",'RESUMEN VIGILANCIA'!D62)</f>
        <v/>
      </c>
      <c r="F19" s="266">
        <f>IF(ISBLANK('RESUMEN VIGILANCIA'!E62),"",'RESUMEN VIGILANCIA'!E62)</f>
        <v>0.1</v>
      </c>
      <c r="G19" s="188">
        <f>IF(ISBLANK('RESUMEN VIGILANCIA'!F62),"",'RESUMEN VIGILANCIA'!F62)</f>
        <v>0.1</v>
      </c>
      <c r="H19" s="188">
        <f>IF(ISBLANK('RESUMEN VIGILANCIA'!G62),"",'RESUMEN VIGILANCIA'!G62)</f>
        <v>0.1</v>
      </c>
      <c r="I19" s="188">
        <f>IF(ISBLANK('RESUMEN VIGILANCIA'!H62),"",'RESUMEN VIGILANCIA'!H62)</f>
        <v>0.1</v>
      </c>
      <c r="J19" s="188" t="str">
        <f>IF(ISBLANK('RESUMEN VIGILANCIA'!I62),"",'RESUMEN VIGILANCIA'!I62)</f>
        <v/>
      </c>
      <c r="K19" s="188" t="str">
        <f>IF(ISBLANK('RESUMEN VIGILANCIA'!J62),"",'RESUMEN VIGILANCIA'!J62)</f>
        <v/>
      </c>
      <c r="L19" s="188">
        <f>IF(ISBLANK('RESUMEN VIGILANCIA'!K62),"",'RESUMEN VIGILANCIA'!K62)</f>
        <v>0.15</v>
      </c>
      <c r="M19" s="188">
        <f>IF(ISBLANK('RESUMEN VIGILANCIA'!L62),"",'RESUMEN VIGILANCIA'!L62)</f>
        <v>0.15</v>
      </c>
      <c r="N19" s="188">
        <f>IF(ISBLANK('RESUMEN VIGILANCIA'!M62),"",'RESUMEN VIGILANCIA'!M62)</f>
        <v>0.2</v>
      </c>
      <c r="O19" s="188">
        <f>IF(ISBLANK('RESUMEN VIGILANCIA'!N62),"",'RESUMEN VIGILANCIA'!N62)</f>
        <v>0.25</v>
      </c>
      <c r="P19" s="267">
        <f>IF(ISBLANK('RESUMEN VIGILANCIA'!O62),"",'RESUMEN VIGILANCIA'!O62)</f>
        <v>0.3</v>
      </c>
      <c r="Q19" s="186">
        <f>IF(ISBLANK('RESUMEN VIGILANCIA'!P62),"",'RESUMEN VIGILANCIA'!P62)</f>
        <v>0.3</v>
      </c>
      <c r="R19" s="268">
        <f>IF(ISBLANK('RESUMEN VIGILANCIA'!Q62),"",'RESUMEN VIGILANCIA'!Q62)</f>
        <v>0.3</v>
      </c>
      <c r="S19" s="267">
        <f>IF(ISBLANK('RESUMEN VIGILANCIA'!R62),"",'RESUMEN VIGILANCIA'!R62)</f>
        <v>0.3</v>
      </c>
      <c r="T19" s="267">
        <f>IF(ISBLANK('RESUMEN VIGILANCIA'!S62),"",'RESUMEN VIGILANCIA'!S62)</f>
        <v>0.7</v>
      </c>
      <c r="U19" s="267">
        <f>IF(ISBLANK('RESUMEN VIGILANCIA'!T62),"",'RESUMEN VIGILANCIA'!T62)</f>
        <v>0.8</v>
      </c>
      <c r="V19" s="267">
        <f>IF(ISBLANK('RESUMEN VIGILANCIA'!U62),"",'RESUMEN VIGILANCIA'!U62)</f>
        <v>2</v>
      </c>
      <c r="W19" s="270">
        <f>IF(ISBLANK('RESUMEN VIGILANCIA'!V62),"",'RESUMEN VIGILANCIA'!V62)</f>
        <v>6.25</v>
      </c>
      <c r="X19" s="270">
        <f>IF(ISBLANK('RESUMEN VIGILANCIA'!W62),"",'RESUMEN VIGILANCIA'!W62)</f>
        <v>10</v>
      </c>
      <c r="Y19" s="270">
        <f>IF(ISBLANK('RESUMEN VIGILANCIA'!X62),"",'RESUMEN VIGILANCIA'!X62)</f>
        <v>12</v>
      </c>
      <c r="Z19" s="455">
        <f>IF(ISBLANK('RESUMEN VIGILANCIA'!Y62),"",'RESUMEN VIGILANCIA'!Y62)</f>
        <v>320</v>
      </c>
      <c r="AA19" s="455">
        <f>IF(ISBLANK('RESUMEN VIGILANCIA'!Z62),"",'RESUMEN VIGILANCIA'!Z62)</f>
        <v>320</v>
      </c>
      <c r="AB19" s="455">
        <f>IF(ISBLANK('RESUMEN VIGILANCIA'!AA62),"",'RESUMEN VIGILANCIA'!AA62)</f>
        <v>320</v>
      </c>
      <c r="AC19" s="456">
        <f>IF(ISBLANK('RESUMEN VIGILANCIA'!AB62),"",'RESUMEN VIGILANCIA'!AB62)</f>
        <v>800</v>
      </c>
      <c r="AD19" s="376">
        <f>IF(ISBLANK('RESUMEN VIGILANCIA'!AC62),"",'RESUMEN VIGILANCIA'!AC62)</f>
        <v>3000</v>
      </c>
      <c r="AE19" s="377">
        <f>IF(ISBLANK('RESUMEN VIGILANCIA'!AD62),"",'RESUMEN VIGILANCIA'!AD62)</f>
        <v>3000</v>
      </c>
      <c r="AF19" s="377">
        <f>IF(ISBLANK('RESUMEN VIGILANCIA'!AE62),"",'RESUMEN VIGILANCIA'!AE62)</f>
        <v>3000</v>
      </c>
      <c r="AG19" s="377">
        <f>IF(ISBLANK('RESUMEN VIGILANCIA'!AF62),"",'RESUMEN VIGILANCIA'!AF62)</f>
        <v>5000</v>
      </c>
      <c r="AH19" s="377">
        <f>IF(ISBLANK('RESUMEN VIGILANCIA'!AG62),"",'RESUMEN VIGILANCIA'!AG62)</f>
        <v>8000</v>
      </c>
      <c r="AI19" s="377">
        <f>IF(ISBLANK('RESUMEN VIGILANCIA'!AH62),"",'RESUMEN VIGILANCIA'!AH62)</f>
        <v>8000</v>
      </c>
      <c r="AJ19" s="377">
        <f>IF(ISBLANK('RESUMEN VIGILANCIA'!AI62),"",'RESUMEN VIGILANCIA'!AI62)</f>
        <v>10000</v>
      </c>
      <c r="AK19" s="377">
        <f>IF(ISBLANK('RESUMEN VIGILANCIA'!AJ62),"",'RESUMEN VIGILANCIA'!AJ62)</f>
        <v>10000</v>
      </c>
      <c r="AL19" s="377">
        <f>IF(ISBLANK('RESUMEN VIGILANCIA'!AK62),"",'RESUMEN VIGILANCIA'!AK62)</f>
        <v>20500</v>
      </c>
      <c r="AM19" s="377">
        <f>IF(ISBLANK('RESUMEN VIGILANCIA'!AL62),"",'RESUMEN VIGILANCIA'!AL62)</f>
        <v>51250</v>
      </c>
      <c r="AN19" s="377">
        <f>IF(ISBLANK('RESUMEN VIGILANCIA'!AM62),"",'RESUMEN VIGILANCIA'!AM62)</f>
        <v>51250</v>
      </c>
      <c r="AO19" s="378">
        <f>IF(ISBLANK('RESUMEN VIGILANCIA'!AN62),"",'RESUMEN VIGILANCIA'!AN62)</f>
        <v>81750</v>
      </c>
      <c r="AP19" s="376">
        <f>IF(ISBLANK('RESUMEN VIGILANCIA'!AO62),"",'RESUMEN VIGILANCIA'!AO62)</f>
        <v>136250</v>
      </c>
      <c r="AQ19" s="377">
        <f>IF(ISBLANK('RESUMEN VIGILANCIA'!AP62),"",'RESUMEN VIGILANCIA'!AP62)</f>
        <v>136250</v>
      </c>
      <c r="AR19" s="377">
        <f>IF(ISBLANK('RESUMEN VIGILANCIA'!AQ62),"",'RESUMEN VIGILANCIA'!AQ62)</f>
        <v>185250</v>
      </c>
      <c r="AS19" s="377">
        <f>IF(ISBLANK('RESUMEN VIGILANCIA'!AR62),"",'RESUMEN VIGILANCIA'!AR62)</f>
        <v>185250</v>
      </c>
      <c r="AT19" s="377">
        <f>IF(ISBLANK('RESUMEN VIGILANCIA'!AS62),"",'RESUMEN VIGILANCIA'!AS62)</f>
        <v>250000</v>
      </c>
      <c r="AU19" s="377" t="str">
        <f>IF(ISBLANK('RESUMEN VIGILANCIA'!AT62),"",'RESUMEN VIGILANCIA'!AT62)</f>
        <v/>
      </c>
      <c r="AV19" s="377" t="str">
        <f>IF(ISBLANK('RESUMEN VIGILANCIA'!AU62),"",'RESUMEN VIGILANCIA'!AU62)</f>
        <v/>
      </c>
      <c r="AW19" s="377" t="str">
        <f>IF(ISBLANK('RESUMEN VIGILANCIA'!AV62),"",'RESUMEN VIGILANCIA'!AV62)</f>
        <v/>
      </c>
      <c r="AX19" s="377" t="str">
        <f>IF(ISBLANK('RESUMEN VIGILANCIA'!AW62),"",'RESUMEN VIGILANCIA'!AW62)</f>
        <v/>
      </c>
      <c r="AY19" s="377" t="str">
        <f>IF(ISBLANK('RESUMEN VIGILANCIA'!AX62),"",'RESUMEN VIGILANCIA'!AX62)</f>
        <v/>
      </c>
      <c r="AZ19" s="377" t="str">
        <f>IF(ISBLANK('RESUMEN VIGILANCIA'!AY62),"",'RESUMEN VIGILANCIA'!AY62)</f>
        <v/>
      </c>
      <c r="BA19" s="378" t="str">
        <f>IF(ISBLANK('RESUMEN VIGILANCIA'!AZ62),"",'RESUMEN VIGILANCIA'!AZ62)</f>
        <v/>
      </c>
      <c r="BB19" s="242">
        <f t="shared" si="0"/>
        <v>256544.1</v>
      </c>
      <c r="BC19" s="112"/>
      <c r="BD19" s="112"/>
    </row>
    <row r="20" spans="1:56" s="29" customFormat="1" ht="20.100000000000001" customHeight="1">
      <c r="A20" s="30" t="str">
        <f>'RESUMEN VIGILANCIA'!A63</f>
        <v>Familia Soto Urdaneta</v>
      </c>
      <c r="B20" s="31" t="str">
        <f>'RESUMEN VIGILANCIA'!B63</f>
        <v>Calle Guacara Nro. 89-102</v>
      </c>
      <c r="C20" s="429" t="s">
        <v>1316</v>
      </c>
      <c r="D20" s="436" t="s">
        <v>17</v>
      </c>
      <c r="E20" s="417" t="str">
        <f>IF(ISBLANK('RESUMEN VIGILANCIA'!D63),"",'RESUMEN VIGILANCIA'!D63)</f>
        <v/>
      </c>
      <c r="F20" s="269" t="str">
        <f>IF(ISBLANK('RESUMEN VIGILANCIA'!E63),"",'RESUMEN VIGILANCIA'!E63)</f>
        <v/>
      </c>
      <c r="G20" s="181" t="str">
        <f>IF(ISBLANK('RESUMEN VIGILANCIA'!F63),"",'RESUMEN VIGILANCIA'!F63)</f>
        <v/>
      </c>
      <c r="H20" s="181" t="str">
        <f>IF(ISBLANK('RESUMEN VIGILANCIA'!G63),"",'RESUMEN VIGILANCIA'!G63)</f>
        <v/>
      </c>
      <c r="I20" s="181" t="str">
        <f>IF(ISBLANK('RESUMEN VIGILANCIA'!H63),"",'RESUMEN VIGILANCIA'!H63)</f>
        <v/>
      </c>
      <c r="J20" s="181" t="str">
        <f>IF(ISBLANK('RESUMEN VIGILANCIA'!I63),"",'RESUMEN VIGILANCIA'!I63)</f>
        <v/>
      </c>
      <c r="K20" s="181" t="str">
        <f>IF(ISBLANK('RESUMEN VIGILANCIA'!J63),"",'RESUMEN VIGILANCIA'!J63)</f>
        <v/>
      </c>
      <c r="L20" s="181" t="str">
        <f>IF(ISBLANK('RESUMEN VIGILANCIA'!K63),"",'RESUMEN VIGILANCIA'!K63)</f>
        <v/>
      </c>
      <c r="M20" s="181" t="str">
        <f>IF(ISBLANK('RESUMEN VIGILANCIA'!L63),"",'RESUMEN VIGILANCIA'!L63)</f>
        <v/>
      </c>
      <c r="N20" s="181" t="str">
        <f>IF(ISBLANK('RESUMEN VIGILANCIA'!M63),"",'RESUMEN VIGILANCIA'!M63)</f>
        <v/>
      </c>
      <c r="O20" s="181" t="str">
        <f>IF(ISBLANK('RESUMEN VIGILANCIA'!N63),"",'RESUMEN VIGILANCIA'!N63)</f>
        <v/>
      </c>
      <c r="P20" s="270" t="str">
        <f>IF(ISBLANK('RESUMEN VIGILANCIA'!O63),"",'RESUMEN VIGILANCIA'!O63)</f>
        <v/>
      </c>
      <c r="Q20" s="179" t="str">
        <f>IF(ISBLANK('RESUMEN VIGILANCIA'!P63),"",'RESUMEN VIGILANCIA'!P63)</f>
        <v/>
      </c>
      <c r="R20" s="271" t="str">
        <f>IF(ISBLANK('RESUMEN VIGILANCIA'!Q63),"",'RESUMEN VIGILANCIA'!Q63)</f>
        <v/>
      </c>
      <c r="S20" s="270" t="str">
        <f>IF(ISBLANK('RESUMEN VIGILANCIA'!R63),"",'RESUMEN VIGILANCIA'!R63)</f>
        <v/>
      </c>
      <c r="T20" s="270" t="str">
        <f>IF(ISBLANK('RESUMEN VIGILANCIA'!S63),"",'RESUMEN VIGILANCIA'!S63)</f>
        <v/>
      </c>
      <c r="U20" s="270" t="str">
        <f>IF(ISBLANK('RESUMEN VIGILANCIA'!T63),"",'RESUMEN VIGILANCIA'!T63)</f>
        <v/>
      </c>
      <c r="V20" s="270" t="str">
        <f>IF(ISBLANK('RESUMEN VIGILANCIA'!U63),"",'RESUMEN VIGILANCIA'!U63)</f>
        <v/>
      </c>
      <c r="W20" s="270" t="str">
        <f>IF(ISBLANK('RESUMEN VIGILANCIA'!V63),"",'RESUMEN VIGILANCIA'!V63)</f>
        <v/>
      </c>
      <c r="X20" s="270" t="str">
        <f>IF(ISBLANK('RESUMEN VIGILANCIA'!W63),"",'RESUMEN VIGILANCIA'!W63)</f>
        <v/>
      </c>
      <c r="Y20" s="270" t="str">
        <f>IF(ISBLANK('RESUMEN VIGILANCIA'!X63),"",'RESUMEN VIGILANCIA'!X63)</f>
        <v/>
      </c>
      <c r="Z20" s="455" t="str">
        <f>IF(ISBLANK('RESUMEN VIGILANCIA'!Y63),"",'RESUMEN VIGILANCIA'!Y63)</f>
        <v/>
      </c>
      <c r="AA20" s="455" t="str">
        <f>IF(ISBLANK('RESUMEN VIGILANCIA'!Z63),"",'RESUMEN VIGILANCIA'!Z63)</f>
        <v/>
      </c>
      <c r="AB20" s="455" t="str">
        <f>IF(ISBLANK('RESUMEN VIGILANCIA'!AA63),"",'RESUMEN VIGILANCIA'!AA63)</f>
        <v/>
      </c>
      <c r="AC20" s="456" t="str">
        <f>IF(ISBLANK('RESUMEN VIGILANCIA'!AB63),"",'RESUMEN VIGILANCIA'!AB63)</f>
        <v/>
      </c>
      <c r="AD20" s="376">
        <f>IF(ISBLANK('RESUMEN VIGILANCIA'!AC63),"",'RESUMEN VIGILANCIA'!AC63)</f>
        <v>3000</v>
      </c>
      <c r="AE20" s="377">
        <f>IF(ISBLANK('RESUMEN VIGILANCIA'!AD63),"",'RESUMEN VIGILANCIA'!AD63)</f>
        <v>3000</v>
      </c>
      <c r="AF20" s="377">
        <f>IF(ISBLANK('RESUMEN VIGILANCIA'!AE63),"",'RESUMEN VIGILANCIA'!AE63)</f>
        <v>4000</v>
      </c>
      <c r="AG20" s="377">
        <f>IF(ISBLANK('RESUMEN VIGILANCIA'!AF63),"",'RESUMEN VIGILANCIA'!AF63)</f>
        <v>5000</v>
      </c>
      <c r="AH20" s="377">
        <f>IF(ISBLANK('RESUMEN VIGILANCIA'!AG63),"",'RESUMEN VIGILANCIA'!AG63)</f>
        <v>8000</v>
      </c>
      <c r="AI20" s="377">
        <f>IF(ISBLANK('RESUMEN VIGILANCIA'!AH63),"",'RESUMEN VIGILANCIA'!AH63)</f>
        <v>8000</v>
      </c>
      <c r="AJ20" s="377">
        <f>IF(ISBLANK('RESUMEN VIGILANCIA'!AI63),"",'RESUMEN VIGILANCIA'!AI63)</f>
        <v>10000</v>
      </c>
      <c r="AK20" s="377">
        <f>IF(ISBLANK('RESUMEN VIGILANCIA'!AJ63),"",'RESUMEN VIGILANCIA'!AJ63)</f>
        <v>10000</v>
      </c>
      <c r="AL20" s="377">
        <f>IF(ISBLANK('RESUMEN VIGILANCIA'!AK63),"",'RESUMEN VIGILANCIA'!AK63)</f>
        <v>23400</v>
      </c>
      <c r="AM20" s="377">
        <f>IF(ISBLANK('RESUMEN VIGILANCIA'!AL63),"",'RESUMEN VIGILANCIA'!AL63)</f>
        <v>47000</v>
      </c>
      <c r="AN20" s="377">
        <f>IF(ISBLANK('RESUMEN VIGILANCIA'!AM63),"",'RESUMEN VIGILANCIA'!AM63)</f>
        <v>56250</v>
      </c>
      <c r="AO20" s="378">
        <f>IF(ISBLANK('RESUMEN VIGILANCIA'!AN63),"",'RESUMEN VIGILANCIA'!AN63)</f>
        <v>81750</v>
      </c>
      <c r="AP20" s="376">
        <f>IF(ISBLANK('RESUMEN VIGILANCIA'!AO63),"",'RESUMEN VIGILANCIA'!AO63)</f>
        <v>136250</v>
      </c>
      <c r="AQ20" s="377">
        <f>IF(ISBLANK('RESUMEN VIGILANCIA'!AP63),"",'RESUMEN VIGILANCIA'!AP63)</f>
        <v>136250</v>
      </c>
      <c r="AR20" s="377">
        <f>IF(ISBLANK('RESUMEN VIGILANCIA'!AQ63),"",'RESUMEN VIGILANCIA'!AQ63)</f>
        <v>185250</v>
      </c>
      <c r="AS20" s="377">
        <f>IF(ISBLANK('RESUMEN VIGILANCIA'!AR63),"",'RESUMEN VIGILANCIA'!AR63)</f>
        <v>186250</v>
      </c>
      <c r="AT20" s="377">
        <f>IF(ISBLANK('RESUMEN VIGILANCIA'!AS63),"",'RESUMEN VIGILANCIA'!AS63)</f>
        <v>250000</v>
      </c>
      <c r="AU20" s="377" t="str">
        <f>IF(ISBLANK('RESUMEN VIGILANCIA'!AT63),"",'RESUMEN VIGILANCIA'!AT63)</f>
        <v/>
      </c>
      <c r="AV20" s="377" t="str">
        <f>IF(ISBLANK('RESUMEN VIGILANCIA'!AU63),"",'RESUMEN VIGILANCIA'!AU63)</f>
        <v/>
      </c>
      <c r="AW20" s="377" t="str">
        <f>IF(ISBLANK('RESUMEN VIGILANCIA'!AV63),"",'RESUMEN VIGILANCIA'!AV63)</f>
        <v/>
      </c>
      <c r="AX20" s="377" t="str">
        <f>IF(ISBLANK('RESUMEN VIGILANCIA'!AW63),"",'RESUMEN VIGILANCIA'!AW63)</f>
        <v/>
      </c>
      <c r="AY20" s="377" t="str">
        <f>IF(ISBLANK('RESUMEN VIGILANCIA'!AX63),"",'RESUMEN VIGILANCIA'!AX63)</f>
        <v/>
      </c>
      <c r="AZ20" s="377" t="str">
        <f>IF(ISBLANK('RESUMEN VIGILANCIA'!AY63),"",'RESUMEN VIGILANCIA'!AY63)</f>
        <v/>
      </c>
      <c r="BA20" s="378" t="str">
        <f>IF(ISBLANK('RESUMEN VIGILANCIA'!AZ63),"",'RESUMEN VIGILANCIA'!AZ63)</f>
        <v/>
      </c>
      <c r="BB20" s="242">
        <f t="shared" si="0"/>
        <v>259400</v>
      </c>
      <c r="BC20" s="112"/>
      <c r="BD20" s="112"/>
    </row>
    <row r="21" spans="1:56" s="29" customFormat="1" ht="20.100000000000001" customHeight="1">
      <c r="A21" s="33" t="str">
        <f>'RESUMEN VIGILANCIA'!A72</f>
        <v>Familia García Hurtado</v>
      </c>
      <c r="B21" s="34" t="str">
        <f>'RESUMEN VIGILANCIA'!B72</f>
        <v>Calle Guacara Nro. 90-110</v>
      </c>
      <c r="C21" s="428" t="s">
        <v>1317</v>
      </c>
      <c r="D21" s="437"/>
      <c r="E21" s="416" t="str">
        <f>IF(ISBLANK('RESUMEN VIGILANCIA'!D72),"",'RESUMEN VIGILANCIA'!D72)</f>
        <v/>
      </c>
      <c r="F21" s="266">
        <f>IF(ISBLANK('RESUMEN VIGILANCIA'!E72),"",'RESUMEN VIGILANCIA'!E72)</f>
        <v>0.1</v>
      </c>
      <c r="G21" s="188">
        <f>IF(ISBLANK('RESUMEN VIGILANCIA'!F72),"",'RESUMEN VIGILANCIA'!F72)</f>
        <v>0.1</v>
      </c>
      <c r="H21" s="188" t="str">
        <f>IF(ISBLANK('RESUMEN VIGILANCIA'!G72),"",'RESUMEN VIGILANCIA'!G72)</f>
        <v/>
      </c>
      <c r="I21" s="188" t="str">
        <f>IF(ISBLANK('RESUMEN VIGILANCIA'!H72),"",'RESUMEN VIGILANCIA'!H72)</f>
        <v/>
      </c>
      <c r="J21" s="188" t="str">
        <f>IF(ISBLANK('RESUMEN VIGILANCIA'!I72),"",'RESUMEN VIGILANCIA'!I72)</f>
        <v/>
      </c>
      <c r="K21" s="188" t="str">
        <f>IF(ISBLANK('RESUMEN VIGILANCIA'!J72),"",'RESUMEN VIGILANCIA'!J72)</f>
        <v/>
      </c>
      <c r="L21" s="188" t="str">
        <f>IF(ISBLANK('RESUMEN VIGILANCIA'!K72),"",'RESUMEN VIGILANCIA'!K72)</f>
        <v/>
      </c>
      <c r="M21" s="188" t="str">
        <f>IF(ISBLANK('RESUMEN VIGILANCIA'!L72),"",'RESUMEN VIGILANCIA'!L72)</f>
        <v/>
      </c>
      <c r="N21" s="188" t="str">
        <f>IF(ISBLANK('RESUMEN VIGILANCIA'!M72),"",'RESUMEN VIGILANCIA'!M72)</f>
        <v/>
      </c>
      <c r="O21" s="188" t="str">
        <f>IF(ISBLANK('RESUMEN VIGILANCIA'!N72),"",'RESUMEN VIGILANCIA'!N72)</f>
        <v/>
      </c>
      <c r="P21" s="267" t="str">
        <f>IF(ISBLANK('RESUMEN VIGILANCIA'!O72),"",'RESUMEN VIGILANCIA'!O72)</f>
        <v/>
      </c>
      <c r="Q21" s="186" t="str">
        <f>IF(ISBLANK('RESUMEN VIGILANCIA'!P72),"",'RESUMEN VIGILANCIA'!P72)</f>
        <v/>
      </c>
      <c r="R21" s="268" t="str">
        <f>IF(ISBLANK('RESUMEN VIGILANCIA'!Q72),"",'RESUMEN VIGILANCIA'!Q72)</f>
        <v/>
      </c>
      <c r="S21" s="267" t="str">
        <f>IF(ISBLANK('RESUMEN VIGILANCIA'!R72),"",'RESUMEN VIGILANCIA'!R72)</f>
        <v/>
      </c>
      <c r="T21" s="267" t="str">
        <f>IF(ISBLANK('RESUMEN VIGILANCIA'!S72),"",'RESUMEN VIGILANCIA'!S72)</f>
        <v/>
      </c>
      <c r="U21" s="267" t="str">
        <f>IF(ISBLANK('RESUMEN VIGILANCIA'!T72),"",'RESUMEN VIGILANCIA'!T72)</f>
        <v/>
      </c>
      <c r="V21" s="267" t="str">
        <f>IF(ISBLANK('RESUMEN VIGILANCIA'!U72),"",'RESUMEN VIGILANCIA'!U72)</f>
        <v/>
      </c>
      <c r="W21" s="267" t="str">
        <f>IF(ISBLANK('RESUMEN VIGILANCIA'!V72),"",'RESUMEN VIGILANCIA'!V72)</f>
        <v/>
      </c>
      <c r="X21" s="267" t="str">
        <f>IF(ISBLANK('RESUMEN VIGILANCIA'!W72),"",'RESUMEN VIGILANCIA'!W72)</f>
        <v/>
      </c>
      <c r="Y21" s="267" t="str">
        <f>IF(ISBLANK('RESUMEN VIGILANCIA'!X72),"",'RESUMEN VIGILANCIA'!X72)</f>
        <v/>
      </c>
      <c r="Z21" s="459" t="str">
        <f>IF(ISBLANK('RESUMEN VIGILANCIA'!Y72),"",'RESUMEN VIGILANCIA'!Y72)</f>
        <v/>
      </c>
      <c r="AA21" s="459" t="str">
        <f>IF(ISBLANK('RESUMEN VIGILANCIA'!Z72),"",'RESUMEN VIGILANCIA'!Z72)</f>
        <v/>
      </c>
      <c r="AB21" s="459" t="str">
        <f>IF(ISBLANK('RESUMEN VIGILANCIA'!AA72),"",'RESUMEN VIGILANCIA'!AA72)</f>
        <v/>
      </c>
      <c r="AC21" s="460" t="str">
        <f>IF(ISBLANK('RESUMEN VIGILANCIA'!AB72),"",'RESUMEN VIGILANCIA'!AB72)</f>
        <v/>
      </c>
      <c r="AD21" s="373" t="str">
        <f>IF(ISBLANK('RESUMEN VIGILANCIA'!AC72),"",'RESUMEN VIGILANCIA'!AC72)</f>
        <v/>
      </c>
      <c r="AE21" s="374" t="str">
        <f>IF(ISBLANK('RESUMEN VIGILANCIA'!AD72),"",'RESUMEN VIGILANCIA'!AD72)</f>
        <v/>
      </c>
      <c r="AF21" s="374" t="str">
        <f>IF(ISBLANK('RESUMEN VIGILANCIA'!AE72),"",'RESUMEN VIGILANCIA'!AE72)</f>
        <v/>
      </c>
      <c r="AG21" s="374" t="str">
        <f>IF(ISBLANK('RESUMEN VIGILANCIA'!AF72),"",'RESUMEN VIGILANCIA'!AF72)</f>
        <v/>
      </c>
      <c r="AH21" s="374" t="str">
        <f>IF(ISBLANK('RESUMEN VIGILANCIA'!AG72),"",'RESUMEN VIGILANCIA'!AG72)</f>
        <v/>
      </c>
      <c r="AI21" s="374" t="str">
        <f>IF(ISBLANK('RESUMEN VIGILANCIA'!AH72),"",'RESUMEN VIGILANCIA'!AH72)</f>
        <v/>
      </c>
      <c r="AJ21" s="374" t="str">
        <f>IF(ISBLANK('RESUMEN VIGILANCIA'!AI72),"",'RESUMEN VIGILANCIA'!AI72)</f>
        <v/>
      </c>
      <c r="AK21" s="374" t="str">
        <f>IF(ISBLANK('RESUMEN VIGILANCIA'!AJ72),"",'RESUMEN VIGILANCIA'!AJ72)</f>
        <v/>
      </c>
      <c r="AL21" s="374" t="str">
        <f>IF(ISBLANK('RESUMEN VIGILANCIA'!AK72),"",'RESUMEN VIGILANCIA'!AK72)</f>
        <v/>
      </c>
      <c r="AM21" s="374" t="str">
        <f>IF(ISBLANK('RESUMEN VIGILANCIA'!AL72),"",'RESUMEN VIGILANCIA'!AL72)</f>
        <v/>
      </c>
      <c r="AN21" s="374" t="str">
        <f>IF(ISBLANK('RESUMEN VIGILANCIA'!AM72),"",'RESUMEN VIGILANCIA'!AM72)</f>
        <v/>
      </c>
      <c r="AO21" s="375" t="str">
        <f>IF(ISBLANK('RESUMEN VIGILANCIA'!AN72),"",'RESUMEN VIGILANCIA'!AN72)</f>
        <v/>
      </c>
      <c r="AP21" s="373" t="str">
        <f>IF(ISBLANK('RESUMEN VIGILANCIA'!AO72),"",'RESUMEN VIGILANCIA'!AO72)</f>
        <v/>
      </c>
      <c r="AQ21" s="374" t="str">
        <f>IF(ISBLANK('RESUMEN VIGILANCIA'!AP72),"",'RESUMEN VIGILANCIA'!AP72)</f>
        <v/>
      </c>
      <c r="AR21" s="374" t="str">
        <f>IF(ISBLANK('RESUMEN VIGILANCIA'!AQ72),"",'RESUMEN VIGILANCIA'!AQ72)</f>
        <v/>
      </c>
      <c r="AS21" s="374" t="str">
        <f>IF(ISBLANK('RESUMEN VIGILANCIA'!AR72),"",'RESUMEN VIGILANCIA'!AR72)</f>
        <v/>
      </c>
      <c r="AT21" s="374" t="str">
        <f>IF(ISBLANK('RESUMEN VIGILANCIA'!AS72),"",'RESUMEN VIGILANCIA'!AS72)</f>
        <v/>
      </c>
      <c r="AU21" s="374" t="str">
        <f>IF(ISBLANK('RESUMEN VIGILANCIA'!AT72),"",'RESUMEN VIGILANCIA'!AT72)</f>
        <v/>
      </c>
      <c r="AV21" s="374" t="str">
        <f>IF(ISBLANK('RESUMEN VIGILANCIA'!AU72),"",'RESUMEN VIGILANCIA'!AU72)</f>
        <v/>
      </c>
      <c r="AW21" s="374" t="str">
        <f>IF(ISBLANK('RESUMEN VIGILANCIA'!AV72),"",'RESUMEN VIGILANCIA'!AV72)</f>
        <v/>
      </c>
      <c r="AX21" s="374" t="str">
        <f>IF(ISBLANK('RESUMEN VIGILANCIA'!AW72),"",'RESUMEN VIGILANCIA'!AW72)</f>
        <v/>
      </c>
      <c r="AY21" s="374" t="str">
        <f>IF(ISBLANK('RESUMEN VIGILANCIA'!AX72),"",'RESUMEN VIGILANCIA'!AX72)</f>
        <v/>
      </c>
      <c r="AZ21" s="374" t="str">
        <f>IF(ISBLANK('RESUMEN VIGILANCIA'!AY72),"",'RESUMEN VIGILANCIA'!AY72)</f>
        <v/>
      </c>
      <c r="BA21" s="375" t="str">
        <f>IF(ISBLANK('RESUMEN VIGILANCIA'!AZ72),"",'RESUMEN VIGILANCIA'!AZ72)</f>
        <v/>
      </c>
      <c r="BB21" s="241">
        <f t="shared" si="0"/>
        <v>0.2</v>
      </c>
      <c r="BC21" s="111"/>
      <c r="BD21" s="111"/>
    </row>
    <row r="22" spans="1:56" s="29" customFormat="1" ht="20.100000000000001" customHeight="1">
      <c r="A22" s="30" t="str">
        <f>'RESUMEN VIGILANCIA'!A73</f>
        <v>Familia Rodríguez Chiappeta</v>
      </c>
      <c r="B22" s="31" t="str">
        <f>'RESUMEN VIGILANCIA'!B73</f>
        <v>Calle Guacara Nro. 90-120</v>
      </c>
      <c r="C22" s="429" t="s">
        <v>1317</v>
      </c>
      <c r="D22" s="436" t="s">
        <v>1315</v>
      </c>
      <c r="E22" s="417" t="str">
        <f>IF(ISBLANK('RESUMEN VIGILANCIA'!D73),"",'RESUMEN VIGILANCIA'!D73)</f>
        <v/>
      </c>
      <c r="F22" s="269" t="str">
        <f>IF(ISBLANK('RESUMEN VIGILANCIA'!E73),"",'RESUMEN VIGILANCIA'!E73)</f>
        <v/>
      </c>
      <c r="G22" s="181" t="str">
        <f>IF(ISBLANK('RESUMEN VIGILANCIA'!F73),"",'RESUMEN VIGILANCIA'!F73)</f>
        <v/>
      </c>
      <c r="H22" s="181" t="str">
        <f>IF(ISBLANK('RESUMEN VIGILANCIA'!G73),"",'RESUMEN VIGILANCIA'!G73)</f>
        <v/>
      </c>
      <c r="I22" s="181" t="str">
        <f>IF(ISBLANK('RESUMEN VIGILANCIA'!H73),"",'RESUMEN VIGILANCIA'!H73)</f>
        <v/>
      </c>
      <c r="J22" s="181" t="str">
        <f>IF(ISBLANK('RESUMEN VIGILANCIA'!I73),"",'RESUMEN VIGILANCIA'!I73)</f>
        <v/>
      </c>
      <c r="K22" s="181" t="str">
        <f>IF(ISBLANK('RESUMEN VIGILANCIA'!J73),"",'RESUMEN VIGILANCIA'!J73)</f>
        <v/>
      </c>
      <c r="L22" s="181" t="str">
        <f>IF(ISBLANK('RESUMEN VIGILANCIA'!K73),"",'RESUMEN VIGILANCIA'!K73)</f>
        <v/>
      </c>
      <c r="M22" s="181" t="str">
        <f>IF(ISBLANK('RESUMEN VIGILANCIA'!L73),"",'RESUMEN VIGILANCIA'!L73)</f>
        <v/>
      </c>
      <c r="N22" s="181" t="str">
        <f>IF(ISBLANK('RESUMEN VIGILANCIA'!M73),"",'RESUMEN VIGILANCIA'!M73)</f>
        <v/>
      </c>
      <c r="O22" s="181" t="str">
        <f>IF(ISBLANK('RESUMEN VIGILANCIA'!N73),"",'RESUMEN VIGILANCIA'!N73)</f>
        <v/>
      </c>
      <c r="P22" s="270" t="str">
        <f>IF(ISBLANK('RESUMEN VIGILANCIA'!O73),"",'RESUMEN VIGILANCIA'!O73)</f>
        <v/>
      </c>
      <c r="Q22" s="179" t="str">
        <f>IF(ISBLANK('RESUMEN VIGILANCIA'!P73),"",'RESUMEN VIGILANCIA'!P73)</f>
        <v/>
      </c>
      <c r="R22" s="271" t="str">
        <f>IF(ISBLANK('RESUMEN VIGILANCIA'!Q73),"",'RESUMEN VIGILANCIA'!Q73)</f>
        <v/>
      </c>
      <c r="S22" s="270" t="str">
        <f>IF(ISBLANK('RESUMEN VIGILANCIA'!R73),"",'RESUMEN VIGILANCIA'!R73)</f>
        <v/>
      </c>
      <c r="T22" s="270" t="str">
        <f>IF(ISBLANK('RESUMEN VIGILANCIA'!S73),"",'RESUMEN VIGILANCIA'!S73)</f>
        <v/>
      </c>
      <c r="U22" s="270" t="str">
        <f>IF(ISBLANK('RESUMEN VIGILANCIA'!T73),"",'RESUMEN VIGILANCIA'!T73)</f>
        <v/>
      </c>
      <c r="V22" s="270" t="str">
        <f>IF(ISBLANK('RESUMEN VIGILANCIA'!U73),"",'RESUMEN VIGILANCIA'!U73)</f>
        <v/>
      </c>
      <c r="W22" s="270" t="str">
        <f>IF(ISBLANK('RESUMEN VIGILANCIA'!V73),"",'RESUMEN VIGILANCIA'!V73)</f>
        <v/>
      </c>
      <c r="X22" s="270" t="str">
        <f>IF(ISBLANK('RESUMEN VIGILANCIA'!W73),"",'RESUMEN VIGILANCIA'!W73)</f>
        <v/>
      </c>
      <c r="Y22" s="270" t="str">
        <f>IF(ISBLANK('RESUMEN VIGILANCIA'!X73),"",'RESUMEN VIGILANCIA'!X73)</f>
        <v/>
      </c>
      <c r="Z22" s="455" t="str">
        <f>IF(ISBLANK('RESUMEN VIGILANCIA'!Y73),"",'RESUMEN VIGILANCIA'!Y73)</f>
        <v/>
      </c>
      <c r="AA22" s="455" t="str">
        <f>IF(ISBLANK('RESUMEN VIGILANCIA'!Z73),"",'RESUMEN VIGILANCIA'!Z73)</f>
        <v/>
      </c>
      <c r="AB22" s="455" t="str">
        <f>IF(ISBLANK('RESUMEN VIGILANCIA'!AA73),"",'RESUMEN VIGILANCIA'!AA73)</f>
        <v/>
      </c>
      <c r="AC22" s="456" t="str">
        <f>IF(ISBLANK('RESUMEN VIGILANCIA'!AB73),"",'RESUMEN VIGILANCIA'!AB73)</f>
        <v/>
      </c>
      <c r="AD22" s="376" t="str">
        <f>IF(ISBLANK('RESUMEN VIGILANCIA'!AC73),"",'RESUMEN VIGILANCIA'!AC73)</f>
        <v/>
      </c>
      <c r="AE22" s="377" t="str">
        <f>IF(ISBLANK('RESUMEN VIGILANCIA'!AD73),"",'RESUMEN VIGILANCIA'!AD73)</f>
        <v/>
      </c>
      <c r="AF22" s="377" t="str">
        <f>IF(ISBLANK('RESUMEN VIGILANCIA'!AE73),"",'RESUMEN VIGILANCIA'!AE73)</f>
        <v/>
      </c>
      <c r="AG22" s="377" t="str">
        <f>IF(ISBLANK('RESUMEN VIGILANCIA'!AF73),"",'RESUMEN VIGILANCIA'!AF73)</f>
        <v/>
      </c>
      <c r="AH22" s="377" t="str">
        <f>IF(ISBLANK('RESUMEN VIGILANCIA'!AG73),"",'RESUMEN VIGILANCIA'!AG73)</f>
        <v/>
      </c>
      <c r="AI22" s="377" t="str">
        <f>IF(ISBLANK('RESUMEN VIGILANCIA'!AH73),"",'RESUMEN VIGILANCIA'!AH73)</f>
        <v/>
      </c>
      <c r="AJ22" s="377" t="str">
        <f>IF(ISBLANK('RESUMEN VIGILANCIA'!AI73),"",'RESUMEN VIGILANCIA'!AI73)</f>
        <v/>
      </c>
      <c r="AK22" s="377" t="str">
        <f>IF(ISBLANK('RESUMEN VIGILANCIA'!AJ73),"",'RESUMEN VIGILANCIA'!AJ73)</f>
        <v/>
      </c>
      <c r="AL22" s="377" t="str">
        <f>IF(ISBLANK('RESUMEN VIGILANCIA'!AK73),"",'RESUMEN VIGILANCIA'!AK73)</f>
        <v/>
      </c>
      <c r="AM22" s="377" t="str">
        <f>IF(ISBLANK('RESUMEN VIGILANCIA'!AL73),"",'RESUMEN VIGILANCIA'!AL73)</f>
        <v/>
      </c>
      <c r="AN22" s="377" t="str">
        <f>IF(ISBLANK('RESUMEN VIGILANCIA'!AM73),"",'RESUMEN VIGILANCIA'!AM73)</f>
        <v/>
      </c>
      <c r="AO22" s="378" t="str">
        <f>IF(ISBLANK('RESUMEN VIGILANCIA'!AN73),"",'RESUMEN VIGILANCIA'!AN73)</f>
        <v/>
      </c>
      <c r="AP22" s="376" t="str">
        <f>IF(ISBLANK('RESUMEN VIGILANCIA'!AO73),"",'RESUMEN VIGILANCIA'!AO73)</f>
        <v/>
      </c>
      <c r="AQ22" s="377" t="str">
        <f>IF(ISBLANK('RESUMEN VIGILANCIA'!AP73),"",'RESUMEN VIGILANCIA'!AP73)</f>
        <v/>
      </c>
      <c r="AR22" s="377" t="str">
        <f>IF(ISBLANK('RESUMEN VIGILANCIA'!AQ73),"",'RESUMEN VIGILANCIA'!AQ73)</f>
        <v/>
      </c>
      <c r="AS22" s="377" t="str">
        <f>IF(ISBLANK('RESUMEN VIGILANCIA'!AR73),"",'RESUMEN VIGILANCIA'!AR73)</f>
        <v/>
      </c>
      <c r="AT22" s="377" t="str">
        <f>IF(ISBLANK('RESUMEN VIGILANCIA'!AS73),"",'RESUMEN VIGILANCIA'!AS73)</f>
        <v/>
      </c>
      <c r="AU22" s="377" t="str">
        <f>IF(ISBLANK('RESUMEN VIGILANCIA'!AT73),"",'RESUMEN VIGILANCIA'!AT73)</f>
        <v/>
      </c>
      <c r="AV22" s="377" t="str">
        <f>IF(ISBLANK('RESUMEN VIGILANCIA'!AU73),"",'RESUMEN VIGILANCIA'!AU73)</f>
        <v/>
      </c>
      <c r="AW22" s="377" t="str">
        <f>IF(ISBLANK('RESUMEN VIGILANCIA'!AV73),"",'RESUMEN VIGILANCIA'!AV73)</f>
        <v/>
      </c>
      <c r="AX22" s="377" t="str">
        <f>IF(ISBLANK('RESUMEN VIGILANCIA'!AW73),"",'RESUMEN VIGILANCIA'!AW73)</f>
        <v/>
      </c>
      <c r="AY22" s="377" t="str">
        <f>IF(ISBLANK('RESUMEN VIGILANCIA'!AX73),"",'RESUMEN VIGILANCIA'!AX73)</f>
        <v/>
      </c>
      <c r="AZ22" s="377" t="str">
        <f>IF(ISBLANK('RESUMEN VIGILANCIA'!AY73),"",'RESUMEN VIGILANCIA'!AY73)</f>
        <v/>
      </c>
      <c r="BA22" s="378" t="str">
        <f>IF(ISBLANK('RESUMEN VIGILANCIA'!AZ73),"",'RESUMEN VIGILANCIA'!AZ73)</f>
        <v/>
      </c>
      <c r="BB22" s="242">
        <f t="shared" si="0"/>
        <v>0</v>
      </c>
      <c r="BC22" s="112"/>
      <c r="BD22" s="112"/>
    </row>
    <row r="23" spans="1:56" s="29" customFormat="1" ht="20.100000000000001" customHeight="1">
      <c r="A23" s="30" t="str">
        <f>'RESUMEN VIGILANCIA'!A18</f>
        <v>María Luisa Gornés</v>
      </c>
      <c r="B23" s="31" t="str">
        <f>'RESUMEN VIGILANCIA'!B18</f>
        <v>Calle Guacara Nro. 87-05</v>
      </c>
      <c r="C23" s="429" t="s">
        <v>1317</v>
      </c>
      <c r="D23" s="436" t="s">
        <v>1315</v>
      </c>
      <c r="E23" s="417" t="str">
        <f>IF(ISBLANK('RESUMEN VIGILANCIA'!D18),"",'RESUMEN VIGILANCIA'!D18)</f>
        <v/>
      </c>
      <c r="F23" s="269" t="str">
        <f>IF(ISBLANK('RESUMEN VIGILANCIA'!E18),"",'RESUMEN VIGILANCIA'!E18)</f>
        <v/>
      </c>
      <c r="G23" s="181" t="str">
        <f>IF(ISBLANK('RESUMEN VIGILANCIA'!F18),"",'RESUMEN VIGILANCIA'!F18)</f>
        <v/>
      </c>
      <c r="H23" s="181" t="str">
        <f>IF(ISBLANK('RESUMEN VIGILANCIA'!G18),"",'RESUMEN VIGILANCIA'!G18)</f>
        <v/>
      </c>
      <c r="I23" s="181" t="str">
        <f>IF(ISBLANK('RESUMEN VIGILANCIA'!H18),"",'RESUMEN VIGILANCIA'!H18)</f>
        <v/>
      </c>
      <c r="J23" s="181" t="str">
        <f>IF(ISBLANK('RESUMEN VIGILANCIA'!I18),"",'RESUMEN VIGILANCIA'!I18)</f>
        <v/>
      </c>
      <c r="K23" s="181" t="str">
        <f>IF(ISBLANK('RESUMEN VIGILANCIA'!J18),"",'RESUMEN VIGILANCIA'!J18)</f>
        <v/>
      </c>
      <c r="L23" s="181" t="str">
        <f>IF(ISBLANK('RESUMEN VIGILANCIA'!K18),"",'RESUMEN VIGILANCIA'!K18)</f>
        <v/>
      </c>
      <c r="M23" s="181" t="str">
        <f>IF(ISBLANK('RESUMEN VIGILANCIA'!L18),"",'RESUMEN VIGILANCIA'!L18)</f>
        <v/>
      </c>
      <c r="N23" s="181" t="str">
        <f>IF(ISBLANK('RESUMEN VIGILANCIA'!M18),"",'RESUMEN VIGILANCIA'!M18)</f>
        <v/>
      </c>
      <c r="O23" s="181" t="str">
        <f>IF(ISBLANK('RESUMEN VIGILANCIA'!N18),"",'RESUMEN VIGILANCIA'!N18)</f>
        <v/>
      </c>
      <c r="P23" s="270" t="str">
        <f>IF(ISBLANK('RESUMEN VIGILANCIA'!O18),"",'RESUMEN VIGILANCIA'!O18)</f>
        <v/>
      </c>
      <c r="Q23" s="179" t="str">
        <f>IF(ISBLANK('RESUMEN VIGILANCIA'!P18),"",'RESUMEN VIGILANCIA'!P18)</f>
        <v/>
      </c>
      <c r="R23" s="271" t="str">
        <f>IF(ISBLANK('RESUMEN VIGILANCIA'!Q18),"",'RESUMEN VIGILANCIA'!Q18)</f>
        <v/>
      </c>
      <c r="S23" s="270" t="str">
        <f>IF(ISBLANK('RESUMEN VIGILANCIA'!R18),"",'RESUMEN VIGILANCIA'!R18)</f>
        <v/>
      </c>
      <c r="T23" s="270" t="str">
        <f>IF(ISBLANK('RESUMEN VIGILANCIA'!S18),"",'RESUMEN VIGILANCIA'!S18)</f>
        <v/>
      </c>
      <c r="U23" s="270" t="str">
        <f>IF(ISBLANK('RESUMEN VIGILANCIA'!T18),"",'RESUMEN VIGILANCIA'!T18)</f>
        <v/>
      </c>
      <c r="V23" s="270" t="str">
        <f>IF(ISBLANK('RESUMEN VIGILANCIA'!U18),"",'RESUMEN VIGILANCIA'!U18)</f>
        <v/>
      </c>
      <c r="W23" s="270" t="str">
        <f>IF(ISBLANK('RESUMEN VIGILANCIA'!V18),"",'RESUMEN VIGILANCIA'!V18)</f>
        <v/>
      </c>
      <c r="X23" s="270" t="str">
        <f>IF(ISBLANK('RESUMEN VIGILANCIA'!W18),"",'RESUMEN VIGILANCIA'!W18)</f>
        <v/>
      </c>
      <c r="Y23" s="270" t="str">
        <f>IF(ISBLANK('RESUMEN VIGILANCIA'!X18),"",'RESUMEN VIGILANCIA'!X18)</f>
        <v/>
      </c>
      <c r="Z23" s="455" t="str">
        <f>IF(ISBLANK('RESUMEN VIGILANCIA'!Y18),"",'RESUMEN VIGILANCIA'!Y18)</f>
        <v/>
      </c>
      <c r="AA23" s="455" t="str">
        <f>IF(ISBLANK('RESUMEN VIGILANCIA'!Z18),"",'RESUMEN VIGILANCIA'!Z18)</f>
        <v/>
      </c>
      <c r="AB23" s="455" t="str">
        <f>IF(ISBLANK('RESUMEN VIGILANCIA'!AA18),"",'RESUMEN VIGILANCIA'!AA18)</f>
        <v/>
      </c>
      <c r="AC23" s="456" t="str">
        <f>IF(ISBLANK('RESUMEN VIGILANCIA'!AB18),"",'RESUMEN VIGILANCIA'!AB18)</f>
        <v/>
      </c>
      <c r="AD23" s="376" t="str">
        <f>IF(ISBLANK('RESUMEN VIGILANCIA'!AC18),"",'RESUMEN VIGILANCIA'!AC18)</f>
        <v/>
      </c>
      <c r="AE23" s="377" t="str">
        <f>IF(ISBLANK('RESUMEN VIGILANCIA'!AD18),"",'RESUMEN VIGILANCIA'!AD18)</f>
        <v/>
      </c>
      <c r="AF23" s="377" t="str">
        <f>IF(ISBLANK('RESUMEN VIGILANCIA'!AE18),"",'RESUMEN VIGILANCIA'!AE18)</f>
        <v/>
      </c>
      <c r="AG23" s="377" t="str">
        <f>IF(ISBLANK('RESUMEN VIGILANCIA'!AF18),"",'RESUMEN VIGILANCIA'!AF18)</f>
        <v/>
      </c>
      <c r="AH23" s="377" t="str">
        <f>IF(ISBLANK('RESUMEN VIGILANCIA'!AG18),"",'RESUMEN VIGILANCIA'!AG18)</f>
        <v/>
      </c>
      <c r="AI23" s="377" t="str">
        <f>IF(ISBLANK('RESUMEN VIGILANCIA'!AH18),"",'RESUMEN VIGILANCIA'!AH18)</f>
        <v/>
      </c>
      <c r="AJ23" s="377" t="str">
        <f>IF(ISBLANK('RESUMEN VIGILANCIA'!AI18),"",'RESUMEN VIGILANCIA'!AI18)</f>
        <v/>
      </c>
      <c r="AK23" s="377" t="str">
        <f>IF(ISBLANK('RESUMEN VIGILANCIA'!AJ18),"",'RESUMEN VIGILANCIA'!AJ18)</f>
        <v/>
      </c>
      <c r="AL23" s="377" t="str">
        <f>IF(ISBLANK('RESUMEN VIGILANCIA'!AK18),"",'RESUMEN VIGILANCIA'!AK18)</f>
        <v/>
      </c>
      <c r="AM23" s="377" t="str">
        <f>IF(ISBLANK('RESUMEN VIGILANCIA'!AL18),"",'RESUMEN VIGILANCIA'!AL18)</f>
        <v/>
      </c>
      <c r="AN23" s="377" t="str">
        <f>IF(ISBLANK('RESUMEN VIGILANCIA'!AM18),"",'RESUMEN VIGILANCIA'!AM18)</f>
        <v/>
      </c>
      <c r="AO23" s="378" t="str">
        <f>IF(ISBLANK('RESUMEN VIGILANCIA'!AN18),"",'RESUMEN VIGILANCIA'!AN18)</f>
        <v/>
      </c>
      <c r="AP23" s="376" t="str">
        <f>IF(ISBLANK('RESUMEN VIGILANCIA'!AO18),"",'RESUMEN VIGILANCIA'!AO18)</f>
        <v/>
      </c>
      <c r="AQ23" s="377" t="str">
        <f>IF(ISBLANK('RESUMEN VIGILANCIA'!AP18),"",'RESUMEN VIGILANCIA'!AP18)</f>
        <v/>
      </c>
      <c r="AR23" s="377" t="str">
        <f>IF(ISBLANK('RESUMEN VIGILANCIA'!AQ18),"",'RESUMEN VIGILANCIA'!AQ18)</f>
        <v/>
      </c>
      <c r="AS23" s="377" t="str">
        <f>IF(ISBLANK('RESUMEN VIGILANCIA'!AR18),"",'RESUMEN VIGILANCIA'!AR18)</f>
        <v/>
      </c>
      <c r="AT23" s="377" t="str">
        <f>IF(ISBLANK('RESUMEN VIGILANCIA'!AS18),"",'RESUMEN VIGILANCIA'!AS18)</f>
        <v/>
      </c>
      <c r="AU23" s="377" t="str">
        <f>IF(ISBLANK('RESUMEN VIGILANCIA'!AT18),"",'RESUMEN VIGILANCIA'!AT18)</f>
        <v/>
      </c>
      <c r="AV23" s="377" t="str">
        <f>IF(ISBLANK('RESUMEN VIGILANCIA'!AU18),"",'RESUMEN VIGILANCIA'!AU18)</f>
        <v/>
      </c>
      <c r="AW23" s="377" t="str">
        <f>IF(ISBLANK('RESUMEN VIGILANCIA'!AV18),"",'RESUMEN VIGILANCIA'!AV18)</f>
        <v/>
      </c>
      <c r="AX23" s="377" t="str">
        <f>IF(ISBLANK('RESUMEN VIGILANCIA'!AW18),"",'RESUMEN VIGILANCIA'!AW18)</f>
        <v/>
      </c>
      <c r="AY23" s="377" t="str">
        <f>IF(ISBLANK('RESUMEN VIGILANCIA'!AX18),"",'RESUMEN VIGILANCIA'!AX18)</f>
        <v/>
      </c>
      <c r="AZ23" s="377" t="str">
        <f>IF(ISBLANK('RESUMEN VIGILANCIA'!AY18),"",'RESUMEN VIGILANCIA'!AY18)</f>
        <v/>
      </c>
      <c r="BA23" s="378" t="str">
        <f>IF(ISBLANK('RESUMEN VIGILANCIA'!AZ18),"",'RESUMEN VIGILANCIA'!AZ18)</f>
        <v/>
      </c>
      <c r="BB23" s="242">
        <f t="shared" si="0"/>
        <v>0</v>
      </c>
      <c r="BC23" s="112"/>
      <c r="BD23" s="112"/>
    </row>
    <row r="24" spans="1:56" s="29" customFormat="1" ht="20.100000000000001" customHeight="1">
      <c r="A24" s="358" t="str">
        <f>'RESUMEN VIGILANCIA'!A20</f>
        <v>Familia Franco Gómez</v>
      </c>
      <c r="B24" s="359" t="str">
        <f>'RESUMEN VIGILANCIA'!B20</f>
        <v>Calle Guacara Nro. 87-07</v>
      </c>
      <c r="C24" s="430" t="s">
        <v>1318</v>
      </c>
      <c r="D24" s="435" t="s">
        <v>1315</v>
      </c>
      <c r="E24" s="416" t="str">
        <f>IF(ISBLANK('RESUMEN VIGILANCIA'!D20),"",'RESUMEN VIGILANCIA'!D20)</f>
        <v/>
      </c>
      <c r="F24" s="266">
        <f>IF(ISBLANK('RESUMEN VIGILANCIA'!E20),"",'RESUMEN VIGILANCIA'!E20)</f>
        <v>0.17</v>
      </c>
      <c r="G24" s="188">
        <f>IF(ISBLANK('RESUMEN VIGILANCIA'!F20),"",'RESUMEN VIGILANCIA'!F20)</f>
        <v>0.17</v>
      </c>
      <c r="H24" s="188">
        <f>IF(ISBLANK('RESUMEN VIGILANCIA'!G20),"",'RESUMEN VIGILANCIA'!G20)</f>
        <v>0.17</v>
      </c>
      <c r="I24" s="188">
        <f>IF(ISBLANK('RESUMEN VIGILANCIA'!H20),"",'RESUMEN VIGILANCIA'!H20)</f>
        <v>0.17</v>
      </c>
      <c r="J24" s="188">
        <f>IF(ISBLANK('RESUMEN VIGILANCIA'!I20),"",'RESUMEN VIGILANCIA'!I20)</f>
        <v>0.17</v>
      </c>
      <c r="K24" s="188">
        <f>IF(ISBLANK('RESUMEN VIGILANCIA'!J20),"",'RESUMEN VIGILANCIA'!J20)</f>
        <v>0.17</v>
      </c>
      <c r="L24" s="188">
        <f>IF(ISBLANK('RESUMEN VIGILANCIA'!K20),"",'RESUMEN VIGILANCIA'!K20)</f>
        <v>0.17</v>
      </c>
      <c r="M24" s="188">
        <f>IF(ISBLANK('RESUMEN VIGILANCIA'!L20),"",'RESUMEN VIGILANCIA'!L20)</f>
        <v>0.2</v>
      </c>
      <c r="N24" s="188">
        <f>IF(ISBLANK('RESUMEN VIGILANCIA'!M20),"",'RESUMEN VIGILANCIA'!M20)</f>
        <v>0.25</v>
      </c>
      <c r="O24" s="188">
        <f>IF(ISBLANK('RESUMEN VIGILANCIA'!N20),"",'RESUMEN VIGILANCIA'!N20)</f>
        <v>0.25</v>
      </c>
      <c r="P24" s="267">
        <f>IF(ISBLANK('RESUMEN VIGILANCIA'!O20),"",'RESUMEN VIGILANCIA'!O20)</f>
        <v>0.25</v>
      </c>
      <c r="Q24" s="186">
        <f>IF(ISBLANK('RESUMEN VIGILANCIA'!P20),"",'RESUMEN VIGILANCIA'!P20)</f>
        <v>0.25</v>
      </c>
      <c r="R24" s="268">
        <f>IF(ISBLANK('RESUMEN VIGILANCIA'!Q20),"",'RESUMEN VIGILANCIA'!Q20)</f>
        <v>0.8</v>
      </c>
      <c r="S24" s="267">
        <f>IF(ISBLANK('RESUMEN VIGILANCIA'!R20),"",'RESUMEN VIGILANCIA'!R20)</f>
        <v>0.8</v>
      </c>
      <c r="T24" s="267">
        <f>IF(ISBLANK('RESUMEN VIGILANCIA'!S20),"",'RESUMEN VIGILANCIA'!S20)</f>
        <v>1.4</v>
      </c>
      <c r="U24" s="267">
        <f>IF(ISBLANK('RESUMEN VIGILANCIA'!T20),"",'RESUMEN VIGILANCIA'!T20)</f>
        <v>1.4</v>
      </c>
      <c r="V24" s="267">
        <f>IF(ISBLANK('RESUMEN VIGILANCIA'!U20),"",'RESUMEN VIGILANCIA'!U20)</f>
        <v>2</v>
      </c>
      <c r="W24" s="267">
        <f>IF(ISBLANK('RESUMEN VIGILANCIA'!V20),"",'RESUMEN VIGILANCIA'!V20)</f>
        <v>6.25</v>
      </c>
      <c r="X24" s="267">
        <f>IF(ISBLANK('RESUMEN VIGILANCIA'!W20),"",'RESUMEN VIGILANCIA'!W20)</f>
        <v>10</v>
      </c>
      <c r="Y24" s="267">
        <f>IF(ISBLANK('RESUMEN VIGILANCIA'!X20),"",'RESUMEN VIGILANCIA'!X20)</f>
        <v>12</v>
      </c>
      <c r="Z24" s="459">
        <f>IF(ISBLANK('RESUMEN VIGILANCIA'!Y20),"",'RESUMEN VIGILANCIA'!Y20)</f>
        <v>160</v>
      </c>
      <c r="AA24" s="458">
        <f>IF(ISBLANK('RESUMEN VIGILANCIA'!Z20),"",'RESUMEN VIGILANCIA'!Z20)</f>
        <v>320</v>
      </c>
      <c r="AB24" s="458">
        <f>IF(ISBLANK('RESUMEN VIGILANCIA'!AA20),"",'RESUMEN VIGILANCIA'!AA20)</f>
        <v>320</v>
      </c>
      <c r="AC24" s="457">
        <f>IF(ISBLANK('RESUMEN VIGILANCIA'!AB20),"",'RESUMEN VIGILANCIA'!AB20)</f>
        <v>800</v>
      </c>
      <c r="AD24" s="381">
        <f>IF(ISBLANK('RESUMEN VIGILANCIA'!AC20),"",'RESUMEN VIGILANCIA'!AC20)</f>
        <v>3000</v>
      </c>
      <c r="AE24" s="382">
        <f>IF(ISBLANK('RESUMEN VIGILANCIA'!AD20),"",'RESUMEN VIGILANCIA'!AD20)</f>
        <v>3000</v>
      </c>
      <c r="AF24" s="382">
        <f>IF(ISBLANK('RESUMEN VIGILANCIA'!AE20),"",'RESUMEN VIGILANCIA'!AE20)</f>
        <v>3000</v>
      </c>
      <c r="AG24" s="382">
        <f>IF(ISBLANK('RESUMEN VIGILANCIA'!AF20),"",'RESUMEN VIGILANCIA'!AF20)</f>
        <v>5000</v>
      </c>
      <c r="AH24" s="382">
        <f>IF(ISBLANK('RESUMEN VIGILANCIA'!AG20),"",'RESUMEN VIGILANCIA'!AG20)</f>
        <v>8000</v>
      </c>
      <c r="AI24" s="382">
        <f>IF(ISBLANK('RESUMEN VIGILANCIA'!AH20),"",'RESUMEN VIGILANCIA'!AH20)</f>
        <v>8000</v>
      </c>
      <c r="AJ24" s="382">
        <f>IF(ISBLANK('RESUMEN VIGILANCIA'!AI20),"",'RESUMEN VIGILANCIA'!AI20)</f>
        <v>10000</v>
      </c>
      <c r="AK24" s="382">
        <f>IF(ISBLANK('RESUMEN VIGILANCIA'!AJ20),"",'RESUMEN VIGILANCIA'!AJ20)</f>
        <v>10000</v>
      </c>
      <c r="AL24" s="382">
        <f>IF(ISBLANK('RESUMEN VIGILANCIA'!AK20),"",'RESUMEN VIGILANCIA'!AK20)</f>
        <v>20500</v>
      </c>
      <c r="AM24" s="374">
        <f>IF(ISBLANK('RESUMEN VIGILANCIA'!AL20),"",'RESUMEN VIGILANCIA'!AL20)</f>
        <v>21100</v>
      </c>
      <c r="AN24" s="374">
        <f>IF(ISBLANK('RESUMEN VIGILANCIA'!AM20),"",'RESUMEN VIGILANCIA'!AM20)</f>
        <v>33750</v>
      </c>
      <c r="AO24" s="375">
        <f>IF(ISBLANK('RESUMEN VIGILANCIA'!AN20),"",'RESUMEN VIGILANCIA'!AN20)</f>
        <v>32700</v>
      </c>
      <c r="AP24" s="373">
        <f>IF(ISBLANK('RESUMEN VIGILANCIA'!AO20),"",'RESUMEN VIGILANCIA'!AO20)</f>
        <v>54500</v>
      </c>
      <c r="AQ24" s="374">
        <f>IF(ISBLANK('RESUMEN VIGILANCIA'!AP20),"",'RESUMEN VIGILANCIA'!AP20)</f>
        <v>60500</v>
      </c>
      <c r="AR24" s="374">
        <f>IF(ISBLANK('RESUMEN VIGILANCIA'!AQ20),"",'RESUMEN VIGILANCIA'!AQ20)</f>
        <v>74975</v>
      </c>
      <c r="AS24" s="374">
        <f>IF(ISBLANK('RESUMEN VIGILANCIA'!AR20),"",'RESUMEN VIGILANCIA'!AR20)</f>
        <v>74975</v>
      </c>
      <c r="AT24" s="374">
        <f>IF(ISBLANK('RESUMEN VIGILANCIA'!AS20),"",'RESUMEN VIGILANCIA'!AS20)</f>
        <v>125000</v>
      </c>
      <c r="AU24" s="374" t="str">
        <f>IF(ISBLANK('RESUMEN VIGILANCIA'!AT20),"",'RESUMEN VIGILANCIA'!AT20)</f>
        <v/>
      </c>
      <c r="AV24" s="374" t="str">
        <f>IF(ISBLANK('RESUMEN VIGILANCIA'!AU20),"",'RESUMEN VIGILANCIA'!AU20)</f>
        <v/>
      </c>
      <c r="AW24" s="374" t="str">
        <f>IF(ISBLANK('RESUMEN VIGILANCIA'!AV20),"",'RESUMEN VIGILANCIA'!AV20)</f>
        <v/>
      </c>
      <c r="AX24" s="374" t="str">
        <f>IF(ISBLANK('RESUMEN VIGILANCIA'!AW20),"",'RESUMEN VIGILANCIA'!AW20)</f>
        <v/>
      </c>
      <c r="AY24" s="374" t="str">
        <f>IF(ISBLANK('RESUMEN VIGILANCIA'!AX20),"",'RESUMEN VIGILANCIA'!AX20)</f>
        <v/>
      </c>
      <c r="AZ24" s="374" t="str">
        <f>IF(ISBLANK('RESUMEN VIGILANCIA'!AY20),"",'RESUMEN VIGILANCIA'!AY20)</f>
        <v/>
      </c>
      <c r="BA24" s="375" t="str">
        <f>IF(ISBLANK('RESUMEN VIGILANCIA'!AZ20),"",'RESUMEN VIGILANCIA'!AZ20)</f>
        <v/>
      </c>
      <c r="BB24" s="241">
        <f t="shared" si="0"/>
        <v>159687.04000000001</v>
      </c>
      <c r="BC24" s="111"/>
      <c r="BD24" s="111"/>
    </row>
    <row r="25" spans="1:56" s="29" customFormat="1" ht="20.100000000000001" customHeight="1">
      <c r="A25" s="37" t="str">
        <f>'RESUMEN VIGILANCIA'!A21</f>
        <v>Doris Valderrama</v>
      </c>
      <c r="B25" s="38" t="str">
        <f>'RESUMEN VIGILANCIA'!B21</f>
        <v>Calle Guacara Nro. 87-15</v>
      </c>
      <c r="C25" s="427"/>
      <c r="D25" s="434" t="s">
        <v>1315</v>
      </c>
      <c r="E25" s="415" t="str">
        <f>IF(ISBLANK('RESUMEN VIGILANCIA'!D21),"",'RESUMEN VIGILANCIA'!D21)</f>
        <v/>
      </c>
      <c r="F25" s="263" t="str">
        <f>IF(ISBLANK('RESUMEN VIGILANCIA'!E21),"",'RESUMEN VIGILANCIA'!E21)</f>
        <v/>
      </c>
      <c r="G25" s="199" t="str">
        <f>IF(ISBLANK('RESUMEN VIGILANCIA'!F21),"",'RESUMEN VIGILANCIA'!F21)</f>
        <v/>
      </c>
      <c r="H25" s="199" t="str">
        <f>IF(ISBLANK('RESUMEN VIGILANCIA'!G21),"",'RESUMEN VIGILANCIA'!G21)</f>
        <v/>
      </c>
      <c r="I25" s="199" t="str">
        <f>IF(ISBLANK('RESUMEN VIGILANCIA'!H21),"",'RESUMEN VIGILANCIA'!H21)</f>
        <v/>
      </c>
      <c r="J25" s="199" t="str">
        <f>IF(ISBLANK('RESUMEN VIGILANCIA'!I21),"",'RESUMEN VIGILANCIA'!I21)</f>
        <v/>
      </c>
      <c r="K25" s="199" t="str">
        <f>IF(ISBLANK('RESUMEN VIGILANCIA'!J21),"",'RESUMEN VIGILANCIA'!J21)</f>
        <v/>
      </c>
      <c r="L25" s="199" t="str">
        <f>IF(ISBLANK('RESUMEN VIGILANCIA'!K21),"",'RESUMEN VIGILANCIA'!K21)</f>
        <v/>
      </c>
      <c r="M25" s="199" t="str">
        <f>IF(ISBLANK('RESUMEN VIGILANCIA'!L21),"",'RESUMEN VIGILANCIA'!L21)</f>
        <v/>
      </c>
      <c r="N25" s="199" t="str">
        <f>IF(ISBLANK('RESUMEN VIGILANCIA'!M21),"",'RESUMEN VIGILANCIA'!M21)</f>
        <v/>
      </c>
      <c r="O25" s="199" t="str">
        <f>IF(ISBLANK('RESUMEN VIGILANCIA'!N21),"",'RESUMEN VIGILANCIA'!N21)</f>
        <v/>
      </c>
      <c r="P25" s="264" t="str">
        <f>IF(ISBLANK('RESUMEN VIGILANCIA'!O21),"",'RESUMEN VIGILANCIA'!O21)</f>
        <v/>
      </c>
      <c r="Q25" s="197" t="str">
        <f>IF(ISBLANK('RESUMEN VIGILANCIA'!P21),"",'RESUMEN VIGILANCIA'!P21)</f>
        <v/>
      </c>
      <c r="R25" s="265" t="str">
        <f>IF(ISBLANK('RESUMEN VIGILANCIA'!Q21),"",'RESUMEN VIGILANCIA'!Q21)</f>
        <v/>
      </c>
      <c r="S25" s="264" t="str">
        <f>IF(ISBLANK('RESUMEN VIGILANCIA'!R21),"",'RESUMEN VIGILANCIA'!R21)</f>
        <v/>
      </c>
      <c r="T25" s="264" t="str">
        <f>IF(ISBLANK('RESUMEN VIGILANCIA'!S21),"",'RESUMEN VIGILANCIA'!S21)</f>
        <v/>
      </c>
      <c r="U25" s="264" t="str">
        <f>IF(ISBLANK('RESUMEN VIGILANCIA'!T21),"",'RESUMEN VIGILANCIA'!T21)</f>
        <v/>
      </c>
      <c r="V25" s="264" t="str">
        <f>IF(ISBLANK('RESUMEN VIGILANCIA'!U21),"",'RESUMEN VIGILANCIA'!U21)</f>
        <v/>
      </c>
      <c r="W25" s="264" t="str">
        <f>IF(ISBLANK('RESUMEN VIGILANCIA'!V21),"",'RESUMEN VIGILANCIA'!V21)</f>
        <v/>
      </c>
      <c r="X25" s="264" t="str">
        <f>IF(ISBLANK('RESUMEN VIGILANCIA'!W21),"",'RESUMEN VIGILANCIA'!W21)</f>
        <v/>
      </c>
      <c r="Y25" s="264" t="str">
        <f>IF(ISBLANK('RESUMEN VIGILANCIA'!X21),"",'RESUMEN VIGILANCIA'!X21)</f>
        <v/>
      </c>
      <c r="Z25" s="453" t="str">
        <f>IF(ISBLANK('RESUMEN VIGILANCIA'!Y21),"",'RESUMEN VIGILANCIA'!Y21)</f>
        <v/>
      </c>
      <c r="AA25" s="453" t="str">
        <f>IF(ISBLANK('RESUMEN VIGILANCIA'!Z21),"",'RESUMEN VIGILANCIA'!Z21)</f>
        <v/>
      </c>
      <c r="AB25" s="453" t="str">
        <f>IF(ISBLANK('RESUMEN VIGILANCIA'!AA21),"",'RESUMEN VIGILANCIA'!AA21)</f>
        <v/>
      </c>
      <c r="AC25" s="454" t="str">
        <f>IF(ISBLANK('RESUMEN VIGILANCIA'!AB21),"",'RESUMEN VIGILANCIA'!AB21)</f>
        <v/>
      </c>
      <c r="AD25" s="384" t="str">
        <f>IF(ISBLANK('RESUMEN VIGILANCIA'!AC21),"",'RESUMEN VIGILANCIA'!AC21)</f>
        <v/>
      </c>
      <c r="AE25" s="385" t="str">
        <f>IF(ISBLANK('RESUMEN VIGILANCIA'!AD21),"",'RESUMEN VIGILANCIA'!AD21)</f>
        <v/>
      </c>
      <c r="AF25" s="385" t="str">
        <f>IF(ISBLANK('RESUMEN VIGILANCIA'!AE21),"",'RESUMEN VIGILANCIA'!AE21)</f>
        <v/>
      </c>
      <c r="AG25" s="385" t="str">
        <f>IF(ISBLANK('RESUMEN VIGILANCIA'!AF21),"",'RESUMEN VIGILANCIA'!AF21)</f>
        <v/>
      </c>
      <c r="AH25" s="385" t="str">
        <f>IF(ISBLANK('RESUMEN VIGILANCIA'!AG21),"",'RESUMEN VIGILANCIA'!AG21)</f>
        <v/>
      </c>
      <c r="AI25" s="385" t="str">
        <f>IF(ISBLANK('RESUMEN VIGILANCIA'!AH21),"",'RESUMEN VIGILANCIA'!AH21)</f>
        <v/>
      </c>
      <c r="AJ25" s="385" t="str">
        <f>IF(ISBLANK('RESUMEN VIGILANCIA'!AI21),"",'RESUMEN VIGILANCIA'!AI21)</f>
        <v/>
      </c>
      <c r="AK25" s="385" t="str">
        <f>IF(ISBLANK('RESUMEN VIGILANCIA'!AJ21),"",'RESUMEN VIGILANCIA'!AJ21)</f>
        <v/>
      </c>
      <c r="AL25" s="385" t="str">
        <f>IF(ISBLANK('RESUMEN VIGILANCIA'!AK21),"",'RESUMEN VIGILANCIA'!AK21)</f>
        <v/>
      </c>
      <c r="AM25" s="385" t="str">
        <f>IF(ISBLANK('RESUMEN VIGILANCIA'!AL21),"",'RESUMEN VIGILANCIA'!AL21)</f>
        <v/>
      </c>
      <c r="AN25" s="385" t="str">
        <f>IF(ISBLANK('RESUMEN VIGILANCIA'!AM21),"",'RESUMEN VIGILANCIA'!AM21)</f>
        <v/>
      </c>
      <c r="AO25" s="386" t="str">
        <f>IF(ISBLANK('RESUMEN VIGILANCIA'!AN21),"",'RESUMEN VIGILANCIA'!AN21)</f>
        <v/>
      </c>
      <c r="AP25" s="384" t="str">
        <f>IF(ISBLANK('RESUMEN VIGILANCIA'!AO21),"",'RESUMEN VIGILANCIA'!AO21)</f>
        <v/>
      </c>
      <c r="AQ25" s="385" t="str">
        <f>IF(ISBLANK('RESUMEN VIGILANCIA'!AP21),"",'RESUMEN VIGILANCIA'!AP21)</f>
        <v/>
      </c>
      <c r="AR25" s="385" t="str">
        <f>IF(ISBLANK('RESUMEN VIGILANCIA'!AQ21),"",'RESUMEN VIGILANCIA'!AQ21)</f>
        <v/>
      </c>
      <c r="AS25" s="385" t="str">
        <f>IF(ISBLANK('RESUMEN VIGILANCIA'!AR21),"",'RESUMEN VIGILANCIA'!AR21)</f>
        <v/>
      </c>
      <c r="AT25" s="385" t="str">
        <f>IF(ISBLANK('RESUMEN VIGILANCIA'!AS21),"",'RESUMEN VIGILANCIA'!AS21)</f>
        <v/>
      </c>
      <c r="AU25" s="385" t="str">
        <f>IF(ISBLANK('RESUMEN VIGILANCIA'!AT21),"",'RESUMEN VIGILANCIA'!AT21)</f>
        <v/>
      </c>
      <c r="AV25" s="385" t="str">
        <f>IF(ISBLANK('RESUMEN VIGILANCIA'!AU21),"",'RESUMEN VIGILANCIA'!AU21)</f>
        <v/>
      </c>
      <c r="AW25" s="385" t="str">
        <f>IF(ISBLANK('RESUMEN VIGILANCIA'!AV21),"",'RESUMEN VIGILANCIA'!AV21)</f>
        <v/>
      </c>
      <c r="AX25" s="385" t="str">
        <f>IF(ISBLANK('RESUMEN VIGILANCIA'!AW21),"",'RESUMEN VIGILANCIA'!AW21)</f>
        <v/>
      </c>
      <c r="AY25" s="385" t="str">
        <f>IF(ISBLANK('RESUMEN VIGILANCIA'!AX21),"",'RESUMEN VIGILANCIA'!AX21)</f>
        <v/>
      </c>
      <c r="AZ25" s="385" t="str">
        <f>IF(ISBLANK('RESUMEN VIGILANCIA'!AY21),"",'RESUMEN VIGILANCIA'!AY21)</f>
        <v/>
      </c>
      <c r="BA25" s="386" t="str">
        <f>IF(ISBLANK('RESUMEN VIGILANCIA'!AZ21),"",'RESUMEN VIGILANCIA'!AZ21)</f>
        <v/>
      </c>
      <c r="BB25" s="243">
        <f t="shared" si="0"/>
        <v>0</v>
      </c>
      <c r="BC25" s="110"/>
      <c r="BD25" s="110"/>
    </row>
    <row r="26" spans="1:56" s="29" customFormat="1" ht="20.100000000000001" customHeight="1">
      <c r="A26" s="37" t="str">
        <f>'RESUMEN VIGILANCIA'!A22</f>
        <v>Familia Delgado</v>
      </c>
      <c r="B26" s="38" t="str">
        <f>'RESUMEN VIGILANCIA'!B22</f>
        <v>Calle Guacara Nro. 87-19</v>
      </c>
      <c r="C26" s="427"/>
      <c r="D26" s="434" t="s">
        <v>1315</v>
      </c>
      <c r="E26" s="415" t="str">
        <f>IF(ISBLANK('RESUMEN VIGILANCIA'!D22),"",'RESUMEN VIGILANCIA'!D22)</f>
        <v/>
      </c>
      <c r="F26" s="263" t="str">
        <f>IF(ISBLANK('RESUMEN VIGILANCIA'!E22),"",'RESUMEN VIGILANCIA'!E22)</f>
        <v/>
      </c>
      <c r="G26" s="199" t="str">
        <f>IF(ISBLANK('RESUMEN VIGILANCIA'!F22),"",'RESUMEN VIGILANCIA'!F22)</f>
        <v/>
      </c>
      <c r="H26" s="199" t="str">
        <f>IF(ISBLANK('RESUMEN VIGILANCIA'!G22),"",'RESUMEN VIGILANCIA'!G22)</f>
        <v/>
      </c>
      <c r="I26" s="199" t="str">
        <f>IF(ISBLANK('RESUMEN VIGILANCIA'!H22),"",'RESUMEN VIGILANCIA'!H22)</f>
        <v/>
      </c>
      <c r="J26" s="199" t="str">
        <f>IF(ISBLANK('RESUMEN VIGILANCIA'!I22),"",'RESUMEN VIGILANCIA'!I22)</f>
        <v/>
      </c>
      <c r="K26" s="199" t="str">
        <f>IF(ISBLANK('RESUMEN VIGILANCIA'!J22),"",'RESUMEN VIGILANCIA'!J22)</f>
        <v/>
      </c>
      <c r="L26" s="199" t="str">
        <f>IF(ISBLANK('RESUMEN VIGILANCIA'!K22),"",'RESUMEN VIGILANCIA'!K22)</f>
        <v/>
      </c>
      <c r="M26" s="199" t="str">
        <f>IF(ISBLANK('RESUMEN VIGILANCIA'!L22),"",'RESUMEN VIGILANCIA'!L22)</f>
        <v/>
      </c>
      <c r="N26" s="199" t="str">
        <f>IF(ISBLANK('RESUMEN VIGILANCIA'!M22),"",'RESUMEN VIGILANCIA'!M22)</f>
        <v/>
      </c>
      <c r="O26" s="199" t="str">
        <f>IF(ISBLANK('RESUMEN VIGILANCIA'!N22),"",'RESUMEN VIGILANCIA'!N22)</f>
        <v/>
      </c>
      <c r="P26" s="264" t="str">
        <f>IF(ISBLANK('RESUMEN VIGILANCIA'!O22),"",'RESUMEN VIGILANCIA'!O22)</f>
        <v/>
      </c>
      <c r="Q26" s="197" t="str">
        <f>IF(ISBLANK('RESUMEN VIGILANCIA'!P22),"",'RESUMEN VIGILANCIA'!P22)</f>
        <v/>
      </c>
      <c r="R26" s="265" t="str">
        <f>IF(ISBLANK('RESUMEN VIGILANCIA'!Q22),"",'RESUMEN VIGILANCIA'!Q22)</f>
        <v/>
      </c>
      <c r="S26" s="264" t="str">
        <f>IF(ISBLANK('RESUMEN VIGILANCIA'!R22),"",'RESUMEN VIGILANCIA'!R22)</f>
        <v/>
      </c>
      <c r="T26" s="264" t="str">
        <f>IF(ISBLANK('RESUMEN VIGILANCIA'!S22),"",'RESUMEN VIGILANCIA'!S22)</f>
        <v/>
      </c>
      <c r="U26" s="264" t="str">
        <f>IF(ISBLANK('RESUMEN VIGILANCIA'!T22),"",'RESUMEN VIGILANCIA'!T22)</f>
        <v/>
      </c>
      <c r="V26" s="264" t="str">
        <f>IF(ISBLANK('RESUMEN VIGILANCIA'!U22),"",'RESUMEN VIGILANCIA'!U22)</f>
        <v/>
      </c>
      <c r="W26" s="264" t="str">
        <f>IF(ISBLANK('RESUMEN VIGILANCIA'!V22),"",'RESUMEN VIGILANCIA'!V22)</f>
        <v/>
      </c>
      <c r="X26" s="264" t="str">
        <f>IF(ISBLANK('RESUMEN VIGILANCIA'!W22),"",'RESUMEN VIGILANCIA'!W22)</f>
        <v/>
      </c>
      <c r="Y26" s="264" t="str">
        <f>IF(ISBLANK('RESUMEN VIGILANCIA'!X22),"",'RESUMEN VIGILANCIA'!X22)</f>
        <v/>
      </c>
      <c r="Z26" s="453" t="str">
        <f>IF(ISBLANK('RESUMEN VIGILANCIA'!Y22),"",'RESUMEN VIGILANCIA'!Y22)</f>
        <v/>
      </c>
      <c r="AA26" s="453" t="str">
        <f>IF(ISBLANK('RESUMEN VIGILANCIA'!Z22),"",'RESUMEN VIGILANCIA'!Z22)</f>
        <v/>
      </c>
      <c r="AB26" s="453" t="str">
        <f>IF(ISBLANK('RESUMEN VIGILANCIA'!AA22),"",'RESUMEN VIGILANCIA'!AA22)</f>
        <v/>
      </c>
      <c r="AC26" s="454" t="str">
        <f>IF(ISBLANK('RESUMEN VIGILANCIA'!AB22),"",'RESUMEN VIGILANCIA'!AB22)</f>
        <v/>
      </c>
      <c r="AD26" s="384" t="str">
        <f>IF(ISBLANK('RESUMEN VIGILANCIA'!AC22),"",'RESUMEN VIGILANCIA'!AC22)</f>
        <v/>
      </c>
      <c r="AE26" s="385" t="str">
        <f>IF(ISBLANK('RESUMEN VIGILANCIA'!AD22),"",'RESUMEN VIGILANCIA'!AD22)</f>
        <v/>
      </c>
      <c r="AF26" s="385" t="str">
        <f>IF(ISBLANK('RESUMEN VIGILANCIA'!AE22),"",'RESUMEN VIGILANCIA'!AE22)</f>
        <v/>
      </c>
      <c r="AG26" s="385" t="str">
        <f>IF(ISBLANK('RESUMEN VIGILANCIA'!AF22),"",'RESUMEN VIGILANCIA'!AF22)</f>
        <v/>
      </c>
      <c r="AH26" s="385" t="str">
        <f>IF(ISBLANK('RESUMEN VIGILANCIA'!AG22),"",'RESUMEN VIGILANCIA'!AG22)</f>
        <v/>
      </c>
      <c r="AI26" s="385" t="str">
        <f>IF(ISBLANK('RESUMEN VIGILANCIA'!AH22),"",'RESUMEN VIGILANCIA'!AH22)</f>
        <v/>
      </c>
      <c r="AJ26" s="385" t="str">
        <f>IF(ISBLANK('RESUMEN VIGILANCIA'!AI22),"",'RESUMEN VIGILANCIA'!AI22)</f>
        <v/>
      </c>
      <c r="AK26" s="385" t="str">
        <f>IF(ISBLANK('RESUMEN VIGILANCIA'!AJ22),"",'RESUMEN VIGILANCIA'!AJ22)</f>
        <v/>
      </c>
      <c r="AL26" s="385" t="str">
        <f>IF(ISBLANK('RESUMEN VIGILANCIA'!AK22),"",'RESUMEN VIGILANCIA'!AK22)</f>
        <v/>
      </c>
      <c r="AM26" s="385" t="str">
        <f>IF(ISBLANK('RESUMEN VIGILANCIA'!AL22),"",'RESUMEN VIGILANCIA'!AL22)</f>
        <v/>
      </c>
      <c r="AN26" s="385" t="str">
        <f>IF(ISBLANK('RESUMEN VIGILANCIA'!AM22),"",'RESUMEN VIGILANCIA'!AM22)</f>
        <v/>
      </c>
      <c r="AO26" s="386" t="str">
        <f>IF(ISBLANK('RESUMEN VIGILANCIA'!AN22),"",'RESUMEN VIGILANCIA'!AN22)</f>
        <v/>
      </c>
      <c r="AP26" s="384" t="str">
        <f>IF(ISBLANK('RESUMEN VIGILANCIA'!AO22),"",'RESUMEN VIGILANCIA'!AO22)</f>
        <v/>
      </c>
      <c r="AQ26" s="385" t="str">
        <f>IF(ISBLANK('RESUMEN VIGILANCIA'!AP22),"",'RESUMEN VIGILANCIA'!AP22)</f>
        <v/>
      </c>
      <c r="AR26" s="385" t="str">
        <f>IF(ISBLANK('RESUMEN VIGILANCIA'!AQ22),"",'RESUMEN VIGILANCIA'!AQ22)</f>
        <v/>
      </c>
      <c r="AS26" s="385" t="str">
        <f>IF(ISBLANK('RESUMEN VIGILANCIA'!AR22),"",'RESUMEN VIGILANCIA'!AR22)</f>
        <v/>
      </c>
      <c r="AT26" s="385" t="str">
        <f>IF(ISBLANK('RESUMEN VIGILANCIA'!AS22),"",'RESUMEN VIGILANCIA'!AS22)</f>
        <v/>
      </c>
      <c r="AU26" s="385" t="str">
        <f>IF(ISBLANK('RESUMEN VIGILANCIA'!AT22),"",'RESUMEN VIGILANCIA'!AT22)</f>
        <v/>
      </c>
      <c r="AV26" s="385" t="str">
        <f>IF(ISBLANK('RESUMEN VIGILANCIA'!AU22),"",'RESUMEN VIGILANCIA'!AU22)</f>
        <v/>
      </c>
      <c r="AW26" s="385" t="str">
        <f>IF(ISBLANK('RESUMEN VIGILANCIA'!AV22),"",'RESUMEN VIGILANCIA'!AV22)</f>
        <v/>
      </c>
      <c r="AX26" s="385" t="str">
        <f>IF(ISBLANK('RESUMEN VIGILANCIA'!AW22),"",'RESUMEN VIGILANCIA'!AW22)</f>
        <v/>
      </c>
      <c r="AY26" s="385" t="str">
        <f>IF(ISBLANK('RESUMEN VIGILANCIA'!AX22),"",'RESUMEN VIGILANCIA'!AX22)</f>
        <v/>
      </c>
      <c r="AZ26" s="385" t="str">
        <f>IF(ISBLANK('RESUMEN VIGILANCIA'!AY22),"",'RESUMEN VIGILANCIA'!AY22)</f>
        <v/>
      </c>
      <c r="BA26" s="386" t="str">
        <f>IF(ISBLANK('RESUMEN VIGILANCIA'!AZ22),"",'RESUMEN VIGILANCIA'!AZ22)</f>
        <v/>
      </c>
      <c r="BB26" s="243">
        <f t="shared" si="0"/>
        <v>0</v>
      </c>
      <c r="BC26" s="110"/>
      <c r="BD26" s="110"/>
    </row>
    <row r="27" spans="1:56" s="29" customFormat="1" ht="20.100000000000001" customHeight="1">
      <c r="A27" s="37" t="str">
        <f>'RESUMEN VIGILANCIA'!A23</f>
        <v>Familia Pereira</v>
      </c>
      <c r="B27" s="38" t="str">
        <f>'RESUMEN VIGILANCIA'!B23</f>
        <v>Calle Guacara Nro. 87-27</v>
      </c>
      <c r="C27" s="427"/>
      <c r="D27" s="434" t="s">
        <v>1315</v>
      </c>
      <c r="E27" s="415" t="str">
        <f>IF(ISBLANK('RESUMEN VIGILANCIA'!D23),"",'RESUMEN VIGILANCIA'!D23)</f>
        <v/>
      </c>
      <c r="F27" s="263" t="str">
        <f>IF(ISBLANK('RESUMEN VIGILANCIA'!E23),"",'RESUMEN VIGILANCIA'!E23)</f>
        <v/>
      </c>
      <c r="G27" s="199" t="str">
        <f>IF(ISBLANK('RESUMEN VIGILANCIA'!F23),"",'RESUMEN VIGILANCIA'!F23)</f>
        <v/>
      </c>
      <c r="H27" s="199" t="str">
        <f>IF(ISBLANK('RESUMEN VIGILANCIA'!G23),"",'RESUMEN VIGILANCIA'!G23)</f>
        <v/>
      </c>
      <c r="I27" s="199" t="str">
        <f>IF(ISBLANK('RESUMEN VIGILANCIA'!H23),"",'RESUMEN VIGILANCIA'!H23)</f>
        <v/>
      </c>
      <c r="J27" s="199" t="str">
        <f>IF(ISBLANK('RESUMEN VIGILANCIA'!I23),"",'RESUMEN VIGILANCIA'!I23)</f>
        <v/>
      </c>
      <c r="K27" s="199" t="str">
        <f>IF(ISBLANK('RESUMEN VIGILANCIA'!J23),"",'RESUMEN VIGILANCIA'!J23)</f>
        <v/>
      </c>
      <c r="L27" s="199" t="str">
        <f>IF(ISBLANK('RESUMEN VIGILANCIA'!K23),"",'RESUMEN VIGILANCIA'!K23)</f>
        <v/>
      </c>
      <c r="M27" s="199" t="str">
        <f>IF(ISBLANK('RESUMEN VIGILANCIA'!L23),"",'RESUMEN VIGILANCIA'!L23)</f>
        <v/>
      </c>
      <c r="N27" s="199" t="str">
        <f>IF(ISBLANK('RESUMEN VIGILANCIA'!M23),"",'RESUMEN VIGILANCIA'!M23)</f>
        <v/>
      </c>
      <c r="O27" s="199" t="str">
        <f>IF(ISBLANK('RESUMEN VIGILANCIA'!N23),"",'RESUMEN VIGILANCIA'!N23)</f>
        <v/>
      </c>
      <c r="P27" s="264" t="str">
        <f>IF(ISBLANK('RESUMEN VIGILANCIA'!O23),"",'RESUMEN VIGILANCIA'!O23)</f>
        <v/>
      </c>
      <c r="Q27" s="197" t="str">
        <f>IF(ISBLANK('RESUMEN VIGILANCIA'!P23),"",'RESUMEN VIGILANCIA'!P23)</f>
        <v/>
      </c>
      <c r="R27" s="265" t="str">
        <f>IF(ISBLANK('RESUMEN VIGILANCIA'!Q23),"",'RESUMEN VIGILANCIA'!Q23)</f>
        <v/>
      </c>
      <c r="S27" s="264" t="str">
        <f>IF(ISBLANK('RESUMEN VIGILANCIA'!R23),"",'RESUMEN VIGILANCIA'!R23)</f>
        <v/>
      </c>
      <c r="T27" s="264" t="str">
        <f>IF(ISBLANK('RESUMEN VIGILANCIA'!S23),"",'RESUMEN VIGILANCIA'!S23)</f>
        <v/>
      </c>
      <c r="U27" s="264" t="str">
        <f>IF(ISBLANK('RESUMEN VIGILANCIA'!T23),"",'RESUMEN VIGILANCIA'!T23)</f>
        <v/>
      </c>
      <c r="V27" s="264" t="str">
        <f>IF(ISBLANK('RESUMEN VIGILANCIA'!U23),"",'RESUMEN VIGILANCIA'!U23)</f>
        <v/>
      </c>
      <c r="W27" s="264" t="str">
        <f>IF(ISBLANK('RESUMEN VIGILANCIA'!V23),"",'RESUMEN VIGILANCIA'!V23)</f>
        <v/>
      </c>
      <c r="X27" s="264" t="str">
        <f>IF(ISBLANK('RESUMEN VIGILANCIA'!W23),"",'RESUMEN VIGILANCIA'!W23)</f>
        <v/>
      </c>
      <c r="Y27" s="264" t="str">
        <f>IF(ISBLANK('RESUMEN VIGILANCIA'!X23),"",'RESUMEN VIGILANCIA'!X23)</f>
        <v/>
      </c>
      <c r="Z27" s="453" t="str">
        <f>IF(ISBLANK('RESUMEN VIGILANCIA'!Y23),"",'RESUMEN VIGILANCIA'!Y23)</f>
        <v/>
      </c>
      <c r="AA27" s="453" t="str">
        <f>IF(ISBLANK('RESUMEN VIGILANCIA'!Z23),"",'RESUMEN VIGILANCIA'!Z23)</f>
        <v/>
      </c>
      <c r="AB27" s="453" t="str">
        <f>IF(ISBLANK('RESUMEN VIGILANCIA'!AA23),"",'RESUMEN VIGILANCIA'!AA23)</f>
        <v/>
      </c>
      <c r="AC27" s="454" t="str">
        <f>IF(ISBLANK('RESUMEN VIGILANCIA'!AB23),"",'RESUMEN VIGILANCIA'!AB23)</f>
        <v/>
      </c>
      <c r="AD27" s="384" t="str">
        <f>IF(ISBLANK('RESUMEN VIGILANCIA'!AC23),"",'RESUMEN VIGILANCIA'!AC23)</f>
        <v/>
      </c>
      <c r="AE27" s="385" t="str">
        <f>IF(ISBLANK('RESUMEN VIGILANCIA'!AD23),"",'RESUMEN VIGILANCIA'!AD23)</f>
        <v/>
      </c>
      <c r="AF27" s="385" t="str">
        <f>IF(ISBLANK('RESUMEN VIGILANCIA'!AE23),"",'RESUMEN VIGILANCIA'!AE23)</f>
        <v/>
      </c>
      <c r="AG27" s="385" t="str">
        <f>IF(ISBLANK('RESUMEN VIGILANCIA'!AF23),"",'RESUMEN VIGILANCIA'!AF23)</f>
        <v/>
      </c>
      <c r="AH27" s="385" t="str">
        <f>IF(ISBLANK('RESUMEN VIGILANCIA'!AG23),"",'RESUMEN VIGILANCIA'!AG23)</f>
        <v/>
      </c>
      <c r="AI27" s="385" t="str">
        <f>IF(ISBLANK('RESUMEN VIGILANCIA'!AH23),"",'RESUMEN VIGILANCIA'!AH23)</f>
        <v/>
      </c>
      <c r="AJ27" s="385" t="str">
        <f>IF(ISBLANK('RESUMEN VIGILANCIA'!AI23),"",'RESUMEN VIGILANCIA'!AI23)</f>
        <v/>
      </c>
      <c r="AK27" s="385" t="str">
        <f>IF(ISBLANK('RESUMEN VIGILANCIA'!AJ23),"",'RESUMEN VIGILANCIA'!AJ23)</f>
        <v/>
      </c>
      <c r="AL27" s="385" t="str">
        <f>IF(ISBLANK('RESUMEN VIGILANCIA'!AK23),"",'RESUMEN VIGILANCIA'!AK23)</f>
        <v/>
      </c>
      <c r="AM27" s="385" t="str">
        <f>IF(ISBLANK('RESUMEN VIGILANCIA'!AL23),"",'RESUMEN VIGILANCIA'!AL23)</f>
        <v/>
      </c>
      <c r="AN27" s="385" t="str">
        <f>IF(ISBLANK('RESUMEN VIGILANCIA'!AM23),"",'RESUMEN VIGILANCIA'!AM23)</f>
        <v/>
      </c>
      <c r="AO27" s="386" t="str">
        <f>IF(ISBLANK('RESUMEN VIGILANCIA'!AN23),"",'RESUMEN VIGILANCIA'!AN23)</f>
        <v/>
      </c>
      <c r="AP27" s="384" t="str">
        <f>IF(ISBLANK('RESUMEN VIGILANCIA'!AO23),"",'RESUMEN VIGILANCIA'!AO23)</f>
        <v/>
      </c>
      <c r="AQ27" s="385" t="str">
        <f>IF(ISBLANK('RESUMEN VIGILANCIA'!AP23),"",'RESUMEN VIGILANCIA'!AP23)</f>
        <v/>
      </c>
      <c r="AR27" s="385" t="str">
        <f>IF(ISBLANK('RESUMEN VIGILANCIA'!AQ23),"",'RESUMEN VIGILANCIA'!AQ23)</f>
        <v/>
      </c>
      <c r="AS27" s="385" t="str">
        <f>IF(ISBLANK('RESUMEN VIGILANCIA'!AR23),"",'RESUMEN VIGILANCIA'!AR23)</f>
        <v/>
      </c>
      <c r="AT27" s="385" t="str">
        <f>IF(ISBLANK('RESUMEN VIGILANCIA'!AS23),"",'RESUMEN VIGILANCIA'!AS23)</f>
        <v/>
      </c>
      <c r="AU27" s="385" t="str">
        <f>IF(ISBLANK('RESUMEN VIGILANCIA'!AT23),"",'RESUMEN VIGILANCIA'!AT23)</f>
        <v/>
      </c>
      <c r="AV27" s="385" t="str">
        <f>IF(ISBLANK('RESUMEN VIGILANCIA'!AU23),"",'RESUMEN VIGILANCIA'!AU23)</f>
        <v/>
      </c>
      <c r="AW27" s="385" t="str">
        <f>IF(ISBLANK('RESUMEN VIGILANCIA'!AV23),"",'RESUMEN VIGILANCIA'!AV23)</f>
        <v/>
      </c>
      <c r="AX27" s="385" t="str">
        <f>IF(ISBLANK('RESUMEN VIGILANCIA'!AW23),"",'RESUMEN VIGILANCIA'!AW23)</f>
        <v/>
      </c>
      <c r="AY27" s="385" t="str">
        <f>IF(ISBLANK('RESUMEN VIGILANCIA'!AX23),"",'RESUMEN VIGILANCIA'!AX23)</f>
        <v/>
      </c>
      <c r="AZ27" s="385" t="str">
        <f>IF(ISBLANK('RESUMEN VIGILANCIA'!AY23),"",'RESUMEN VIGILANCIA'!AY23)</f>
        <v/>
      </c>
      <c r="BA27" s="386" t="str">
        <f>IF(ISBLANK('RESUMEN VIGILANCIA'!AZ23),"",'RESUMEN VIGILANCIA'!AZ23)</f>
        <v/>
      </c>
      <c r="BB27" s="243">
        <f t="shared" si="0"/>
        <v>0</v>
      </c>
      <c r="BC27" s="110"/>
      <c r="BD27" s="110"/>
    </row>
    <row r="28" spans="1:56" s="29" customFormat="1" ht="20.100000000000001" customHeight="1">
      <c r="A28" s="37" t="str">
        <f>'RESUMEN VIGILANCIA'!A25</f>
        <v>Familia Morillo</v>
      </c>
      <c r="B28" s="38" t="str">
        <f>'RESUMEN VIGILANCIA'!B25</f>
        <v>Calle Guacara Nro. 87-35</v>
      </c>
      <c r="C28" s="427"/>
      <c r="D28" s="434" t="s">
        <v>1315</v>
      </c>
      <c r="E28" s="415" t="str">
        <f>IF(ISBLANK('RESUMEN VIGILANCIA'!D25),"",'RESUMEN VIGILANCIA'!D25)</f>
        <v/>
      </c>
      <c r="F28" s="263" t="str">
        <f>IF(ISBLANK('RESUMEN VIGILANCIA'!E25),"",'RESUMEN VIGILANCIA'!E25)</f>
        <v/>
      </c>
      <c r="G28" s="199" t="str">
        <f>IF(ISBLANK('RESUMEN VIGILANCIA'!F25),"",'RESUMEN VIGILANCIA'!F25)</f>
        <v/>
      </c>
      <c r="H28" s="199" t="str">
        <f>IF(ISBLANK('RESUMEN VIGILANCIA'!G25),"",'RESUMEN VIGILANCIA'!G25)</f>
        <v/>
      </c>
      <c r="I28" s="199" t="str">
        <f>IF(ISBLANK('RESUMEN VIGILANCIA'!H25),"",'RESUMEN VIGILANCIA'!H25)</f>
        <v/>
      </c>
      <c r="J28" s="199" t="str">
        <f>IF(ISBLANK('RESUMEN VIGILANCIA'!I25),"",'RESUMEN VIGILANCIA'!I25)</f>
        <v/>
      </c>
      <c r="K28" s="199" t="str">
        <f>IF(ISBLANK('RESUMEN VIGILANCIA'!J25),"",'RESUMEN VIGILANCIA'!J25)</f>
        <v/>
      </c>
      <c r="L28" s="199" t="str">
        <f>IF(ISBLANK('RESUMEN VIGILANCIA'!K25),"",'RESUMEN VIGILANCIA'!K25)</f>
        <v/>
      </c>
      <c r="M28" s="199" t="str">
        <f>IF(ISBLANK('RESUMEN VIGILANCIA'!L25),"",'RESUMEN VIGILANCIA'!L25)</f>
        <v/>
      </c>
      <c r="N28" s="199" t="str">
        <f>IF(ISBLANK('RESUMEN VIGILANCIA'!M25),"",'RESUMEN VIGILANCIA'!M25)</f>
        <v/>
      </c>
      <c r="O28" s="199" t="str">
        <f>IF(ISBLANK('RESUMEN VIGILANCIA'!N25),"",'RESUMEN VIGILANCIA'!N25)</f>
        <v/>
      </c>
      <c r="P28" s="264" t="str">
        <f>IF(ISBLANK('RESUMEN VIGILANCIA'!O25),"",'RESUMEN VIGILANCIA'!O25)</f>
        <v/>
      </c>
      <c r="Q28" s="197" t="str">
        <f>IF(ISBLANK('RESUMEN VIGILANCIA'!P25),"",'RESUMEN VIGILANCIA'!P25)</f>
        <v/>
      </c>
      <c r="R28" s="265" t="str">
        <f>IF(ISBLANK('RESUMEN VIGILANCIA'!Q25),"",'RESUMEN VIGILANCIA'!Q25)</f>
        <v/>
      </c>
      <c r="S28" s="264" t="str">
        <f>IF(ISBLANK('RESUMEN VIGILANCIA'!R25),"",'RESUMEN VIGILANCIA'!R25)</f>
        <v/>
      </c>
      <c r="T28" s="264" t="str">
        <f>IF(ISBLANK('RESUMEN VIGILANCIA'!S25),"",'RESUMEN VIGILANCIA'!S25)</f>
        <v/>
      </c>
      <c r="U28" s="264" t="str">
        <f>IF(ISBLANK('RESUMEN VIGILANCIA'!T25),"",'RESUMEN VIGILANCIA'!T25)</f>
        <v/>
      </c>
      <c r="V28" s="264" t="str">
        <f>IF(ISBLANK('RESUMEN VIGILANCIA'!U25),"",'RESUMEN VIGILANCIA'!U25)</f>
        <v/>
      </c>
      <c r="W28" s="264" t="str">
        <f>IF(ISBLANK('RESUMEN VIGILANCIA'!V25),"",'RESUMEN VIGILANCIA'!V25)</f>
        <v/>
      </c>
      <c r="X28" s="264" t="str">
        <f>IF(ISBLANK('RESUMEN VIGILANCIA'!W25),"",'RESUMEN VIGILANCIA'!W25)</f>
        <v/>
      </c>
      <c r="Y28" s="264" t="str">
        <f>IF(ISBLANK('RESUMEN VIGILANCIA'!X25),"",'RESUMEN VIGILANCIA'!X25)</f>
        <v/>
      </c>
      <c r="Z28" s="453" t="str">
        <f>IF(ISBLANK('RESUMEN VIGILANCIA'!Y25),"",'RESUMEN VIGILANCIA'!Y25)</f>
        <v/>
      </c>
      <c r="AA28" s="453" t="str">
        <f>IF(ISBLANK('RESUMEN VIGILANCIA'!Z25),"",'RESUMEN VIGILANCIA'!Z25)</f>
        <v/>
      </c>
      <c r="AB28" s="453" t="str">
        <f>IF(ISBLANK('RESUMEN VIGILANCIA'!AA25),"",'RESUMEN VIGILANCIA'!AA25)</f>
        <v/>
      </c>
      <c r="AC28" s="454" t="str">
        <f>IF(ISBLANK('RESUMEN VIGILANCIA'!AB25),"",'RESUMEN VIGILANCIA'!AB25)</f>
        <v/>
      </c>
      <c r="AD28" s="384" t="str">
        <f>IF(ISBLANK('RESUMEN VIGILANCIA'!AC25),"",'RESUMEN VIGILANCIA'!AC25)</f>
        <v/>
      </c>
      <c r="AE28" s="385" t="str">
        <f>IF(ISBLANK('RESUMEN VIGILANCIA'!AD25),"",'RESUMEN VIGILANCIA'!AD25)</f>
        <v/>
      </c>
      <c r="AF28" s="385" t="str">
        <f>IF(ISBLANK('RESUMEN VIGILANCIA'!AE25),"",'RESUMEN VIGILANCIA'!AE25)</f>
        <v/>
      </c>
      <c r="AG28" s="385" t="str">
        <f>IF(ISBLANK('RESUMEN VIGILANCIA'!AF25),"",'RESUMEN VIGILANCIA'!AF25)</f>
        <v/>
      </c>
      <c r="AH28" s="385" t="str">
        <f>IF(ISBLANK('RESUMEN VIGILANCIA'!AG25),"",'RESUMEN VIGILANCIA'!AG25)</f>
        <v/>
      </c>
      <c r="AI28" s="385" t="str">
        <f>IF(ISBLANK('RESUMEN VIGILANCIA'!AH25),"",'RESUMEN VIGILANCIA'!AH25)</f>
        <v/>
      </c>
      <c r="AJ28" s="385" t="str">
        <f>IF(ISBLANK('RESUMEN VIGILANCIA'!AI25),"",'RESUMEN VIGILANCIA'!AI25)</f>
        <v/>
      </c>
      <c r="AK28" s="385" t="str">
        <f>IF(ISBLANK('RESUMEN VIGILANCIA'!AJ25),"",'RESUMEN VIGILANCIA'!AJ25)</f>
        <v/>
      </c>
      <c r="AL28" s="385" t="str">
        <f>IF(ISBLANK('RESUMEN VIGILANCIA'!AK25),"",'RESUMEN VIGILANCIA'!AK25)</f>
        <v/>
      </c>
      <c r="AM28" s="385" t="str">
        <f>IF(ISBLANK('RESUMEN VIGILANCIA'!AL25),"",'RESUMEN VIGILANCIA'!AL25)</f>
        <v/>
      </c>
      <c r="AN28" s="385" t="str">
        <f>IF(ISBLANK('RESUMEN VIGILANCIA'!AM25),"",'RESUMEN VIGILANCIA'!AM25)</f>
        <v/>
      </c>
      <c r="AO28" s="386" t="str">
        <f>IF(ISBLANK('RESUMEN VIGILANCIA'!AN25),"",'RESUMEN VIGILANCIA'!AN25)</f>
        <v/>
      </c>
      <c r="AP28" s="384" t="str">
        <f>IF(ISBLANK('RESUMEN VIGILANCIA'!AO25),"",'RESUMEN VIGILANCIA'!AO25)</f>
        <v/>
      </c>
      <c r="AQ28" s="385" t="str">
        <f>IF(ISBLANK('RESUMEN VIGILANCIA'!AP25),"",'RESUMEN VIGILANCIA'!AP25)</f>
        <v/>
      </c>
      <c r="AR28" s="385" t="str">
        <f>IF(ISBLANK('RESUMEN VIGILANCIA'!AQ25),"",'RESUMEN VIGILANCIA'!AQ25)</f>
        <v/>
      </c>
      <c r="AS28" s="385" t="str">
        <f>IF(ISBLANK('RESUMEN VIGILANCIA'!AR25),"",'RESUMEN VIGILANCIA'!AR25)</f>
        <v/>
      </c>
      <c r="AT28" s="385" t="str">
        <f>IF(ISBLANK('RESUMEN VIGILANCIA'!AS25),"",'RESUMEN VIGILANCIA'!AS25)</f>
        <v/>
      </c>
      <c r="AU28" s="385" t="str">
        <f>IF(ISBLANK('RESUMEN VIGILANCIA'!AT25),"",'RESUMEN VIGILANCIA'!AT25)</f>
        <v/>
      </c>
      <c r="AV28" s="385" t="str">
        <f>IF(ISBLANK('RESUMEN VIGILANCIA'!AU25),"",'RESUMEN VIGILANCIA'!AU25)</f>
        <v/>
      </c>
      <c r="AW28" s="385" t="str">
        <f>IF(ISBLANK('RESUMEN VIGILANCIA'!AV25),"",'RESUMEN VIGILANCIA'!AV25)</f>
        <v/>
      </c>
      <c r="AX28" s="385" t="str">
        <f>IF(ISBLANK('RESUMEN VIGILANCIA'!AW25),"",'RESUMEN VIGILANCIA'!AW25)</f>
        <v/>
      </c>
      <c r="AY28" s="385" t="str">
        <f>IF(ISBLANK('RESUMEN VIGILANCIA'!AX25),"",'RESUMEN VIGILANCIA'!AX25)</f>
        <v/>
      </c>
      <c r="AZ28" s="385" t="str">
        <f>IF(ISBLANK('RESUMEN VIGILANCIA'!AY25),"",'RESUMEN VIGILANCIA'!AY25)</f>
        <v/>
      </c>
      <c r="BA28" s="386" t="str">
        <f>IF(ISBLANK('RESUMEN VIGILANCIA'!AZ25),"",'RESUMEN VIGILANCIA'!AZ25)</f>
        <v/>
      </c>
      <c r="BB28" s="243">
        <f t="shared" si="0"/>
        <v>0</v>
      </c>
      <c r="BC28" s="110"/>
      <c r="BD28" s="110"/>
    </row>
    <row r="29" spans="1:56" s="29" customFormat="1" ht="20.100000000000001" customHeight="1">
      <c r="A29" s="37" t="str">
        <f>'RESUMEN VIGILANCIA'!A29</f>
        <v>Familia De Sousa Pereira</v>
      </c>
      <c r="B29" s="38" t="str">
        <f>'RESUMEN VIGILANCIA'!B29</f>
        <v>Calle Guacara Nro. 87-65</v>
      </c>
      <c r="C29" s="427"/>
      <c r="D29" s="434" t="s">
        <v>1315</v>
      </c>
      <c r="E29" s="415" t="str">
        <f>IF(ISBLANK('RESUMEN VIGILANCIA'!D29),"",'RESUMEN VIGILANCIA'!D29)</f>
        <v/>
      </c>
      <c r="F29" s="263" t="str">
        <f>IF(ISBLANK('RESUMEN VIGILANCIA'!E29),"",'RESUMEN VIGILANCIA'!E29)</f>
        <v/>
      </c>
      <c r="G29" s="199" t="str">
        <f>IF(ISBLANK('RESUMEN VIGILANCIA'!F29),"",'RESUMEN VIGILANCIA'!F29)</f>
        <v/>
      </c>
      <c r="H29" s="199" t="str">
        <f>IF(ISBLANK('RESUMEN VIGILANCIA'!G29),"",'RESUMEN VIGILANCIA'!G29)</f>
        <v/>
      </c>
      <c r="I29" s="199" t="str">
        <f>IF(ISBLANK('RESUMEN VIGILANCIA'!H29),"",'RESUMEN VIGILANCIA'!H29)</f>
        <v/>
      </c>
      <c r="J29" s="199" t="str">
        <f>IF(ISBLANK('RESUMEN VIGILANCIA'!I29),"",'RESUMEN VIGILANCIA'!I29)</f>
        <v/>
      </c>
      <c r="K29" s="199" t="str">
        <f>IF(ISBLANK('RESUMEN VIGILANCIA'!J29),"",'RESUMEN VIGILANCIA'!J29)</f>
        <v/>
      </c>
      <c r="L29" s="199" t="str">
        <f>IF(ISBLANK('RESUMEN VIGILANCIA'!K29),"",'RESUMEN VIGILANCIA'!K29)</f>
        <v/>
      </c>
      <c r="M29" s="199" t="str">
        <f>IF(ISBLANK('RESUMEN VIGILANCIA'!L29),"",'RESUMEN VIGILANCIA'!L29)</f>
        <v/>
      </c>
      <c r="N29" s="199" t="str">
        <f>IF(ISBLANK('RESUMEN VIGILANCIA'!M29),"",'RESUMEN VIGILANCIA'!M29)</f>
        <v/>
      </c>
      <c r="O29" s="199" t="str">
        <f>IF(ISBLANK('RESUMEN VIGILANCIA'!N29),"",'RESUMEN VIGILANCIA'!N29)</f>
        <v/>
      </c>
      <c r="P29" s="264" t="str">
        <f>IF(ISBLANK('RESUMEN VIGILANCIA'!O29),"",'RESUMEN VIGILANCIA'!O29)</f>
        <v/>
      </c>
      <c r="Q29" s="197" t="str">
        <f>IF(ISBLANK('RESUMEN VIGILANCIA'!P29),"",'RESUMEN VIGILANCIA'!P29)</f>
        <v/>
      </c>
      <c r="R29" s="265" t="str">
        <f>IF(ISBLANK('RESUMEN VIGILANCIA'!Q29),"",'RESUMEN VIGILANCIA'!Q29)</f>
        <v/>
      </c>
      <c r="S29" s="264" t="str">
        <f>IF(ISBLANK('RESUMEN VIGILANCIA'!R29),"",'RESUMEN VIGILANCIA'!R29)</f>
        <v/>
      </c>
      <c r="T29" s="264" t="str">
        <f>IF(ISBLANK('RESUMEN VIGILANCIA'!S29),"",'RESUMEN VIGILANCIA'!S29)</f>
        <v/>
      </c>
      <c r="U29" s="264" t="str">
        <f>IF(ISBLANK('RESUMEN VIGILANCIA'!T29),"",'RESUMEN VIGILANCIA'!T29)</f>
        <v/>
      </c>
      <c r="V29" s="264" t="str">
        <f>IF(ISBLANK('RESUMEN VIGILANCIA'!U29),"",'RESUMEN VIGILANCIA'!U29)</f>
        <v/>
      </c>
      <c r="W29" s="264" t="str">
        <f>IF(ISBLANK('RESUMEN VIGILANCIA'!V29),"",'RESUMEN VIGILANCIA'!V29)</f>
        <v/>
      </c>
      <c r="X29" s="264" t="str">
        <f>IF(ISBLANK('RESUMEN VIGILANCIA'!W29),"",'RESUMEN VIGILANCIA'!W29)</f>
        <v/>
      </c>
      <c r="Y29" s="264" t="str">
        <f>IF(ISBLANK('RESUMEN VIGILANCIA'!X29),"",'RESUMEN VIGILANCIA'!X29)</f>
        <v/>
      </c>
      <c r="Z29" s="453" t="str">
        <f>IF(ISBLANK('RESUMEN VIGILANCIA'!Y29),"",'RESUMEN VIGILANCIA'!Y29)</f>
        <v/>
      </c>
      <c r="AA29" s="453" t="str">
        <f>IF(ISBLANK('RESUMEN VIGILANCIA'!Z29),"",'RESUMEN VIGILANCIA'!Z29)</f>
        <v/>
      </c>
      <c r="AB29" s="453" t="str">
        <f>IF(ISBLANK('RESUMEN VIGILANCIA'!AA29),"",'RESUMEN VIGILANCIA'!AA29)</f>
        <v/>
      </c>
      <c r="AC29" s="454" t="str">
        <f>IF(ISBLANK('RESUMEN VIGILANCIA'!AB29),"",'RESUMEN VIGILANCIA'!AB29)</f>
        <v/>
      </c>
      <c r="AD29" s="384" t="str">
        <f>IF(ISBLANK('RESUMEN VIGILANCIA'!AC29),"",'RESUMEN VIGILANCIA'!AC29)</f>
        <v/>
      </c>
      <c r="AE29" s="385" t="str">
        <f>IF(ISBLANK('RESUMEN VIGILANCIA'!AD29),"",'RESUMEN VIGILANCIA'!AD29)</f>
        <v/>
      </c>
      <c r="AF29" s="385" t="str">
        <f>IF(ISBLANK('RESUMEN VIGILANCIA'!AE29),"",'RESUMEN VIGILANCIA'!AE29)</f>
        <v/>
      </c>
      <c r="AG29" s="385" t="str">
        <f>IF(ISBLANK('RESUMEN VIGILANCIA'!AF29),"",'RESUMEN VIGILANCIA'!AF29)</f>
        <v/>
      </c>
      <c r="AH29" s="385" t="str">
        <f>IF(ISBLANK('RESUMEN VIGILANCIA'!AG29),"",'RESUMEN VIGILANCIA'!AG29)</f>
        <v/>
      </c>
      <c r="AI29" s="385" t="str">
        <f>IF(ISBLANK('RESUMEN VIGILANCIA'!AH29),"",'RESUMEN VIGILANCIA'!AH29)</f>
        <v/>
      </c>
      <c r="AJ29" s="385" t="str">
        <f>IF(ISBLANK('RESUMEN VIGILANCIA'!AI29),"",'RESUMEN VIGILANCIA'!AI29)</f>
        <v/>
      </c>
      <c r="AK29" s="385" t="str">
        <f>IF(ISBLANK('RESUMEN VIGILANCIA'!AJ29),"",'RESUMEN VIGILANCIA'!AJ29)</f>
        <v/>
      </c>
      <c r="AL29" s="385" t="str">
        <f>IF(ISBLANK('RESUMEN VIGILANCIA'!AK29),"",'RESUMEN VIGILANCIA'!AK29)</f>
        <v/>
      </c>
      <c r="AM29" s="385" t="str">
        <f>IF(ISBLANK('RESUMEN VIGILANCIA'!AL29),"",'RESUMEN VIGILANCIA'!AL29)</f>
        <v/>
      </c>
      <c r="AN29" s="385" t="str">
        <f>IF(ISBLANK('RESUMEN VIGILANCIA'!AM29),"",'RESUMEN VIGILANCIA'!AM29)</f>
        <v/>
      </c>
      <c r="AO29" s="386" t="str">
        <f>IF(ISBLANK('RESUMEN VIGILANCIA'!AN29),"",'RESUMEN VIGILANCIA'!AN29)</f>
        <v/>
      </c>
      <c r="AP29" s="384" t="str">
        <f>IF(ISBLANK('RESUMEN VIGILANCIA'!AO29),"",'RESUMEN VIGILANCIA'!AO29)</f>
        <v/>
      </c>
      <c r="AQ29" s="385" t="str">
        <f>IF(ISBLANK('RESUMEN VIGILANCIA'!AP29),"",'RESUMEN VIGILANCIA'!AP29)</f>
        <v/>
      </c>
      <c r="AR29" s="385" t="str">
        <f>IF(ISBLANK('RESUMEN VIGILANCIA'!AQ29),"",'RESUMEN VIGILANCIA'!AQ29)</f>
        <v/>
      </c>
      <c r="AS29" s="385" t="str">
        <f>IF(ISBLANK('RESUMEN VIGILANCIA'!AR29),"",'RESUMEN VIGILANCIA'!AR29)</f>
        <v/>
      </c>
      <c r="AT29" s="385" t="str">
        <f>IF(ISBLANK('RESUMEN VIGILANCIA'!AS29),"",'RESUMEN VIGILANCIA'!AS29)</f>
        <v/>
      </c>
      <c r="AU29" s="385" t="str">
        <f>IF(ISBLANK('RESUMEN VIGILANCIA'!AT29),"",'RESUMEN VIGILANCIA'!AT29)</f>
        <v/>
      </c>
      <c r="AV29" s="385" t="str">
        <f>IF(ISBLANK('RESUMEN VIGILANCIA'!AU29),"",'RESUMEN VIGILANCIA'!AU29)</f>
        <v/>
      </c>
      <c r="AW29" s="385" t="str">
        <f>IF(ISBLANK('RESUMEN VIGILANCIA'!AV29),"",'RESUMEN VIGILANCIA'!AV29)</f>
        <v/>
      </c>
      <c r="AX29" s="385" t="str">
        <f>IF(ISBLANK('RESUMEN VIGILANCIA'!AW29),"",'RESUMEN VIGILANCIA'!AW29)</f>
        <v/>
      </c>
      <c r="AY29" s="385" t="str">
        <f>IF(ISBLANK('RESUMEN VIGILANCIA'!AX29),"",'RESUMEN VIGILANCIA'!AX29)</f>
        <v/>
      </c>
      <c r="AZ29" s="385" t="str">
        <f>IF(ISBLANK('RESUMEN VIGILANCIA'!AY29),"",'RESUMEN VIGILANCIA'!AY29)</f>
        <v/>
      </c>
      <c r="BA29" s="386" t="str">
        <f>IF(ISBLANK('RESUMEN VIGILANCIA'!AZ29),"",'RESUMEN VIGILANCIA'!AZ29)</f>
        <v/>
      </c>
      <c r="BB29" s="243">
        <f t="shared" si="0"/>
        <v>0</v>
      </c>
      <c r="BC29" s="110"/>
      <c r="BD29" s="110"/>
    </row>
    <row r="30" spans="1:56" s="29" customFormat="1" ht="20.100000000000001" customHeight="1">
      <c r="A30" s="37" t="str">
        <f>'RESUMEN VIGILANCIA'!A28</f>
        <v>Familia Ramírez (Guacara)</v>
      </c>
      <c r="B30" s="38" t="str">
        <f>'RESUMEN VIGILANCIA'!B28</f>
        <v>Calle Guacara Nro. 87-59</v>
      </c>
      <c r="C30" s="427"/>
      <c r="D30" s="434" t="s">
        <v>1315</v>
      </c>
      <c r="E30" s="415" t="str">
        <f>IF(ISBLANK('RESUMEN VIGILANCIA'!D28),"",'RESUMEN VIGILANCIA'!D28)</f>
        <v/>
      </c>
      <c r="F30" s="263" t="str">
        <f>IF(ISBLANK('RESUMEN VIGILANCIA'!E28),"",'RESUMEN VIGILANCIA'!E28)</f>
        <v/>
      </c>
      <c r="G30" s="199" t="str">
        <f>IF(ISBLANK('RESUMEN VIGILANCIA'!F28),"",'RESUMEN VIGILANCIA'!F28)</f>
        <v/>
      </c>
      <c r="H30" s="199" t="str">
        <f>IF(ISBLANK('RESUMEN VIGILANCIA'!G28),"",'RESUMEN VIGILANCIA'!G28)</f>
        <v/>
      </c>
      <c r="I30" s="199" t="str">
        <f>IF(ISBLANK('RESUMEN VIGILANCIA'!H28),"",'RESUMEN VIGILANCIA'!H28)</f>
        <v/>
      </c>
      <c r="J30" s="199" t="str">
        <f>IF(ISBLANK('RESUMEN VIGILANCIA'!I28),"",'RESUMEN VIGILANCIA'!I28)</f>
        <v/>
      </c>
      <c r="K30" s="199" t="str">
        <f>IF(ISBLANK('RESUMEN VIGILANCIA'!J28),"",'RESUMEN VIGILANCIA'!J28)</f>
        <v/>
      </c>
      <c r="L30" s="199" t="str">
        <f>IF(ISBLANK('RESUMEN VIGILANCIA'!K28),"",'RESUMEN VIGILANCIA'!K28)</f>
        <v/>
      </c>
      <c r="M30" s="199" t="str">
        <f>IF(ISBLANK('RESUMEN VIGILANCIA'!L28),"",'RESUMEN VIGILANCIA'!L28)</f>
        <v/>
      </c>
      <c r="N30" s="199" t="str">
        <f>IF(ISBLANK('RESUMEN VIGILANCIA'!M28),"",'RESUMEN VIGILANCIA'!M28)</f>
        <v/>
      </c>
      <c r="O30" s="199" t="str">
        <f>IF(ISBLANK('RESUMEN VIGILANCIA'!N28),"",'RESUMEN VIGILANCIA'!N28)</f>
        <v/>
      </c>
      <c r="P30" s="264" t="str">
        <f>IF(ISBLANK('RESUMEN VIGILANCIA'!O28),"",'RESUMEN VIGILANCIA'!O28)</f>
        <v/>
      </c>
      <c r="Q30" s="197" t="str">
        <f>IF(ISBLANK('RESUMEN VIGILANCIA'!P28),"",'RESUMEN VIGILANCIA'!P28)</f>
        <v/>
      </c>
      <c r="R30" s="265" t="str">
        <f>IF(ISBLANK('RESUMEN VIGILANCIA'!Q28),"",'RESUMEN VIGILANCIA'!Q28)</f>
        <v/>
      </c>
      <c r="S30" s="264" t="str">
        <f>IF(ISBLANK('RESUMEN VIGILANCIA'!R28),"",'RESUMEN VIGILANCIA'!R28)</f>
        <v/>
      </c>
      <c r="T30" s="264" t="str">
        <f>IF(ISBLANK('RESUMEN VIGILANCIA'!S28),"",'RESUMEN VIGILANCIA'!S28)</f>
        <v/>
      </c>
      <c r="U30" s="264" t="str">
        <f>IF(ISBLANK('RESUMEN VIGILANCIA'!T28),"",'RESUMEN VIGILANCIA'!T28)</f>
        <v/>
      </c>
      <c r="V30" s="264" t="str">
        <f>IF(ISBLANK('RESUMEN VIGILANCIA'!U28),"",'RESUMEN VIGILANCIA'!U28)</f>
        <v/>
      </c>
      <c r="W30" s="264" t="str">
        <f>IF(ISBLANK('RESUMEN VIGILANCIA'!V28),"",'RESUMEN VIGILANCIA'!V28)</f>
        <v/>
      </c>
      <c r="X30" s="264" t="str">
        <f>IF(ISBLANK('RESUMEN VIGILANCIA'!W28),"",'RESUMEN VIGILANCIA'!W28)</f>
        <v/>
      </c>
      <c r="Y30" s="264" t="str">
        <f>IF(ISBLANK('RESUMEN VIGILANCIA'!X28),"",'RESUMEN VIGILANCIA'!X28)</f>
        <v/>
      </c>
      <c r="Z30" s="453" t="str">
        <f>IF(ISBLANK('RESUMEN VIGILANCIA'!Y28),"",'RESUMEN VIGILANCIA'!Y28)</f>
        <v/>
      </c>
      <c r="AA30" s="453" t="str">
        <f>IF(ISBLANK('RESUMEN VIGILANCIA'!Z28),"",'RESUMEN VIGILANCIA'!Z28)</f>
        <v/>
      </c>
      <c r="AB30" s="453" t="str">
        <f>IF(ISBLANK('RESUMEN VIGILANCIA'!AA28),"",'RESUMEN VIGILANCIA'!AA28)</f>
        <v/>
      </c>
      <c r="AC30" s="454" t="str">
        <f>IF(ISBLANK('RESUMEN VIGILANCIA'!AB28),"",'RESUMEN VIGILANCIA'!AB28)</f>
        <v/>
      </c>
      <c r="AD30" s="384" t="str">
        <f>IF(ISBLANK('RESUMEN VIGILANCIA'!AC28),"",'RESUMEN VIGILANCIA'!AC28)</f>
        <v/>
      </c>
      <c r="AE30" s="385" t="str">
        <f>IF(ISBLANK('RESUMEN VIGILANCIA'!AD28),"",'RESUMEN VIGILANCIA'!AD28)</f>
        <v/>
      </c>
      <c r="AF30" s="385" t="str">
        <f>IF(ISBLANK('RESUMEN VIGILANCIA'!AE28),"",'RESUMEN VIGILANCIA'!AE28)</f>
        <v/>
      </c>
      <c r="AG30" s="385" t="str">
        <f>IF(ISBLANK('RESUMEN VIGILANCIA'!AF28),"",'RESUMEN VIGILANCIA'!AF28)</f>
        <v/>
      </c>
      <c r="AH30" s="385" t="str">
        <f>IF(ISBLANK('RESUMEN VIGILANCIA'!AG28),"",'RESUMEN VIGILANCIA'!AG28)</f>
        <v/>
      </c>
      <c r="AI30" s="385" t="str">
        <f>IF(ISBLANK('RESUMEN VIGILANCIA'!AH28),"",'RESUMEN VIGILANCIA'!AH28)</f>
        <v/>
      </c>
      <c r="AJ30" s="385" t="str">
        <f>IF(ISBLANK('RESUMEN VIGILANCIA'!AI28),"",'RESUMEN VIGILANCIA'!AI28)</f>
        <v/>
      </c>
      <c r="AK30" s="385" t="str">
        <f>IF(ISBLANK('RESUMEN VIGILANCIA'!AJ28),"",'RESUMEN VIGILANCIA'!AJ28)</f>
        <v/>
      </c>
      <c r="AL30" s="385" t="str">
        <f>IF(ISBLANK('RESUMEN VIGILANCIA'!AK28),"",'RESUMEN VIGILANCIA'!AK28)</f>
        <v/>
      </c>
      <c r="AM30" s="385" t="str">
        <f>IF(ISBLANK('RESUMEN VIGILANCIA'!AL28),"",'RESUMEN VIGILANCIA'!AL28)</f>
        <v/>
      </c>
      <c r="AN30" s="385" t="str">
        <f>IF(ISBLANK('RESUMEN VIGILANCIA'!AM28),"",'RESUMEN VIGILANCIA'!AM28)</f>
        <v/>
      </c>
      <c r="AO30" s="386" t="str">
        <f>IF(ISBLANK('RESUMEN VIGILANCIA'!AN28),"",'RESUMEN VIGILANCIA'!AN28)</f>
        <v/>
      </c>
      <c r="AP30" s="384" t="str">
        <f>IF(ISBLANK('RESUMEN VIGILANCIA'!AO28),"",'RESUMEN VIGILANCIA'!AO28)</f>
        <v/>
      </c>
      <c r="AQ30" s="385" t="str">
        <f>IF(ISBLANK('RESUMEN VIGILANCIA'!AP28),"",'RESUMEN VIGILANCIA'!AP28)</f>
        <v/>
      </c>
      <c r="AR30" s="385" t="str">
        <f>IF(ISBLANK('RESUMEN VIGILANCIA'!AQ28),"",'RESUMEN VIGILANCIA'!AQ28)</f>
        <v/>
      </c>
      <c r="AS30" s="385" t="str">
        <f>IF(ISBLANK('RESUMEN VIGILANCIA'!AR28),"",'RESUMEN VIGILANCIA'!AR28)</f>
        <v/>
      </c>
      <c r="AT30" s="385" t="str">
        <f>IF(ISBLANK('RESUMEN VIGILANCIA'!AS28),"",'RESUMEN VIGILANCIA'!AS28)</f>
        <v/>
      </c>
      <c r="AU30" s="385" t="str">
        <f>IF(ISBLANK('RESUMEN VIGILANCIA'!AT28),"",'RESUMEN VIGILANCIA'!AT28)</f>
        <v/>
      </c>
      <c r="AV30" s="385" t="str">
        <f>IF(ISBLANK('RESUMEN VIGILANCIA'!AU28),"",'RESUMEN VIGILANCIA'!AU28)</f>
        <v/>
      </c>
      <c r="AW30" s="385" t="str">
        <f>IF(ISBLANK('RESUMEN VIGILANCIA'!AV28),"",'RESUMEN VIGILANCIA'!AV28)</f>
        <v/>
      </c>
      <c r="AX30" s="385" t="str">
        <f>IF(ISBLANK('RESUMEN VIGILANCIA'!AW28),"",'RESUMEN VIGILANCIA'!AW28)</f>
        <v/>
      </c>
      <c r="AY30" s="385" t="str">
        <f>IF(ISBLANK('RESUMEN VIGILANCIA'!AX28),"",'RESUMEN VIGILANCIA'!AX28)</f>
        <v/>
      </c>
      <c r="AZ30" s="385" t="str">
        <f>IF(ISBLANK('RESUMEN VIGILANCIA'!AY28),"",'RESUMEN VIGILANCIA'!AY28)</f>
        <v/>
      </c>
      <c r="BA30" s="386" t="str">
        <f>IF(ISBLANK('RESUMEN VIGILANCIA'!AZ28),"",'RESUMEN VIGILANCIA'!AZ28)</f>
        <v/>
      </c>
      <c r="BB30" s="243">
        <f t="shared" si="0"/>
        <v>0</v>
      </c>
      <c r="BC30" s="110"/>
      <c r="BD30" s="110"/>
    </row>
    <row r="31" spans="1:56" s="29" customFormat="1" ht="20.100000000000001" customHeight="1">
      <c r="A31" s="37" t="str">
        <f>'RESUMEN VIGILANCIA'!A27</f>
        <v>Familia Moretti</v>
      </c>
      <c r="B31" s="38" t="str">
        <f>'RESUMEN VIGILANCIA'!B27</f>
        <v>Calle Guacara Nro. 87-51</v>
      </c>
      <c r="C31" s="427"/>
      <c r="D31" s="434" t="s">
        <v>1315</v>
      </c>
      <c r="E31" s="415" t="str">
        <f>IF(ISBLANK('RESUMEN VIGILANCIA'!D27),"",'RESUMEN VIGILANCIA'!D27)</f>
        <v/>
      </c>
      <c r="F31" s="263" t="str">
        <f>IF(ISBLANK('RESUMEN VIGILANCIA'!E27),"",'RESUMEN VIGILANCIA'!E27)</f>
        <v/>
      </c>
      <c r="G31" s="199" t="str">
        <f>IF(ISBLANK('RESUMEN VIGILANCIA'!F27),"",'RESUMEN VIGILANCIA'!F27)</f>
        <v/>
      </c>
      <c r="H31" s="199" t="str">
        <f>IF(ISBLANK('RESUMEN VIGILANCIA'!G27),"",'RESUMEN VIGILANCIA'!G27)</f>
        <v/>
      </c>
      <c r="I31" s="199" t="str">
        <f>IF(ISBLANK('RESUMEN VIGILANCIA'!H27),"",'RESUMEN VIGILANCIA'!H27)</f>
        <v/>
      </c>
      <c r="J31" s="199" t="str">
        <f>IF(ISBLANK('RESUMEN VIGILANCIA'!I27),"",'RESUMEN VIGILANCIA'!I27)</f>
        <v/>
      </c>
      <c r="K31" s="199" t="str">
        <f>IF(ISBLANK('RESUMEN VIGILANCIA'!J27),"",'RESUMEN VIGILANCIA'!J27)</f>
        <v/>
      </c>
      <c r="L31" s="199" t="str">
        <f>IF(ISBLANK('RESUMEN VIGILANCIA'!K27),"",'RESUMEN VIGILANCIA'!K27)</f>
        <v/>
      </c>
      <c r="M31" s="199" t="str">
        <f>IF(ISBLANK('RESUMEN VIGILANCIA'!L27),"",'RESUMEN VIGILANCIA'!L27)</f>
        <v/>
      </c>
      <c r="N31" s="199" t="str">
        <f>IF(ISBLANK('RESUMEN VIGILANCIA'!M27),"",'RESUMEN VIGILANCIA'!M27)</f>
        <v/>
      </c>
      <c r="O31" s="199" t="str">
        <f>IF(ISBLANK('RESUMEN VIGILANCIA'!N27),"",'RESUMEN VIGILANCIA'!N27)</f>
        <v/>
      </c>
      <c r="P31" s="264" t="str">
        <f>IF(ISBLANK('RESUMEN VIGILANCIA'!O27),"",'RESUMEN VIGILANCIA'!O27)</f>
        <v/>
      </c>
      <c r="Q31" s="197" t="str">
        <f>IF(ISBLANK('RESUMEN VIGILANCIA'!P27),"",'RESUMEN VIGILANCIA'!P27)</f>
        <v/>
      </c>
      <c r="R31" s="265" t="str">
        <f>IF(ISBLANK('RESUMEN VIGILANCIA'!Q27),"",'RESUMEN VIGILANCIA'!Q27)</f>
        <v/>
      </c>
      <c r="S31" s="264" t="str">
        <f>IF(ISBLANK('RESUMEN VIGILANCIA'!R27),"",'RESUMEN VIGILANCIA'!R27)</f>
        <v/>
      </c>
      <c r="T31" s="264" t="str">
        <f>IF(ISBLANK('RESUMEN VIGILANCIA'!S27),"",'RESUMEN VIGILANCIA'!S27)</f>
        <v/>
      </c>
      <c r="U31" s="264" t="str">
        <f>IF(ISBLANK('RESUMEN VIGILANCIA'!T27),"",'RESUMEN VIGILANCIA'!T27)</f>
        <v/>
      </c>
      <c r="V31" s="264" t="str">
        <f>IF(ISBLANK('RESUMEN VIGILANCIA'!U27),"",'RESUMEN VIGILANCIA'!U27)</f>
        <v/>
      </c>
      <c r="W31" s="264" t="str">
        <f>IF(ISBLANK('RESUMEN VIGILANCIA'!V27),"",'RESUMEN VIGILANCIA'!V27)</f>
        <v/>
      </c>
      <c r="X31" s="264" t="str">
        <f>IF(ISBLANK('RESUMEN VIGILANCIA'!W27),"",'RESUMEN VIGILANCIA'!W27)</f>
        <v/>
      </c>
      <c r="Y31" s="264" t="str">
        <f>IF(ISBLANK('RESUMEN VIGILANCIA'!X27),"",'RESUMEN VIGILANCIA'!X27)</f>
        <v/>
      </c>
      <c r="Z31" s="453" t="str">
        <f>IF(ISBLANK('RESUMEN VIGILANCIA'!Y27),"",'RESUMEN VIGILANCIA'!Y27)</f>
        <v/>
      </c>
      <c r="AA31" s="453" t="str">
        <f>IF(ISBLANK('RESUMEN VIGILANCIA'!Z27),"",'RESUMEN VIGILANCIA'!Z27)</f>
        <v/>
      </c>
      <c r="AB31" s="453" t="str">
        <f>IF(ISBLANK('RESUMEN VIGILANCIA'!AA27),"",'RESUMEN VIGILANCIA'!AA27)</f>
        <v/>
      </c>
      <c r="AC31" s="454" t="str">
        <f>IF(ISBLANK('RESUMEN VIGILANCIA'!AB27),"",'RESUMEN VIGILANCIA'!AB27)</f>
        <v/>
      </c>
      <c r="AD31" s="384" t="str">
        <f>IF(ISBLANK('RESUMEN VIGILANCIA'!AC27),"",'RESUMEN VIGILANCIA'!AC27)</f>
        <v/>
      </c>
      <c r="AE31" s="385" t="str">
        <f>IF(ISBLANK('RESUMEN VIGILANCIA'!AD27),"",'RESUMEN VIGILANCIA'!AD27)</f>
        <v/>
      </c>
      <c r="AF31" s="385" t="str">
        <f>IF(ISBLANK('RESUMEN VIGILANCIA'!AE27),"",'RESUMEN VIGILANCIA'!AE27)</f>
        <v/>
      </c>
      <c r="AG31" s="385" t="str">
        <f>IF(ISBLANK('RESUMEN VIGILANCIA'!AF27),"",'RESUMEN VIGILANCIA'!AF27)</f>
        <v/>
      </c>
      <c r="AH31" s="385" t="str">
        <f>IF(ISBLANK('RESUMEN VIGILANCIA'!AG27),"",'RESUMEN VIGILANCIA'!AG27)</f>
        <v/>
      </c>
      <c r="AI31" s="385" t="str">
        <f>IF(ISBLANK('RESUMEN VIGILANCIA'!AH27),"",'RESUMEN VIGILANCIA'!AH27)</f>
        <v/>
      </c>
      <c r="AJ31" s="385" t="str">
        <f>IF(ISBLANK('RESUMEN VIGILANCIA'!AI27),"",'RESUMEN VIGILANCIA'!AI27)</f>
        <v/>
      </c>
      <c r="AK31" s="385" t="str">
        <f>IF(ISBLANK('RESUMEN VIGILANCIA'!AJ27),"",'RESUMEN VIGILANCIA'!AJ27)</f>
        <v/>
      </c>
      <c r="AL31" s="385" t="str">
        <f>IF(ISBLANK('RESUMEN VIGILANCIA'!AK27),"",'RESUMEN VIGILANCIA'!AK27)</f>
        <v/>
      </c>
      <c r="AM31" s="385" t="str">
        <f>IF(ISBLANK('RESUMEN VIGILANCIA'!AL27),"",'RESUMEN VIGILANCIA'!AL27)</f>
        <v/>
      </c>
      <c r="AN31" s="385" t="str">
        <f>IF(ISBLANK('RESUMEN VIGILANCIA'!AM27),"",'RESUMEN VIGILANCIA'!AM27)</f>
        <v/>
      </c>
      <c r="AO31" s="386" t="str">
        <f>IF(ISBLANK('RESUMEN VIGILANCIA'!AN27),"",'RESUMEN VIGILANCIA'!AN27)</f>
        <v/>
      </c>
      <c r="AP31" s="384" t="str">
        <f>IF(ISBLANK('RESUMEN VIGILANCIA'!AO27),"",'RESUMEN VIGILANCIA'!AO27)</f>
        <v/>
      </c>
      <c r="AQ31" s="385" t="str">
        <f>IF(ISBLANK('RESUMEN VIGILANCIA'!AP27),"",'RESUMEN VIGILANCIA'!AP27)</f>
        <v/>
      </c>
      <c r="AR31" s="385" t="str">
        <f>IF(ISBLANK('RESUMEN VIGILANCIA'!AQ27),"",'RESUMEN VIGILANCIA'!AQ27)</f>
        <v/>
      </c>
      <c r="AS31" s="385" t="str">
        <f>IF(ISBLANK('RESUMEN VIGILANCIA'!AR27),"",'RESUMEN VIGILANCIA'!AR27)</f>
        <v/>
      </c>
      <c r="AT31" s="385" t="str">
        <f>IF(ISBLANK('RESUMEN VIGILANCIA'!AS27),"",'RESUMEN VIGILANCIA'!AS27)</f>
        <v/>
      </c>
      <c r="AU31" s="385" t="str">
        <f>IF(ISBLANK('RESUMEN VIGILANCIA'!AT27),"",'RESUMEN VIGILANCIA'!AT27)</f>
        <v/>
      </c>
      <c r="AV31" s="385" t="str">
        <f>IF(ISBLANK('RESUMEN VIGILANCIA'!AU27),"",'RESUMEN VIGILANCIA'!AU27)</f>
        <v/>
      </c>
      <c r="AW31" s="385" t="str">
        <f>IF(ISBLANK('RESUMEN VIGILANCIA'!AV27),"",'RESUMEN VIGILANCIA'!AV27)</f>
        <v/>
      </c>
      <c r="AX31" s="385" t="str">
        <f>IF(ISBLANK('RESUMEN VIGILANCIA'!AW27),"",'RESUMEN VIGILANCIA'!AW27)</f>
        <v/>
      </c>
      <c r="AY31" s="385" t="str">
        <f>IF(ISBLANK('RESUMEN VIGILANCIA'!AX27),"",'RESUMEN VIGILANCIA'!AX27)</f>
        <v/>
      </c>
      <c r="AZ31" s="385" t="str">
        <f>IF(ISBLANK('RESUMEN VIGILANCIA'!AY27),"",'RESUMEN VIGILANCIA'!AY27)</f>
        <v/>
      </c>
      <c r="BA31" s="386" t="str">
        <f>IF(ISBLANK('RESUMEN VIGILANCIA'!AZ27),"",'RESUMEN VIGILANCIA'!AZ27)</f>
        <v/>
      </c>
      <c r="BB31" s="243">
        <f t="shared" si="0"/>
        <v>0</v>
      </c>
      <c r="BC31" s="110"/>
      <c r="BD31" s="110"/>
    </row>
    <row r="32" spans="1:56" s="29" customFormat="1" ht="20.100000000000001" customHeight="1">
      <c r="A32" s="33" t="str">
        <f>'RESUMEN VIGILANCIA'!A37</f>
        <v>Familia Méndez Parra</v>
      </c>
      <c r="B32" s="34" t="str">
        <f>'RESUMEN VIGILANCIA'!B37</f>
        <v>Calle Guacara Nro. 88-19</v>
      </c>
      <c r="C32" s="428" t="s">
        <v>1318</v>
      </c>
      <c r="D32" s="437"/>
      <c r="E32" s="416" t="str">
        <f>IF(ISBLANK('RESUMEN VIGILANCIA'!D37),"",'RESUMEN VIGILANCIA'!D37)</f>
        <v/>
      </c>
      <c r="F32" s="266">
        <f>IF(ISBLANK('RESUMEN VIGILANCIA'!E37),"",'RESUMEN VIGILANCIA'!E37)</f>
        <v>0.14500000000000002</v>
      </c>
      <c r="G32" s="188">
        <f>IF(ISBLANK('RESUMEN VIGILANCIA'!F37),"",'RESUMEN VIGILANCIA'!F37)</f>
        <v>0.105</v>
      </c>
      <c r="H32" s="188">
        <f>IF(ISBLANK('RESUMEN VIGILANCIA'!G37),"",'RESUMEN VIGILANCIA'!G37)</f>
        <v>0.105</v>
      </c>
      <c r="I32" s="188">
        <f>IF(ISBLANK('RESUMEN VIGILANCIA'!H37),"",'RESUMEN VIGILANCIA'!H37)</f>
        <v>0.105</v>
      </c>
      <c r="J32" s="188">
        <f>IF(ISBLANK('RESUMEN VIGILANCIA'!I37),"",'RESUMEN VIGILANCIA'!I37)</f>
        <v>0.2</v>
      </c>
      <c r="K32" s="188">
        <f>IF(ISBLANK('RESUMEN VIGILANCIA'!J37),"",'RESUMEN VIGILANCIA'!J37)</f>
        <v>0.2</v>
      </c>
      <c r="L32" s="188">
        <f>IF(ISBLANK('RESUMEN VIGILANCIA'!K37),"",'RESUMEN VIGILANCIA'!K37)</f>
        <v>0.25</v>
      </c>
      <c r="M32" s="188">
        <f>IF(ISBLANK('RESUMEN VIGILANCIA'!L37),"",'RESUMEN VIGILANCIA'!L37)</f>
        <v>0.2</v>
      </c>
      <c r="N32" s="188">
        <f>IF(ISBLANK('RESUMEN VIGILANCIA'!M37),"",'RESUMEN VIGILANCIA'!M37)</f>
        <v>0.2</v>
      </c>
      <c r="O32" s="188">
        <f>IF(ISBLANK('RESUMEN VIGILANCIA'!N37),"",'RESUMEN VIGILANCIA'!N37)</f>
        <v>0.2</v>
      </c>
      <c r="P32" s="267">
        <f>IF(ISBLANK('RESUMEN VIGILANCIA'!O37),"",'RESUMEN VIGILANCIA'!O37)</f>
        <v>0.32</v>
      </c>
      <c r="Q32" s="186">
        <f>IF(ISBLANK('RESUMEN VIGILANCIA'!P37),"",'RESUMEN VIGILANCIA'!P37)</f>
        <v>0.3</v>
      </c>
      <c r="R32" s="268">
        <f>IF(ISBLANK('RESUMEN VIGILANCIA'!Q37),"",'RESUMEN VIGILANCIA'!Q37)</f>
        <v>0.5</v>
      </c>
      <c r="S32" s="267">
        <f>IF(ISBLANK('RESUMEN VIGILANCIA'!R37),"",'RESUMEN VIGILANCIA'!R37)</f>
        <v>0.5</v>
      </c>
      <c r="T32" s="267">
        <f>IF(ISBLANK('RESUMEN VIGILANCIA'!S37),"",'RESUMEN VIGILANCIA'!S37)</f>
        <v>1</v>
      </c>
      <c r="U32" s="267">
        <f>IF(ISBLANK('RESUMEN VIGILANCIA'!T37),"",'RESUMEN VIGILANCIA'!T37)</f>
        <v>1</v>
      </c>
      <c r="V32" s="267">
        <f>IF(ISBLANK('RESUMEN VIGILANCIA'!U37),"",'RESUMEN VIGILANCIA'!U37)</f>
        <v>2</v>
      </c>
      <c r="W32" s="267">
        <f>IF(ISBLANK('RESUMEN VIGILANCIA'!V37),"",'RESUMEN VIGILANCIA'!V37)</f>
        <v>6</v>
      </c>
      <c r="X32" s="267">
        <f>IF(ISBLANK('RESUMEN VIGILANCIA'!W37),"",'RESUMEN VIGILANCIA'!W37)</f>
        <v>6</v>
      </c>
      <c r="Y32" s="267">
        <f>IF(ISBLANK('RESUMEN VIGILANCIA'!X37),"",'RESUMEN VIGILANCIA'!X37)</f>
        <v>8</v>
      </c>
      <c r="Z32" s="459">
        <f>IF(ISBLANK('RESUMEN VIGILANCIA'!Y37),"",'RESUMEN VIGILANCIA'!Y37)</f>
        <v>270</v>
      </c>
      <c r="AA32" s="459">
        <f>IF(ISBLANK('RESUMEN VIGILANCIA'!Z37),"",'RESUMEN VIGILANCIA'!Z37)</f>
        <v>260</v>
      </c>
      <c r="AB32" s="459">
        <f>IF(ISBLANK('RESUMEN VIGILANCIA'!AA37),"",'RESUMEN VIGILANCIA'!AA37)</f>
        <v>260</v>
      </c>
      <c r="AC32" s="460" t="str">
        <f>IF(ISBLANK('RESUMEN VIGILANCIA'!AB37),"",'RESUMEN VIGILANCIA'!AB37)</f>
        <v/>
      </c>
      <c r="AD32" s="373">
        <f>IF(ISBLANK('RESUMEN VIGILANCIA'!AC37),"",'RESUMEN VIGILANCIA'!AC37)</f>
        <v>600</v>
      </c>
      <c r="AE32" s="374">
        <f>IF(ISBLANK('RESUMEN VIGILANCIA'!AD37),"",'RESUMEN VIGILANCIA'!AD37)</f>
        <v>2300</v>
      </c>
      <c r="AF32" s="374">
        <f>IF(ISBLANK('RESUMEN VIGILANCIA'!AE37),"",'RESUMEN VIGILANCIA'!AE37)</f>
        <v>2200</v>
      </c>
      <c r="AG32" s="374">
        <f>IF(ISBLANK('RESUMEN VIGILANCIA'!AF37),"",'RESUMEN VIGILANCIA'!AF37)</f>
        <v>2200</v>
      </c>
      <c r="AH32" s="374">
        <f>IF(ISBLANK('RESUMEN VIGILANCIA'!AG37),"",'RESUMEN VIGILANCIA'!AG37)</f>
        <v>5000</v>
      </c>
      <c r="AI32" s="374">
        <f>IF(ISBLANK('RESUMEN VIGILANCIA'!AH37),"",'RESUMEN VIGILANCIA'!AH37)</f>
        <v>5000</v>
      </c>
      <c r="AJ32" s="374">
        <f>IF(ISBLANK('RESUMEN VIGILANCIA'!AI37),"",'RESUMEN VIGILANCIA'!AI37)</f>
        <v>6000</v>
      </c>
      <c r="AK32" s="374">
        <f>IF(ISBLANK('RESUMEN VIGILANCIA'!AJ37),"",'RESUMEN VIGILANCIA'!AJ37)</f>
        <v>6000</v>
      </c>
      <c r="AL32" s="374">
        <f>IF(ISBLANK('RESUMEN VIGILANCIA'!AK37),"",'RESUMEN VIGILANCIA'!AK37)</f>
        <v>18018</v>
      </c>
      <c r="AM32" s="374">
        <f>IF(ISBLANK('RESUMEN VIGILANCIA'!AL37),"",'RESUMEN VIGILANCIA'!AL37)</f>
        <v>15000</v>
      </c>
      <c r="AN32" s="374">
        <f>IF(ISBLANK('RESUMEN VIGILANCIA'!AM37),"",'RESUMEN VIGILANCIA'!AM37)</f>
        <v>48000</v>
      </c>
      <c r="AO32" s="375">
        <f>IF(ISBLANK('RESUMEN VIGILANCIA'!AN37),"",'RESUMEN VIGILANCIA'!AN37)</f>
        <v>35000</v>
      </c>
      <c r="AP32" s="373">
        <f>IF(ISBLANK('RESUMEN VIGILANCIA'!AO37),"",'RESUMEN VIGILANCIA'!AO37)</f>
        <v>80000</v>
      </c>
      <c r="AQ32" s="374">
        <f>IF(ISBLANK('RESUMEN VIGILANCIA'!AP37),"",'RESUMEN VIGILANCIA'!AP37)</f>
        <v>80000</v>
      </c>
      <c r="AR32" s="374">
        <f>IF(ISBLANK('RESUMEN VIGILANCIA'!AQ37),"",'RESUMEN VIGILANCIA'!AQ37)</f>
        <v>90000</v>
      </c>
      <c r="AS32" s="374">
        <f>IF(ISBLANK('RESUMEN VIGILANCIA'!AR37),"",'RESUMEN VIGILANCIA'!AR37)</f>
        <v>90000</v>
      </c>
      <c r="AT32" s="374">
        <f>IF(ISBLANK('RESUMEN VIGILANCIA'!AS37),"",'RESUMEN VIGILANCIA'!AS37)</f>
        <v>180000</v>
      </c>
      <c r="AU32" s="374" t="str">
        <f>IF(ISBLANK('RESUMEN VIGILANCIA'!AT37),"",'RESUMEN VIGILANCIA'!AT37)</f>
        <v/>
      </c>
      <c r="AV32" s="374" t="str">
        <f>IF(ISBLANK('RESUMEN VIGILANCIA'!AU37),"",'RESUMEN VIGILANCIA'!AU37)</f>
        <v/>
      </c>
      <c r="AW32" s="374" t="str">
        <f>IF(ISBLANK('RESUMEN VIGILANCIA'!AV37),"",'RESUMEN VIGILANCIA'!AV37)</f>
        <v/>
      </c>
      <c r="AX32" s="374" t="str">
        <f>IF(ISBLANK('RESUMEN VIGILANCIA'!AW37),"",'RESUMEN VIGILANCIA'!AW37)</f>
        <v/>
      </c>
      <c r="AY32" s="374" t="str">
        <f>IF(ISBLANK('RESUMEN VIGILANCIA'!AX37),"",'RESUMEN VIGILANCIA'!AX37)</f>
        <v/>
      </c>
      <c r="AZ32" s="374" t="str">
        <f>IF(ISBLANK('RESUMEN VIGILANCIA'!AY37),"",'RESUMEN VIGILANCIA'!AY37)</f>
        <v/>
      </c>
      <c r="BA32" s="375" t="str">
        <f>IF(ISBLANK('RESUMEN VIGILANCIA'!AZ37),"",'RESUMEN VIGILANCIA'!AZ37)</f>
        <v/>
      </c>
      <c r="BB32" s="241">
        <f t="shared" si="0"/>
        <v>146135.33000000002</v>
      </c>
      <c r="BC32" s="111"/>
      <c r="BD32" s="111"/>
    </row>
    <row r="33" spans="1:56" s="29" customFormat="1" ht="20.100000000000001" customHeight="1">
      <c r="A33" s="33" t="str">
        <f>'RESUMEN VIGILANCIA'!A38</f>
        <v>Victoria Francischiello</v>
      </c>
      <c r="B33" s="34" t="str">
        <f>'RESUMEN VIGILANCIA'!B38</f>
        <v>Calle Guacara Nro. 88-25</v>
      </c>
      <c r="C33" s="428" t="s">
        <v>1316</v>
      </c>
      <c r="D33" s="437" t="s">
        <v>17</v>
      </c>
      <c r="E33" s="416" t="str">
        <f>IF(ISBLANK('RESUMEN VIGILANCIA'!D38),"",'RESUMEN VIGILANCIA'!D38)</f>
        <v/>
      </c>
      <c r="F33" s="266">
        <f>IF(ISBLANK('RESUMEN VIGILANCIA'!E38),"",'RESUMEN VIGILANCIA'!E38)</f>
        <v>0.1</v>
      </c>
      <c r="G33" s="188">
        <f>IF(ISBLANK('RESUMEN VIGILANCIA'!F38),"",'RESUMEN VIGILANCIA'!F38)</f>
        <v>0.1</v>
      </c>
      <c r="H33" s="188">
        <f>IF(ISBLANK('RESUMEN VIGILANCIA'!G38),"",'RESUMEN VIGILANCIA'!G38)</f>
        <v>0.1</v>
      </c>
      <c r="I33" s="188">
        <f>IF(ISBLANK('RESUMEN VIGILANCIA'!H38),"",'RESUMEN VIGILANCIA'!H38)</f>
        <v>0.1</v>
      </c>
      <c r="J33" s="188">
        <f>IF(ISBLANK('RESUMEN VIGILANCIA'!I38),"",'RESUMEN VIGILANCIA'!I38)</f>
        <v>0.2</v>
      </c>
      <c r="K33" s="188">
        <f>IF(ISBLANK('RESUMEN VIGILANCIA'!J38),"",'RESUMEN VIGILANCIA'!J38)</f>
        <v>0.2</v>
      </c>
      <c r="L33" s="188">
        <f>IF(ISBLANK('RESUMEN VIGILANCIA'!K38),"",'RESUMEN VIGILANCIA'!K38)</f>
        <v>0.2</v>
      </c>
      <c r="M33" s="188">
        <f>IF(ISBLANK('RESUMEN VIGILANCIA'!L38),"",'RESUMEN VIGILANCIA'!L38)</f>
        <v>0.2</v>
      </c>
      <c r="N33" s="188">
        <f>IF(ISBLANK('RESUMEN VIGILANCIA'!M38),"",'RESUMEN VIGILANCIA'!M38)</f>
        <v>0.2</v>
      </c>
      <c r="O33" s="188">
        <f>IF(ISBLANK('RESUMEN VIGILANCIA'!N38),"",'RESUMEN VIGILANCIA'!N38)</f>
        <v>0.2</v>
      </c>
      <c r="P33" s="267">
        <f>IF(ISBLANK('RESUMEN VIGILANCIA'!O38),"",'RESUMEN VIGILANCIA'!O38)</f>
        <v>0.15</v>
      </c>
      <c r="Q33" s="186">
        <f>IF(ISBLANK('RESUMEN VIGILANCIA'!P38),"",'RESUMEN VIGILANCIA'!P38)</f>
        <v>0.45</v>
      </c>
      <c r="R33" s="268">
        <f>IF(ISBLANK('RESUMEN VIGILANCIA'!Q38),"",'RESUMEN VIGILANCIA'!Q38)</f>
        <v>0.5</v>
      </c>
      <c r="S33" s="267">
        <f>IF(ISBLANK('RESUMEN VIGILANCIA'!R38),"",'RESUMEN VIGILANCIA'!R38)</f>
        <v>0.8</v>
      </c>
      <c r="T33" s="267">
        <f>IF(ISBLANK('RESUMEN VIGILANCIA'!S38),"",'RESUMEN VIGILANCIA'!S38)</f>
        <v>1</v>
      </c>
      <c r="U33" s="267">
        <f>IF(ISBLANK('RESUMEN VIGILANCIA'!T38),"",'RESUMEN VIGILANCIA'!T38)</f>
        <v>1</v>
      </c>
      <c r="V33" s="267">
        <f>IF(ISBLANK('RESUMEN VIGILANCIA'!U38),"",'RESUMEN VIGILANCIA'!U38)</f>
        <v>2.5</v>
      </c>
      <c r="W33" s="267">
        <f>IF(ISBLANK('RESUMEN VIGILANCIA'!V38),"",'RESUMEN VIGILANCIA'!V38)</f>
        <v>4</v>
      </c>
      <c r="X33" s="270">
        <f>IF(ISBLANK('RESUMEN VIGILANCIA'!W38),"",'RESUMEN VIGILANCIA'!W38)</f>
        <v>10</v>
      </c>
      <c r="Y33" s="270">
        <f>IF(ISBLANK('RESUMEN VIGILANCIA'!X38),"",'RESUMEN VIGILANCIA'!X38)</f>
        <v>12</v>
      </c>
      <c r="Z33" s="455">
        <f>IF(ISBLANK('RESUMEN VIGILANCIA'!Y38),"",'RESUMEN VIGILANCIA'!Y38)</f>
        <v>320</v>
      </c>
      <c r="AA33" s="458">
        <f>IF(ISBLANK('RESUMEN VIGILANCIA'!Z38),"",'RESUMEN VIGILANCIA'!Z38)</f>
        <v>320</v>
      </c>
      <c r="AB33" s="458">
        <f>IF(ISBLANK('RESUMEN VIGILANCIA'!AA38),"",'RESUMEN VIGILANCIA'!AA38)</f>
        <v>320</v>
      </c>
      <c r="AC33" s="457">
        <f>IF(ISBLANK('RESUMEN VIGILANCIA'!AB38),"",'RESUMEN VIGILANCIA'!AB38)</f>
        <v>800</v>
      </c>
      <c r="AD33" s="381">
        <f>IF(ISBLANK('RESUMEN VIGILANCIA'!AC38),"",'RESUMEN VIGILANCIA'!AC38)</f>
        <v>3000</v>
      </c>
      <c r="AE33" s="382">
        <f>IF(ISBLANK('RESUMEN VIGILANCIA'!AD38),"",'RESUMEN VIGILANCIA'!AD38)</f>
        <v>3000</v>
      </c>
      <c r="AF33" s="382">
        <f>IF(ISBLANK('RESUMEN VIGILANCIA'!AE38),"",'RESUMEN VIGILANCIA'!AE38)</f>
        <v>3000</v>
      </c>
      <c r="AG33" s="382">
        <f>IF(ISBLANK('RESUMEN VIGILANCIA'!AF38),"",'RESUMEN VIGILANCIA'!AF38)</f>
        <v>5000</v>
      </c>
      <c r="AH33" s="382">
        <f>IF(ISBLANK('RESUMEN VIGILANCIA'!AG38),"",'RESUMEN VIGILANCIA'!AG38)</f>
        <v>8000</v>
      </c>
      <c r="AI33" s="382">
        <f>IF(ISBLANK('RESUMEN VIGILANCIA'!AH38),"",'RESUMEN VIGILANCIA'!AH38)</f>
        <v>8000</v>
      </c>
      <c r="AJ33" s="382">
        <f>IF(ISBLANK('RESUMEN VIGILANCIA'!AI38),"",'RESUMEN VIGILANCIA'!AI38)</f>
        <v>10000</v>
      </c>
      <c r="AK33" s="382">
        <f>IF(ISBLANK('RESUMEN VIGILANCIA'!AJ38),"",'RESUMEN VIGILANCIA'!AJ38)</f>
        <v>10000</v>
      </c>
      <c r="AL33" s="382">
        <f>IF(ISBLANK('RESUMEN VIGILANCIA'!AK38),"",'RESUMEN VIGILANCIA'!AK38)</f>
        <v>19800</v>
      </c>
      <c r="AM33" s="382">
        <f>IF(ISBLANK('RESUMEN VIGILANCIA'!AL38),"",'RESUMEN VIGILANCIA'!AL38)</f>
        <v>51250</v>
      </c>
      <c r="AN33" s="374">
        <f>IF(ISBLANK('RESUMEN VIGILANCIA'!AM38),"",'RESUMEN VIGILANCIA'!AM38)</f>
        <v>40000</v>
      </c>
      <c r="AO33" s="375">
        <f>IF(ISBLANK('RESUMEN VIGILANCIA'!AN38),"",'RESUMEN VIGILANCIA'!AN38)</f>
        <v>40000</v>
      </c>
      <c r="AP33" s="373">
        <f>IF(ISBLANK('RESUMEN VIGILANCIA'!AO38),"",'RESUMEN VIGILANCIA'!AO38)</f>
        <v>136000</v>
      </c>
      <c r="AQ33" s="374">
        <f>IF(ISBLANK('RESUMEN VIGILANCIA'!AP38),"",'RESUMEN VIGILANCIA'!AP38)</f>
        <v>185250</v>
      </c>
      <c r="AR33" s="374">
        <f>IF(ISBLANK('RESUMEN VIGILANCIA'!AQ38),"",'RESUMEN VIGILANCIA'!AQ38)</f>
        <v>185250</v>
      </c>
      <c r="AS33" s="374">
        <f>IF(ISBLANK('RESUMEN VIGILANCIA'!AR38),"",'RESUMEN VIGILANCIA'!AR38)</f>
        <v>185250</v>
      </c>
      <c r="AT33" s="374">
        <f>IF(ISBLANK('RESUMEN VIGILANCIA'!AS38),"",'RESUMEN VIGILANCIA'!AS38)</f>
        <v>250000</v>
      </c>
      <c r="AU33" s="374" t="str">
        <f>IF(ISBLANK('RESUMEN VIGILANCIA'!AT38),"",'RESUMEN VIGILANCIA'!AT38)</f>
        <v/>
      </c>
      <c r="AV33" s="374" t="str">
        <f>IF(ISBLANK('RESUMEN VIGILANCIA'!AU38),"",'RESUMEN VIGILANCIA'!AU38)</f>
        <v/>
      </c>
      <c r="AW33" s="374" t="str">
        <f>IF(ISBLANK('RESUMEN VIGILANCIA'!AV38),"",'RESUMEN VIGILANCIA'!AV38)</f>
        <v/>
      </c>
      <c r="AX33" s="374" t="str">
        <f>IF(ISBLANK('RESUMEN VIGILANCIA'!AW38),"",'RESUMEN VIGILANCIA'!AW38)</f>
        <v/>
      </c>
      <c r="AY33" s="374" t="str">
        <f>IF(ISBLANK('RESUMEN VIGILANCIA'!AX38),"",'RESUMEN VIGILANCIA'!AX38)</f>
        <v/>
      </c>
      <c r="AZ33" s="374" t="str">
        <f>IF(ISBLANK('RESUMEN VIGILANCIA'!AY38),"",'RESUMEN VIGILANCIA'!AY38)</f>
        <v/>
      </c>
      <c r="BA33" s="375" t="str">
        <f>IF(ISBLANK('RESUMEN VIGILANCIA'!AZ38),"",'RESUMEN VIGILANCIA'!AZ38)</f>
        <v/>
      </c>
      <c r="BB33" s="241">
        <f t="shared" si="0"/>
        <v>202844</v>
      </c>
      <c r="BC33" s="111"/>
      <c r="BD33" s="111"/>
    </row>
    <row r="34" spans="1:56" s="29" customFormat="1" ht="20.100000000000001" customHeight="1">
      <c r="A34" s="30" t="str">
        <f>'RESUMEN VIGILANCIA'!A39</f>
        <v>Familia Cegarra Villamizar</v>
      </c>
      <c r="B34" s="31" t="str">
        <f>'RESUMEN VIGILANCIA'!B39</f>
        <v>Calle Guacara Nro. 88-35</v>
      </c>
      <c r="C34" s="429" t="s">
        <v>1316</v>
      </c>
      <c r="D34" s="436" t="s">
        <v>1315</v>
      </c>
      <c r="E34" s="417" t="str">
        <f>IF(ISBLANK('RESUMEN VIGILANCIA'!D39),"",'RESUMEN VIGILANCIA'!D39)</f>
        <v/>
      </c>
      <c r="F34" s="269">
        <f>IF(ISBLANK('RESUMEN VIGILANCIA'!E39),"",'RESUMEN VIGILANCIA'!E39)</f>
        <v>0.17</v>
      </c>
      <c r="G34" s="181">
        <f>IF(ISBLANK('RESUMEN VIGILANCIA'!F39),"",'RESUMEN VIGILANCIA'!F39)</f>
        <v>0.17</v>
      </c>
      <c r="H34" s="181">
        <f>IF(ISBLANK('RESUMEN VIGILANCIA'!G39),"",'RESUMEN VIGILANCIA'!G39)</f>
        <v>0.17</v>
      </c>
      <c r="I34" s="181">
        <f>IF(ISBLANK('RESUMEN VIGILANCIA'!H39),"",'RESUMEN VIGILANCIA'!H39)</f>
        <v>0.17</v>
      </c>
      <c r="J34" s="181">
        <f>IF(ISBLANK('RESUMEN VIGILANCIA'!I39),"",'RESUMEN VIGILANCIA'!I39)</f>
        <v>0.26</v>
      </c>
      <c r="K34" s="181">
        <f>IF(ISBLANK('RESUMEN VIGILANCIA'!J39),"",'RESUMEN VIGILANCIA'!J39)</f>
        <v>0.26</v>
      </c>
      <c r="L34" s="188">
        <f>IF(ISBLANK('RESUMEN VIGILANCIA'!K39),"",'RESUMEN VIGILANCIA'!K39)</f>
        <v>0.3</v>
      </c>
      <c r="M34" s="188">
        <f>IF(ISBLANK('RESUMEN VIGILANCIA'!L39),"",'RESUMEN VIGILANCIA'!L39)</f>
        <v>0.3</v>
      </c>
      <c r="N34" s="181">
        <f>IF(ISBLANK('RESUMEN VIGILANCIA'!M39),"",'RESUMEN VIGILANCIA'!M39)</f>
        <v>0.35</v>
      </c>
      <c r="O34" s="181">
        <f>IF(ISBLANK('RESUMEN VIGILANCIA'!N39),"",'RESUMEN VIGILANCIA'!N39)</f>
        <v>0.35</v>
      </c>
      <c r="P34" s="270">
        <f>IF(ISBLANK('RESUMEN VIGILANCIA'!O39),"",'RESUMEN VIGILANCIA'!O39)</f>
        <v>0.5</v>
      </c>
      <c r="Q34" s="179">
        <f>IF(ISBLANK('RESUMEN VIGILANCIA'!P39),"",'RESUMEN VIGILANCIA'!P39)</f>
        <v>0.5</v>
      </c>
      <c r="R34" s="271">
        <f>IF(ISBLANK('RESUMEN VIGILANCIA'!Q39),"",'RESUMEN VIGILANCIA'!Q39)</f>
        <v>0.8</v>
      </c>
      <c r="S34" s="270">
        <f>IF(ISBLANK('RESUMEN VIGILANCIA'!R39),"",'RESUMEN VIGILANCIA'!R39)</f>
        <v>0.8</v>
      </c>
      <c r="T34" s="270">
        <f>IF(ISBLANK('RESUMEN VIGILANCIA'!S39),"",'RESUMEN VIGILANCIA'!S39)</f>
        <v>1.4</v>
      </c>
      <c r="U34" s="270">
        <f>IF(ISBLANK('RESUMEN VIGILANCIA'!T39),"",'RESUMEN VIGILANCIA'!T39)</f>
        <v>1.4</v>
      </c>
      <c r="V34" s="270">
        <f>IF(ISBLANK('RESUMEN VIGILANCIA'!U39),"",'RESUMEN VIGILANCIA'!U39)</f>
        <v>4</v>
      </c>
      <c r="W34" s="270">
        <f>IF(ISBLANK('RESUMEN VIGILANCIA'!V39),"",'RESUMEN VIGILANCIA'!V39)</f>
        <v>6.25</v>
      </c>
      <c r="X34" s="272">
        <f>IF(ISBLANK('RESUMEN VIGILANCIA'!W39),"",'RESUMEN VIGILANCIA'!W39)</f>
        <v>10</v>
      </c>
      <c r="Y34" s="270">
        <f>IF(ISBLANK('RESUMEN VIGILANCIA'!X39),"",'RESUMEN VIGILANCIA'!X39)</f>
        <v>12</v>
      </c>
      <c r="Z34" s="455">
        <f>IF(ISBLANK('RESUMEN VIGILANCIA'!Y39),"",'RESUMEN VIGILANCIA'!Y39)</f>
        <v>320</v>
      </c>
      <c r="AA34" s="455">
        <f>IF(ISBLANK('RESUMEN VIGILANCIA'!Z39),"",'RESUMEN VIGILANCIA'!Z39)</f>
        <v>320</v>
      </c>
      <c r="AB34" s="455">
        <f>IF(ISBLANK('RESUMEN VIGILANCIA'!AA39),"",'RESUMEN VIGILANCIA'!AA39)</f>
        <v>320</v>
      </c>
      <c r="AC34" s="456">
        <f>IF(ISBLANK('RESUMEN VIGILANCIA'!AB39),"",'RESUMEN VIGILANCIA'!AB39)</f>
        <v>800</v>
      </c>
      <c r="AD34" s="376">
        <f>IF(ISBLANK('RESUMEN VIGILANCIA'!AC39),"",'RESUMEN VIGILANCIA'!AC39)</f>
        <v>3000</v>
      </c>
      <c r="AE34" s="377">
        <f>IF(ISBLANK('RESUMEN VIGILANCIA'!AD39),"",'RESUMEN VIGILANCIA'!AD39)</f>
        <v>3000</v>
      </c>
      <c r="AF34" s="377">
        <f>IF(ISBLANK('RESUMEN VIGILANCIA'!AE39),"",'RESUMEN VIGILANCIA'!AE39)</f>
        <v>3000</v>
      </c>
      <c r="AG34" s="377">
        <f>IF(ISBLANK('RESUMEN VIGILANCIA'!AF39),"",'RESUMEN VIGILANCIA'!AF39)</f>
        <v>4880</v>
      </c>
      <c r="AH34" s="377">
        <f>IF(ISBLANK('RESUMEN VIGILANCIA'!AG39),"",'RESUMEN VIGILANCIA'!AG39)</f>
        <v>8000</v>
      </c>
      <c r="AI34" s="377">
        <f>IF(ISBLANK('RESUMEN VIGILANCIA'!AH39),"",'RESUMEN VIGILANCIA'!AH39)</f>
        <v>8000</v>
      </c>
      <c r="AJ34" s="377">
        <f>IF(ISBLANK('RESUMEN VIGILANCIA'!AI39),"",'RESUMEN VIGILANCIA'!AI39)</f>
        <v>10000</v>
      </c>
      <c r="AK34" s="377">
        <f>IF(ISBLANK('RESUMEN VIGILANCIA'!AJ39),"",'RESUMEN VIGILANCIA'!AJ39)</f>
        <v>10000</v>
      </c>
      <c r="AL34" s="377">
        <f>IF(ISBLANK('RESUMEN VIGILANCIA'!AK39),"",'RESUMEN VIGILANCIA'!AK39)</f>
        <v>81750</v>
      </c>
      <c r="AM34" s="377">
        <f>IF(ISBLANK('RESUMEN VIGILANCIA'!AL39),"",'RESUMEN VIGILANCIA'!AL39)</f>
        <v>81750</v>
      </c>
      <c r="AN34" s="377">
        <f>IF(ISBLANK('RESUMEN VIGILANCIA'!AM39),"",'RESUMEN VIGILANCIA'!AM39)</f>
        <v>81750</v>
      </c>
      <c r="AO34" s="378">
        <f>IF(ISBLANK('RESUMEN VIGILANCIA'!AN39),"",'RESUMEN VIGILANCIA'!AN39)</f>
        <v>185250</v>
      </c>
      <c r="AP34" s="376">
        <f>IF(ISBLANK('RESUMEN VIGILANCIA'!AO39),"",'RESUMEN VIGILANCIA'!AO39)</f>
        <v>185250</v>
      </c>
      <c r="AQ34" s="377">
        <f>IF(ISBLANK('RESUMEN VIGILANCIA'!AP39),"",'RESUMEN VIGILANCIA'!AP39)</f>
        <v>185250</v>
      </c>
      <c r="AR34" s="377">
        <f>IF(ISBLANK('RESUMEN VIGILANCIA'!AQ39),"",'RESUMEN VIGILANCIA'!AQ39)</f>
        <v>185250</v>
      </c>
      <c r="AS34" s="377">
        <f>IF(ISBLANK('RESUMEN VIGILANCIA'!AR39),"",'RESUMEN VIGILANCIA'!AR39)</f>
        <v>185250</v>
      </c>
      <c r="AT34" s="377">
        <f>IF(ISBLANK('RESUMEN VIGILANCIA'!AS39),"",'RESUMEN VIGILANCIA'!AS39)</f>
        <v>185250</v>
      </c>
      <c r="AU34" s="377" t="str">
        <f>IF(ISBLANK('RESUMEN VIGILANCIA'!AT39),"",'RESUMEN VIGILANCIA'!AT39)</f>
        <v/>
      </c>
      <c r="AV34" s="377" t="str">
        <f>IF(ISBLANK('RESUMEN VIGILANCIA'!AU39),"",'RESUMEN VIGILANCIA'!AU39)</f>
        <v/>
      </c>
      <c r="AW34" s="377" t="str">
        <f>IF(ISBLANK('RESUMEN VIGILANCIA'!AV39),"",'RESUMEN VIGILANCIA'!AV39)</f>
        <v/>
      </c>
      <c r="AX34" s="377" t="str">
        <f>IF(ISBLANK('RESUMEN VIGILANCIA'!AW39),"",'RESUMEN VIGILANCIA'!AW39)</f>
        <v/>
      </c>
      <c r="AY34" s="377" t="str">
        <f>IF(ISBLANK('RESUMEN VIGILANCIA'!AX39),"",'RESUMEN VIGILANCIA'!AX39)</f>
        <v/>
      </c>
      <c r="AZ34" s="377" t="str">
        <f>IF(ISBLANK('RESUMEN VIGILANCIA'!AY39),"",'RESUMEN VIGILANCIA'!AY39)</f>
        <v/>
      </c>
      <c r="BA34" s="378" t="str">
        <f>IF(ISBLANK('RESUMEN VIGILANCIA'!AZ39),"",'RESUMEN VIGILANCIA'!AZ39)</f>
        <v/>
      </c>
      <c r="BB34" s="242">
        <f t="shared" si="0"/>
        <v>482180.15</v>
      </c>
      <c r="BC34" s="112"/>
      <c r="BD34" s="112"/>
    </row>
    <row r="35" spans="1:56" s="29" customFormat="1" ht="20.100000000000001" customHeight="1">
      <c r="A35" s="30" t="str">
        <f>'RESUMEN VIGILANCIA'!A41</f>
        <v>Familia Hatem Medina</v>
      </c>
      <c r="B35" s="31" t="str">
        <f>'RESUMEN VIGILANCIA'!B41</f>
        <v>Calle Guacara Nro. 88-51</v>
      </c>
      <c r="C35" s="429" t="s">
        <v>1316</v>
      </c>
      <c r="D35" s="436" t="s">
        <v>1315</v>
      </c>
      <c r="E35" s="417" t="str">
        <f>IF(ISBLANK('RESUMEN VIGILANCIA'!D41),"",'RESUMEN VIGILANCIA'!D41)</f>
        <v/>
      </c>
      <c r="F35" s="273">
        <f>IF(ISBLANK('RESUMEN VIGILANCIA'!E41),"",'RESUMEN VIGILANCIA'!E41)</f>
        <v>0.105</v>
      </c>
      <c r="G35" s="182">
        <f>IF(ISBLANK('RESUMEN VIGILANCIA'!F41),"",'RESUMEN VIGILANCIA'!F41)</f>
        <v>0.16</v>
      </c>
      <c r="H35" s="182">
        <f>IF(ISBLANK('RESUMEN VIGILANCIA'!G41),"",'RESUMEN VIGILANCIA'!G41)</f>
        <v>0.16</v>
      </c>
      <c r="I35" s="182">
        <f>IF(ISBLANK('RESUMEN VIGILANCIA'!H41),"",'RESUMEN VIGILANCIA'!H41)</f>
        <v>0.17100000000000001</v>
      </c>
      <c r="J35" s="181">
        <f>IF(ISBLANK('RESUMEN VIGILANCIA'!I41),"",'RESUMEN VIGILANCIA'!I41)</f>
        <v>0.26</v>
      </c>
      <c r="K35" s="181">
        <f>IF(ISBLANK('RESUMEN VIGILANCIA'!J41),"",'RESUMEN VIGILANCIA'!J41)</f>
        <v>0.26</v>
      </c>
      <c r="L35" s="181">
        <f>IF(ISBLANK('RESUMEN VIGILANCIA'!K41),"",'RESUMEN VIGILANCIA'!K41)</f>
        <v>0.3</v>
      </c>
      <c r="M35" s="181">
        <f>IF(ISBLANK('RESUMEN VIGILANCIA'!L41),"",'RESUMEN VIGILANCIA'!L41)</f>
        <v>0.3</v>
      </c>
      <c r="N35" s="181">
        <f>IF(ISBLANK('RESUMEN VIGILANCIA'!M41),"",'RESUMEN VIGILANCIA'!M41)</f>
        <v>0.35</v>
      </c>
      <c r="O35" s="181">
        <f>IF(ISBLANK('RESUMEN VIGILANCIA'!N41),"",'RESUMEN VIGILANCIA'!N41)</f>
        <v>0.35</v>
      </c>
      <c r="P35" s="270">
        <f>IF(ISBLANK('RESUMEN VIGILANCIA'!O41),"",'RESUMEN VIGILANCIA'!O41)</f>
        <v>0.5</v>
      </c>
      <c r="Q35" s="179">
        <f>IF(ISBLANK('RESUMEN VIGILANCIA'!P41),"",'RESUMEN VIGILANCIA'!P41)</f>
        <v>0.5</v>
      </c>
      <c r="R35" s="271">
        <f>IF(ISBLANK('RESUMEN VIGILANCIA'!Q41),"",'RESUMEN VIGILANCIA'!Q41)</f>
        <v>0.8</v>
      </c>
      <c r="S35" s="270">
        <f>IF(ISBLANK('RESUMEN VIGILANCIA'!R41),"",'RESUMEN VIGILANCIA'!R41)</f>
        <v>0.8</v>
      </c>
      <c r="T35" s="270">
        <f>IF(ISBLANK('RESUMEN VIGILANCIA'!S41),"",'RESUMEN VIGILANCIA'!S41)</f>
        <v>1.4</v>
      </c>
      <c r="U35" s="270">
        <f>IF(ISBLANK('RESUMEN VIGILANCIA'!T41),"",'RESUMEN VIGILANCIA'!T41)</f>
        <v>1.4</v>
      </c>
      <c r="V35" s="270">
        <f>IF(ISBLANK('RESUMEN VIGILANCIA'!U41),"",'RESUMEN VIGILANCIA'!U41)</f>
        <v>4</v>
      </c>
      <c r="W35" s="270">
        <f>IF(ISBLANK('RESUMEN VIGILANCIA'!V41),"",'RESUMEN VIGILANCIA'!V41)</f>
        <v>6.25</v>
      </c>
      <c r="X35" s="270">
        <f>IF(ISBLANK('RESUMEN VIGILANCIA'!W41),"",'RESUMEN VIGILANCIA'!W41)</f>
        <v>10</v>
      </c>
      <c r="Y35" s="270">
        <f>IF(ISBLANK('RESUMEN VIGILANCIA'!X41),"",'RESUMEN VIGILANCIA'!X41)</f>
        <v>12</v>
      </c>
      <c r="Z35" s="455">
        <f>IF(ISBLANK('RESUMEN VIGILANCIA'!Y41),"",'RESUMEN VIGILANCIA'!Y41)</f>
        <v>320</v>
      </c>
      <c r="AA35" s="455">
        <f>IF(ISBLANK('RESUMEN VIGILANCIA'!Z41),"",'RESUMEN VIGILANCIA'!Z41)</f>
        <v>320</v>
      </c>
      <c r="AB35" s="455">
        <f>IF(ISBLANK('RESUMEN VIGILANCIA'!AA41),"",'RESUMEN VIGILANCIA'!AA41)</f>
        <v>320</v>
      </c>
      <c r="AC35" s="456">
        <f>IF(ISBLANK('RESUMEN VIGILANCIA'!AB41),"",'RESUMEN VIGILANCIA'!AB41)</f>
        <v>800</v>
      </c>
      <c r="AD35" s="376">
        <f>IF(ISBLANK('RESUMEN VIGILANCIA'!AC41),"",'RESUMEN VIGILANCIA'!AC41)</f>
        <v>3000</v>
      </c>
      <c r="AE35" s="377">
        <f>IF(ISBLANK('RESUMEN VIGILANCIA'!AD41),"",'RESUMEN VIGILANCIA'!AD41)</f>
        <v>3000</v>
      </c>
      <c r="AF35" s="377">
        <f>IF(ISBLANK('RESUMEN VIGILANCIA'!AE41),"",'RESUMEN VIGILANCIA'!AE41)</f>
        <v>3000</v>
      </c>
      <c r="AG35" s="377">
        <f>IF(ISBLANK('RESUMEN VIGILANCIA'!AF41),"",'RESUMEN VIGILANCIA'!AF41)</f>
        <v>5000</v>
      </c>
      <c r="AH35" s="377">
        <f>IF(ISBLANK('RESUMEN VIGILANCIA'!AG41),"",'RESUMEN VIGILANCIA'!AG41)</f>
        <v>8000</v>
      </c>
      <c r="AI35" s="377">
        <f>IF(ISBLANK('RESUMEN VIGILANCIA'!AH41),"",'RESUMEN VIGILANCIA'!AH41)</f>
        <v>12040</v>
      </c>
      <c r="AJ35" s="377">
        <f>IF(ISBLANK('RESUMEN VIGILANCIA'!AI41),"",'RESUMEN VIGILANCIA'!AI41)</f>
        <v>10000</v>
      </c>
      <c r="AK35" s="377">
        <f>IF(ISBLANK('RESUMEN VIGILANCIA'!AJ41),"",'RESUMEN VIGILANCIA'!AJ41)</f>
        <v>10000</v>
      </c>
      <c r="AL35" s="377">
        <f>IF(ISBLANK('RESUMEN VIGILANCIA'!AK41),"",'RESUMEN VIGILANCIA'!AK41)</f>
        <v>19800</v>
      </c>
      <c r="AM35" s="377">
        <f>IF(ISBLANK('RESUMEN VIGILANCIA'!AL41),"",'RESUMEN VIGILANCIA'!AL41)</f>
        <v>47000</v>
      </c>
      <c r="AN35" s="377">
        <f>IF(ISBLANK('RESUMEN VIGILANCIA'!AM41),"",'RESUMEN VIGILANCIA'!AM41)</f>
        <v>56250</v>
      </c>
      <c r="AO35" s="378">
        <f>IF(ISBLANK('RESUMEN VIGILANCIA'!AN41),"",'RESUMEN VIGILANCIA'!AN41)</f>
        <v>81750</v>
      </c>
      <c r="AP35" s="376">
        <f>IF(ISBLANK('RESUMEN VIGILANCIA'!AO41),"",'RESUMEN VIGILANCIA'!AO41)</f>
        <v>136250</v>
      </c>
      <c r="AQ35" s="377">
        <f>IF(ISBLANK('RESUMEN VIGILANCIA'!AP41),"",'RESUMEN VIGILANCIA'!AP41)</f>
        <v>136250</v>
      </c>
      <c r="AR35" s="377">
        <f>IF(ISBLANK('RESUMEN VIGILANCIA'!AQ41),"",'RESUMEN VIGILANCIA'!AQ41)</f>
        <v>185250</v>
      </c>
      <c r="AS35" s="377">
        <f>IF(ISBLANK('RESUMEN VIGILANCIA'!AR41),"",'RESUMEN VIGILANCIA'!AR41)</f>
        <v>185250</v>
      </c>
      <c r="AT35" s="377">
        <f>IF(ISBLANK('RESUMEN VIGILANCIA'!AS41),"",'RESUMEN VIGILANCIA'!AS41)</f>
        <v>250000</v>
      </c>
      <c r="AU35" s="377" t="str">
        <f>IF(ISBLANK('RESUMEN VIGILANCIA'!AT41),"",'RESUMEN VIGILANCIA'!AT41)</f>
        <v/>
      </c>
      <c r="AV35" s="377" t="str">
        <f>IF(ISBLANK('RESUMEN VIGILANCIA'!AU41),"",'RESUMEN VIGILANCIA'!AU41)</f>
        <v/>
      </c>
      <c r="AW35" s="377" t="str">
        <f>IF(ISBLANK('RESUMEN VIGILANCIA'!AV41),"",'RESUMEN VIGILANCIA'!AV41)</f>
        <v/>
      </c>
      <c r="AX35" s="377" t="str">
        <f>IF(ISBLANK('RESUMEN VIGILANCIA'!AW41),"",'RESUMEN VIGILANCIA'!AW41)</f>
        <v/>
      </c>
      <c r="AY35" s="377" t="str">
        <f>IF(ISBLANK('RESUMEN VIGILANCIA'!AX41),"",'RESUMEN VIGILANCIA'!AX41)</f>
        <v/>
      </c>
      <c r="AZ35" s="377" t="str">
        <f>IF(ISBLANK('RESUMEN VIGILANCIA'!AY41),"",'RESUMEN VIGILANCIA'!AY41)</f>
        <v/>
      </c>
      <c r="BA35" s="378" t="str">
        <f>IF(ISBLANK('RESUMEN VIGILANCIA'!AZ41),"",'RESUMEN VIGILANCIA'!AZ41)</f>
        <v/>
      </c>
      <c r="BB35" s="242">
        <f t="shared" ref="BB35:BB68" si="2">SUM(E35:AO35)</f>
        <v>260640.06599999999</v>
      </c>
      <c r="BC35" s="112"/>
      <c r="BD35" s="112"/>
    </row>
    <row r="36" spans="1:56" s="29" customFormat="1" ht="20.100000000000001" customHeight="1">
      <c r="A36" s="30" t="str">
        <f>'RESUMEN VIGILANCIA'!A40</f>
        <v>Familia Del Negro Palermo</v>
      </c>
      <c r="B36" s="31" t="str">
        <f>'RESUMEN VIGILANCIA'!B40</f>
        <v>Calle Guacara Nro. 88-45</v>
      </c>
      <c r="C36" s="429" t="s">
        <v>1316</v>
      </c>
      <c r="D36" s="436" t="s">
        <v>1315</v>
      </c>
      <c r="E36" s="417" t="str">
        <f>IF(ISBLANK('RESUMEN VIGILANCIA'!D40),"",'RESUMEN VIGILANCIA'!D40)</f>
        <v/>
      </c>
      <c r="F36" s="269">
        <f>IF(ISBLANK('RESUMEN VIGILANCIA'!E40),"",'RESUMEN VIGILANCIA'!E40)</f>
        <v>0.16999999999999998</v>
      </c>
      <c r="G36" s="181">
        <f>IF(ISBLANK('RESUMEN VIGILANCIA'!F40),"",'RESUMEN VIGILANCIA'!F40)</f>
        <v>0.17</v>
      </c>
      <c r="H36" s="181">
        <f>IF(ISBLANK('RESUMEN VIGILANCIA'!G40),"",'RESUMEN VIGILANCIA'!G40)</f>
        <v>0.17</v>
      </c>
      <c r="I36" s="181">
        <f>IF(ISBLANK('RESUMEN VIGILANCIA'!H40),"",'RESUMEN VIGILANCIA'!H40)</f>
        <v>0.17</v>
      </c>
      <c r="J36" s="181">
        <f>IF(ISBLANK('RESUMEN VIGILANCIA'!I40),"",'RESUMEN VIGILANCIA'!I40)</f>
        <v>0.26</v>
      </c>
      <c r="K36" s="181">
        <f>IF(ISBLANK('RESUMEN VIGILANCIA'!J40),"",'RESUMEN VIGILANCIA'!J40)</f>
        <v>0.26</v>
      </c>
      <c r="L36" s="181">
        <f>IF(ISBLANK('RESUMEN VIGILANCIA'!K40),"",'RESUMEN VIGILANCIA'!K40)</f>
        <v>0.35</v>
      </c>
      <c r="M36" s="181">
        <f>IF(ISBLANK('RESUMEN VIGILANCIA'!L40),"",'RESUMEN VIGILANCIA'!L40)</f>
        <v>0.35</v>
      </c>
      <c r="N36" s="181">
        <f>IF(ISBLANK('RESUMEN VIGILANCIA'!M40),"",'RESUMEN VIGILANCIA'!M40)</f>
        <v>0.35</v>
      </c>
      <c r="O36" s="181">
        <f>IF(ISBLANK('RESUMEN VIGILANCIA'!N40),"",'RESUMEN VIGILANCIA'!N40)</f>
        <v>0.35</v>
      </c>
      <c r="P36" s="270">
        <f>IF(ISBLANK('RESUMEN VIGILANCIA'!O40),"",'RESUMEN VIGILANCIA'!O40)</f>
        <v>0.5</v>
      </c>
      <c r="Q36" s="179">
        <f>IF(ISBLANK('RESUMEN VIGILANCIA'!P40),"",'RESUMEN VIGILANCIA'!P40)</f>
        <v>0.5</v>
      </c>
      <c r="R36" s="271">
        <f>IF(ISBLANK('RESUMEN VIGILANCIA'!Q40),"",'RESUMEN VIGILANCIA'!Q40)</f>
        <v>0.8</v>
      </c>
      <c r="S36" s="270">
        <f>IF(ISBLANK('RESUMEN VIGILANCIA'!R40),"",'RESUMEN VIGILANCIA'!R40)</f>
        <v>0.8</v>
      </c>
      <c r="T36" s="270">
        <f>IF(ISBLANK('RESUMEN VIGILANCIA'!S40),"",'RESUMEN VIGILANCIA'!S40)</f>
        <v>1.4</v>
      </c>
      <c r="U36" s="270">
        <f>IF(ISBLANK('RESUMEN VIGILANCIA'!T40),"",'RESUMEN VIGILANCIA'!T40)</f>
        <v>1.4</v>
      </c>
      <c r="V36" s="270">
        <f>IF(ISBLANK('RESUMEN VIGILANCIA'!U40),"",'RESUMEN VIGILANCIA'!U40)</f>
        <v>4</v>
      </c>
      <c r="W36" s="270">
        <f>IF(ISBLANK('RESUMEN VIGILANCIA'!V40),"",'RESUMEN VIGILANCIA'!V40)</f>
        <v>6.25</v>
      </c>
      <c r="X36" s="270">
        <f>IF(ISBLANK('RESUMEN VIGILANCIA'!W40),"",'RESUMEN VIGILANCIA'!W40)</f>
        <v>10</v>
      </c>
      <c r="Y36" s="270">
        <f>IF(ISBLANK('RESUMEN VIGILANCIA'!X40),"",'RESUMEN VIGILANCIA'!X40)</f>
        <v>12</v>
      </c>
      <c r="Z36" s="455">
        <f>IF(ISBLANK('RESUMEN VIGILANCIA'!Y40),"",'RESUMEN VIGILANCIA'!Y40)</f>
        <v>320</v>
      </c>
      <c r="AA36" s="455">
        <f>IF(ISBLANK('RESUMEN VIGILANCIA'!Z40),"",'RESUMEN VIGILANCIA'!Z40)</f>
        <v>320</v>
      </c>
      <c r="AB36" s="455">
        <f>IF(ISBLANK('RESUMEN VIGILANCIA'!AA40),"",'RESUMEN VIGILANCIA'!AA40)</f>
        <v>320</v>
      </c>
      <c r="AC36" s="456">
        <f>IF(ISBLANK('RESUMEN VIGILANCIA'!AB40),"",'RESUMEN VIGILANCIA'!AB40)</f>
        <v>800</v>
      </c>
      <c r="AD36" s="376">
        <f>IF(ISBLANK('RESUMEN VIGILANCIA'!AC40),"",'RESUMEN VIGILANCIA'!AC40)</f>
        <v>3000</v>
      </c>
      <c r="AE36" s="377">
        <f>IF(ISBLANK('RESUMEN VIGILANCIA'!AD40),"",'RESUMEN VIGILANCIA'!AD40)</f>
        <v>3000</v>
      </c>
      <c r="AF36" s="377">
        <f>IF(ISBLANK('RESUMEN VIGILANCIA'!AE40),"",'RESUMEN VIGILANCIA'!AE40)</f>
        <v>3000</v>
      </c>
      <c r="AG36" s="377">
        <f>IF(ISBLANK('RESUMEN VIGILANCIA'!AF40),"",'RESUMEN VIGILANCIA'!AF40)</f>
        <v>5000</v>
      </c>
      <c r="AH36" s="377">
        <f>IF(ISBLANK('RESUMEN VIGILANCIA'!AG40),"",'RESUMEN VIGILANCIA'!AG40)</f>
        <v>8000</v>
      </c>
      <c r="AI36" s="377">
        <f>IF(ISBLANK('RESUMEN VIGILANCIA'!AH40),"",'RESUMEN VIGILANCIA'!AH40)</f>
        <v>8000</v>
      </c>
      <c r="AJ36" s="377">
        <f>IF(ISBLANK('RESUMEN VIGILANCIA'!AI40),"",'RESUMEN VIGILANCIA'!AI40)</f>
        <v>10000</v>
      </c>
      <c r="AK36" s="377">
        <f>IF(ISBLANK('RESUMEN VIGILANCIA'!AJ40),"",'RESUMEN VIGILANCIA'!AJ40)</f>
        <v>10000</v>
      </c>
      <c r="AL36" s="377">
        <f>IF(ISBLANK('RESUMEN VIGILANCIA'!AK40),"",'RESUMEN VIGILANCIA'!AK40)</f>
        <v>23400</v>
      </c>
      <c r="AM36" s="377">
        <f>IF(ISBLANK('RESUMEN VIGILANCIA'!AL40),"",'RESUMEN VIGILANCIA'!AL40)</f>
        <v>64500</v>
      </c>
      <c r="AN36" s="377">
        <f>IF(ISBLANK('RESUMEN VIGILANCIA'!AM40),"",'RESUMEN VIGILANCIA'!AM40)</f>
        <v>64500</v>
      </c>
      <c r="AO36" s="378">
        <f>IF(ISBLANK('RESUMEN VIGILANCIA'!AN40),"",'RESUMEN VIGILANCIA'!AN40)</f>
        <v>81750</v>
      </c>
      <c r="AP36" s="376">
        <f>IF(ISBLANK('RESUMEN VIGILANCIA'!AO40),"",'RESUMEN VIGILANCIA'!AO40)</f>
        <v>136250</v>
      </c>
      <c r="AQ36" s="377">
        <f>IF(ISBLANK('RESUMEN VIGILANCIA'!AP40),"",'RESUMEN VIGILANCIA'!AP40)</f>
        <v>136250</v>
      </c>
      <c r="AR36" s="377">
        <f>IF(ISBLANK('RESUMEN VIGILANCIA'!AQ40),"",'RESUMEN VIGILANCIA'!AQ40)</f>
        <v>185250</v>
      </c>
      <c r="AS36" s="377">
        <f>IF(ISBLANK('RESUMEN VIGILANCIA'!AR40),"",'RESUMEN VIGILANCIA'!AR40)</f>
        <v>185250</v>
      </c>
      <c r="AT36" s="377">
        <f>IF(ISBLANK('RESUMEN VIGILANCIA'!AS40),"",'RESUMEN VIGILANCIA'!AS40)</f>
        <v>250000</v>
      </c>
      <c r="AU36" s="377" t="str">
        <f>IF(ISBLANK('RESUMEN VIGILANCIA'!AT40),"",'RESUMEN VIGILANCIA'!AT40)</f>
        <v/>
      </c>
      <c r="AV36" s="377" t="str">
        <f>IF(ISBLANK('RESUMEN VIGILANCIA'!AU40),"",'RESUMEN VIGILANCIA'!AU40)</f>
        <v/>
      </c>
      <c r="AW36" s="377" t="str">
        <f>IF(ISBLANK('RESUMEN VIGILANCIA'!AV40),"",'RESUMEN VIGILANCIA'!AV40)</f>
        <v/>
      </c>
      <c r="AX36" s="377" t="str">
        <f>IF(ISBLANK('RESUMEN VIGILANCIA'!AW40),"",'RESUMEN VIGILANCIA'!AW40)</f>
        <v/>
      </c>
      <c r="AY36" s="377" t="str">
        <f>IF(ISBLANK('RESUMEN VIGILANCIA'!AX40),"",'RESUMEN VIGILANCIA'!AX40)</f>
        <v/>
      </c>
      <c r="AZ36" s="377" t="str">
        <f>IF(ISBLANK('RESUMEN VIGILANCIA'!AY40),"",'RESUMEN VIGILANCIA'!AY40)</f>
        <v/>
      </c>
      <c r="BA36" s="378" t="str">
        <f>IF(ISBLANK('RESUMEN VIGILANCIA'!AZ40),"",'RESUMEN VIGILANCIA'!AZ40)</f>
        <v/>
      </c>
      <c r="BB36" s="242">
        <f t="shared" si="2"/>
        <v>285950.25</v>
      </c>
      <c r="BC36" s="112"/>
      <c r="BD36" s="112"/>
    </row>
    <row r="37" spans="1:56" s="29" customFormat="1" ht="20.100000000000001" customHeight="1">
      <c r="A37" s="30" t="str">
        <f>'RESUMEN VIGILANCIA'!A42</f>
        <v>Familia Leung</v>
      </c>
      <c r="B37" s="31" t="str">
        <f>'RESUMEN VIGILANCIA'!B42</f>
        <v>Calle Guacara Nro. 88-55</v>
      </c>
      <c r="C37" s="429" t="s">
        <v>1316</v>
      </c>
      <c r="D37" s="436" t="s">
        <v>1315</v>
      </c>
      <c r="E37" s="417" t="str">
        <f>IF(ISBLANK('RESUMEN VIGILANCIA'!D42),"",'RESUMEN VIGILANCIA'!D42)</f>
        <v/>
      </c>
      <c r="F37" s="269">
        <f>IF(ISBLANK('RESUMEN VIGILANCIA'!E42),"",'RESUMEN VIGILANCIA'!E42)</f>
        <v>0.17</v>
      </c>
      <c r="G37" s="181">
        <f>IF(ISBLANK('RESUMEN VIGILANCIA'!F42),"",'RESUMEN VIGILANCIA'!F42)</f>
        <v>0.17</v>
      </c>
      <c r="H37" s="181">
        <f>IF(ISBLANK('RESUMEN VIGILANCIA'!G42),"",'RESUMEN VIGILANCIA'!G42)</f>
        <v>0.17</v>
      </c>
      <c r="I37" s="181">
        <f>IF(ISBLANK('RESUMEN VIGILANCIA'!H42),"",'RESUMEN VIGILANCIA'!H42)</f>
        <v>0.17</v>
      </c>
      <c r="J37" s="181">
        <f>IF(ISBLANK('RESUMEN VIGILANCIA'!I42),"",'RESUMEN VIGILANCIA'!I42)</f>
        <v>0.26</v>
      </c>
      <c r="K37" s="181" t="str">
        <f>IF(ISBLANK('RESUMEN VIGILANCIA'!J42),"",'RESUMEN VIGILANCIA'!J42)</f>
        <v>- - -</v>
      </c>
      <c r="L37" s="181" t="str">
        <f>IF(ISBLANK('RESUMEN VIGILANCIA'!K42),"",'RESUMEN VIGILANCIA'!K42)</f>
        <v>- - -</v>
      </c>
      <c r="M37" s="181" t="str">
        <f>IF(ISBLANK('RESUMEN VIGILANCIA'!L42),"",'RESUMEN VIGILANCIA'!L42)</f>
        <v>- - -</v>
      </c>
      <c r="N37" s="181" t="str">
        <f>IF(ISBLANK('RESUMEN VIGILANCIA'!M42),"",'RESUMEN VIGILANCIA'!M42)</f>
        <v>- - -</v>
      </c>
      <c r="O37" s="181" t="str">
        <f>IF(ISBLANK('RESUMEN VIGILANCIA'!N42),"",'RESUMEN VIGILANCIA'!N42)</f>
        <v>- - -</v>
      </c>
      <c r="P37" s="270" t="str">
        <f>IF(ISBLANK('RESUMEN VIGILANCIA'!O42),"",'RESUMEN VIGILANCIA'!O42)</f>
        <v>- - -</v>
      </c>
      <c r="Q37" s="179" t="str">
        <f>IF(ISBLANK('RESUMEN VIGILANCIA'!P42),"",'RESUMEN VIGILANCIA'!P42)</f>
        <v>- - -</v>
      </c>
      <c r="R37" s="271">
        <f>IF(ISBLANK('RESUMEN VIGILANCIA'!Q42),"",'RESUMEN VIGILANCIA'!Q42)</f>
        <v>0.8</v>
      </c>
      <c r="S37" s="270">
        <f>IF(ISBLANK('RESUMEN VIGILANCIA'!R42),"",'RESUMEN VIGILANCIA'!R42)</f>
        <v>0.8</v>
      </c>
      <c r="T37" s="270">
        <f>IF(ISBLANK('RESUMEN VIGILANCIA'!S42),"",'RESUMEN VIGILANCIA'!S42)</f>
        <v>1.4</v>
      </c>
      <c r="U37" s="270">
        <f>IF(ISBLANK('RESUMEN VIGILANCIA'!T42),"",'RESUMEN VIGILANCIA'!T42)</f>
        <v>1.4</v>
      </c>
      <c r="V37" s="270">
        <f>IF(ISBLANK('RESUMEN VIGILANCIA'!U42),"",'RESUMEN VIGILANCIA'!U42)</f>
        <v>4</v>
      </c>
      <c r="W37" s="270">
        <f>IF(ISBLANK('RESUMEN VIGILANCIA'!V42),"",'RESUMEN VIGILANCIA'!V42)</f>
        <v>4</v>
      </c>
      <c r="X37" s="270">
        <f>IF(ISBLANK('RESUMEN VIGILANCIA'!W42),"",'RESUMEN VIGILANCIA'!W42)</f>
        <v>10</v>
      </c>
      <c r="Y37" s="270">
        <f>IF(ISBLANK('RESUMEN VIGILANCIA'!X42),"",'RESUMEN VIGILANCIA'!X42)</f>
        <v>12</v>
      </c>
      <c r="Z37" s="455">
        <f>IF(ISBLANK('RESUMEN VIGILANCIA'!Y42),"",'RESUMEN VIGILANCIA'!Y42)</f>
        <v>320</v>
      </c>
      <c r="AA37" s="455">
        <f>IF(ISBLANK('RESUMEN VIGILANCIA'!Z42),"",'RESUMEN VIGILANCIA'!Z42)</f>
        <v>330</v>
      </c>
      <c r="AB37" s="455">
        <f>IF(ISBLANK('RESUMEN VIGILANCIA'!AA42),"",'RESUMEN VIGILANCIA'!AA42)</f>
        <v>320</v>
      </c>
      <c r="AC37" s="456">
        <f>IF(ISBLANK('RESUMEN VIGILANCIA'!AB42),"",'RESUMEN VIGILANCIA'!AB42)</f>
        <v>800</v>
      </c>
      <c r="AD37" s="376">
        <f>IF(ISBLANK('RESUMEN VIGILANCIA'!AC42),"",'RESUMEN VIGILANCIA'!AC42)</f>
        <v>3000</v>
      </c>
      <c r="AE37" s="377">
        <f>IF(ISBLANK('RESUMEN VIGILANCIA'!AD42),"",'RESUMEN VIGILANCIA'!AD42)</f>
        <v>3000</v>
      </c>
      <c r="AF37" s="377">
        <f>IF(ISBLANK('RESUMEN VIGILANCIA'!AE42),"",'RESUMEN VIGILANCIA'!AE42)</f>
        <v>3000</v>
      </c>
      <c r="AG37" s="377">
        <f>IF(ISBLANK('RESUMEN VIGILANCIA'!AF42),"",'RESUMEN VIGILANCIA'!AF42)</f>
        <v>5000</v>
      </c>
      <c r="AH37" s="393" t="str">
        <f>IF(ISBLANK('RESUMEN VIGILANCIA'!AG42),"",'RESUMEN VIGILANCIA'!AG42)</f>
        <v/>
      </c>
      <c r="AI37" s="393" t="str">
        <f>IF(ISBLANK('RESUMEN VIGILANCIA'!AH42),"",'RESUMEN VIGILANCIA'!AH42)</f>
        <v/>
      </c>
      <c r="AJ37" s="393" t="str">
        <f>IF(ISBLANK('RESUMEN VIGILANCIA'!AI42),"",'RESUMEN VIGILANCIA'!AI42)</f>
        <v/>
      </c>
      <c r="AK37" s="393" t="str">
        <f>IF(ISBLANK('RESUMEN VIGILANCIA'!AJ42),"",'RESUMEN VIGILANCIA'!AJ42)</f>
        <v/>
      </c>
      <c r="AL37" s="393" t="str">
        <f>IF(ISBLANK('RESUMEN VIGILANCIA'!AK42),"",'RESUMEN VIGILANCIA'!AK42)</f>
        <v/>
      </c>
      <c r="AM37" s="393" t="str">
        <f>IF(ISBLANK('RESUMEN VIGILANCIA'!AL42),"",'RESUMEN VIGILANCIA'!AL42)</f>
        <v/>
      </c>
      <c r="AN37" s="393" t="str">
        <f>IF(ISBLANK('RESUMEN VIGILANCIA'!AM42),"",'RESUMEN VIGILANCIA'!AM42)</f>
        <v/>
      </c>
      <c r="AO37" s="394" t="str">
        <f>IF(ISBLANK('RESUMEN VIGILANCIA'!AN42),"",'RESUMEN VIGILANCIA'!AN42)</f>
        <v/>
      </c>
      <c r="AP37" s="392" t="str">
        <f>IF(ISBLANK('RESUMEN VIGILANCIA'!AO42),"",'RESUMEN VIGILANCIA'!AO42)</f>
        <v/>
      </c>
      <c r="AQ37" s="393" t="str">
        <f>IF(ISBLANK('RESUMEN VIGILANCIA'!AP42),"",'RESUMEN VIGILANCIA'!AP42)</f>
        <v/>
      </c>
      <c r="AR37" s="393" t="str">
        <f>IF(ISBLANK('RESUMEN VIGILANCIA'!AQ42),"",'RESUMEN VIGILANCIA'!AQ42)</f>
        <v/>
      </c>
      <c r="AS37" s="393" t="str">
        <f>IF(ISBLANK('RESUMEN VIGILANCIA'!AR42),"",'RESUMEN VIGILANCIA'!AR42)</f>
        <v/>
      </c>
      <c r="AT37" s="393" t="str">
        <f>IF(ISBLANK('RESUMEN VIGILANCIA'!AS42),"",'RESUMEN VIGILANCIA'!AS42)</f>
        <v/>
      </c>
      <c r="AU37" s="393" t="str">
        <f>IF(ISBLANK('RESUMEN VIGILANCIA'!AT42),"",'RESUMEN VIGILANCIA'!AT42)</f>
        <v/>
      </c>
      <c r="AV37" s="393" t="str">
        <f>IF(ISBLANK('RESUMEN VIGILANCIA'!AU42),"",'RESUMEN VIGILANCIA'!AU42)</f>
        <v/>
      </c>
      <c r="AW37" s="393" t="str">
        <f>IF(ISBLANK('RESUMEN VIGILANCIA'!AV42),"",'RESUMEN VIGILANCIA'!AV42)</f>
        <v/>
      </c>
      <c r="AX37" s="393" t="str">
        <f>IF(ISBLANK('RESUMEN VIGILANCIA'!AW42),"",'RESUMEN VIGILANCIA'!AW42)</f>
        <v/>
      </c>
      <c r="AY37" s="393" t="str">
        <f>IF(ISBLANK('RESUMEN VIGILANCIA'!AX42),"",'RESUMEN VIGILANCIA'!AX42)</f>
        <v/>
      </c>
      <c r="AZ37" s="393" t="str">
        <f>IF(ISBLANK('RESUMEN VIGILANCIA'!AY42),"",'RESUMEN VIGILANCIA'!AY42)</f>
        <v/>
      </c>
      <c r="BA37" s="394" t="str">
        <f>IF(ISBLANK('RESUMEN VIGILANCIA'!AZ42),"",'RESUMEN VIGILANCIA'!AZ42)</f>
        <v/>
      </c>
      <c r="BB37" s="245">
        <f t="shared" si="2"/>
        <v>15805.34</v>
      </c>
      <c r="BC37" s="113"/>
      <c r="BD37" s="113">
        <v>43556</v>
      </c>
    </row>
    <row r="38" spans="1:56" s="29" customFormat="1" ht="20.100000000000001" customHeight="1">
      <c r="A38" s="30" t="str">
        <f>'RESUMEN VIGILANCIA'!A43</f>
        <v>Familia Zhen</v>
      </c>
      <c r="B38" s="31" t="str">
        <f>'RESUMEN VIGILANCIA'!B43</f>
        <v>Calle Guacara Nro. 88-55</v>
      </c>
      <c r="C38" s="429" t="s">
        <v>1316</v>
      </c>
      <c r="D38" s="436" t="s">
        <v>1315</v>
      </c>
      <c r="E38" s="418" t="str">
        <f>IF(ISBLANK('RESUMEN VIGILANCIA'!D43),"",'RESUMEN VIGILANCIA'!D43)</f>
        <v/>
      </c>
      <c r="F38" s="277" t="str">
        <f>IF(ISBLANK('RESUMEN VIGILANCIA'!E43),"",'RESUMEN VIGILANCIA'!E43)</f>
        <v/>
      </c>
      <c r="G38" s="278" t="str">
        <f>IF(ISBLANK('RESUMEN VIGILANCIA'!F43),"",'RESUMEN VIGILANCIA'!F43)</f>
        <v/>
      </c>
      <c r="H38" s="278" t="str">
        <f>IF(ISBLANK('RESUMEN VIGILANCIA'!G43),"",'RESUMEN VIGILANCIA'!G43)</f>
        <v/>
      </c>
      <c r="I38" s="278" t="str">
        <f>IF(ISBLANK('RESUMEN VIGILANCIA'!H43),"",'RESUMEN VIGILANCIA'!H43)</f>
        <v/>
      </c>
      <c r="J38" s="278" t="str">
        <f>IF(ISBLANK('RESUMEN VIGILANCIA'!I43),"",'RESUMEN VIGILANCIA'!I43)</f>
        <v/>
      </c>
      <c r="K38" s="278" t="str">
        <f>IF(ISBLANK('RESUMEN VIGILANCIA'!J43),"",'RESUMEN VIGILANCIA'!J43)</f>
        <v/>
      </c>
      <c r="L38" s="278" t="str">
        <f>IF(ISBLANK('RESUMEN VIGILANCIA'!K43),"",'RESUMEN VIGILANCIA'!K43)</f>
        <v/>
      </c>
      <c r="M38" s="278" t="str">
        <f>IF(ISBLANK('RESUMEN VIGILANCIA'!L43),"",'RESUMEN VIGILANCIA'!L43)</f>
        <v/>
      </c>
      <c r="N38" s="278" t="str">
        <f>IF(ISBLANK('RESUMEN VIGILANCIA'!M43),"",'RESUMEN VIGILANCIA'!M43)</f>
        <v/>
      </c>
      <c r="O38" s="278" t="str">
        <f>IF(ISBLANK('RESUMEN VIGILANCIA'!N43),"",'RESUMEN VIGILANCIA'!N43)</f>
        <v/>
      </c>
      <c r="P38" s="279" t="str">
        <f>IF(ISBLANK('RESUMEN VIGILANCIA'!O43),"",'RESUMEN VIGILANCIA'!O43)</f>
        <v/>
      </c>
      <c r="Q38" s="276" t="str">
        <f>IF(ISBLANK('RESUMEN VIGILANCIA'!P43),"",'RESUMEN VIGILANCIA'!P43)</f>
        <v/>
      </c>
      <c r="R38" s="280" t="str">
        <f>IF(ISBLANK('RESUMEN VIGILANCIA'!Q43),"",'RESUMEN VIGILANCIA'!Q43)</f>
        <v/>
      </c>
      <c r="S38" s="279" t="str">
        <f>IF(ISBLANK('RESUMEN VIGILANCIA'!R43),"",'RESUMEN VIGILANCIA'!R43)</f>
        <v/>
      </c>
      <c r="T38" s="279" t="str">
        <f>IF(ISBLANK('RESUMEN VIGILANCIA'!S43),"",'RESUMEN VIGILANCIA'!S43)</f>
        <v/>
      </c>
      <c r="U38" s="279" t="str">
        <f>IF(ISBLANK('RESUMEN VIGILANCIA'!T43),"",'RESUMEN VIGILANCIA'!T43)</f>
        <v/>
      </c>
      <c r="V38" s="279" t="str">
        <f>IF(ISBLANK('RESUMEN VIGILANCIA'!U43),"",'RESUMEN VIGILANCIA'!U43)</f>
        <v/>
      </c>
      <c r="W38" s="279" t="str">
        <f>IF(ISBLANK('RESUMEN VIGILANCIA'!V43),"",'RESUMEN VIGILANCIA'!V43)</f>
        <v/>
      </c>
      <c r="X38" s="279" t="str">
        <f>IF(ISBLANK('RESUMEN VIGILANCIA'!W43),"",'RESUMEN VIGILANCIA'!W43)</f>
        <v/>
      </c>
      <c r="Y38" s="279" t="str">
        <f>IF(ISBLANK('RESUMEN VIGILANCIA'!X43),"",'RESUMEN VIGILANCIA'!X43)</f>
        <v/>
      </c>
      <c r="Z38" s="463" t="str">
        <f>IF(ISBLANK('RESUMEN VIGILANCIA'!Y43),"",'RESUMEN VIGILANCIA'!Y43)</f>
        <v/>
      </c>
      <c r="AA38" s="463" t="str">
        <f>IF(ISBLANK('RESUMEN VIGILANCIA'!Z43),"",'RESUMEN VIGILANCIA'!Z43)</f>
        <v/>
      </c>
      <c r="AB38" s="463" t="str">
        <f>IF(ISBLANK('RESUMEN VIGILANCIA'!AA43),"",'RESUMEN VIGILANCIA'!AA43)</f>
        <v/>
      </c>
      <c r="AC38" s="463" t="str">
        <f>IF(ISBLANK('RESUMEN VIGILANCIA'!AB43),"",'RESUMEN VIGILANCIA'!AB43)</f>
        <v/>
      </c>
      <c r="AD38" s="463" t="str">
        <f>IF(ISBLANK('RESUMEN VIGILANCIA'!AC43),"",'RESUMEN VIGILANCIA'!AC43)</f>
        <v/>
      </c>
      <c r="AE38" s="463" t="str">
        <f>IF(ISBLANK('RESUMEN VIGILANCIA'!AD43),"",'RESUMEN VIGILANCIA'!AD43)</f>
        <v/>
      </c>
      <c r="AF38" s="463" t="str">
        <f>IF(ISBLANK('RESUMEN VIGILANCIA'!AE43),"",'RESUMEN VIGILANCIA'!AE43)</f>
        <v/>
      </c>
      <c r="AG38" s="463" t="str">
        <f>IF(ISBLANK('RESUMEN VIGILANCIA'!AF43),"",'RESUMEN VIGILANCIA'!AF43)</f>
        <v/>
      </c>
      <c r="AH38" s="377">
        <f>IF(ISBLANK('RESUMEN VIGILANCIA'!AG43),"",'RESUMEN VIGILANCIA'!AG43)</f>
        <v>8000</v>
      </c>
      <c r="AI38" s="377">
        <f>IF(ISBLANK('RESUMEN VIGILANCIA'!AH43),"",'RESUMEN VIGILANCIA'!AH43)</f>
        <v>8000</v>
      </c>
      <c r="AJ38" s="377">
        <f>IF(ISBLANK('RESUMEN VIGILANCIA'!AI43),"",'RESUMEN VIGILANCIA'!AI43)</f>
        <v>10000</v>
      </c>
      <c r="AK38" s="377">
        <f>IF(ISBLANK('RESUMEN VIGILANCIA'!AJ43),"",'RESUMEN VIGILANCIA'!AJ43)</f>
        <v>10000</v>
      </c>
      <c r="AL38" s="377">
        <f>IF(ISBLANK('RESUMEN VIGILANCIA'!AK43),"",'RESUMEN VIGILANCIA'!AK43)</f>
        <v>20300</v>
      </c>
      <c r="AM38" s="377">
        <f>IF(ISBLANK('RESUMEN VIGILANCIA'!AL43),"",'RESUMEN VIGILANCIA'!AL43)</f>
        <v>185250</v>
      </c>
      <c r="AN38" s="377">
        <f>IF(ISBLANK('RESUMEN VIGILANCIA'!AM43),"",'RESUMEN VIGILANCIA'!AM43)</f>
        <v>185250</v>
      </c>
      <c r="AO38" s="378">
        <f>IF(ISBLANK('RESUMEN VIGILANCIA'!AN43),"",'RESUMEN VIGILANCIA'!AN43)</f>
        <v>185250</v>
      </c>
      <c r="AP38" s="376">
        <f>IF(ISBLANK('RESUMEN VIGILANCIA'!AO43),"",'RESUMEN VIGILANCIA'!AO43)</f>
        <v>185250</v>
      </c>
      <c r="AQ38" s="377">
        <f>IF(ISBLANK('RESUMEN VIGILANCIA'!AP43),"",'RESUMEN VIGILANCIA'!AP43)</f>
        <v>185250</v>
      </c>
      <c r="AR38" s="377">
        <f>IF(ISBLANK('RESUMEN VIGILANCIA'!AQ43),"",'RESUMEN VIGILANCIA'!AQ43)</f>
        <v>185250</v>
      </c>
      <c r="AS38" s="377">
        <f>IF(ISBLANK('RESUMEN VIGILANCIA'!AR43),"",'RESUMEN VIGILANCIA'!AR43)</f>
        <v>185250</v>
      </c>
      <c r="AT38" s="377" t="str">
        <f>IF(ISBLANK('RESUMEN VIGILANCIA'!AS43),"",'RESUMEN VIGILANCIA'!AS43)</f>
        <v/>
      </c>
      <c r="AU38" s="377" t="str">
        <f>IF(ISBLANK('RESUMEN VIGILANCIA'!AT43),"",'RESUMEN VIGILANCIA'!AT43)</f>
        <v/>
      </c>
      <c r="AV38" s="377" t="str">
        <f>IF(ISBLANK('RESUMEN VIGILANCIA'!AU43),"",'RESUMEN VIGILANCIA'!AU43)</f>
        <v/>
      </c>
      <c r="AW38" s="377" t="str">
        <f>IF(ISBLANK('RESUMEN VIGILANCIA'!AV43),"",'RESUMEN VIGILANCIA'!AV43)</f>
        <v/>
      </c>
      <c r="AX38" s="377" t="str">
        <f>IF(ISBLANK('RESUMEN VIGILANCIA'!AW43),"",'RESUMEN VIGILANCIA'!AW43)</f>
        <v/>
      </c>
      <c r="AY38" s="377" t="str">
        <f>IF(ISBLANK('RESUMEN VIGILANCIA'!AX43),"",'RESUMEN VIGILANCIA'!AX43)</f>
        <v/>
      </c>
      <c r="AZ38" s="377" t="str">
        <f>IF(ISBLANK('RESUMEN VIGILANCIA'!AY43),"",'RESUMEN VIGILANCIA'!AY43)</f>
        <v/>
      </c>
      <c r="BA38" s="378" t="str">
        <f>IF(ISBLANK('RESUMEN VIGILANCIA'!AZ43),"",'RESUMEN VIGILANCIA'!AZ43)</f>
        <v/>
      </c>
      <c r="BB38" s="242">
        <f t="shared" ref="BB38" si="3">SUM(E38:AO38)</f>
        <v>612050</v>
      </c>
      <c r="BC38" s="112">
        <v>43586</v>
      </c>
      <c r="BD38" s="112"/>
    </row>
    <row r="39" spans="1:56" s="29" customFormat="1" ht="20.100000000000001" customHeight="1">
      <c r="A39" s="30" t="str">
        <f>'RESUMEN VIGILANCIA'!A44</f>
        <v>Amparo Acosta</v>
      </c>
      <c r="B39" s="31" t="str">
        <f>'RESUMEN VIGILANCIA'!B44</f>
        <v>Calle Guacara Nro. 88-65</v>
      </c>
      <c r="C39" s="429" t="s">
        <v>1319</v>
      </c>
      <c r="D39" s="524" t="s">
        <v>17</v>
      </c>
      <c r="E39" s="417" t="str">
        <f>IF(ISBLANK('RESUMEN VIGILANCIA'!D44),"",'RESUMEN VIGILANCIA'!D44)</f>
        <v/>
      </c>
      <c r="F39" s="269" t="str">
        <f>IF(ISBLANK('RESUMEN VIGILANCIA'!E44),"",'RESUMEN VIGILANCIA'!E44)</f>
        <v/>
      </c>
      <c r="G39" s="181" t="str">
        <f>IF(ISBLANK('RESUMEN VIGILANCIA'!F44),"",'RESUMEN VIGILANCIA'!F44)</f>
        <v/>
      </c>
      <c r="H39" s="181" t="str">
        <f>IF(ISBLANK('RESUMEN VIGILANCIA'!G44),"",'RESUMEN VIGILANCIA'!G44)</f>
        <v/>
      </c>
      <c r="I39" s="181" t="str">
        <f>IF(ISBLANK('RESUMEN VIGILANCIA'!H44),"",'RESUMEN VIGILANCIA'!H44)</f>
        <v/>
      </c>
      <c r="J39" s="181" t="str">
        <f>IF(ISBLANK('RESUMEN VIGILANCIA'!I44),"",'RESUMEN VIGILANCIA'!I44)</f>
        <v/>
      </c>
      <c r="K39" s="181" t="str">
        <f>IF(ISBLANK('RESUMEN VIGILANCIA'!J44),"",'RESUMEN VIGILANCIA'!J44)</f>
        <v/>
      </c>
      <c r="L39" s="181" t="str">
        <f>IF(ISBLANK('RESUMEN VIGILANCIA'!K44),"",'RESUMEN VIGILANCIA'!K44)</f>
        <v/>
      </c>
      <c r="M39" s="181" t="str">
        <f>IF(ISBLANK('RESUMEN VIGILANCIA'!L44),"",'RESUMEN VIGILANCIA'!L44)</f>
        <v/>
      </c>
      <c r="N39" s="181" t="str">
        <f>IF(ISBLANK('RESUMEN VIGILANCIA'!M44),"",'RESUMEN VIGILANCIA'!M44)</f>
        <v/>
      </c>
      <c r="O39" s="181" t="str">
        <f>IF(ISBLANK('RESUMEN VIGILANCIA'!N44),"",'RESUMEN VIGILANCIA'!N44)</f>
        <v/>
      </c>
      <c r="P39" s="270" t="str">
        <f>IF(ISBLANK('RESUMEN VIGILANCIA'!O44),"",'RESUMEN VIGILANCIA'!O44)</f>
        <v/>
      </c>
      <c r="Q39" s="179" t="str">
        <f>IF(ISBLANK('RESUMEN VIGILANCIA'!P44),"",'RESUMEN VIGILANCIA'!P44)</f>
        <v/>
      </c>
      <c r="R39" s="271" t="str">
        <f>IF(ISBLANK('RESUMEN VIGILANCIA'!Q44),"",'RESUMEN VIGILANCIA'!Q44)</f>
        <v/>
      </c>
      <c r="S39" s="270" t="str">
        <f>IF(ISBLANK('RESUMEN VIGILANCIA'!R44),"",'RESUMEN VIGILANCIA'!R44)</f>
        <v/>
      </c>
      <c r="T39" s="270" t="str">
        <f>IF(ISBLANK('RESUMEN VIGILANCIA'!S44),"",'RESUMEN VIGILANCIA'!S44)</f>
        <v/>
      </c>
      <c r="U39" s="270" t="str">
        <f>IF(ISBLANK('RESUMEN VIGILANCIA'!T44),"",'RESUMEN VIGILANCIA'!T44)</f>
        <v/>
      </c>
      <c r="V39" s="270" t="str">
        <f>IF(ISBLANK('RESUMEN VIGILANCIA'!U44),"",'RESUMEN VIGILANCIA'!U44)</f>
        <v/>
      </c>
      <c r="W39" s="270" t="str">
        <f>IF(ISBLANK('RESUMEN VIGILANCIA'!V44),"",'RESUMEN VIGILANCIA'!V44)</f>
        <v/>
      </c>
      <c r="X39" s="270">
        <f>IF(ISBLANK('RESUMEN VIGILANCIA'!W44),"",'RESUMEN VIGILANCIA'!W44)</f>
        <v>10</v>
      </c>
      <c r="Y39" s="270">
        <f>IF(ISBLANK('RESUMEN VIGILANCIA'!X44),"",'RESUMEN VIGILANCIA'!X44)</f>
        <v>12</v>
      </c>
      <c r="Z39" s="455">
        <f>IF(ISBLANK('RESUMEN VIGILANCIA'!Y44),"",'RESUMEN VIGILANCIA'!Y44)</f>
        <v>320</v>
      </c>
      <c r="AA39" s="455">
        <f>IF(ISBLANK('RESUMEN VIGILANCIA'!Z44),"",'RESUMEN VIGILANCIA'!Z44)</f>
        <v>320</v>
      </c>
      <c r="AB39" s="455">
        <f>IF(ISBLANK('RESUMEN VIGILANCIA'!AA44),"",'RESUMEN VIGILANCIA'!AA44)</f>
        <v>330</v>
      </c>
      <c r="AC39" s="456">
        <f>IF(ISBLANK('RESUMEN VIGILANCIA'!AB44),"",'RESUMEN VIGILANCIA'!AB44)</f>
        <v>800</v>
      </c>
      <c r="AD39" s="376">
        <f>IF(ISBLANK('RESUMEN VIGILANCIA'!AC44),"",'RESUMEN VIGILANCIA'!AC44)</f>
        <v>3000</v>
      </c>
      <c r="AE39" s="377">
        <f>IF(ISBLANK('RESUMEN VIGILANCIA'!AD44),"",'RESUMEN VIGILANCIA'!AD44)</f>
        <v>3000</v>
      </c>
      <c r="AF39" s="377">
        <f>IF(ISBLANK('RESUMEN VIGILANCIA'!AE44),"",'RESUMEN VIGILANCIA'!AE44)</f>
        <v>3000</v>
      </c>
      <c r="AG39" s="377">
        <f>IF(ISBLANK('RESUMEN VIGILANCIA'!AF44),"",'RESUMEN VIGILANCIA'!AF44)</f>
        <v>5000</v>
      </c>
      <c r="AH39" s="377">
        <f>IF(ISBLANK('RESUMEN VIGILANCIA'!AG44),"",'RESUMEN VIGILANCIA'!AG44)</f>
        <v>8000</v>
      </c>
      <c r="AI39" s="377">
        <f>IF(ISBLANK('RESUMEN VIGILANCIA'!AH44),"",'RESUMEN VIGILANCIA'!AH44)</f>
        <v>8000</v>
      </c>
      <c r="AJ39" s="377">
        <f>IF(ISBLANK('RESUMEN VIGILANCIA'!AI44),"",'RESUMEN VIGILANCIA'!AI44)</f>
        <v>10000</v>
      </c>
      <c r="AK39" s="377">
        <f>IF(ISBLANK('RESUMEN VIGILANCIA'!AJ44),"",'RESUMEN VIGILANCIA'!AJ44)</f>
        <v>10000</v>
      </c>
      <c r="AL39" s="377">
        <f>IF(ISBLANK('RESUMEN VIGILANCIA'!AK44),"",'RESUMEN VIGILANCIA'!AK44)</f>
        <v>20500</v>
      </c>
      <c r="AM39" s="377">
        <f>IF(ISBLANK('RESUMEN VIGILANCIA'!AL44),"",'RESUMEN VIGILANCIA'!AL44)</f>
        <v>47000</v>
      </c>
      <c r="AN39" s="377">
        <f>IF(ISBLANK('RESUMEN VIGILANCIA'!AM44),"",'RESUMEN VIGILANCIA'!AM44)</f>
        <v>56250</v>
      </c>
      <c r="AO39" s="378">
        <f>IF(ISBLANK('RESUMEN VIGILANCIA'!AN44),"",'RESUMEN VIGILANCIA'!AN44)</f>
        <v>81750</v>
      </c>
      <c r="AP39" s="376">
        <f>IF(ISBLANK('RESUMEN VIGILANCIA'!AO44),"",'RESUMEN VIGILANCIA'!AO44)</f>
        <v>136250</v>
      </c>
      <c r="AQ39" s="377">
        <f>IF(ISBLANK('RESUMEN VIGILANCIA'!AP44),"",'RESUMEN VIGILANCIA'!AP44)</f>
        <v>136250</v>
      </c>
      <c r="AR39" s="377">
        <f>IF(ISBLANK('RESUMEN VIGILANCIA'!AQ44),"",'RESUMEN VIGILANCIA'!AQ44)</f>
        <v>185250</v>
      </c>
      <c r="AS39" s="377">
        <f>IF(ISBLANK('RESUMEN VIGILANCIA'!AR44),"",'RESUMEN VIGILANCIA'!AR44)</f>
        <v>185250</v>
      </c>
      <c r="AT39" s="377">
        <f>IF(ISBLANK('RESUMEN VIGILANCIA'!AS44),"",'RESUMEN VIGILANCIA'!AS44)</f>
        <v>250000</v>
      </c>
      <c r="AU39" s="377" t="str">
        <f>IF(ISBLANK('RESUMEN VIGILANCIA'!AT44),"",'RESUMEN VIGILANCIA'!AT44)</f>
        <v/>
      </c>
      <c r="AV39" s="377" t="str">
        <f>IF(ISBLANK('RESUMEN VIGILANCIA'!AU44),"",'RESUMEN VIGILANCIA'!AU44)</f>
        <v/>
      </c>
      <c r="AW39" s="377" t="str">
        <f>IF(ISBLANK('RESUMEN VIGILANCIA'!AV44),"",'RESUMEN VIGILANCIA'!AV44)</f>
        <v/>
      </c>
      <c r="AX39" s="377" t="str">
        <f>IF(ISBLANK('RESUMEN VIGILANCIA'!AW44),"",'RESUMEN VIGILANCIA'!AW44)</f>
        <v/>
      </c>
      <c r="AY39" s="377" t="str">
        <f>IF(ISBLANK('RESUMEN VIGILANCIA'!AX44),"",'RESUMEN VIGILANCIA'!AX44)</f>
        <v/>
      </c>
      <c r="AZ39" s="377" t="str">
        <f>IF(ISBLANK('RESUMEN VIGILANCIA'!AY44),"",'RESUMEN VIGILANCIA'!AY44)</f>
        <v/>
      </c>
      <c r="BA39" s="378" t="str">
        <f>IF(ISBLANK('RESUMEN VIGILANCIA'!AZ44),"",'RESUMEN VIGILANCIA'!AZ44)</f>
        <v/>
      </c>
      <c r="BB39" s="242">
        <f t="shared" si="2"/>
        <v>257292</v>
      </c>
      <c r="BC39" s="112"/>
      <c r="BD39" s="112"/>
    </row>
    <row r="40" spans="1:56" s="29" customFormat="1" ht="20.100000000000001" customHeight="1">
      <c r="A40" s="59" t="str">
        <f>'RESUMEN VIGILANCIA'!A45</f>
        <v>Familia Fernández Parés</v>
      </c>
      <c r="B40" s="60" t="str">
        <f>'RESUMEN VIGILANCIA'!B45</f>
        <v>Calle Guacara Nro. 88-75</v>
      </c>
      <c r="C40" s="429"/>
      <c r="D40" s="436" t="s">
        <v>1315</v>
      </c>
      <c r="E40" s="417" t="str">
        <f>IF(ISBLANK('RESUMEN VIGILANCIA'!D45),"",'RESUMEN VIGILANCIA'!D45)</f>
        <v/>
      </c>
      <c r="F40" s="269">
        <f>IF(ISBLANK('RESUMEN VIGILANCIA'!E45),"",'RESUMEN VIGILANCIA'!E45)</f>
        <v>0.17</v>
      </c>
      <c r="G40" s="181">
        <f>IF(ISBLANK('RESUMEN VIGILANCIA'!F45),"",'RESUMEN VIGILANCIA'!F45)</f>
        <v>0.17</v>
      </c>
      <c r="H40" s="181">
        <f>IF(ISBLANK('RESUMEN VIGILANCIA'!G45),"",'RESUMEN VIGILANCIA'!G45)</f>
        <v>0.17</v>
      </c>
      <c r="I40" s="181">
        <f>IF(ISBLANK('RESUMEN VIGILANCIA'!H45),"",'RESUMEN VIGILANCIA'!H45)</f>
        <v>0.17</v>
      </c>
      <c r="J40" s="181">
        <f>IF(ISBLANK('RESUMEN VIGILANCIA'!I45),"",'RESUMEN VIGILANCIA'!I45)</f>
        <v>0.26</v>
      </c>
      <c r="K40" s="181">
        <f>IF(ISBLANK('RESUMEN VIGILANCIA'!J45),"",'RESUMEN VIGILANCIA'!J45)</f>
        <v>0.26</v>
      </c>
      <c r="L40" s="181">
        <f>IF(ISBLANK('RESUMEN VIGILANCIA'!K45),"",'RESUMEN VIGILANCIA'!K45)</f>
        <v>0.35</v>
      </c>
      <c r="M40" s="181">
        <f>IF(ISBLANK('RESUMEN VIGILANCIA'!L45),"",'RESUMEN VIGILANCIA'!L45)</f>
        <v>0.35000000000000003</v>
      </c>
      <c r="N40" s="181">
        <f>IF(ISBLANK('RESUMEN VIGILANCIA'!M45),"",'RESUMEN VIGILANCIA'!M45)</f>
        <v>0.35000000000000003</v>
      </c>
      <c r="O40" s="181">
        <f>IF(ISBLANK('RESUMEN VIGILANCIA'!N45),"",'RESUMEN VIGILANCIA'!N45)</f>
        <v>0.35000000000000003</v>
      </c>
      <c r="P40" s="270">
        <f>IF(ISBLANK('RESUMEN VIGILANCIA'!O45),"",'RESUMEN VIGILANCIA'!O45)</f>
        <v>0.5</v>
      </c>
      <c r="Q40" s="179">
        <f>IF(ISBLANK('RESUMEN VIGILANCIA'!P45),"",'RESUMEN VIGILANCIA'!P45)</f>
        <v>0.5</v>
      </c>
      <c r="R40" s="271">
        <f>IF(ISBLANK('RESUMEN VIGILANCIA'!Q45),"",'RESUMEN VIGILANCIA'!Q45)</f>
        <v>0.8</v>
      </c>
      <c r="S40" s="270">
        <f>IF(ISBLANK('RESUMEN VIGILANCIA'!R45),"",'RESUMEN VIGILANCIA'!R45)</f>
        <v>0.8</v>
      </c>
      <c r="T40" s="270">
        <f>IF(ISBLANK('RESUMEN VIGILANCIA'!S45),"",'RESUMEN VIGILANCIA'!S45)</f>
        <v>0.35</v>
      </c>
      <c r="U40" s="270" t="str">
        <f>IF(ISBLANK('RESUMEN VIGILANCIA'!T45),"",'RESUMEN VIGILANCIA'!T45)</f>
        <v/>
      </c>
      <c r="V40" s="274" t="s">
        <v>1229</v>
      </c>
      <c r="W40" s="275" t="str">
        <f>IF(ISBLANK('RESUMEN VIGILANCIA'!V45),"",'RESUMEN VIGILANCIA'!V45)</f>
        <v/>
      </c>
      <c r="X40" s="275" t="str">
        <f>IF(ISBLANK('RESUMEN VIGILANCIA'!W45),"",'RESUMEN VIGILANCIA'!W45)</f>
        <v/>
      </c>
      <c r="Y40" s="275" t="str">
        <f>IF(ISBLANK('RESUMEN VIGILANCIA'!X45),"",'RESUMEN VIGILANCIA'!X45)</f>
        <v/>
      </c>
      <c r="Z40" s="461" t="str">
        <f>IF(ISBLANK('RESUMEN VIGILANCIA'!Y45),"",'RESUMEN VIGILANCIA'!Y45)</f>
        <v/>
      </c>
      <c r="AA40" s="461" t="str">
        <f>IF(ISBLANK('RESUMEN VIGILANCIA'!Z45),"",'RESUMEN VIGILANCIA'!Z45)</f>
        <v/>
      </c>
      <c r="AB40" s="461" t="str">
        <f>IF(ISBLANK('RESUMEN VIGILANCIA'!AA45),"",'RESUMEN VIGILANCIA'!AA45)</f>
        <v/>
      </c>
      <c r="AC40" s="462" t="str">
        <f>IF(ISBLANK('RESUMEN VIGILANCIA'!AB45),"",'RESUMEN VIGILANCIA'!AB45)</f>
        <v/>
      </c>
      <c r="AD40" s="392" t="str">
        <f>IF(ISBLANK('RESUMEN VIGILANCIA'!AC45),"",'RESUMEN VIGILANCIA'!AC45)</f>
        <v/>
      </c>
      <c r="AE40" s="393" t="str">
        <f>IF(ISBLANK('RESUMEN VIGILANCIA'!AD45),"",'RESUMEN VIGILANCIA'!AD45)</f>
        <v/>
      </c>
      <c r="AF40" s="393" t="str">
        <f>IF(ISBLANK('RESUMEN VIGILANCIA'!AE45),"",'RESUMEN VIGILANCIA'!AE45)</f>
        <v/>
      </c>
      <c r="AG40" s="393" t="str">
        <f>IF(ISBLANK('RESUMEN VIGILANCIA'!AF45),"",'RESUMEN VIGILANCIA'!AF45)</f>
        <v/>
      </c>
      <c r="AH40" s="393" t="str">
        <f>IF(ISBLANK('RESUMEN VIGILANCIA'!AG45),"",'RESUMEN VIGILANCIA'!AG45)</f>
        <v/>
      </c>
      <c r="AI40" s="393" t="str">
        <f>IF(ISBLANK('RESUMEN VIGILANCIA'!AH45),"",'RESUMEN VIGILANCIA'!AH45)</f>
        <v/>
      </c>
      <c r="AJ40" s="393" t="str">
        <f>IF(ISBLANK('RESUMEN VIGILANCIA'!AI45),"",'RESUMEN VIGILANCIA'!AI45)</f>
        <v/>
      </c>
      <c r="AK40" s="393" t="str">
        <f>IF(ISBLANK('RESUMEN VIGILANCIA'!AJ45),"",'RESUMEN VIGILANCIA'!AJ45)</f>
        <v/>
      </c>
      <c r="AL40" s="393" t="str">
        <f>IF(ISBLANK('RESUMEN VIGILANCIA'!AK45),"",'RESUMEN VIGILANCIA'!AK45)</f>
        <v/>
      </c>
      <c r="AM40" s="393" t="str">
        <f>IF(ISBLANK('RESUMEN VIGILANCIA'!AL45),"",'RESUMEN VIGILANCIA'!AL45)</f>
        <v/>
      </c>
      <c r="AN40" s="393" t="str">
        <f>IF(ISBLANK('RESUMEN VIGILANCIA'!AM45),"",'RESUMEN VIGILANCIA'!AM45)</f>
        <v/>
      </c>
      <c r="AO40" s="394" t="str">
        <f>IF(ISBLANK('RESUMEN VIGILANCIA'!AN45),"",'RESUMEN VIGILANCIA'!AN45)</f>
        <v/>
      </c>
      <c r="AP40" s="392" t="str">
        <f>IF(ISBLANK('RESUMEN VIGILANCIA'!AO45),"",'RESUMEN VIGILANCIA'!AO45)</f>
        <v/>
      </c>
      <c r="AQ40" s="393" t="str">
        <f>IF(ISBLANK('RESUMEN VIGILANCIA'!AP45),"",'RESUMEN VIGILANCIA'!AP45)</f>
        <v/>
      </c>
      <c r="AR40" s="393" t="str">
        <f>IF(ISBLANK('RESUMEN VIGILANCIA'!AQ45),"",'RESUMEN VIGILANCIA'!AQ45)</f>
        <v/>
      </c>
      <c r="AS40" s="393" t="str">
        <f>IF(ISBLANK('RESUMEN VIGILANCIA'!AR45),"",'RESUMEN VIGILANCIA'!AR45)</f>
        <v/>
      </c>
      <c r="AT40" s="393" t="str">
        <f>IF(ISBLANK('RESUMEN VIGILANCIA'!AS45),"",'RESUMEN VIGILANCIA'!AS45)</f>
        <v/>
      </c>
      <c r="AU40" s="393" t="str">
        <f>IF(ISBLANK('RESUMEN VIGILANCIA'!AT45),"",'RESUMEN VIGILANCIA'!AT45)</f>
        <v/>
      </c>
      <c r="AV40" s="393" t="str">
        <f>IF(ISBLANK('RESUMEN VIGILANCIA'!AU45),"",'RESUMEN VIGILANCIA'!AU45)</f>
        <v/>
      </c>
      <c r="AW40" s="393" t="str">
        <f>IF(ISBLANK('RESUMEN VIGILANCIA'!AV45),"",'RESUMEN VIGILANCIA'!AV45)</f>
        <v/>
      </c>
      <c r="AX40" s="393" t="str">
        <f>IF(ISBLANK('RESUMEN VIGILANCIA'!AW45),"",'RESUMEN VIGILANCIA'!AW45)</f>
        <v/>
      </c>
      <c r="AY40" s="393" t="str">
        <f>IF(ISBLANK('RESUMEN VIGILANCIA'!AX45),"",'RESUMEN VIGILANCIA'!AX45)</f>
        <v/>
      </c>
      <c r="AZ40" s="393" t="str">
        <f>IF(ISBLANK('RESUMEN VIGILANCIA'!AY45),"",'RESUMEN VIGILANCIA'!AY45)</f>
        <v/>
      </c>
      <c r="BA40" s="394" t="str">
        <f>IF(ISBLANK('RESUMEN VIGILANCIA'!AZ45),"",'RESUMEN VIGILANCIA'!AZ45)</f>
        <v/>
      </c>
      <c r="BB40" s="245">
        <f t="shared" si="2"/>
        <v>5.55</v>
      </c>
      <c r="BC40" s="113"/>
      <c r="BD40" s="113">
        <v>43191</v>
      </c>
    </row>
    <row r="41" spans="1:56" s="29" customFormat="1" ht="20.100000000000001" customHeight="1">
      <c r="A41" s="59" t="str">
        <f>'RESUMEN VIGILANCIA'!A46</f>
        <v>Isbeth Palacios</v>
      </c>
      <c r="B41" s="60" t="str">
        <f>'RESUMEN VIGILANCIA'!B46</f>
        <v>Calle Guacara Nro. 88-75</v>
      </c>
      <c r="C41" s="429"/>
      <c r="D41" s="436" t="s">
        <v>1315</v>
      </c>
      <c r="E41" s="417" t="str">
        <f>IF(ISBLANK('RESUMEN VIGILANCIA'!D46),"",'RESUMEN VIGILANCIA'!D46)</f>
        <v/>
      </c>
      <c r="F41" s="269" t="str">
        <f>IF(ISBLANK('RESUMEN VIGILANCIA'!E46),"",'RESUMEN VIGILANCIA'!E46)</f>
        <v/>
      </c>
      <c r="G41" s="181" t="str">
        <f>IF(ISBLANK('RESUMEN VIGILANCIA'!F46),"",'RESUMEN VIGILANCIA'!F46)</f>
        <v/>
      </c>
      <c r="H41" s="181" t="str">
        <f>IF(ISBLANK('RESUMEN VIGILANCIA'!G46),"",'RESUMEN VIGILANCIA'!G46)</f>
        <v/>
      </c>
      <c r="I41" s="181" t="str">
        <f>IF(ISBLANK('RESUMEN VIGILANCIA'!H46),"",'RESUMEN VIGILANCIA'!H46)</f>
        <v/>
      </c>
      <c r="J41" s="181" t="str">
        <f>IF(ISBLANK('RESUMEN VIGILANCIA'!I46),"",'RESUMEN VIGILANCIA'!I46)</f>
        <v/>
      </c>
      <c r="K41" s="181" t="str">
        <f>IF(ISBLANK('RESUMEN VIGILANCIA'!J46),"",'RESUMEN VIGILANCIA'!J46)</f>
        <v/>
      </c>
      <c r="L41" s="181" t="str">
        <f>IF(ISBLANK('RESUMEN VIGILANCIA'!K46),"",'RESUMEN VIGILANCIA'!K46)</f>
        <v/>
      </c>
      <c r="M41" s="181" t="str">
        <f>IF(ISBLANK('RESUMEN VIGILANCIA'!L46),"",'RESUMEN VIGILANCIA'!L46)</f>
        <v/>
      </c>
      <c r="N41" s="181" t="str">
        <f>IF(ISBLANK('RESUMEN VIGILANCIA'!M46),"",'RESUMEN VIGILANCIA'!M46)</f>
        <v/>
      </c>
      <c r="O41" s="181" t="str">
        <f>IF(ISBLANK('RESUMEN VIGILANCIA'!N46),"",'RESUMEN VIGILANCIA'!N46)</f>
        <v/>
      </c>
      <c r="P41" s="270" t="str">
        <f>IF(ISBLANK('RESUMEN VIGILANCIA'!O46),"",'RESUMEN VIGILANCIA'!O46)</f>
        <v/>
      </c>
      <c r="Q41" s="179" t="str">
        <f>IF(ISBLANK('RESUMEN VIGILANCIA'!P46),"",'RESUMEN VIGILANCIA'!P46)</f>
        <v/>
      </c>
      <c r="R41" s="271" t="str">
        <f>IF(ISBLANK('RESUMEN VIGILANCIA'!Q46),"",'RESUMEN VIGILANCIA'!Q46)</f>
        <v/>
      </c>
      <c r="S41" s="270" t="str">
        <f>IF(ISBLANK('RESUMEN VIGILANCIA'!R46),"",'RESUMEN VIGILANCIA'!R46)</f>
        <v/>
      </c>
      <c r="T41" s="270" t="str">
        <f>IF(ISBLANK('RESUMEN VIGILANCIA'!S46),"",'RESUMEN VIGILANCIA'!S46)</f>
        <v/>
      </c>
      <c r="U41" s="270" t="str">
        <f>IF(ISBLANK('RESUMEN VIGILANCIA'!T46),"",'RESUMEN VIGILANCIA'!T46)</f>
        <v/>
      </c>
      <c r="V41" s="433">
        <f>IF(ISBLANK('RESUMEN VIGILANCIA'!U46),"",'RESUMEN VIGILANCIA'!U46)</f>
        <v>4</v>
      </c>
      <c r="W41" s="272">
        <f>IF(ISBLANK('RESUMEN VIGILANCIA'!V46),"",'RESUMEN VIGILANCIA'!V46)</f>
        <v>6.25</v>
      </c>
      <c r="X41" s="272">
        <f>IF(ISBLANK('RESUMEN VIGILANCIA'!W46),"",'RESUMEN VIGILANCIA'!W46)</f>
        <v>10</v>
      </c>
      <c r="Y41" s="272">
        <f>IF(ISBLANK('RESUMEN VIGILANCIA'!X46),"",'RESUMEN VIGILANCIA'!X46)</f>
        <v>12</v>
      </c>
      <c r="Z41" s="458" t="str">
        <f>IF(ISBLANK('RESUMEN VIGILANCIA'!Y46),"",'RESUMEN VIGILANCIA'!Y46)</f>
        <v/>
      </c>
      <c r="AA41" s="458" t="str">
        <f>IF(ISBLANK('RESUMEN VIGILANCIA'!Z46),"",'RESUMEN VIGILANCIA'!Z46)</f>
        <v/>
      </c>
      <c r="AB41" s="461" t="str">
        <f>IF(ISBLANK('RESUMEN VIGILANCIA'!AA46),"",'RESUMEN VIGILANCIA'!AA46)</f>
        <v/>
      </c>
      <c r="AC41" s="462" t="str">
        <f>IF(ISBLANK('RESUMEN VIGILANCIA'!AB46),"",'RESUMEN VIGILANCIA'!AB46)</f>
        <v/>
      </c>
      <c r="AD41" s="392" t="str">
        <f>IF(ISBLANK('RESUMEN VIGILANCIA'!AC46),"",'RESUMEN VIGILANCIA'!AC46)</f>
        <v/>
      </c>
      <c r="AE41" s="393" t="str">
        <f>IF(ISBLANK('RESUMEN VIGILANCIA'!AD46),"",'RESUMEN VIGILANCIA'!AD46)</f>
        <v/>
      </c>
      <c r="AF41" s="393" t="str">
        <f>IF(ISBLANK('RESUMEN VIGILANCIA'!AE46),"",'RESUMEN VIGILANCIA'!AE46)</f>
        <v/>
      </c>
      <c r="AG41" s="393" t="str">
        <f>IF(ISBLANK('RESUMEN VIGILANCIA'!AF46),"",'RESUMEN VIGILANCIA'!AF46)</f>
        <v/>
      </c>
      <c r="AH41" s="393" t="str">
        <f>IF(ISBLANK('RESUMEN VIGILANCIA'!AG46),"",'RESUMEN VIGILANCIA'!AG46)</f>
        <v/>
      </c>
      <c r="AI41" s="393" t="str">
        <f>IF(ISBLANK('RESUMEN VIGILANCIA'!AH46),"",'RESUMEN VIGILANCIA'!AH46)</f>
        <v/>
      </c>
      <c r="AJ41" s="393" t="str">
        <f>IF(ISBLANK('RESUMEN VIGILANCIA'!AI46),"",'RESUMEN VIGILANCIA'!AI46)</f>
        <v/>
      </c>
      <c r="AK41" s="393" t="str">
        <f>IF(ISBLANK('RESUMEN VIGILANCIA'!AJ46),"",'RESUMEN VIGILANCIA'!AJ46)</f>
        <v/>
      </c>
      <c r="AL41" s="393" t="str">
        <f>IF(ISBLANK('RESUMEN VIGILANCIA'!AK46),"",'RESUMEN VIGILANCIA'!AK46)</f>
        <v/>
      </c>
      <c r="AM41" s="393" t="str">
        <f>IF(ISBLANK('RESUMEN VIGILANCIA'!AL46),"",'RESUMEN VIGILANCIA'!AL46)</f>
        <v/>
      </c>
      <c r="AN41" s="393" t="str">
        <f>IF(ISBLANK('RESUMEN VIGILANCIA'!AM46),"",'RESUMEN VIGILANCIA'!AM46)</f>
        <v/>
      </c>
      <c r="AO41" s="394" t="str">
        <f>IF(ISBLANK('RESUMEN VIGILANCIA'!AN46),"",'RESUMEN VIGILANCIA'!AN46)</f>
        <v/>
      </c>
      <c r="AP41" s="392" t="str">
        <f>IF(ISBLANK('RESUMEN VIGILANCIA'!AO46),"",'RESUMEN VIGILANCIA'!AO46)</f>
        <v/>
      </c>
      <c r="AQ41" s="393" t="str">
        <f>IF(ISBLANK('RESUMEN VIGILANCIA'!AP46),"",'RESUMEN VIGILANCIA'!AP46)</f>
        <v/>
      </c>
      <c r="AR41" s="393" t="str">
        <f>IF(ISBLANK('RESUMEN VIGILANCIA'!AQ46),"",'RESUMEN VIGILANCIA'!AQ46)</f>
        <v/>
      </c>
      <c r="AS41" s="393" t="str">
        <f>IF(ISBLANK('RESUMEN VIGILANCIA'!AR46),"",'RESUMEN VIGILANCIA'!AR46)</f>
        <v/>
      </c>
      <c r="AT41" s="393" t="str">
        <f>IF(ISBLANK('RESUMEN VIGILANCIA'!AS46),"",'RESUMEN VIGILANCIA'!AS46)</f>
        <v/>
      </c>
      <c r="AU41" s="393" t="str">
        <f>IF(ISBLANK('RESUMEN VIGILANCIA'!AT46),"",'RESUMEN VIGILANCIA'!AT46)</f>
        <v/>
      </c>
      <c r="AV41" s="393" t="str">
        <f>IF(ISBLANK('RESUMEN VIGILANCIA'!AU46),"",'RESUMEN VIGILANCIA'!AU46)</f>
        <v/>
      </c>
      <c r="AW41" s="393" t="str">
        <f>IF(ISBLANK('RESUMEN VIGILANCIA'!AV46),"",'RESUMEN VIGILANCIA'!AV46)</f>
        <v/>
      </c>
      <c r="AX41" s="393" t="str">
        <f>IF(ISBLANK('RESUMEN VIGILANCIA'!AW46),"",'RESUMEN VIGILANCIA'!AW46)</f>
        <v/>
      </c>
      <c r="AY41" s="393" t="str">
        <f>IF(ISBLANK('RESUMEN VIGILANCIA'!AX46),"",'RESUMEN VIGILANCIA'!AX46)</f>
        <v/>
      </c>
      <c r="AZ41" s="393" t="str">
        <f>IF(ISBLANK('RESUMEN VIGILANCIA'!AY46),"",'RESUMEN VIGILANCIA'!AY46)</f>
        <v/>
      </c>
      <c r="BA41" s="394" t="str">
        <f>IF(ISBLANK('RESUMEN VIGILANCIA'!AZ46),"",'RESUMEN VIGILANCIA'!AZ46)</f>
        <v/>
      </c>
      <c r="BB41" s="245">
        <f t="shared" si="2"/>
        <v>32.25</v>
      </c>
      <c r="BC41" s="113">
        <v>43221</v>
      </c>
      <c r="BD41" s="113">
        <v>43374</v>
      </c>
    </row>
    <row r="42" spans="1:56" s="29" customFormat="1" ht="20.100000000000001" customHeight="1">
      <c r="A42" s="30" t="str">
        <f>'RESUMEN VIGILANCIA'!A47</f>
        <v>Andrea Valor</v>
      </c>
      <c r="B42" s="31" t="str">
        <f>'RESUMEN VIGILANCIA'!B47</f>
        <v>Calle Guacara Nro. 88-75</v>
      </c>
      <c r="C42" s="429" t="s">
        <v>1316</v>
      </c>
      <c r="D42" s="436" t="s">
        <v>17</v>
      </c>
      <c r="E42" s="418" t="str">
        <f>IF(ISBLANK('RESUMEN VIGILANCIA'!D47),"",'RESUMEN VIGILANCIA'!D47)</f>
        <v/>
      </c>
      <c r="F42" s="277" t="str">
        <f>IF(ISBLANK('RESUMEN VIGILANCIA'!E47),"",'RESUMEN VIGILANCIA'!E47)</f>
        <v/>
      </c>
      <c r="G42" s="278" t="str">
        <f>IF(ISBLANK('RESUMEN VIGILANCIA'!F47),"",'RESUMEN VIGILANCIA'!F47)</f>
        <v/>
      </c>
      <c r="H42" s="278" t="str">
        <f>IF(ISBLANK('RESUMEN VIGILANCIA'!G47),"",'RESUMEN VIGILANCIA'!G47)</f>
        <v/>
      </c>
      <c r="I42" s="278" t="str">
        <f>IF(ISBLANK('RESUMEN VIGILANCIA'!H47),"",'RESUMEN VIGILANCIA'!H47)</f>
        <v/>
      </c>
      <c r="J42" s="278" t="str">
        <f>IF(ISBLANK('RESUMEN VIGILANCIA'!I47),"",'RESUMEN VIGILANCIA'!I47)</f>
        <v/>
      </c>
      <c r="K42" s="278" t="str">
        <f>IF(ISBLANK('RESUMEN VIGILANCIA'!J47),"",'RESUMEN VIGILANCIA'!J47)</f>
        <v/>
      </c>
      <c r="L42" s="278" t="str">
        <f>IF(ISBLANK('RESUMEN VIGILANCIA'!K47),"",'RESUMEN VIGILANCIA'!K47)</f>
        <v/>
      </c>
      <c r="M42" s="278" t="str">
        <f>IF(ISBLANK('RESUMEN VIGILANCIA'!L47),"",'RESUMEN VIGILANCIA'!L47)</f>
        <v/>
      </c>
      <c r="N42" s="278" t="str">
        <f>IF(ISBLANK('RESUMEN VIGILANCIA'!M47),"",'RESUMEN VIGILANCIA'!M47)</f>
        <v/>
      </c>
      <c r="O42" s="278" t="str">
        <f>IF(ISBLANK('RESUMEN VIGILANCIA'!N47),"",'RESUMEN VIGILANCIA'!N47)</f>
        <v/>
      </c>
      <c r="P42" s="279" t="str">
        <f>IF(ISBLANK('RESUMEN VIGILANCIA'!O47),"",'RESUMEN VIGILANCIA'!O47)</f>
        <v/>
      </c>
      <c r="Q42" s="276" t="str">
        <f>IF(ISBLANK('RESUMEN VIGILANCIA'!P47),"",'RESUMEN VIGILANCIA'!P47)</f>
        <v/>
      </c>
      <c r="R42" s="280" t="str">
        <f>IF(ISBLANK('RESUMEN VIGILANCIA'!Q47),"",'RESUMEN VIGILANCIA'!Q47)</f>
        <v/>
      </c>
      <c r="S42" s="279" t="str">
        <f>IF(ISBLANK('RESUMEN VIGILANCIA'!R47),"",'RESUMEN VIGILANCIA'!R47)</f>
        <v/>
      </c>
      <c r="T42" s="279" t="str">
        <f>IF(ISBLANK('RESUMEN VIGILANCIA'!S47),"",'RESUMEN VIGILANCIA'!S47)</f>
        <v/>
      </c>
      <c r="U42" s="279" t="str">
        <f>IF(ISBLANK('RESUMEN VIGILANCIA'!T47),"",'RESUMEN VIGILANCIA'!T47)</f>
        <v/>
      </c>
      <c r="V42" s="279"/>
      <c r="W42" s="279"/>
      <c r="X42" s="279"/>
      <c r="Y42" s="279"/>
      <c r="Z42" s="463" t="str">
        <f>IF(ISBLANK('RESUMEN VIGILANCIA'!Y47),"",'RESUMEN VIGILANCIA'!Y47)</f>
        <v/>
      </c>
      <c r="AA42" s="463" t="str">
        <f>IF(ISBLANK('RESUMEN VIGILANCIA'!Z47),"",'RESUMEN VIGILANCIA'!Z47)</f>
        <v/>
      </c>
      <c r="AB42" s="463" t="str">
        <f>IF(ISBLANK('RESUMEN VIGILANCIA'!AA47),"",'RESUMEN VIGILANCIA'!AA47)</f>
        <v/>
      </c>
      <c r="AC42" s="463" t="str">
        <f>IF(ISBLANK('RESUMEN VIGILANCIA'!AB47),"",'RESUMEN VIGILANCIA'!AB47)</f>
        <v/>
      </c>
      <c r="AD42" s="463" t="str">
        <f>IF(ISBLANK('RESUMEN VIGILANCIA'!AC47),"",'RESUMEN VIGILANCIA'!AC47)</f>
        <v/>
      </c>
      <c r="AE42" s="463" t="str">
        <f>IF(ISBLANK('RESUMEN VIGILANCIA'!AD47),"",'RESUMEN VIGILANCIA'!AD47)</f>
        <v/>
      </c>
      <c r="AF42" s="377">
        <f>IF(ISBLANK('RESUMEN VIGILANCIA'!AE47),"",'RESUMEN VIGILANCIA'!AE47)</f>
        <v>3000</v>
      </c>
      <c r="AG42" s="377">
        <f>IF(ISBLANK('RESUMEN VIGILANCIA'!AF47),"",'RESUMEN VIGILANCIA'!AF47)</f>
        <v>5000</v>
      </c>
      <c r="AH42" s="377">
        <f>IF(ISBLANK('RESUMEN VIGILANCIA'!AG47),"",'RESUMEN VIGILANCIA'!AG47)</f>
        <v>8000</v>
      </c>
      <c r="AI42" s="377">
        <f>IF(ISBLANK('RESUMEN VIGILANCIA'!AH47),"",'RESUMEN VIGILANCIA'!AH47)</f>
        <v>8000</v>
      </c>
      <c r="AJ42" s="377">
        <f>IF(ISBLANK('RESUMEN VIGILANCIA'!AI47),"",'RESUMEN VIGILANCIA'!AI47)</f>
        <v>10000</v>
      </c>
      <c r="AK42" s="377">
        <f>IF(ISBLANK('RESUMEN VIGILANCIA'!AJ47),"",'RESUMEN VIGILANCIA'!AJ47)</f>
        <v>10000</v>
      </c>
      <c r="AL42" s="377">
        <f>IF(ISBLANK('RESUMEN VIGILANCIA'!AK47),"",'RESUMEN VIGILANCIA'!AK47)</f>
        <v>20500</v>
      </c>
      <c r="AM42" s="377">
        <f>IF(ISBLANK('RESUMEN VIGILANCIA'!AL47),"",'RESUMEN VIGILANCIA'!AL47)</f>
        <v>51250</v>
      </c>
      <c r="AN42" s="377">
        <f>IF(ISBLANK('RESUMEN VIGILANCIA'!AM47),"",'RESUMEN VIGILANCIA'!AM47)</f>
        <v>64500</v>
      </c>
      <c r="AO42" s="378">
        <f>IF(ISBLANK('RESUMEN VIGILANCIA'!AN47),"",'RESUMEN VIGILANCIA'!AN47)</f>
        <v>81750</v>
      </c>
      <c r="AP42" s="381">
        <f>IF(ISBLANK('RESUMEN VIGILANCIA'!AO47),"",'RESUMEN VIGILANCIA'!AO47)</f>
        <v>136250</v>
      </c>
      <c r="AQ42" s="382">
        <f>IF(ISBLANK('RESUMEN VIGILANCIA'!AP47),"",'RESUMEN VIGILANCIA'!AP47)</f>
        <v>136250</v>
      </c>
      <c r="AR42" s="377">
        <f>IF(ISBLANK('RESUMEN VIGILANCIA'!AQ47),"",'RESUMEN VIGILANCIA'!AQ47)</f>
        <v>185250</v>
      </c>
      <c r="AS42" s="377">
        <f>IF(ISBLANK('RESUMEN VIGILANCIA'!AR47),"",'RESUMEN VIGILANCIA'!AR47)</f>
        <v>185250</v>
      </c>
      <c r="AT42" s="377">
        <f>IF(ISBLANK('RESUMEN VIGILANCIA'!AS47),"",'RESUMEN VIGILANCIA'!AS47)</f>
        <v>250000</v>
      </c>
      <c r="AU42" s="377" t="str">
        <f>IF(ISBLANK('RESUMEN VIGILANCIA'!AT47),"",'RESUMEN VIGILANCIA'!AT47)</f>
        <v/>
      </c>
      <c r="AV42" s="377" t="str">
        <f>IF(ISBLANK('RESUMEN VIGILANCIA'!AU47),"",'RESUMEN VIGILANCIA'!AU47)</f>
        <v/>
      </c>
      <c r="AW42" s="377" t="str">
        <f>IF(ISBLANK('RESUMEN VIGILANCIA'!AV47),"",'RESUMEN VIGILANCIA'!AV47)</f>
        <v/>
      </c>
      <c r="AX42" s="377" t="str">
        <f>IF(ISBLANK('RESUMEN VIGILANCIA'!AW47),"",'RESUMEN VIGILANCIA'!AW47)</f>
        <v/>
      </c>
      <c r="AY42" s="377" t="str">
        <f>IF(ISBLANK('RESUMEN VIGILANCIA'!AX47),"",'RESUMEN VIGILANCIA'!AX47)</f>
        <v/>
      </c>
      <c r="AZ42" s="377" t="str">
        <f>IF(ISBLANK('RESUMEN VIGILANCIA'!AY47),"",'RESUMEN VIGILANCIA'!AY47)</f>
        <v/>
      </c>
      <c r="BA42" s="378" t="str">
        <f>IF(ISBLANK('RESUMEN VIGILANCIA'!AZ47),"",'RESUMEN VIGILANCIA'!AZ47)</f>
        <v/>
      </c>
      <c r="BB42" s="242">
        <f t="shared" si="2"/>
        <v>262000</v>
      </c>
      <c r="BC42" s="112">
        <v>43525</v>
      </c>
      <c r="BD42" s="112"/>
    </row>
    <row r="43" spans="1:56" s="29" customFormat="1" ht="20.100000000000001" customHeight="1">
      <c r="A43" s="358" t="str">
        <f>'RESUMEN VIGILANCIA'!A48</f>
        <v>Familia Machado Stoppa</v>
      </c>
      <c r="B43" s="359" t="str">
        <f>'RESUMEN VIGILANCIA'!B48</f>
        <v>Calle Guacara Nro. 88-85</v>
      </c>
      <c r="C43" s="430" t="s">
        <v>1316</v>
      </c>
      <c r="D43" s="435" t="s">
        <v>1315</v>
      </c>
      <c r="E43" s="416" t="str">
        <f>IF(ISBLANK('RESUMEN VIGILANCIA'!D48),"",'RESUMEN VIGILANCIA'!D48)</f>
        <v/>
      </c>
      <c r="F43" s="266">
        <f>IF(ISBLANK('RESUMEN VIGILANCIA'!E48),"",'RESUMEN VIGILANCIA'!E48)</f>
        <v>0.15</v>
      </c>
      <c r="G43" s="188">
        <f>IF(ISBLANK('RESUMEN VIGILANCIA'!F48),"",'RESUMEN VIGILANCIA'!F48)</f>
        <v>0.15</v>
      </c>
      <c r="H43" s="188">
        <f>IF(ISBLANK('RESUMEN VIGILANCIA'!G48),"",'RESUMEN VIGILANCIA'!G48)</f>
        <v>0.15</v>
      </c>
      <c r="I43" s="188">
        <f>IF(ISBLANK('RESUMEN VIGILANCIA'!H48),"",'RESUMEN VIGILANCIA'!H48)</f>
        <v>0.22</v>
      </c>
      <c r="J43" s="188">
        <f>IF(ISBLANK('RESUMEN VIGILANCIA'!I48),"",'RESUMEN VIGILANCIA'!I48)</f>
        <v>0.22</v>
      </c>
      <c r="K43" s="188">
        <f>IF(ISBLANK('RESUMEN VIGILANCIA'!J48),"",'RESUMEN VIGILANCIA'!J48)</f>
        <v>0.22</v>
      </c>
      <c r="L43" s="188">
        <f>IF(ISBLANK('RESUMEN VIGILANCIA'!K48),"",'RESUMEN VIGILANCIA'!K48)</f>
        <v>0.25</v>
      </c>
      <c r="M43" s="188">
        <f>IF(ISBLANK('RESUMEN VIGILANCIA'!L48),"",'RESUMEN VIGILANCIA'!L48)</f>
        <v>0.3</v>
      </c>
      <c r="N43" s="188">
        <f>IF(ISBLANK('RESUMEN VIGILANCIA'!M48),"",'RESUMEN VIGILANCIA'!M48)</f>
        <v>0.3</v>
      </c>
      <c r="O43" s="188">
        <f>IF(ISBLANK('RESUMEN VIGILANCIA'!N48),"",'RESUMEN VIGILANCIA'!N48)</f>
        <v>0.3</v>
      </c>
      <c r="P43" s="267">
        <f>IF(ISBLANK('RESUMEN VIGILANCIA'!O48),"",'RESUMEN VIGILANCIA'!O48)</f>
        <v>0.4</v>
      </c>
      <c r="Q43" s="186">
        <f>IF(ISBLANK('RESUMEN VIGILANCIA'!P48),"",'RESUMEN VIGILANCIA'!P48)</f>
        <v>0.4</v>
      </c>
      <c r="R43" s="268">
        <f>IF(ISBLANK('RESUMEN VIGILANCIA'!Q48),"",'RESUMEN VIGILANCIA'!Q48)</f>
        <v>0.7</v>
      </c>
      <c r="S43" s="267">
        <f>IF(ISBLANK('RESUMEN VIGILANCIA'!R48),"",'RESUMEN VIGILANCIA'!R48)</f>
        <v>0.7</v>
      </c>
      <c r="T43" s="267">
        <f>IF(ISBLANK('RESUMEN VIGILANCIA'!S48),"",'RESUMEN VIGILANCIA'!S48)</f>
        <v>0.7</v>
      </c>
      <c r="U43" s="267">
        <f>IF(ISBLANK('RESUMEN VIGILANCIA'!T48),"",'RESUMEN VIGILANCIA'!T48)</f>
        <v>0.7</v>
      </c>
      <c r="V43" s="267">
        <f>IF(ISBLANK('RESUMEN VIGILANCIA'!U48),"",'RESUMEN VIGILANCIA'!U48)</f>
        <v>4</v>
      </c>
      <c r="W43" s="270">
        <f>IF(ISBLANK('RESUMEN VIGILANCIA'!V48),"",'RESUMEN VIGILANCIA'!V48)</f>
        <v>6.25</v>
      </c>
      <c r="X43" s="270">
        <f>IF(ISBLANK('RESUMEN VIGILANCIA'!W48),"",'RESUMEN VIGILANCIA'!W48)</f>
        <v>10</v>
      </c>
      <c r="Y43" s="270">
        <f>IF(ISBLANK('RESUMEN VIGILANCIA'!X48),"",'RESUMEN VIGILANCIA'!X48)</f>
        <v>12</v>
      </c>
      <c r="Z43" s="455">
        <f>IF(ISBLANK('RESUMEN VIGILANCIA'!Y48),"",'RESUMEN VIGILANCIA'!Y48)</f>
        <v>320</v>
      </c>
      <c r="AA43" s="458">
        <f>IF(ISBLANK('RESUMEN VIGILANCIA'!Z48),"",'RESUMEN VIGILANCIA'!Z48)</f>
        <v>350</v>
      </c>
      <c r="AB43" s="458">
        <f>IF(ISBLANK('RESUMEN VIGILANCIA'!AA48),"",'RESUMEN VIGILANCIA'!AA48)</f>
        <v>320</v>
      </c>
      <c r="AC43" s="457">
        <f>IF(ISBLANK('RESUMEN VIGILANCIA'!AB48),"",'RESUMEN VIGILANCIA'!AB48)</f>
        <v>800</v>
      </c>
      <c r="AD43" s="381">
        <f>IF(ISBLANK('RESUMEN VIGILANCIA'!AC48),"",'RESUMEN VIGILANCIA'!AC48)</f>
        <v>3000</v>
      </c>
      <c r="AE43" s="382">
        <f>IF(ISBLANK('RESUMEN VIGILANCIA'!AD48),"",'RESUMEN VIGILANCIA'!AD48)</f>
        <v>3000</v>
      </c>
      <c r="AF43" s="382">
        <f>IF(ISBLANK('RESUMEN VIGILANCIA'!AE48),"",'RESUMEN VIGILANCIA'!AE48)</f>
        <v>3000</v>
      </c>
      <c r="AG43" s="382">
        <f>IF(ISBLANK('RESUMEN VIGILANCIA'!AF48),"",'RESUMEN VIGILANCIA'!AF48)</f>
        <v>5000</v>
      </c>
      <c r="AH43" s="382">
        <f>IF(ISBLANK('RESUMEN VIGILANCIA'!AG48),"",'RESUMEN VIGILANCIA'!AG48)</f>
        <v>8000</v>
      </c>
      <c r="AI43" s="382">
        <f>IF(ISBLANK('RESUMEN VIGILANCIA'!AH48),"",'RESUMEN VIGILANCIA'!AH48)</f>
        <v>8000</v>
      </c>
      <c r="AJ43" s="382">
        <f>IF(ISBLANK('RESUMEN VIGILANCIA'!AI48),"",'RESUMEN VIGILANCIA'!AI48)</f>
        <v>10000</v>
      </c>
      <c r="AK43" s="382">
        <f>IF(ISBLANK('RESUMEN VIGILANCIA'!AJ48),"",'RESUMEN VIGILANCIA'!AJ48)</f>
        <v>10000</v>
      </c>
      <c r="AL43" s="382">
        <f>IF(ISBLANK('RESUMEN VIGILANCIA'!AK48),"",'RESUMEN VIGILANCIA'!AK48)</f>
        <v>20500</v>
      </c>
      <c r="AM43" s="382">
        <f>IF(ISBLANK('RESUMEN VIGILANCIA'!AL48),"",'RESUMEN VIGILANCIA'!AL48)</f>
        <v>47000</v>
      </c>
      <c r="AN43" s="382">
        <f>IF(ISBLANK('RESUMEN VIGILANCIA'!AM48),"",'RESUMEN VIGILANCIA'!AM48)</f>
        <v>56250</v>
      </c>
      <c r="AO43" s="387">
        <f>IF(ISBLANK('RESUMEN VIGILANCIA'!AN48),"",'RESUMEN VIGILANCIA'!AN48)</f>
        <v>105250</v>
      </c>
      <c r="AP43" s="381">
        <f>IF(ISBLANK('RESUMEN VIGILANCIA'!AO48),"",'RESUMEN VIGILANCIA'!AO48)</f>
        <v>136250</v>
      </c>
      <c r="AQ43" s="382">
        <f>IF(ISBLANK('RESUMEN VIGILANCIA'!AP48),"",'RESUMEN VIGILANCIA'!AP48)</f>
        <v>136250</v>
      </c>
      <c r="AR43" s="382">
        <f>IF(ISBLANK('RESUMEN VIGILANCIA'!AQ48),"",'RESUMEN VIGILANCIA'!AQ48)</f>
        <v>185250</v>
      </c>
      <c r="AS43" s="382">
        <f>IF(ISBLANK('RESUMEN VIGILANCIA'!AR48),"",'RESUMEN VIGILANCIA'!AR48)</f>
        <v>186250</v>
      </c>
      <c r="AT43" s="382">
        <f>IF(ISBLANK('RESUMEN VIGILANCIA'!AS48),"",'RESUMEN VIGILANCIA'!AS48)</f>
        <v>250000</v>
      </c>
      <c r="AU43" s="382" t="str">
        <f>IF(ISBLANK('RESUMEN VIGILANCIA'!AT48),"",'RESUMEN VIGILANCIA'!AT48)</f>
        <v/>
      </c>
      <c r="AV43" s="382" t="str">
        <f>IF(ISBLANK('RESUMEN VIGILANCIA'!AU48),"",'RESUMEN VIGILANCIA'!AU48)</f>
        <v/>
      </c>
      <c r="AW43" s="382" t="str">
        <f>IF(ISBLANK('RESUMEN VIGILANCIA'!AV48),"",'RESUMEN VIGILANCIA'!AV48)</f>
        <v/>
      </c>
      <c r="AX43" s="382" t="str">
        <f>IF(ISBLANK('RESUMEN VIGILANCIA'!AW48),"",'RESUMEN VIGILANCIA'!AW48)</f>
        <v/>
      </c>
      <c r="AY43" s="382" t="str">
        <f>IF(ISBLANK('RESUMEN VIGILANCIA'!AX48),"",'RESUMEN VIGILANCIA'!AX48)</f>
        <v/>
      </c>
      <c r="AZ43" s="382" t="str">
        <f>IF(ISBLANK('RESUMEN VIGILANCIA'!AY48),"",'RESUMEN VIGILANCIA'!AY48)</f>
        <v/>
      </c>
      <c r="BA43" s="387" t="str">
        <f>IF(ISBLANK('RESUMEN VIGILANCIA'!AZ48),"",'RESUMEN VIGILANCIA'!AZ48)</f>
        <v/>
      </c>
      <c r="BB43" s="346">
        <f t="shared" si="2"/>
        <v>280828.11</v>
      </c>
      <c r="BC43" s="347"/>
      <c r="BD43" s="347"/>
    </row>
    <row r="44" spans="1:56" s="29" customFormat="1" ht="20.100000000000001" customHeight="1">
      <c r="A44" s="358" t="str">
        <f>'RESUMEN VIGILANCIA'!A49</f>
        <v>Familia Zavarce Barón</v>
      </c>
      <c r="B44" s="359" t="str">
        <f>'RESUMEN VIGILANCIA'!B49</f>
        <v>Calle Guacara Nro. 88-91</v>
      </c>
      <c r="C44" s="430" t="s">
        <v>1316</v>
      </c>
      <c r="D44" s="435" t="s">
        <v>1315</v>
      </c>
      <c r="E44" s="416" t="str">
        <f>IF(ISBLANK('RESUMEN VIGILANCIA'!D49),"",'RESUMEN VIGILANCIA'!D49)</f>
        <v/>
      </c>
      <c r="F44" s="266">
        <f>IF(ISBLANK('RESUMEN VIGILANCIA'!E49),"",'RESUMEN VIGILANCIA'!E49)</f>
        <v>0.1</v>
      </c>
      <c r="G44" s="188">
        <f>IF(ISBLANK('RESUMEN VIGILANCIA'!F49),"",'RESUMEN VIGILANCIA'!F49)</f>
        <v>0.1</v>
      </c>
      <c r="H44" s="188">
        <f>IF(ISBLANK('RESUMEN VIGILANCIA'!G49),"",'RESUMEN VIGILANCIA'!G49)</f>
        <v>0.14000000000000001</v>
      </c>
      <c r="I44" s="188">
        <f>IF(ISBLANK('RESUMEN VIGILANCIA'!H49),"",'RESUMEN VIGILANCIA'!H49)</f>
        <v>0.17</v>
      </c>
      <c r="J44" s="188">
        <f>IF(ISBLANK('RESUMEN VIGILANCIA'!I49),"",'RESUMEN VIGILANCIA'!I49)</f>
        <v>0.1</v>
      </c>
      <c r="K44" s="188">
        <f>IF(ISBLANK('RESUMEN VIGILANCIA'!J49),"",'RESUMEN VIGILANCIA'!J49)</f>
        <v>0.1</v>
      </c>
      <c r="L44" s="188">
        <f>IF(ISBLANK('RESUMEN VIGILANCIA'!K49),"",'RESUMEN VIGILANCIA'!K49)</f>
        <v>0.1</v>
      </c>
      <c r="M44" s="188">
        <f>IF(ISBLANK('RESUMEN VIGILANCIA'!L49),"",'RESUMEN VIGILANCIA'!L49)</f>
        <v>0.1</v>
      </c>
      <c r="N44" s="188" t="str">
        <f>IF(ISBLANK('RESUMEN VIGILANCIA'!M49),"",'RESUMEN VIGILANCIA'!M49)</f>
        <v/>
      </c>
      <c r="O44" s="188" t="str">
        <f>IF(ISBLANK('RESUMEN VIGILANCIA'!N49),"",'RESUMEN VIGILANCIA'!N49)</f>
        <v/>
      </c>
      <c r="P44" s="267" t="str">
        <f>IF(ISBLANK('RESUMEN VIGILANCIA'!O49),"",'RESUMEN VIGILANCIA'!O49)</f>
        <v/>
      </c>
      <c r="Q44" s="186" t="str">
        <f>IF(ISBLANK('RESUMEN VIGILANCIA'!P49),"",'RESUMEN VIGILANCIA'!P49)</f>
        <v/>
      </c>
      <c r="R44" s="268">
        <f>IF(ISBLANK('RESUMEN VIGILANCIA'!Q49),"",'RESUMEN VIGILANCIA'!Q49)</f>
        <v>0.8</v>
      </c>
      <c r="S44" s="267">
        <f>IF(ISBLANK('RESUMEN VIGILANCIA'!R49),"",'RESUMEN VIGILANCIA'!R49)</f>
        <v>0.8</v>
      </c>
      <c r="T44" s="267">
        <f>IF(ISBLANK('RESUMEN VIGILANCIA'!S49),"",'RESUMEN VIGILANCIA'!S49)</f>
        <v>1.4</v>
      </c>
      <c r="U44" s="267">
        <f>IF(ISBLANK('RESUMEN VIGILANCIA'!T49),"",'RESUMEN VIGILANCIA'!T49)</f>
        <v>1.4</v>
      </c>
      <c r="V44" s="267">
        <f>IF(ISBLANK('RESUMEN VIGILANCIA'!U49),"",'RESUMEN VIGILANCIA'!U49)</f>
        <v>4</v>
      </c>
      <c r="W44" s="270">
        <f>IF(ISBLANK('RESUMEN VIGILANCIA'!V49),"",'RESUMEN VIGILANCIA'!V49)</f>
        <v>6.25</v>
      </c>
      <c r="X44" s="270">
        <f>IF(ISBLANK('RESUMEN VIGILANCIA'!W49),"",'RESUMEN VIGILANCIA'!W49)</f>
        <v>10</v>
      </c>
      <c r="Y44" s="270">
        <f>IF(ISBLANK('RESUMEN VIGILANCIA'!X49),"",'RESUMEN VIGILANCIA'!X49)</f>
        <v>12</v>
      </c>
      <c r="Z44" s="455">
        <f>IF(ISBLANK('RESUMEN VIGILANCIA'!Y49),"",'RESUMEN VIGILANCIA'!Y49)</f>
        <v>320</v>
      </c>
      <c r="AA44" s="458">
        <f>IF(ISBLANK('RESUMEN VIGILANCIA'!Z49),"",'RESUMEN VIGILANCIA'!Z49)</f>
        <v>320</v>
      </c>
      <c r="AB44" s="458">
        <f>IF(ISBLANK('RESUMEN VIGILANCIA'!AA49),"",'RESUMEN VIGILANCIA'!AA49)</f>
        <v>320</v>
      </c>
      <c r="AC44" s="457">
        <f>IF(ISBLANK('RESUMEN VIGILANCIA'!AB49),"",'RESUMEN VIGILANCIA'!AB49)</f>
        <v>800</v>
      </c>
      <c r="AD44" s="381">
        <f>IF(ISBLANK('RESUMEN VIGILANCIA'!AC49),"",'RESUMEN VIGILANCIA'!AC49)</f>
        <v>3000</v>
      </c>
      <c r="AE44" s="382">
        <f>IF(ISBLANK('RESUMEN VIGILANCIA'!AD49),"",'RESUMEN VIGILANCIA'!AD49)</f>
        <v>3000</v>
      </c>
      <c r="AF44" s="382">
        <f>IF(ISBLANK('RESUMEN VIGILANCIA'!AE49),"",'RESUMEN VIGILANCIA'!AE49)</f>
        <v>3000</v>
      </c>
      <c r="AG44" s="382">
        <f>IF(ISBLANK('RESUMEN VIGILANCIA'!AF49),"",'RESUMEN VIGILANCIA'!AF49)</f>
        <v>5000</v>
      </c>
      <c r="AH44" s="382">
        <f>IF(ISBLANK('RESUMEN VIGILANCIA'!AG49),"",'RESUMEN VIGILANCIA'!AG49)</f>
        <v>8000</v>
      </c>
      <c r="AI44" s="382">
        <f>IF(ISBLANK('RESUMEN VIGILANCIA'!AH49),"",'RESUMEN VIGILANCIA'!AH49)</f>
        <v>8000</v>
      </c>
      <c r="AJ44" s="382">
        <f>IF(ISBLANK('RESUMEN VIGILANCIA'!AI49),"",'RESUMEN VIGILANCIA'!AI49)</f>
        <v>10000</v>
      </c>
      <c r="AK44" s="382">
        <f>IF(ISBLANK('RESUMEN VIGILANCIA'!AJ49),"",'RESUMEN VIGILANCIA'!AJ49)</f>
        <v>10000</v>
      </c>
      <c r="AL44" s="382">
        <f>IF(ISBLANK('RESUMEN VIGILANCIA'!AK49),"",'RESUMEN VIGILANCIA'!AK49)</f>
        <v>19800</v>
      </c>
      <c r="AM44" s="382">
        <f>IF(ISBLANK('RESUMEN VIGILANCIA'!AL49),"",'RESUMEN VIGILANCIA'!AL49)</f>
        <v>51250</v>
      </c>
      <c r="AN44" s="382">
        <f>IF(ISBLANK('RESUMEN VIGILANCIA'!AM49),"",'RESUMEN VIGILANCIA'!AM49)</f>
        <v>97500</v>
      </c>
      <c r="AO44" s="387">
        <f>IF(ISBLANK('RESUMEN VIGILANCIA'!AN49),"",'RESUMEN VIGILANCIA'!AN49)</f>
        <v>105250</v>
      </c>
      <c r="AP44" s="381">
        <f>IF(ISBLANK('RESUMEN VIGILANCIA'!AO49),"",'RESUMEN VIGILANCIA'!AO49)</f>
        <v>136250</v>
      </c>
      <c r="AQ44" s="382">
        <f>IF(ISBLANK('RESUMEN VIGILANCIA'!AP49),"",'RESUMEN VIGILANCIA'!AP49)</f>
        <v>136200</v>
      </c>
      <c r="AR44" s="382">
        <f>IF(ISBLANK('RESUMEN VIGILANCIA'!AQ49),"",'RESUMEN VIGILANCIA'!AQ49)</f>
        <v>185200</v>
      </c>
      <c r="AS44" s="382">
        <f>IF(ISBLANK('RESUMEN VIGILANCIA'!AR49),"",'RESUMEN VIGILANCIA'!AR49)</f>
        <v>185250</v>
      </c>
      <c r="AT44" s="382">
        <f>IF(ISBLANK('RESUMEN VIGILANCIA'!AS49),"",'RESUMEN VIGILANCIA'!AS49)</f>
        <v>250000</v>
      </c>
      <c r="AU44" s="382" t="str">
        <f>IF(ISBLANK('RESUMEN VIGILANCIA'!AT49),"",'RESUMEN VIGILANCIA'!AT49)</f>
        <v/>
      </c>
      <c r="AV44" s="382" t="str">
        <f>IF(ISBLANK('RESUMEN VIGILANCIA'!AU49),"",'RESUMEN VIGILANCIA'!AU49)</f>
        <v/>
      </c>
      <c r="AW44" s="382" t="str">
        <f>IF(ISBLANK('RESUMEN VIGILANCIA'!AV49),"",'RESUMEN VIGILANCIA'!AV49)</f>
        <v/>
      </c>
      <c r="AX44" s="382" t="str">
        <f>IF(ISBLANK('RESUMEN VIGILANCIA'!AW49),"",'RESUMEN VIGILANCIA'!AW49)</f>
        <v/>
      </c>
      <c r="AY44" s="382" t="str">
        <f>IF(ISBLANK('RESUMEN VIGILANCIA'!AX49),"",'RESUMEN VIGILANCIA'!AX49)</f>
        <v/>
      </c>
      <c r="AZ44" s="382" t="str">
        <f>IF(ISBLANK('RESUMEN VIGILANCIA'!AY49),"",'RESUMEN VIGILANCIA'!AY49)</f>
        <v/>
      </c>
      <c r="BA44" s="387" t="str">
        <f>IF(ISBLANK('RESUMEN VIGILANCIA'!AZ49),"",'RESUMEN VIGILANCIA'!AZ49)</f>
        <v/>
      </c>
      <c r="BB44" s="346">
        <f t="shared" si="2"/>
        <v>325597.56</v>
      </c>
      <c r="BC44" s="347"/>
      <c r="BD44" s="347"/>
    </row>
    <row r="45" spans="1:56" s="29" customFormat="1" ht="20.100000000000001" customHeight="1">
      <c r="A45" s="59" t="str">
        <f>'RESUMEN VIGILANCIA'!A50</f>
        <v>Familia Chávez Moncada</v>
      </c>
      <c r="B45" s="60" t="str">
        <f>'RESUMEN VIGILANCIA'!B50</f>
        <v>Calle Guacara Nro. 88-95</v>
      </c>
      <c r="C45" s="429" t="s">
        <v>1317</v>
      </c>
      <c r="D45" s="436" t="s">
        <v>1315</v>
      </c>
      <c r="E45" s="417" t="str">
        <f>IF(ISBLANK('RESUMEN VIGILANCIA'!D50),"",'RESUMEN VIGILANCIA'!D50)</f>
        <v/>
      </c>
      <c r="F45" s="269" t="str">
        <f>IF(ISBLANK('RESUMEN VIGILANCIA'!E50),"",'RESUMEN VIGILANCIA'!E50)</f>
        <v/>
      </c>
      <c r="G45" s="181" t="str">
        <f>IF(ISBLANK('RESUMEN VIGILANCIA'!F50),"",'RESUMEN VIGILANCIA'!F50)</f>
        <v/>
      </c>
      <c r="H45" s="181" t="str">
        <f>IF(ISBLANK('RESUMEN VIGILANCIA'!G50),"",'RESUMEN VIGILANCIA'!G50)</f>
        <v/>
      </c>
      <c r="I45" s="181" t="str">
        <f>IF(ISBLANK('RESUMEN VIGILANCIA'!H50),"",'RESUMEN VIGILANCIA'!H50)</f>
        <v/>
      </c>
      <c r="J45" s="181" t="str">
        <f>IF(ISBLANK('RESUMEN VIGILANCIA'!I50),"",'RESUMEN VIGILANCIA'!I50)</f>
        <v/>
      </c>
      <c r="K45" s="181" t="str">
        <f>IF(ISBLANK('RESUMEN VIGILANCIA'!J50),"",'RESUMEN VIGILANCIA'!J50)</f>
        <v/>
      </c>
      <c r="L45" s="181" t="str">
        <f>IF(ISBLANK('RESUMEN VIGILANCIA'!K50),"",'RESUMEN VIGILANCIA'!K50)</f>
        <v/>
      </c>
      <c r="M45" s="181" t="str">
        <f>IF(ISBLANK('RESUMEN VIGILANCIA'!L50),"",'RESUMEN VIGILANCIA'!L50)</f>
        <v/>
      </c>
      <c r="N45" s="181" t="str">
        <f>IF(ISBLANK('RESUMEN VIGILANCIA'!M50),"",'RESUMEN VIGILANCIA'!M50)</f>
        <v/>
      </c>
      <c r="O45" s="181" t="str">
        <f>IF(ISBLANK('RESUMEN VIGILANCIA'!N50),"",'RESUMEN VIGILANCIA'!N50)</f>
        <v/>
      </c>
      <c r="P45" s="270" t="str">
        <f>IF(ISBLANK('RESUMEN VIGILANCIA'!O50),"",'RESUMEN VIGILANCIA'!O50)</f>
        <v/>
      </c>
      <c r="Q45" s="179" t="str">
        <f>IF(ISBLANK('RESUMEN VIGILANCIA'!P50),"",'RESUMEN VIGILANCIA'!P50)</f>
        <v/>
      </c>
      <c r="R45" s="271" t="str">
        <f>IF(ISBLANK('RESUMEN VIGILANCIA'!Q50),"",'RESUMEN VIGILANCIA'!Q50)</f>
        <v/>
      </c>
      <c r="S45" s="270" t="str">
        <f>IF(ISBLANK('RESUMEN VIGILANCIA'!R50),"",'RESUMEN VIGILANCIA'!R50)</f>
        <v/>
      </c>
      <c r="T45" s="270" t="str">
        <f>IF(ISBLANK('RESUMEN VIGILANCIA'!S50),"",'RESUMEN VIGILANCIA'!S50)</f>
        <v/>
      </c>
      <c r="U45" s="270" t="str">
        <f>IF(ISBLANK('RESUMEN VIGILANCIA'!T50),"",'RESUMEN VIGILANCIA'!T50)</f>
        <v/>
      </c>
      <c r="V45" s="270" t="str">
        <f>IF(ISBLANK('RESUMEN VIGILANCIA'!U50),"",'RESUMEN VIGILANCIA'!U50)</f>
        <v/>
      </c>
      <c r="W45" s="270" t="str">
        <f>IF(ISBLANK('RESUMEN VIGILANCIA'!V50),"",'RESUMEN VIGILANCIA'!V50)</f>
        <v/>
      </c>
      <c r="X45" s="270" t="str">
        <f>IF(ISBLANK('RESUMEN VIGILANCIA'!W50),"",'RESUMEN VIGILANCIA'!W50)</f>
        <v/>
      </c>
      <c r="Y45" s="270" t="str">
        <f>IF(ISBLANK('RESUMEN VIGILANCIA'!X50),"",'RESUMEN VIGILANCIA'!X50)</f>
        <v/>
      </c>
      <c r="Z45" s="455" t="str">
        <f>IF(ISBLANK('RESUMEN VIGILANCIA'!Y50),"",'RESUMEN VIGILANCIA'!Y50)</f>
        <v/>
      </c>
      <c r="AA45" s="455" t="str">
        <f>IF(ISBLANK('RESUMEN VIGILANCIA'!Z50),"",'RESUMEN VIGILANCIA'!Z50)</f>
        <v/>
      </c>
      <c r="AB45" s="455" t="str">
        <f>IF(ISBLANK('RESUMEN VIGILANCIA'!AA50),"",'RESUMEN VIGILANCIA'!AA50)</f>
        <v/>
      </c>
      <c r="AC45" s="456" t="str">
        <f>IF(ISBLANK('RESUMEN VIGILANCIA'!AB50),"",'RESUMEN VIGILANCIA'!AB50)</f>
        <v/>
      </c>
      <c r="AD45" s="376" t="str">
        <f>IF(ISBLANK('RESUMEN VIGILANCIA'!AC50),"",'RESUMEN VIGILANCIA'!AC50)</f>
        <v/>
      </c>
      <c r="AE45" s="377" t="str">
        <f>IF(ISBLANK('RESUMEN VIGILANCIA'!AD50),"",'RESUMEN VIGILANCIA'!AD50)</f>
        <v/>
      </c>
      <c r="AF45" s="377" t="str">
        <f>IF(ISBLANK('RESUMEN VIGILANCIA'!AE50),"",'RESUMEN VIGILANCIA'!AE50)</f>
        <v/>
      </c>
      <c r="AG45" s="377" t="str">
        <f>IF(ISBLANK('RESUMEN VIGILANCIA'!AF50),"",'RESUMEN VIGILANCIA'!AF50)</f>
        <v/>
      </c>
      <c r="AH45" s="377" t="str">
        <f>IF(ISBLANK('RESUMEN VIGILANCIA'!AG50),"",'RESUMEN VIGILANCIA'!AG50)</f>
        <v/>
      </c>
      <c r="AI45" s="382" t="str">
        <f>IF(ISBLANK('RESUMEN VIGILANCIA'!AH50),"",'RESUMEN VIGILANCIA'!AH50)</f>
        <v/>
      </c>
      <c r="AJ45" s="377" t="str">
        <f>IF(ISBLANK('RESUMEN VIGILANCIA'!AI50),"",'RESUMEN VIGILANCIA'!AI50)</f>
        <v/>
      </c>
      <c r="AK45" s="377" t="str">
        <f>IF(ISBLANK('RESUMEN VIGILANCIA'!AJ50),"",'RESUMEN VIGILANCIA'!AJ50)</f>
        <v/>
      </c>
      <c r="AL45" s="377" t="str">
        <f>IF(ISBLANK('RESUMEN VIGILANCIA'!AK50),"",'RESUMEN VIGILANCIA'!AK50)</f>
        <v/>
      </c>
      <c r="AM45" s="377" t="str">
        <f>IF(ISBLANK('RESUMEN VIGILANCIA'!AL50),"",'RESUMEN VIGILANCIA'!AL50)</f>
        <v/>
      </c>
      <c r="AN45" s="377">
        <f>IF(ISBLANK('RESUMEN VIGILANCIA'!AM50),"",'RESUMEN VIGILANCIA'!AM50)</f>
        <v>2281750</v>
      </c>
      <c r="AO45" s="378">
        <f>IF(ISBLANK('RESUMEN VIGILANCIA'!AN50),"",'RESUMEN VIGILANCIA'!AN50)</f>
        <v>105250</v>
      </c>
      <c r="AP45" s="511" t="str">
        <f>IF(ISBLANK('RESUMEN VIGILANCIA'!AO50),"",'RESUMEN VIGILANCIA'!AO50)</f>
        <v>VENDIDA</v>
      </c>
      <c r="AQ45" s="380" t="str">
        <f>IF(ISBLANK('RESUMEN VIGILANCIA'!AP50),"",'RESUMEN VIGILANCIA'!AP50)</f>
        <v/>
      </c>
      <c r="AR45" s="380" t="str">
        <f>IF(ISBLANK('RESUMEN VIGILANCIA'!AQ50),"",'RESUMEN VIGILANCIA'!AQ50)</f>
        <v/>
      </c>
      <c r="AS45" s="380" t="str">
        <f>IF(ISBLANK('RESUMEN VIGILANCIA'!AR50),"",'RESUMEN VIGILANCIA'!AR50)</f>
        <v/>
      </c>
      <c r="AT45" s="380" t="str">
        <f>IF(ISBLANK('RESUMEN VIGILANCIA'!AS50),"",'RESUMEN VIGILANCIA'!AS50)</f>
        <v/>
      </c>
      <c r="AU45" s="380" t="str">
        <f>IF(ISBLANK('RESUMEN VIGILANCIA'!AT50),"",'RESUMEN VIGILANCIA'!AT50)</f>
        <v/>
      </c>
      <c r="AV45" s="380" t="str">
        <f>IF(ISBLANK('RESUMEN VIGILANCIA'!AU50),"",'RESUMEN VIGILANCIA'!AU50)</f>
        <v/>
      </c>
      <c r="AW45" s="380" t="str">
        <f>IF(ISBLANK('RESUMEN VIGILANCIA'!AV50),"",'RESUMEN VIGILANCIA'!AV50)</f>
        <v/>
      </c>
      <c r="AX45" s="380" t="str">
        <f>IF(ISBLANK('RESUMEN VIGILANCIA'!AW50),"",'RESUMEN VIGILANCIA'!AW50)</f>
        <v/>
      </c>
      <c r="AY45" s="380" t="str">
        <f>IF(ISBLANK('RESUMEN VIGILANCIA'!AX50),"",'RESUMEN VIGILANCIA'!AX50)</f>
        <v/>
      </c>
      <c r="AZ45" s="380" t="str">
        <f>IF(ISBLANK('RESUMEN VIGILANCIA'!AY50),"",'RESUMEN VIGILANCIA'!AY50)</f>
        <v/>
      </c>
      <c r="BA45" s="391" t="str">
        <f>IF(ISBLANK('RESUMEN VIGILANCIA'!AZ50),"",'RESUMEN VIGILANCIA'!AZ50)</f>
        <v/>
      </c>
      <c r="BB45" s="244">
        <f t="shared" si="2"/>
        <v>2387000</v>
      </c>
      <c r="BC45" s="116"/>
      <c r="BD45" s="116">
        <v>43800</v>
      </c>
    </row>
    <row r="46" spans="1:56" s="29" customFormat="1" ht="20.100000000000001" customHeight="1">
      <c r="A46" s="30" t="str">
        <f>'RESUMEN VIGILANCIA'!A51</f>
        <v>Familia Brito Viana</v>
      </c>
      <c r="B46" s="31" t="str">
        <f>'RESUMEN VIGILANCIA'!B51</f>
        <v>Calle Guacara Nro. 88-95</v>
      </c>
      <c r="C46" s="429" t="s">
        <v>1316</v>
      </c>
      <c r="D46" s="436" t="s">
        <v>1315</v>
      </c>
      <c r="E46" s="420" t="str">
        <f>IF(ISBLANK('RESUMEN VIGILANCIA'!D51),"",'RESUMEN VIGILANCIA'!D51)</f>
        <v/>
      </c>
      <c r="F46" s="297" t="str">
        <f>IF(ISBLANK('RESUMEN VIGILANCIA'!E51),"",'RESUMEN VIGILANCIA'!E51)</f>
        <v/>
      </c>
      <c r="G46" s="216" t="str">
        <f>IF(ISBLANK('RESUMEN VIGILANCIA'!F51),"",'RESUMEN VIGILANCIA'!F51)</f>
        <v/>
      </c>
      <c r="H46" s="216" t="str">
        <f>IF(ISBLANK('RESUMEN VIGILANCIA'!G51),"",'RESUMEN VIGILANCIA'!G51)</f>
        <v/>
      </c>
      <c r="I46" s="216" t="str">
        <f>IF(ISBLANK('RESUMEN VIGILANCIA'!H51),"",'RESUMEN VIGILANCIA'!H51)</f>
        <v/>
      </c>
      <c r="J46" s="216" t="str">
        <f>IF(ISBLANK('RESUMEN VIGILANCIA'!I51),"",'RESUMEN VIGILANCIA'!I51)</f>
        <v/>
      </c>
      <c r="K46" s="216" t="str">
        <f>IF(ISBLANK('RESUMEN VIGILANCIA'!J51),"",'RESUMEN VIGILANCIA'!J51)</f>
        <v/>
      </c>
      <c r="L46" s="216" t="str">
        <f>IF(ISBLANK('RESUMEN VIGILANCIA'!K51),"",'RESUMEN VIGILANCIA'!K51)</f>
        <v/>
      </c>
      <c r="M46" s="216" t="str">
        <f>IF(ISBLANK('RESUMEN VIGILANCIA'!L51),"",'RESUMEN VIGILANCIA'!L51)</f>
        <v/>
      </c>
      <c r="N46" s="216" t="str">
        <f>IF(ISBLANK('RESUMEN VIGILANCIA'!M51),"",'RESUMEN VIGILANCIA'!M51)</f>
        <v/>
      </c>
      <c r="O46" s="216" t="str">
        <f>IF(ISBLANK('RESUMEN VIGILANCIA'!N51),"",'RESUMEN VIGILANCIA'!N51)</f>
        <v/>
      </c>
      <c r="P46" s="283" t="str">
        <f>IF(ISBLANK('RESUMEN VIGILANCIA'!O51),"",'RESUMEN VIGILANCIA'!O51)</f>
        <v/>
      </c>
      <c r="Q46" s="214" t="str">
        <f>IF(ISBLANK('RESUMEN VIGILANCIA'!P51),"",'RESUMEN VIGILANCIA'!P51)</f>
        <v/>
      </c>
      <c r="R46" s="284" t="str">
        <f>IF(ISBLANK('RESUMEN VIGILANCIA'!Q51),"",'RESUMEN VIGILANCIA'!Q51)</f>
        <v/>
      </c>
      <c r="S46" s="283" t="str">
        <f>IF(ISBLANK('RESUMEN VIGILANCIA'!R51),"",'RESUMEN VIGILANCIA'!R51)</f>
        <v/>
      </c>
      <c r="T46" s="283" t="str">
        <f>IF(ISBLANK('RESUMEN VIGILANCIA'!S51),"",'RESUMEN VIGILANCIA'!S51)</f>
        <v/>
      </c>
      <c r="U46" s="283" t="str">
        <f>IF(ISBLANK('RESUMEN VIGILANCIA'!T51),"",'RESUMEN VIGILANCIA'!T51)</f>
        <v/>
      </c>
      <c r="V46" s="283" t="str">
        <f>IF(ISBLANK('RESUMEN VIGILANCIA'!U51),"",'RESUMEN VIGILANCIA'!U51)</f>
        <v/>
      </c>
      <c r="W46" s="283" t="str">
        <f>IF(ISBLANK('RESUMEN VIGILANCIA'!V51),"",'RESUMEN VIGILANCIA'!V51)</f>
        <v/>
      </c>
      <c r="X46" s="283" t="str">
        <f>IF(ISBLANK('RESUMEN VIGILANCIA'!W51),"",'RESUMEN VIGILANCIA'!W51)</f>
        <v/>
      </c>
      <c r="Y46" s="283" t="str">
        <f>IF(ISBLANK('RESUMEN VIGILANCIA'!X51),"",'RESUMEN VIGILANCIA'!X51)</f>
        <v/>
      </c>
      <c r="Z46" s="466" t="str">
        <f>IF(ISBLANK('RESUMEN VIGILANCIA'!Y51),"",'RESUMEN VIGILANCIA'!Y51)</f>
        <v/>
      </c>
      <c r="AA46" s="466" t="str">
        <f>IF(ISBLANK('RESUMEN VIGILANCIA'!Z51),"",'RESUMEN VIGILANCIA'!Z51)</f>
        <v/>
      </c>
      <c r="AB46" s="466" t="str">
        <f>IF(ISBLANK('RESUMEN VIGILANCIA'!AA51),"",'RESUMEN VIGILANCIA'!AA51)</f>
        <v/>
      </c>
      <c r="AC46" s="467" t="str">
        <f>IF(ISBLANK('RESUMEN VIGILANCIA'!AB51),"",'RESUMEN VIGILANCIA'!AB51)</f>
        <v/>
      </c>
      <c r="AD46" s="480" t="str">
        <f>IF(ISBLANK('RESUMEN VIGILANCIA'!AC51),"",'RESUMEN VIGILANCIA'!AC51)</f>
        <v/>
      </c>
      <c r="AE46" s="481" t="str">
        <f>IF(ISBLANK('RESUMEN VIGILANCIA'!AD51),"",'RESUMEN VIGILANCIA'!AD51)</f>
        <v/>
      </c>
      <c r="AF46" s="481" t="str">
        <f>IF(ISBLANK('RESUMEN VIGILANCIA'!AE51),"",'RESUMEN VIGILANCIA'!AE51)</f>
        <v/>
      </c>
      <c r="AG46" s="481" t="str">
        <f>IF(ISBLANK('RESUMEN VIGILANCIA'!AF51),"",'RESUMEN VIGILANCIA'!AF51)</f>
        <v/>
      </c>
      <c r="AH46" s="481" t="str">
        <f>IF(ISBLANK('RESUMEN VIGILANCIA'!AG51),"",'RESUMEN VIGILANCIA'!AG51)</f>
        <v/>
      </c>
      <c r="AI46" s="481" t="str">
        <f>IF(ISBLANK('RESUMEN VIGILANCIA'!AH51),"",'RESUMEN VIGILANCIA'!AH51)</f>
        <v/>
      </c>
      <c r="AJ46" s="481" t="str">
        <f>IF(ISBLANK('RESUMEN VIGILANCIA'!AI51),"",'RESUMEN VIGILANCIA'!AI51)</f>
        <v/>
      </c>
      <c r="AK46" s="481" t="str">
        <f>IF(ISBLANK('RESUMEN VIGILANCIA'!AJ51),"",'RESUMEN VIGILANCIA'!AJ51)</f>
        <v/>
      </c>
      <c r="AL46" s="481" t="str">
        <f>IF(ISBLANK('RESUMEN VIGILANCIA'!AK51),"",'RESUMEN VIGILANCIA'!AK51)</f>
        <v/>
      </c>
      <c r="AM46" s="481" t="str">
        <f>IF(ISBLANK('RESUMEN VIGILANCIA'!AL51),"",'RESUMEN VIGILANCIA'!AL51)</f>
        <v/>
      </c>
      <c r="AN46" s="481" t="str">
        <f>IF(ISBLANK('RESUMEN VIGILANCIA'!AM51),"",'RESUMEN VIGILANCIA'!AM51)</f>
        <v/>
      </c>
      <c r="AO46" s="605" t="str">
        <f>IF(ISBLANK('RESUMEN VIGILANCIA'!AN51),"",'RESUMEN VIGILANCIA'!AN51)</f>
        <v/>
      </c>
      <c r="AP46" s="376">
        <f>IF(ISBLANK('RESUMEN VIGILANCIA'!AO51),"",'RESUMEN VIGILANCIA'!AO51)</f>
        <v>136250</v>
      </c>
      <c r="AQ46" s="382">
        <f>IF(ISBLANK('RESUMEN VIGILANCIA'!AP51),"",'RESUMEN VIGILANCIA'!AP51)</f>
        <v>136250</v>
      </c>
      <c r="AR46" s="382">
        <f>IF(ISBLANK('RESUMEN VIGILANCIA'!AQ51),"",'RESUMEN VIGILANCIA'!AQ51)</f>
        <v>186000</v>
      </c>
      <c r="AS46" s="382">
        <f>IF(ISBLANK('RESUMEN VIGILANCIA'!AR51),"",'RESUMEN VIGILANCIA'!AR51)</f>
        <v>186000</v>
      </c>
      <c r="AT46" s="382">
        <f>IF(ISBLANK('RESUMEN VIGILANCIA'!AS51),"",'RESUMEN VIGILANCIA'!AS51)</f>
        <v>250000</v>
      </c>
      <c r="AU46" s="382" t="str">
        <f>IF(ISBLANK('RESUMEN VIGILANCIA'!AT51),"",'RESUMEN VIGILANCIA'!AT51)</f>
        <v/>
      </c>
      <c r="AV46" s="382" t="str">
        <f>IF(ISBLANK('RESUMEN VIGILANCIA'!AU51),"",'RESUMEN VIGILANCIA'!AU51)</f>
        <v/>
      </c>
      <c r="AW46" s="382" t="str">
        <f>IF(ISBLANK('RESUMEN VIGILANCIA'!AV51),"",'RESUMEN VIGILANCIA'!AV51)</f>
        <v/>
      </c>
      <c r="AX46" s="377" t="str">
        <f>IF(ISBLANK('RESUMEN VIGILANCIA'!AW51),"",'RESUMEN VIGILANCIA'!AW51)</f>
        <v/>
      </c>
      <c r="AY46" s="377" t="str">
        <f>IF(ISBLANK('RESUMEN VIGILANCIA'!AX51),"",'RESUMEN VIGILANCIA'!AX51)</f>
        <v/>
      </c>
      <c r="AZ46" s="377" t="str">
        <f>IF(ISBLANK('RESUMEN VIGILANCIA'!AY51),"",'RESUMEN VIGILANCIA'!AY51)</f>
        <v/>
      </c>
      <c r="BA46" s="378" t="str">
        <f>IF(ISBLANK('RESUMEN VIGILANCIA'!AZ51),"",'RESUMEN VIGILANCIA'!AZ51)</f>
        <v/>
      </c>
      <c r="BB46" s="242">
        <f t="shared" ref="BB46" si="4">SUM(E46:AO46)</f>
        <v>0</v>
      </c>
      <c r="BC46" s="112">
        <v>43831</v>
      </c>
      <c r="BD46" s="112"/>
    </row>
    <row r="47" spans="1:56" s="29" customFormat="1" ht="20.100000000000001" customHeight="1">
      <c r="A47" s="30" t="str">
        <f>'RESUMEN VIGILANCIA'!A66</f>
        <v>Familia Zavarce Pérez</v>
      </c>
      <c r="B47" s="31" t="str">
        <f>'RESUMEN VIGILANCIA'!B66</f>
        <v>Calle Guacara Nro. 90-35</v>
      </c>
      <c r="C47" s="429" t="s">
        <v>1316</v>
      </c>
      <c r="D47" s="436" t="s">
        <v>1315</v>
      </c>
      <c r="E47" s="417" t="str">
        <f>IF(ISBLANK('RESUMEN VIGILANCIA'!D66),"",'RESUMEN VIGILANCIA'!D66)</f>
        <v/>
      </c>
      <c r="F47" s="269">
        <f>IF(ISBLANK('RESUMEN VIGILANCIA'!E66),"",'RESUMEN VIGILANCIA'!E66)</f>
        <v>0.17</v>
      </c>
      <c r="G47" s="181">
        <f>IF(ISBLANK('RESUMEN VIGILANCIA'!F66),"",'RESUMEN VIGILANCIA'!F66)</f>
        <v>0.17</v>
      </c>
      <c r="H47" s="181">
        <f>IF(ISBLANK('RESUMEN VIGILANCIA'!G66),"",'RESUMEN VIGILANCIA'!G66)</f>
        <v>0.17</v>
      </c>
      <c r="I47" s="181">
        <f>IF(ISBLANK('RESUMEN VIGILANCIA'!H66),"",'RESUMEN VIGILANCIA'!H66)</f>
        <v>0.17</v>
      </c>
      <c r="J47" s="181">
        <f>IF(ISBLANK('RESUMEN VIGILANCIA'!I66),"",'RESUMEN VIGILANCIA'!I66)</f>
        <v>0.26</v>
      </c>
      <c r="K47" s="181">
        <f>IF(ISBLANK('RESUMEN VIGILANCIA'!J66),"",'RESUMEN VIGILANCIA'!J66)</f>
        <v>0.26</v>
      </c>
      <c r="L47" s="181">
        <f>IF(ISBLANK('RESUMEN VIGILANCIA'!K66),"",'RESUMEN VIGILANCIA'!K66)</f>
        <v>0.35</v>
      </c>
      <c r="M47" s="181">
        <f>IF(ISBLANK('RESUMEN VIGILANCIA'!L66),"",'RESUMEN VIGILANCIA'!L66)</f>
        <v>0.35</v>
      </c>
      <c r="N47" s="181">
        <f>IF(ISBLANK('RESUMEN VIGILANCIA'!M66),"",'RESUMEN VIGILANCIA'!M66)</f>
        <v>0.35</v>
      </c>
      <c r="O47" s="181">
        <f>IF(ISBLANK('RESUMEN VIGILANCIA'!N66),"",'RESUMEN VIGILANCIA'!N66)</f>
        <v>0.35</v>
      </c>
      <c r="P47" s="270">
        <f>IF(ISBLANK('RESUMEN VIGILANCIA'!O66),"",'RESUMEN VIGILANCIA'!O66)</f>
        <v>0.5</v>
      </c>
      <c r="Q47" s="179">
        <f>IF(ISBLANK('RESUMEN VIGILANCIA'!P66),"",'RESUMEN VIGILANCIA'!P66)</f>
        <v>0.5</v>
      </c>
      <c r="R47" s="271">
        <f>IF(ISBLANK('RESUMEN VIGILANCIA'!Q66),"",'RESUMEN VIGILANCIA'!Q66)</f>
        <v>0.8</v>
      </c>
      <c r="S47" s="270">
        <f>IF(ISBLANK('RESUMEN VIGILANCIA'!R66),"",'RESUMEN VIGILANCIA'!R66)</f>
        <v>0.8</v>
      </c>
      <c r="T47" s="270">
        <f>IF(ISBLANK('RESUMEN VIGILANCIA'!S66),"",'RESUMEN VIGILANCIA'!S66)</f>
        <v>1.4</v>
      </c>
      <c r="U47" s="270">
        <f>IF(ISBLANK('RESUMEN VIGILANCIA'!T66),"",'RESUMEN VIGILANCIA'!T66)</f>
        <v>1.4</v>
      </c>
      <c r="V47" s="270">
        <f>IF(ISBLANK('RESUMEN VIGILANCIA'!U66),"",'RESUMEN VIGILANCIA'!U66)</f>
        <v>4</v>
      </c>
      <c r="W47" s="270">
        <f>IF(ISBLANK('RESUMEN VIGILANCIA'!V66),"",'RESUMEN VIGILANCIA'!V66)</f>
        <v>6.25</v>
      </c>
      <c r="X47" s="270">
        <f>IF(ISBLANK('RESUMEN VIGILANCIA'!W66),"",'RESUMEN VIGILANCIA'!W66)</f>
        <v>10</v>
      </c>
      <c r="Y47" s="270">
        <f>IF(ISBLANK('RESUMEN VIGILANCIA'!X66),"",'RESUMEN VIGILANCIA'!X66)</f>
        <v>12</v>
      </c>
      <c r="Z47" s="455">
        <f>IF(ISBLANK('RESUMEN VIGILANCIA'!Y66),"",'RESUMEN VIGILANCIA'!Y66)</f>
        <v>320</v>
      </c>
      <c r="AA47" s="455">
        <f>IF(ISBLANK('RESUMEN VIGILANCIA'!Z66),"",'RESUMEN VIGILANCIA'!Z66)</f>
        <v>320</v>
      </c>
      <c r="AB47" s="455">
        <f>IF(ISBLANK('RESUMEN VIGILANCIA'!AA66),"",'RESUMEN VIGILANCIA'!AA66)</f>
        <v>320</v>
      </c>
      <c r="AC47" s="456">
        <f>IF(ISBLANK('RESUMEN VIGILANCIA'!AB66),"",'RESUMEN VIGILANCIA'!AB66)</f>
        <v>800</v>
      </c>
      <c r="AD47" s="376">
        <f>IF(ISBLANK('RESUMEN VIGILANCIA'!AC66),"",'RESUMEN VIGILANCIA'!AC66)</f>
        <v>3000</v>
      </c>
      <c r="AE47" s="377">
        <f>IF(ISBLANK('RESUMEN VIGILANCIA'!AD66),"",'RESUMEN VIGILANCIA'!AD66)</f>
        <v>3000</v>
      </c>
      <c r="AF47" s="377">
        <f>IF(ISBLANK('RESUMEN VIGILANCIA'!AE66),"",'RESUMEN VIGILANCIA'!AE66)</f>
        <v>3000</v>
      </c>
      <c r="AG47" s="377">
        <f>IF(ISBLANK('RESUMEN VIGILANCIA'!AF66),"",'RESUMEN VIGILANCIA'!AF66)</f>
        <v>5000</v>
      </c>
      <c r="AH47" s="377">
        <f>IF(ISBLANK('RESUMEN VIGILANCIA'!AG66),"",'RESUMEN VIGILANCIA'!AG66)</f>
        <v>8000</v>
      </c>
      <c r="AI47" s="377">
        <f>IF(ISBLANK('RESUMEN VIGILANCIA'!AH66),"",'RESUMEN VIGILANCIA'!AH66)</f>
        <v>8000</v>
      </c>
      <c r="AJ47" s="377">
        <f>IF(ISBLANK('RESUMEN VIGILANCIA'!AI66),"",'RESUMEN VIGILANCIA'!AI66)</f>
        <v>10000</v>
      </c>
      <c r="AK47" s="377">
        <f>IF(ISBLANK('RESUMEN VIGILANCIA'!AJ66),"",'RESUMEN VIGILANCIA'!AJ66)</f>
        <v>10000</v>
      </c>
      <c r="AL47" s="377">
        <f>IF(ISBLANK('RESUMEN VIGILANCIA'!AK66),"",'RESUMEN VIGILANCIA'!AK66)</f>
        <v>23400</v>
      </c>
      <c r="AM47" s="377">
        <f>IF(ISBLANK('RESUMEN VIGILANCIA'!AL66),"",'RESUMEN VIGILANCIA'!AL66)</f>
        <v>21100</v>
      </c>
      <c r="AN47" s="377">
        <f>IF(ISBLANK('RESUMEN VIGILANCIA'!AM66),"",'RESUMEN VIGILANCIA'!AM66)</f>
        <v>56250</v>
      </c>
      <c r="AO47" s="378">
        <f>IF(ISBLANK('RESUMEN VIGILANCIA'!AN66),"",'RESUMEN VIGILANCIA'!AN66)</f>
        <v>105250</v>
      </c>
      <c r="AP47" s="376">
        <f>IF(ISBLANK('RESUMEN VIGILANCIA'!AO66),"",'RESUMEN VIGILANCIA'!AO66)</f>
        <v>105250</v>
      </c>
      <c r="AQ47" s="377">
        <f>IF(ISBLANK('RESUMEN VIGILANCIA'!AP66),"",'RESUMEN VIGILANCIA'!AP66)</f>
        <v>136250</v>
      </c>
      <c r="AR47" s="377">
        <f>IF(ISBLANK('RESUMEN VIGILANCIA'!AQ66),"",'RESUMEN VIGILANCIA'!AQ66)</f>
        <v>200000</v>
      </c>
      <c r="AS47" s="377">
        <f>IF(ISBLANK('RESUMEN VIGILANCIA'!AR66),"",'RESUMEN VIGILANCIA'!AR66)</f>
        <v>185250</v>
      </c>
      <c r="AT47" s="377">
        <f>IF(ISBLANK('RESUMEN VIGILANCIA'!AS66),"",'RESUMEN VIGILANCIA'!AS66)</f>
        <v>250000</v>
      </c>
      <c r="AU47" s="377" t="str">
        <f>IF(ISBLANK('RESUMEN VIGILANCIA'!AT66),"",'RESUMEN VIGILANCIA'!AT66)</f>
        <v/>
      </c>
      <c r="AV47" s="377" t="str">
        <f>IF(ISBLANK('RESUMEN VIGILANCIA'!AU66),"",'RESUMEN VIGILANCIA'!AU66)</f>
        <v/>
      </c>
      <c r="AW47" s="377" t="str">
        <f>IF(ISBLANK('RESUMEN VIGILANCIA'!AV66),"",'RESUMEN VIGILANCIA'!AV66)</f>
        <v/>
      </c>
      <c r="AX47" s="377" t="str">
        <f>IF(ISBLANK('RESUMEN VIGILANCIA'!AW66),"",'RESUMEN VIGILANCIA'!AW66)</f>
        <v/>
      </c>
      <c r="AY47" s="377" t="str">
        <f>IF(ISBLANK('RESUMEN VIGILANCIA'!AX66),"",'RESUMEN VIGILANCIA'!AX66)</f>
        <v/>
      </c>
      <c r="AZ47" s="377" t="str">
        <f>IF(ISBLANK('RESUMEN VIGILANCIA'!AY66),"",'RESUMEN VIGILANCIA'!AY66)</f>
        <v/>
      </c>
      <c r="BA47" s="378" t="str">
        <f>IF(ISBLANK('RESUMEN VIGILANCIA'!AZ66),"",'RESUMEN VIGILANCIA'!AZ66)</f>
        <v/>
      </c>
      <c r="BB47" s="242">
        <f t="shared" si="2"/>
        <v>257800.25</v>
      </c>
      <c r="BC47" s="112"/>
      <c r="BD47" s="112"/>
    </row>
    <row r="48" spans="1:56" s="29" customFormat="1" ht="20.100000000000001" customHeight="1">
      <c r="A48" s="29" t="str">
        <f>'RESUMEN VIGILANCIA'!A67</f>
        <v>Familia Castro Jiménez</v>
      </c>
      <c r="B48" s="31" t="str">
        <f>'RESUMEN VIGILANCIA'!B67</f>
        <v>Calle Guacara Nro. 90-51</v>
      </c>
      <c r="C48" s="429" t="s">
        <v>1316</v>
      </c>
      <c r="D48" s="436" t="s">
        <v>1315</v>
      </c>
      <c r="E48" s="417" t="str">
        <f>IF(ISBLANK('RESUMEN VIGILANCIA'!D67),"",'RESUMEN VIGILANCIA'!D67)</f>
        <v/>
      </c>
      <c r="F48" s="269">
        <f>IF(ISBLANK('RESUMEN VIGILANCIA'!E67),"",'RESUMEN VIGILANCIA'!E67)</f>
        <v>0.16999999999999998</v>
      </c>
      <c r="G48" s="181">
        <f>IF(ISBLANK('RESUMEN VIGILANCIA'!F67),"",'RESUMEN VIGILANCIA'!F67)</f>
        <v>0.17</v>
      </c>
      <c r="H48" s="181">
        <f>IF(ISBLANK('RESUMEN VIGILANCIA'!G67),"",'RESUMEN VIGILANCIA'!G67)</f>
        <v>0.17</v>
      </c>
      <c r="I48" s="181">
        <f>IF(ISBLANK('RESUMEN VIGILANCIA'!H67),"",'RESUMEN VIGILANCIA'!H67)</f>
        <v>0.17</v>
      </c>
      <c r="J48" s="181">
        <f>IF(ISBLANK('RESUMEN VIGILANCIA'!I67),"",'RESUMEN VIGILANCIA'!I67)</f>
        <v>0.26</v>
      </c>
      <c r="K48" s="181">
        <f>IF(ISBLANK('RESUMEN VIGILANCIA'!J67),"",'RESUMEN VIGILANCIA'!J67)</f>
        <v>0.26</v>
      </c>
      <c r="L48" s="181">
        <f>IF(ISBLANK('RESUMEN VIGILANCIA'!K67),"",'RESUMEN VIGILANCIA'!K67)</f>
        <v>0.35</v>
      </c>
      <c r="M48" s="181">
        <f>IF(ISBLANK('RESUMEN VIGILANCIA'!L67),"",'RESUMEN VIGILANCIA'!L67)</f>
        <v>0.35</v>
      </c>
      <c r="N48" s="181">
        <f>IF(ISBLANK('RESUMEN VIGILANCIA'!M67),"",'RESUMEN VIGILANCIA'!M67)</f>
        <v>0.35</v>
      </c>
      <c r="O48" s="181">
        <f>IF(ISBLANK('RESUMEN VIGILANCIA'!N67),"",'RESUMEN VIGILANCIA'!N67)</f>
        <v>0.35</v>
      </c>
      <c r="P48" s="270">
        <f>IF(ISBLANK('RESUMEN VIGILANCIA'!O67),"",'RESUMEN VIGILANCIA'!O67)</f>
        <v>0.5</v>
      </c>
      <c r="Q48" s="179">
        <f>IF(ISBLANK('RESUMEN VIGILANCIA'!P67),"",'RESUMEN VIGILANCIA'!P67)</f>
        <v>0.5</v>
      </c>
      <c r="R48" s="271">
        <f>IF(ISBLANK('RESUMEN VIGILANCIA'!Q67),"",'RESUMEN VIGILANCIA'!Q67)</f>
        <v>0.8</v>
      </c>
      <c r="S48" s="270">
        <f>IF(ISBLANK('RESUMEN VIGILANCIA'!R67),"",'RESUMEN VIGILANCIA'!R67)</f>
        <v>0.8</v>
      </c>
      <c r="T48" s="270">
        <f>IF(ISBLANK('RESUMEN VIGILANCIA'!S67),"",'RESUMEN VIGILANCIA'!S67)</f>
        <v>1.5</v>
      </c>
      <c r="U48" s="270">
        <f>IF(ISBLANK('RESUMEN VIGILANCIA'!T67),"",'RESUMEN VIGILANCIA'!T67)</f>
        <v>1.5</v>
      </c>
      <c r="V48" s="270">
        <f>IF(ISBLANK('RESUMEN VIGILANCIA'!U67),"",'RESUMEN VIGILANCIA'!U67)</f>
        <v>4</v>
      </c>
      <c r="W48" s="270">
        <f>IF(ISBLANK('RESUMEN VIGILANCIA'!V67),"",'RESUMEN VIGILANCIA'!V67)</f>
        <v>6.25</v>
      </c>
      <c r="X48" s="270">
        <f>IF(ISBLANK('RESUMEN VIGILANCIA'!W67),"",'RESUMEN VIGILANCIA'!W67)</f>
        <v>10</v>
      </c>
      <c r="Y48" s="270">
        <f>IF(ISBLANK('RESUMEN VIGILANCIA'!X67),"",'RESUMEN VIGILANCIA'!X67)</f>
        <v>12</v>
      </c>
      <c r="Z48" s="455">
        <f>IF(ISBLANK('RESUMEN VIGILANCIA'!Y67),"",'RESUMEN VIGILANCIA'!Y67)</f>
        <v>320</v>
      </c>
      <c r="AA48" s="455">
        <f>IF(ISBLANK('RESUMEN VIGILANCIA'!Z67),"",'RESUMEN VIGILANCIA'!Z67)</f>
        <v>320</v>
      </c>
      <c r="AB48" s="455">
        <f>IF(ISBLANK('RESUMEN VIGILANCIA'!AA67),"",'RESUMEN VIGILANCIA'!AA67)</f>
        <v>320</v>
      </c>
      <c r="AC48" s="456">
        <f>IF(ISBLANK('RESUMEN VIGILANCIA'!AB67),"",'RESUMEN VIGILANCIA'!AB67)</f>
        <v>800</v>
      </c>
      <c r="AD48" s="376">
        <f>IF(ISBLANK('RESUMEN VIGILANCIA'!AC67),"",'RESUMEN VIGILANCIA'!AC67)</f>
        <v>3000</v>
      </c>
      <c r="AE48" s="377">
        <f>IF(ISBLANK('RESUMEN VIGILANCIA'!AD67),"",'RESUMEN VIGILANCIA'!AD67)</f>
        <v>3000</v>
      </c>
      <c r="AF48" s="377">
        <f>IF(ISBLANK('RESUMEN VIGILANCIA'!AE67),"",'RESUMEN VIGILANCIA'!AE67)</f>
        <v>3000</v>
      </c>
      <c r="AG48" s="377">
        <f>IF(ISBLANK('RESUMEN VIGILANCIA'!AF67),"",'RESUMEN VIGILANCIA'!AF67)</f>
        <v>5000</v>
      </c>
      <c r="AH48" s="377">
        <f>IF(ISBLANK('RESUMEN VIGILANCIA'!AG67),"",'RESUMEN VIGILANCIA'!AG67)</f>
        <v>8000</v>
      </c>
      <c r="AI48" s="377">
        <f>IF(ISBLANK('RESUMEN VIGILANCIA'!AH67),"",'RESUMEN VIGILANCIA'!AH67)</f>
        <v>8000</v>
      </c>
      <c r="AJ48" s="377">
        <f>IF(ISBLANK('RESUMEN VIGILANCIA'!AI67),"",'RESUMEN VIGILANCIA'!AI67)</f>
        <v>10000</v>
      </c>
      <c r="AK48" s="377">
        <f>IF(ISBLANK('RESUMEN VIGILANCIA'!AJ67),"",'RESUMEN VIGILANCIA'!AJ67)</f>
        <v>10000</v>
      </c>
      <c r="AL48" s="377">
        <f>IF(ISBLANK('RESUMEN VIGILANCIA'!AK67),"",'RESUMEN VIGILANCIA'!AK67)</f>
        <v>21000</v>
      </c>
      <c r="AM48" s="377">
        <f>IF(ISBLANK('RESUMEN VIGILANCIA'!AL67),"",'RESUMEN VIGILANCIA'!AL67)</f>
        <v>48365</v>
      </c>
      <c r="AN48" s="377">
        <f>IF(ISBLANK('RESUMEN VIGILANCIA'!AM67),"",'RESUMEN VIGILANCIA'!AM67)</f>
        <v>75000</v>
      </c>
      <c r="AO48" s="378">
        <f>IF(ISBLANK('RESUMEN VIGILANCIA'!AN67),"",'RESUMEN VIGILANCIA'!AN67)</f>
        <v>105250</v>
      </c>
      <c r="AP48" s="376">
        <f>IF(ISBLANK('RESUMEN VIGILANCIA'!AO67),"",'RESUMEN VIGILANCIA'!AO67)</f>
        <v>150000</v>
      </c>
      <c r="AQ48" s="377">
        <f>IF(ISBLANK('RESUMEN VIGILANCIA'!AP67),"",'RESUMEN VIGILANCIA'!AP67)</f>
        <v>150000</v>
      </c>
      <c r="AR48" s="377">
        <f>IF(ISBLANK('RESUMEN VIGILANCIA'!AQ67),"",'RESUMEN VIGILANCIA'!AQ67)</f>
        <v>185250</v>
      </c>
      <c r="AS48" s="377">
        <f>IF(ISBLANK('RESUMEN VIGILANCIA'!AR67),"",'RESUMEN VIGILANCIA'!AR67)</f>
        <v>250000</v>
      </c>
      <c r="AT48" s="377">
        <f>IF(ISBLANK('RESUMEN VIGILANCIA'!AS67),"",'RESUMEN VIGILANCIA'!AS67)</f>
        <v>300000</v>
      </c>
      <c r="AU48" s="377" t="str">
        <f>IF(ISBLANK('RESUMEN VIGILANCIA'!AT67),"",'RESUMEN VIGILANCIA'!AT67)</f>
        <v/>
      </c>
      <c r="AV48" s="377" t="str">
        <f>IF(ISBLANK('RESUMEN VIGILANCIA'!AU67),"",'RESUMEN VIGILANCIA'!AU67)</f>
        <v/>
      </c>
      <c r="AW48" s="377" t="str">
        <f>IF(ISBLANK('RESUMEN VIGILANCIA'!AV67),"",'RESUMEN VIGILANCIA'!AV67)</f>
        <v/>
      </c>
      <c r="AX48" s="377" t="str">
        <f>IF(ISBLANK('RESUMEN VIGILANCIA'!AW67),"",'RESUMEN VIGILANCIA'!AW67)</f>
        <v/>
      </c>
      <c r="AY48" s="377" t="str">
        <f>IF(ISBLANK('RESUMEN VIGILANCIA'!AX67),"",'RESUMEN VIGILANCIA'!AX67)</f>
        <v/>
      </c>
      <c r="AZ48" s="377" t="str">
        <f>IF(ISBLANK('RESUMEN VIGILANCIA'!AY67),"",'RESUMEN VIGILANCIA'!AY67)</f>
        <v/>
      </c>
      <c r="BA48" s="378" t="str">
        <f>IF(ISBLANK('RESUMEN VIGILANCIA'!AZ67),"",'RESUMEN VIGILANCIA'!AZ67)</f>
        <v/>
      </c>
      <c r="BB48" s="242">
        <f t="shared" si="2"/>
        <v>301415.45</v>
      </c>
      <c r="BC48" s="112"/>
      <c r="BD48" s="112"/>
    </row>
    <row r="49" spans="1:56" s="29" customFormat="1" ht="20.100000000000001" customHeight="1">
      <c r="A49" s="33" t="str">
        <f>'RESUMEN VIGILANCIA'!A68</f>
        <v>Familia Triana González</v>
      </c>
      <c r="B49" s="34" t="str">
        <f>'RESUMEN VIGILANCIA'!B68</f>
        <v>Calle Guacara Nro. 90-61</v>
      </c>
      <c r="C49" s="428" t="s">
        <v>1318</v>
      </c>
      <c r="D49" s="437" t="s">
        <v>1315</v>
      </c>
      <c r="E49" s="416" t="str">
        <f>IF(ISBLANK('RESUMEN VIGILANCIA'!D68),"",'RESUMEN VIGILANCIA'!D68)</f>
        <v/>
      </c>
      <c r="F49" s="266">
        <f>IF(ISBLANK('RESUMEN VIGILANCIA'!E68),"",'RESUMEN VIGILANCIA'!E68)</f>
        <v>0.02</v>
      </c>
      <c r="G49" s="188">
        <f>IF(ISBLANK('RESUMEN VIGILANCIA'!F68),"",'RESUMEN VIGILANCIA'!F68)</f>
        <v>0.02</v>
      </c>
      <c r="H49" s="188">
        <f>IF(ISBLANK('RESUMEN VIGILANCIA'!G68),"",'RESUMEN VIGILANCIA'!G68)</f>
        <v>0.02</v>
      </c>
      <c r="I49" s="188">
        <f>IF(ISBLANK('RESUMEN VIGILANCIA'!H68),"",'RESUMEN VIGILANCIA'!H68)</f>
        <v>0.02</v>
      </c>
      <c r="J49" s="188">
        <f>IF(ISBLANK('RESUMEN VIGILANCIA'!I68),"",'RESUMEN VIGILANCIA'!I68)</f>
        <v>0.02</v>
      </c>
      <c r="K49" s="188" t="str">
        <f>IF(ISBLANK('RESUMEN VIGILANCIA'!J68),"",'RESUMEN VIGILANCIA'!J68)</f>
        <v/>
      </c>
      <c r="L49" s="188" t="str">
        <f>IF(ISBLANK('RESUMEN VIGILANCIA'!K68),"",'RESUMEN VIGILANCIA'!K68)</f>
        <v/>
      </c>
      <c r="M49" s="188" t="str">
        <f>IF(ISBLANK('RESUMEN VIGILANCIA'!L68),"",'RESUMEN VIGILANCIA'!L68)</f>
        <v/>
      </c>
      <c r="N49" s="188" t="str">
        <f>IF(ISBLANK('RESUMEN VIGILANCIA'!M68),"",'RESUMEN VIGILANCIA'!M68)</f>
        <v/>
      </c>
      <c r="O49" s="188" t="str">
        <f>IF(ISBLANK('RESUMEN VIGILANCIA'!N68),"",'RESUMEN VIGILANCIA'!N68)</f>
        <v/>
      </c>
      <c r="P49" s="267" t="str">
        <f>IF(ISBLANK('RESUMEN VIGILANCIA'!O68),"",'RESUMEN VIGILANCIA'!O68)</f>
        <v/>
      </c>
      <c r="Q49" s="186" t="str">
        <f>IF(ISBLANK('RESUMEN VIGILANCIA'!P68),"",'RESUMEN VIGILANCIA'!P68)</f>
        <v/>
      </c>
      <c r="R49" s="268" t="str">
        <f>IF(ISBLANK('RESUMEN VIGILANCIA'!Q68),"",'RESUMEN VIGILANCIA'!Q68)</f>
        <v/>
      </c>
      <c r="S49" s="267" t="str">
        <f>IF(ISBLANK('RESUMEN VIGILANCIA'!R68),"",'RESUMEN VIGILANCIA'!R68)</f>
        <v/>
      </c>
      <c r="T49" s="267" t="str">
        <f>IF(ISBLANK('RESUMEN VIGILANCIA'!S68),"",'RESUMEN VIGILANCIA'!S68)</f>
        <v/>
      </c>
      <c r="U49" s="267">
        <f>IF(ISBLANK('RESUMEN VIGILANCIA'!T68),"",'RESUMEN VIGILANCIA'!T68)</f>
        <v>1.4</v>
      </c>
      <c r="V49" s="267">
        <f>IF(ISBLANK('RESUMEN VIGILANCIA'!U68),"",'RESUMEN VIGILANCIA'!U68)</f>
        <v>1</v>
      </c>
      <c r="W49" s="267">
        <f>IF(ISBLANK('RESUMEN VIGILANCIA'!V68),"",'RESUMEN VIGILANCIA'!V68)</f>
        <v>1</v>
      </c>
      <c r="X49" s="267">
        <f>IF(ISBLANK('RESUMEN VIGILANCIA'!W68),"",'RESUMEN VIGILANCIA'!W68)</f>
        <v>2</v>
      </c>
      <c r="Y49" s="267">
        <f>IF(ISBLANK('RESUMEN VIGILANCIA'!X68),"",'RESUMEN VIGILANCIA'!X68)</f>
        <v>12</v>
      </c>
      <c r="Z49" s="459">
        <f>IF(ISBLANK('RESUMEN VIGILANCIA'!Y68),"",'RESUMEN VIGILANCIA'!Y68)</f>
        <v>100</v>
      </c>
      <c r="AA49" s="459">
        <f>IF(ISBLANK('RESUMEN VIGILANCIA'!Z68),"",'RESUMEN VIGILANCIA'!Z68)</f>
        <v>100</v>
      </c>
      <c r="AB49" s="459">
        <f>IF(ISBLANK('RESUMEN VIGILANCIA'!AA68),"",'RESUMEN VIGILANCIA'!AA68)</f>
        <v>320</v>
      </c>
      <c r="AC49" s="460">
        <f>IF(ISBLANK('RESUMEN VIGILANCIA'!AB68),"",'RESUMEN VIGILANCIA'!AB68)</f>
        <v>800</v>
      </c>
      <c r="AD49" s="373">
        <f>IF(ISBLANK('RESUMEN VIGILANCIA'!AC68),"",'RESUMEN VIGILANCIA'!AC68)</f>
        <v>3000</v>
      </c>
      <c r="AE49" s="374">
        <f>IF(ISBLANK('RESUMEN VIGILANCIA'!AD68),"",'RESUMEN VIGILANCIA'!AD68)</f>
        <v>3000</v>
      </c>
      <c r="AF49" s="374">
        <f>IF(ISBLANK('RESUMEN VIGILANCIA'!AE68),"",'RESUMEN VIGILANCIA'!AE68)</f>
        <v>3000</v>
      </c>
      <c r="AG49" s="374">
        <f>IF(ISBLANK('RESUMEN VIGILANCIA'!AF68),"",'RESUMEN VIGILANCIA'!AF68)</f>
        <v>5000</v>
      </c>
      <c r="AH49" s="374">
        <f>IF(ISBLANK('RESUMEN VIGILANCIA'!AG68),"",'RESUMEN VIGILANCIA'!AG68)</f>
        <v>4880</v>
      </c>
      <c r="AI49" s="374">
        <f>IF(ISBLANK('RESUMEN VIGILANCIA'!AH68),"",'RESUMEN VIGILANCIA'!AH68)</f>
        <v>8000</v>
      </c>
      <c r="AJ49" s="374">
        <f>IF(ISBLANK('RESUMEN VIGILANCIA'!AI68),"",'RESUMEN VIGILANCIA'!AI68)</f>
        <v>10000</v>
      </c>
      <c r="AK49" s="374">
        <f>IF(ISBLANK('RESUMEN VIGILANCIA'!AJ68),"",'RESUMEN VIGILANCIA'!AJ68)</f>
        <v>10000</v>
      </c>
      <c r="AL49" s="374">
        <f>IF(ISBLANK('RESUMEN VIGILANCIA'!AK68),"",'RESUMEN VIGILANCIA'!AK68)</f>
        <v>23500</v>
      </c>
      <c r="AM49" s="374">
        <f>IF(ISBLANK('RESUMEN VIGILANCIA'!AL68),"",'RESUMEN VIGILANCIA'!AL68)</f>
        <v>48100</v>
      </c>
      <c r="AN49" s="374">
        <f>IF(ISBLANK('RESUMEN VIGILANCIA'!AM68),"",'RESUMEN VIGILANCIA'!AM68)</f>
        <v>56300</v>
      </c>
      <c r="AO49" s="375">
        <f>IF(ISBLANK('RESUMEN VIGILANCIA'!AN68),"",'RESUMEN VIGILANCIA'!AN68)</f>
        <v>81750</v>
      </c>
      <c r="AP49" s="373">
        <f>IF(ISBLANK('RESUMEN VIGILANCIA'!AO68),"",'RESUMEN VIGILANCIA'!AO68)</f>
        <v>136250</v>
      </c>
      <c r="AQ49" s="374">
        <f>IF(ISBLANK('RESUMEN VIGILANCIA'!AP68),"",'RESUMEN VIGILANCIA'!AP68)</f>
        <v>136250</v>
      </c>
      <c r="AR49" s="374">
        <f>IF(ISBLANK('RESUMEN VIGILANCIA'!AQ68),"",'RESUMEN VIGILANCIA'!AQ68)</f>
        <v>185250</v>
      </c>
      <c r="AS49" s="374">
        <f>IF(ISBLANK('RESUMEN VIGILANCIA'!AR68),"",'RESUMEN VIGILANCIA'!AR68)</f>
        <v>186000</v>
      </c>
      <c r="AT49" s="374">
        <f>IF(ISBLANK('RESUMEN VIGILANCIA'!AS68),"",'RESUMEN VIGILANCIA'!AS68)</f>
        <v>250000</v>
      </c>
      <c r="AU49" s="374" t="str">
        <f>IF(ISBLANK('RESUMEN VIGILANCIA'!AT68),"",'RESUMEN VIGILANCIA'!AT68)</f>
        <v/>
      </c>
      <c r="AV49" s="374" t="str">
        <f>IF(ISBLANK('RESUMEN VIGILANCIA'!AU68),"",'RESUMEN VIGILANCIA'!AU68)</f>
        <v/>
      </c>
      <c r="AW49" s="374" t="str">
        <f>IF(ISBLANK('RESUMEN VIGILANCIA'!AV68),"",'RESUMEN VIGILANCIA'!AV68)</f>
        <v/>
      </c>
      <c r="AX49" s="374" t="str">
        <f>IF(ISBLANK('RESUMEN VIGILANCIA'!AW68),"",'RESUMEN VIGILANCIA'!AW68)</f>
        <v/>
      </c>
      <c r="AY49" s="374" t="str">
        <f>IF(ISBLANK('RESUMEN VIGILANCIA'!AX68),"",'RESUMEN VIGILANCIA'!AX68)</f>
        <v/>
      </c>
      <c r="AZ49" s="374" t="str">
        <f>IF(ISBLANK('RESUMEN VIGILANCIA'!AY68),"",'RESUMEN VIGILANCIA'!AY68)</f>
        <v/>
      </c>
      <c r="BA49" s="375" t="str">
        <f>IF(ISBLANK('RESUMEN VIGILANCIA'!AZ68),"",'RESUMEN VIGILANCIA'!AZ68)</f>
        <v/>
      </c>
      <c r="BB49" s="241">
        <f t="shared" si="2"/>
        <v>257867.5</v>
      </c>
      <c r="BC49" s="111"/>
      <c r="BD49" s="111"/>
    </row>
    <row r="50" spans="1:56" s="29" customFormat="1" ht="20.100000000000001" customHeight="1">
      <c r="A50" s="30" t="str">
        <f>'RESUMEN VIGILANCIA'!A69</f>
        <v>Neira Chacón</v>
      </c>
      <c r="B50" s="31" t="str">
        <f>'RESUMEN VIGILANCIA'!B69</f>
        <v>Calle Guacara Nro. 90-71</v>
      </c>
      <c r="C50" s="429" t="s">
        <v>1317</v>
      </c>
      <c r="D50" s="436" t="s">
        <v>1315</v>
      </c>
      <c r="E50" s="417" t="str">
        <f>IF(ISBLANK('RESUMEN VIGILANCIA'!D69),"",'RESUMEN VIGILANCIA'!D69)</f>
        <v/>
      </c>
      <c r="F50" s="269" t="str">
        <f>IF(ISBLANK('RESUMEN VIGILANCIA'!E69),"",'RESUMEN VIGILANCIA'!E69)</f>
        <v/>
      </c>
      <c r="G50" s="181" t="str">
        <f>IF(ISBLANK('RESUMEN VIGILANCIA'!F69),"",'RESUMEN VIGILANCIA'!F69)</f>
        <v/>
      </c>
      <c r="H50" s="181" t="str">
        <f>IF(ISBLANK('RESUMEN VIGILANCIA'!G69),"",'RESUMEN VIGILANCIA'!G69)</f>
        <v/>
      </c>
      <c r="I50" s="181" t="str">
        <f>IF(ISBLANK('RESUMEN VIGILANCIA'!H69),"",'RESUMEN VIGILANCIA'!H69)</f>
        <v/>
      </c>
      <c r="J50" s="181" t="str">
        <f>IF(ISBLANK('RESUMEN VIGILANCIA'!I69),"",'RESUMEN VIGILANCIA'!I69)</f>
        <v/>
      </c>
      <c r="K50" s="181" t="str">
        <f>IF(ISBLANK('RESUMEN VIGILANCIA'!J69),"",'RESUMEN VIGILANCIA'!J69)</f>
        <v/>
      </c>
      <c r="L50" s="181" t="str">
        <f>IF(ISBLANK('RESUMEN VIGILANCIA'!K69),"",'RESUMEN VIGILANCIA'!K69)</f>
        <v/>
      </c>
      <c r="M50" s="181" t="str">
        <f>IF(ISBLANK('RESUMEN VIGILANCIA'!L69),"",'RESUMEN VIGILANCIA'!L69)</f>
        <v/>
      </c>
      <c r="N50" s="181" t="str">
        <f>IF(ISBLANK('RESUMEN VIGILANCIA'!M69),"",'RESUMEN VIGILANCIA'!M69)</f>
        <v/>
      </c>
      <c r="O50" s="181" t="str">
        <f>IF(ISBLANK('RESUMEN VIGILANCIA'!N69),"",'RESUMEN VIGILANCIA'!N69)</f>
        <v/>
      </c>
      <c r="P50" s="270" t="str">
        <f>IF(ISBLANK('RESUMEN VIGILANCIA'!O69),"",'RESUMEN VIGILANCIA'!O69)</f>
        <v/>
      </c>
      <c r="Q50" s="179" t="str">
        <f>IF(ISBLANK('RESUMEN VIGILANCIA'!P69),"",'RESUMEN VIGILANCIA'!P69)</f>
        <v/>
      </c>
      <c r="R50" s="271" t="str">
        <f>IF(ISBLANK('RESUMEN VIGILANCIA'!Q69),"",'RESUMEN VIGILANCIA'!Q69)</f>
        <v/>
      </c>
      <c r="S50" s="270" t="str">
        <f>IF(ISBLANK('RESUMEN VIGILANCIA'!R69),"",'RESUMEN VIGILANCIA'!R69)</f>
        <v/>
      </c>
      <c r="T50" s="270" t="str">
        <f>IF(ISBLANK('RESUMEN VIGILANCIA'!S69),"",'RESUMEN VIGILANCIA'!S69)</f>
        <v/>
      </c>
      <c r="U50" s="270" t="str">
        <f>IF(ISBLANK('RESUMEN VIGILANCIA'!T69),"",'RESUMEN VIGILANCIA'!T69)</f>
        <v/>
      </c>
      <c r="V50" s="270" t="str">
        <f>IF(ISBLANK('RESUMEN VIGILANCIA'!U69),"",'RESUMEN VIGILANCIA'!U69)</f>
        <v/>
      </c>
      <c r="W50" s="270" t="str">
        <f>IF(ISBLANK('RESUMEN VIGILANCIA'!V69),"",'RESUMEN VIGILANCIA'!V69)</f>
        <v/>
      </c>
      <c r="X50" s="270" t="str">
        <f>IF(ISBLANK('RESUMEN VIGILANCIA'!W69),"",'RESUMEN VIGILANCIA'!W69)</f>
        <v/>
      </c>
      <c r="Y50" s="270" t="str">
        <f>IF(ISBLANK('RESUMEN VIGILANCIA'!X69),"",'RESUMEN VIGILANCIA'!X69)</f>
        <v/>
      </c>
      <c r="Z50" s="455" t="str">
        <f>IF(ISBLANK('RESUMEN VIGILANCIA'!Y69),"",'RESUMEN VIGILANCIA'!Y69)</f>
        <v/>
      </c>
      <c r="AA50" s="455" t="str">
        <f>IF(ISBLANK('RESUMEN VIGILANCIA'!Z69),"",'RESUMEN VIGILANCIA'!Z69)</f>
        <v/>
      </c>
      <c r="AB50" s="455" t="str">
        <f>IF(ISBLANK('RESUMEN VIGILANCIA'!AA69),"",'RESUMEN VIGILANCIA'!AA69)</f>
        <v/>
      </c>
      <c r="AC50" s="456" t="str">
        <f>IF(ISBLANK('RESUMEN VIGILANCIA'!AB69),"",'RESUMEN VIGILANCIA'!AB69)</f>
        <v/>
      </c>
      <c r="AD50" s="376" t="str">
        <f>IF(ISBLANK('RESUMEN VIGILANCIA'!AC69),"",'RESUMEN VIGILANCIA'!AC69)</f>
        <v/>
      </c>
      <c r="AE50" s="377" t="str">
        <f>IF(ISBLANK('RESUMEN VIGILANCIA'!AD69),"",'RESUMEN VIGILANCIA'!AD69)</f>
        <v/>
      </c>
      <c r="AF50" s="377" t="str">
        <f>IF(ISBLANK('RESUMEN VIGILANCIA'!AE69),"",'RESUMEN VIGILANCIA'!AE69)</f>
        <v/>
      </c>
      <c r="AG50" s="377" t="str">
        <f>IF(ISBLANK('RESUMEN VIGILANCIA'!AF69),"",'RESUMEN VIGILANCIA'!AF69)</f>
        <v/>
      </c>
      <c r="AH50" s="377" t="str">
        <f>IF(ISBLANK('RESUMEN VIGILANCIA'!AG69),"",'RESUMEN VIGILANCIA'!AG69)</f>
        <v/>
      </c>
      <c r="AI50" s="377" t="str">
        <f>IF(ISBLANK('RESUMEN VIGILANCIA'!AH69),"",'RESUMEN VIGILANCIA'!AH69)</f>
        <v/>
      </c>
      <c r="AJ50" s="377" t="str">
        <f>IF(ISBLANK('RESUMEN VIGILANCIA'!AI69),"",'RESUMEN VIGILANCIA'!AI69)</f>
        <v/>
      </c>
      <c r="AK50" s="377" t="str">
        <f>IF(ISBLANK('RESUMEN VIGILANCIA'!AJ69),"",'RESUMEN VIGILANCIA'!AJ69)</f>
        <v/>
      </c>
      <c r="AL50" s="377" t="str">
        <f>IF(ISBLANK('RESUMEN VIGILANCIA'!AK69),"",'RESUMEN VIGILANCIA'!AK69)</f>
        <v/>
      </c>
      <c r="AM50" s="377" t="str">
        <f>IF(ISBLANK('RESUMEN VIGILANCIA'!AL69),"",'RESUMEN VIGILANCIA'!AL69)</f>
        <v/>
      </c>
      <c r="AN50" s="377" t="str">
        <f>IF(ISBLANK('RESUMEN VIGILANCIA'!AM69),"",'RESUMEN VIGILANCIA'!AM69)</f>
        <v/>
      </c>
      <c r="AO50" s="378" t="str">
        <f>IF(ISBLANK('RESUMEN VIGILANCIA'!AN69),"",'RESUMEN VIGILANCIA'!AN69)</f>
        <v/>
      </c>
      <c r="AP50" s="376" t="str">
        <f>IF(ISBLANK('RESUMEN VIGILANCIA'!AO69),"",'RESUMEN VIGILANCIA'!AO69)</f>
        <v/>
      </c>
      <c r="AQ50" s="377" t="str">
        <f>IF(ISBLANK('RESUMEN VIGILANCIA'!AP69),"",'RESUMEN VIGILANCIA'!AP69)</f>
        <v/>
      </c>
      <c r="AR50" s="377" t="str">
        <f>IF(ISBLANK('RESUMEN VIGILANCIA'!AQ69),"",'RESUMEN VIGILANCIA'!AQ69)</f>
        <v/>
      </c>
      <c r="AS50" s="377" t="str">
        <f>IF(ISBLANK('RESUMEN VIGILANCIA'!AR69),"",'RESUMEN VIGILANCIA'!AR69)</f>
        <v/>
      </c>
      <c r="AT50" s="377" t="str">
        <f>IF(ISBLANK('RESUMEN VIGILANCIA'!AS69),"",'RESUMEN VIGILANCIA'!AS69)</f>
        <v/>
      </c>
      <c r="AU50" s="377" t="str">
        <f>IF(ISBLANK('RESUMEN VIGILANCIA'!AT69),"",'RESUMEN VIGILANCIA'!AT69)</f>
        <v/>
      </c>
      <c r="AV50" s="377" t="str">
        <f>IF(ISBLANK('RESUMEN VIGILANCIA'!AU69),"",'RESUMEN VIGILANCIA'!AU69)</f>
        <v/>
      </c>
      <c r="AW50" s="377" t="str">
        <f>IF(ISBLANK('RESUMEN VIGILANCIA'!AV69),"",'RESUMEN VIGILANCIA'!AV69)</f>
        <v/>
      </c>
      <c r="AX50" s="377" t="str">
        <f>IF(ISBLANK('RESUMEN VIGILANCIA'!AW69),"",'RESUMEN VIGILANCIA'!AW69)</f>
        <v/>
      </c>
      <c r="AY50" s="377" t="str">
        <f>IF(ISBLANK('RESUMEN VIGILANCIA'!AX69),"",'RESUMEN VIGILANCIA'!AX69)</f>
        <v/>
      </c>
      <c r="AZ50" s="377" t="str">
        <f>IF(ISBLANK('RESUMEN VIGILANCIA'!AY69),"",'RESUMEN VIGILANCIA'!AY69)</f>
        <v/>
      </c>
      <c r="BA50" s="378" t="str">
        <f>IF(ISBLANK('RESUMEN VIGILANCIA'!AZ69),"",'RESUMEN VIGILANCIA'!AZ69)</f>
        <v/>
      </c>
      <c r="BB50" s="242">
        <f t="shared" si="2"/>
        <v>0</v>
      </c>
      <c r="BC50" s="112"/>
      <c r="BD50" s="112"/>
    </row>
    <row r="51" spans="1:56" s="29" customFormat="1" ht="20.100000000000001" customHeight="1">
      <c r="A51" s="33" t="str">
        <f>'RESUMEN VIGILANCIA'!A71</f>
        <v>Familia Santos Carrillo</v>
      </c>
      <c r="B51" s="34" t="str">
        <f>'RESUMEN VIGILANCIA'!B71</f>
        <v>Calle Guacara Nro. 90-93</v>
      </c>
      <c r="C51" s="428" t="s">
        <v>1317</v>
      </c>
      <c r="D51" s="437" t="s">
        <v>1315</v>
      </c>
      <c r="E51" s="416">
        <f>IF(ISBLANK('RESUMEN VIGILANCIA'!D71),"",'RESUMEN VIGILANCIA'!D71)</f>
        <v>0.04</v>
      </c>
      <c r="F51" s="266">
        <f>IF(ISBLANK('RESUMEN VIGILANCIA'!E71),"",'RESUMEN VIGILANCIA'!E71)</f>
        <v>0.03</v>
      </c>
      <c r="G51" s="188">
        <f>IF(ISBLANK('RESUMEN VIGILANCIA'!F71),"",'RESUMEN VIGILANCIA'!F71)</f>
        <v>0.03</v>
      </c>
      <c r="H51" s="188">
        <f>IF(ISBLANK('RESUMEN VIGILANCIA'!G71),"",'RESUMEN VIGILANCIA'!G71)</f>
        <v>0.03</v>
      </c>
      <c r="I51" s="188">
        <f>IF(ISBLANK('RESUMEN VIGILANCIA'!H71),"",'RESUMEN VIGILANCIA'!H71)</f>
        <v>0.03</v>
      </c>
      <c r="J51" s="188">
        <f>IF(ISBLANK('RESUMEN VIGILANCIA'!I71),"",'RESUMEN VIGILANCIA'!I71)</f>
        <v>0.03</v>
      </c>
      <c r="K51" s="188">
        <f>IF(ISBLANK('RESUMEN VIGILANCIA'!J71),"",'RESUMEN VIGILANCIA'!J71)</f>
        <v>0.03</v>
      </c>
      <c r="L51" s="188">
        <f>IF(ISBLANK('RESUMEN VIGILANCIA'!K71),"",'RESUMEN VIGILANCIA'!K71)</f>
        <v>0.06</v>
      </c>
      <c r="M51" s="188">
        <f>IF(ISBLANK('RESUMEN VIGILANCIA'!L71),"",'RESUMEN VIGILANCIA'!L71)</f>
        <v>6.5000000000000002E-2</v>
      </c>
      <c r="N51" s="188">
        <f>IF(ISBLANK('RESUMEN VIGILANCIA'!M71),"",'RESUMEN VIGILANCIA'!M71)</f>
        <v>0.14899999999999999</v>
      </c>
      <c r="O51" s="188">
        <f>IF(ISBLANK('RESUMEN VIGILANCIA'!N71),"",'RESUMEN VIGILANCIA'!N71)</f>
        <v>0.2</v>
      </c>
      <c r="P51" s="267">
        <f>IF(ISBLANK('RESUMEN VIGILANCIA'!O71),"",'RESUMEN VIGILANCIA'!O71)</f>
        <v>0.18</v>
      </c>
      <c r="Q51" s="186">
        <f>IF(ISBLANK('RESUMEN VIGILANCIA'!P71),"",'RESUMEN VIGILANCIA'!P71)</f>
        <v>0.2</v>
      </c>
      <c r="R51" s="268">
        <f>IF(ISBLANK('RESUMEN VIGILANCIA'!Q71),"",'RESUMEN VIGILANCIA'!Q71)</f>
        <v>0.2</v>
      </c>
      <c r="S51" s="267">
        <f>IF(ISBLANK('RESUMEN VIGILANCIA'!R71),"",'RESUMEN VIGILANCIA'!R71)</f>
        <v>0.2</v>
      </c>
      <c r="T51" s="267">
        <f>IF(ISBLANK('RESUMEN VIGILANCIA'!S71),"",'RESUMEN VIGILANCIA'!S71)</f>
        <v>1.4</v>
      </c>
      <c r="U51" s="267">
        <f>IF(ISBLANK('RESUMEN VIGILANCIA'!T71),"",'RESUMEN VIGILANCIA'!T71)</f>
        <v>1.4</v>
      </c>
      <c r="V51" s="267" t="str">
        <f>IF(ISBLANK('RESUMEN VIGILANCIA'!U71),"",'RESUMEN VIGILANCIA'!U71)</f>
        <v/>
      </c>
      <c r="W51" s="267" t="str">
        <f>IF(ISBLANK('RESUMEN VIGILANCIA'!V71),"",'RESUMEN VIGILANCIA'!V71)</f>
        <v/>
      </c>
      <c r="X51" s="267" t="str">
        <f>IF(ISBLANK('RESUMEN VIGILANCIA'!W71),"",'RESUMEN VIGILANCIA'!W71)</f>
        <v/>
      </c>
      <c r="Y51" s="267" t="str">
        <f>IF(ISBLANK('RESUMEN VIGILANCIA'!X71),"",'RESUMEN VIGILANCIA'!X71)</f>
        <v/>
      </c>
      <c r="Z51" s="459" t="str">
        <f>IF(ISBLANK('RESUMEN VIGILANCIA'!Y71),"",'RESUMEN VIGILANCIA'!Y71)</f>
        <v/>
      </c>
      <c r="AA51" s="459" t="str">
        <f>IF(ISBLANK('RESUMEN VIGILANCIA'!Z71),"",'RESUMEN VIGILANCIA'!Z71)</f>
        <v/>
      </c>
      <c r="AB51" s="459" t="str">
        <f>IF(ISBLANK('RESUMEN VIGILANCIA'!AA71),"",'RESUMEN VIGILANCIA'!AA71)</f>
        <v/>
      </c>
      <c r="AC51" s="460" t="str">
        <f>IF(ISBLANK('RESUMEN VIGILANCIA'!AB71),"",'RESUMEN VIGILANCIA'!AB71)</f>
        <v/>
      </c>
      <c r="AD51" s="373" t="str">
        <f>IF(ISBLANK('RESUMEN VIGILANCIA'!AC71),"",'RESUMEN VIGILANCIA'!AC71)</f>
        <v/>
      </c>
      <c r="AE51" s="374" t="str">
        <f>IF(ISBLANK('RESUMEN VIGILANCIA'!AD71),"",'RESUMEN VIGILANCIA'!AD71)</f>
        <v/>
      </c>
      <c r="AF51" s="374" t="str">
        <f>IF(ISBLANK('RESUMEN VIGILANCIA'!AE71),"",'RESUMEN VIGILANCIA'!AE71)</f>
        <v/>
      </c>
      <c r="AG51" s="374" t="str">
        <f>IF(ISBLANK('RESUMEN VIGILANCIA'!AF71),"",'RESUMEN VIGILANCIA'!AF71)</f>
        <v/>
      </c>
      <c r="AH51" s="374" t="str">
        <f>IF(ISBLANK('RESUMEN VIGILANCIA'!AG71),"",'RESUMEN VIGILANCIA'!AG71)</f>
        <v/>
      </c>
      <c r="AI51" s="374" t="str">
        <f>IF(ISBLANK('RESUMEN VIGILANCIA'!AH71),"",'RESUMEN VIGILANCIA'!AH71)</f>
        <v/>
      </c>
      <c r="AJ51" s="374" t="str">
        <f>IF(ISBLANK('RESUMEN VIGILANCIA'!AI71),"",'RESUMEN VIGILANCIA'!AI71)</f>
        <v/>
      </c>
      <c r="AK51" s="374" t="str">
        <f>IF(ISBLANK('RESUMEN VIGILANCIA'!AJ71),"",'RESUMEN VIGILANCIA'!AJ71)</f>
        <v/>
      </c>
      <c r="AL51" s="374" t="str">
        <f>IF(ISBLANK('RESUMEN VIGILANCIA'!AK71),"",'RESUMEN VIGILANCIA'!AK71)</f>
        <v/>
      </c>
      <c r="AM51" s="374" t="str">
        <f>IF(ISBLANK('RESUMEN VIGILANCIA'!AL71),"",'RESUMEN VIGILANCIA'!AL71)</f>
        <v/>
      </c>
      <c r="AN51" s="374" t="str">
        <f>IF(ISBLANK('RESUMEN VIGILANCIA'!AM71),"",'RESUMEN VIGILANCIA'!AM71)</f>
        <v/>
      </c>
      <c r="AO51" s="375" t="str">
        <f>IF(ISBLANK('RESUMEN VIGILANCIA'!AN71),"",'RESUMEN VIGILANCIA'!AN71)</f>
        <v/>
      </c>
      <c r="AP51" s="373" t="str">
        <f>IF(ISBLANK('RESUMEN VIGILANCIA'!AO71),"",'RESUMEN VIGILANCIA'!AO71)</f>
        <v/>
      </c>
      <c r="AQ51" s="374" t="str">
        <f>IF(ISBLANK('RESUMEN VIGILANCIA'!AP71),"",'RESUMEN VIGILANCIA'!AP71)</f>
        <v/>
      </c>
      <c r="AR51" s="374" t="str">
        <f>IF(ISBLANK('RESUMEN VIGILANCIA'!AQ71),"",'RESUMEN VIGILANCIA'!AQ71)</f>
        <v/>
      </c>
      <c r="AS51" s="374" t="str">
        <f>IF(ISBLANK('RESUMEN VIGILANCIA'!AR71),"",'RESUMEN VIGILANCIA'!AR71)</f>
        <v/>
      </c>
      <c r="AT51" s="374" t="str">
        <f>IF(ISBLANK('RESUMEN VIGILANCIA'!AS71),"",'RESUMEN VIGILANCIA'!AS71)</f>
        <v/>
      </c>
      <c r="AU51" s="374" t="str">
        <f>IF(ISBLANK('RESUMEN VIGILANCIA'!AT71),"",'RESUMEN VIGILANCIA'!AT71)</f>
        <v/>
      </c>
      <c r="AV51" s="374" t="str">
        <f>IF(ISBLANK('RESUMEN VIGILANCIA'!AU71),"",'RESUMEN VIGILANCIA'!AU71)</f>
        <v/>
      </c>
      <c r="AW51" s="374" t="str">
        <f>IF(ISBLANK('RESUMEN VIGILANCIA'!AV71),"",'RESUMEN VIGILANCIA'!AV71)</f>
        <v/>
      </c>
      <c r="AX51" s="374" t="str">
        <f>IF(ISBLANK('RESUMEN VIGILANCIA'!AW71),"",'RESUMEN VIGILANCIA'!AW71)</f>
        <v/>
      </c>
      <c r="AY51" s="374" t="str">
        <f>IF(ISBLANK('RESUMEN VIGILANCIA'!AX71),"",'RESUMEN VIGILANCIA'!AX71)</f>
        <v/>
      </c>
      <c r="AZ51" s="374" t="str">
        <f>IF(ISBLANK('RESUMEN VIGILANCIA'!AY71),"",'RESUMEN VIGILANCIA'!AY71)</f>
        <v/>
      </c>
      <c r="BA51" s="375" t="str">
        <f>IF(ISBLANK('RESUMEN VIGILANCIA'!AZ71),"",'RESUMEN VIGILANCIA'!AZ71)</f>
        <v/>
      </c>
      <c r="BB51" s="241">
        <f t="shared" si="2"/>
        <v>4.2739999999999991</v>
      </c>
      <c r="BC51" s="111"/>
      <c r="BD51" s="111"/>
    </row>
    <row r="52" spans="1:56" s="29" customFormat="1" ht="20.100000000000001" customHeight="1">
      <c r="A52" s="30" t="str">
        <f>'RESUMEN VIGILANCIA'!A70</f>
        <v>Wu Hung Fung</v>
      </c>
      <c r="B52" s="31" t="str">
        <f>'RESUMEN VIGILANCIA'!B70</f>
        <v>Calle Guacara Nro. 90-81</v>
      </c>
      <c r="C52" s="429" t="s">
        <v>1316</v>
      </c>
      <c r="D52" s="436" t="s">
        <v>17</v>
      </c>
      <c r="E52" s="417" t="str">
        <f>IF(ISBLANK('RESUMEN VIGILANCIA'!D70),"",'RESUMEN VIGILANCIA'!D70)</f>
        <v/>
      </c>
      <c r="F52" s="269">
        <f>IF(ISBLANK('RESUMEN VIGILANCIA'!E70),"",'RESUMEN VIGILANCIA'!E70)</f>
        <v>0.17</v>
      </c>
      <c r="G52" s="181">
        <f>IF(ISBLANK('RESUMEN VIGILANCIA'!F70),"",'RESUMEN VIGILANCIA'!F70)</f>
        <v>0.17</v>
      </c>
      <c r="H52" s="181">
        <f>IF(ISBLANK('RESUMEN VIGILANCIA'!G70),"",'RESUMEN VIGILANCIA'!G70)</f>
        <v>0.19</v>
      </c>
      <c r="I52" s="181">
        <f>IF(ISBLANK('RESUMEN VIGILANCIA'!H70),"",'RESUMEN VIGILANCIA'!H70)</f>
        <v>0.17</v>
      </c>
      <c r="J52" s="181">
        <f>IF(ISBLANK('RESUMEN VIGILANCIA'!I70),"",'RESUMEN VIGILANCIA'!I70)</f>
        <v>0.26</v>
      </c>
      <c r="K52" s="181">
        <f>IF(ISBLANK('RESUMEN VIGILANCIA'!J70),"",'RESUMEN VIGILANCIA'!J70)</f>
        <v>0.26</v>
      </c>
      <c r="L52" s="181">
        <f>IF(ISBLANK('RESUMEN VIGILANCIA'!K70),"",'RESUMEN VIGILANCIA'!K70)</f>
        <v>0.35</v>
      </c>
      <c r="M52" s="181">
        <f>IF(ISBLANK('RESUMEN VIGILANCIA'!L70),"",'RESUMEN VIGILANCIA'!L70)</f>
        <v>0.35</v>
      </c>
      <c r="N52" s="181">
        <f>IF(ISBLANK('RESUMEN VIGILANCIA'!M70),"",'RESUMEN VIGILANCIA'!M70)</f>
        <v>0.35</v>
      </c>
      <c r="O52" s="181">
        <f>IF(ISBLANK('RESUMEN VIGILANCIA'!N70),"",'RESUMEN VIGILANCIA'!N70)</f>
        <v>0.35</v>
      </c>
      <c r="P52" s="270">
        <f>IF(ISBLANK('RESUMEN VIGILANCIA'!O70),"",'RESUMEN VIGILANCIA'!O70)</f>
        <v>0.5</v>
      </c>
      <c r="Q52" s="179">
        <f>IF(ISBLANK('RESUMEN VIGILANCIA'!P70),"",'RESUMEN VIGILANCIA'!P70)</f>
        <v>0.5</v>
      </c>
      <c r="R52" s="271">
        <f>IF(ISBLANK('RESUMEN VIGILANCIA'!Q70),"",'RESUMEN VIGILANCIA'!Q70)</f>
        <v>0.8</v>
      </c>
      <c r="S52" s="270">
        <f>IF(ISBLANK('RESUMEN VIGILANCIA'!R70),"",'RESUMEN VIGILANCIA'!R70)</f>
        <v>1</v>
      </c>
      <c r="T52" s="270">
        <f>IF(ISBLANK('RESUMEN VIGILANCIA'!S70),"",'RESUMEN VIGILANCIA'!S70)</f>
        <v>1.4</v>
      </c>
      <c r="U52" s="270">
        <f>IF(ISBLANK('RESUMEN VIGILANCIA'!T70),"",'RESUMEN VIGILANCIA'!T70)</f>
        <v>1.4</v>
      </c>
      <c r="V52" s="270">
        <f>IF(ISBLANK('RESUMEN VIGILANCIA'!U70),"",'RESUMEN VIGILANCIA'!U70)</f>
        <v>4</v>
      </c>
      <c r="W52" s="270">
        <f>IF(ISBLANK('RESUMEN VIGILANCIA'!V70),"",'RESUMEN VIGILANCIA'!V70)</f>
        <v>6.25</v>
      </c>
      <c r="X52" s="270">
        <f>IF(ISBLANK('RESUMEN VIGILANCIA'!W70),"",'RESUMEN VIGILANCIA'!W70)</f>
        <v>10</v>
      </c>
      <c r="Y52" s="270">
        <f>IF(ISBLANK('RESUMEN VIGILANCIA'!X70),"",'RESUMEN VIGILANCIA'!X70)</f>
        <v>12</v>
      </c>
      <c r="Z52" s="455">
        <f>IF(ISBLANK('RESUMEN VIGILANCIA'!Y70),"",'RESUMEN VIGILANCIA'!Y70)</f>
        <v>320</v>
      </c>
      <c r="AA52" s="455">
        <f>IF(ISBLANK('RESUMEN VIGILANCIA'!Z70),"",'RESUMEN VIGILANCIA'!Z70)</f>
        <v>320.5</v>
      </c>
      <c r="AB52" s="455">
        <f>IF(ISBLANK('RESUMEN VIGILANCIA'!AA70),"",'RESUMEN VIGILANCIA'!AA70)</f>
        <v>320</v>
      </c>
      <c r="AC52" s="456">
        <f>IF(ISBLANK('RESUMEN VIGILANCIA'!AB70),"",'RESUMEN VIGILANCIA'!AB70)</f>
        <v>800</v>
      </c>
      <c r="AD52" s="376">
        <f>IF(ISBLANK('RESUMEN VIGILANCIA'!AC70),"",'RESUMEN VIGILANCIA'!AC70)</f>
        <v>3000</v>
      </c>
      <c r="AE52" s="377">
        <f>IF(ISBLANK('RESUMEN VIGILANCIA'!AD70),"",'RESUMEN VIGILANCIA'!AD70)</f>
        <v>5000</v>
      </c>
      <c r="AF52" s="377">
        <f>IF(ISBLANK('RESUMEN VIGILANCIA'!AE70),"",'RESUMEN VIGILANCIA'!AE70)</f>
        <v>5000</v>
      </c>
      <c r="AG52" s="377">
        <f>IF(ISBLANK('RESUMEN VIGILANCIA'!AF70),"",'RESUMEN VIGILANCIA'!AF70)</f>
        <v>5000</v>
      </c>
      <c r="AH52" s="377">
        <f>IF(ISBLANK('RESUMEN VIGILANCIA'!AG70),"",'RESUMEN VIGILANCIA'!AG70)</f>
        <v>8000</v>
      </c>
      <c r="AI52" s="377">
        <f>IF(ISBLANK('RESUMEN VIGILANCIA'!AH70),"",'RESUMEN VIGILANCIA'!AH70)</f>
        <v>8000</v>
      </c>
      <c r="AJ52" s="377">
        <f>IF(ISBLANK('RESUMEN VIGILANCIA'!AI70),"",'RESUMEN VIGILANCIA'!AI70)</f>
        <v>15000</v>
      </c>
      <c r="AK52" s="377">
        <f>IF(ISBLANK('RESUMEN VIGILANCIA'!AJ70),"",'RESUMEN VIGILANCIA'!AJ70)</f>
        <v>15000</v>
      </c>
      <c r="AL52" s="377">
        <f>IF(ISBLANK('RESUMEN VIGILANCIA'!AK70),"",'RESUMEN VIGILANCIA'!AK70)</f>
        <v>19800</v>
      </c>
      <c r="AM52" s="377">
        <f>IF(ISBLANK('RESUMEN VIGILANCIA'!AL70),"",'RESUMEN VIGILANCIA'!AL70)</f>
        <v>60000</v>
      </c>
      <c r="AN52" s="377">
        <f>IF(ISBLANK('RESUMEN VIGILANCIA'!AM70),"",'RESUMEN VIGILANCIA'!AM70)</f>
        <v>100000</v>
      </c>
      <c r="AO52" s="378">
        <f>IF(ISBLANK('RESUMEN VIGILANCIA'!AN70),"",'RESUMEN VIGILANCIA'!AN70)</f>
        <v>150000</v>
      </c>
      <c r="AP52" s="376">
        <f>IF(ISBLANK('RESUMEN VIGILANCIA'!AO70),"",'RESUMEN VIGILANCIA'!AO70)</f>
        <v>150000</v>
      </c>
      <c r="AQ52" s="377">
        <f>IF(ISBLANK('RESUMEN VIGILANCIA'!AP70),"",'RESUMEN VIGILANCIA'!AP70)</f>
        <v>150000</v>
      </c>
      <c r="AR52" s="377">
        <f>IF(ISBLANK('RESUMEN VIGILANCIA'!AQ70),"",'RESUMEN VIGILANCIA'!AQ70)</f>
        <v>200000</v>
      </c>
      <c r="AS52" s="377">
        <f>IF(ISBLANK('RESUMEN VIGILANCIA'!AR70),"",'RESUMEN VIGILANCIA'!AR70)</f>
        <v>200000</v>
      </c>
      <c r="AT52" s="377">
        <f>IF(ISBLANK('RESUMEN VIGILANCIA'!AS70),"",'RESUMEN VIGILANCIA'!AS70)</f>
        <v>250000</v>
      </c>
      <c r="AU52" s="377" t="str">
        <f>IF(ISBLANK('RESUMEN VIGILANCIA'!AT70),"",'RESUMEN VIGILANCIA'!AT70)</f>
        <v/>
      </c>
      <c r="AV52" s="377" t="str">
        <f>IF(ISBLANK('RESUMEN VIGILANCIA'!AU70),"",'RESUMEN VIGILANCIA'!AU70)</f>
        <v/>
      </c>
      <c r="AW52" s="377" t="str">
        <f>IF(ISBLANK('RESUMEN VIGILANCIA'!AV70),"",'RESUMEN VIGILANCIA'!AV70)</f>
        <v/>
      </c>
      <c r="AX52" s="377" t="str">
        <f>IF(ISBLANK('RESUMEN VIGILANCIA'!AW70),"",'RESUMEN VIGILANCIA'!AW70)</f>
        <v/>
      </c>
      <c r="AY52" s="377" t="str">
        <f>IF(ISBLANK('RESUMEN VIGILANCIA'!AX70),"",'RESUMEN VIGILANCIA'!AX70)</f>
        <v/>
      </c>
      <c r="AZ52" s="377" t="str">
        <f>IF(ISBLANK('RESUMEN VIGILANCIA'!AY70),"",'RESUMEN VIGILANCIA'!AY70)</f>
        <v/>
      </c>
      <c r="BA52" s="378" t="str">
        <f>IF(ISBLANK('RESUMEN VIGILANCIA'!AZ70),"",'RESUMEN VIGILANCIA'!AZ70)</f>
        <v/>
      </c>
      <c r="BB52" s="242">
        <f t="shared" si="2"/>
        <v>395600.97</v>
      </c>
      <c r="BC52" s="112"/>
      <c r="BD52" s="112"/>
    </row>
    <row r="53" spans="1:56" s="29" customFormat="1" ht="20.100000000000001" customHeight="1">
      <c r="A53" s="30" t="str">
        <f>'RESUMEN VIGILANCIA'!A65</f>
        <v>Beatriz Lara</v>
      </c>
      <c r="B53" s="31" t="str">
        <f>'RESUMEN VIGILANCIA'!B65</f>
        <v>Calle Guacara Nro. 89-130</v>
      </c>
      <c r="C53" s="429" t="s">
        <v>1316</v>
      </c>
      <c r="D53" s="436" t="s">
        <v>1315</v>
      </c>
      <c r="E53" s="417" t="str">
        <f>IF(ISBLANK('RESUMEN VIGILANCIA'!D65),"",'RESUMEN VIGILANCIA'!D65)</f>
        <v/>
      </c>
      <c r="F53" s="269">
        <f>IF(ISBLANK('RESUMEN VIGILANCIA'!E65),"",'RESUMEN VIGILANCIA'!E65)</f>
        <v>0.17</v>
      </c>
      <c r="G53" s="181">
        <f>IF(ISBLANK('RESUMEN VIGILANCIA'!F65),"",'RESUMEN VIGILANCIA'!F65)</f>
        <v>0.17</v>
      </c>
      <c r="H53" s="181">
        <f>IF(ISBLANK('RESUMEN VIGILANCIA'!G65),"",'RESUMEN VIGILANCIA'!G65)</f>
        <v>0.17</v>
      </c>
      <c r="I53" s="181">
        <f>IF(ISBLANK('RESUMEN VIGILANCIA'!H65),"",'RESUMEN VIGILANCIA'!H65)</f>
        <v>0.17</v>
      </c>
      <c r="J53" s="181">
        <f>IF(ISBLANK('RESUMEN VIGILANCIA'!I65),"",'RESUMEN VIGILANCIA'!I65)</f>
        <v>0.26</v>
      </c>
      <c r="K53" s="181">
        <f>IF(ISBLANK('RESUMEN VIGILANCIA'!J65),"",'RESUMEN VIGILANCIA'!J65)</f>
        <v>0.26</v>
      </c>
      <c r="L53" s="181">
        <f>IF(ISBLANK('RESUMEN VIGILANCIA'!K65),"",'RESUMEN VIGILANCIA'!K65)</f>
        <v>0.35</v>
      </c>
      <c r="M53" s="181">
        <f>IF(ISBLANK('RESUMEN VIGILANCIA'!L65),"",'RESUMEN VIGILANCIA'!L65)</f>
        <v>0.35</v>
      </c>
      <c r="N53" s="181">
        <f>IF(ISBLANK('RESUMEN VIGILANCIA'!M65),"",'RESUMEN VIGILANCIA'!M65)</f>
        <v>0.35</v>
      </c>
      <c r="O53" s="181">
        <f>IF(ISBLANK('RESUMEN VIGILANCIA'!N65),"",'RESUMEN VIGILANCIA'!N65)</f>
        <v>0.35</v>
      </c>
      <c r="P53" s="270">
        <f>IF(ISBLANK('RESUMEN VIGILANCIA'!O65),"",'RESUMEN VIGILANCIA'!O65)</f>
        <v>0.5</v>
      </c>
      <c r="Q53" s="179">
        <f>IF(ISBLANK('RESUMEN VIGILANCIA'!P65),"",'RESUMEN VIGILANCIA'!P65)</f>
        <v>0.5</v>
      </c>
      <c r="R53" s="271">
        <f>IF(ISBLANK('RESUMEN VIGILANCIA'!Q65),"",'RESUMEN VIGILANCIA'!Q65)</f>
        <v>0.8</v>
      </c>
      <c r="S53" s="270">
        <f>IF(ISBLANK('RESUMEN VIGILANCIA'!R65),"",'RESUMEN VIGILANCIA'!R65)</f>
        <v>0.8</v>
      </c>
      <c r="T53" s="270">
        <f>IF(ISBLANK('RESUMEN VIGILANCIA'!S65),"",'RESUMEN VIGILANCIA'!S65)</f>
        <v>1.4</v>
      </c>
      <c r="U53" s="270">
        <f>IF(ISBLANK('RESUMEN VIGILANCIA'!T65),"",'RESUMEN VIGILANCIA'!T65)</f>
        <v>1.4</v>
      </c>
      <c r="V53" s="270">
        <f>IF(ISBLANK('RESUMEN VIGILANCIA'!U65),"",'RESUMEN VIGILANCIA'!U65)</f>
        <v>4</v>
      </c>
      <c r="W53" s="270">
        <f>IF(ISBLANK('RESUMEN VIGILANCIA'!V65),"",'RESUMEN VIGILANCIA'!V65)</f>
        <v>6.5</v>
      </c>
      <c r="X53" s="270">
        <f>IF(ISBLANK('RESUMEN VIGILANCIA'!W65),"",'RESUMEN VIGILANCIA'!W65)</f>
        <v>10</v>
      </c>
      <c r="Y53" s="270">
        <f>IF(ISBLANK('RESUMEN VIGILANCIA'!X65),"",'RESUMEN VIGILANCIA'!X65)</f>
        <v>12</v>
      </c>
      <c r="Z53" s="455">
        <f>IF(ISBLANK('RESUMEN VIGILANCIA'!Y65),"",'RESUMEN VIGILANCIA'!Y65)</f>
        <v>320</v>
      </c>
      <c r="AA53" s="455">
        <f>IF(ISBLANK('RESUMEN VIGILANCIA'!Z65),"",'RESUMEN VIGILANCIA'!Z65)</f>
        <v>320</v>
      </c>
      <c r="AB53" s="455">
        <f>IF(ISBLANK('RESUMEN VIGILANCIA'!AA65),"",'RESUMEN VIGILANCIA'!AA65)</f>
        <v>320</v>
      </c>
      <c r="AC53" s="456">
        <f>IF(ISBLANK('RESUMEN VIGILANCIA'!AB65),"",'RESUMEN VIGILANCIA'!AB65)</f>
        <v>800</v>
      </c>
      <c r="AD53" s="376">
        <f>IF(ISBLANK('RESUMEN VIGILANCIA'!AC65),"",'RESUMEN VIGILANCIA'!AC65)</f>
        <v>3000</v>
      </c>
      <c r="AE53" s="377">
        <f>IF(ISBLANK('RESUMEN VIGILANCIA'!AD65),"",'RESUMEN VIGILANCIA'!AD65)</f>
        <v>3000</v>
      </c>
      <c r="AF53" s="377">
        <f>IF(ISBLANK('RESUMEN VIGILANCIA'!AE65),"",'RESUMEN VIGILANCIA'!AE65)</f>
        <v>3000</v>
      </c>
      <c r="AG53" s="377">
        <f>IF(ISBLANK('RESUMEN VIGILANCIA'!AF65),"",'RESUMEN VIGILANCIA'!AF65)</f>
        <v>5000</v>
      </c>
      <c r="AH53" s="377">
        <f>IF(ISBLANK('RESUMEN VIGILANCIA'!AG65),"",'RESUMEN VIGILANCIA'!AG65)</f>
        <v>8000</v>
      </c>
      <c r="AI53" s="377">
        <f>IF(ISBLANK('RESUMEN VIGILANCIA'!AH65),"",'RESUMEN VIGILANCIA'!AH65)</f>
        <v>8000</v>
      </c>
      <c r="AJ53" s="377">
        <f>IF(ISBLANK('RESUMEN VIGILANCIA'!AI65),"",'RESUMEN VIGILANCIA'!AI65)</f>
        <v>10000</v>
      </c>
      <c r="AK53" s="377">
        <f>IF(ISBLANK('RESUMEN VIGILANCIA'!AJ65),"",'RESUMEN VIGILANCIA'!AJ65)</f>
        <v>10000</v>
      </c>
      <c r="AL53" s="377">
        <f>IF(ISBLANK('RESUMEN VIGILANCIA'!AK65),"",'RESUMEN VIGILANCIA'!AK65)</f>
        <v>20500</v>
      </c>
      <c r="AM53" s="377">
        <f>IF(ISBLANK('RESUMEN VIGILANCIA'!AL65),"",'RESUMEN VIGILANCIA'!AL65)</f>
        <v>47000</v>
      </c>
      <c r="AN53" s="377">
        <f>IF(ISBLANK('RESUMEN VIGILANCIA'!AM65),"",'RESUMEN VIGILANCIA'!AM65)</f>
        <v>64500</v>
      </c>
      <c r="AO53" s="378">
        <f>IF(ISBLANK('RESUMEN VIGILANCIA'!AN65),"",'RESUMEN VIGILANCIA'!AN65)</f>
        <v>97500</v>
      </c>
      <c r="AP53" s="376">
        <f>IF(ISBLANK('RESUMEN VIGILANCIA'!AO65),"",'RESUMEN VIGILANCIA'!AO65)</f>
        <v>136250</v>
      </c>
      <c r="AQ53" s="377">
        <f>IF(ISBLANK('RESUMEN VIGILANCIA'!AP65),"",'RESUMEN VIGILANCIA'!AP65)</f>
        <v>136250</v>
      </c>
      <c r="AR53" s="377">
        <f>IF(ISBLANK('RESUMEN VIGILANCIA'!AQ65),"",'RESUMEN VIGILANCIA'!AQ65)</f>
        <v>186000</v>
      </c>
      <c r="AS53" s="377">
        <f>IF(ISBLANK('RESUMEN VIGILANCIA'!AR65),"",'RESUMEN VIGILANCIA'!AR65)</f>
        <v>186000</v>
      </c>
      <c r="AT53" s="377">
        <f>IF(ISBLANK('RESUMEN VIGILANCIA'!AS65),"",'RESUMEN VIGILANCIA'!AS65)</f>
        <v>250000</v>
      </c>
      <c r="AU53" s="377" t="str">
        <f>IF(ISBLANK('RESUMEN VIGILANCIA'!AT65),"",'RESUMEN VIGILANCIA'!AT65)</f>
        <v/>
      </c>
      <c r="AV53" s="377" t="str">
        <f>IF(ISBLANK('RESUMEN VIGILANCIA'!AU65),"",'RESUMEN VIGILANCIA'!AU65)</f>
        <v/>
      </c>
      <c r="AW53" s="377" t="str">
        <f>IF(ISBLANK('RESUMEN VIGILANCIA'!AV65),"",'RESUMEN VIGILANCIA'!AV65)</f>
        <v/>
      </c>
      <c r="AX53" s="377" t="str">
        <f>IF(ISBLANK('RESUMEN VIGILANCIA'!AW65),"",'RESUMEN VIGILANCIA'!AW65)</f>
        <v/>
      </c>
      <c r="AY53" s="377" t="str">
        <f>IF(ISBLANK('RESUMEN VIGILANCIA'!AX65),"",'RESUMEN VIGILANCIA'!AX65)</f>
        <v/>
      </c>
      <c r="AZ53" s="377" t="str">
        <f>IF(ISBLANK('RESUMEN VIGILANCIA'!AY65),"",'RESUMEN VIGILANCIA'!AY65)</f>
        <v/>
      </c>
      <c r="BA53" s="378" t="str">
        <f>IF(ISBLANK('RESUMEN VIGILANCIA'!AZ65),"",'RESUMEN VIGILANCIA'!AZ65)</f>
        <v/>
      </c>
      <c r="BB53" s="242">
        <f t="shared" si="2"/>
        <v>281300.5</v>
      </c>
      <c r="BC53" s="112"/>
      <c r="BD53" s="112"/>
    </row>
    <row r="54" spans="1:56" s="29" customFormat="1" ht="20.100000000000001" customHeight="1">
      <c r="A54" s="30" t="str">
        <f>'RESUMEN VIGILANCIA'!A74</f>
        <v>Familia Ledezma Hernández</v>
      </c>
      <c r="B54" s="31" t="str">
        <f>'RESUMEN VIGILANCIA'!B74</f>
        <v>Calle Guacara Nro. 145-30</v>
      </c>
      <c r="C54" s="429" t="s">
        <v>1317</v>
      </c>
      <c r="D54" s="436" t="s">
        <v>1315</v>
      </c>
      <c r="E54" s="417" t="str">
        <f>IF(ISBLANK('RESUMEN VIGILANCIA'!D74),"",'RESUMEN VIGILANCIA'!D74)</f>
        <v/>
      </c>
      <c r="F54" s="269" t="str">
        <f>IF(ISBLANK('RESUMEN VIGILANCIA'!E74),"",'RESUMEN VIGILANCIA'!E74)</f>
        <v/>
      </c>
      <c r="G54" s="181" t="str">
        <f>IF(ISBLANK('RESUMEN VIGILANCIA'!F74),"",'RESUMEN VIGILANCIA'!F74)</f>
        <v/>
      </c>
      <c r="H54" s="181" t="str">
        <f>IF(ISBLANK('RESUMEN VIGILANCIA'!G74),"",'RESUMEN VIGILANCIA'!G74)</f>
        <v/>
      </c>
      <c r="I54" s="181" t="str">
        <f>IF(ISBLANK('RESUMEN VIGILANCIA'!H74),"",'RESUMEN VIGILANCIA'!H74)</f>
        <v/>
      </c>
      <c r="J54" s="181" t="str">
        <f>IF(ISBLANK('RESUMEN VIGILANCIA'!I74),"",'RESUMEN VIGILANCIA'!I74)</f>
        <v/>
      </c>
      <c r="K54" s="181" t="str">
        <f>IF(ISBLANK('RESUMEN VIGILANCIA'!J74),"",'RESUMEN VIGILANCIA'!J74)</f>
        <v/>
      </c>
      <c r="L54" s="181" t="str">
        <f>IF(ISBLANK('RESUMEN VIGILANCIA'!K74),"",'RESUMEN VIGILANCIA'!K74)</f>
        <v/>
      </c>
      <c r="M54" s="181" t="str">
        <f>IF(ISBLANK('RESUMEN VIGILANCIA'!L74),"",'RESUMEN VIGILANCIA'!L74)</f>
        <v/>
      </c>
      <c r="N54" s="181" t="str">
        <f>IF(ISBLANK('RESUMEN VIGILANCIA'!M74),"",'RESUMEN VIGILANCIA'!M74)</f>
        <v/>
      </c>
      <c r="O54" s="181" t="str">
        <f>IF(ISBLANK('RESUMEN VIGILANCIA'!N74),"",'RESUMEN VIGILANCIA'!N74)</f>
        <v/>
      </c>
      <c r="P54" s="270" t="str">
        <f>IF(ISBLANK('RESUMEN VIGILANCIA'!O74),"",'RESUMEN VIGILANCIA'!O74)</f>
        <v/>
      </c>
      <c r="Q54" s="179" t="str">
        <f>IF(ISBLANK('RESUMEN VIGILANCIA'!P74),"",'RESUMEN VIGILANCIA'!P74)</f>
        <v/>
      </c>
      <c r="R54" s="271" t="str">
        <f>IF(ISBLANK('RESUMEN VIGILANCIA'!Q74),"",'RESUMEN VIGILANCIA'!Q74)</f>
        <v/>
      </c>
      <c r="S54" s="270" t="str">
        <f>IF(ISBLANK('RESUMEN VIGILANCIA'!R74),"",'RESUMEN VIGILANCIA'!R74)</f>
        <v/>
      </c>
      <c r="T54" s="270" t="str">
        <f>IF(ISBLANK('RESUMEN VIGILANCIA'!S74),"",'RESUMEN VIGILANCIA'!S74)</f>
        <v/>
      </c>
      <c r="U54" s="270" t="str">
        <f>IF(ISBLANK('RESUMEN VIGILANCIA'!T74),"",'RESUMEN VIGILANCIA'!T74)</f>
        <v/>
      </c>
      <c r="V54" s="270" t="str">
        <f>IF(ISBLANK('RESUMEN VIGILANCIA'!U74),"",'RESUMEN VIGILANCIA'!U74)</f>
        <v/>
      </c>
      <c r="W54" s="270" t="str">
        <f>IF(ISBLANK('RESUMEN VIGILANCIA'!V74),"",'RESUMEN VIGILANCIA'!V74)</f>
        <v/>
      </c>
      <c r="X54" s="270" t="str">
        <f>IF(ISBLANK('RESUMEN VIGILANCIA'!W74),"",'RESUMEN VIGILANCIA'!W74)</f>
        <v/>
      </c>
      <c r="Y54" s="270" t="str">
        <f>IF(ISBLANK('RESUMEN VIGILANCIA'!X74),"",'RESUMEN VIGILANCIA'!X74)</f>
        <v/>
      </c>
      <c r="Z54" s="455" t="str">
        <f>IF(ISBLANK('RESUMEN VIGILANCIA'!Y74),"",'RESUMEN VIGILANCIA'!Y74)</f>
        <v/>
      </c>
      <c r="AA54" s="455" t="str">
        <f>IF(ISBLANK('RESUMEN VIGILANCIA'!Z74),"",'RESUMEN VIGILANCIA'!Z74)</f>
        <v/>
      </c>
      <c r="AB54" s="455" t="str">
        <f>IF(ISBLANK('RESUMEN VIGILANCIA'!AA74),"",'RESUMEN VIGILANCIA'!AA74)</f>
        <v/>
      </c>
      <c r="AC54" s="456" t="str">
        <f>IF(ISBLANK('RESUMEN VIGILANCIA'!AB74),"",'RESUMEN VIGILANCIA'!AB74)</f>
        <v/>
      </c>
      <c r="AD54" s="376" t="str">
        <f>IF(ISBLANK('RESUMEN VIGILANCIA'!AC74),"",'RESUMEN VIGILANCIA'!AC74)</f>
        <v/>
      </c>
      <c r="AE54" s="377" t="str">
        <f>IF(ISBLANK('RESUMEN VIGILANCIA'!AD74),"",'RESUMEN VIGILANCIA'!AD74)</f>
        <v/>
      </c>
      <c r="AF54" s="377" t="str">
        <f>IF(ISBLANK('RESUMEN VIGILANCIA'!AE74),"",'RESUMEN VIGILANCIA'!AE74)</f>
        <v/>
      </c>
      <c r="AG54" s="377" t="str">
        <f>IF(ISBLANK('RESUMEN VIGILANCIA'!AF74),"",'RESUMEN VIGILANCIA'!AF74)</f>
        <v/>
      </c>
      <c r="AH54" s="377" t="str">
        <f>IF(ISBLANK('RESUMEN VIGILANCIA'!AG74),"",'RESUMEN VIGILANCIA'!AG74)</f>
        <v/>
      </c>
      <c r="AI54" s="377" t="str">
        <f>IF(ISBLANK('RESUMEN VIGILANCIA'!AH74),"",'RESUMEN VIGILANCIA'!AH74)</f>
        <v/>
      </c>
      <c r="AJ54" s="377" t="str">
        <f>IF(ISBLANK('RESUMEN VIGILANCIA'!AI74),"",'RESUMEN VIGILANCIA'!AI74)</f>
        <v/>
      </c>
      <c r="AK54" s="377" t="str">
        <f>IF(ISBLANK('RESUMEN VIGILANCIA'!AJ74),"",'RESUMEN VIGILANCIA'!AJ74)</f>
        <v/>
      </c>
      <c r="AL54" s="377" t="str">
        <f>IF(ISBLANK('RESUMEN VIGILANCIA'!AK74),"",'RESUMEN VIGILANCIA'!AK74)</f>
        <v/>
      </c>
      <c r="AM54" s="377" t="str">
        <f>IF(ISBLANK('RESUMEN VIGILANCIA'!AL74),"",'RESUMEN VIGILANCIA'!AL74)</f>
        <v/>
      </c>
      <c r="AN54" s="377" t="str">
        <f>IF(ISBLANK('RESUMEN VIGILANCIA'!AM74),"",'RESUMEN VIGILANCIA'!AM74)</f>
        <v/>
      </c>
      <c r="AO54" s="378" t="str">
        <f>IF(ISBLANK('RESUMEN VIGILANCIA'!AN74),"",'RESUMEN VIGILANCIA'!AN74)</f>
        <v/>
      </c>
      <c r="AP54" s="376" t="str">
        <f>IF(ISBLANK('RESUMEN VIGILANCIA'!AO74),"",'RESUMEN VIGILANCIA'!AO74)</f>
        <v/>
      </c>
      <c r="AQ54" s="377" t="str">
        <f>IF(ISBLANK('RESUMEN VIGILANCIA'!AP74),"",'RESUMEN VIGILANCIA'!AP74)</f>
        <v/>
      </c>
      <c r="AR54" s="377" t="str">
        <f>IF(ISBLANK('RESUMEN VIGILANCIA'!AQ74),"",'RESUMEN VIGILANCIA'!AQ74)</f>
        <v/>
      </c>
      <c r="AS54" s="377" t="str">
        <f>IF(ISBLANK('RESUMEN VIGILANCIA'!AR74),"",'RESUMEN VIGILANCIA'!AR74)</f>
        <v/>
      </c>
      <c r="AT54" s="377" t="str">
        <f>IF(ISBLANK('RESUMEN VIGILANCIA'!AS74),"",'RESUMEN VIGILANCIA'!AS74)</f>
        <v/>
      </c>
      <c r="AU54" s="377" t="str">
        <f>IF(ISBLANK('RESUMEN VIGILANCIA'!AT74),"",'RESUMEN VIGILANCIA'!AT74)</f>
        <v/>
      </c>
      <c r="AV54" s="377" t="str">
        <f>IF(ISBLANK('RESUMEN VIGILANCIA'!AU74),"",'RESUMEN VIGILANCIA'!AU74)</f>
        <v/>
      </c>
      <c r="AW54" s="377" t="str">
        <f>IF(ISBLANK('RESUMEN VIGILANCIA'!AV74),"",'RESUMEN VIGILANCIA'!AV74)</f>
        <v/>
      </c>
      <c r="AX54" s="377" t="str">
        <f>IF(ISBLANK('RESUMEN VIGILANCIA'!AW74),"",'RESUMEN VIGILANCIA'!AW74)</f>
        <v/>
      </c>
      <c r="AY54" s="377" t="str">
        <f>IF(ISBLANK('RESUMEN VIGILANCIA'!AX74),"",'RESUMEN VIGILANCIA'!AX74)</f>
        <v/>
      </c>
      <c r="AZ54" s="377" t="str">
        <f>IF(ISBLANK('RESUMEN VIGILANCIA'!AY74),"",'RESUMEN VIGILANCIA'!AY74)</f>
        <v/>
      </c>
      <c r="BA54" s="378" t="str">
        <f>IF(ISBLANK('RESUMEN VIGILANCIA'!AZ74),"",'RESUMEN VIGILANCIA'!AZ74)</f>
        <v/>
      </c>
      <c r="BB54" s="242">
        <f t="shared" si="2"/>
        <v>0</v>
      </c>
      <c r="BC54" s="112"/>
      <c r="BD54" s="112"/>
    </row>
    <row r="55" spans="1:56" s="29" customFormat="1" ht="20.100000000000001" customHeight="1">
      <c r="A55" s="30" t="str">
        <f>'RESUMEN VIGILANCIA'!A64</f>
        <v>Familia Aparicio. Anexo</v>
      </c>
      <c r="B55" s="31" t="str">
        <f>'RESUMEN VIGILANCIA'!B64</f>
        <v>Calle Guacara Nro. 89-129</v>
      </c>
      <c r="C55" s="429" t="s">
        <v>1319</v>
      </c>
      <c r="D55" s="436" t="s">
        <v>1315</v>
      </c>
      <c r="E55" s="417" t="str">
        <f>IF(ISBLANK('RESUMEN VIGILANCIA'!D64),"",'RESUMEN VIGILANCIA'!D64)</f>
        <v/>
      </c>
      <c r="F55" s="269" t="str">
        <f>IF(ISBLANK('RESUMEN VIGILANCIA'!E64),"",'RESUMEN VIGILANCIA'!E64)</f>
        <v/>
      </c>
      <c r="G55" s="181" t="str">
        <f>IF(ISBLANK('RESUMEN VIGILANCIA'!F64),"",'RESUMEN VIGILANCIA'!F64)</f>
        <v/>
      </c>
      <c r="H55" s="181" t="str">
        <f>IF(ISBLANK('RESUMEN VIGILANCIA'!G64),"",'RESUMEN VIGILANCIA'!G64)</f>
        <v/>
      </c>
      <c r="I55" s="181" t="str">
        <f>IF(ISBLANK('RESUMEN VIGILANCIA'!H64),"",'RESUMEN VIGILANCIA'!H64)</f>
        <v/>
      </c>
      <c r="J55" s="181" t="str">
        <f>IF(ISBLANK('RESUMEN VIGILANCIA'!I64),"",'RESUMEN VIGILANCIA'!I64)</f>
        <v/>
      </c>
      <c r="K55" s="181" t="str">
        <f>IF(ISBLANK('RESUMEN VIGILANCIA'!J64),"",'RESUMEN VIGILANCIA'!J64)</f>
        <v/>
      </c>
      <c r="L55" s="181" t="str">
        <f>IF(ISBLANK('RESUMEN VIGILANCIA'!K64),"",'RESUMEN VIGILANCIA'!K64)</f>
        <v/>
      </c>
      <c r="M55" s="181" t="str">
        <f>IF(ISBLANK('RESUMEN VIGILANCIA'!L64),"",'RESUMEN VIGILANCIA'!L64)</f>
        <v/>
      </c>
      <c r="N55" s="181" t="str">
        <f>IF(ISBLANK('RESUMEN VIGILANCIA'!M64),"",'RESUMEN VIGILANCIA'!M64)</f>
        <v/>
      </c>
      <c r="O55" s="181" t="str">
        <f>IF(ISBLANK('RESUMEN VIGILANCIA'!N64),"",'RESUMEN VIGILANCIA'!N64)</f>
        <v/>
      </c>
      <c r="P55" s="270" t="str">
        <f>IF(ISBLANK('RESUMEN VIGILANCIA'!O64),"",'RESUMEN VIGILANCIA'!O64)</f>
        <v/>
      </c>
      <c r="Q55" s="179" t="str">
        <f>IF(ISBLANK('RESUMEN VIGILANCIA'!P64),"",'RESUMEN VIGILANCIA'!P64)</f>
        <v/>
      </c>
      <c r="R55" s="271" t="str">
        <f>IF(ISBLANK('RESUMEN VIGILANCIA'!Q64),"",'RESUMEN VIGILANCIA'!Q64)</f>
        <v/>
      </c>
      <c r="S55" s="270" t="str">
        <f>IF(ISBLANK('RESUMEN VIGILANCIA'!R64),"",'RESUMEN VIGILANCIA'!R64)</f>
        <v/>
      </c>
      <c r="T55" s="270" t="str">
        <f>IF(ISBLANK('RESUMEN VIGILANCIA'!S64),"",'RESUMEN VIGILANCIA'!S64)</f>
        <v/>
      </c>
      <c r="U55" s="270" t="str">
        <f>IF(ISBLANK('RESUMEN VIGILANCIA'!T64),"",'RESUMEN VIGILANCIA'!T64)</f>
        <v/>
      </c>
      <c r="V55" s="270" t="str">
        <f>IF(ISBLANK('RESUMEN VIGILANCIA'!U64),"",'RESUMEN VIGILANCIA'!U64)</f>
        <v/>
      </c>
      <c r="W55" s="270" t="str">
        <f>IF(ISBLANK('RESUMEN VIGILANCIA'!V64),"",'RESUMEN VIGILANCIA'!V64)</f>
        <v/>
      </c>
      <c r="X55" s="270" t="str">
        <f>IF(ISBLANK('RESUMEN VIGILANCIA'!W64),"",'RESUMEN VIGILANCIA'!W64)</f>
        <v/>
      </c>
      <c r="Y55" s="270" t="str">
        <f>IF(ISBLANK('RESUMEN VIGILANCIA'!X64),"",'RESUMEN VIGILANCIA'!X64)</f>
        <v/>
      </c>
      <c r="Z55" s="455" t="str">
        <f>IF(ISBLANK('RESUMEN VIGILANCIA'!Y64),"",'RESUMEN VIGILANCIA'!Y64)</f>
        <v/>
      </c>
      <c r="AA55" s="455" t="str">
        <f>IF(ISBLANK('RESUMEN VIGILANCIA'!Z64),"",'RESUMEN VIGILANCIA'!Z64)</f>
        <v/>
      </c>
      <c r="AB55" s="455" t="str">
        <f>IF(ISBLANK('RESUMEN VIGILANCIA'!AA64),"",'RESUMEN VIGILANCIA'!AA64)</f>
        <v/>
      </c>
      <c r="AC55" s="456" t="str">
        <f>IF(ISBLANK('RESUMEN VIGILANCIA'!AB64),"",'RESUMEN VIGILANCIA'!AB64)</f>
        <v/>
      </c>
      <c r="AD55" s="376" t="str">
        <f>IF(ISBLANK('RESUMEN VIGILANCIA'!AC64),"",'RESUMEN VIGILANCIA'!AC64)</f>
        <v/>
      </c>
      <c r="AE55" s="377" t="str">
        <f>IF(ISBLANK('RESUMEN VIGILANCIA'!AD64),"",'RESUMEN VIGILANCIA'!AD64)</f>
        <v/>
      </c>
      <c r="AF55" s="377" t="str">
        <f>IF(ISBLANK('RESUMEN VIGILANCIA'!AE64),"",'RESUMEN VIGILANCIA'!AE64)</f>
        <v/>
      </c>
      <c r="AG55" s="377" t="str">
        <f>IF(ISBLANK('RESUMEN VIGILANCIA'!AF64),"",'RESUMEN VIGILANCIA'!AF64)</f>
        <v/>
      </c>
      <c r="AH55" s="377" t="str">
        <f>IF(ISBLANK('RESUMEN VIGILANCIA'!AG64),"",'RESUMEN VIGILANCIA'!AG64)</f>
        <v/>
      </c>
      <c r="AI55" s="377" t="str">
        <f>IF(ISBLANK('RESUMEN VIGILANCIA'!AH64),"",'RESUMEN VIGILANCIA'!AH64)</f>
        <v/>
      </c>
      <c r="AJ55" s="377" t="str">
        <f>IF(ISBLANK('RESUMEN VIGILANCIA'!AI64),"",'RESUMEN VIGILANCIA'!AI64)</f>
        <v/>
      </c>
      <c r="AK55" s="377" t="str">
        <f>IF(ISBLANK('RESUMEN VIGILANCIA'!AJ64),"",'RESUMEN VIGILANCIA'!AJ64)</f>
        <v/>
      </c>
      <c r="AL55" s="377" t="str">
        <f>IF(ISBLANK('RESUMEN VIGILANCIA'!AK64),"",'RESUMEN VIGILANCIA'!AK64)</f>
        <v/>
      </c>
      <c r="AM55" s="377" t="str">
        <f>IF(ISBLANK('RESUMEN VIGILANCIA'!AL64),"",'RESUMEN VIGILANCIA'!AL64)</f>
        <v/>
      </c>
      <c r="AN55" s="377" t="str">
        <f>IF(ISBLANK('RESUMEN VIGILANCIA'!AM64),"",'RESUMEN VIGILANCIA'!AM64)</f>
        <v/>
      </c>
      <c r="AO55" s="378" t="str">
        <f>IF(ISBLANK('RESUMEN VIGILANCIA'!AN64),"",'RESUMEN VIGILANCIA'!AN64)</f>
        <v/>
      </c>
      <c r="AP55" s="376" t="str">
        <f>IF(ISBLANK('RESUMEN VIGILANCIA'!AO64),"",'RESUMEN VIGILANCIA'!AO64)</f>
        <v/>
      </c>
      <c r="AQ55" s="377" t="str">
        <f>IF(ISBLANK('RESUMEN VIGILANCIA'!AP64),"",'RESUMEN VIGILANCIA'!AP64)</f>
        <v/>
      </c>
      <c r="AR55" s="377" t="str">
        <f>IF(ISBLANK('RESUMEN VIGILANCIA'!AQ64),"",'RESUMEN VIGILANCIA'!AQ64)</f>
        <v/>
      </c>
      <c r="AS55" s="377" t="str">
        <f>IF(ISBLANK('RESUMEN VIGILANCIA'!AR64),"",'RESUMEN VIGILANCIA'!AR64)</f>
        <v/>
      </c>
      <c r="AT55" s="377" t="str">
        <f>IF(ISBLANK('RESUMEN VIGILANCIA'!AS64),"",'RESUMEN VIGILANCIA'!AS64)</f>
        <v/>
      </c>
      <c r="AU55" s="377" t="str">
        <f>IF(ISBLANK('RESUMEN VIGILANCIA'!AT64),"",'RESUMEN VIGILANCIA'!AT64)</f>
        <v/>
      </c>
      <c r="AV55" s="377" t="str">
        <f>IF(ISBLANK('RESUMEN VIGILANCIA'!AU64),"",'RESUMEN VIGILANCIA'!AU64)</f>
        <v/>
      </c>
      <c r="AW55" s="377" t="str">
        <f>IF(ISBLANK('RESUMEN VIGILANCIA'!AV64),"",'RESUMEN VIGILANCIA'!AV64)</f>
        <v/>
      </c>
      <c r="AX55" s="377" t="str">
        <f>IF(ISBLANK('RESUMEN VIGILANCIA'!AW64),"",'RESUMEN VIGILANCIA'!AW64)</f>
        <v/>
      </c>
      <c r="AY55" s="377" t="str">
        <f>IF(ISBLANK('RESUMEN VIGILANCIA'!AX64),"",'RESUMEN VIGILANCIA'!AX64)</f>
        <v/>
      </c>
      <c r="AZ55" s="377" t="str">
        <f>IF(ISBLANK('RESUMEN VIGILANCIA'!AY64),"",'RESUMEN VIGILANCIA'!AY64)</f>
        <v/>
      </c>
      <c r="BA55" s="378" t="str">
        <f>IF(ISBLANK('RESUMEN VIGILANCIA'!AZ64),"",'RESUMEN VIGILANCIA'!AZ64)</f>
        <v/>
      </c>
      <c r="BB55" s="242">
        <f t="shared" si="2"/>
        <v>0</v>
      </c>
      <c r="BC55" s="112"/>
      <c r="BD55" s="112"/>
    </row>
    <row r="56" spans="1:56" s="29" customFormat="1" ht="20.100000000000001" customHeight="1">
      <c r="A56" s="30" t="str">
        <f>'RESUMEN VIGILANCIA'!A19</f>
        <v>Familia Aponte . Anexo</v>
      </c>
      <c r="B56" s="31" t="str">
        <f>'RESUMEN VIGILANCIA'!B19</f>
        <v>Calle Guacara Nro. 87-05</v>
      </c>
      <c r="C56" s="429" t="s">
        <v>1319</v>
      </c>
      <c r="D56" s="436" t="s">
        <v>1315</v>
      </c>
      <c r="E56" s="417" t="str">
        <f>IF(ISBLANK('RESUMEN VIGILANCIA'!D19),"",'RESUMEN VIGILANCIA'!D19)</f>
        <v/>
      </c>
      <c r="F56" s="269" t="str">
        <f>IF(ISBLANK('RESUMEN VIGILANCIA'!E19),"",'RESUMEN VIGILANCIA'!E19)</f>
        <v/>
      </c>
      <c r="G56" s="181" t="str">
        <f>IF(ISBLANK('RESUMEN VIGILANCIA'!F19),"",'RESUMEN VIGILANCIA'!F19)</f>
        <v/>
      </c>
      <c r="H56" s="181" t="str">
        <f>IF(ISBLANK('RESUMEN VIGILANCIA'!G19),"",'RESUMEN VIGILANCIA'!G19)</f>
        <v/>
      </c>
      <c r="I56" s="181" t="str">
        <f>IF(ISBLANK('RESUMEN VIGILANCIA'!H19),"",'RESUMEN VIGILANCIA'!H19)</f>
        <v/>
      </c>
      <c r="J56" s="181" t="str">
        <f>IF(ISBLANK('RESUMEN VIGILANCIA'!I19),"",'RESUMEN VIGILANCIA'!I19)</f>
        <v/>
      </c>
      <c r="K56" s="181" t="str">
        <f>IF(ISBLANK('RESUMEN VIGILANCIA'!J19),"",'RESUMEN VIGILANCIA'!J19)</f>
        <v/>
      </c>
      <c r="L56" s="181" t="str">
        <f>IF(ISBLANK('RESUMEN VIGILANCIA'!K19),"",'RESUMEN VIGILANCIA'!K19)</f>
        <v/>
      </c>
      <c r="M56" s="181" t="str">
        <f>IF(ISBLANK('RESUMEN VIGILANCIA'!L19),"",'RESUMEN VIGILANCIA'!L19)</f>
        <v/>
      </c>
      <c r="N56" s="181" t="str">
        <f>IF(ISBLANK('RESUMEN VIGILANCIA'!M19),"",'RESUMEN VIGILANCIA'!M19)</f>
        <v/>
      </c>
      <c r="O56" s="181" t="str">
        <f>IF(ISBLANK('RESUMEN VIGILANCIA'!N19),"",'RESUMEN VIGILANCIA'!N19)</f>
        <v/>
      </c>
      <c r="P56" s="270" t="str">
        <f>IF(ISBLANK('RESUMEN VIGILANCIA'!O19),"",'RESUMEN VIGILANCIA'!O19)</f>
        <v/>
      </c>
      <c r="Q56" s="179" t="str">
        <f>IF(ISBLANK('RESUMEN VIGILANCIA'!P19),"",'RESUMEN VIGILANCIA'!P19)</f>
        <v/>
      </c>
      <c r="R56" s="271" t="str">
        <f>IF(ISBLANK('RESUMEN VIGILANCIA'!Q19),"",'RESUMEN VIGILANCIA'!Q19)</f>
        <v/>
      </c>
      <c r="S56" s="270" t="str">
        <f>IF(ISBLANK('RESUMEN VIGILANCIA'!R19),"",'RESUMEN VIGILANCIA'!R19)</f>
        <v/>
      </c>
      <c r="T56" s="270" t="str">
        <f>IF(ISBLANK('RESUMEN VIGILANCIA'!S19),"",'RESUMEN VIGILANCIA'!S19)</f>
        <v/>
      </c>
      <c r="U56" s="270" t="str">
        <f>IF(ISBLANK('RESUMEN VIGILANCIA'!T19),"",'RESUMEN VIGILANCIA'!T19)</f>
        <v/>
      </c>
      <c r="V56" s="270" t="str">
        <f>IF(ISBLANK('RESUMEN VIGILANCIA'!U19),"",'RESUMEN VIGILANCIA'!U19)</f>
        <v/>
      </c>
      <c r="W56" s="270" t="str">
        <f>IF(ISBLANK('RESUMEN VIGILANCIA'!V19),"",'RESUMEN VIGILANCIA'!V19)</f>
        <v/>
      </c>
      <c r="X56" s="270" t="str">
        <f>IF(ISBLANK('RESUMEN VIGILANCIA'!W19),"",'RESUMEN VIGILANCIA'!W19)</f>
        <v/>
      </c>
      <c r="Y56" s="270" t="str">
        <f>IF(ISBLANK('RESUMEN VIGILANCIA'!X19),"",'RESUMEN VIGILANCIA'!X19)</f>
        <v/>
      </c>
      <c r="Z56" s="455" t="str">
        <f>IF(ISBLANK('RESUMEN VIGILANCIA'!Y19),"",'RESUMEN VIGILANCIA'!Y19)</f>
        <v/>
      </c>
      <c r="AA56" s="455" t="str">
        <f>IF(ISBLANK('RESUMEN VIGILANCIA'!Z19),"",'RESUMEN VIGILANCIA'!Z19)</f>
        <v/>
      </c>
      <c r="AB56" s="455" t="str">
        <f>IF(ISBLANK('RESUMEN VIGILANCIA'!AA19),"",'RESUMEN VIGILANCIA'!AA19)</f>
        <v/>
      </c>
      <c r="AC56" s="456" t="str">
        <f>IF(ISBLANK('RESUMEN VIGILANCIA'!AB19),"",'RESUMEN VIGILANCIA'!AB19)</f>
        <v/>
      </c>
      <c r="AD56" s="376" t="str">
        <f>IF(ISBLANK('RESUMEN VIGILANCIA'!AC19),"",'RESUMEN VIGILANCIA'!AC19)</f>
        <v/>
      </c>
      <c r="AE56" s="377" t="str">
        <f>IF(ISBLANK('RESUMEN VIGILANCIA'!AD19),"",'RESUMEN VIGILANCIA'!AD19)</f>
        <v/>
      </c>
      <c r="AF56" s="377" t="str">
        <f>IF(ISBLANK('RESUMEN VIGILANCIA'!AE19),"",'RESUMEN VIGILANCIA'!AE19)</f>
        <v/>
      </c>
      <c r="AG56" s="377" t="str">
        <f>IF(ISBLANK('RESUMEN VIGILANCIA'!AF19),"",'RESUMEN VIGILANCIA'!AF19)</f>
        <v/>
      </c>
      <c r="AH56" s="377" t="str">
        <f>IF(ISBLANK('RESUMEN VIGILANCIA'!AG19),"",'RESUMEN VIGILANCIA'!AG19)</f>
        <v/>
      </c>
      <c r="AI56" s="377" t="str">
        <f>IF(ISBLANK('RESUMEN VIGILANCIA'!AH19),"",'RESUMEN VIGILANCIA'!AH19)</f>
        <v/>
      </c>
      <c r="AJ56" s="377" t="str">
        <f>IF(ISBLANK('RESUMEN VIGILANCIA'!AI19),"",'RESUMEN VIGILANCIA'!AI19)</f>
        <v/>
      </c>
      <c r="AK56" s="377" t="str">
        <f>IF(ISBLANK('RESUMEN VIGILANCIA'!AJ19),"",'RESUMEN VIGILANCIA'!AJ19)</f>
        <v/>
      </c>
      <c r="AL56" s="377" t="str">
        <f>IF(ISBLANK('RESUMEN VIGILANCIA'!AK19),"",'RESUMEN VIGILANCIA'!AK19)</f>
        <v/>
      </c>
      <c r="AM56" s="377" t="str">
        <f>IF(ISBLANK('RESUMEN VIGILANCIA'!AL19),"",'RESUMEN VIGILANCIA'!AL19)</f>
        <v/>
      </c>
      <c r="AN56" s="377" t="str">
        <f>IF(ISBLANK('RESUMEN VIGILANCIA'!AM19),"",'RESUMEN VIGILANCIA'!AM19)</f>
        <v/>
      </c>
      <c r="AO56" s="378" t="str">
        <f>IF(ISBLANK('RESUMEN VIGILANCIA'!AN19),"",'RESUMEN VIGILANCIA'!AN19)</f>
        <v/>
      </c>
      <c r="AP56" s="376" t="str">
        <f>IF(ISBLANK('RESUMEN VIGILANCIA'!AO19),"",'RESUMEN VIGILANCIA'!AO19)</f>
        <v/>
      </c>
      <c r="AQ56" s="377" t="str">
        <f>IF(ISBLANK('RESUMEN VIGILANCIA'!AP19),"",'RESUMEN VIGILANCIA'!AP19)</f>
        <v/>
      </c>
      <c r="AR56" s="377" t="str">
        <f>IF(ISBLANK('RESUMEN VIGILANCIA'!AQ19),"",'RESUMEN VIGILANCIA'!AQ19)</f>
        <v/>
      </c>
      <c r="AS56" s="377" t="str">
        <f>IF(ISBLANK('RESUMEN VIGILANCIA'!AR19),"",'RESUMEN VIGILANCIA'!AR19)</f>
        <v/>
      </c>
      <c r="AT56" s="377" t="str">
        <f>IF(ISBLANK('RESUMEN VIGILANCIA'!AS19),"",'RESUMEN VIGILANCIA'!AS19)</f>
        <v/>
      </c>
      <c r="AU56" s="377" t="str">
        <f>IF(ISBLANK('RESUMEN VIGILANCIA'!AT19),"",'RESUMEN VIGILANCIA'!AT19)</f>
        <v/>
      </c>
      <c r="AV56" s="377" t="str">
        <f>IF(ISBLANK('RESUMEN VIGILANCIA'!AU19),"",'RESUMEN VIGILANCIA'!AU19)</f>
        <v/>
      </c>
      <c r="AW56" s="377" t="str">
        <f>IF(ISBLANK('RESUMEN VIGILANCIA'!AV19),"",'RESUMEN VIGILANCIA'!AV19)</f>
        <v/>
      </c>
      <c r="AX56" s="377" t="str">
        <f>IF(ISBLANK('RESUMEN VIGILANCIA'!AW19),"",'RESUMEN VIGILANCIA'!AW19)</f>
        <v/>
      </c>
      <c r="AY56" s="377" t="str">
        <f>IF(ISBLANK('RESUMEN VIGILANCIA'!AX19),"",'RESUMEN VIGILANCIA'!AX19)</f>
        <v/>
      </c>
      <c r="AZ56" s="377" t="str">
        <f>IF(ISBLANK('RESUMEN VIGILANCIA'!AY19),"",'RESUMEN VIGILANCIA'!AY19)</f>
        <v/>
      </c>
      <c r="BA56" s="378" t="str">
        <f>IF(ISBLANK('RESUMEN VIGILANCIA'!AZ19),"",'RESUMEN VIGILANCIA'!AZ19)</f>
        <v/>
      </c>
      <c r="BB56" s="242">
        <f t="shared" si="2"/>
        <v>0</v>
      </c>
      <c r="BC56" s="112"/>
      <c r="BD56" s="112"/>
    </row>
    <row r="57" spans="1:56" s="29" customFormat="1" ht="20.100000000000001" customHeight="1">
      <c r="A57" s="59" t="str">
        <f>'RESUMEN VIGILANCIA'!A52</f>
        <v>Familia Zampini Scaccia</v>
      </c>
      <c r="B57" s="60" t="str">
        <f>'RESUMEN VIGILANCIA'!B52</f>
        <v>Calle Guacara Nro. 88-A-10</v>
      </c>
      <c r="C57" s="429" t="s">
        <v>1316</v>
      </c>
      <c r="D57" s="436" t="s">
        <v>1315</v>
      </c>
      <c r="E57" s="417" t="str">
        <f>IF(ISBLANK('RESUMEN VIGILANCIA'!D52),"",'RESUMEN VIGILANCIA'!D52)</f>
        <v/>
      </c>
      <c r="F57" s="269" t="str">
        <f>IF(ISBLANK('RESUMEN VIGILANCIA'!E52),"",'RESUMEN VIGILANCIA'!E52)</f>
        <v/>
      </c>
      <c r="G57" s="181" t="str">
        <f>IF(ISBLANK('RESUMEN VIGILANCIA'!F52),"",'RESUMEN VIGILANCIA'!F52)</f>
        <v/>
      </c>
      <c r="H57" s="181" t="str">
        <f>IF(ISBLANK('RESUMEN VIGILANCIA'!G52),"",'RESUMEN VIGILANCIA'!G52)</f>
        <v/>
      </c>
      <c r="I57" s="181" t="str">
        <f>IF(ISBLANK('RESUMEN VIGILANCIA'!H52),"",'RESUMEN VIGILANCIA'!H52)</f>
        <v/>
      </c>
      <c r="J57" s="181" t="str">
        <f>IF(ISBLANK('RESUMEN VIGILANCIA'!I52),"",'RESUMEN VIGILANCIA'!I52)</f>
        <v/>
      </c>
      <c r="K57" s="181" t="str">
        <f>IF(ISBLANK('RESUMEN VIGILANCIA'!J52),"",'RESUMEN VIGILANCIA'!J52)</f>
        <v/>
      </c>
      <c r="L57" s="181" t="str">
        <f>IF(ISBLANK('RESUMEN VIGILANCIA'!K52),"",'RESUMEN VIGILANCIA'!K52)</f>
        <v/>
      </c>
      <c r="M57" s="181" t="str">
        <f>IF(ISBLANK('RESUMEN VIGILANCIA'!L52),"",'RESUMEN VIGILANCIA'!L52)</f>
        <v/>
      </c>
      <c r="N57" s="181" t="str">
        <f>IF(ISBLANK('RESUMEN VIGILANCIA'!M52),"",'RESUMEN VIGILANCIA'!M52)</f>
        <v/>
      </c>
      <c r="O57" s="181" t="str">
        <f>IF(ISBLANK('RESUMEN VIGILANCIA'!N52),"",'RESUMEN VIGILANCIA'!N52)</f>
        <v/>
      </c>
      <c r="P57" s="270" t="str">
        <f>IF(ISBLANK('RESUMEN VIGILANCIA'!O52),"",'RESUMEN VIGILANCIA'!O52)</f>
        <v/>
      </c>
      <c r="Q57" s="179" t="str">
        <f>IF(ISBLANK('RESUMEN VIGILANCIA'!P52),"",'RESUMEN VIGILANCIA'!P52)</f>
        <v/>
      </c>
      <c r="R57" s="271" t="str">
        <f>IF(ISBLANK('RESUMEN VIGILANCIA'!Q52),"",'RESUMEN VIGILANCIA'!Q52)</f>
        <v/>
      </c>
      <c r="S57" s="270" t="str">
        <f>IF(ISBLANK('RESUMEN VIGILANCIA'!R52),"",'RESUMEN VIGILANCIA'!R52)</f>
        <v/>
      </c>
      <c r="T57" s="270" t="str">
        <f>IF(ISBLANK('RESUMEN VIGILANCIA'!S52),"",'RESUMEN VIGILANCIA'!S52)</f>
        <v/>
      </c>
      <c r="U57" s="270" t="str">
        <f>IF(ISBLANK('RESUMEN VIGILANCIA'!T52),"",'RESUMEN VIGILANCIA'!T52)</f>
        <v/>
      </c>
      <c r="V57" s="270" t="str">
        <f>IF(ISBLANK('RESUMEN VIGILANCIA'!U52),"",'RESUMEN VIGILANCIA'!U52)</f>
        <v/>
      </c>
      <c r="W57" s="270" t="str">
        <f>IF(ISBLANK('RESUMEN VIGILANCIA'!V52),"",'RESUMEN VIGILANCIA'!V52)</f>
        <v/>
      </c>
      <c r="X57" s="274" t="str">
        <f>IF(ISBLANK('RESUMEN VIGILANCIA'!W52),"",'RESUMEN VIGILANCIA'!W52)</f>
        <v>VENDIDA</v>
      </c>
      <c r="Y57" s="281" t="str">
        <f>IF(ISBLANK('RESUMEN VIGILANCIA'!X52),"",'RESUMEN VIGILANCIA'!X52)</f>
        <v/>
      </c>
      <c r="Z57" s="464" t="str">
        <f>IF(ISBLANK('RESUMEN VIGILANCIA'!Y52),"",'RESUMEN VIGILANCIA'!Y52)</f>
        <v/>
      </c>
      <c r="AA57" s="464" t="str">
        <f>IF(ISBLANK('RESUMEN VIGILANCIA'!Z52),"",'RESUMEN VIGILANCIA'!Z52)</f>
        <v/>
      </c>
      <c r="AB57" s="464" t="str">
        <f>IF(ISBLANK('RESUMEN VIGILANCIA'!AA52),"",'RESUMEN VIGILANCIA'!AA52)</f>
        <v/>
      </c>
      <c r="AC57" s="465" t="str">
        <f>IF(ISBLANK('RESUMEN VIGILANCIA'!AB52),"",'RESUMEN VIGILANCIA'!AB52)</f>
        <v/>
      </c>
      <c r="AD57" s="390" t="str">
        <f>IF(ISBLANK('RESUMEN VIGILANCIA'!AC52),"",'RESUMEN VIGILANCIA'!AC52)</f>
        <v/>
      </c>
      <c r="AE57" s="380" t="str">
        <f>IF(ISBLANK('RESUMEN VIGILANCIA'!AD52),"",'RESUMEN VIGILANCIA'!AD52)</f>
        <v/>
      </c>
      <c r="AF57" s="380" t="str">
        <f>IF(ISBLANK('RESUMEN VIGILANCIA'!AE52),"",'RESUMEN VIGILANCIA'!AE52)</f>
        <v/>
      </c>
      <c r="AG57" s="380" t="str">
        <f>IF(ISBLANK('RESUMEN VIGILANCIA'!AF52),"",'RESUMEN VIGILANCIA'!AF52)</f>
        <v/>
      </c>
      <c r="AH57" s="380" t="str">
        <f>IF(ISBLANK('RESUMEN VIGILANCIA'!AG52),"",'RESUMEN VIGILANCIA'!AG52)</f>
        <v/>
      </c>
      <c r="AI57" s="380" t="str">
        <f>IF(ISBLANK('RESUMEN VIGILANCIA'!AH52),"",'RESUMEN VIGILANCIA'!AH52)</f>
        <v/>
      </c>
      <c r="AJ57" s="380" t="str">
        <f>IF(ISBLANK('RESUMEN VIGILANCIA'!AI52),"",'RESUMEN VIGILANCIA'!AI52)</f>
        <v/>
      </c>
      <c r="AK57" s="380" t="str">
        <f>IF(ISBLANK('RESUMEN VIGILANCIA'!AJ52),"",'RESUMEN VIGILANCIA'!AJ52)</f>
        <v/>
      </c>
      <c r="AL57" s="380" t="str">
        <f>IF(ISBLANK('RESUMEN VIGILANCIA'!AK52),"",'RESUMEN VIGILANCIA'!AK52)</f>
        <v/>
      </c>
      <c r="AM57" s="380" t="str">
        <f>IF(ISBLANK('RESUMEN VIGILANCIA'!AL52),"",'RESUMEN VIGILANCIA'!AL52)</f>
        <v/>
      </c>
      <c r="AN57" s="380" t="str">
        <f>IF(ISBLANK('RESUMEN VIGILANCIA'!AM52),"",'RESUMEN VIGILANCIA'!AM52)</f>
        <v/>
      </c>
      <c r="AO57" s="391" t="str">
        <f>IF(ISBLANK('RESUMEN VIGILANCIA'!AN52),"",'RESUMEN VIGILANCIA'!AN52)</f>
        <v/>
      </c>
      <c r="AP57" s="390" t="str">
        <f>IF(ISBLANK('RESUMEN VIGILANCIA'!AO52),"",'RESUMEN VIGILANCIA'!AO52)</f>
        <v/>
      </c>
      <c r="AQ57" s="380" t="str">
        <f>IF(ISBLANK('RESUMEN VIGILANCIA'!AP52),"",'RESUMEN VIGILANCIA'!AP52)</f>
        <v/>
      </c>
      <c r="AR57" s="380" t="str">
        <f>IF(ISBLANK('RESUMEN VIGILANCIA'!AQ52),"",'RESUMEN VIGILANCIA'!AQ52)</f>
        <v/>
      </c>
      <c r="AS57" s="380" t="str">
        <f>IF(ISBLANK('RESUMEN VIGILANCIA'!AR52),"",'RESUMEN VIGILANCIA'!AR52)</f>
        <v/>
      </c>
      <c r="AT57" s="380" t="str">
        <f>IF(ISBLANK('RESUMEN VIGILANCIA'!AS52),"",'RESUMEN VIGILANCIA'!AS52)</f>
        <v/>
      </c>
      <c r="AU57" s="380" t="str">
        <f>IF(ISBLANK('RESUMEN VIGILANCIA'!AT52),"",'RESUMEN VIGILANCIA'!AT52)</f>
        <v/>
      </c>
      <c r="AV57" s="380" t="str">
        <f>IF(ISBLANK('RESUMEN VIGILANCIA'!AU52),"",'RESUMEN VIGILANCIA'!AU52)</f>
        <v/>
      </c>
      <c r="AW57" s="380" t="str">
        <f>IF(ISBLANK('RESUMEN VIGILANCIA'!AV52),"",'RESUMEN VIGILANCIA'!AV52)</f>
        <v/>
      </c>
      <c r="AX57" s="380" t="str">
        <f>IF(ISBLANK('RESUMEN VIGILANCIA'!AW52),"",'RESUMEN VIGILANCIA'!AW52)</f>
        <v/>
      </c>
      <c r="AY57" s="380" t="str">
        <f>IF(ISBLANK('RESUMEN VIGILANCIA'!AX52),"",'RESUMEN VIGILANCIA'!AX52)</f>
        <v/>
      </c>
      <c r="AZ57" s="380" t="str">
        <f>IF(ISBLANK('RESUMEN VIGILANCIA'!AY52),"",'RESUMEN VIGILANCIA'!AY52)</f>
        <v/>
      </c>
      <c r="BA57" s="391" t="str">
        <f>IF(ISBLANK('RESUMEN VIGILANCIA'!AZ52),"",'RESUMEN VIGILANCIA'!AZ52)</f>
        <v/>
      </c>
      <c r="BB57" s="242">
        <f t="shared" si="2"/>
        <v>0</v>
      </c>
      <c r="BC57" s="112"/>
      <c r="BD57" s="112">
        <v>43252</v>
      </c>
    </row>
    <row r="58" spans="1:56" s="29" customFormat="1" ht="20.100000000000001" customHeight="1">
      <c r="A58" s="30" t="str">
        <f>'RESUMEN VIGILANCIA'!A53</f>
        <v>Familia Wu Acevedo</v>
      </c>
      <c r="B58" s="31" t="str">
        <f>'RESUMEN VIGILANCIA'!B53</f>
        <v>Calle Guacara Nro. 88-A-10</v>
      </c>
      <c r="C58" s="429" t="s">
        <v>1316</v>
      </c>
      <c r="D58" s="436" t="s">
        <v>17</v>
      </c>
      <c r="E58" s="419" t="str">
        <f>IF(ISBLANK('RESUMEN VIGILANCIA'!D53),"",'RESUMEN VIGILANCIA'!D53)</f>
        <v/>
      </c>
      <c r="F58" s="282" t="str">
        <f>IF(ISBLANK('RESUMEN VIGILANCIA'!E53),"",'RESUMEN VIGILANCIA'!E53)</f>
        <v/>
      </c>
      <c r="G58" s="209" t="str">
        <f>IF(ISBLANK('RESUMEN VIGILANCIA'!F53),"",'RESUMEN VIGILANCIA'!F53)</f>
        <v/>
      </c>
      <c r="H58" s="209" t="str">
        <f>IF(ISBLANK('RESUMEN VIGILANCIA'!G53),"",'RESUMEN VIGILANCIA'!G53)</f>
        <v/>
      </c>
      <c r="I58" s="216" t="str">
        <f>IF(ISBLANK('RESUMEN VIGILANCIA'!H53),"",'RESUMEN VIGILANCIA'!H53)</f>
        <v/>
      </c>
      <c r="J58" s="216" t="str">
        <f>IF(ISBLANK('RESUMEN VIGILANCIA'!I53),"",'RESUMEN VIGILANCIA'!I53)</f>
        <v/>
      </c>
      <c r="K58" s="216" t="str">
        <f>IF(ISBLANK('RESUMEN VIGILANCIA'!J53),"",'RESUMEN VIGILANCIA'!J53)</f>
        <v/>
      </c>
      <c r="L58" s="216" t="str">
        <f>IF(ISBLANK('RESUMEN VIGILANCIA'!K53),"",'RESUMEN VIGILANCIA'!K53)</f>
        <v/>
      </c>
      <c r="M58" s="216" t="str">
        <f>IF(ISBLANK('RESUMEN VIGILANCIA'!L53),"",'RESUMEN VIGILANCIA'!L53)</f>
        <v/>
      </c>
      <c r="N58" s="216" t="str">
        <f>IF(ISBLANK('RESUMEN VIGILANCIA'!M53),"",'RESUMEN VIGILANCIA'!M53)</f>
        <v/>
      </c>
      <c r="O58" s="216" t="str">
        <f>IF(ISBLANK('RESUMEN VIGILANCIA'!N53),"",'RESUMEN VIGILANCIA'!N53)</f>
        <v/>
      </c>
      <c r="P58" s="283" t="str">
        <f>IF(ISBLANK('RESUMEN VIGILANCIA'!O53),"",'RESUMEN VIGILANCIA'!O53)</f>
        <v/>
      </c>
      <c r="Q58" s="214" t="str">
        <f>IF(ISBLANK('RESUMEN VIGILANCIA'!P53),"",'RESUMEN VIGILANCIA'!P53)</f>
        <v/>
      </c>
      <c r="R58" s="284" t="str">
        <f>IF(ISBLANK('RESUMEN VIGILANCIA'!Q53),"",'RESUMEN VIGILANCIA'!Q53)</f>
        <v/>
      </c>
      <c r="S58" s="283" t="str">
        <f>IF(ISBLANK('RESUMEN VIGILANCIA'!R53),"",'RESUMEN VIGILANCIA'!R53)</f>
        <v/>
      </c>
      <c r="T58" s="283" t="str">
        <f>IF(ISBLANK('RESUMEN VIGILANCIA'!S53),"",'RESUMEN VIGILANCIA'!S53)</f>
        <v/>
      </c>
      <c r="U58" s="283" t="str">
        <f>IF(ISBLANK('RESUMEN VIGILANCIA'!T53),"",'RESUMEN VIGILANCIA'!T53)</f>
        <v/>
      </c>
      <c r="V58" s="283" t="str">
        <f>IF(ISBLANK('RESUMEN VIGILANCIA'!U53),"",'RESUMEN VIGILANCIA'!U53)</f>
        <v/>
      </c>
      <c r="W58" s="283" t="str">
        <f>IF(ISBLANK('RESUMEN VIGILANCIA'!V53),"",'RESUMEN VIGILANCIA'!V53)</f>
        <v/>
      </c>
      <c r="X58" s="270">
        <f>IF(ISBLANK('RESUMEN VIGILANCIA'!W53),"",'RESUMEN VIGILANCIA'!W53)</f>
        <v>10</v>
      </c>
      <c r="Y58" s="270">
        <f>IF(ISBLANK('RESUMEN VIGILANCIA'!X53),"",'RESUMEN VIGILANCIA'!X53)</f>
        <v>12</v>
      </c>
      <c r="Z58" s="455">
        <f>IF(ISBLANK('RESUMEN VIGILANCIA'!Y53),"",'RESUMEN VIGILANCIA'!Y53)</f>
        <v>320</v>
      </c>
      <c r="AA58" s="455">
        <f>IF(ISBLANK('RESUMEN VIGILANCIA'!Z53),"",'RESUMEN VIGILANCIA'!Z53)</f>
        <v>320</v>
      </c>
      <c r="AB58" s="455">
        <f>IF(ISBLANK('RESUMEN VIGILANCIA'!AA53),"",'RESUMEN VIGILANCIA'!AA53)</f>
        <v>320</v>
      </c>
      <c r="AC58" s="456">
        <f>IF(ISBLANK('RESUMEN VIGILANCIA'!AB53),"",'RESUMEN VIGILANCIA'!AB53)</f>
        <v>1000</v>
      </c>
      <c r="AD58" s="376">
        <f>IF(ISBLANK('RESUMEN VIGILANCIA'!AC53),"",'RESUMEN VIGILANCIA'!AC53)</f>
        <v>3000</v>
      </c>
      <c r="AE58" s="377">
        <f>IF(ISBLANK('RESUMEN VIGILANCIA'!AD53),"",'RESUMEN VIGILANCIA'!AD53)</f>
        <v>3000</v>
      </c>
      <c r="AF58" s="377">
        <f>IF(ISBLANK('RESUMEN VIGILANCIA'!AE53),"",'RESUMEN VIGILANCIA'!AE53)</f>
        <v>3000</v>
      </c>
      <c r="AG58" s="377">
        <f>IF(ISBLANK('RESUMEN VIGILANCIA'!AF53),"",'RESUMEN VIGILANCIA'!AF53)</f>
        <v>5000</v>
      </c>
      <c r="AH58" s="377">
        <f>IF(ISBLANK('RESUMEN VIGILANCIA'!AG53),"",'RESUMEN VIGILANCIA'!AG53)</f>
        <v>10000</v>
      </c>
      <c r="AI58" s="377">
        <f>IF(ISBLANK('RESUMEN VIGILANCIA'!AH53),"",'RESUMEN VIGILANCIA'!AH53)</f>
        <v>10000</v>
      </c>
      <c r="AJ58" s="377">
        <f>IF(ISBLANK('RESUMEN VIGILANCIA'!AI53),"",'RESUMEN VIGILANCIA'!AI53)</f>
        <v>10000</v>
      </c>
      <c r="AK58" s="377">
        <f>IF(ISBLANK('RESUMEN VIGILANCIA'!AJ53),"",'RESUMEN VIGILANCIA'!AJ53)</f>
        <v>10000</v>
      </c>
      <c r="AL58" s="377">
        <f>IF(ISBLANK('RESUMEN VIGILANCIA'!AK53),"",'RESUMEN VIGILANCIA'!AK53)</f>
        <v>21600</v>
      </c>
      <c r="AM58" s="377">
        <f>IF(ISBLANK('RESUMEN VIGILANCIA'!AL53),"",'RESUMEN VIGILANCIA'!AL53)</f>
        <v>47000</v>
      </c>
      <c r="AN58" s="377">
        <f>IF(ISBLANK('RESUMEN VIGILANCIA'!AM53),"",'RESUMEN VIGILANCIA'!AM53)</f>
        <v>51250</v>
      </c>
      <c r="AO58" s="378">
        <f>IF(ISBLANK('RESUMEN VIGILANCIA'!AN53),"",'RESUMEN VIGILANCIA'!AN53)</f>
        <v>81750</v>
      </c>
      <c r="AP58" s="376">
        <f>IF(ISBLANK('RESUMEN VIGILANCIA'!AO53),"",'RESUMEN VIGILANCIA'!AO53)</f>
        <v>136250</v>
      </c>
      <c r="AQ58" s="377">
        <f>IF(ISBLANK('RESUMEN VIGILANCIA'!AP53),"",'RESUMEN VIGILANCIA'!AP53)</f>
        <v>185250</v>
      </c>
      <c r="AR58" s="377">
        <f>IF(ISBLANK('RESUMEN VIGILANCIA'!AQ53),"",'RESUMEN VIGILANCIA'!AQ53)</f>
        <v>185250</v>
      </c>
      <c r="AS58" s="377">
        <f>IF(ISBLANK('RESUMEN VIGILANCIA'!AR53),"",'RESUMEN VIGILANCIA'!AR53)</f>
        <v>186155.8</v>
      </c>
      <c r="AT58" s="377" t="str">
        <f>IF(ISBLANK('RESUMEN VIGILANCIA'!AS53),"",'RESUMEN VIGILANCIA'!AS53)</f>
        <v/>
      </c>
      <c r="AU58" s="377" t="str">
        <f>IF(ISBLANK('RESUMEN VIGILANCIA'!AT53),"",'RESUMEN VIGILANCIA'!AT53)</f>
        <v/>
      </c>
      <c r="AV58" s="377" t="str">
        <f>IF(ISBLANK('RESUMEN VIGILANCIA'!AU53),"",'RESUMEN VIGILANCIA'!AU53)</f>
        <v/>
      </c>
      <c r="AW58" s="377" t="str">
        <f>IF(ISBLANK('RESUMEN VIGILANCIA'!AV53),"",'RESUMEN VIGILANCIA'!AV53)</f>
        <v/>
      </c>
      <c r="AX58" s="377" t="str">
        <f>IF(ISBLANK('RESUMEN VIGILANCIA'!AW53),"",'RESUMEN VIGILANCIA'!AW53)</f>
        <v/>
      </c>
      <c r="AY58" s="377" t="str">
        <f>IF(ISBLANK('RESUMEN VIGILANCIA'!AX53),"",'RESUMEN VIGILANCIA'!AX53)</f>
        <v/>
      </c>
      <c r="AZ58" s="377" t="str">
        <f>IF(ISBLANK('RESUMEN VIGILANCIA'!AY53),"",'RESUMEN VIGILANCIA'!AY53)</f>
        <v/>
      </c>
      <c r="BA58" s="378" t="str">
        <f>IF(ISBLANK('RESUMEN VIGILANCIA'!AZ53),"",'RESUMEN VIGILANCIA'!AZ53)</f>
        <v/>
      </c>
      <c r="BB58" s="242">
        <f t="shared" si="2"/>
        <v>257582</v>
      </c>
      <c r="BC58" s="112">
        <v>43282</v>
      </c>
      <c r="BD58" s="112"/>
    </row>
    <row r="59" spans="1:56" s="29" customFormat="1" ht="20.100000000000001" customHeight="1">
      <c r="A59" s="358" t="str">
        <f>'RESUMEN VIGILANCIA'!A8</f>
        <v>Familia Flores Montagne</v>
      </c>
      <c r="B59" s="359" t="str">
        <f>'RESUMEN VIGILANCIA'!B8</f>
        <v>Av. "M" Nro. 146-20</v>
      </c>
      <c r="C59" s="430" t="s">
        <v>1316</v>
      </c>
      <c r="D59" s="435" t="s">
        <v>1315</v>
      </c>
      <c r="E59" s="416" t="str">
        <f>IF(ISBLANK('RESUMEN VIGILANCIA'!D8),"",'RESUMEN VIGILANCIA'!D8)</f>
        <v/>
      </c>
      <c r="F59" s="266">
        <f>IF(ISBLANK('RESUMEN VIGILANCIA'!E8),"",'RESUMEN VIGILANCIA'!E8)</f>
        <v>0.02</v>
      </c>
      <c r="G59" s="188">
        <f>IF(ISBLANK('RESUMEN VIGILANCIA'!F8),"",'RESUMEN VIGILANCIA'!F8)</f>
        <v>0.02</v>
      </c>
      <c r="H59" s="188">
        <f>IF(ISBLANK('RESUMEN VIGILANCIA'!G8),"",'RESUMEN VIGILANCIA'!G8)</f>
        <v>0.03</v>
      </c>
      <c r="I59" s="188">
        <f>IF(ISBLANK('RESUMEN VIGILANCIA'!H8),"",'RESUMEN VIGILANCIA'!H8)</f>
        <v>0.03</v>
      </c>
      <c r="J59" s="188">
        <f>IF(ISBLANK('RESUMEN VIGILANCIA'!I8),"",'RESUMEN VIGILANCIA'!I8)</f>
        <v>0.04</v>
      </c>
      <c r="K59" s="188">
        <f>IF(ISBLANK('RESUMEN VIGILANCIA'!J8),"",'RESUMEN VIGILANCIA'!J8)</f>
        <v>0.04</v>
      </c>
      <c r="L59" s="188">
        <f>IF(ISBLANK('RESUMEN VIGILANCIA'!K8),"",'RESUMEN VIGILANCIA'!K8)</f>
        <v>0.04</v>
      </c>
      <c r="M59" s="188">
        <f>IF(ISBLANK('RESUMEN VIGILANCIA'!L8),"",'RESUMEN VIGILANCIA'!L8)</f>
        <v>0.04</v>
      </c>
      <c r="N59" s="188">
        <f>IF(ISBLANK('RESUMEN VIGILANCIA'!M8),"",'RESUMEN VIGILANCIA'!M8)</f>
        <v>0.03</v>
      </c>
      <c r="O59" s="188">
        <f>IF(ISBLANK('RESUMEN VIGILANCIA'!N8),"",'RESUMEN VIGILANCIA'!N8)</f>
        <v>0.05</v>
      </c>
      <c r="P59" s="267" t="str">
        <f>IF(ISBLANK('RESUMEN VIGILANCIA'!O8),"",'RESUMEN VIGILANCIA'!O8)</f>
        <v>- - -</v>
      </c>
      <c r="Q59" s="186" t="str">
        <f>IF(ISBLANK('RESUMEN VIGILANCIA'!P8),"",'RESUMEN VIGILANCIA'!P8)</f>
        <v>- - -</v>
      </c>
      <c r="R59" s="271">
        <f>IF(ISBLANK('RESUMEN VIGILANCIA'!Q8),"",'RESUMEN VIGILANCIA'!Q8)</f>
        <v>0.8</v>
      </c>
      <c r="S59" s="270">
        <f>IF(ISBLANK('RESUMEN VIGILANCIA'!R8),"",'RESUMEN VIGILANCIA'!R8)</f>
        <v>0.8</v>
      </c>
      <c r="T59" s="270">
        <f>IF(ISBLANK('RESUMEN VIGILANCIA'!S8),"",'RESUMEN VIGILANCIA'!S8)</f>
        <v>1.4</v>
      </c>
      <c r="U59" s="270">
        <f>IF(ISBLANK('RESUMEN VIGILANCIA'!T8),"",'RESUMEN VIGILANCIA'!T8)</f>
        <v>1.4</v>
      </c>
      <c r="V59" s="270">
        <f>IF(ISBLANK('RESUMEN VIGILANCIA'!U8),"",'RESUMEN VIGILANCIA'!U8)</f>
        <v>4</v>
      </c>
      <c r="W59" s="270">
        <f>IF(ISBLANK('RESUMEN VIGILANCIA'!V8),"",'RESUMEN VIGILANCIA'!V8)</f>
        <v>6.25</v>
      </c>
      <c r="X59" s="270">
        <f>IF(ISBLANK('RESUMEN VIGILANCIA'!W8),"",'RESUMEN VIGILANCIA'!W8)</f>
        <v>10</v>
      </c>
      <c r="Y59" s="270">
        <f>IF(ISBLANK('RESUMEN VIGILANCIA'!X8),"",'RESUMEN VIGILANCIA'!X8)</f>
        <v>12</v>
      </c>
      <c r="Z59" s="455">
        <f>IF(ISBLANK('RESUMEN VIGILANCIA'!Y8),"",'RESUMEN VIGILANCIA'!Y8)</f>
        <v>320</v>
      </c>
      <c r="AA59" s="455">
        <f>IF(ISBLANK('RESUMEN VIGILANCIA'!Z8),"",'RESUMEN VIGILANCIA'!Z8)</f>
        <v>320</v>
      </c>
      <c r="AB59" s="455">
        <f>IF(ISBLANK('RESUMEN VIGILANCIA'!AA8),"",'RESUMEN VIGILANCIA'!AA8)</f>
        <v>320</v>
      </c>
      <c r="AC59" s="456">
        <f>IF(ISBLANK('RESUMEN VIGILANCIA'!AB8),"",'RESUMEN VIGILANCIA'!AB8)</f>
        <v>800</v>
      </c>
      <c r="AD59" s="376">
        <f>IF(ISBLANK('RESUMEN VIGILANCIA'!AC8),"",'RESUMEN VIGILANCIA'!AC8)</f>
        <v>3000</v>
      </c>
      <c r="AE59" s="377">
        <f>IF(ISBLANK('RESUMEN VIGILANCIA'!AD8),"",'RESUMEN VIGILANCIA'!AD8)</f>
        <v>3000</v>
      </c>
      <c r="AF59" s="377">
        <f>IF(ISBLANK('RESUMEN VIGILANCIA'!AE8),"",'RESUMEN VIGILANCIA'!AE8)</f>
        <v>3000</v>
      </c>
      <c r="AG59" s="377">
        <f>IF(ISBLANK('RESUMEN VIGILANCIA'!AF8),"",'RESUMEN VIGILANCIA'!AF8)</f>
        <v>5000</v>
      </c>
      <c r="AH59" s="377">
        <f>IF(ISBLANK('RESUMEN VIGILANCIA'!AG8),"",'RESUMEN VIGILANCIA'!AG8)</f>
        <v>8000</v>
      </c>
      <c r="AI59" s="377">
        <f>IF(ISBLANK('RESUMEN VIGILANCIA'!AH8),"",'RESUMEN VIGILANCIA'!AH8)</f>
        <v>8000</v>
      </c>
      <c r="AJ59" s="377">
        <f>IF(ISBLANK('RESUMEN VIGILANCIA'!AI8),"",'RESUMEN VIGILANCIA'!AI8)</f>
        <v>10000</v>
      </c>
      <c r="AK59" s="377">
        <f>IF(ISBLANK('RESUMEN VIGILANCIA'!AJ8),"",'RESUMEN VIGILANCIA'!AJ8)</f>
        <v>10000</v>
      </c>
      <c r="AL59" s="377">
        <f>IF(ISBLANK('RESUMEN VIGILANCIA'!AK8),"",'RESUMEN VIGILANCIA'!AK8)</f>
        <v>19800</v>
      </c>
      <c r="AM59" s="377">
        <f>IF(ISBLANK('RESUMEN VIGILANCIA'!AL8),"",'RESUMEN VIGILANCIA'!AL8)</f>
        <v>51250</v>
      </c>
      <c r="AN59" s="377">
        <f>IF(ISBLANK('RESUMEN VIGILANCIA'!AM8),"",'RESUMEN VIGILANCIA'!AM8)</f>
        <v>81750</v>
      </c>
      <c r="AO59" s="378">
        <f>IF(ISBLANK('RESUMEN VIGILANCIA'!AN8),"",'RESUMEN VIGILANCIA'!AN8)</f>
        <v>105250</v>
      </c>
      <c r="AP59" s="376">
        <f>IF(ISBLANK('RESUMEN VIGILANCIA'!AO8),"",'RESUMEN VIGILANCIA'!AO8)</f>
        <v>136250</v>
      </c>
      <c r="AQ59" s="377">
        <f>IF(ISBLANK('RESUMEN VIGILANCIA'!AP8),"",'RESUMEN VIGILANCIA'!AP8)</f>
        <v>185250</v>
      </c>
      <c r="AR59" s="377">
        <f>IF(ISBLANK('RESUMEN VIGILANCIA'!AQ8),"",'RESUMEN VIGILANCIA'!AQ8)</f>
        <v>185250</v>
      </c>
      <c r="AS59" s="377">
        <f>IF(ISBLANK('RESUMEN VIGILANCIA'!AR8),"",'RESUMEN VIGILANCIA'!AR8)</f>
        <v>185250</v>
      </c>
      <c r="AT59" s="377" t="str">
        <f>IF(ISBLANK('RESUMEN VIGILANCIA'!AS8),"",'RESUMEN VIGILANCIA'!AS8)</f>
        <v/>
      </c>
      <c r="AU59" s="377" t="str">
        <f>IF(ISBLANK('RESUMEN VIGILANCIA'!AT8),"",'RESUMEN VIGILANCIA'!AT8)</f>
        <v/>
      </c>
      <c r="AV59" s="377" t="str">
        <f>IF(ISBLANK('RESUMEN VIGILANCIA'!AU8),"",'RESUMEN VIGILANCIA'!AU8)</f>
        <v/>
      </c>
      <c r="AW59" s="377" t="str">
        <f>IF(ISBLANK('RESUMEN VIGILANCIA'!AV8),"",'RESUMEN VIGILANCIA'!AV8)</f>
        <v/>
      </c>
      <c r="AX59" s="377" t="str">
        <f>IF(ISBLANK('RESUMEN VIGILANCIA'!AW8),"",'RESUMEN VIGILANCIA'!AW8)</f>
        <v/>
      </c>
      <c r="AY59" s="377" t="str">
        <f>IF(ISBLANK('RESUMEN VIGILANCIA'!AX8),"",'RESUMEN VIGILANCIA'!AX8)</f>
        <v/>
      </c>
      <c r="AZ59" s="377" t="str">
        <f>IF(ISBLANK('RESUMEN VIGILANCIA'!AY8),"",'RESUMEN VIGILANCIA'!AY8)</f>
        <v/>
      </c>
      <c r="BA59" s="378" t="str">
        <f>IF(ISBLANK('RESUMEN VIGILANCIA'!AZ8),"",'RESUMEN VIGILANCIA'!AZ8)</f>
        <v/>
      </c>
      <c r="BB59" s="242">
        <f t="shared" si="2"/>
        <v>309846.99</v>
      </c>
      <c r="BC59" s="112"/>
      <c r="BD59" s="112"/>
    </row>
    <row r="60" spans="1:56" s="29" customFormat="1" ht="20.100000000000001" customHeight="1">
      <c r="A60" s="358" t="str">
        <f>'RESUMEN VIGILANCIA'!A16</f>
        <v>Familia Hurtado</v>
      </c>
      <c r="B60" s="359" t="str">
        <f>'RESUMEN VIGILANCIA'!B16</f>
        <v>Av. "O" Nro. 146-11</v>
      </c>
      <c r="C60" s="430" t="s">
        <v>1316</v>
      </c>
      <c r="D60" s="435" t="s">
        <v>1315</v>
      </c>
      <c r="E60" s="416" t="str">
        <f>IF(ISBLANK('RESUMEN VIGILANCIA'!D16),"",'RESUMEN VIGILANCIA'!D16)</f>
        <v/>
      </c>
      <c r="F60" s="266">
        <f>IF(ISBLANK('RESUMEN VIGILANCIA'!E16),"",'RESUMEN VIGILANCIA'!E16)</f>
        <v>0.105</v>
      </c>
      <c r="G60" s="188">
        <f>IF(ISBLANK('RESUMEN VIGILANCIA'!F16),"",'RESUMEN VIGILANCIA'!F16)</f>
        <v>0.16999999999999998</v>
      </c>
      <c r="H60" s="188">
        <f>IF(ISBLANK('RESUMEN VIGILANCIA'!G16),"",'RESUMEN VIGILANCIA'!G16)</f>
        <v>0.105</v>
      </c>
      <c r="I60" s="188">
        <f>IF(ISBLANK('RESUMEN VIGILANCIA'!H16),"",'RESUMEN VIGILANCIA'!H16)</f>
        <v>0.17</v>
      </c>
      <c r="J60" s="188">
        <f>IF(ISBLANK('RESUMEN VIGILANCIA'!I16),"",'RESUMEN VIGILANCIA'!I16)</f>
        <v>0.26</v>
      </c>
      <c r="K60" s="188">
        <f>IF(ISBLANK('RESUMEN VIGILANCIA'!J16),"",'RESUMEN VIGILANCIA'!J16)</f>
        <v>0.26</v>
      </c>
      <c r="L60" s="188">
        <f>IF(ISBLANK('RESUMEN VIGILANCIA'!K16),"",'RESUMEN VIGILANCIA'!K16)</f>
        <v>0.35</v>
      </c>
      <c r="M60" s="181">
        <f>IF(ISBLANK('RESUMEN VIGILANCIA'!L16),"",'RESUMEN VIGILANCIA'!L16)</f>
        <v>0.35</v>
      </c>
      <c r="N60" s="181">
        <f>IF(ISBLANK('RESUMEN VIGILANCIA'!M16),"",'RESUMEN VIGILANCIA'!M16)</f>
        <v>0.35</v>
      </c>
      <c r="O60" s="181">
        <f>IF(ISBLANK('RESUMEN VIGILANCIA'!N16),"",'RESUMEN VIGILANCIA'!N16)</f>
        <v>0.35</v>
      </c>
      <c r="P60" s="270">
        <f>IF(ISBLANK('RESUMEN VIGILANCIA'!O16),"",'RESUMEN VIGILANCIA'!O16)</f>
        <v>0.5</v>
      </c>
      <c r="Q60" s="179">
        <f>IF(ISBLANK('RESUMEN VIGILANCIA'!P16),"",'RESUMEN VIGILANCIA'!P16)</f>
        <v>0.5</v>
      </c>
      <c r="R60" s="271">
        <f>IF(ISBLANK('RESUMEN VIGILANCIA'!Q16),"",'RESUMEN VIGILANCIA'!Q16)</f>
        <v>0.8</v>
      </c>
      <c r="S60" s="270">
        <f>IF(ISBLANK('RESUMEN VIGILANCIA'!R16),"",'RESUMEN VIGILANCIA'!R16)</f>
        <v>0.8</v>
      </c>
      <c r="T60" s="270">
        <f>IF(ISBLANK('RESUMEN VIGILANCIA'!S16),"",'RESUMEN VIGILANCIA'!S16)</f>
        <v>1.4</v>
      </c>
      <c r="U60" s="270">
        <f>IF(ISBLANK('RESUMEN VIGILANCIA'!T16),"",'RESUMEN VIGILANCIA'!T16)</f>
        <v>1.4</v>
      </c>
      <c r="V60" s="270">
        <f>IF(ISBLANK('RESUMEN VIGILANCIA'!U16),"",'RESUMEN VIGILANCIA'!U16)</f>
        <v>4</v>
      </c>
      <c r="W60" s="270">
        <f>IF(ISBLANK('RESUMEN VIGILANCIA'!V16),"",'RESUMEN VIGILANCIA'!V16)</f>
        <v>6.25</v>
      </c>
      <c r="X60" s="270">
        <f>IF(ISBLANK('RESUMEN VIGILANCIA'!W16),"",'RESUMEN VIGILANCIA'!W16)</f>
        <v>10</v>
      </c>
      <c r="Y60" s="270">
        <f>IF(ISBLANK('RESUMEN VIGILANCIA'!X16),"",'RESUMEN VIGILANCIA'!X16)</f>
        <v>12</v>
      </c>
      <c r="Z60" s="455">
        <f>IF(ISBLANK('RESUMEN VIGILANCIA'!Y16),"",'RESUMEN VIGILANCIA'!Y16)</f>
        <v>320</v>
      </c>
      <c r="AA60" s="455">
        <f>IF(ISBLANK('RESUMEN VIGILANCIA'!Z16),"",'RESUMEN VIGILANCIA'!Z16)</f>
        <v>320</v>
      </c>
      <c r="AB60" s="455">
        <f>IF(ISBLANK('RESUMEN VIGILANCIA'!AA16),"",'RESUMEN VIGILANCIA'!AA16)</f>
        <v>320</v>
      </c>
      <c r="AC60" s="456">
        <f>IF(ISBLANK('RESUMEN VIGILANCIA'!AB16),"",'RESUMEN VIGILANCIA'!AB16)</f>
        <v>800</v>
      </c>
      <c r="AD60" s="376">
        <f>IF(ISBLANK('RESUMEN VIGILANCIA'!AC16),"",'RESUMEN VIGILANCIA'!AC16)</f>
        <v>3000</v>
      </c>
      <c r="AE60" s="377">
        <f>IF(ISBLANK('RESUMEN VIGILANCIA'!AD16),"",'RESUMEN VIGILANCIA'!AD16)</f>
        <v>3000</v>
      </c>
      <c r="AF60" s="377">
        <f>IF(ISBLANK('RESUMEN VIGILANCIA'!AE16),"",'RESUMEN VIGILANCIA'!AE16)</f>
        <v>3000</v>
      </c>
      <c r="AG60" s="377">
        <f>IF(ISBLANK('RESUMEN VIGILANCIA'!AF16),"",'RESUMEN VIGILANCIA'!AF16)</f>
        <v>5000</v>
      </c>
      <c r="AH60" s="377">
        <f>IF(ISBLANK('RESUMEN VIGILANCIA'!AG16),"",'RESUMEN VIGILANCIA'!AG16)</f>
        <v>8000</v>
      </c>
      <c r="AI60" s="377">
        <f>IF(ISBLANK('RESUMEN VIGILANCIA'!AH16),"",'RESUMEN VIGILANCIA'!AH16)</f>
        <v>8000</v>
      </c>
      <c r="AJ60" s="377">
        <f>IF(ISBLANK('RESUMEN VIGILANCIA'!AI16),"",'RESUMEN VIGILANCIA'!AI16)</f>
        <v>10000</v>
      </c>
      <c r="AK60" s="377">
        <f>IF(ISBLANK('RESUMEN VIGILANCIA'!AJ16),"",'RESUMEN VIGILANCIA'!AJ16)</f>
        <v>10000</v>
      </c>
      <c r="AL60" s="377">
        <f>IF(ISBLANK('RESUMEN VIGILANCIA'!AK16),"",'RESUMEN VIGILANCIA'!AK16)</f>
        <v>20300</v>
      </c>
      <c r="AM60" s="377">
        <f>IF(ISBLANK('RESUMEN VIGILANCIA'!AL16),"",'RESUMEN VIGILANCIA'!AL16)</f>
        <v>64500</v>
      </c>
      <c r="AN60" s="377">
        <f>IF(ISBLANK('RESUMEN VIGILANCIA'!AM16),"",'RESUMEN VIGILANCIA'!AM16)</f>
        <v>105250</v>
      </c>
      <c r="AO60" s="378">
        <f>IF(ISBLANK('RESUMEN VIGILANCIA'!AN16),"",'RESUMEN VIGILANCIA'!AN16)</f>
        <v>105250</v>
      </c>
      <c r="AP60" s="376">
        <f>IF(ISBLANK('RESUMEN VIGILANCIA'!AO16),"",'RESUMEN VIGILANCIA'!AO16)</f>
        <v>136250</v>
      </c>
      <c r="AQ60" s="377">
        <f>IF(ISBLANK('RESUMEN VIGILANCIA'!AP16),"",'RESUMEN VIGILANCIA'!AP16)</f>
        <v>185250</v>
      </c>
      <c r="AR60" s="377">
        <f>IF(ISBLANK('RESUMEN VIGILANCIA'!AQ16),"",'RESUMEN VIGILANCIA'!AQ16)</f>
        <v>185250</v>
      </c>
      <c r="AS60" s="377" t="str">
        <f>IF(ISBLANK('RESUMEN VIGILANCIA'!AR16),"",'RESUMEN VIGILANCIA'!AR16)</f>
        <v/>
      </c>
      <c r="AT60" s="377" t="str">
        <f>IF(ISBLANK('RESUMEN VIGILANCIA'!AS16),"",'RESUMEN VIGILANCIA'!AS16)</f>
        <v/>
      </c>
      <c r="AU60" s="377" t="str">
        <f>IF(ISBLANK('RESUMEN VIGILANCIA'!AT16),"",'RESUMEN VIGILANCIA'!AT16)</f>
        <v/>
      </c>
      <c r="AV60" s="377" t="str">
        <f>IF(ISBLANK('RESUMEN VIGILANCIA'!AU16),"",'RESUMEN VIGILANCIA'!AU16)</f>
        <v/>
      </c>
      <c r="AW60" s="377" t="str">
        <f>IF(ISBLANK('RESUMEN VIGILANCIA'!AV16),"",'RESUMEN VIGILANCIA'!AV16)</f>
        <v/>
      </c>
      <c r="AX60" s="377" t="str">
        <f>IF(ISBLANK('RESUMEN VIGILANCIA'!AW16),"",'RESUMEN VIGILANCIA'!AW16)</f>
        <v/>
      </c>
      <c r="AY60" s="377" t="str">
        <f>IF(ISBLANK('RESUMEN VIGILANCIA'!AX16),"",'RESUMEN VIGILANCIA'!AX16)</f>
        <v/>
      </c>
      <c r="AZ60" s="377" t="str">
        <f>IF(ISBLANK('RESUMEN VIGILANCIA'!AY16),"",'RESUMEN VIGILANCIA'!AY16)</f>
        <v/>
      </c>
      <c r="BA60" s="378" t="str">
        <f>IF(ISBLANK('RESUMEN VIGILANCIA'!AZ16),"",'RESUMEN VIGILANCIA'!AZ16)</f>
        <v/>
      </c>
      <c r="BB60" s="242">
        <f t="shared" si="2"/>
        <v>347100.12</v>
      </c>
      <c r="BC60" s="112"/>
      <c r="BD60" s="112"/>
    </row>
    <row r="61" spans="1:56" s="29" customFormat="1" ht="20.100000000000001" customHeight="1">
      <c r="A61" s="30" t="str">
        <f>'RESUMEN VIGILANCIA'!A9</f>
        <v>Judith Lazo</v>
      </c>
      <c r="B61" s="31" t="str">
        <f>'RESUMEN VIGILANCIA'!B9</f>
        <v>Av. "M" Nro. 146-25</v>
      </c>
      <c r="C61" s="429" t="s">
        <v>1320</v>
      </c>
      <c r="D61" s="436"/>
      <c r="E61" s="417" t="str">
        <f>IF(ISBLANK('RESUMEN VIGILANCIA'!D9),"",'RESUMEN VIGILANCIA'!D9)</f>
        <v/>
      </c>
      <c r="F61" s="269" t="str">
        <f>IF(ISBLANK('RESUMEN VIGILANCIA'!E9),"",'RESUMEN VIGILANCIA'!E9)</f>
        <v/>
      </c>
      <c r="G61" s="181" t="str">
        <f>IF(ISBLANK('RESUMEN VIGILANCIA'!F9),"",'RESUMEN VIGILANCIA'!F9)</f>
        <v/>
      </c>
      <c r="H61" s="181" t="str">
        <f>IF(ISBLANK('RESUMEN VIGILANCIA'!G9),"",'RESUMEN VIGILANCIA'!G9)</f>
        <v/>
      </c>
      <c r="I61" s="181" t="str">
        <f>IF(ISBLANK('RESUMEN VIGILANCIA'!H9),"",'RESUMEN VIGILANCIA'!H9)</f>
        <v/>
      </c>
      <c r="J61" s="181" t="str">
        <f>IF(ISBLANK('RESUMEN VIGILANCIA'!I9),"",'RESUMEN VIGILANCIA'!I9)</f>
        <v/>
      </c>
      <c r="K61" s="181" t="str">
        <f>IF(ISBLANK('RESUMEN VIGILANCIA'!J9),"",'RESUMEN VIGILANCIA'!J9)</f>
        <v/>
      </c>
      <c r="L61" s="181" t="str">
        <f>IF(ISBLANK('RESUMEN VIGILANCIA'!K9),"",'RESUMEN VIGILANCIA'!K9)</f>
        <v/>
      </c>
      <c r="M61" s="181" t="str">
        <f>IF(ISBLANK('RESUMEN VIGILANCIA'!L9),"",'RESUMEN VIGILANCIA'!L9)</f>
        <v/>
      </c>
      <c r="N61" s="181" t="str">
        <f>IF(ISBLANK('RESUMEN VIGILANCIA'!M9),"",'RESUMEN VIGILANCIA'!M9)</f>
        <v/>
      </c>
      <c r="O61" s="181" t="str">
        <f>IF(ISBLANK('RESUMEN VIGILANCIA'!N9),"",'RESUMEN VIGILANCIA'!N9)</f>
        <v/>
      </c>
      <c r="P61" s="270" t="str">
        <f>IF(ISBLANK('RESUMEN VIGILANCIA'!O9),"",'RESUMEN VIGILANCIA'!O9)</f>
        <v/>
      </c>
      <c r="Q61" s="179" t="str">
        <f>IF(ISBLANK('RESUMEN VIGILANCIA'!P9),"",'RESUMEN VIGILANCIA'!P9)</f>
        <v/>
      </c>
      <c r="R61" s="271" t="str">
        <f>IF(ISBLANK('RESUMEN VIGILANCIA'!Q9),"",'RESUMEN VIGILANCIA'!Q9)</f>
        <v/>
      </c>
      <c r="S61" s="270" t="str">
        <f>IF(ISBLANK('RESUMEN VIGILANCIA'!R9),"",'RESUMEN VIGILANCIA'!R9)</f>
        <v/>
      </c>
      <c r="T61" s="270" t="str">
        <f>IF(ISBLANK('RESUMEN VIGILANCIA'!S9),"",'RESUMEN VIGILANCIA'!S9)</f>
        <v/>
      </c>
      <c r="U61" s="270" t="str">
        <f>IF(ISBLANK('RESUMEN VIGILANCIA'!T9),"",'RESUMEN VIGILANCIA'!T9)</f>
        <v/>
      </c>
      <c r="V61" s="270" t="str">
        <f>IF(ISBLANK('RESUMEN VIGILANCIA'!U9),"",'RESUMEN VIGILANCIA'!U9)</f>
        <v/>
      </c>
      <c r="W61" s="270" t="str">
        <f>IF(ISBLANK('RESUMEN VIGILANCIA'!V9),"",'RESUMEN VIGILANCIA'!V9)</f>
        <v/>
      </c>
      <c r="X61" s="270" t="str">
        <f>IF(ISBLANK('RESUMEN VIGILANCIA'!W9),"",'RESUMEN VIGILANCIA'!W9)</f>
        <v/>
      </c>
      <c r="Y61" s="270" t="str">
        <f>IF(ISBLANK('RESUMEN VIGILANCIA'!X9),"",'RESUMEN VIGILANCIA'!X9)</f>
        <v/>
      </c>
      <c r="Z61" s="455" t="str">
        <f>IF(ISBLANK('RESUMEN VIGILANCIA'!Y9),"",'RESUMEN VIGILANCIA'!Y9)</f>
        <v/>
      </c>
      <c r="AA61" s="455" t="str">
        <f>IF(ISBLANK('RESUMEN VIGILANCIA'!Z9),"",'RESUMEN VIGILANCIA'!Z9)</f>
        <v/>
      </c>
      <c r="AB61" s="455" t="str">
        <f>IF(ISBLANK('RESUMEN VIGILANCIA'!AA9),"",'RESUMEN VIGILANCIA'!AA9)</f>
        <v/>
      </c>
      <c r="AC61" s="456" t="str">
        <f>IF(ISBLANK('RESUMEN VIGILANCIA'!AB9),"",'RESUMEN VIGILANCIA'!AB9)</f>
        <v/>
      </c>
      <c r="AD61" s="376" t="str">
        <f>IF(ISBLANK('RESUMEN VIGILANCIA'!AC9),"",'RESUMEN VIGILANCIA'!AC9)</f>
        <v/>
      </c>
      <c r="AE61" s="377" t="str">
        <f>IF(ISBLANK('RESUMEN VIGILANCIA'!AD9),"",'RESUMEN VIGILANCIA'!AD9)</f>
        <v/>
      </c>
      <c r="AF61" s="377" t="str">
        <f>IF(ISBLANK('RESUMEN VIGILANCIA'!AE9),"",'RESUMEN VIGILANCIA'!AE9)</f>
        <v/>
      </c>
      <c r="AG61" s="377" t="str">
        <f>IF(ISBLANK('RESUMEN VIGILANCIA'!AF9),"",'RESUMEN VIGILANCIA'!AF9)</f>
        <v/>
      </c>
      <c r="AH61" s="377" t="str">
        <f>IF(ISBLANK('RESUMEN VIGILANCIA'!AG9),"",'RESUMEN VIGILANCIA'!AG9)</f>
        <v/>
      </c>
      <c r="AI61" s="377" t="str">
        <f>IF(ISBLANK('RESUMEN VIGILANCIA'!AH9),"",'RESUMEN VIGILANCIA'!AH9)</f>
        <v/>
      </c>
      <c r="AJ61" s="377" t="str">
        <f>IF(ISBLANK('RESUMEN VIGILANCIA'!AI9),"",'RESUMEN VIGILANCIA'!AI9)</f>
        <v/>
      </c>
      <c r="AK61" s="377" t="str">
        <f>IF(ISBLANK('RESUMEN VIGILANCIA'!AJ9),"",'RESUMEN VIGILANCIA'!AJ9)</f>
        <v/>
      </c>
      <c r="AL61" s="377" t="str">
        <f>IF(ISBLANK('RESUMEN VIGILANCIA'!AK9),"",'RESUMEN VIGILANCIA'!AK9)</f>
        <v/>
      </c>
      <c r="AM61" s="377" t="str">
        <f>IF(ISBLANK('RESUMEN VIGILANCIA'!AL9),"",'RESUMEN VIGILANCIA'!AL9)</f>
        <v/>
      </c>
      <c r="AN61" s="377" t="str">
        <f>IF(ISBLANK('RESUMEN VIGILANCIA'!AM9),"",'RESUMEN VIGILANCIA'!AM9)</f>
        <v/>
      </c>
      <c r="AO61" s="378" t="str">
        <f>IF(ISBLANK('RESUMEN VIGILANCIA'!AN9),"",'RESUMEN VIGILANCIA'!AN9)</f>
        <v/>
      </c>
      <c r="AP61" s="376" t="str">
        <f>IF(ISBLANK('RESUMEN VIGILANCIA'!AO9),"",'RESUMEN VIGILANCIA'!AO9)</f>
        <v/>
      </c>
      <c r="AQ61" s="377" t="str">
        <f>IF(ISBLANK('RESUMEN VIGILANCIA'!AP9),"",'RESUMEN VIGILANCIA'!AP9)</f>
        <v/>
      </c>
      <c r="AR61" s="377" t="str">
        <f>IF(ISBLANK('RESUMEN VIGILANCIA'!AQ9),"",'RESUMEN VIGILANCIA'!AQ9)</f>
        <v/>
      </c>
      <c r="AS61" s="377" t="str">
        <f>IF(ISBLANK('RESUMEN VIGILANCIA'!AR9),"",'RESUMEN VIGILANCIA'!AR9)</f>
        <v/>
      </c>
      <c r="AT61" s="377" t="str">
        <f>IF(ISBLANK('RESUMEN VIGILANCIA'!AS9),"",'RESUMEN VIGILANCIA'!AS9)</f>
        <v/>
      </c>
      <c r="AU61" s="377" t="str">
        <f>IF(ISBLANK('RESUMEN VIGILANCIA'!AT9),"",'RESUMEN VIGILANCIA'!AT9)</f>
        <v/>
      </c>
      <c r="AV61" s="377" t="str">
        <f>IF(ISBLANK('RESUMEN VIGILANCIA'!AU9),"",'RESUMEN VIGILANCIA'!AU9)</f>
        <v/>
      </c>
      <c r="AW61" s="377" t="str">
        <f>IF(ISBLANK('RESUMEN VIGILANCIA'!AV9),"",'RESUMEN VIGILANCIA'!AV9)</f>
        <v/>
      </c>
      <c r="AX61" s="377" t="str">
        <f>IF(ISBLANK('RESUMEN VIGILANCIA'!AW9),"",'RESUMEN VIGILANCIA'!AW9)</f>
        <v/>
      </c>
      <c r="AY61" s="377" t="str">
        <f>IF(ISBLANK('RESUMEN VIGILANCIA'!AX9),"",'RESUMEN VIGILANCIA'!AX9)</f>
        <v/>
      </c>
      <c r="AZ61" s="377" t="str">
        <f>IF(ISBLANK('RESUMEN VIGILANCIA'!AY9),"",'RESUMEN VIGILANCIA'!AY9)</f>
        <v/>
      </c>
      <c r="BA61" s="378" t="str">
        <f>IF(ISBLANK('RESUMEN VIGILANCIA'!AZ9),"",'RESUMEN VIGILANCIA'!AZ9)</f>
        <v/>
      </c>
      <c r="BB61" s="242">
        <f t="shared" si="2"/>
        <v>0</v>
      </c>
      <c r="BC61" s="112"/>
      <c r="BD61" s="112"/>
    </row>
    <row r="62" spans="1:56" s="29" customFormat="1" ht="20.100000000000001" customHeight="1">
      <c r="A62" s="30" t="str">
        <f>'RESUMEN VIGILANCIA'!A7</f>
        <v>Familia Barreto Pérez</v>
      </c>
      <c r="B62" s="31" t="str">
        <f>'RESUMEN VIGILANCIA'!B7</f>
        <v>Av. "M" Nro. 146-15</v>
      </c>
      <c r="C62" s="429" t="s">
        <v>1316</v>
      </c>
      <c r="D62" s="436" t="s">
        <v>1315</v>
      </c>
      <c r="E62" s="417" t="str">
        <f>IF(ISBLANK('RESUMEN VIGILANCIA'!D7),"",'RESUMEN VIGILANCIA'!D7)</f>
        <v/>
      </c>
      <c r="F62" s="269">
        <f>IF(ISBLANK('RESUMEN VIGILANCIA'!E7),"",'RESUMEN VIGILANCIA'!E7)</f>
        <v>0.16999999999999998</v>
      </c>
      <c r="G62" s="181">
        <f>IF(ISBLANK('RESUMEN VIGILANCIA'!F7),"",'RESUMEN VIGILANCIA'!F7)</f>
        <v>0.17</v>
      </c>
      <c r="H62" s="181">
        <f>IF(ISBLANK('RESUMEN VIGILANCIA'!G7),"",'RESUMEN VIGILANCIA'!G7)</f>
        <v>0.17</v>
      </c>
      <c r="I62" s="181">
        <f>IF(ISBLANK('RESUMEN VIGILANCIA'!H7),"",'RESUMEN VIGILANCIA'!H7)</f>
        <v>0.17</v>
      </c>
      <c r="J62" s="181">
        <f>IF(ISBLANK('RESUMEN VIGILANCIA'!I7),"",'RESUMEN VIGILANCIA'!I7)</f>
        <v>0.26</v>
      </c>
      <c r="K62" s="181">
        <f>IF(ISBLANK('RESUMEN VIGILANCIA'!J7),"",'RESUMEN VIGILANCIA'!J7)</f>
        <v>0.26</v>
      </c>
      <c r="L62" s="181">
        <f>IF(ISBLANK('RESUMEN VIGILANCIA'!K7),"",'RESUMEN VIGILANCIA'!K7)</f>
        <v>0.35</v>
      </c>
      <c r="M62" s="181">
        <f>IF(ISBLANK('RESUMEN VIGILANCIA'!L7),"",'RESUMEN VIGILANCIA'!L7)</f>
        <v>0.35</v>
      </c>
      <c r="N62" s="181">
        <f>IF(ISBLANK('RESUMEN VIGILANCIA'!M7),"",'RESUMEN VIGILANCIA'!M7)</f>
        <v>0.35</v>
      </c>
      <c r="O62" s="181">
        <f>IF(ISBLANK('RESUMEN VIGILANCIA'!N7),"",'RESUMEN VIGILANCIA'!N7)</f>
        <v>0.35</v>
      </c>
      <c r="P62" s="270">
        <f>IF(ISBLANK('RESUMEN VIGILANCIA'!O7),"",'RESUMEN VIGILANCIA'!O7)</f>
        <v>0.5</v>
      </c>
      <c r="Q62" s="179">
        <f>IF(ISBLANK('RESUMEN VIGILANCIA'!P7),"",'RESUMEN VIGILANCIA'!P7)</f>
        <v>0.5</v>
      </c>
      <c r="R62" s="271">
        <f>IF(ISBLANK('RESUMEN VIGILANCIA'!Q7),"",'RESUMEN VIGILANCIA'!Q7)</f>
        <v>0.8</v>
      </c>
      <c r="S62" s="270">
        <f>IF(ISBLANK('RESUMEN VIGILANCIA'!R7),"",'RESUMEN VIGILANCIA'!R7)</f>
        <v>0.8</v>
      </c>
      <c r="T62" s="270">
        <f>IF(ISBLANK('RESUMEN VIGILANCIA'!S7),"",'RESUMEN VIGILANCIA'!S7)</f>
        <v>1.4</v>
      </c>
      <c r="U62" s="270">
        <f>IF(ISBLANK('RESUMEN VIGILANCIA'!T7),"",'RESUMEN VIGILANCIA'!T7)</f>
        <v>1.4</v>
      </c>
      <c r="V62" s="270">
        <f>IF(ISBLANK('RESUMEN VIGILANCIA'!U7),"",'RESUMEN VIGILANCIA'!U7)</f>
        <v>4</v>
      </c>
      <c r="W62" s="270">
        <f>IF(ISBLANK('RESUMEN VIGILANCIA'!V7),"",'RESUMEN VIGILANCIA'!V7)</f>
        <v>6.25</v>
      </c>
      <c r="X62" s="270">
        <f>IF(ISBLANK('RESUMEN VIGILANCIA'!W7),"",'RESUMEN VIGILANCIA'!W7)</f>
        <v>10</v>
      </c>
      <c r="Y62" s="270">
        <f>IF(ISBLANK('RESUMEN VIGILANCIA'!X7),"",'RESUMEN VIGILANCIA'!X7)</f>
        <v>12</v>
      </c>
      <c r="Z62" s="455">
        <f>IF(ISBLANK('RESUMEN VIGILANCIA'!Y7),"",'RESUMEN VIGILANCIA'!Y7)</f>
        <v>320</v>
      </c>
      <c r="AA62" s="455">
        <f>IF(ISBLANK('RESUMEN VIGILANCIA'!Z7),"",'RESUMEN VIGILANCIA'!Z7)</f>
        <v>320</v>
      </c>
      <c r="AB62" s="455">
        <f>IF(ISBLANK('RESUMEN VIGILANCIA'!AA7),"",'RESUMEN VIGILANCIA'!AA7)</f>
        <v>320</v>
      </c>
      <c r="AC62" s="456">
        <f>IF(ISBLANK('RESUMEN VIGILANCIA'!AB7),"",'RESUMEN VIGILANCIA'!AB7)</f>
        <v>800</v>
      </c>
      <c r="AD62" s="376">
        <f>IF(ISBLANK('RESUMEN VIGILANCIA'!AC7),"",'RESUMEN VIGILANCIA'!AC7)</f>
        <v>3000</v>
      </c>
      <c r="AE62" s="377">
        <f>IF(ISBLANK('RESUMEN VIGILANCIA'!AD7),"",'RESUMEN VIGILANCIA'!AD7)</f>
        <v>3000</v>
      </c>
      <c r="AF62" s="377">
        <f>IF(ISBLANK('RESUMEN VIGILANCIA'!AE7),"",'RESUMEN VIGILANCIA'!AE7)</f>
        <v>3000</v>
      </c>
      <c r="AG62" s="377">
        <f>IF(ISBLANK('RESUMEN VIGILANCIA'!AF7),"",'RESUMEN VIGILANCIA'!AF7)</f>
        <v>5000</v>
      </c>
      <c r="AH62" s="377">
        <f>IF(ISBLANK('RESUMEN VIGILANCIA'!AG7),"",'RESUMEN VIGILANCIA'!AG7)</f>
        <v>8000</v>
      </c>
      <c r="AI62" s="377">
        <f>IF(ISBLANK('RESUMEN VIGILANCIA'!AH7),"",'RESUMEN VIGILANCIA'!AH7)</f>
        <v>8000</v>
      </c>
      <c r="AJ62" s="377">
        <f>IF(ISBLANK('RESUMEN VIGILANCIA'!AI7),"",'RESUMEN VIGILANCIA'!AI7)</f>
        <v>10000</v>
      </c>
      <c r="AK62" s="377">
        <f>IF(ISBLANK('RESUMEN VIGILANCIA'!AJ7),"",'RESUMEN VIGILANCIA'!AJ7)</f>
        <v>10000</v>
      </c>
      <c r="AL62" s="377">
        <f>IF(ISBLANK('RESUMEN VIGILANCIA'!AK7),"",'RESUMEN VIGILANCIA'!AK7)</f>
        <v>22000</v>
      </c>
      <c r="AM62" s="377">
        <f>IF(ISBLANK('RESUMEN VIGILANCIA'!AL7),"",'RESUMEN VIGILANCIA'!AL7)</f>
        <v>47000</v>
      </c>
      <c r="AN62" s="377">
        <f>IF(ISBLANK('RESUMEN VIGILANCIA'!AM7),"",'RESUMEN VIGILANCIA'!AM7)</f>
        <v>51250</v>
      </c>
      <c r="AO62" s="378">
        <f>IF(ISBLANK('RESUMEN VIGILANCIA'!AN7),"",'RESUMEN VIGILANCIA'!AN7)</f>
        <v>81750</v>
      </c>
      <c r="AP62" s="376">
        <f>IF(ISBLANK('RESUMEN VIGILANCIA'!AO7),"",'RESUMEN VIGILANCIA'!AO7)</f>
        <v>136250</v>
      </c>
      <c r="AQ62" s="377">
        <f>IF(ISBLANK('RESUMEN VIGILANCIA'!AP7),"",'RESUMEN VIGILANCIA'!AP7)</f>
        <v>136250</v>
      </c>
      <c r="AR62" s="377">
        <f>IF(ISBLANK('RESUMEN VIGILANCIA'!AQ7),"",'RESUMEN VIGILANCIA'!AQ7)</f>
        <v>185250</v>
      </c>
      <c r="AS62" s="377">
        <f>IF(ISBLANK('RESUMEN VIGILANCIA'!AR7),"",'RESUMEN VIGILANCIA'!AR7)</f>
        <v>186250</v>
      </c>
      <c r="AT62" s="377">
        <f>IF(ISBLANK('RESUMEN VIGILANCIA'!AS7),"",'RESUMEN VIGILANCIA'!AS7)</f>
        <v>250000</v>
      </c>
      <c r="AU62" s="377" t="str">
        <f>IF(ISBLANK('RESUMEN VIGILANCIA'!AT7),"",'RESUMEN VIGILANCIA'!AT7)</f>
        <v/>
      </c>
      <c r="AV62" s="377" t="str">
        <f>IF(ISBLANK('RESUMEN VIGILANCIA'!AU7),"",'RESUMEN VIGILANCIA'!AU7)</f>
        <v/>
      </c>
      <c r="AW62" s="377" t="str">
        <f>IF(ISBLANK('RESUMEN VIGILANCIA'!AV7),"",'RESUMEN VIGILANCIA'!AV7)</f>
        <v/>
      </c>
      <c r="AX62" s="377" t="str">
        <f>IF(ISBLANK('RESUMEN VIGILANCIA'!AW7),"",'RESUMEN VIGILANCIA'!AW7)</f>
        <v/>
      </c>
      <c r="AY62" s="377" t="str">
        <f>IF(ISBLANK('RESUMEN VIGILANCIA'!AX7),"",'RESUMEN VIGILANCIA'!AX7)</f>
        <v/>
      </c>
      <c r="AZ62" s="377" t="str">
        <f>IF(ISBLANK('RESUMEN VIGILANCIA'!AY7),"",'RESUMEN VIGILANCIA'!AY7)</f>
        <v/>
      </c>
      <c r="BA62" s="378" t="str">
        <f>IF(ISBLANK('RESUMEN VIGILANCIA'!AZ7),"",'RESUMEN VIGILANCIA'!AZ7)</f>
        <v/>
      </c>
      <c r="BB62" s="242">
        <f t="shared" si="2"/>
        <v>253800.25</v>
      </c>
      <c r="BC62" s="112"/>
      <c r="BD62" s="112"/>
    </row>
    <row r="63" spans="1:56" s="29" customFormat="1" ht="20.100000000000001" customHeight="1">
      <c r="A63" s="30" t="str">
        <f>'RESUMEN VIGILANCIA'!A15</f>
        <v>Familia Coronel</v>
      </c>
      <c r="B63" s="31" t="str">
        <f>'RESUMEN VIGILANCIA'!B15</f>
        <v>Av. "O" Nro. 146-10</v>
      </c>
      <c r="C63" s="429" t="s">
        <v>1320</v>
      </c>
      <c r="D63" s="436"/>
      <c r="E63" s="417" t="str">
        <f>IF(ISBLANK('RESUMEN VIGILANCIA'!D15),"",'RESUMEN VIGILANCIA'!D15)</f>
        <v/>
      </c>
      <c r="F63" s="269" t="str">
        <f>IF(ISBLANK('RESUMEN VIGILANCIA'!E15),"",'RESUMEN VIGILANCIA'!E15)</f>
        <v/>
      </c>
      <c r="G63" s="181" t="str">
        <f>IF(ISBLANK('RESUMEN VIGILANCIA'!F15),"",'RESUMEN VIGILANCIA'!F15)</f>
        <v/>
      </c>
      <c r="H63" s="181" t="str">
        <f>IF(ISBLANK('RESUMEN VIGILANCIA'!G15),"",'RESUMEN VIGILANCIA'!G15)</f>
        <v/>
      </c>
      <c r="I63" s="181" t="str">
        <f>IF(ISBLANK('RESUMEN VIGILANCIA'!H15),"",'RESUMEN VIGILANCIA'!H15)</f>
        <v/>
      </c>
      <c r="J63" s="181" t="str">
        <f>IF(ISBLANK('RESUMEN VIGILANCIA'!I15),"",'RESUMEN VIGILANCIA'!I15)</f>
        <v/>
      </c>
      <c r="K63" s="181" t="str">
        <f>IF(ISBLANK('RESUMEN VIGILANCIA'!J15),"",'RESUMEN VIGILANCIA'!J15)</f>
        <v/>
      </c>
      <c r="L63" s="181" t="str">
        <f>IF(ISBLANK('RESUMEN VIGILANCIA'!K15),"",'RESUMEN VIGILANCIA'!K15)</f>
        <v/>
      </c>
      <c r="M63" s="181" t="str">
        <f>IF(ISBLANK('RESUMEN VIGILANCIA'!L15),"",'RESUMEN VIGILANCIA'!L15)</f>
        <v/>
      </c>
      <c r="N63" s="181" t="str">
        <f>IF(ISBLANK('RESUMEN VIGILANCIA'!M15),"",'RESUMEN VIGILANCIA'!M15)</f>
        <v/>
      </c>
      <c r="O63" s="181" t="str">
        <f>IF(ISBLANK('RESUMEN VIGILANCIA'!N15),"",'RESUMEN VIGILANCIA'!N15)</f>
        <v/>
      </c>
      <c r="P63" s="270" t="str">
        <f>IF(ISBLANK('RESUMEN VIGILANCIA'!O15),"",'RESUMEN VIGILANCIA'!O15)</f>
        <v/>
      </c>
      <c r="Q63" s="179" t="str">
        <f>IF(ISBLANK('RESUMEN VIGILANCIA'!P15),"",'RESUMEN VIGILANCIA'!P15)</f>
        <v/>
      </c>
      <c r="R63" s="271" t="str">
        <f>IF(ISBLANK('RESUMEN VIGILANCIA'!Q15),"",'RESUMEN VIGILANCIA'!Q15)</f>
        <v/>
      </c>
      <c r="S63" s="270" t="str">
        <f>IF(ISBLANK('RESUMEN VIGILANCIA'!R15),"",'RESUMEN VIGILANCIA'!R15)</f>
        <v/>
      </c>
      <c r="T63" s="270" t="str">
        <f>IF(ISBLANK('RESUMEN VIGILANCIA'!S15),"",'RESUMEN VIGILANCIA'!S15)</f>
        <v/>
      </c>
      <c r="U63" s="270" t="str">
        <f>IF(ISBLANK('RESUMEN VIGILANCIA'!T15),"",'RESUMEN VIGILANCIA'!T15)</f>
        <v/>
      </c>
      <c r="V63" s="270" t="str">
        <f>IF(ISBLANK('RESUMEN VIGILANCIA'!U15),"",'RESUMEN VIGILANCIA'!U15)</f>
        <v/>
      </c>
      <c r="W63" s="270" t="str">
        <f>IF(ISBLANK('RESUMEN VIGILANCIA'!V15),"",'RESUMEN VIGILANCIA'!V15)</f>
        <v/>
      </c>
      <c r="X63" s="270" t="str">
        <f>IF(ISBLANK('RESUMEN VIGILANCIA'!W15),"",'RESUMEN VIGILANCIA'!W15)</f>
        <v/>
      </c>
      <c r="Y63" s="270" t="str">
        <f>IF(ISBLANK('RESUMEN VIGILANCIA'!X15),"",'RESUMEN VIGILANCIA'!X15)</f>
        <v/>
      </c>
      <c r="Z63" s="455" t="str">
        <f>IF(ISBLANK('RESUMEN VIGILANCIA'!Y15),"",'RESUMEN VIGILANCIA'!Y15)</f>
        <v/>
      </c>
      <c r="AA63" s="455" t="str">
        <f>IF(ISBLANK('RESUMEN VIGILANCIA'!Z15),"",'RESUMEN VIGILANCIA'!Z15)</f>
        <v/>
      </c>
      <c r="AB63" s="455" t="str">
        <f>IF(ISBLANK('RESUMEN VIGILANCIA'!AA15),"",'RESUMEN VIGILANCIA'!AA15)</f>
        <v/>
      </c>
      <c r="AC63" s="456" t="str">
        <f>IF(ISBLANK('RESUMEN VIGILANCIA'!AB15),"",'RESUMEN VIGILANCIA'!AB15)</f>
        <v/>
      </c>
      <c r="AD63" s="376" t="str">
        <f>IF(ISBLANK('RESUMEN VIGILANCIA'!AC15),"",'RESUMEN VIGILANCIA'!AC15)</f>
        <v/>
      </c>
      <c r="AE63" s="377" t="str">
        <f>IF(ISBLANK('RESUMEN VIGILANCIA'!AD15),"",'RESUMEN VIGILANCIA'!AD15)</f>
        <v/>
      </c>
      <c r="AF63" s="377" t="str">
        <f>IF(ISBLANK('RESUMEN VIGILANCIA'!AE15),"",'RESUMEN VIGILANCIA'!AE15)</f>
        <v/>
      </c>
      <c r="AG63" s="377" t="str">
        <f>IF(ISBLANK('RESUMEN VIGILANCIA'!AF15),"",'RESUMEN VIGILANCIA'!AF15)</f>
        <v/>
      </c>
      <c r="AH63" s="377" t="str">
        <f>IF(ISBLANK('RESUMEN VIGILANCIA'!AG15),"",'RESUMEN VIGILANCIA'!AG15)</f>
        <v/>
      </c>
      <c r="AI63" s="377" t="str">
        <f>IF(ISBLANK('RESUMEN VIGILANCIA'!AH15),"",'RESUMEN VIGILANCIA'!AH15)</f>
        <v/>
      </c>
      <c r="AJ63" s="377" t="str">
        <f>IF(ISBLANK('RESUMEN VIGILANCIA'!AI15),"",'RESUMEN VIGILANCIA'!AI15)</f>
        <v/>
      </c>
      <c r="AK63" s="377" t="str">
        <f>IF(ISBLANK('RESUMEN VIGILANCIA'!AJ15),"",'RESUMEN VIGILANCIA'!AJ15)</f>
        <v/>
      </c>
      <c r="AL63" s="377" t="str">
        <f>IF(ISBLANK('RESUMEN VIGILANCIA'!AK15),"",'RESUMEN VIGILANCIA'!AK15)</f>
        <v/>
      </c>
      <c r="AM63" s="377" t="str">
        <f>IF(ISBLANK('RESUMEN VIGILANCIA'!AL15),"",'RESUMEN VIGILANCIA'!AL15)</f>
        <v/>
      </c>
      <c r="AN63" s="377" t="str">
        <f>IF(ISBLANK('RESUMEN VIGILANCIA'!AM15),"",'RESUMEN VIGILANCIA'!AM15)</f>
        <v/>
      </c>
      <c r="AO63" s="378" t="str">
        <f>IF(ISBLANK('RESUMEN VIGILANCIA'!AN15),"",'RESUMEN VIGILANCIA'!AN15)</f>
        <v/>
      </c>
      <c r="AP63" s="376" t="str">
        <f>IF(ISBLANK('RESUMEN VIGILANCIA'!AO15),"",'RESUMEN VIGILANCIA'!AO15)</f>
        <v/>
      </c>
      <c r="AQ63" s="377" t="str">
        <f>IF(ISBLANK('RESUMEN VIGILANCIA'!AP15),"",'RESUMEN VIGILANCIA'!AP15)</f>
        <v/>
      </c>
      <c r="AR63" s="377" t="str">
        <f>IF(ISBLANK('RESUMEN VIGILANCIA'!AQ15),"",'RESUMEN VIGILANCIA'!AQ15)</f>
        <v/>
      </c>
      <c r="AS63" s="377" t="str">
        <f>IF(ISBLANK('RESUMEN VIGILANCIA'!AR15),"",'RESUMEN VIGILANCIA'!AR15)</f>
        <v/>
      </c>
      <c r="AT63" s="377" t="str">
        <f>IF(ISBLANK('RESUMEN VIGILANCIA'!AS15),"",'RESUMEN VIGILANCIA'!AS15)</f>
        <v/>
      </c>
      <c r="AU63" s="377" t="str">
        <f>IF(ISBLANK('RESUMEN VIGILANCIA'!AT15),"",'RESUMEN VIGILANCIA'!AT15)</f>
        <v/>
      </c>
      <c r="AV63" s="377" t="str">
        <f>IF(ISBLANK('RESUMEN VIGILANCIA'!AU15),"",'RESUMEN VIGILANCIA'!AU15)</f>
        <v/>
      </c>
      <c r="AW63" s="377" t="str">
        <f>IF(ISBLANK('RESUMEN VIGILANCIA'!AV15),"",'RESUMEN VIGILANCIA'!AV15)</f>
        <v/>
      </c>
      <c r="AX63" s="377" t="str">
        <f>IF(ISBLANK('RESUMEN VIGILANCIA'!AW15),"",'RESUMEN VIGILANCIA'!AW15)</f>
        <v/>
      </c>
      <c r="AY63" s="377" t="str">
        <f>IF(ISBLANK('RESUMEN VIGILANCIA'!AX15),"",'RESUMEN VIGILANCIA'!AX15)</f>
        <v/>
      </c>
      <c r="AZ63" s="377" t="str">
        <f>IF(ISBLANK('RESUMEN VIGILANCIA'!AY15),"",'RESUMEN VIGILANCIA'!AY15)</f>
        <v/>
      </c>
      <c r="BA63" s="378" t="str">
        <f>IF(ISBLANK('RESUMEN VIGILANCIA'!AZ15),"",'RESUMEN VIGILANCIA'!AZ15)</f>
        <v/>
      </c>
      <c r="BB63" s="242">
        <f t="shared" si="2"/>
        <v>0</v>
      </c>
      <c r="BC63" s="112"/>
      <c r="BD63" s="112"/>
    </row>
    <row r="64" spans="1:56" s="29" customFormat="1" ht="20.100000000000001" customHeight="1">
      <c r="A64" s="30" t="str">
        <f>'RESUMEN VIGILANCIA'!A2</f>
        <v>Familia Scabuzzo Gómez</v>
      </c>
      <c r="B64" s="31" t="str">
        <f>'RESUMEN VIGILANCIA'!B2</f>
        <v>Av. "I" Nro. 146-20</v>
      </c>
      <c r="C64" s="429" t="s">
        <v>1316</v>
      </c>
      <c r="D64" s="436"/>
      <c r="E64" s="417" t="str">
        <f>IF(ISBLANK('RESUMEN VIGILANCIA'!D2),"",'RESUMEN VIGILANCIA'!D2)</f>
        <v/>
      </c>
      <c r="F64" s="269">
        <f>IF(ISBLANK('RESUMEN VIGILANCIA'!E2),"",'RESUMEN VIGILANCIA'!E2)</f>
        <v>0.17</v>
      </c>
      <c r="G64" s="181">
        <f>IF(ISBLANK('RESUMEN VIGILANCIA'!F2),"",'RESUMEN VIGILANCIA'!F2)</f>
        <v>0.17</v>
      </c>
      <c r="H64" s="181">
        <f>IF(ISBLANK('RESUMEN VIGILANCIA'!G2),"",'RESUMEN VIGILANCIA'!G2)</f>
        <v>0.17</v>
      </c>
      <c r="I64" s="181">
        <f>IF(ISBLANK('RESUMEN VIGILANCIA'!H2),"",'RESUMEN VIGILANCIA'!H2)</f>
        <v>0.17</v>
      </c>
      <c r="J64" s="182">
        <f>IF(ISBLANK('RESUMEN VIGILANCIA'!I2),"",'RESUMEN VIGILANCIA'!I2)</f>
        <v>0.17</v>
      </c>
      <c r="K64" s="181">
        <f>IF(ISBLANK('RESUMEN VIGILANCIA'!J2),"",'RESUMEN VIGILANCIA'!J2)</f>
        <v>0.26</v>
      </c>
      <c r="L64" s="181">
        <f>IF(ISBLANK('RESUMEN VIGILANCIA'!K2),"",'RESUMEN VIGILANCIA'!K2)</f>
        <v>0.35</v>
      </c>
      <c r="M64" s="181">
        <f>IF(ISBLANK('RESUMEN VIGILANCIA'!L2),"",'RESUMEN VIGILANCIA'!L2)</f>
        <v>0.35</v>
      </c>
      <c r="N64" s="181">
        <f>IF(ISBLANK('RESUMEN VIGILANCIA'!M2),"",'RESUMEN VIGILANCIA'!M2)</f>
        <v>0.35</v>
      </c>
      <c r="O64" s="181">
        <f>IF(ISBLANK('RESUMEN VIGILANCIA'!N2),"",'RESUMEN VIGILANCIA'!N2)</f>
        <v>0.35</v>
      </c>
      <c r="P64" s="270">
        <f>IF(ISBLANK('RESUMEN VIGILANCIA'!O2),"",'RESUMEN VIGILANCIA'!O2)</f>
        <v>0.5</v>
      </c>
      <c r="Q64" s="179">
        <f>IF(ISBLANK('RESUMEN VIGILANCIA'!P2),"",'RESUMEN VIGILANCIA'!P2)</f>
        <v>0.5</v>
      </c>
      <c r="R64" s="271">
        <f>IF(ISBLANK('RESUMEN VIGILANCIA'!Q2),"",'RESUMEN VIGILANCIA'!Q2)</f>
        <v>0.8</v>
      </c>
      <c r="S64" s="270">
        <f>IF(ISBLANK('RESUMEN VIGILANCIA'!R2),"",'RESUMEN VIGILANCIA'!R2)</f>
        <v>0.8</v>
      </c>
      <c r="T64" s="270">
        <f>IF(ISBLANK('RESUMEN VIGILANCIA'!S2),"",'RESUMEN VIGILANCIA'!S2)</f>
        <v>1.4</v>
      </c>
      <c r="U64" s="270">
        <f>IF(ISBLANK('RESUMEN VIGILANCIA'!T2),"",'RESUMEN VIGILANCIA'!T2)</f>
        <v>1.4</v>
      </c>
      <c r="V64" s="270">
        <f>IF(ISBLANK('RESUMEN VIGILANCIA'!U2),"",'RESUMEN VIGILANCIA'!U2)</f>
        <v>4</v>
      </c>
      <c r="W64" s="270">
        <f>IF(ISBLANK('RESUMEN VIGILANCIA'!V2),"",'RESUMEN VIGILANCIA'!V2)</f>
        <v>6.25</v>
      </c>
      <c r="X64" s="270">
        <f>IF(ISBLANK('RESUMEN VIGILANCIA'!W2),"",'RESUMEN VIGILANCIA'!W2)</f>
        <v>10</v>
      </c>
      <c r="Y64" s="270">
        <f>IF(ISBLANK('RESUMEN VIGILANCIA'!X2),"",'RESUMEN VIGILANCIA'!X2)</f>
        <v>12</v>
      </c>
      <c r="Z64" s="455">
        <f>IF(ISBLANK('RESUMEN VIGILANCIA'!Y2),"",'RESUMEN VIGILANCIA'!Y2)</f>
        <v>320</v>
      </c>
      <c r="AA64" s="455">
        <f>IF(ISBLANK('RESUMEN VIGILANCIA'!Z2),"",'RESUMEN VIGILANCIA'!Z2)</f>
        <v>320</v>
      </c>
      <c r="AB64" s="455">
        <f>IF(ISBLANK('RESUMEN VIGILANCIA'!AA2),"",'RESUMEN VIGILANCIA'!AA2)</f>
        <v>350</v>
      </c>
      <c r="AC64" s="456">
        <f>IF(ISBLANK('RESUMEN VIGILANCIA'!AB2),"",'RESUMEN VIGILANCIA'!AB2)</f>
        <v>800</v>
      </c>
      <c r="AD64" s="376">
        <f>IF(ISBLANK('RESUMEN VIGILANCIA'!AC2),"",'RESUMEN VIGILANCIA'!AC2)</f>
        <v>3000</v>
      </c>
      <c r="AE64" s="377">
        <f>IF(ISBLANK('RESUMEN VIGILANCIA'!AD2),"",'RESUMEN VIGILANCIA'!AD2)</f>
        <v>3000</v>
      </c>
      <c r="AF64" s="377">
        <f>IF(ISBLANK('RESUMEN VIGILANCIA'!AE2),"",'RESUMEN VIGILANCIA'!AE2)</f>
        <v>3000</v>
      </c>
      <c r="AG64" s="377">
        <f>IF(ISBLANK('RESUMEN VIGILANCIA'!AF2),"",'RESUMEN VIGILANCIA'!AF2)</f>
        <v>5000</v>
      </c>
      <c r="AH64" s="377">
        <f>IF(ISBLANK('RESUMEN VIGILANCIA'!AG2),"",'RESUMEN VIGILANCIA'!AG2)</f>
        <v>8000</v>
      </c>
      <c r="AI64" s="377">
        <f>IF(ISBLANK('RESUMEN VIGILANCIA'!AH2),"",'RESUMEN VIGILANCIA'!AH2)</f>
        <v>8000</v>
      </c>
      <c r="AJ64" s="377">
        <f>IF(ISBLANK('RESUMEN VIGILANCIA'!AI2),"",'RESUMEN VIGILANCIA'!AI2)</f>
        <v>10000</v>
      </c>
      <c r="AK64" s="377">
        <f>IF(ISBLANK('RESUMEN VIGILANCIA'!AJ2),"",'RESUMEN VIGILANCIA'!AJ2)</f>
        <v>10000</v>
      </c>
      <c r="AL64" s="377">
        <f>IF(ISBLANK('RESUMEN VIGILANCIA'!AK2),"",'RESUMEN VIGILANCIA'!AK2)</f>
        <v>21100</v>
      </c>
      <c r="AM64" s="377">
        <f>IF(ISBLANK('RESUMEN VIGILANCIA'!AL2),"",'RESUMEN VIGILANCIA'!AL2)</f>
        <v>51250</v>
      </c>
      <c r="AN64" s="377">
        <f>IF(ISBLANK('RESUMEN VIGILANCIA'!AM2),"",'RESUMEN VIGILANCIA'!AM2)</f>
        <v>73500</v>
      </c>
      <c r="AO64" s="378">
        <f>IF(ISBLANK('RESUMEN VIGILANCIA'!AN2),"",'RESUMEN VIGILANCIA'!AN2)</f>
        <v>185250</v>
      </c>
      <c r="AP64" s="376">
        <f>IF(ISBLANK('RESUMEN VIGILANCIA'!AO2),"",'RESUMEN VIGILANCIA'!AO2)</f>
        <v>185250</v>
      </c>
      <c r="AQ64" s="377">
        <f>IF(ISBLANK('RESUMEN VIGILANCIA'!AP2),"",'RESUMEN VIGILANCIA'!AP2)</f>
        <v>185250</v>
      </c>
      <c r="AR64" s="377">
        <f>IF(ISBLANK('RESUMEN VIGILANCIA'!AQ2),"",'RESUMEN VIGILANCIA'!AQ2)</f>
        <v>185250</v>
      </c>
      <c r="AS64" s="377" t="str">
        <f>IF(ISBLANK('RESUMEN VIGILANCIA'!AR2),"",'RESUMEN VIGILANCIA'!AR2)</f>
        <v/>
      </c>
      <c r="AT64" s="377" t="str">
        <f>IF(ISBLANK('RESUMEN VIGILANCIA'!AS2),"",'RESUMEN VIGILANCIA'!AS2)</f>
        <v/>
      </c>
      <c r="AU64" s="377" t="str">
        <f>IF(ISBLANK('RESUMEN VIGILANCIA'!AT2),"",'RESUMEN VIGILANCIA'!AT2)</f>
        <v/>
      </c>
      <c r="AV64" s="377" t="str">
        <f>IF(ISBLANK('RESUMEN VIGILANCIA'!AU2),"",'RESUMEN VIGILANCIA'!AU2)</f>
        <v/>
      </c>
      <c r="AW64" s="377" t="str">
        <f>IF(ISBLANK('RESUMEN VIGILANCIA'!AV2),"",'RESUMEN VIGILANCIA'!AV2)</f>
        <v/>
      </c>
      <c r="AX64" s="377" t="str">
        <f>IF(ISBLANK('RESUMEN VIGILANCIA'!AW2),"",'RESUMEN VIGILANCIA'!AW2)</f>
        <v/>
      </c>
      <c r="AY64" s="377" t="str">
        <f>IF(ISBLANK('RESUMEN VIGILANCIA'!AX2),"",'RESUMEN VIGILANCIA'!AX2)</f>
        <v/>
      </c>
      <c r="AZ64" s="377" t="str">
        <f>IF(ISBLANK('RESUMEN VIGILANCIA'!AY2),"",'RESUMEN VIGILANCIA'!AY2)</f>
        <v/>
      </c>
      <c r="BA64" s="378" t="str">
        <f>IF(ISBLANK('RESUMEN VIGILANCIA'!AZ2),"",'RESUMEN VIGILANCIA'!AZ2)</f>
        <v/>
      </c>
      <c r="BB64" s="240">
        <f t="shared" si="2"/>
        <v>382930.16000000003</v>
      </c>
      <c r="BC64" s="114"/>
      <c r="BD64" s="114"/>
    </row>
    <row r="65" spans="1:56" s="29" customFormat="1" ht="20.100000000000001" customHeight="1">
      <c r="A65" s="33" t="str">
        <f>'RESUMEN VIGILANCIA'!A3</f>
        <v>Familia Hoyte Rafmari</v>
      </c>
      <c r="B65" s="34" t="str">
        <f>'RESUMEN VIGILANCIA'!B3</f>
        <v>Av. "I" Nro. 146-30</v>
      </c>
      <c r="C65" s="428" t="s">
        <v>1317</v>
      </c>
      <c r="D65" s="437" t="s">
        <v>1315</v>
      </c>
      <c r="E65" s="416" t="str">
        <f>IF(ISBLANK('RESUMEN VIGILANCIA'!D3),"",'RESUMEN VIGILANCIA'!D3)</f>
        <v/>
      </c>
      <c r="F65" s="266">
        <f>IF(ISBLANK('RESUMEN VIGILANCIA'!E3),"",'RESUMEN VIGILANCIA'!E3)</f>
        <v>0.105</v>
      </c>
      <c r="G65" s="188">
        <f>IF(ISBLANK('RESUMEN VIGILANCIA'!F3),"",'RESUMEN VIGILANCIA'!F3)</f>
        <v>0.105</v>
      </c>
      <c r="H65" s="188">
        <f>IF(ISBLANK('RESUMEN VIGILANCIA'!G3),"",'RESUMEN VIGILANCIA'!G3)</f>
        <v>0.105</v>
      </c>
      <c r="I65" s="188" t="str">
        <f>IF(ISBLANK('RESUMEN VIGILANCIA'!H3),"",'RESUMEN VIGILANCIA'!H3)</f>
        <v/>
      </c>
      <c r="J65" s="188" t="str">
        <f>IF(ISBLANK('RESUMEN VIGILANCIA'!I3),"",'RESUMEN VIGILANCIA'!I3)</f>
        <v/>
      </c>
      <c r="K65" s="188" t="str">
        <f>IF(ISBLANK('RESUMEN VIGILANCIA'!J3),"",'RESUMEN VIGILANCIA'!J3)</f>
        <v/>
      </c>
      <c r="L65" s="188" t="str">
        <f>IF(ISBLANK('RESUMEN VIGILANCIA'!K3),"",'RESUMEN VIGILANCIA'!K3)</f>
        <v/>
      </c>
      <c r="M65" s="188" t="str">
        <f>IF(ISBLANK('RESUMEN VIGILANCIA'!L3),"",'RESUMEN VIGILANCIA'!L3)</f>
        <v/>
      </c>
      <c r="N65" s="188" t="str">
        <f>IF(ISBLANK('RESUMEN VIGILANCIA'!M3),"",'RESUMEN VIGILANCIA'!M3)</f>
        <v/>
      </c>
      <c r="O65" s="188" t="str">
        <f>IF(ISBLANK('RESUMEN VIGILANCIA'!N3),"",'RESUMEN VIGILANCIA'!N3)</f>
        <v/>
      </c>
      <c r="P65" s="267" t="str">
        <f>IF(ISBLANK('RESUMEN VIGILANCIA'!O3),"",'RESUMEN VIGILANCIA'!O3)</f>
        <v/>
      </c>
      <c r="Q65" s="186" t="str">
        <f>IF(ISBLANK('RESUMEN VIGILANCIA'!P3),"",'RESUMEN VIGILANCIA'!P3)</f>
        <v/>
      </c>
      <c r="R65" s="268" t="str">
        <f>IF(ISBLANK('RESUMEN VIGILANCIA'!Q3),"",'RESUMEN VIGILANCIA'!Q3)</f>
        <v/>
      </c>
      <c r="S65" s="267" t="str">
        <f>IF(ISBLANK('RESUMEN VIGILANCIA'!R3),"",'RESUMEN VIGILANCIA'!R3)</f>
        <v/>
      </c>
      <c r="T65" s="267" t="str">
        <f>IF(ISBLANK('RESUMEN VIGILANCIA'!S3),"",'RESUMEN VIGILANCIA'!S3)</f>
        <v/>
      </c>
      <c r="U65" s="267" t="str">
        <f>IF(ISBLANK('RESUMEN VIGILANCIA'!T3),"",'RESUMEN VIGILANCIA'!T3)</f>
        <v/>
      </c>
      <c r="V65" s="267" t="str">
        <f>IF(ISBLANK('RESUMEN VIGILANCIA'!U3),"",'RESUMEN VIGILANCIA'!U3)</f>
        <v/>
      </c>
      <c r="W65" s="267" t="str">
        <f>IF(ISBLANK('RESUMEN VIGILANCIA'!V3),"",'RESUMEN VIGILANCIA'!V3)</f>
        <v/>
      </c>
      <c r="X65" s="267" t="str">
        <f>IF(ISBLANK('RESUMEN VIGILANCIA'!W3),"",'RESUMEN VIGILANCIA'!W3)</f>
        <v/>
      </c>
      <c r="Y65" s="267" t="str">
        <f>IF(ISBLANK('RESUMEN VIGILANCIA'!X3),"",'RESUMEN VIGILANCIA'!X3)</f>
        <v/>
      </c>
      <c r="Z65" s="459" t="str">
        <f>IF(ISBLANK('RESUMEN VIGILANCIA'!Y3),"",'RESUMEN VIGILANCIA'!Y3)</f>
        <v/>
      </c>
      <c r="AA65" s="459" t="str">
        <f>IF(ISBLANK('RESUMEN VIGILANCIA'!Z3),"",'RESUMEN VIGILANCIA'!Z3)</f>
        <v/>
      </c>
      <c r="AB65" s="459" t="str">
        <f>IF(ISBLANK('RESUMEN VIGILANCIA'!AA3),"",'RESUMEN VIGILANCIA'!AA3)</f>
        <v/>
      </c>
      <c r="AC65" s="460" t="str">
        <f>IF(ISBLANK('RESUMEN VIGILANCIA'!AB3),"",'RESUMEN VIGILANCIA'!AB3)</f>
        <v/>
      </c>
      <c r="AD65" s="373" t="str">
        <f>IF(ISBLANK('RESUMEN VIGILANCIA'!AC3),"",'RESUMEN VIGILANCIA'!AC3)</f>
        <v/>
      </c>
      <c r="AE65" s="374" t="str">
        <f>IF(ISBLANK('RESUMEN VIGILANCIA'!AD3),"",'RESUMEN VIGILANCIA'!AD3)</f>
        <v/>
      </c>
      <c r="AF65" s="374" t="str">
        <f>IF(ISBLANK('RESUMEN VIGILANCIA'!AE3),"",'RESUMEN VIGILANCIA'!AE3)</f>
        <v/>
      </c>
      <c r="AG65" s="374" t="str">
        <f>IF(ISBLANK('RESUMEN VIGILANCIA'!AF3),"",'RESUMEN VIGILANCIA'!AF3)</f>
        <v/>
      </c>
      <c r="AH65" s="374" t="str">
        <f>IF(ISBLANK('RESUMEN VIGILANCIA'!AG3),"",'RESUMEN VIGILANCIA'!AG3)</f>
        <v/>
      </c>
      <c r="AI65" s="374" t="str">
        <f>IF(ISBLANK('RESUMEN VIGILANCIA'!AH3),"",'RESUMEN VIGILANCIA'!AH3)</f>
        <v/>
      </c>
      <c r="AJ65" s="374" t="str">
        <f>IF(ISBLANK('RESUMEN VIGILANCIA'!AI3),"",'RESUMEN VIGILANCIA'!AI3)</f>
        <v/>
      </c>
      <c r="AK65" s="374" t="str">
        <f>IF(ISBLANK('RESUMEN VIGILANCIA'!AJ3),"",'RESUMEN VIGILANCIA'!AJ3)</f>
        <v/>
      </c>
      <c r="AL65" s="374" t="str">
        <f>IF(ISBLANK('RESUMEN VIGILANCIA'!AK3),"",'RESUMEN VIGILANCIA'!AK3)</f>
        <v/>
      </c>
      <c r="AM65" s="374" t="str">
        <f>IF(ISBLANK('RESUMEN VIGILANCIA'!AL3),"",'RESUMEN VIGILANCIA'!AL3)</f>
        <v/>
      </c>
      <c r="AN65" s="374" t="str">
        <f>IF(ISBLANK('RESUMEN VIGILANCIA'!AM3),"",'RESUMEN VIGILANCIA'!AM3)</f>
        <v/>
      </c>
      <c r="AO65" s="375" t="str">
        <f>IF(ISBLANK('RESUMEN VIGILANCIA'!AN3),"",'RESUMEN VIGILANCIA'!AN3)</f>
        <v/>
      </c>
      <c r="AP65" s="373" t="str">
        <f>IF(ISBLANK('RESUMEN VIGILANCIA'!AO3),"",'RESUMEN VIGILANCIA'!AO3)</f>
        <v/>
      </c>
      <c r="AQ65" s="374" t="str">
        <f>IF(ISBLANK('RESUMEN VIGILANCIA'!AP3),"",'RESUMEN VIGILANCIA'!AP3)</f>
        <v/>
      </c>
      <c r="AR65" s="374" t="str">
        <f>IF(ISBLANK('RESUMEN VIGILANCIA'!AQ3),"",'RESUMEN VIGILANCIA'!AQ3)</f>
        <v/>
      </c>
      <c r="AS65" s="374" t="str">
        <f>IF(ISBLANK('RESUMEN VIGILANCIA'!AR3),"",'RESUMEN VIGILANCIA'!AR3)</f>
        <v/>
      </c>
      <c r="AT65" s="374" t="str">
        <f>IF(ISBLANK('RESUMEN VIGILANCIA'!AS3),"",'RESUMEN VIGILANCIA'!AS3)</f>
        <v/>
      </c>
      <c r="AU65" s="374" t="str">
        <f>IF(ISBLANK('RESUMEN VIGILANCIA'!AT3),"",'RESUMEN VIGILANCIA'!AT3)</f>
        <v/>
      </c>
      <c r="AV65" s="374" t="str">
        <f>IF(ISBLANK('RESUMEN VIGILANCIA'!AU3),"",'RESUMEN VIGILANCIA'!AU3)</f>
        <v/>
      </c>
      <c r="AW65" s="374" t="str">
        <f>IF(ISBLANK('RESUMEN VIGILANCIA'!AV3),"",'RESUMEN VIGILANCIA'!AV3)</f>
        <v/>
      </c>
      <c r="AX65" s="374" t="str">
        <f>IF(ISBLANK('RESUMEN VIGILANCIA'!AW3),"",'RESUMEN VIGILANCIA'!AW3)</f>
        <v/>
      </c>
      <c r="AY65" s="374" t="str">
        <f>IF(ISBLANK('RESUMEN VIGILANCIA'!AX3),"",'RESUMEN VIGILANCIA'!AX3)</f>
        <v/>
      </c>
      <c r="AZ65" s="374" t="str">
        <f>IF(ISBLANK('RESUMEN VIGILANCIA'!AY3),"",'RESUMEN VIGILANCIA'!AY3)</f>
        <v/>
      </c>
      <c r="BA65" s="375" t="str">
        <f>IF(ISBLANK('RESUMEN VIGILANCIA'!AZ3),"",'RESUMEN VIGILANCIA'!AZ3)</f>
        <v/>
      </c>
      <c r="BB65" s="241">
        <f t="shared" si="2"/>
        <v>0.315</v>
      </c>
      <c r="BC65" s="111"/>
      <c r="BD65" s="111"/>
    </row>
    <row r="66" spans="1:56" s="29" customFormat="1" ht="20.100000000000001" customHeight="1">
      <c r="A66" s="30" t="str">
        <f>'RESUMEN VIGILANCIA'!A4</f>
        <v>Familia Il Grande Franceschi</v>
      </c>
      <c r="B66" s="31" t="str">
        <f>'RESUMEN VIGILANCIA'!B4</f>
        <v>Av. "I" Nro. 146-40</v>
      </c>
      <c r="C66" s="429" t="s">
        <v>1316</v>
      </c>
      <c r="D66" s="436" t="s">
        <v>17</v>
      </c>
      <c r="E66" s="417" t="str">
        <f>IF(ISBLANK('RESUMEN VIGILANCIA'!D4),"",'RESUMEN VIGILANCIA'!D4)</f>
        <v/>
      </c>
      <c r="F66" s="269">
        <f>IF(ISBLANK('RESUMEN VIGILANCIA'!E4),"",'RESUMEN VIGILANCIA'!E4)</f>
        <v>0.17</v>
      </c>
      <c r="G66" s="181">
        <f>IF(ISBLANK('RESUMEN VIGILANCIA'!F4),"",'RESUMEN VIGILANCIA'!F4)</f>
        <v>0.17</v>
      </c>
      <c r="H66" s="181">
        <f>IF(ISBLANK('RESUMEN VIGILANCIA'!G4),"",'RESUMEN VIGILANCIA'!G4)</f>
        <v>0.17</v>
      </c>
      <c r="I66" s="181">
        <f>IF(ISBLANK('RESUMEN VIGILANCIA'!H4),"",'RESUMEN VIGILANCIA'!H4)</f>
        <v>0.17</v>
      </c>
      <c r="J66" s="181">
        <f>IF(ISBLANK('RESUMEN VIGILANCIA'!I4),"",'RESUMEN VIGILANCIA'!I4)</f>
        <v>0.26</v>
      </c>
      <c r="K66" s="181">
        <f>IF(ISBLANK('RESUMEN VIGILANCIA'!J4),"",'RESUMEN VIGILANCIA'!J4)</f>
        <v>0.26</v>
      </c>
      <c r="L66" s="181">
        <f>IF(ISBLANK('RESUMEN VIGILANCIA'!K4),"",'RESUMEN VIGILANCIA'!K4)</f>
        <v>0.35</v>
      </c>
      <c r="M66" s="181">
        <f>IF(ISBLANK('RESUMEN VIGILANCIA'!L4),"",'RESUMEN VIGILANCIA'!L4)</f>
        <v>0.35000000000000003</v>
      </c>
      <c r="N66" s="181">
        <f>IF(ISBLANK('RESUMEN VIGILANCIA'!M4),"",'RESUMEN VIGILANCIA'!M4)</f>
        <v>0.35000000000000003</v>
      </c>
      <c r="O66" s="181">
        <f>IF(ISBLANK('RESUMEN VIGILANCIA'!N4),"",'RESUMEN VIGILANCIA'!N4)</f>
        <v>0.35</v>
      </c>
      <c r="P66" s="270">
        <f>IF(ISBLANK('RESUMEN VIGILANCIA'!O4),"",'RESUMEN VIGILANCIA'!O4)</f>
        <v>0.5</v>
      </c>
      <c r="Q66" s="179">
        <f>IF(ISBLANK('RESUMEN VIGILANCIA'!P4),"",'RESUMEN VIGILANCIA'!P4)</f>
        <v>0.5</v>
      </c>
      <c r="R66" s="271">
        <f>IF(ISBLANK('RESUMEN VIGILANCIA'!Q4),"",'RESUMEN VIGILANCIA'!Q4)</f>
        <v>0.8</v>
      </c>
      <c r="S66" s="270">
        <f>IF(ISBLANK('RESUMEN VIGILANCIA'!R4),"",'RESUMEN VIGILANCIA'!R4)</f>
        <v>0.8</v>
      </c>
      <c r="T66" s="270">
        <f>IF(ISBLANK('RESUMEN VIGILANCIA'!S4),"",'RESUMEN VIGILANCIA'!S4)</f>
        <v>1.4</v>
      </c>
      <c r="U66" s="270">
        <f>IF(ISBLANK('RESUMEN VIGILANCIA'!T4),"",'RESUMEN VIGILANCIA'!T4)</f>
        <v>1.4</v>
      </c>
      <c r="V66" s="270">
        <f>IF(ISBLANK('RESUMEN VIGILANCIA'!U4),"",'RESUMEN VIGILANCIA'!U4)</f>
        <v>4</v>
      </c>
      <c r="W66" s="270">
        <f>IF(ISBLANK('RESUMEN VIGILANCIA'!V4),"",'RESUMEN VIGILANCIA'!V4)</f>
        <v>6.25</v>
      </c>
      <c r="X66" s="270">
        <f>IF(ISBLANK('RESUMEN VIGILANCIA'!W4),"",'RESUMEN VIGILANCIA'!W4)</f>
        <v>10</v>
      </c>
      <c r="Y66" s="270">
        <f>IF(ISBLANK('RESUMEN VIGILANCIA'!X4),"",'RESUMEN VIGILANCIA'!X4)</f>
        <v>12</v>
      </c>
      <c r="Z66" s="455">
        <f>IF(ISBLANK('RESUMEN VIGILANCIA'!Y4),"",'RESUMEN VIGILANCIA'!Y4)</f>
        <v>320.01</v>
      </c>
      <c r="AA66" s="455">
        <f>IF(ISBLANK('RESUMEN VIGILANCIA'!Z4),"",'RESUMEN VIGILANCIA'!Z4)</f>
        <v>320</v>
      </c>
      <c r="AB66" s="455">
        <f>IF(ISBLANK('RESUMEN VIGILANCIA'!AA4),"",'RESUMEN VIGILANCIA'!AA4)</f>
        <v>320</v>
      </c>
      <c r="AC66" s="456">
        <f>IF(ISBLANK('RESUMEN VIGILANCIA'!AB4),"",'RESUMEN VIGILANCIA'!AB4)</f>
        <v>800</v>
      </c>
      <c r="AD66" s="376">
        <f>IF(ISBLANK('RESUMEN VIGILANCIA'!AC4),"",'RESUMEN VIGILANCIA'!AC4)</f>
        <v>3000</v>
      </c>
      <c r="AE66" s="377">
        <f>IF(ISBLANK('RESUMEN VIGILANCIA'!AD4),"",'RESUMEN VIGILANCIA'!AD4)</f>
        <v>3000</v>
      </c>
      <c r="AF66" s="377">
        <f>IF(ISBLANK('RESUMEN VIGILANCIA'!AE4),"",'RESUMEN VIGILANCIA'!AE4)</f>
        <v>3000</v>
      </c>
      <c r="AG66" s="377">
        <f>IF(ISBLANK('RESUMEN VIGILANCIA'!AF4),"",'RESUMEN VIGILANCIA'!AF4)</f>
        <v>5000</v>
      </c>
      <c r="AH66" s="377">
        <f>IF(ISBLANK('RESUMEN VIGILANCIA'!AG4),"",'RESUMEN VIGILANCIA'!AG4)</f>
        <v>8000</v>
      </c>
      <c r="AI66" s="377">
        <f>IF(ISBLANK('RESUMEN VIGILANCIA'!AH4),"",'RESUMEN VIGILANCIA'!AH4)</f>
        <v>8000</v>
      </c>
      <c r="AJ66" s="377">
        <f>IF(ISBLANK('RESUMEN VIGILANCIA'!AI4),"",'RESUMEN VIGILANCIA'!AI4)</f>
        <v>10000</v>
      </c>
      <c r="AK66" s="377">
        <f>IF(ISBLANK('RESUMEN VIGILANCIA'!AJ4),"",'RESUMEN VIGILANCIA'!AJ4)</f>
        <v>10000</v>
      </c>
      <c r="AL66" s="377">
        <f>IF(ISBLANK('RESUMEN VIGILANCIA'!AK4),"",'RESUMEN VIGILANCIA'!AK4)</f>
        <v>20482.22</v>
      </c>
      <c r="AM66" s="377">
        <f>IF(ISBLANK('RESUMEN VIGILANCIA'!AL4),"",'RESUMEN VIGILANCIA'!AL4)</f>
        <v>51250</v>
      </c>
      <c r="AN66" s="377">
        <f>IF(ISBLANK('RESUMEN VIGILANCIA'!AM4),"",'RESUMEN VIGILANCIA'!AM4)</f>
        <v>105250</v>
      </c>
      <c r="AO66" s="378">
        <f>IF(ISBLANK('RESUMEN VIGILANCIA'!AN4),"",'RESUMEN VIGILANCIA'!AN4)</f>
        <v>136250</v>
      </c>
      <c r="AP66" s="376">
        <f>IF(ISBLANK('RESUMEN VIGILANCIA'!AO4),"",'RESUMEN VIGILANCIA'!AO4)</f>
        <v>136250</v>
      </c>
      <c r="AQ66" s="377">
        <f>IF(ISBLANK('RESUMEN VIGILANCIA'!AP4),"",'RESUMEN VIGILANCIA'!AP4)</f>
        <v>136250</v>
      </c>
      <c r="AR66" s="377">
        <f>IF(ISBLANK('RESUMEN VIGILANCIA'!AQ4),"",'RESUMEN VIGILANCIA'!AQ4)</f>
        <v>185750</v>
      </c>
      <c r="AS66" s="377">
        <f>IF(ISBLANK('RESUMEN VIGILANCIA'!AR4),"",'RESUMEN VIGILANCIA'!AR4)</f>
        <v>185250</v>
      </c>
      <c r="AT66" s="377">
        <f>IF(ISBLANK('RESUMEN VIGILANCIA'!AS4),"",'RESUMEN VIGILANCIA'!AS4)</f>
        <v>250000</v>
      </c>
      <c r="AU66" s="377" t="str">
        <f>IF(ISBLANK('RESUMEN VIGILANCIA'!AT4),"",'RESUMEN VIGILANCIA'!AT4)</f>
        <v/>
      </c>
      <c r="AV66" s="377" t="str">
        <f>IF(ISBLANK('RESUMEN VIGILANCIA'!AU4),"",'RESUMEN VIGILANCIA'!AU4)</f>
        <v/>
      </c>
      <c r="AW66" s="377" t="str">
        <f>IF(ISBLANK('RESUMEN VIGILANCIA'!AV4),"",'RESUMEN VIGILANCIA'!AV4)</f>
        <v/>
      </c>
      <c r="AX66" s="377" t="str">
        <f>IF(ISBLANK('RESUMEN VIGILANCIA'!AW4),"",'RESUMEN VIGILANCIA'!AW4)</f>
        <v/>
      </c>
      <c r="AY66" s="377" t="str">
        <f>IF(ISBLANK('RESUMEN VIGILANCIA'!AX4),"",'RESUMEN VIGILANCIA'!AX4)</f>
        <v/>
      </c>
      <c r="AZ66" s="377" t="str">
        <f>IF(ISBLANK('RESUMEN VIGILANCIA'!AY4),"",'RESUMEN VIGILANCIA'!AY4)</f>
        <v/>
      </c>
      <c r="BA66" s="378" t="str">
        <f>IF(ISBLANK('RESUMEN VIGILANCIA'!AZ4),"",'RESUMEN VIGILANCIA'!AZ4)</f>
        <v/>
      </c>
      <c r="BB66" s="242">
        <f t="shared" si="2"/>
        <v>365032.48</v>
      </c>
      <c r="BC66" s="112"/>
      <c r="BD66" s="112"/>
    </row>
    <row r="67" spans="1:56" s="29" customFormat="1" ht="20.100000000000001" customHeight="1">
      <c r="A67" s="30" t="str">
        <f>'RESUMEN VIGILANCIA'!A14</f>
        <v>Familia González López</v>
      </c>
      <c r="B67" s="31" t="str">
        <f>'RESUMEN VIGILANCIA'!B14</f>
        <v>Av. "Ñ" Nro. 145-27</v>
      </c>
      <c r="C67" s="429" t="s">
        <v>1317</v>
      </c>
      <c r="D67" s="436" t="s">
        <v>1315</v>
      </c>
      <c r="E67" s="417" t="str">
        <f>IF(ISBLANK('RESUMEN VIGILANCIA'!D14),"",'RESUMEN VIGILANCIA'!D14)</f>
        <v/>
      </c>
      <c r="F67" s="269" t="str">
        <f>IF(ISBLANK('RESUMEN VIGILANCIA'!E14),"",'RESUMEN VIGILANCIA'!E14)</f>
        <v/>
      </c>
      <c r="G67" s="181" t="str">
        <f>IF(ISBLANK('RESUMEN VIGILANCIA'!F14),"",'RESUMEN VIGILANCIA'!F14)</f>
        <v/>
      </c>
      <c r="H67" s="181" t="str">
        <f>IF(ISBLANK('RESUMEN VIGILANCIA'!G14),"",'RESUMEN VIGILANCIA'!G14)</f>
        <v/>
      </c>
      <c r="I67" s="181" t="str">
        <f>IF(ISBLANK('RESUMEN VIGILANCIA'!H14),"",'RESUMEN VIGILANCIA'!H14)</f>
        <v/>
      </c>
      <c r="J67" s="181" t="str">
        <f>IF(ISBLANK('RESUMEN VIGILANCIA'!I14),"",'RESUMEN VIGILANCIA'!I14)</f>
        <v/>
      </c>
      <c r="K67" s="181" t="str">
        <f>IF(ISBLANK('RESUMEN VIGILANCIA'!J14),"",'RESUMEN VIGILANCIA'!J14)</f>
        <v/>
      </c>
      <c r="L67" s="181" t="str">
        <f>IF(ISBLANK('RESUMEN VIGILANCIA'!K14),"",'RESUMEN VIGILANCIA'!K14)</f>
        <v/>
      </c>
      <c r="M67" s="181" t="str">
        <f>IF(ISBLANK('RESUMEN VIGILANCIA'!L14),"",'RESUMEN VIGILANCIA'!L14)</f>
        <v/>
      </c>
      <c r="N67" s="181" t="str">
        <f>IF(ISBLANK('RESUMEN VIGILANCIA'!M14),"",'RESUMEN VIGILANCIA'!M14)</f>
        <v/>
      </c>
      <c r="O67" s="181" t="str">
        <f>IF(ISBLANK('RESUMEN VIGILANCIA'!N14),"",'RESUMEN VIGILANCIA'!N14)</f>
        <v/>
      </c>
      <c r="P67" s="270" t="str">
        <f>IF(ISBLANK('RESUMEN VIGILANCIA'!O14),"",'RESUMEN VIGILANCIA'!O14)</f>
        <v/>
      </c>
      <c r="Q67" s="179" t="str">
        <f>IF(ISBLANK('RESUMEN VIGILANCIA'!P14),"",'RESUMEN VIGILANCIA'!P14)</f>
        <v/>
      </c>
      <c r="R67" s="271" t="str">
        <f>IF(ISBLANK('RESUMEN VIGILANCIA'!Q14),"",'RESUMEN VIGILANCIA'!Q14)</f>
        <v/>
      </c>
      <c r="S67" s="270" t="str">
        <f>IF(ISBLANK('RESUMEN VIGILANCIA'!R14),"",'RESUMEN VIGILANCIA'!R14)</f>
        <v/>
      </c>
      <c r="T67" s="270" t="str">
        <f>IF(ISBLANK('RESUMEN VIGILANCIA'!S14),"",'RESUMEN VIGILANCIA'!S14)</f>
        <v/>
      </c>
      <c r="U67" s="270" t="str">
        <f>IF(ISBLANK('RESUMEN VIGILANCIA'!T14),"",'RESUMEN VIGILANCIA'!T14)</f>
        <v/>
      </c>
      <c r="V67" s="270" t="str">
        <f>IF(ISBLANK('RESUMEN VIGILANCIA'!U14),"",'RESUMEN VIGILANCIA'!U14)</f>
        <v/>
      </c>
      <c r="W67" s="270" t="str">
        <f>IF(ISBLANK('RESUMEN VIGILANCIA'!V14),"",'RESUMEN VIGILANCIA'!V14)</f>
        <v/>
      </c>
      <c r="X67" s="270" t="str">
        <f>IF(ISBLANK('RESUMEN VIGILANCIA'!W14),"",'RESUMEN VIGILANCIA'!W14)</f>
        <v/>
      </c>
      <c r="Y67" s="270" t="str">
        <f>IF(ISBLANK('RESUMEN VIGILANCIA'!X14),"",'RESUMEN VIGILANCIA'!X14)</f>
        <v/>
      </c>
      <c r="Z67" s="455" t="str">
        <f>IF(ISBLANK('RESUMEN VIGILANCIA'!Y14),"",'RESUMEN VIGILANCIA'!Y14)</f>
        <v/>
      </c>
      <c r="AA67" s="455" t="str">
        <f>IF(ISBLANK('RESUMEN VIGILANCIA'!Z14),"",'RESUMEN VIGILANCIA'!Z14)</f>
        <v/>
      </c>
      <c r="AB67" s="455" t="str">
        <f>IF(ISBLANK('RESUMEN VIGILANCIA'!AA14),"",'RESUMEN VIGILANCIA'!AA14)</f>
        <v/>
      </c>
      <c r="AC67" s="456" t="str">
        <f>IF(ISBLANK('RESUMEN VIGILANCIA'!AB14),"",'RESUMEN VIGILANCIA'!AB14)</f>
        <v/>
      </c>
      <c r="AD67" s="376" t="str">
        <f>IF(ISBLANK('RESUMEN VIGILANCIA'!AC14),"",'RESUMEN VIGILANCIA'!AC14)</f>
        <v/>
      </c>
      <c r="AE67" s="377" t="str">
        <f>IF(ISBLANK('RESUMEN VIGILANCIA'!AD14),"",'RESUMEN VIGILANCIA'!AD14)</f>
        <v/>
      </c>
      <c r="AF67" s="377" t="str">
        <f>IF(ISBLANK('RESUMEN VIGILANCIA'!AE14),"",'RESUMEN VIGILANCIA'!AE14)</f>
        <v/>
      </c>
      <c r="AG67" s="377" t="str">
        <f>IF(ISBLANK('RESUMEN VIGILANCIA'!AF14),"",'RESUMEN VIGILANCIA'!AF14)</f>
        <v/>
      </c>
      <c r="AH67" s="377" t="str">
        <f>IF(ISBLANK('RESUMEN VIGILANCIA'!AG14),"",'RESUMEN VIGILANCIA'!AG14)</f>
        <v/>
      </c>
      <c r="AI67" s="377" t="str">
        <f>IF(ISBLANK('RESUMEN VIGILANCIA'!AH14),"",'RESUMEN VIGILANCIA'!AH14)</f>
        <v/>
      </c>
      <c r="AJ67" s="377" t="str">
        <f>IF(ISBLANK('RESUMEN VIGILANCIA'!AI14),"",'RESUMEN VIGILANCIA'!AI14)</f>
        <v/>
      </c>
      <c r="AK67" s="377" t="str">
        <f>IF(ISBLANK('RESUMEN VIGILANCIA'!AJ14),"",'RESUMEN VIGILANCIA'!AJ14)</f>
        <v/>
      </c>
      <c r="AL67" s="377" t="str">
        <f>IF(ISBLANK('RESUMEN VIGILANCIA'!AK14),"",'RESUMEN VIGILANCIA'!AK14)</f>
        <v/>
      </c>
      <c r="AM67" s="377" t="str">
        <f>IF(ISBLANK('RESUMEN VIGILANCIA'!AL14),"",'RESUMEN VIGILANCIA'!AL14)</f>
        <v/>
      </c>
      <c r="AN67" s="377" t="str">
        <f>IF(ISBLANK('RESUMEN VIGILANCIA'!AM14),"",'RESUMEN VIGILANCIA'!AM14)</f>
        <v/>
      </c>
      <c r="AO67" s="378" t="str">
        <f>IF(ISBLANK('RESUMEN VIGILANCIA'!AN14),"",'RESUMEN VIGILANCIA'!AN14)</f>
        <v/>
      </c>
      <c r="AP67" s="376" t="str">
        <f>IF(ISBLANK('RESUMEN VIGILANCIA'!AO14),"",'RESUMEN VIGILANCIA'!AO14)</f>
        <v/>
      </c>
      <c r="AQ67" s="377" t="str">
        <f>IF(ISBLANK('RESUMEN VIGILANCIA'!AP14),"",'RESUMEN VIGILANCIA'!AP14)</f>
        <v/>
      </c>
      <c r="AR67" s="377" t="str">
        <f>IF(ISBLANK('RESUMEN VIGILANCIA'!AQ14),"",'RESUMEN VIGILANCIA'!AQ14)</f>
        <v/>
      </c>
      <c r="AS67" s="377" t="str">
        <f>IF(ISBLANK('RESUMEN VIGILANCIA'!AR14),"",'RESUMEN VIGILANCIA'!AR14)</f>
        <v/>
      </c>
      <c r="AT67" s="377" t="str">
        <f>IF(ISBLANK('RESUMEN VIGILANCIA'!AS14),"",'RESUMEN VIGILANCIA'!AS14)</f>
        <v/>
      </c>
      <c r="AU67" s="377" t="str">
        <f>IF(ISBLANK('RESUMEN VIGILANCIA'!AT14),"",'RESUMEN VIGILANCIA'!AT14)</f>
        <v/>
      </c>
      <c r="AV67" s="377" t="str">
        <f>IF(ISBLANK('RESUMEN VIGILANCIA'!AU14),"",'RESUMEN VIGILANCIA'!AU14)</f>
        <v/>
      </c>
      <c r="AW67" s="377" t="str">
        <f>IF(ISBLANK('RESUMEN VIGILANCIA'!AV14),"",'RESUMEN VIGILANCIA'!AV14)</f>
        <v/>
      </c>
      <c r="AX67" s="377" t="str">
        <f>IF(ISBLANK('RESUMEN VIGILANCIA'!AW14),"",'RESUMEN VIGILANCIA'!AW14)</f>
        <v/>
      </c>
      <c r="AY67" s="377" t="str">
        <f>IF(ISBLANK('RESUMEN VIGILANCIA'!AX14),"",'RESUMEN VIGILANCIA'!AX14)</f>
        <v/>
      </c>
      <c r="AZ67" s="377" t="str">
        <f>IF(ISBLANK('RESUMEN VIGILANCIA'!AY14),"",'RESUMEN VIGILANCIA'!AY14)</f>
        <v/>
      </c>
      <c r="BA67" s="378" t="str">
        <f>IF(ISBLANK('RESUMEN VIGILANCIA'!AZ14),"",'RESUMEN VIGILANCIA'!AZ14)</f>
        <v/>
      </c>
      <c r="BB67" s="242">
        <f t="shared" si="2"/>
        <v>0</v>
      </c>
      <c r="BC67" s="112"/>
      <c r="BD67" s="112"/>
    </row>
    <row r="68" spans="1:56" s="29" customFormat="1" ht="20.100000000000001" customHeight="1">
      <c r="A68" s="59" t="str">
        <f>'RESUMEN VIGILANCIA'!A10</f>
        <v>La Casita Encantada</v>
      </c>
      <c r="B68" s="60" t="str">
        <f>'RESUMEN VIGILANCIA'!B10</f>
        <v>Av. "M" Nro. 146-30</v>
      </c>
      <c r="C68" s="429" t="s">
        <v>1316</v>
      </c>
      <c r="D68" s="436" t="s">
        <v>1315</v>
      </c>
      <c r="E68" s="417" t="str">
        <f>IF(ISBLANK('RESUMEN VIGILANCIA'!D10),"",'RESUMEN VIGILANCIA'!D10)</f>
        <v/>
      </c>
      <c r="F68" s="273">
        <f>IF(ISBLANK('RESUMEN VIGILANCIA'!E10),"",'RESUMEN VIGILANCIA'!E10)</f>
        <v>0.12</v>
      </c>
      <c r="G68" s="181">
        <f>IF(ISBLANK('RESUMEN VIGILANCIA'!F10),"",'RESUMEN VIGILANCIA'!F10)</f>
        <v>0.2</v>
      </c>
      <c r="H68" s="181">
        <f>IF(ISBLANK('RESUMEN VIGILANCIA'!G10),"",'RESUMEN VIGILANCIA'!G10)</f>
        <v>0.2</v>
      </c>
      <c r="I68" s="181">
        <f>IF(ISBLANK('RESUMEN VIGILANCIA'!H10),"",'RESUMEN VIGILANCIA'!H10)</f>
        <v>0.2</v>
      </c>
      <c r="J68" s="181">
        <f>IF(ISBLANK('RESUMEN VIGILANCIA'!I10),"",'RESUMEN VIGILANCIA'!I10)</f>
        <v>0.3</v>
      </c>
      <c r="K68" s="181">
        <f>IF(ISBLANK('RESUMEN VIGILANCIA'!J10),"",'RESUMEN VIGILANCIA'!J10)</f>
        <v>0.3</v>
      </c>
      <c r="L68" s="181">
        <f>IF(ISBLANK('RESUMEN VIGILANCIA'!K10),"",'RESUMEN VIGILANCIA'!K10)</f>
        <v>0.4</v>
      </c>
      <c r="M68" s="181">
        <f>IF(ISBLANK('RESUMEN VIGILANCIA'!L10),"",'RESUMEN VIGILANCIA'!L10)</f>
        <v>0.4</v>
      </c>
      <c r="N68" s="181">
        <f>IF(ISBLANK('RESUMEN VIGILANCIA'!M10),"",'RESUMEN VIGILANCIA'!M10)</f>
        <v>0.4</v>
      </c>
      <c r="O68" s="181">
        <f>IF(ISBLANK('RESUMEN VIGILANCIA'!N10),"",'RESUMEN VIGILANCIA'!N10)</f>
        <v>0.4</v>
      </c>
      <c r="P68" s="270">
        <f>IF(ISBLANK('RESUMEN VIGILANCIA'!O10),"",'RESUMEN VIGILANCIA'!O10)</f>
        <v>0.54</v>
      </c>
      <c r="Q68" s="179">
        <f>IF(ISBLANK('RESUMEN VIGILANCIA'!P10),"",'RESUMEN VIGILANCIA'!P10)</f>
        <v>0.54</v>
      </c>
      <c r="R68" s="271">
        <f>IF(ISBLANK('RESUMEN VIGILANCIA'!Q10),"",'RESUMEN VIGILANCIA'!Q10)</f>
        <v>0.86399999999999999</v>
      </c>
      <c r="S68" s="270">
        <f>IF(ISBLANK('RESUMEN VIGILANCIA'!R10),"",'RESUMEN VIGILANCIA'!R10)</f>
        <v>0.86399999999999999</v>
      </c>
      <c r="T68" s="270">
        <f>IF(ISBLANK('RESUMEN VIGILANCIA'!S10),"",'RESUMEN VIGILANCIA'!S10)</f>
        <v>1.55</v>
      </c>
      <c r="U68" s="270">
        <f>IF(ISBLANK('RESUMEN VIGILANCIA'!T10),"",'RESUMEN VIGILANCIA'!T10)</f>
        <v>1.55</v>
      </c>
      <c r="V68" s="270">
        <f>IF(ISBLANK('RESUMEN VIGILANCIA'!U10),"",'RESUMEN VIGILANCIA'!U10)</f>
        <v>4</v>
      </c>
      <c r="W68" s="270">
        <f>IF(ISBLANK('RESUMEN VIGILANCIA'!V10),"",'RESUMEN VIGILANCIA'!V10)</f>
        <v>6.9</v>
      </c>
      <c r="X68" s="270">
        <f>IF(ISBLANK('RESUMEN VIGILANCIA'!W10),"",'RESUMEN VIGILANCIA'!W10)</f>
        <v>11</v>
      </c>
      <c r="Y68" s="270">
        <f>IF(ISBLANK('RESUMEN VIGILANCIA'!X10),"",'RESUMEN VIGILANCIA'!X10)</f>
        <v>13.2</v>
      </c>
      <c r="Z68" s="455">
        <f>IF(ISBLANK('RESUMEN VIGILANCIA'!Y10),"",'RESUMEN VIGILANCIA'!Y10)</f>
        <v>320</v>
      </c>
      <c r="AA68" s="455">
        <f>IF(ISBLANK('RESUMEN VIGILANCIA'!Z10),"",'RESUMEN VIGILANCIA'!Z10)</f>
        <v>355</v>
      </c>
      <c r="AB68" s="455">
        <f>IF(ISBLANK('RESUMEN VIGILANCIA'!AA10),"",'RESUMEN VIGILANCIA'!AA10)</f>
        <v>355</v>
      </c>
      <c r="AC68" s="456">
        <f>IF(ISBLANK('RESUMEN VIGILANCIA'!AB10),"",'RESUMEN VIGILANCIA'!AB10)</f>
        <v>800</v>
      </c>
      <c r="AD68" s="379" t="str">
        <f>IF(ISBLANK('RESUMEN VIGILANCIA'!AC10),"",'RESUMEN VIGILANCIA'!AC10)</f>
        <v>CESE DE OPERACIONES</v>
      </c>
      <c r="AE68" s="380" t="str">
        <f>IF(ISBLANK('RESUMEN VIGILANCIA'!AD10),"",'RESUMEN VIGILANCIA'!AD10)</f>
        <v/>
      </c>
      <c r="AF68" s="380" t="str">
        <f>IF(ISBLANK('RESUMEN VIGILANCIA'!AE10),"",'RESUMEN VIGILANCIA'!AE10)</f>
        <v/>
      </c>
      <c r="AG68" s="380" t="str">
        <f>IF(ISBLANK('RESUMEN VIGILANCIA'!AF10),"",'RESUMEN VIGILANCIA'!AF10)</f>
        <v/>
      </c>
      <c r="AH68" s="380" t="str">
        <f>IF(ISBLANK('RESUMEN VIGILANCIA'!AG10),"",'RESUMEN VIGILANCIA'!AG10)</f>
        <v/>
      </c>
      <c r="AI68" s="380" t="str">
        <f>IF(ISBLANK('RESUMEN VIGILANCIA'!AH10),"",'RESUMEN VIGILANCIA'!AH10)</f>
        <v/>
      </c>
      <c r="AJ68" s="380" t="str">
        <f>IF(ISBLANK('RESUMEN VIGILANCIA'!AI10),"",'RESUMEN VIGILANCIA'!AI10)</f>
        <v/>
      </c>
      <c r="AK68" s="380" t="str">
        <f>IF(ISBLANK('RESUMEN VIGILANCIA'!AJ10),"",'RESUMEN VIGILANCIA'!AJ10)</f>
        <v/>
      </c>
      <c r="AL68" s="380" t="str">
        <f>IF(ISBLANK('RESUMEN VIGILANCIA'!AK10),"",'RESUMEN VIGILANCIA'!AK10)</f>
        <v/>
      </c>
      <c r="AM68" s="380" t="str">
        <f>IF(ISBLANK('RESUMEN VIGILANCIA'!AL10),"",'RESUMEN VIGILANCIA'!AL10)</f>
        <v/>
      </c>
      <c r="AN68" s="380" t="str">
        <f>IF(ISBLANK('RESUMEN VIGILANCIA'!AM10),"",'RESUMEN VIGILANCIA'!AM10)</f>
        <v/>
      </c>
      <c r="AO68" s="391" t="str">
        <f>IF(ISBLANK('RESUMEN VIGILANCIA'!AN10),"",'RESUMEN VIGILANCIA'!AN10)</f>
        <v/>
      </c>
      <c r="AP68" s="379" t="str">
        <f>IF(ISBLANK('RESUMEN VIGILANCIA'!AO10),"",'RESUMEN VIGILANCIA'!AO10)</f>
        <v/>
      </c>
      <c r="AQ68" s="380" t="str">
        <f>IF(ISBLANK('RESUMEN VIGILANCIA'!AP10),"",'RESUMEN VIGILANCIA'!AP10)</f>
        <v/>
      </c>
      <c r="AR68" s="380" t="str">
        <f>IF(ISBLANK('RESUMEN VIGILANCIA'!AQ10),"",'RESUMEN VIGILANCIA'!AQ10)</f>
        <v/>
      </c>
      <c r="AS68" s="380" t="str">
        <f>IF(ISBLANK('RESUMEN VIGILANCIA'!AR10),"",'RESUMEN VIGILANCIA'!AR10)</f>
        <v/>
      </c>
      <c r="AT68" s="380" t="str">
        <f>IF(ISBLANK('RESUMEN VIGILANCIA'!AS10),"",'RESUMEN VIGILANCIA'!AS10)</f>
        <v/>
      </c>
      <c r="AU68" s="380" t="str">
        <f>IF(ISBLANK('RESUMEN VIGILANCIA'!AT10),"",'RESUMEN VIGILANCIA'!AT10)</f>
        <v/>
      </c>
      <c r="AV68" s="380" t="str">
        <f>IF(ISBLANK('RESUMEN VIGILANCIA'!AU10),"",'RESUMEN VIGILANCIA'!AU10)</f>
        <v/>
      </c>
      <c r="AW68" s="380" t="str">
        <f>IF(ISBLANK('RESUMEN VIGILANCIA'!AV10),"",'RESUMEN VIGILANCIA'!AV10)</f>
        <v/>
      </c>
      <c r="AX68" s="380" t="str">
        <f>IF(ISBLANK('RESUMEN VIGILANCIA'!AW10),"",'RESUMEN VIGILANCIA'!AW10)</f>
        <v/>
      </c>
      <c r="AY68" s="380" t="str">
        <f>IF(ISBLANK('RESUMEN VIGILANCIA'!AX10),"",'RESUMEN VIGILANCIA'!AX10)</f>
        <v/>
      </c>
      <c r="AZ68" s="380" t="str">
        <f>IF(ISBLANK('RESUMEN VIGILANCIA'!AY10),"",'RESUMEN VIGILANCIA'!AY10)</f>
        <v/>
      </c>
      <c r="BA68" s="391" t="str">
        <f>IF(ISBLANK('RESUMEN VIGILANCIA'!AZ10),"",'RESUMEN VIGILANCIA'!AZ10)</f>
        <v/>
      </c>
      <c r="BB68" s="242">
        <f t="shared" si="2"/>
        <v>1873.9279999999999</v>
      </c>
      <c r="BC68" s="112"/>
      <c r="BD68" s="112">
        <v>43465</v>
      </c>
    </row>
    <row r="69" spans="1:56" s="29" customFormat="1" ht="20.100000000000001" customHeight="1">
      <c r="A69" s="521" t="str">
        <f>'RESUMEN VIGILANCIA'!A11</f>
        <v>Familia Calzadilla Trujillo</v>
      </c>
      <c r="B69" s="522" t="str">
        <f>'RESUMEN VIGILANCIA'!B11</f>
        <v>Av. "M" Nro. 146-30</v>
      </c>
      <c r="C69" s="429" t="s">
        <v>1316</v>
      </c>
      <c r="D69" s="436" t="s">
        <v>1315</v>
      </c>
      <c r="E69" s="420" t="str">
        <f>IF(ISBLANK('RESUMEN VIGILANCIA'!D11),"",'RESUMEN VIGILANCIA'!D11)</f>
        <v/>
      </c>
      <c r="F69" s="297" t="str">
        <f>IF(ISBLANK('RESUMEN VIGILANCIA'!E11),"",'RESUMEN VIGILANCIA'!E11)</f>
        <v/>
      </c>
      <c r="G69" s="216" t="str">
        <f>IF(ISBLANK('RESUMEN VIGILANCIA'!F11),"",'RESUMEN VIGILANCIA'!F11)</f>
        <v/>
      </c>
      <c r="H69" s="216" t="str">
        <f>IF(ISBLANK('RESUMEN VIGILANCIA'!G11),"",'RESUMEN VIGILANCIA'!G11)</f>
        <v/>
      </c>
      <c r="I69" s="216" t="str">
        <f>IF(ISBLANK('RESUMEN VIGILANCIA'!H11),"",'RESUMEN VIGILANCIA'!H11)</f>
        <v/>
      </c>
      <c r="J69" s="216" t="str">
        <f>IF(ISBLANK('RESUMEN VIGILANCIA'!I11),"",'RESUMEN VIGILANCIA'!I11)</f>
        <v/>
      </c>
      <c r="K69" s="216" t="str">
        <f>IF(ISBLANK('RESUMEN VIGILANCIA'!J11),"",'RESUMEN VIGILANCIA'!J11)</f>
        <v/>
      </c>
      <c r="L69" s="216" t="str">
        <f>IF(ISBLANK('RESUMEN VIGILANCIA'!K11),"",'RESUMEN VIGILANCIA'!K11)</f>
        <v/>
      </c>
      <c r="M69" s="216" t="str">
        <f>IF(ISBLANK('RESUMEN VIGILANCIA'!L11),"",'RESUMEN VIGILANCIA'!L11)</f>
        <v/>
      </c>
      <c r="N69" s="216" t="str">
        <f>IF(ISBLANK('RESUMEN VIGILANCIA'!M11),"",'RESUMEN VIGILANCIA'!M11)</f>
        <v/>
      </c>
      <c r="O69" s="216" t="str">
        <f>IF(ISBLANK('RESUMEN VIGILANCIA'!N11),"",'RESUMEN VIGILANCIA'!N11)</f>
        <v/>
      </c>
      <c r="P69" s="283" t="str">
        <f>IF(ISBLANK('RESUMEN VIGILANCIA'!O11),"",'RESUMEN VIGILANCIA'!O11)</f>
        <v/>
      </c>
      <c r="Q69" s="214" t="str">
        <f>IF(ISBLANK('RESUMEN VIGILANCIA'!P11),"",'RESUMEN VIGILANCIA'!P11)</f>
        <v/>
      </c>
      <c r="R69" s="284" t="str">
        <f>IF(ISBLANK('RESUMEN VIGILANCIA'!Q11),"",'RESUMEN VIGILANCIA'!Q11)</f>
        <v/>
      </c>
      <c r="S69" s="283" t="str">
        <f>IF(ISBLANK('RESUMEN VIGILANCIA'!R11),"",'RESUMEN VIGILANCIA'!R11)</f>
        <v/>
      </c>
      <c r="T69" s="283" t="str">
        <f>IF(ISBLANK('RESUMEN VIGILANCIA'!S11),"",'RESUMEN VIGILANCIA'!S11)</f>
        <v/>
      </c>
      <c r="U69" s="283" t="str">
        <f>IF(ISBLANK('RESUMEN VIGILANCIA'!T11),"",'RESUMEN VIGILANCIA'!T11)</f>
        <v/>
      </c>
      <c r="V69" s="283" t="str">
        <f>IF(ISBLANK('RESUMEN VIGILANCIA'!U11),"",'RESUMEN VIGILANCIA'!U11)</f>
        <v/>
      </c>
      <c r="W69" s="283" t="str">
        <f>IF(ISBLANK('RESUMEN VIGILANCIA'!V11),"",'RESUMEN VIGILANCIA'!V11)</f>
        <v/>
      </c>
      <c r="X69" s="283" t="str">
        <f>IF(ISBLANK('RESUMEN VIGILANCIA'!W11),"",'RESUMEN VIGILANCIA'!W11)</f>
        <v/>
      </c>
      <c r="Y69" s="283" t="str">
        <f>IF(ISBLANK('RESUMEN VIGILANCIA'!X11),"",'RESUMEN VIGILANCIA'!X11)</f>
        <v/>
      </c>
      <c r="Z69" s="466" t="str">
        <f>IF(ISBLANK('RESUMEN VIGILANCIA'!Y11),"",'RESUMEN VIGILANCIA'!Y11)</f>
        <v/>
      </c>
      <c r="AA69" s="466" t="str">
        <f>IF(ISBLANK('RESUMEN VIGILANCIA'!Z11),"",'RESUMEN VIGILANCIA'!Z11)</f>
        <v/>
      </c>
      <c r="AB69" s="466" t="str">
        <f>IF(ISBLANK('RESUMEN VIGILANCIA'!AA11),"",'RESUMEN VIGILANCIA'!AA11)</f>
        <v/>
      </c>
      <c r="AC69" s="467" t="str">
        <f>IF(ISBLANK('RESUMEN VIGILANCIA'!AB11),"",'RESUMEN VIGILANCIA'!AB11)</f>
        <v/>
      </c>
      <c r="AD69" s="376">
        <f>IF(ISBLANK('RESUMEN VIGILANCIA'!AC11),"",'RESUMEN VIGILANCIA'!AC11)</f>
        <v>3000</v>
      </c>
      <c r="AE69" s="377">
        <f>IF(ISBLANK('RESUMEN VIGILANCIA'!AD11),"",'RESUMEN VIGILANCIA'!AD11)</f>
        <v>3000</v>
      </c>
      <c r="AF69" s="377">
        <f>IF(ISBLANK('RESUMEN VIGILANCIA'!AE11),"",'RESUMEN VIGILANCIA'!AE11)</f>
        <v>3000</v>
      </c>
      <c r="AG69" s="377">
        <f>IF(ISBLANK('RESUMEN VIGILANCIA'!AF11),"",'RESUMEN VIGILANCIA'!AF11)</f>
        <v>5000</v>
      </c>
      <c r="AH69" s="377">
        <f>IF(ISBLANK('RESUMEN VIGILANCIA'!AG11),"",'RESUMEN VIGILANCIA'!AG11)</f>
        <v>8000</v>
      </c>
      <c r="AI69" s="377">
        <f>IF(ISBLANK('RESUMEN VIGILANCIA'!AH11),"",'RESUMEN VIGILANCIA'!AH11)</f>
        <v>8000</v>
      </c>
      <c r="AJ69" s="510" t="str">
        <f>IF(ISBLANK('RESUMEN VIGILANCIA'!AI11),"",'RESUMEN VIGILANCIA'!AI11)</f>
        <v>VENDIDA</v>
      </c>
      <c r="AK69" s="380" t="str">
        <f>IF(ISBLANK('RESUMEN VIGILANCIA'!AJ11),"",'RESUMEN VIGILANCIA'!AJ11)</f>
        <v/>
      </c>
      <c r="AL69" s="380" t="str">
        <f>IF(ISBLANK('RESUMEN VIGILANCIA'!AK11),"",'RESUMEN VIGILANCIA'!AK11)</f>
        <v/>
      </c>
      <c r="AM69" s="380" t="str">
        <f>IF(ISBLANK('RESUMEN VIGILANCIA'!AL11),"",'RESUMEN VIGILANCIA'!AL11)</f>
        <v/>
      </c>
      <c r="AN69" s="380" t="str">
        <f>IF(ISBLANK('RESUMEN VIGILANCIA'!AM11),"",'RESUMEN VIGILANCIA'!AM11)</f>
        <v/>
      </c>
      <c r="AO69" s="391" t="str">
        <f>IF(ISBLANK('RESUMEN VIGILANCIA'!AN11),"",'RESUMEN VIGILANCIA'!AN11)</f>
        <v/>
      </c>
      <c r="AP69" s="379" t="str">
        <f>IF(ISBLANK('RESUMEN VIGILANCIA'!AO11),"",'RESUMEN VIGILANCIA'!AO11)</f>
        <v/>
      </c>
      <c r="AQ69" s="380" t="str">
        <f>IF(ISBLANK('RESUMEN VIGILANCIA'!AP11),"",'RESUMEN VIGILANCIA'!AP11)</f>
        <v/>
      </c>
      <c r="AR69" s="380" t="str">
        <f>IF(ISBLANK('RESUMEN VIGILANCIA'!AQ11),"",'RESUMEN VIGILANCIA'!AQ11)</f>
        <v/>
      </c>
      <c r="AS69" s="380" t="str">
        <f>IF(ISBLANK('RESUMEN VIGILANCIA'!AR11),"",'RESUMEN VIGILANCIA'!AR11)</f>
        <v/>
      </c>
      <c r="AT69" s="380" t="str">
        <f>IF(ISBLANK('RESUMEN VIGILANCIA'!AS11),"",'RESUMEN VIGILANCIA'!AS11)</f>
        <v/>
      </c>
      <c r="AU69" s="380" t="str">
        <f>IF(ISBLANK('RESUMEN VIGILANCIA'!AT11),"",'RESUMEN VIGILANCIA'!AT11)</f>
        <v/>
      </c>
      <c r="AV69" s="510" t="str">
        <f>IF(ISBLANK('RESUMEN VIGILANCIA'!AU11),"",'RESUMEN VIGILANCIA'!AU11)</f>
        <v/>
      </c>
      <c r="AW69" s="380" t="str">
        <f>IF(ISBLANK('RESUMEN VIGILANCIA'!AV11),"",'RESUMEN VIGILANCIA'!AV11)</f>
        <v/>
      </c>
      <c r="AX69" s="380" t="str">
        <f>IF(ISBLANK('RESUMEN VIGILANCIA'!AW11),"",'RESUMEN VIGILANCIA'!AW11)</f>
        <v/>
      </c>
      <c r="AY69" s="380" t="str">
        <f>IF(ISBLANK('RESUMEN VIGILANCIA'!AX11),"",'RESUMEN VIGILANCIA'!AX11)</f>
        <v/>
      </c>
      <c r="AZ69" s="380" t="str">
        <f>IF(ISBLANK('RESUMEN VIGILANCIA'!AY11),"",'RESUMEN VIGILANCIA'!AY11)</f>
        <v/>
      </c>
      <c r="BA69" s="391" t="str">
        <f>IF(ISBLANK('RESUMEN VIGILANCIA'!AZ11),"",'RESUMEN VIGILANCIA'!AZ11)</f>
        <v/>
      </c>
      <c r="BB69" s="242">
        <f t="shared" ref="BB69:BB103" si="5">SUM(E69:AO69)</f>
        <v>30000</v>
      </c>
      <c r="BC69" s="112">
        <v>43466</v>
      </c>
      <c r="BD69" s="112">
        <v>43617</v>
      </c>
    </row>
    <row r="70" spans="1:56" s="29" customFormat="1" ht="20.100000000000001" customHeight="1">
      <c r="A70" s="361" t="str">
        <f>'RESUMEN VIGILANCIA'!A12</f>
        <v>Santiago Varela</v>
      </c>
      <c r="B70" s="362" t="str">
        <f>'RESUMEN VIGILANCIA'!B12</f>
        <v>Av. "M" Nro. 146-30</v>
      </c>
      <c r="C70" s="429" t="s">
        <v>1316</v>
      </c>
      <c r="D70" s="436" t="s">
        <v>1315</v>
      </c>
      <c r="E70" s="420" t="str">
        <f>IF(ISBLANK('RESUMEN VIGILANCIA'!D12),"",'RESUMEN VIGILANCIA'!D12)</f>
        <v/>
      </c>
      <c r="F70" s="297" t="str">
        <f>IF(ISBLANK('RESUMEN VIGILANCIA'!E12),"",'RESUMEN VIGILANCIA'!E12)</f>
        <v/>
      </c>
      <c r="G70" s="216" t="str">
        <f>IF(ISBLANK('RESUMEN VIGILANCIA'!F12),"",'RESUMEN VIGILANCIA'!F12)</f>
        <v/>
      </c>
      <c r="H70" s="216" t="str">
        <f>IF(ISBLANK('RESUMEN VIGILANCIA'!G12),"",'RESUMEN VIGILANCIA'!G12)</f>
        <v/>
      </c>
      <c r="I70" s="216" t="str">
        <f>IF(ISBLANK('RESUMEN VIGILANCIA'!H12),"",'RESUMEN VIGILANCIA'!H12)</f>
        <v/>
      </c>
      <c r="J70" s="216" t="str">
        <f>IF(ISBLANK('RESUMEN VIGILANCIA'!I12),"",'RESUMEN VIGILANCIA'!I12)</f>
        <v/>
      </c>
      <c r="K70" s="216" t="str">
        <f>IF(ISBLANK('RESUMEN VIGILANCIA'!J12),"",'RESUMEN VIGILANCIA'!J12)</f>
        <v/>
      </c>
      <c r="L70" s="216" t="str">
        <f>IF(ISBLANK('RESUMEN VIGILANCIA'!K12),"",'RESUMEN VIGILANCIA'!K12)</f>
        <v/>
      </c>
      <c r="M70" s="216" t="str">
        <f>IF(ISBLANK('RESUMEN VIGILANCIA'!L12),"",'RESUMEN VIGILANCIA'!L12)</f>
        <v/>
      </c>
      <c r="N70" s="216" t="str">
        <f>IF(ISBLANK('RESUMEN VIGILANCIA'!M12),"",'RESUMEN VIGILANCIA'!M12)</f>
        <v/>
      </c>
      <c r="O70" s="216" t="str">
        <f>IF(ISBLANK('RESUMEN VIGILANCIA'!N12),"",'RESUMEN VIGILANCIA'!N12)</f>
        <v/>
      </c>
      <c r="P70" s="283" t="str">
        <f>IF(ISBLANK('RESUMEN VIGILANCIA'!O12),"",'RESUMEN VIGILANCIA'!O12)</f>
        <v/>
      </c>
      <c r="Q70" s="214" t="str">
        <f>IF(ISBLANK('RESUMEN VIGILANCIA'!P12),"",'RESUMEN VIGILANCIA'!P12)</f>
        <v/>
      </c>
      <c r="R70" s="284" t="str">
        <f>IF(ISBLANK('RESUMEN VIGILANCIA'!Q12),"",'RESUMEN VIGILANCIA'!Q12)</f>
        <v/>
      </c>
      <c r="S70" s="283" t="str">
        <f>IF(ISBLANK('RESUMEN VIGILANCIA'!R12),"",'RESUMEN VIGILANCIA'!R12)</f>
        <v/>
      </c>
      <c r="T70" s="283" t="str">
        <f>IF(ISBLANK('RESUMEN VIGILANCIA'!S12),"",'RESUMEN VIGILANCIA'!S12)</f>
        <v/>
      </c>
      <c r="U70" s="283" t="str">
        <f>IF(ISBLANK('RESUMEN VIGILANCIA'!T12),"",'RESUMEN VIGILANCIA'!T12)</f>
        <v/>
      </c>
      <c r="V70" s="283" t="str">
        <f>IF(ISBLANK('RESUMEN VIGILANCIA'!U12),"",'RESUMEN VIGILANCIA'!U12)</f>
        <v/>
      </c>
      <c r="W70" s="283" t="str">
        <f>IF(ISBLANK('RESUMEN VIGILANCIA'!V12),"",'RESUMEN VIGILANCIA'!V12)</f>
        <v/>
      </c>
      <c r="X70" s="283" t="str">
        <f>IF(ISBLANK('RESUMEN VIGILANCIA'!W12),"",'RESUMEN VIGILANCIA'!W12)</f>
        <v/>
      </c>
      <c r="Y70" s="283" t="str">
        <f>IF(ISBLANK('RESUMEN VIGILANCIA'!X12),"",'RESUMEN VIGILANCIA'!X12)</f>
        <v/>
      </c>
      <c r="Z70" s="466" t="str">
        <f>IF(ISBLANK('RESUMEN VIGILANCIA'!Y12),"",'RESUMEN VIGILANCIA'!Y12)</f>
        <v/>
      </c>
      <c r="AA70" s="466" t="str">
        <f>IF(ISBLANK('RESUMEN VIGILANCIA'!Z12),"",'RESUMEN VIGILANCIA'!Z12)</f>
        <v/>
      </c>
      <c r="AB70" s="466" t="str">
        <f>IF(ISBLANK('RESUMEN VIGILANCIA'!AA12),"",'RESUMEN VIGILANCIA'!AA12)</f>
        <v/>
      </c>
      <c r="AC70" s="467" t="str">
        <f>IF(ISBLANK('RESUMEN VIGILANCIA'!AB12),"",'RESUMEN VIGILANCIA'!AB12)</f>
        <v/>
      </c>
      <c r="AD70" s="480" t="str">
        <f>IF(ISBLANK('RESUMEN VIGILANCIA'!AC12),"",'RESUMEN VIGILANCIA'!AC12)</f>
        <v/>
      </c>
      <c r="AE70" s="481" t="str">
        <f>IF(ISBLANK('RESUMEN VIGILANCIA'!AD12),"",'RESUMEN VIGILANCIA'!AD12)</f>
        <v/>
      </c>
      <c r="AF70" s="481" t="str">
        <f>IF(ISBLANK('RESUMEN VIGILANCIA'!AE12),"",'RESUMEN VIGILANCIA'!AE12)</f>
        <v/>
      </c>
      <c r="AG70" s="481" t="str">
        <f>IF(ISBLANK('RESUMEN VIGILANCIA'!AF12),"",'RESUMEN VIGILANCIA'!AF12)</f>
        <v/>
      </c>
      <c r="AH70" s="481" t="str">
        <f>IF(ISBLANK('RESUMEN VIGILANCIA'!AG12),"",'RESUMEN VIGILANCIA'!AG12)</f>
        <v/>
      </c>
      <c r="AI70" s="481" t="str">
        <f>IF(ISBLANK('RESUMEN VIGILANCIA'!AH12),"",'RESUMEN VIGILANCIA'!AH12)</f>
        <v/>
      </c>
      <c r="AJ70" s="377">
        <f>IF(ISBLANK('RESUMEN VIGILANCIA'!AI12),"",'RESUMEN VIGILANCIA'!AI12)</f>
        <v>10000</v>
      </c>
      <c r="AK70" s="377">
        <f>IF(ISBLANK('RESUMEN VIGILANCIA'!AJ12),"",'RESUMEN VIGILANCIA'!AJ12)</f>
        <v>10000</v>
      </c>
      <c r="AL70" s="377">
        <f>IF(ISBLANK('RESUMEN VIGILANCIA'!AK12),"",'RESUMEN VIGILANCIA'!AK12)</f>
        <v>19800</v>
      </c>
      <c r="AM70" s="377">
        <f>IF(ISBLANK('RESUMEN VIGILANCIA'!AL12),"",'RESUMEN VIGILANCIA'!AL12)</f>
        <v>51250</v>
      </c>
      <c r="AN70" s="377">
        <f>IF(ISBLANK('RESUMEN VIGILANCIA'!AM12),"",'RESUMEN VIGILANCIA'!AM12)</f>
        <v>81750</v>
      </c>
      <c r="AO70" s="378">
        <f>IF(ISBLANK('RESUMEN VIGILANCIA'!AN12),"",'RESUMEN VIGILANCIA'!AN12)</f>
        <v>81750</v>
      </c>
      <c r="AP70" s="376">
        <f>IF(ISBLANK('RESUMEN VIGILANCIA'!AO12),"",'RESUMEN VIGILANCIA'!AO12)</f>
        <v>136250</v>
      </c>
      <c r="AQ70" s="377">
        <f>IF(ISBLANK('RESUMEN VIGILANCIA'!AP12),"",'RESUMEN VIGILANCIA'!AP12)</f>
        <v>136250</v>
      </c>
      <c r="AR70" s="377">
        <f>IF(ISBLANK('RESUMEN VIGILANCIA'!AQ12),"",'RESUMEN VIGILANCIA'!AQ12)</f>
        <v>185000</v>
      </c>
      <c r="AS70" s="377">
        <f>IF(ISBLANK('RESUMEN VIGILANCIA'!AR12),"",'RESUMEN VIGILANCIA'!AR12)</f>
        <v>185250</v>
      </c>
      <c r="AT70" s="377">
        <f>IF(ISBLANK('RESUMEN VIGILANCIA'!AS12),"",'RESUMEN VIGILANCIA'!AS12)</f>
        <v>250000</v>
      </c>
      <c r="AU70" s="377" t="str">
        <f>IF(ISBLANK('RESUMEN VIGILANCIA'!AT12),"",'RESUMEN VIGILANCIA'!AT12)</f>
        <v/>
      </c>
      <c r="AV70" s="377" t="str">
        <f>IF(ISBLANK('RESUMEN VIGILANCIA'!AU12),"",'RESUMEN VIGILANCIA'!AU12)</f>
        <v/>
      </c>
      <c r="AW70" s="377" t="str">
        <f>IF(ISBLANK('RESUMEN VIGILANCIA'!AV12),"",'RESUMEN VIGILANCIA'!AV12)</f>
        <v/>
      </c>
      <c r="AX70" s="377" t="str">
        <f>IF(ISBLANK('RESUMEN VIGILANCIA'!AW12),"",'RESUMEN VIGILANCIA'!AW12)</f>
        <v/>
      </c>
      <c r="AY70" s="377" t="str">
        <f>IF(ISBLANK('RESUMEN VIGILANCIA'!AX12),"",'RESUMEN VIGILANCIA'!AX12)</f>
        <v/>
      </c>
      <c r="AZ70" s="377" t="str">
        <f>IF(ISBLANK('RESUMEN VIGILANCIA'!AY12),"",'RESUMEN VIGILANCIA'!AY12)</f>
        <v/>
      </c>
      <c r="BA70" s="378" t="str">
        <f>IF(ISBLANK('RESUMEN VIGILANCIA'!AZ12),"",'RESUMEN VIGILANCIA'!AZ12)</f>
        <v/>
      </c>
      <c r="BB70" s="242">
        <f t="shared" ref="BB70" si="6">SUM(E70:AO70)</f>
        <v>254550</v>
      </c>
      <c r="BC70" s="112">
        <v>43647</v>
      </c>
      <c r="BD70" s="112"/>
    </row>
    <row r="71" spans="1:56" s="29" customFormat="1" ht="20.100000000000001" customHeight="1">
      <c r="A71" s="30" t="str">
        <f>'RESUMEN VIGILANCIA'!A6</f>
        <v>Sra. Reina Meléndez</v>
      </c>
      <c r="B71" s="31" t="str">
        <f>'RESUMEN VIGILANCIA'!B6</f>
        <v>Av. "M" Nro. 145-10</v>
      </c>
      <c r="C71" s="429" t="s">
        <v>1316</v>
      </c>
      <c r="D71" s="436" t="s">
        <v>1315</v>
      </c>
      <c r="E71" s="417" t="str">
        <f>IF(ISBLANK('RESUMEN VIGILANCIA'!D6),"",'RESUMEN VIGILANCIA'!D6)</f>
        <v/>
      </c>
      <c r="F71" s="269">
        <f>IF(ISBLANK('RESUMEN VIGILANCIA'!E6),"",'RESUMEN VIGILANCIA'!E6)</f>
        <v>0.17</v>
      </c>
      <c r="G71" s="181">
        <f>IF(ISBLANK('RESUMEN VIGILANCIA'!F6),"",'RESUMEN VIGILANCIA'!F6)</f>
        <v>0.17</v>
      </c>
      <c r="H71" s="181">
        <f>IF(ISBLANK('RESUMEN VIGILANCIA'!G6),"",'RESUMEN VIGILANCIA'!G6)</f>
        <v>0.17</v>
      </c>
      <c r="I71" s="181">
        <f>IF(ISBLANK('RESUMEN VIGILANCIA'!H6),"",'RESUMEN VIGILANCIA'!H6)</f>
        <v>0.17</v>
      </c>
      <c r="J71" s="181">
        <f>IF(ISBLANK('RESUMEN VIGILANCIA'!I6),"",'RESUMEN VIGILANCIA'!I6)</f>
        <v>0.26</v>
      </c>
      <c r="K71" s="181">
        <f>IF(ISBLANK('RESUMEN VIGILANCIA'!J6),"",'RESUMEN VIGILANCIA'!J6)</f>
        <v>0.26</v>
      </c>
      <c r="L71" s="181">
        <f>IF(ISBLANK('RESUMEN VIGILANCIA'!K6),"",'RESUMEN VIGILANCIA'!K6)</f>
        <v>0.35</v>
      </c>
      <c r="M71" s="181">
        <f>IF(ISBLANK('RESUMEN VIGILANCIA'!L6),"",'RESUMEN VIGILANCIA'!L6)</f>
        <v>0.35</v>
      </c>
      <c r="N71" s="181">
        <f>IF(ISBLANK('RESUMEN VIGILANCIA'!M6),"",'RESUMEN VIGILANCIA'!M6)</f>
        <v>0.35</v>
      </c>
      <c r="O71" s="181">
        <f>IF(ISBLANK('RESUMEN VIGILANCIA'!N6),"",'RESUMEN VIGILANCIA'!N6)</f>
        <v>0.35</v>
      </c>
      <c r="P71" s="270">
        <f>IF(ISBLANK('RESUMEN VIGILANCIA'!O6),"",'RESUMEN VIGILANCIA'!O6)</f>
        <v>0.5</v>
      </c>
      <c r="Q71" s="179">
        <f>IF(ISBLANK('RESUMEN VIGILANCIA'!P6),"",'RESUMEN VIGILANCIA'!P6)</f>
        <v>0.5</v>
      </c>
      <c r="R71" s="271">
        <f>IF(ISBLANK('RESUMEN VIGILANCIA'!Q6),"",'RESUMEN VIGILANCIA'!Q6)</f>
        <v>0.8</v>
      </c>
      <c r="S71" s="270">
        <f>IF(ISBLANK('RESUMEN VIGILANCIA'!R6),"",'RESUMEN VIGILANCIA'!R6)</f>
        <v>0.8</v>
      </c>
      <c r="T71" s="270">
        <f>IF(ISBLANK('RESUMEN VIGILANCIA'!S6),"",'RESUMEN VIGILANCIA'!S6)</f>
        <v>1.4</v>
      </c>
      <c r="U71" s="270">
        <f>IF(ISBLANK('RESUMEN VIGILANCIA'!T6),"",'RESUMEN VIGILANCIA'!T6)</f>
        <v>1.4</v>
      </c>
      <c r="V71" s="270">
        <f>IF(ISBLANK('RESUMEN VIGILANCIA'!U6),"",'RESUMEN VIGILANCIA'!U6)</f>
        <v>4</v>
      </c>
      <c r="W71" s="270">
        <f>IF(ISBLANK('RESUMEN VIGILANCIA'!V6),"",'RESUMEN VIGILANCIA'!V6)</f>
        <v>6.25</v>
      </c>
      <c r="X71" s="270">
        <f>IF(ISBLANK('RESUMEN VIGILANCIA'!W6),"",'RESUMEN VIGILANCIA'!W6)</f>
        <v>10</v>
      </c>
      <c r="Y71" s="270">
        <f>IF(ISBLANK('RESUMEN VIGILANCIA'!X6),"",'RESUMEN VIGILANCIA'!X6)</f>
        <v>12</v>
      </c>
      <c r="Z71" s="455">
        <f>IF(ISBLANK('RESUMEN VIGILANCIA'!Y6),"",'RESUMEN VIGILANCIA'!Y6)</f>
        <v>320</v>
      </c>
      <c r="AA71" s="455">
        <f>IF(ISBLANK('RESUMEN VIGILANCIA'!Z6),"",'RESUMEN VIGILANCIA'!Z6)</f>
        <v>320</v>
      </c>
      <c r="AB71" s="455">
        <f>IF(ISBLANK('RESUMEN VIGILANCIA'!AA6),"",'RESUMEN VIGILANCIA'!AA6)</f>
        <v>320</v>
      </c>
      <c r="AC71" s="456">
        <f>IF(ISBLANK('RESUMEN VIGILANCIA'!AB6),"",'RESUMEN VIGILANCIA'!AB6)</f>
        <v>800</v>
      </c>
      <c r="AD71" s="376">
        <f>IF(ISBLANK('RESUMEN VIGILANCIA'!AC6),"",'RESUMEN VIGILANCIA'!AC6)</f>
        <v>3000</v>
      </c>
      <c r="AE71" s="377">
        <f>IF(ISBLANK('RESUMEN VIGILANCIA'!AD6),"",'RESUMEN VIGILANCIA'!AD6)</f>
        <v>3000</v>
      </c>
      <c r="AF71" s="377">
        <f>IF(ISBLANK('RESUMEN VIGILANCIA'!AE6),"",'RESUMEN VIGILANCIA'!AE6)</f>
        <v>3000</v>
      </c>
      <c r="AG71" s="377">
        <f>IF(ISBLANK('RESUMEN VIGILANCIA'!AF6),"",'RESUMEN VIGILANCIA'!AF6)</f>
        <v>5000</v>
      </c>
      <c r="AH71" s="377">
        <f>IF(ISBLANK('RESUMEN VIGILANCIA'!AG6),"",'RESUMEN VIGILANCIA'!AG6)</f>
        <v>8000</v>
      </c>
      <c r="AI71" s="377">
        <f>IF(ISBLANK('RESUMEN VIGILANCIA'!AH6),"",'RESUMEN VIGILANCIA'!AH6)</f>
        <v>8000</v>
      </c>
      <c r="AJ71" s="377">
        <f>IF(ISBLANK('RESUMEN VIGILANCIA'!AI6),"",'RESUMEN VIGILANCIA'!AI6)</f>
        <v>10000</v>
      </c>
      <c r="AK71" s="377">
        <f>IF(ISBLANK('RESUMEN VIGILANCIA'!AJ6),"",'RESUMEN VIGILANCIA'!AJ6)</f>
        <v>10000</v>
      </c>
      <c r="AL71" s="377">
        <f>IF(ISBLANK('RESUMEN VIGILANCIA'!AK6),"",'RESUMEN VIGILANCIA'!AK6)</f>
        <v>22000</v>
      </c>
      <c r="AM71" s="377">
        <f>IF(ISBLANK('RESUMEN VIGILANCIA'!AL6),"",'RESUMEN VIGILANCIA'!AL6)</f>
        <v>47000</v>
      </c>
      <c r="AN71" s="377">
        <f>IF(ISBLANK('RESUMEN VIGILANCIA'!AM6),"",'RESUMEN VIGILANCIA'!AM6)</f>
        <v>56250</v>
      </c>
      <c r="AO71" s="378">
        <f>IF(ISBLANK('RESUMEN VIGILANCIA'!AN6),"",'RESUMEN VIGILANCIA'!AN6)</f>
        <v>97500</v>
      </c>
      <c r="AP71" s="376">
        <f>IF(ISBLANK('RESUMEN VIGILANCIA'!AO6),"",'RESUMEN VIGILANCIA'!AO6)</f>
        <v>136250</v>
      </c>
      <c r="AQ71" s="377">
        <f>IF(ISBLANK('RESUMEN VIGILANCIA'!AP6),"",'RESUMEN VIGILANCIA'!AP6)</f>
        <v>136250</v>
      </c>
      <c r="AR71" s="377">
        <f>IF(ISBLANK('RESUMEN VIGILANCIA'!AQ6),"",'RESUMEN VIGILANCIA'!AQ6)</f>
        <v>185250</v>
      </c>
      <c r="AS71" s="377">
        <f>IF(ISBLANK('RESUMEN VIGILANCIA'!AR6),"",'RESUMEN VIGILANCIA'!AR6)</f>
        <v>186250</v>
      </c>
      <c r="AT71" s="377">
        <f>IF(ISBLANK('RESUMEN VIGILANCIA'!AS6),"",'RESUMEN VIGILANCIA'!AS6)</f>
        <v>250000</v>
      </c>
      <c r="AU71" s="377" t="str">
        <f>IF(ISBLANK('RESUMEN VIGILANCIA'!AT6),"",'RESUMEN VIGILANCIA'!AT6)</f>
        <v/>
      </c>
      <c r="AV71" s="377" t="str">
        <f>IF(ISBLANK('RESUMEN VIGILANCIA'!AU6),"",'RESUMEN VIGILANCIA'!AU6)</f>
        <v/>
      </c>
      <c r="AW71" s="377" t="str">
        <f>IF(ISBLANK('RESUMEN VIGILANCIA'!AV6),"",'RESUMEN VIGILANCIA'!AV6)</f>
        <v/>
      </c>
      <c r="AX71" s="377" t="str">
        <f>IF(ISBLANK('RESUMEN VIGILANCIA'!AW6),"",'RESUMEN VIGILANCIA'!AW6)</f>
        <v/>
      </c>
      <c r="AY71" s="377" t="str">
        <f>IF(ISBLANK('RESUMEN VIGILANCIA'!AX6),"",'RESUMEN VIGILANCIA'!AX6)</f>
        <v/>
      </c>
      <c r="AZ71" s="377" t="str">
        <f>IF(ISBLANK('RESUMEN VIGILANCIA'!AY6),"",'RESUMEN VIGILANCIA'!AY6)</f>
        <v/>
      </c>
      <c r="BA71" s="378" t="str">
        <f>IF(ISBLANK('RESUMEN VIGILANCIA'!AZ6),"",'RESUMEN VIGILANCIA'!AZ6)</f>
        <v/>
      </c>
      <c r="BB71" s="242">
        <f t="shared" si="5"/>
        <v>274550.25</v>
      </c>
      <c r="BC71" s="112"/>
      <c r="BD71" s="112"/>
    </row>
    <row r="72" spans="1:56" s="29" customFormat="1" ht="20.100000000000001" customHeight="1">
      <c r="A72" s="30" t="str">
        <f>'RESUMEN VIGILANCIA'!A17</f>
        <v>Ana de González</v>
      </c>
      <c r="B72" s="31" t="str">
        <f>'RESUMEN VIGILANCIA'!B17</f>
        <v>Av. "O" Nro. 146-17</v>
      </c>
      <c r="C72" s="429" t="s">
        <v>1316</v>
      </c>
      <c r="D72" s="436" t="s">
        <v>1315</v>
      </c>
      <c r="E72" s="417" t="str">
        <f>IF(ISBLANK('RESUMEN VIGILANCIA'!D17),"",'RESUMEN VIGILANCIA'!D17)</f>
        <v/>
      </c>
      <c r="F72" s="269">
        <f>IF(ISBLANK('RESUMEN VIGILANCIA'!E17),"",'RESUMEN VIGILANCIA'!E17)</f>
        <v>0.17</v>
      </c>
      <c r="G72" s="181">
        <f>IF(ISBLANK('RESUMEN VIGILANCIA'!F17),"",'RESUMEN VIGILANCIA'!F17)</f>
        <v>0.17</v>
      </c>
      <c r="H72" s="181">
        <f>IF(ISBLANK('RESUMEN VIGILANCIA'!G17),"",'RESUMEN VIGILANCIA'!G17)</f>
        <v>0.17</v>
      </c>
      <c r="I72" s="181">
        <f>IF(ISBLANK('RESUMEN VIGILANCIA'!H17),"",'RESUMEN VIGILANCIA'!H17)</f>
        <v>0.17</v>
      </c>
      <c r="J72" s="181">
        <f>IF(ISBLANK('RESUMEN VIGILANCIA'!I17),"",'RESUMEN VIGILANCIA'!I17)</f>
        <v>0.26</v>
      </c>
      <c r="K72" s="181">
        <f>IF(ISBLANK('RESUMEN VIGILANCIA'!J17),"",'RESUMEN VIGILANCIA'!J17)</f>
        <v>0.26</v>
      </c>
      <c r="L72" s="181">
        <f>IF(ISBLANK('RESUMEN VIGILANCIA'!K17),"",'RESUMEN VIGILANCIA'!K17)</f>
        <v>0.35</v>
      </c>
      <c r="M72" s="181">
        <f>IF(ISBLANK('RESUMEN VIGILANCIA'!L17),"",'RESUMEN VIGILANCIA'!L17)</f>
        <v>0.35</v>
      </c>
      <c r="N72" s="181">
        <f>IF(ISBLANK('RESUMEN VIGILANCIA'!M17),"",'RESUMEN VIGILANCIA'!M17)</f>
        <v>0.35</v>
      </c>
      <c r="O72" s="181">
        <f>IF(ISBLANK('RESUMEN VIGILANCIA'!N17),"",'RESUMEN VIGILANCIA'!N17)</f>
        <v>0.35</v>
      </c>
      <c r="P72" s="270">
        <f>IF(ISBLANK('RESUMEN VIGILANCIA'!O17),"",'RESUMEN VIGILANCIA'!O17)</f>
        <v>0.5</v>
      </c>
      <c r="Q72" s="179">
        <f>IF(ISBLANK('RESUMEN VIGILANCIA'!P17),"",'RESUMEN VIGILANCIA'!P17)</f>
        <v>0.5</v>
      </c>
      <c r="R72" s="271">
        <f>IF(ISBLANK('RESUMEN VIGILANCIA'!Q17),"",'RESUMEN VIGILANCIA'!Q17)</f>
        <v>0.8</v>
      </c>
      <c r="S72" s="270">
        <f>IF(ISBLANK('RESUMEN VIGILANCIA'!R17),"",'RESUMEN VIGILANCIA'!R17)</f>
        <v>0.8</v>
      </c>
      <c r="T72" s="270">
        <f>IF(ISBLANK('RESUMEN VIGILANCIA'!S17),"",'RESUMEN VIGILANCIA'!S17)</f>
        <v>1.4</v>
      </c>
      <c r="U72" s="270">
        <f>IF(ISBLANK('RESUMEN VIGILANCIA'!T17),"",'RESUMEN VIGILANCIA'!T17)</f>
        <v>1.4</v>
      </c>
      <c r="V72" s="270">
        <f>IF(ISBLANK('RESUMEN VIGILANCIA'!U17),"",'RESUMEN VIGILANCIA'!U17)</f>
        <v>4</v>
      </c>
      <c r="W72" s="270">
        <f>IF(ISBLANK('RESUMEN VIGILANCIA'!V17),"",'RESUMEN VIGILANCIA'!V17)</f>
        <v>6.25</v>
      </c>
      <c r="X72" s="270">
        <f>IF(ISBLANK('RESUMEN VIGILANCIA'!W17),"",'RESUMEN VIGILANCIA'!W17)</f>
        <v>10</v>
      </c>
      <c r="Y72" s="270">
        <f>IF(ISBLANK('RESUMEN VIGILANCIA'!X17),"",'RESUMEN VIGILANCIA'!X17)</f>
        <v>12</v>
      </c>
      <c r="Z72" s="455">
        <f>IF(ISBLANK('RESUMEN VIGILANCIA'!Y17),"",'RESUMEN VIGILANCIA'!Y17)</f>
        <v>320</v>
      </c>
      <c r="AA72" s="455">
        <f>IF(ISBLANK('RESUMEN VIGILANCIA'!Z17),"",'RESUMEN VIGILANCIA'!Z17)</f>
        <v>320</v>
      </c>
      <c r="AB72" s="455">
        <f>IF(ISBLANK('RESUMEN VIGILANCIA'!AA17),"",'RESUMEN VIGILANCIA'!AA17)</f>
        <v>320</v>
      </c>
      <c r="AC72" s="456">
        <f>IF(ISBLANK('RESUMEN VIGILANCIA'!AB17),"",'RESUMEN VIGILANCIA'!AB17)</f>
        <v>800</v>
      </c>
      <c r="AD72" s="376">
        <f>IF(ISBLANK('RESUMEN VIGILANCIA'!AC17),"",'RESUMEN VIGILANCIA'!AC17)</f>
        <v>3000</v>
      </c>
      <c r="AE72" s="377">
        <f>IF(ISBLANK('RESUMEN VIGILANCIA'!AD17),"",'RESUMEN VIGILANCIA'!AD17)</f>
        <v>3000</v>
      </c>
      <c r="AF72" s="377">
        <f>IF(ISBLANK('RESUMEN VIGILANCIA'!AE17),"",'RESUMEN VIGILANCIA'!AE17)</f>
        <v>3000</v>
      </c>
      <c r="AG72" s="377">
        <f>IF(ISBLANK('RESUMEN VIGILANCIA'!AF17),"",'RESUMEN VIGILANCIA'!AF17)</f>
        <v>5000</v>
      </c>
      <c r="AH72" s="377">
        <f>IF(ISBLANK('RESUMEN VIGILANCIA'!AG17),"",'RESUMEN VIGILANCIA'!AG17)</f>
        <v>8000</v>
      </c>
      <c r="AI72" s="377">
        <f>IF(ISBLANK('RESUMEN VIGILANCIA'!AH17),"",'RESUMEN VIGILANCIA'!AH17)</f>
        <v>2000</v>
      </c>
      <c r="AJ72" s="377">
        <f>IF(ISBLANK('RESUMEN VIGILANCIA'!AI17),"",'RESUMEN VIGILANCIA'!AI17)</f>
        <v>10000</v>
      </c>
      <c r="AK72" s="377">
        <f>IF(ISBLANK('RESUMEN VIGILANCIA'!AJ17),"",'RESUMEN VIGILANCIA'!AJ17)</f>
        <v>10000</v>
      </c>
      <c r="AL72" s="377">
        <f>IF(ISBLANK('RESUMEN VIGILANCIA'!AK17),"",'RESUMEN VIGILANCIA'!AK17)</f>
        <v>21600</v>
      </c>
      <c r="AM72" s="377">
        <f>IF(ISBLANK('RESUMEN VIGILANCIA'!AL17),"",'RESUMEN VIGILANCIA'!AL17)</f>
        <v>51250</v>
      </c>
      <c r="AN72" s="377">
        <f>IF(ISBLANK('RESUMEN VIGILANCIA'!AM17),"",'RESUMEN VIGILANCIA'!AM17)</f>
        <v>73500</v>
      </c>
      <c r="AO72" s="378">
        <f>IF(ISBLANK('RESUMEN VIGILANCIA'!AN17),"",'RESUMEN VIGILANCIA'!AN17)</f>
        <v>136250</v>
      </c>
      <c r="AP72" s="376">
        <f>IF(ISBLANK('RESUMEN VIGILANCIA'!AO17),"",'RESUMEN VIGILANCIA'!AO17)</f>
        <v>136250</v>
      </c>
      <c r="AQ72" s="377">
        <f>IF(ISBLANK('RESUMEN VIGILANCIA'!AP17),"",'RESUMEN VIGILANCIA'!AP17)</f>
        <v>136250</v>
      </c>
      <c r="AR72" s="377">
        <f>IF(ISBLANK('RESUMEN VIGILANCIA'!AQ17),"",'RESUMEN VIGILANCIA'!AQ17)</f>
        <v>185250</v>
      </c>
      <c r="AS72" s="377">
        <f>IF(ISBLANK('RESUMEN VIGILANCIA'!AR17),"",'RESUMEN VIGILANCIA'!AR17)</f>
        <v>186000</v>
      </c>
      <c r="AT72" s="377">
        <f>IF(ISBLANK('RESUMEN VIGILANCIA'!AS17),"",'RESUMEN VIGILANCIA'!AS17)</f>
        <v>250000</v>
      </c>
      <c r="AU72" s="377">
        <f>IF(ISBLANK('RESUMEN VIGILANCIA'!AT17),"",'RESUMEN VIGILANCIA'!AT17)</f>
        <v>300000</v>
      </c>
      <c r="AV72" s="377" t="str">
        <f>IF(ISBLANK('RESUMEN VIGILANCIA'!AU17),"",'RESUMEN VIGILANCIA'!AU17)</f>
        <v/>
      </c>
      <c r="AW72" s="377" t="str">
        <f>IF(ISBLANK('RESUMEN VIGILANCIA'!AV17),"",'RESUMEN VIGILANCIA'!AV17)</f>
        <v/>
      </c>
      <c r="AX72" s="377" t="str">
        <f>IF(ISBLANK('RESUMEN VIGILANCIA'!AW17),"",'RESUMEN VIGILANCIA'!AW17)</f>
        <v/>
      </c>
      <c r="AY72" s="377" t="str">
        <f>IF(ISBLANK('RESUMEN VIGILANCIA'!AX17),"",'RESUMEN VIGILANCIA'!AX17)</f>
        <v/>
      </c>
      <c r="AZ72" s="377" t="str">
        <f>IF(ISBLANK('RESUMEN VIGILANCIA'!AY17),"",'RESUMEN VIGILANCIA'!AY17)</f>
        <v/>
      </c>
      <c r="BA72" s="378" t="str">
        <f>IF(ISBLANK('RESUMEN VIGILANCIA'!AZ17),"",'RESUMEN VIGILANCIA'!AZ17)</f>
        <v/>
      </c>
      <c r="BB72" s="242">
        <f t="shared" si="5"/>
        <v>328400.25</v>
      </c>
      <c r="BC72" s="112"/>
      <c r="BD72" s="112"/>
    </row>
    <row r="73" spans="1:56" s="29" customFormat="1" ht="20.100000000000001" customHeight="1">
      <c r="A73" s="30" t="str">
        <f>'RESUMEN VIGILANCIA'!A13</f>
        <v>Ely Saúl Rivero Gómez</v>
      </c>
      <c r="B73" s="31" t="str">
        <f>'RESUMEN VIGILANCIA'!B13</f>
        <v>Av. "Ñ" Nro. 145-25</v>
      </c>
      <c r="C73" s="429" t="s">
        <v>1316</v>
      </c>
      <c r="D73" s="436" t="s">
        <v>1315</v>
      </c>
      <c r="E73" s="417" t="str">
        <f>IF(ISBLANK('RESUMEN VIGILANCIA'!D13),"",'RESUMEN VIGILANCIA'!D13)</f>
        <v/>
      </c>
      <c r="F73" s="269">
        <f>IF(ISBLANK('RESUMEN VIGILANCIA'!E13),"",'RESUMEN VIGILANCIA'!E13)</f>
        <v>0.17</v>
      </c>
      <c r="G73" s="181">
        <f>IF(ISBLANK('RESUMEN VIGILANCIA'!F13),"",'RESUMEN VIGILANCIA'!F13)</f>
        <v>0.17</v>
      </c>
      <c r="H73" s="181">
        <f>IF(ISBLANK('RESUMEN VIGILANCIA'!G13),"",'RESUMEN VIGILANCIA'!G13)</f>
        <v>0.17</v>
      </c>
      <c r="I73" s="181">
        <f>IF(ISBLANK('RESUMEN VIGILANCIA'!H13),"",'RESUMEN VIGILANCIA'!H13)</f>
        <v>0.17</v>
      </c>
      <c r="J73" s="181">
        <f>IF(ISBLANK('RESUMEN VIGILANCIA'!I13),"",'RESUMEN VIGILANCIA'!I13)</f>
        <v>0.26</v>
      </c>
      <c r="K73" s="181">
        <f>IF(ISBLANK('RESUMEN VIGILANCIA'!J13),"",'RESUMEN VIGILANCIA'!J13)</f>
        <v>0.26</v>
      </c>
      <c r="L73" s="181">
        <f>IF(ISBLANK('RESUMEN VIGILANCIA'!K13),"",'RESUMEN VIGILANCIA'!K13)</f>
        <v>0.35</v>
      </c>
      <c r="M73" s="181">
        <f>IF(ISBLANK('RESUMEN VIGILANCIA'!L13),"",'RESUMEN VIGILANCIA'!L13)</f>
        <v>0.35</v>
      </c>
      <c r="N73" s="181">
        <f>IF(ISBLANK('RESUMEN VIGILANCIA'!M13),"",'RESUMEN VIGILANCIA'!M13)</f>
        <v>0.35</v>
      </c>
      <c r="O73" s="181">
        <f>IF(ISBLANK('RESUMEN VIGILANCIA'!N13),"",'RESUMEN VIGILANCIA'!N13)</f>
        <v>0.35</v>
      </c>
      <c r="P73" s="270">
        <f>IF(ISBLANK('RESUMEN VIGILANCIA'!O13),"",'RESUMEN VIGILANCIA'!O13)</f>
        <v>0.5</v>
      </c>
      <c r="Q73" s="179">
        <f>IF(ISBLANK('RESUMEN VIGILANCIA'!P13),"",'RESUMEN VIGILANCIA'!P13)</f>
        <v>0.5</v>
      </c>
      <c r="R73" s="271">
        <f>IF(ISBLANK('RESUMEN VIGILANCIA'!Q13),"",'RESUMEN VIGILANCIA'!Q13)</f>
        <v>0.8</v>
      </c>
      <c r="S73" s="270">
        <f>IF(ISBLANK('RESUMEN VIGILANCIA'!R13),"",'RESUMEN VIGILANCIA'!R13)</f>
        <v>0.8</v>
      </c>
      <c r="T73" s="270">
        <f>IF(ISBLANK('RESUMEN VIGILANCIA'!S13),"",'RESUMEN VIGILANCIA'!S13)</f>
        <v>1.4</v>
      </c>
      <c r="U73" s="270">
        <f>IF(ISBLANK('RESUMEN VIGILANCIA'!T13),"",'RESUMEN VIGILANCIA'!T13)</f>
        <v>1.4</v>
      </c>
      <c r="V73" s="270">
        <f>IF(ISBLANK('RESUMEN VIGILANCIA'!U13),"",'RESUMEN VIGILANCIA'!U13)</f>
        <v>4</v>
      </c>
      <c r="W73" s="270">
        <f>IF(ISBLANK('RESUMEN VIGILANCIA'!V13),"",'RESUMEN VIGILANCIA'!V13)</f>
        <v>6.25</v>
      </c>
      <c r="X73" s="270">
        <f>IF(ISBLANK('RESUMEN VIGILANCIA'!W13),"",'RESUMEN VIGILANCIA'!W13)</f>
        <v>10</v>
      </c>
      <c r="Y73" s="270">
        <f>IF(ISBLANK('RESUMEN VIGILANCIA'!X13),"",'RESUMEN VIGILANCIA'!X13)</f>
        <v>12</v>
      </c>
      <c r="Z73" s="455">
        <f>IF(ISBLANK('RESUMEN VIGILANCIA'!Y13),"",'RESUMEN VIGILANCIA'!Y13)</f>
        <v>320</v>
      </c>
      <c r="AA73" s="455">
        <f>IF(ISBLANK('RESUMEN VIGILANCIA'!Z13),"",'RESUMEN VIGILANCIA'!Z13)</f>
        <v>320</v>
      </c>
      <c r="AB73" s="455">
        <f>IF(ISBLANK('RESUMEN VIGILANCIA'!AA13),"",'RESUMEN VIGILANCIA'!AA13)</f>
        <v>320</v>
      </c>
      <c r="AC73" s="456">
        <f>IF(ISBLANK('RESUMEN VIGILANCIA'!AB13),"",'RESUMEN VIGILANCIA'!AB13)</f>
        <v>800</v>
      </c>
      <c r="AD73" s="376">
        <f>IF(ISBLANK('RESUMEN VIGILANCIA'!AC13),"",'RESUMEN VIGILANCIA'!AC13)</f>
        <v>3000</v>
      </c>
      <c r="AE73" s="377">
        <f>IF(ISBLANK('RESUMEN VIGILANCIA'!AD13),"",'RESUMEN VIGILANCIA'!AD13)</f>
        <v>3000</v>
      </c>
      <c r="AF73" s="377">
        <f>IF(ISBLANK('RESUMEN VIGILANCIA'!AE13),"",'RESUMEN VIGILANCIA'!AE13)</f>
        <v>3000</v>
      </c>
      <c r="AG73" s="377">
        <f>IF(ISBLANK('RESUMEN VIGILANCIA'!AF13),"",'RESUMEN VIGILANCIA'!AF13)</f>
        <v>5000</v>
      </c>
      <c r="AH73" s="377">
        <f>IF(ISBLANK('RESUMEN VIGILANCIA'!AG13),"",'RESUMEN VIGILANCIA'!AG13)</f>
        <v>8000</v>
      </c>
      <c r="AI73" s="377">
        <f>IF(ISBLANK('RESUMEN VIGILANCIA'!AH13),"",'RESUMEN VIGILANCIA'!AH13)</f>
        <v>8000</v>
      </c>
      <c r="AJ73" s="377">
        <f>IF(ISBLANK('RESUMEN VIGILANCIA'!AI13),"",'RESUMEN VIGILANCIA'!AI13)</f>
        <v>10000</v>
      </c>
      <c r="AK73" s="377">
        <f>IF(ISBLANK('RESUMEN VIGILANCIA'!AJ13),"",'RESUMEN VIGILANCIA'!AJ13)</f>
        <v>10000</v>
      </c>
      <c r="AL73" s="377">
        <f>IF(ISBLANK('RESUMEN VIGILANCIA'!AK13),"",'RESUMEN VIGILANCIA'!AK13)</f>
        <v>23400</v>
      </c>
      <c r="AM73" s="377">
        <f>IF(ISBLANK('RESUMEN VIGILANCIA'!AL13),"",'RESUMEN VIGILANCIA'!AL13)</f>
        <v>47000</v>
      </c>
      <c r="AN73" s="377">
        <f>IF(ISBLANK('RESUMEN VIGILANCIA'!AM13),"",'RESUMEN VIGILANCIA'!AM13)</f>
        <v>73500</v>
      </c>
      <c r="AO73" s="378">
        <f>IF(ISBLANK('RESUMEN VIGILANCIA'!AN13),"",'RESUMEN VIGILANCIA'!AN13)</f>
        <v>105250</v>
      </c>
      <c r="AP73" s="376">
        <f>IF(ISBLANK('RESUMEN VIGILANCIA'!AO13),"",'RESUMEN VIGILANCIA'!AO13)</f>
        <v>136250</v>
      </c>
      <c r="AQ73" s="377">
        <f>IF(ISBLANK('RESUMEN VIGILANCIA'!AP13),"",'RESUMEN VIGILANCIA'!AP13)</f>
        <v>136250</v>
      </c>
      <c r="AR73" s="377">
        <f>IF(ISBLANK('RESUMEN VIGILANCIA'!AQ13),"",'RESUMEN VIGILANCIA'!AQ13)</f>
        <v>185250</v>
      </c>
      <c r="AS73" s="377">
        <f>IF(ISBLANK('RESUMEN VIGILANCIA'!AR13),"",'RESUMEN VIGILANCIA'!AR13)</f>
        <v>185250</v>
      </c>
      <c r="AT73" s="377">
        <f>IF(ISBLANK('RESUMEN VIGILANCIA'!AS13),"",'RESUMEN VIGILANCIA'!AS13)</f>
        <v>250000</v>
      </c>
      <c r="AU73" s="377" t="str">
        <f>IF(ISBLANK('RESUMEN VIGILANCIA'!AT13),"",'RESUMEN VIGILANCIA'!AT13)</f>
        <v/>
      </c>
      <c r="AV73" s="377" t="str">
        <f>IF(ISBLANK('RESUMEN VIGILANCIA'!AU13),"",'RESUMEN VIGILANCIA'!AU13)</f>
        <v/>
      </c>
      <c r="AW73" s="377" t="str">
        <f>IF(ISBLANK('RESUMEN VIGILANCIA'!AV13),"",'RESUMEN VIGILANCIA'!AV13)</f>
        <v/>
      </c>
      <c r="AX73" s="377" t="str">
        <f>IF(ISBLANK('RESUMEN VIGILANCIA'!AW13),"",'RESUMEN VIGILANCIA'!AW13)</f>
        <v/>
      </c>
      <c r="AY73" s="377" t="str">
        <f>IF(ISBLANK('RESUMEN VIGILANCIA'!AX13),"",'RESUMEN VIGILANCIA'!AX13)</f>
        <v/>
      </c>
      <c r="AZ73" s="377" t="str">
        <f>IF(ISBLANK('RESUMEN VIGILANCIA'!AY13),"",'RESUMEN VIGILANCIA'!AY13)</f>
        <v/>
      </c>
      <c r="BA73" s="378" t="str">
        <f>IF(ISBLANK('RESUMEN VIGILANCIA'!AZ13),"",'RESUMEN VIGILANCIA'!AZ13)</f>
        <v/>
      </c>
      <c r="BB73" s="242">
        <f t="shared" si="5"/>
        <v>300950.25</v>
      </c>
      <c r="BC73" s="112"/>
      <c r="BD73" s="112"/>
    </row>
    <row r="74" spans="1:56" s="29" customFormat="1" ht="20.100000000000001" customHeight="1">
      <c r="A74" s="30" t="str">
        <f>'RESUMEN VIGILANCIA'!A5</f>
        <v>Jocsan Orta Correa</v>
      </c>
      <c r="B74" s="31" t="str">
        <f>'RESUMEN VIGILANCIA'!B5</f>
        <v>Av. "L" anexo de Los Tronquitos</v>
      </c>
      <c r="C74" s="429" t="s">
        <v>1316</v>
      </c>
      <c r="D74" s="436"/>
      <c r="E74" s="420" t="str">
        <f>IF(ISBLANK('RESUMEN VIGILANCIA'!D5),"",'RESUMEN VIGILANCIA'!D5)</f>
        <v/>
      </c>
      <c r="F74" s="297" t="str">
        <f>IF(ISBLANK('RESUMEN VIGILANCIA'!E5),"",'RESUMEN VIGILANCIA'!E5)</f>
        <v/>
      </c>
      <c r="G74" s="216" t="str">
        <f>IF(ISBLANK('RESUMEN VIGILANCIA'!F5),"",'RESUMEN VIGILANCIA'!F5)</f>
        <v/>
      </c>
      <c r="H74" s="216" t="str">
        <f>IF(ISBLANK('RESUMEN VIGILANCIA'!G5),"",'RESUMEN VIGILANCIA'!G5)</f>
        <v/>
      </c>
      <c r="I74" s="216" t="str">
        <f>IF(ISBLANK('RESUMEN VIGILANCIA'!H5),"",'RESUMEN VIGILANCIA'!H5)</f>
        <v/>
      </c>
      <c r="J74" s="216" t="str">
        <f>IF(ISBLANK('RESUMEN VIGILANCIA'!I5),"",'RESUMEN VIGILANCIA'!I5)</f>
        <v/>
      </c>
      <c r="K74" s="216" t="str">
        <f>IF(ISBLANK('RESUMEN VIGILANCIA'!J5),"",'RESUMEN VIGILANCIA'!J5)</f>
        <v/>
      </c>
      <c r="L74" s="216" t="str">
        <f>IF(ISBLANK('RESUMEN VIGILANCIA'!K5),"",'RESUMEN VIGILANCIA'!K5)</f>
        <v/>
      </c>
      <c r="M74" s="216" t="str">
        <f>IF(ISBLANK('RESUMEN VIGILANCIA'!L5),"",'RESUMEN VIGILANCIA'!L5)</f>
        <v/>
      </c>
      <c r="N74" s="216" t="str">
        <f>IF(ISBLANK('RESUMEN VIGILANCIA'!M5),"",'RESUMEN VIGILANCIA'!M5)</f>
        <v/>
      </c>
      <c r="O74" s="216" t="str">
        <f>IF(ISBLANK('RESUMEN VIGILANCIA'!N5),"",'RESUMEN VIGILANCIA'!N5)</f>
        <v/>
      </c>
      <c r="P74" s="283" t="str">
        <f>IF(ISBLANK('RESUMEN VIGILANCIA'!O5),"",'RESUMEN VIGILANCIA'!O5)</f>
        <v/>
      </c>
      <c r="Q74" s="214" t="str">
        <f>IF(ISBLANK('RESUMEN VIGILANCIA'!P5),"",'RESUMEN VIGILANCIA'!P5)</f>
        <v/>
      </c>
      <c r="R74" s="284" t="str">
        <f>IF(ISBLANK('RESUMEN VIGILANCIA'!Q5),"",'RESUMEN VIGILANCIA'!Q5)</f>
        <v/>
      </c>
      <c r="S74" s="283" t="str">
        <f>IF(ISBLANK('RESUMEN VIGILANCIA'!R5),"",'RESUMEN VIGILANCIA'!R5)</f>
        <v/>
      </c>
      <c r="T74" s="283" t="str">
        <f>IF(ISBLANK('RESUMEN VIGILANCIA'!S5),"",'RESUMEN VIGILANCIA'!S5)</f>
        <v/>
      </c>
      <c r="U74" s="283" t="str">
        <f>IF(ISBLANK('RESUMEN VIGILANCIA'!T5),"",'RESUMEN VIGILANCIA'!T5)</f>
        <v/>
      </c>
      <c r="V74" s="283" t="str">
        <f>IF(ISBLANK('RESUMEN VIGILANCIA'!U5),"",'RESUMEN VIGILANCIA'!U5)</f>
        <v/>
      </c>
      <c r="W74" s="283" t="str">
        <f>IF(ISBLANK('RESUMEN VIGILANCIA'!V5),"",'RESUMEN VIGILANCIA'!V5)</f>
        <v/>
      </c>
      <c r="X74" s="283" t="str">
        <f>IF(ISBLANK('RESUMEN VIGILANCIA'!W5),"",'RESUMEN VIGILANCIA'!W5)</f>
        <v/>
      </c>
      <c r="Y74" s="283" t="str">
        <f>IF(ISBLANK('RESUMEN VIGILANCIA'!X5),"",'RESUMEN VIGILANCIA'!X5)</f>
        <v/>
      </c>
      <c r="Z74" s="466" t="str">
        <f>IF(ISBLANK('RESUMEN VIGILANCIA'!Y5),"",'RESUMEN VIGILANCIA'!Y5)</f>
        <v/>
      </c>
      <c r="AA74" s="466" t="str">
        <f>IF(ISBLANK('RESUMEN VIGILANCIA'!Z5),"",'RESUMEN VIGILANCIA'!Z5)</f>
        <v/>
      </c>
      <c r="AB74" s="466" t="str">
        <f>IF(ISBLANK('RESUMEN VIGILANCIA'!AA5),"",'RESUMEN VIGILANCIA'!AA5)</f>
        <v/>
      </c>
      <c r="AC74" s="467" t="str">
        <f>IF(ISBLANK('RESUMEN VIGILANCIA'!AB5),"",'RESUMEN VIGILANCIA'!AB5)</f>
        <v/>
      </c>
      <c r="AD74" s="480" t="str">
        <f>IF(ISBLANK('RESUMEN VIGILANCIA'!AC5),"",'RESUMEN VIGILANCIA'!AC5)</f>
        <v/>
      </c>
      <c r="AE74" s="481" t="str">
        <f>IF(ISBLANK('RESUMEN VIGILANCIA'!AD5),"",'RESUMEN VIGILANCIA'!AD5)</f>
        <v/>
      </c>
      <c r="AF74" s="481" t="str">
        <f>IF(ISBLANK('RESUMEN VIGILANCIA'!AE5),"",'RESUMEN VIGILANCIA'!AE5)</f>
        <v/>
      </c>
      <c r="AG74" s="481" t="str">
        <f>IF(ISBLANK('RESUMEN VIGILANCIA'!AF5),"",'RESUMEN VIGILANCIA'!AF5)</f>
        <v/>
      </c>
      <c r="AH74" s="377">
        <f>IF(ISBLANK('RESUMEN VIGILANCIA'!AG5),"",'RESUMEN VIGILANCIA'!AG5)</f>
        <v>8000</v>
      </c>
      <c r="AI74" s="377">
        <f>IF(ISBLANK('RESUMEN VIGILANCIA'!AH5),"",'RESUMEN VIGILANCIA'!AH5)</f>
        <v>8000</v>
      </c>
      <c r="AJ74" s="377">
        <f>IF(ISBLANK('RESUMEN VIGILANCIA'!AI5),"",'RESUMEN VIGILANCIA'!AI5)</f>
        <v>10000</v>
      </c>
      <c r="AK74" s="377">
        <f>IF(ISBLANK('RESUMEN VIGILANCIA'!AJ5),"",'RESUMEN VIGILANCIA'!AJ5)</f>
        <v>10000</v>
      </c>
      <c r="AL74" s="377">
        <f>IF(ISBLANK('RESUMEN VIGILANCIA'!AK5),"",'RESUMEN VIGILANCIA'!AK5)</f>
        <v>19800</v>
      </c>
      <c r="AM74" s="377">
        <f>IF(ISBLANK('RESUMEN VIGILANCIA'!AL5),"",'RESUMEN VIGILANCIA'!AL5)</f>
        <v>51300</v>
      </c>
      <c r="AN74" s="377">
        <f>IF(ISBLANK('RESUMEN VIGILANCIA'!AM5),"",'RESUMEN VIGILANCIA'!AM5)</f>
        <v>73500</v>
      </c>
      <c r="AO74" s="378">
        <f>IF(ISBLANK('RESUMEN VIGILANCIA'!AN5),"",'RESUMEN VIGILANCIA'!AN5)</f>
        <v>97500</v>
      </c>
      <c r="AP74" s="376">
        <f>IF(ISBLANK('RESUMEN VIGILANCIA'!AO5),"",'RESUMEN VIGILANCIA'!AO5)</f>
        <v>136250</v>
      </c>
      <c r="AQ74" s="377">
        <f>IF(ISBLANK('RESUMEN VIGILANCIA'!AP5),"",'RESUMEN VIGILANCIA'!AP5)</f>
        <v>136250</v>
      </c>
      <c r="AR74" s="377">
        <f>IF(ISBLANK('RESUMEN VIGILANCIA'!AQ5),"",'RESUMEN VIGILANCIA'!AQ5)</f>
        <v>185250</v>
      </c>
      <c r="AS74" s="377">
        <f>IF(ISBLANK('RESUMEN VIGILANCIA'!AR5),"",'RESUMEN VIGILANCIA'!AR5)</f>
        <v>185250</v>
      </c>
      <c r="AT74" s="377" t="str">
        <f>IF(ISBLANK('RESUMEN VIGILANCIA'!AS5),"",'RESUMEN VIGILANCIA'!AS5)</f>
        <v/>
      </c>
      <c r="AU74" s="377" t="str">
        <f>IF(ISBLANK('RESUMEN VIGILANCIA'!AT5),"",'RESUMEN VIGILANCIA'!AT5)</f>
        <v/>
      </c>
      <c r="AV74" s="377" t="str">
        <f>IF(ISBLANK('RESUMEN VIGILANCIA'!AU5),"",'RESUMEN VIGILANCIA'!AU5)</f>
        <v/>
      </c>
      <c r="AW74" s="377" t="str">
        <f>IF(ISBLANK('RESUMEN VIGILANCIA'!AV5),"",'RESUMEN VIGILANCIA'!AV5)</f>
        <v/>
      </c>
      <c r="AX74" s="377" t="str">
        <f>IF(ISBLANK('RESUMEN VIGILANCIA'!AW5),"",'RESUMEN VIGILANCIA'!AW5)</f>
        <v/>
      </c>
      <c r="AY74" s="377" t="str">
        <f>IF(ISBLANK('RESUMEN VIGILANCIA'!AX5),"",'RESUMEN VIGILANCIA'!AX5)</f>
        <v/>
      </c>
      <c r="AZ74" s="377" t="str">
        <f>IF(ISBLANK('RESUMEN VIGILANCIA'!AY5),"",'RESUMEN VIGILANCIA'!AY5)</f>
        <v/>
      </c>
      <c r="BA74" s="378" t="str">
        <f>IF(ISBLANK('RESUMEN VIGILANCIA'!AZ5),"",'RESUMEN VIGILANCIA'!AZ5)</f>
        <v/>
      </c>
      <c r="BB74" s="242">
        <f t="shared" ref="BB74" si="7">SUM(E74:AO74)</f>
        <v>278100</v>
      </c>
      <c r="BC74" s="112">
        <v>43586</v>
      </c>
      <c r="BD74" s="112"/>
    </row>
    <row r="75" spans="1:56" s="29" customFormat="1" ht="20.100000000000001" customHeight="1">
      <c r="A75" s="30" t="str">
        <f>'RESUMEN VIGILANCIA'!A142</f>
        <v>Alexander Pena</v>
      </c>
      <c r="B75" s="31" t="str">
        <f>'RESUMEN VIGILANCIA'!B142</f>
        <v>Calle Güigüe Nro. 89-126</v>
      </c>
      <c r="C75" s="429" t="s">
        <v>1317</v>
      </c>
      <c r="D75" s="436" t="s">
        <v>1315</v>
      </c>
      <c r="E75" s="417" t="str">
        <f>IF(ISBLANK('RESUMEN VIGILANCIA'!D142),"",'RESUMEN VIGILANCIA'!D142)</f>
        <v/>
      </c>
      <c r="F75" s="269" t="str">
        <f>IF(ISBLANK('RESUMEN VIGILANCIA'!E142),"",'RESUMEN VIGILANCIA'!E142)</f>
        <v/>
      </c>
      <c r="G75" s="181" t="str">
        <f>IF(ISBLANK('RESUMEN VIGILANCIA'!F142),"",'RESUMEN VIGILANCIA'!F142)</f>
        <v/>
      </c>
      <c r="H75" s="181" t="str">
        <f>IF(ISBLANK('RESUMEN VIGILANCIA'!G142),"",'RESUMEN VIGILANCIA'!G142)</f>
        <v/>
      </c>
      <c r="I75" s="181" t="str">
        <f>IF(ISBLANK('RESUMEN VIGILANCIA'!H142),"",'RESUMEN VIGILANCIA'!H142)</f>
        <v/>
      </c>
      <c r="J75" s="181" t="str">
        <f>IF(ISBLANK('RESUMEN VIGILANCIA'!I142),"",'RESUMEN VIGILANCIA'!I142)</f>
        <v/>
      </c>
      <c r="K75" s="181" t="str">
        <f>IF(ISBLANK('RESUMEN VIGILANCIA'!J142),"",'RESUMEN VIGILANCIA'!J142)</f>
        <v/>
      </c>
      <c r="L75" s="181" t="str">
        <f>IF(ISBLANK('RESUMEN VIGILANCIA'!K142),"",'RESUMEN VIGILANCIA'!K142)</f>
        <v/>
      </c>
      <c r="M75" s="181" t="str">
        <f>IF(ISBLANK('RESUMEN VIGILANCIA'!L142),"",'RESUMEN VIGILANCIA'!L142)</f>
        <v/>
      </c>
      <c r="N75" s="181" t="str">
        <f>IF(ISBLANK('RESUMEN VIGILANCIA'!M142),"",'RESUMEN VIGILANCIA'!M142)</f>
        <v/>
      </c>
      <c r="O75" s="181" t="str">
        <f>IF(ISBLANK('RESUMEN VIGILANCIA'!N142),"",'RESUMEN VIGILANCIA'!N142)</f>
        <v/>
      </c>
      <c r="P75" s="270" t="str">
        <f>IF(ISBLANK('RESUMEN VIGILANCIA'!O142),"",'RESUMEN VIGILANCIA'!O142)</f>
        <v/>
      </c>
      <c r="Q75" s="179" t="str">
        <f>IF(ISBLANK('RESUMEN VIGILANCIA'!P142),"",'RESUMEN VIGILANCIA'!P142)</f>
        <v/>
      </c>
      <c r="R75" s="271" t="str">
        <f>IF(ISBLANK('RESUMEN VIGILANCIA'!Q142),"",'RESUMEN VIGILANCIA'!Q142)</f>
        <v/>
      </c>
      <c r="S75" s="270" t="str">
        <f>IF(ISBLANK('RESUMEN VIGILANCIA'!R142),"",'RESUMEN VIGILANCIA'!R142)</f>
        <v/>
      </c>
      <c r="T75" s="270" t="str">
        <f>IF(ISBLANK('RESUMEN VIGILANCIA'!S142),"",'RESUMEN VIGILANCIA'!S142)</f>
        <v/>
      </c>
      <c r="U75" s="270" t="str">
        <f>IF(ISBLANK('RESUMEN VIGILANCIA'!T142),"",'RESUMEN VIGILANCIA'!T142)</f>
        <v/>
      </c>
      <c r="V75" s="270" t="str">
        <f>IF(ISBLANK('RESUMEN VIGILANCIA'!U142),"",'RESUMEN VIGILANCIA'!U142)</f>
        <v/>
      </c>
      <c r="W75" s="270" t="str">
        <f>IF(ISBLANK('RESUMEN VIGILANCIA'!V142),"",'RESUMEN VIGILANCIA'!V142)</f>
        <v/>
      </c>
      <c r="X75" s="270" t="str">
        <f>IF(ISBLANK('RESUMEN VIGILANCIA'!W142),"",'RESUMEN VIGILANCIA'!W142)</f>
        <v/>
      </c>
      <c r="Y75" s="270" t="str">
        <f>IF(ISBLANK('RESUMEN VIGILANCIA'!X142),"",'RESUMEN VIGILANCIA'!X142)</f>
        <v/>
      </c>
      <c r="Z75" s="455" t="str">
        <f>IF(ISBLANK('RESUMEN VIGILANCIA'!Y142),"",'RESUMEN VIGILANCIA'!Y142)</f>
        <v/>
      </c>
      <c r="AA75" s="455" t="str">
        <f>IF(ISBLANK('RESUMEN VIGILANCIA'!Z142),"",'RESUMEN VIGILANCIA'!Z142)</f>
        <v/>
      </c>
      <c r="AB75" s="455" t="str">
        <f>IF(ISBLANK('RESUMEN VIGILANCIA'!AA142),"",'RESUMEN VIGILANCIA'!AA142)</f>
        <v/>
      </c>
      <c r="AC75" s="456" t="str">
        <f>IF(ISBLANK('RESUMEN VIGILANCIA'!AB142),"",'RESUMEN VIGILANCIA'!AB142)</f>
        <v/>
      </c>
      <c r="AD75" s="376" t="str">
        <f>IF(ISBLANK('RESUMEN VIGILANCIA'!AC142),"",'RESUMEN VIGILANCIA'!AC142)</f>
        <v/>
      </c>
      <c r="AE75" s="377" t="str">
        <f>IF(ISBLANK('RESUMEN VIGILANCIA'!AD142),"",'RESUMEN VIGILANCIA'!AD142)</f>
        <v/>
      </c>
      <c r="AF75" s="377" t="str">
        <f>IF(ISBLANK('RESUMEN VIGILANCIA'!AE142),"",'RESUMEN VIGILANCIA'!AE142)</f>
        <v/>
      </c>
      <c r="AG75" s="377" t="str">
        <f>IF(ISBLANK('RESUMEN VIGILANCIA'!AF142),"",'RESUMEN VIGILANCIA'!AF142)</f>
        <v/>
      </c>
      <c r="AH75" s="377" t="str">
        <f>IF(ISBLANK('RESUMEN VIGILANCIA'!AG142),"",'RESUMEN VIGILANCIA'!AG142)</f>
        <v/>
      </c>
      <c r="AI75" s="377" t="str">
        <f>IF(ISBLANK('RESUMEN VIGILANCIA'!AH142),"",'RESUMEN VIGILANCIA'!AH142)</f>
        <v/>
      </c>
      <c r="AJ75" s="377" t="str">
        <f>IF(ISBLANK('RESUMEN VIGILANCIA'!AI142),"",'RESUMEN VIGILANCIA'!AI142)</f>
        <v/>
      </c>
      <c r="AK75" s="377" t="str">
        <f>IF(ISBLANK('RESUMEN VIGILANCIA'!AJ142),"",'RESUMEN VIGILANCIA'!AJ142)</f>
        <v/>
      </c>
      <c r="AL75" s="377" t="str">
        <f>IF(ISBLANK('RESUMEN VIGILANCIA'!AK142),"",'RESUMEN VIGILANCIA'!AK142)</f>
        <v/>
      </c>
      <c r="AM75" s="377" t="str">
        <f>IF(ISBLANK('RESUMEN VIGILANCIA'!AL142),"",'RESUMEN VIGILANCIA'!AL142)</f>
        <v/>
      </c>
      <c r="AN75" s="377" t="str">
        <f>IF(ISBLANK('RESUMEN VIGILANCIA'!AM142),"",'RESUMEN VIGILANCIA'!AM142)</f>
        <v/>
      </c>
      <c r="AO75" s="378" t="str">
        <f>IF(ISBLANK('RESUMEN VIGILANCIA'!AN142),"",'RESUMEN VIGILANCIA'!AN142)</f>
        <v/>
      </c>
      <c r="AP75" s="376" t="str">
        <f>IF(ISBLANK('RESUMEN VIGILANCIA'!AO142),"",'RESUMEN VIGILANCIA'!AO142)</f>
        <v/>
      </c>
      <c r="AQ75" s="377" t="str">
        <f>IF(ISBLANK('RESUMEN VIGILANCIA'!AP142),"",'RESUMEN VIGILANCIA'!AP142)</f>
        <v/>
      </c>
      <c r="AR75" s="377" t="str">
        <f>IF(ISBLANK('RESUMEN VIGILANCIA'!AQ142),"",'RESUMEN VIGILANCIA'!AQ142)</f>
        <v/>
      </c>
      <c r="AS75" s="377" t="str">
        <f>IF(ISBLANK('RESUMEN VIGILANCIA'!AR142),"",'RESUMEN VIGILANCIA'!AR142)</f>
        <v/>
      </c>
      <c r="AT75" s="377" t="str">
        <f>IF(ISBLANK('RESUMEN VIGILANCIA'!AS142),"",'RESUMEN VIGILANCIA'!AS142)</f>
        <v/>
      </c>
      <c r="AU75" s="377" t="str">
        <f>IF(ISBLANK('RESUMEN VIGILANCIA'!AT142),"",'RESUMEN VIGILANCIA'!AT142)</f>
        <v/>
      </c>
      <c r="AV75" s="377" t="str">
        <f>IF(ISBLANK('RESUMEN VIGILANCIA'!AU142),"",'RESUMEN VIGILANCIA'!AU142)</f>
        <v/>
      </c>
      <c r="AW75" s="377" t="str">
        <f>IF(ISBLANK('RESUMEN VIGILANCIA'!AV142),"",'RESUMEN VIGILANCIA'!AV142)</f>
        <v/>
      </c>
      <c r="AX75" s="377" t="str">
        <f>IF(ISBLANK('RESUMEN VIGILANCIA'!AW142),"",'RESUMEN VIGILANCIA'!AW142)</f>
        <v/>
      </c>
      <c r="AY75" s="377" t="str">
        <f>IF(ISBLANK('RESUMEN VIGILANCIA'!AX142),"",'RESUMEN VIGILANCIA'!AX142)</f>
        <v/>
      </c>
      <c r="AZ75" s="377" t="str">
        <f>IF(ISBLANK('RESUMEN VIGILANCIA'!AY142),"",'RESUMEN VIGILANCIA'!AY142)</f>
        <v/>
      </c>
      <c r="BA75" s="378" t="str">
        <f>IF(ISBLANK('RESUMEN VIGILANCIA'!AZ142),"",'RESUMEN VIGILANCIA'!AZ142)</f>
        <v/>
      </c>
      <c r="BB75" s="242">
        <f t="shared" si="5"/>
        <v>0</v>
      </c>
      <c r="BC75" s="112"/>
      <c r="BD75" s="112"/>
    </row>
    <row r="76" spans="1:56" s="29" customFormat="1" ht="20.100000000000001" customHeight="1">
      <c r="A76" s="29" t="str">
        <f>'RESUMEN VIGILANCIA'!A75</f>
        <v>Familia Narváez Caldera</v>
      </c>
      <c r="B76" s="31" t="str">
        <f>'RESUMEN VIGILANCIA'!B75</f>
        <v>Calle Güigüe Nro. 87-A-11</v>
      </c>
      <c r="C76" s="429" t="s">
        <v>1316</v>
      </c>
      <c r="D76" s="436" t="s">
        <v>1315</v>
      </c>
      <c r="E76" s="417" t="str">
        <f>IF(ISBLANK('RESUMEN VIGILANCIA'!D75),"",'RESUMEN VIGILANCIA'!D75)</f>
        <v/>
      </c>
      <c r="F76" s="269">
        <f>IF(ISBLANK('RESUMEN VIGILANCIA'!E75),"",'RESUMEN VIGILANCIA'!E75)</f>
        <v>0.17</v>
      </c>
      <c r="G76" s="181">
        <f>IF(ISBLANK('RESUMEN VIGILANCIA'!F75),"",'RESUMEN VIGILANCIA'!F75)</f>
        <v>0.17</v>
      </c>
      <c r="H76" s="181">
        <f>IF(ISBLANK('RESUMEN VIGILANCIA'!G75),"",'RESUMEN VIGILANCIA'!G75)</f>
        <v>0.17</v>
      </c>
      <c r="I76" s="181">
        <f>IF(ISBLANK('RESUMEN VIGILANCIA'!H75),"",'RESUMEN VIGILANCIA'!H75)</f>
        <v>0.17</v>
      </c>
      <c r="J76" s="181">
        <f>IF(ISBLANK('RESUMEN VIGILANCIA'!I75),"",'RESUMEN VIGILANCIA'!I75)</f>
        <v>0.26</v>
      </c>
      <c r="K76" s="181">
        <f>IF(ISBLANK('RESUMEN VIGILANCIA'!J75),"",'RESUMEN VIGILANCIA'!J75)</f>
        <v>0.26</v>
      </c>
      <c r="L76" s="181">
        <f>IF(ISBLANK('RESUMEN VIGILANCIA'!K75),"",'RESUMEN VIGILANCIA'!K75)</f>
        <v>0.35</v>
      </c>
      <c r="M76" s="181">
        <f>IF(ISBLANK('RESUMEN VIGILANCIA'!L75),"",'RESUMEN VIGILANCIA'!L75)</f>
        <v>0.35</v>
      </c>
      <c r="N76" s="181">
        <f>IF(ISBLANK('RESUMEN VIGILANCIA'!M75),"",'RESUMEN VIGILANCIA'!M75)</f>
        <v>0.35</v>
      </c>
      <c r="O76" s="181">
        <f>IF(ISBLANK('RESUMEN VIGILANCIA'!N75),"",'RESUMEN VIGILANCIA'!N75)</f>
        <v>0.35</v>
      </c>
      <c r="P76" s="270">
        <f>IF(ISBLANK('RESUMEN VIGILANCIA'!O75),"",'RESUMEN VIGILANCIA'!O75)</f>
        <v>0.5</v>
      </c>
      <c r="Q76" s="179">
        <f>IF(ISBLANK('RESUMEN VIGILANCIA'!P75),"",'RESUMEN VIGILANCIA'!P75)</f>
        <v>0.5</v>
      </c>
      <c r="R76" s="271">
        <f>IF(ISBLANK('RESUMEN VIGILANCIA'!Q75),"",'RESUMEN VIGILANCIA'!Q75)</f>
        <v>0.8</v>
      </c>
      <c r="S76" s="270">
        <f>IF(ISBLANK('RESUMEN VIGILANCIA'!R75),"",'RESUMEN VIGILANCIA'!R75)</f>
        <v>0.8</v>
      </c>
      <c r="T76" s="270">
        <f>IF(ISBLANK('RESUMEN VIGILANCIA'!S75),"",'RESUMEN VIGILANCIA'!S75)</f>
        <v>1.4</v>
      </c>
      <c r="U76" s="270">
        <f>IF(ISBLANK('RESUMEN VIGILANCIA'!T75),"",'RESUMEN VIGILANCIA'!T75)</f>
        <v>1.4</v>
      </c>
      <c r="V76" s="270">
        <f>IF(ISBLANK('RESUMEN VIGILANCIA'!U75),"",'RESUMEN VIGILANCIA'!U75)</f>
        <v>4</v>
      </c>
      <c r="W76" s="270">
        <f>IF(ISBLANK('RESUMEN VIGILANCIA'!V75),"",'RESUMEN VIGILANCIA'!V75)</f>
        <v>6.25</v>
      </c>
      <c r="X76" s="270">
        <f>IF(ISBLANK('RESUMEN VIGILANCIA'!W75),"",'RESUMEN VIGILANCIA'!W75)</f>
        <v>10</v>
      </c>
      <c r="Y76" s="270">
        <f>IF(ISBLANK('RESUMEN VIGILANCIA'!X75),"",'RESUMEN VIGILANCIA'!X75)</f>
        <v>12</v>
      </c>
      <c r="Z76" s="455">
        <f>IF(ISBLANK('RESUMEN VIGILANCIA'!Y75),"",'RESUMEN VIGILANCIA'!Y75)</f>
        <v>320</v>
      </c>
      <c r="AA76" s="455">
        <v>320</v>
      </c>
      <c r="AB76" s="455">
        <f>IF(ISBLANK('RESUMEN VIGILANCIA'!AA75),"",'RESUMEN VIGILANCIA'!AA75)</f>
        <v>320</v>
      </c>
      <c r="AC76" s="456">
        <f>IF(ISBLANK('RESUMEN VIGILANCIA'!AB75),"",'RESUMEN VIGILANCIA'!AB75)</f>
        <v>800</v>
      </c>
      <c r="AD76" s="376">
        <f>IF(ISBLANK('RESUMEN VIGILANCIA'!AC75),"",'RESUMEN VIGILANCIA'!AC75)</f>
        <v>3000</v>
      </c>
      <c r="AE76" s="377">
        <f>IF(ISBLANK('RESUMEN VIGILANCIA'!AD75),"",'RESUMEN VIGILANCIA'!AD75)</f>
        <v>3000</v>
      </c>
      <c r="AF76" s="377">
        <f>IF(ISBLANK('RESUMEN VIGILANCIA'!AE75),"",'RESUMEN VIGILANCIA'!AE75)</f>
        <v>3000</v>
      </c>
      <c r="AG76" s="377">
        <f>IF(ISBLANK('RESUMEN VIGILANCIA'!AF75),"",'RESUMEN VIGILANCIA'!AF75)</f>
        <v>5000</v>
      </c>
      <c r="AH76" s="377">
        <f>IF(ISBLANK('RESUMEN VIGILANCIA'!AG75),"",'RESUMEN VIGILANCIA'!AG75)</f>
        <v>8000</v>
      </c>
      <c r="AI76" s="377">
        <f>IF(ISBLANK('RESUMEN VIGILANCIA'!AH75),"",'RESUMEN VIGILANCIA'!AH75)</f>
        <v>8000</v>
      </c>
      <c r="AJ76" s="377">
        <f>IF(ISBLANK('RESUMEN VIGILANCIA'!AI75),"",'RESUMEN VIGILANCIA'!AI75)</f>
        <v>10000</v>
      </c>
      <c r="AK76" s="377">
        <f>IF(ISBLANK('RESUMEN VIGILANCIA'!AJ75),"",'RESUMEN VIGILANCIA'!AJ75)</f>
        <v>10000</v>
      </c>
      <c r="AL76" s="377">
        <f>IF(ISBLANK('RESUMEN VIGILANCIA'!AK75),"",'RESUMEN VIGILANCIA'!AK75)</f>
        <v>23400</v>
      </c>
      <c r="AM76" s="377">
        <f>IF(ISBLANK('RESUMEN VIGILANCIA'!AL75),"",'RESUMEN VIGILANCIA'!AL75)</f>
        <v>51250</v>
      </c>
      <c r="AN76" s="377">
        <f>IF(ISBLANK('RESUMEN VIGILANCIA'!AM75),"",'RESUMEN VIGILANCIA'!AM75)</f>
        <v>56250</v>
      </c>
      <c r="AO76" s="378">
        <f>IF(ISBLANK('RESUMEN VIGILANCIA'!AN75),"",'RESUMEN VIGILANCIA'!AN75)</f>
        <v>136250</v>
      </c>
      <c r="AP76" s="376">
        <f>IF(ISBLANK('RESUMEN VIGILANCIA'!AO75),"",'RESUMEN VIGILANCIA'!AO75)</f>
        <v>136250</v>
      </c>
      <c r="AQ76" s="377">
        <f>IF(ISBLANK('RESUMEN VIGILANCIA'!AP75),"",'RESUMEN VIGILANCIA'!AP75)</f>
        <v>136250</v>
      </c>
      <c r="AR76" s="377">
        <f>IF(ISBLANK('RESUMEN VIGILANCIA'!AQ75),"",'RESUMEN VIGILANCIA'!AQ75)</f>
        <v>185250</v>
      </c>
      <c r="AS76" s="377">
        <f>IF(ISBLANK('RESUMEN VIGILANCIA'!AR75),"",'RESUMEN VIGILANCIA'!AR75)</f>
        <v>300000</v>
      </c>
      <c r="AT76" s="377">
        <f>IF(ISBLANK('RESUMEN VIGILANCIA'!AS75),"",'RESUMEN VIGILANCIA'!AS75)</f>
        <v>250000</v>
      </c>
      <c r="AU76" s="377" t="str">
        <f>IF(ISBLANK('RESUMEN VIGILANCIA'!AT75),"",'RESUMEN VIGILANCIA'!AT75)</f>
        <v/>
      </c>
      <c r="AV76" s="377" t="str">
        <f>IF(ISBLANK('RESUMEN VIGILANCIA'!AU75),"",'RESUMEN VIGILANCIA'!AU75)</f>
        <v/>
      </c>
      <c r="AW76" s="377" t="str">
        <f>IF(ISBLANK('RESUMEN VIGILANCIA'!AV75),"",'RESUMEN VIGILANCIA'!AV75)</f>
        <v/>
      </c>
      <c r="AX76" s="377" t="str">
        <f>IF(ISBLANK('RESUMEN VIGILANCIA'!AW75),"",'RESUMEN VIGILANCIA'!AW75)</f>
        <v/>
      </c>
      <c r="AY76" s="377" t="str">
        <f>IF(ISBLANK('RESUMEN VIGILANCIA'!AX75),"",'RESUMEN VIGILANCIA'!AX75)</f>
        <v/>
      </c>
      <c r="AZ76" s="377" t="str">
        <f>IF(ISBLANK('RESUMEN VIGILANCIA'!AY75),"",'RESUMEN VIGILANCIA'!AY75)</f>
        <v/>
      </c>
      <c r="BA76" s="378" t="str">
        <f>IF(ISBLANK('RESUMEN VIGILANCIA'!AZ75),"",'RESUMEN VIGILANCIA'!AZ75)</f>
        <v/>
      </c>
      <c r="BB76" s="242">
        <f t="shared" si="5"/>
        <v>318950.25</v>
      </c>
      <c r="BC76" s="112"/>
      <c r="BD76" s="112"/>
    </row>
    <row r="77" spans="1:56" s="29" customFormat="1" ht="20.100000000000001" customHeight="1">
      <c r="A77" s="59" t="str">
        <f>'RESUMEN VIGILANCIA'!A76</f>
        <v>Claudia González</v>
      </c>
      <c r="B77" s="60" t="str">
        <f>'RESUMEN VIGILANCIA'!B76</f>
        <v>Calle Güigüe Nro. 88-06</v>
      </c>
      <c r="C77" s="429"/>
      <c r="D77" s="436" t="s">
        <v>1315</v>
      </c>
      <c r="E77" s="417" t="str">
        <f>IF(ISBLANK('RESUMEN VIGILANCIA'!D76),"",'RESUMEN VIGILANCIA'!D76)</f>
        <v/>
      </c>
      <c r="F77" s="269" t="str">
        <f>IF(ISBLANK('RESUMEN VIGILANCIA'!E76),"",'RESUMEN VIGILANCIA'!E76)</f>
        <v/>
      </c>
      <c r="G77" s="181" t="str">
        <f>IF(ISBLANK('RESUMEN VIGILANCIA'!F76),"",'RESUMEN VIGILANCIA'!F76)</f>
        <v/>
      </c>
      <c r="H77" s="181" t="str">
        <f>IF(ISBLANK('RESUMEN VIGILANCIA'!G76),"",'RESUMEN VIGILANCIA'!G76)</f>
        <v/>
      </c>
      <c r="I77" s="181" t="str">
        <f>IF(ISBLANK('RESUMEN VIGILANCIA'!H76),"",'RESUMEN VIGILANCIA'!H76)</f>
        <v/>
      </c>
      <c r="J77" s="181" t="str">
        <f>IF(ISBLANK('RESUMEN VIGILANCIA'!I76),"",'RESUMEN VIGILANCIA'!I76)</f>
        <v/>
      </c>
      <c r="K77" s="181" t="str">
        <f>IF(ISBLANK('RESUMEN VIGILANCIA'!J76),"",'RESUMEN VIGILANCIA'!J76)</f>
        <v/>
      </c>
      <c r="L77" s="181" t="str">
        <f>IF(ISBLANK('RESUMEN VIGILANCIA'!K76),"",'RESUMEN VIGILANCIA'!K76)</f>
        <v/>
      </c>
      <c r="M77" s="181" t="str">
        <f>IF(ISBLANK('RESUMEN VIGILANCIA'!L76),"",'RESUMEN VIGILANCIA'!L76)</f>
        <v/>
      </c>
      <c r="N77" s="181" t="str">
        <f>IF(ISBLANK('RESUMEN VIGILANCIA'!M76),"",'RESUMEN VIGILANCIA'!M76)</f>
        <v/>
      </c>
      <c r="O77" s="181" t="str">
        <f>IF(ISBLANK('RESUMEN VIGILANCIA'!N76),"",'RESUMEN VIGILANCIA'!N76)</f>
        <v/>
      </c>
      <c r="P77" s="274" t="str">
        <f>IF(ISBLANK('RESUMEN VIGILANCIA'!O76),"",'RESUMEN VIGILANCIA'!O76)</f>
        <v>VENDIDA</v>
      </c>
      <c r="Q77" s="285" t="str">
        <f>IF(ISBLANK('RESUMEN VIGILANCIA'!P76),"",'RESUMEN VIGILANCIA'!P76)</f>
        <v/>
      </c>
      <c r="R77" s="286" t="str">
        <f>IF(ISBLANK('RESUMEN VIGILANCIA'!Q76),"",'RESUMEN VIGILANCIA'!Q76)</f>
        <v/>
      </c>
      <c r="S77" s="274" t="str">
        <f>IF(ISBLANK('RESUMEN VIGILANCIA'!R76),"",'RESUMEN VIGILANCIA'!R76)</f>
        <v/>
      </c>
      <c r="T77" s="274" t="str">
        <f>IF(ISBLANK('RESUMEN VIGILANCIA'!S76),"",'RESUMEN VIGILANCIA'!S76)</f>
        <v/>
      </c>
      <c r="U77" s="274" t="str">
        <f>IF(ISBLANK('RESUMEN VIGILANCIA'!T76),"",'RESUMEN VIGILANCIA'!T76)</f>
        <v/>
      </c>
      <c r="V77" s="274" t="str">
        <f>IF(ISBLANK('RESUMEN VIGILANCIA'!U76),"",'RESUMEN VIGILANCIA'!U76)</f>
        <v/>
      </c>
      <c r="W77" s="274" t="str">
        <f>IF(ISBLANK('RESUMEN VIGILANCIA'!V76),"",'RESUMEN VIGILANCIA'!V76)</f>
        <v/>
      </c>
      <c r="X77" s="274" t="str">
        <f>IF(ISBLANK('RESUMEN VIGILANCIA'!W76),"",'RESUMEN VIGILANCIA'!W76)</f>
        <v/>
      </c>
      <c r="Y77" s="274" t="str">
        <f>IF(ISBLANK('RESUMEN VIGILANCIA'!X76),"",'RESUMEN VIGILANCIA'!X76)</f>
        <v/>
      </c>
      <c r="Z77" s="468" t="str">
        <f>IF(ISBLANK('RESUMEN VIGILANCIA'!Y76),"",'RESUMEN VIGILANCIA'!Y76)</f>
        <v/>
      </c>
      <c r="AA77" s="468" t="str">
        <f>IF(ISBLANK('RESUMEN VIGILANCIA'!Z76),"",'RESUMEN VIGILANCIA'!Z76)</f>
        <v/>
      </c>
      <c r="AB77" s="468" t="str">
        <f>IF(ISBLANK('RESUMEN VIGILANCIA'!AA76),"",'RESUMEN VIGILANCIA'!AA76)</f>
        <v/>
      </c>
      <c r="AC77" s="469" t="str">
        <f>IF(ISBLANK('RESUMEN VIGILANCIA'!AB76),"",'RESUMEN VIGILANCIA'!AB76)</f>
        <v/>
      </c>
      <c r="AD77" s="470" t="str">
        <f>IF(ISBLANK('RESUMEN VIGILANCIA'!AC76),"",'RESUMEN VIGILANCIA'!AC76)</f>
        <v/>
      </c>
      <c r="AE77" s="471" t="str">
        <f>IF(ISBLANK('RESUMEN VIGILANCIA'!AD76),"",'RESUMEN VIGILANCIA'!AD76)</f>
        <v/>
      </c>
      <c r="AF77" s="471" t="str">
        <f>IF(ISBLANK('RESUMEN VIGILANCIA'!AE76),"",'RESUMEN VIGILANCIA'!AE76)</f>
        <v/>
      </c>
      <c r="AG77" s="471" t="str">
        <f>IF(ISBLANK('RESUMEN VIGILANCIA'!AF76),"",'RESUMEN VIGILANCIA'!AF76)</f>
        <v/>
      </c>
      <c r="AH77" s="471" t="str">
        <f>IF(ISBLANK('RESUMEN VIGILANCIA'!AG76),"",'RESUMEN VIGILANCIA'!AG76)</f>
        <v/>
      </c>
      <c r="AI77" s="471" t="str">
        <f>IF(ISBLANK('RESUMEN VIGILANCIA'!AH76),"",'RESUMEN VIGILANCIA'!AH76)</f>
        <v/>
      </c>
      <c r="AJ77" s="471" t="str">
        <f>IF(ISBLANK('RESUMEN VIGILANCIA'!AI76),"",'RESUMEN VIGILANCIA'!AI76)</f>
        <v/>
      </c>
      <c r="AK77" s="471" t="str">
        <f>IF(ISBLANK('RESUMEN VIGILANCIA'!AJ76),"",'RESUMEN VIGILANCIA'!AJ76)</f>
        <v/>
      </c>
      <c r="AL77" s="471" t="str">
        <f>IF(ISBLANK('RESUMEN VIGILANCIA'!AK76),"",'RESUMEN VIGILANCIA'!AK76)</f>
        <v/>
      </c>
      <c r="AM77" s="471" t="str">
        <f>IF(ISBLANK('RESUMEN VIGILANCIA'!AL76),"",'RESUMEN VIGILANCIA'!AL76)</f>
        <v/>
      </c>
      <c r="AN77" s="471" t="str">
        <f>IF(ISBLANK('RESUMEN VIGILANCIA'!AM76),"",'RESUMEN VIGILANCIA'!AM76)</f>
        <v/>
      </c>
      <c r="AO77" s="472" t="str">
        <f>IF(ISBLANK('RESUMEN VIGILANCIA'!AN76),"",'RESUMEN VIGILANCIA'!AN76)</f>
        <v/>
      </c>
      <c r="AP77" s="470" t="str">
        <f>IF(ISBLANK('RESUMEN VIGILANCIA'!AO76),"",'RESUMEN VIGILANCIA'!AO76)</f>
        <v/>
      </c>
      <c r="AQ77" s="471" t="str">
        <f>IF(ISBLANK('RESUMEN VIGILANCIA'!AP76),"",'RESUMEN VIGILANCIA'!AP76)</f>
        <v/>
      </c>
      <c r="AR77" s="471" t="str">
        <f>IF(ISBLANK('RESUMEN VIGILANCIA'!AQ76),"",'RESUMEN VIGILANCIA'!AQ76)</f>
        <v/>
      </c>
      <c r="AS77" s="471" t="str">
        <f>IF(ISBLANK('RESUMEN VIGILANCIA'!AR76),"",'RESUMEN VIGILANCIA'!AR76)</f>
        <v/>
      </c>
      <c r="AT77" s="471" t="str">
        <f>IF(ISBLANK('RESUMEN VIGILANCIA'!AS76),"",'RESUMEN VIGILANCIA'!AS76)</f>
        <v/>
      </c>
      <c r="AU77" s="471" t="str">
        <f>IF(ISBLANK('RESUMEN VIGILANCIA'!AT76),"",'RESUMEN VIGILANCIA'!AT76)</f>
        <v/>
      </c>
      <c r="AV77" s="471" t="str">
        <f>IF(ISBLANK('RESUMEN VIGILANCIA'!AU76),"",'RESUMEN VIGILANCIA'!AU76)</f>
        <v/>
      </c>
      <c r="AW77" s="471" t="str">
        <f>IF(ISBLANK('RESUMEN VIGILANCIA'!AV76),"",'RESUMEN VIGILANCIA'!AV76)</f>
        <v/>
      </c>
      <c r="AX77" s="471" t="str">
        <f>IF(ISBLANK('RESUMEN VIGILANCIA'!AW76),"",'RESUMEN VIGILANCIA'!AW76)</f>
        <v/>
      </c>
      <c r="AY77" s="471" t="str">
        <f>IF(ISBLANK('RESUMEN VIGILANCIA'!AX76),"",'RESUMEN VIGILANCIA'!AX76)</f>
        <v/>
      </c>
      <c r="AZ77" s="471" t="str">
        <f>IF(ISBLANK('RESUMEN VIGILANCIA'!AY76),"",'RESUMEN VIGILANCIA'!AY76)</f>
        <v/>
      </c>
      <c r="BA77" s="472" t="str">
        <f>IF(ISBLANK('RESUMEN VIGILANCIA'!AZ76),"",'RESUMEN VIGILANCIA'!AZ76)</f>
        <v/>
      </c>
      <c r="BB77" s="242">
        <f t="shared" si="5"/>
        <v>0</v>
      </c>
      <c r="BC77" s="112"/>
      <c r="BD77" s="112">
        <v>43009</v>
      </c>
    </row>
    <row r="78" spans="1:56" s="29" customFormat="1" ht="20.100000000000001" customHeight="1">
      <c r="A78" s="30" t="str">
        <f>'RESUMEN VIGILANCIA'!A77</f>
        <v>Familia Ozar Rivero</v>
      </c>
      <c r="B78" s="31" t="str">
        <f>'RESUMEN VIGILANCIA'!B77</f>
        <v>Calle Güigüe Nro. 88-06</v>
      </c>
      <c r="C78" s="429" t="s">
        <v>1316</v>
      </c>
      <c r="D78" s="436" t="s">
        <v>1315</v>
      </c>
      <c r="E78" s="419" t="str">
        <f>IF(ISBLANK('RESUMEN VIGILANCIA'!D77),"",'RESUMEN VIGILANCIA'!D77)</f>
        <v/>
      </c>
      <c r="F78" s="282" t="str">
        <f>IF(ISBLANK('RESUMEN VIGILANCIA'!E77),"",'RESUMEN VIGILANCIA'!E77)</f>
        <v/>
      </c>
      <c r="G78" s="209" t="str">
        <f>IF(ISBLANK('RESUMEN VIGILANCIA'!F77),"",'RESUMEN VIGILANCIA'!F77)</f>
        <v/>
      </c>
      <c r="H78" s="209" t="str">
        <f>IF(ISBLANK('RESUMEN VIGILANCIA'!G77),"",'RESUMEN VIGILANCIA'!G77)</f>
        <v/>
      </c>
      <c r="I78" s="209" t="str">
        <f>IF(ISBLANK('RESUMEN VIGILANCIA'!H77),"",'RESUMEN VIGILANCIA'!H77)</f>
        <v/>
      </c>
      <c r="J78" s="209" t="str">
        <f>IF(ISBLANK('RESUMEN VIGILANCIA'!I77),"",'RESUMEN VIGILANCIA'!I77)</f>
        <v/>
      </c>
      <c r="K78" s="209" t="str">
        <f>IF(ISBLANK('RESUMEN VIGILANCIA'!J77),"",'RESUMEN VIGILANCIA'!J77)</f>
        <v/>
      </c>
      <c r="L78" s="209" t="str">
        <f>IF(ISBLANK('RESUMEN VIGILANCIA'!K77),"",'RESUMEN VIGILANCIA'!K77)</f>
        <v/>
      </c>
      <c r="M78" s="209" t="str">
        <f>IF(ISBLANK('RESUMEN VIGILANCIA'!L77),"",'RESUMEN VIGILANCIA'!L77)</f>
        <v/>
      </c>
      <c r="N78" s="209" t="str">
        <f>IF(ISBLANK('RESUMEN VIGILANCIA'!M77),"",'RESUMEN VIGILANCIA'!M77)</f>
        <v/>
      </c>
      <c r="O78" s="209">
        <f>IF(ISBLANK('RESUMEN VIGILANCIA'!N77),"",'RESUMEN VIGILANCIA'!N77)</f>
        <v>0.35</v>
      </c>
      <c r="P78" s="270">
        <f>IF(ISBLANK('RESUMEN VIGILANCIA'!O77),"",'RESUMEN VIGILANCIA'!O77)</f>
        <v>0.5</v>
      </c>
      <c r="Q78" s="179">
        <f>IF(ISBLANK('RESUMEN VIGILANCIA'!P77),"",'RESUMEN VIGILANCIA'!P77)</f>
        <v>0.5</v>
      </c>
      <c r="R78" s="271">
        <f>IF(ISBLANK('RESUMEN VIGILANCIA'!Q77),"",'RESUMEN VIGILANCIA'!Q77)</f>
        <v>0.8</v>
      </c>
      <c r="S78" s="270">
        <f>IF(ISBLANK('RESUMEN VIGILANCIA'!R77),"",'RESUMEN VIGILANCIA'!R77)</f>
        <v>0.65</v>
      </c>
      <c r="T78" s="270">
        <f>IF(ISBLANK('RESUMEN VIGILANCIA'!S77),"",'RESUMEN VIGILANCIA'!S77)</f>
        <v>1.4</v>
      </c>
      <c r="U78" s="270">
        <f>IF(ISBLANK('RESUMEN VIGILANCIA'!T77),"",'RESUMEN VIGILANCIA'!T77)</f>
        <v>1.4</v>
      </c>
      <c r="V78" s="270">
        <f>IF(ISBLANK('RESUMEN VIGILANCIA'!U77),"",'RESUMEN VIGILANCIA'!U77)</f>
        <v>4</v>
      </c>
      <c r="W78" s="270">
        <f>IF(ISBLANK('RESUMEN VIGILANCIA'!V77),"",'RESUMEN VIGILANCIA'!V77)</f>
        <v>6.25</v>
      </c>
      <c r="X78" s="270">
        <f>IF(ISBLANK('RESUMEN VIGILANCIA'!W77),"",'RESUMEN VIGILANCIA'!W77)</f>
        <v>10</v>
      </c>
      <c r="Y78" s="270">
        <f>IF(ISBLANK('RESUMEN VIGILANCIA'!X77),"",'RESUMEN VIGILANCIA'!X77)</f>
        <v>12</v>
      </c>
      <c r="Z78" s="455">
        <f>IF(ISBLANK('RESUMEN VIGILANCIA'!Y77),"",'RESUMEN VIGILANCIA'!Y77)</f>
        <v>320</v>
      </c>
      <c r="AA78" s="455">
        <f>IF(ISBLANK('RESUMEN VIGILANCIA'!Z77),"",'RESUMEN VIGILANCIA'!Z77)</f>
        <v>320</v>
      </c>
      <c r="AB78" s="455">
        <f>IF(ISBLANK('RESUMEN VIGILANCIA'!AA77),"",'RESUMEN VIGILANCIA'!AA77)</f>
        <v>320</v>
      </c>
      <c r="AC78" s="456">
        <f>IF(ISBLANK('RESUMEN VIGILANCIA'!AB77),"",'RESUMEN VIGILANCIA'!AB77)</f>
        <v>800</v>
      </c>
      <c r="AD78" s="376">
        <f>IF(ISBLANK('RESUMEN VIGILANCIA'!AC77),"",'RESUMEN VIGILANCIA'!AC77)</f>
        <v>3000</v>
      </c>
      <c r="AE78" s="377">
        <f>IF(ISBLANK('RESUMEN VIGILANCIA'!AD77),"",'RESUMEN VIGILANCIA'!AD77)</f>
        <v>3000</v>
      </c>
      <c r="AF78" s="377">
        <f>IF(ISBLANK('RESUMEN VIGILANCIA'!AE77),"",'RESUMEN VIGILANCIA'!AE77)</f>
        <v>3000</v>
      </c>
      <c r="AG78" s="377">
        <f>IF(ISBLANK('RESUMEN VIGILANCIA'!AF77),"",'RESUMEN VIGILANCIA'!AF77)</f>
        <v>5000</v>
      </c>
      <c r="AH78" s="377">
        <f>IF(ISBLANK('RESUMEN VIGILANCIA'!AG77),"",'RESUMEN VIGILANCIA'!AG77)</f>
        <v>8000</v>
      </c>
      <c r="AI78" s="377">
        <f>IF(ISBLANK('RESUMEN VIGILANCIA'!AH77),"",'RESUMEN VIGILANCIA'!AH77)</f>
        <v>8000</v>
      </c>
      <c r="AJ78" s="377">
        <f>IF(ISBLANK('RESUMEN VIGILANCIA'!AI77),"",'RESUMEN VIGILANCIA'!AI77)</f>
        <v>10000</v>
      </c>
      <c r="AK78" s="377">
        <f>IF(ISBLANK('RESUMEN VIGILANCIA'!AJ77),"",'RESUMEN VIGILANCIA'!AJ77)</f>
        <v>10000</v>
      </c>
      <c r="AL78" s="377">
        <f>IF(ISBLANK('RESUMEN VIGILANCIA'!AK77),"",'RESUMEN VIGILANCIA'!AK77)</f>
        <v>22000</v>
      </c>
      <c r="AM78" s="377">
        <f>IF(ISBLANK('RESUMEN VIGILANCIA'!AL77),"",'RESUMEN VIGILANCIA'!AL77)</f>
        <v>51250</v>
      </c>
      <c r="AN78" s="377">
        <f>IF(ISBLANK('RESUMEN VIGILANCIA'!AM77),"",'RESUMEN VIGILANCIA'!AM77)</f>
        <v>73500</v>
      </c>
      <c r="AO78" s="378">
        <f>IF(ISBLANK('RESUMEN VIGILANCIA'!AN77),"",'RESUMEN VIGILANCIA'!AN77)</f>
        <v>136250</v>
      </c>
      <c r="AP78" s="376">
        <f>IF(ISBLANK('RESUMEN VIGILANCIA'!AO77),"",'RESUMEN VIGILANCIA'!AO77)</f>
        <v>136250</v>
      </c>
      <c r="AQ78" s="377">
        <f>IF(ISBLANK('RESUMEN VIGILANCIA'!AP77),"",'RESUMEN VIGILANCIA'!AP77)</f>
        <v>136250</v>
      </c>
      <c r="AR78" s="377">
        <f>IF(ISBLANK('RESUMEN VIGILANCIA'!AQ77),"",'RESUMEN VIGILANCIA'!AQ77)</f>
        <v>185250</v>
      </c>
      <c r="AS78" s="377">
        <f>IF(ISBLANK('RESUMEN VIGILANCIA'!AR77),"",'RESUMEN VIGILANCIA'!AR77)</f>
        <v>185250</v>
      </c>
      <c r="AT78" s="377">
        <f>IF(ISBLANK('RESUMEN VIGILANCIA'!AS77),"",'RESUMEN VIGILANCIA'!AS77)</f>
        <v>229500</v>
      </c>
      <c r="AU78" s="377" t="str">
        <f>IF(ISBLANK('RESUMEN VIGILANCIA'!AT77),"",'RESUMEN VIGILANCIA'!AT77)</f>
        <v/>
      </c>
      <c r="AV78" s="377" t="str">
        <f>IF(ISBLANK('RESUMEN VIGILANCIA'!AU77),"",'RESUMEN VIGILANCIA'!AU77)</f>
        <v/>
      </c>
      <c r="AW78" s="377" t="str">
        <f>IF(ISBLANK('RESUMEN VIGILANCIA'!AV77),"",'RESUMEN VIGILANCIA'!AV77)</f>
        <v/>
      </c>
      <c r="AX78" s="377" t="str">
        <f>IF(ISBLANK('RESUMEN VIGILANCIA'!AW77),"",'RESUMEN VIGILANCIA'!AW77)</f>
        <v/>
      </c>
      <c r="AY78" s="377" t="str">
        <f>IF(ISBLANK('RESUMEN VIGILANCIA'!AX77),"",'RESUMEN VIGILANCIA'!AX77)</f>
        <v/>
      </c>
      <c r="AZ78" s="377" t="str">
        <f>IF(ISBLANK('RESUMEN VIGILANCIA'!AY77),"",'RESUMEN VIGILANCIA'!AY77)</f>
        <v/>
      </c>
      <c r="BA78" s="378" t="str">
        <f>IF(ISBLANK('RESUMEN VIGILANCIA'!AZ77),"",'RESUMEN VIGILANCIA'!AZ77)</f>
        <v/>
      </c>
      <c r="BB78" s="242">
        <f t="shared" si="5"/>
        <v>334797.84999999998</v>
      </c>
      <c r="BC78" s="112">
        <v>43040</v>
      </c>
      <c r="BD78" s="112"/>
    </row>
    <row r="79" spans="1:56" s="29" customFormat="1" ht="20.100000000000001" customHeight="1">
      <c r="A79" s="30" t="str">
        <f>'RESUMEN VIGILANCIA'!A78</f>
        <v>Familia Delgado Hidalgo</v>
      </c>
      <c r="B79" s="31" t="str">
        <f>'RESUMEN VIGILANCIA'!B78</f>
        <v>Calle Güigüe Nro. 88-10</v>
      </c>
      <c r="C79" s="429" t="s">
        <v>1316</v>
      </c>
      <c r="D79" s="436" t="s">
        <v>1315</v>
      </c>
      <c r="E79" s="417" t="str">
        <f>IF(ISBLANK('RESUMEN VIGILANCIA'!D78),"",'RESUMEN VIGILANCIA'!D78)</f>
        <v/>
      </c>
      <c r="F79" s="269">
        <f>IF(ISBLANK('RESUMEN VIGILANCIA'!E78),"",'RESUMEN VIGILANCIA'!E78)</f>
        <v>0.17</v>
      </c>
      <c r="G79" s="181">
        <f>IF(ISBLANK('RESUMEN VIGILANCIA'!F78),"",'RESUMEN VIGILANCIA'!F78)</f>
        <v>0.17</v>
      </c>
      <c r="H79" s="181">
        <f>IF(ISBLANK('RESUMEN VIGILANCIA'!G78),"",'RESUMEN VIGILANCIA'!G78)</f>
        <v>0.17</v>
      </c>
      <c r="I79" s="181">
        <f>IF(ISBLANK('RESUMEN VIGILANCIA'!H78),"",'RESUMEN VIGILANCIA'!H78)</f>
        <v>0.17</v>
      </c>
      <c r="J79" s="181">
        <f>IF(ISBLANK('RESUMEN VIGILANCIA'!I78),"",'RESUMEN VIGILANCIA'!I78)</f>
        <v>0.26</v>
      </c>
      <c r="K79" s="181">
        <f>IF(ISBLANK('RESUMEN VIGILANCIA'!J78),"",'RESUMEN VIGILANCIA'!J78)</f>
        <v>0.26</v>
      </c>
      <c r="L79" s="181">
        <f>IF(ISBLANK('RESUMEN VIGILANCIA'!K78),"",'RESUMEN VIGILANCIA'!K78)</f>
        <v>0.35</v>
      </c>
      <c r="M79" s="181">
        <f>IF(ISBLANK('RESUMEN VIGILANCIA'!L78),"",'RESUMEN VIGILANCIA'!L78)</f>
        <v>0.35</v>
      </c>
      <c r="N79" s="181">
        <f>IF(ISBLANK('RESUMEN VIGILANCIA'!M78),"",'RESUMEN VIGILANCIA'!M78)</f>
        <v>0.35</v>
      </c>
      <c r="O79" s="181">
        <f>IF(ISBLANK('RESUMEN VIGILANCIA'!N78),"",'RESUMEN VIGILANCIA'!N78)</f>
        <v>0.35</v>
      </c>
      <c r="P79" s="270">
        <f>IF(ISBLANK('RESUMEN VIGILANCIA'!O78),"",'RESUMEN VIGILANCIA'!O78)</f>
        <v>0.5</v>
      </c>
      <c r="Q79" s="179">
        <f>IF(ISBLANK('RESUMEN VIGILANCIA'!P78),"",'RESUMEN VIGILANCIA'!P78)</f>
        <v>0.5</v>
      </c>
      <c r="R79" s="271">
        <f>IF(ISBLANK('RESUMEN VIGILANCIA'!Q78),"",'RESUMEN VIGILANCIA'!Q78)</f>
        <v>0.8</v>
      </c>
      <c r="S79" s="270">
        <f>IF(ISBLANK('RESUMEN VIGILANCIA'!R78),"",'RESUMEN VIGILANCIA'!R78)</f>
        <v>0.8</v>
      </c>
      <c r="T79" s="270">
        <f>IF(ISBLANK('RESUMEN VIGILANCIA'!S78),"",'RESUMEN VIGILANCIA'!S78)</f>
        <v>1.4</v>
      </c>
      <c r="U79" s="270">
        <f>IF(ISBLANK('RESUMEN VIGILANCIA'!T78),"",'RESUMEN VIGILANCIA'!T78)</f>
        <v>1.4</v>
      </c>
      <c r="V79" s="270">
        <f>IF(ISBLANK('RESUMEN VIGILANCIA'!U78),"",'RESUMEN VIGILANCIA'!U78)</f>
        <v>4</v>
      </c>
      <c r="W79" s="270">
        <f>IF(ISBLANK('RESUMEN VIGILANCIA'!V78),"",'RESUMEN VIGILANCIA'!V78)</f>
        <v>6.25</v>
      </c>
      <c r="X79" s="270">
        <f>IF(ISBLANK('RESUMEN VIGILANCIA'!W78),"",'RESUMEN VIGILANCIA'!W78)</f>
        <v>10</v>
      </c>
      <c r="Y79" s="270">
        <f>IF(ISBLANK('RESUMEN VIGILANCIA'!X78),"",'RESUMEN VIGILANCIA'!X78)</f>
        <v>12</v>
      </c>
      <c r="Z79" s="455">
        <f>IF(ISBLANK('RESUMEN VIGILANCIA'!Y78),"",'RESUMEN VIGILANCIA'!Y78)</f>
        <v>320</v>
      </c>
      <c r="AA79" s="455">
        <f>IF(ISBLANK('RESUMEN VIGILANCIA'!Z78),"",'RESUMEN VIGILANCIA'!Z78)</f>
        <v>320</v>
      </c>
      <c r="AB79" s="455">
        <f>IF(ISBLANK('RESUMEN VIGILANCIA'!AA78),"",'RESUMEN VIGILANCIA'!AA78)</f>
        <v>320</v>
      </c>
      <c r="AC79" s="456">
        <f>IF(ISBLANK('RESUMEN VIGILANCIA'!AB78),"",'RESUMEN VIGILANCIA'!AB78)</f>
        <v>800</v>
      </c>
      <c r="AD79" s="376">
        <f>IF(ISBLANK('RESUMEN VIGILANCIA'!AC78),"",'RESUMEN VIGILANCIA'!AC78)</f>
        <v>3000</v>
      </c>
      <c r="AE79" s="377">
        <f>IF(ISBLANK('RESUMEN VIGILANCIA'!AD78),"",'RESUMEN VIGILANCIA'!AD78)</f>
        <v>3000</v>
      </c>
      <c r="AF79" s="377">
        <f>IF(ISBLANK('RESUMEN VIGILANCIA'!AE78),"",'RESUMEN VIGILANCIA'!AE78)</f>
        <v>3000</v>
      </c>
      <c r="AG79" s="377">
        <f>IF(ISBLANK('RESUMEN VIGILANCIA'!AF78),"",'RESUMEN VIGILANCIA'!AF78)</f>
        <v>5000</v>
      </c>
      <c r="AH79" s="377">
        <f>IF(ISBLANK('RESUMEN VIGILANCIA'!AG78),"",'RESUMEN VIGILANCIA'!AG78)</f>
        <v>8000</v>
      </c>
      <c r="AI79" s="377">
        <f>IF(ISBLANK('RESUMEN VIGILANCIA'!AH78),"",'RESUMEN VIGILANCIA'!AH78)</f>
        <v>8000</v>
      </c>
      <c r="AJ79" s="377">
        <f>IF(ISBLANK('RESUMEN VIGILANCIA'!AI78),"",'RESUMEN VIGILANCIA'!AI78)</f>
        <v>10000</v>
      </c>
      <c r="AK79" s="377">
        <f>IF(ISBLANK('RESUMEN VIGILANCIA'!AJ78),"",'RESUMEN VIGILANCIA'!AJ78)</f>
        <v>10000</v>
      </c>
      <c r="AL79" s="377">
        <f>IF(ISBLANK('RESUMEN VIGILANCIA'!AK78),"",'RESUMEN VIGILANCIA'!AK78)</f>
        <v>20500</v>
      </c>
      <c r="AM79" s="377">
        <f>IF(ISBLANK('RESUMEN VIGILANCIA'!AL78),"",'RESUMEN VIGILANCIA'!AL78)</f>
        <v>56260</v>
      </c>
      <c r="AN79" s="377">
        <f>IF(ISBLANK('RESUMEN VIGILANCIA'!AM78),"",'RESUMEN VIGILANCIA'!AM78)</f>
        <v>56250</v>
      </c>
      <c r="AO79" s="378">
        <f>IF(ISBLANK('RESUMEN VIGILANCIA'!AN78),"",'RESUMEN VIGILANCIA'!AN78)</f>
        <v>81750</v>
      </c>
      <c r="AP79" s="376">
        <f>IF(ISBLANK('RESUMEN VIGILANCIA'!AO78),"",'RESUMEN VIGILANCIA'!AO78)</f>
        <v>136250</v>
      </c>
      <c r="AQ79" s="377">
        <f>IF(ISBLANK('RESUMEN VIGILANCIA'!AP78),"",'RESUMEN VIGILANCIA'!AP78)</f>
        <v>136250</v>
      </c>
      <c r="AR79" s="377">
        <f>IF(ISBLANK('RESUMEN VIGILANCIA'!AQ78),"",'RESUMEN VIGILANCIA'!AQ78)</f>
        <v>185250</v>
      </c>
      <c r="AS79" s="377">
        <f>IF(ISBLANK('RESUMEN VIGILANCIA'!AR78),"",'RESUMEN VIGILANCIA'!AR78)</f>
        <v>185250</v>
      </c>
      <c r="AT79" s="377">
        <f>IF(ISBLANK('RESUMEN VIGILANCIA'!AS78),"",'RESUMEN VIGILANCIA'!AS78)</f>
        <v>250000</v>
      </c>
      <c r="AU79" s="377" t="str">
        <f>IF(ISBLANK('RESUMEN VIGILANCIA'!AT78),"",'RESUMEN VIGILANCIA'!AT78)</f>
        <v/>
      </c>
      <c r="AV79" s="377" t="str">
        <f>IF(ISBLANK('RESUMEN VIGILANCIA'!AU78),"",'RESUMEN VIGILANCIA'!AU78)</f>
        <v/>
      </c>
      <c r="AW79" s="377" t="str">
        <f>IF(ISBLANK('RESUMEN VIGILANCIA'!AV78),"",'RESUMEN VIGILANCIA'!AV78)</f>
        <v/>
      </c>
      <c r="AX79" s="377" t="str">
        <f>IF(ISBLANK('RESUMEN VIGILANCIA'!AW78),"",'RESUMEN VIGILANCIA'!AW78)</f>
        <v/>
      </c>
      <c r="AY79" s="377" t="str">
        <f>IF(ISBLANK('RESUMEN VIGILANCIA'!AX78),"",'RESUMEN VIGILANCIA'!AX78)</f>
        <v/>
      </c>
      <c r="AZ79" s="377" t="str">
        <f>IF(ISBLANK('RESUMEN VIGILANCIA'!AY78),"",'RESUMEN VIGILANCIA'!AY78)</f>
        <v/>
      </c>
      <c r="BA79" s="378" t="str">
        <f>IF(ISBLANK('RESUMEN VIGILANCIA'!AZ78),"",'RESUMEN VIGILANCIA'!AZ78)</f>
        <v/>
      </c>
      <c r="BB79" s="242">
        <f t="shared" si="5"/>
        <v>266560.25</v>
      </c>
      <c r="BC79" s="112"/>
      <c r="BD79" s="112"/>
    </row>
    <row r="80" spans="1:56" s="29" customFormat="1" ht="20.100000000000001" customHeight="1">
      <c r="A80" s="30" t="str">
        <f>'RESUMEN VIGILANCIA'!A98</f>
        <v>Familia Castillo Mena</v>
      </c>
      <c r="B80" s="31" t="str">
        <f>'RESUMEN VIGILANCIA'!B98</f>
        <v>Calle Güigüe Nro. 88-101</v>
      </c>
      <c r="C80" s="429" t="s">
        <v>1316</v>
      </c>
      <c r="D80" s="436" t="s">
        <v>1315</v>
      </c>
      <c r="E80" s="417" t="str">
        <f>IF(ISBLANK('RESUMEN VIGILANCIA'!D98),"",'RESUMEN VIGILANCIA'!D98)</f>
        <v/>
      </c>
      <c r="F80" s="269">
        <f>IF(ISBLANK('RESUMEN VIGILANCIA'!E98),"",'RESUMEN VIGILANCIA'!E98)</f>
        <v>0.17</v>
      </c>
      <c r="G80" s="181">
        <f>IF(ISBLANK('RESUMEN VIGILANCIA'!F98),"",'RESUMEN VIGILANCIA'!F98)</f>
        <v>0.17</v>
      </c>
      <c r="H80" s="181">
        <f>IF(ISBLANK('RESUMEN VIGILANCIA'!G98),"",'RESUMEN VIGILANCIA'!G98)</f>
        <v>0.17</v>
      </c>
      <c r="I80" s="181">
        <f>IF(ISBLANK('RESUMEN VIGILANCIA'!H98),"",'RESUMEN VIGILANCIA'!H98)</f>
        <v>0.17</v>
      </c>
      <c r="J80" s="181">
        <f>IF(ISBLANK('RESUMEN VIGILANCIA'!I98),"",'RESUMEN VIGILANCIA'!I98)</f>
        <v>0.26</v>
      </c>
      <c r="K80" s="181">
        <f>IF(ISBLANK('RESUMEN VIGILANCIA'!J98),"",'RESUMEN VIGILANCIA'!J98)</f>
        <v>0.26</v>
      </c>
      <c r="L80" s="181">
        <f>IF(ISBLANK('RESUMEN VIGILANCIA'!K98),"",'RESUMEN VIGILANCIA'!K98)</f>
        <v>0.35</v>
      </c>
      <c r="M80" s="181">
        <f>IF(ISBLANK('RESUMEN VIGILANCIA'!L98),"",'RESUMEN VIGILANCIA'!L98)</f>
        <v>0.35</v>
      </c>
      <c r="N80" s="181">
        <f>IF(ISBLANK('RESUMEN VIGILANCIA'!M98),"",'RESUMEN VIGILANCIA'!M98)</f>
        <v>0.35</v>
      </c>
      <c r="O80" s="181">
        <f>IF(ISBLANK('RESUMEN VIGILANCIA'!N98),"",'RESUMEN VIGILANCIA'!N98)</f>
        <v>0.35</v>
      </c>
      <c r="P80" s="270">
        <f>IF(ISBLANK('RESUMEN VIGILANCIA'!O98),"",'RESUMEN VIGILANCIA'!O98)</f>
        <v>0.5</v>
      </c>
      <c r="Q80" s="179">
        <f>IF(ISBLANK('RESUMEN VIGILANCIA'!P98),"",'RESUMEN VIGILANCIA'!P98)</f>
        <v>0.5</v>
      </c>
      <c r="R80" s="271">
        <f>IF(ISBLANK('RESUMEN VIGILANCIA'!Q98),"",'RESUMEN VIGILANCIA'!Q98)</f>
        <v>0.8</v>
      </c>
      <c r="S80" s="270">
        <f>IF(ISBLANK('RESUMEN VIGILANCIA'!R98),"",'RESUMEN VIGILANCIA'!R98)</f>
        <v>0.8</v>
      </c>
      <c r="T80" s="270">
        <f>IF(ISBLANK('RESUMEN VIGILANCIA'!S98),"",'RESUMEN VIGILANCIA'!S98)</f>
        <v>1.4</v>
      </c>
      <c r="U80" s="270">
        <f>IF(ISBLANK('RESUMEN VIGILANCIA'!T98),"",'RESUMEN VIGILANCIA'!T98)</f>
        <v>1.4</v>
      </c>
      <c r="V80" s="270">
        <f>IF(ISBLANK('RESUMEN VIGILANCIA'!U98),"",'RESUMEN VIGILANCIA'!U98)</f>
        <v>4</v>
      </c>
      <c r="W80" s="270">
        <f>IF(ISBLANK('RESUMEN VIGILANCIA'!V98),"",'RESUMEN VIGILANCIA'!V98)</f>
        <v>6.25</v>
      </c>
      <c r="X80" s="270">
        <f>IF(ISBLANK('RESUMEN VIGILANCIA'!W98),"",'RESUMEN VIGILANCIA'!W98)</f>
        <v>10</v>
      </c>
      <c r="Y80" s="270">
        <f>IF(ISBLANK('RESUMEN VIGILANCIA'!X98),"",'RESUMEN VIGILANCIA'!X98)</f>
        <v>12</v>
      </c>
      <c r="Z80" s="455">
        <f>IF(ISBLANK('RESUMEN VIGILANCIA'!Y98),"",'RESUMEN VIGILANCIA'!Y98)</f>
        <v>320</v>
      </c>
      <c r="AA80" s="455">
        <f>IF(ISBLANK('RESUMEN VIGILANCIA'!Z98),"",'RESUMEN VIGILANCIA'!Z98)</f>
        <v>320</v>
      </c>
      <c r="AB80" s="455">
        <f>IF(ISBLANK('RESUMEN VIGILANCIA'!AA98),"",'RESUMEN VIGILANCIA'!AA98)</f>
        <v>320</v>
      </c>
      <c r="AC80" s="456">
        <f>IF(ISBLANK('RESUMEN VIGILANCIA'!AB98),"",'RESUMEN VIGILANCIA'!AB98)</f>
        <v>800</v>
      </c>
      <c r="AD80" s="376">
        <f>IF(ISBLANK('RESUMEN VIGILANCIA'!AC98),"",'RESUMEN VIGILANCIA'!AC98)</f>
        <v>3000</v>
      </c>
      <c r="AE80" s="377">
        <f>IF(ISBLANK('RESUMEN VIGILANCIA'!AD98),"",'RESUMEN VIGILANCIA'!AD98)</f>
        <v>3000</v>
      </c>
      <c r="AF80" s="377">
        <f>IF(ISBLANK('RESUMEN VIGILANCIA'!AE98),"",'RESUMEN VIGILANCIA'!AE98)</f>
        <v>3000</v>
      </c>
      <c r="AG80" s="377">
        <f>IF(ISBLANK('RESUMEN VIGILANCIA'!AF98),"",'RESUMEN VIGILANCIA'!AF98)</f>
        <v>5000</v>
      </c>
      <c r="AH80" s="377">
        <f>IF(ISBLANK('RESUMEN VIGILANCIA'!AG98),"",'RESUMEN VIGILANCIA'!AG98)</f>
        <v>8000</v>
      </c>
      <c r="AI80" s="377">
        <f>IF(ISBLANK('RESUMEN VIGILANCIA'!AH98),"",'RESUMEN VIGILANCIA'!AH98)</f>
        <v>8000</v>
      </c>
      <c r="AJ80" s="377">
        <f>IF(ISBLANK('RESUMEN VIGILANCIA'!AI98),"",'RESUMEN VIGILANCIA'!AI98)</f>
        <v>10000</v>
      </c>
      <c r="AK80" s="377">
        <f>IF(ISBLANK('RESUMEN VIGILANCIA'!AJ98),"",'RESUMEN VIGILANCIA'!AJ98)</f>
        <v>10000</v>
      </c>
      <c r="AL80" s="377">
        <f>IF(ISBLANK('RESUMEN VIGILANCIA'!AK98),"",'RESUMEN VIGILANCIA'!AK98)</f>
        <v>21100</v>
      </c>
      <c r="AM80" s="377">
        <f>IF(ISBLANK('RESUMEN VIGILANCIA'!AL98),"",'RESUMEN VIGILANCIA'!AL98)</f>
        <v>51250</v>
      </c>
      <c r="AN80" s="377">
        <f>IF(ISBLANK('RESUMEN VIGILANCIA'!AM98),"",'RESUMEN VIGILANCIA'!AM98)</f>
        <v>81750</v>
      </c>
      <c r="AO80" s="378">
        <f>IF(ISBLANK('RESUMEN VIGILANCIA'!AN98),"",'RESUMEN VIGILANCIA'!AN98)</f>
        <v>105250</v>
      </c>
      <c r="AP80" s="376">
        <f>IF(ISBLANK('RESUMEN VIGILANCIA'!AO98),"",'RESUMEN VIGILANCIA'!AO98)</f>
        <v>136250</v>
      </c>
      <c r="AQ80" s="377">
        <f>IF(ISBLANK('RESUMEN VIGILANCIA'!AP98),"",'RESUMEN VIGILANCIA'!AP98)</f>
        <v>136250</v>
      </c>
      <c r="AR80" s="377">
        <f>IF(ISBLANK('RESUMEN VIGILANCIA'!AQ98),"",'RESUMEN VIGILANCIA'!AQ98)</f>
        <v>185250</v>
      </c>
      <c r="AS80" s="377">
        <f>IF(ISBLANK('RESUMEN VIGILANCIA'!AR98),"",'RESUMEN VIGILANCIA'!AR98)</f>
        <v>185250</v>
      </c>
      <c r="AT80" s="377">
        <f>IF(ISBLANK('RESUMEN VIGILANCIA'!AS98),"",'RESUMEN VIGILANCIA'!AS98)</f>
        <v>250000</v>
      </c>
      <c r="AU80" s="377" t="str">
        <f>IF(ISBLANK('RESUMEN VIGILANCIA'!AT98),"",'RESUMEN VIGILANCIA'!AT98)</f>
        <v/>
      </c>
      <c r="AV80" s="377" t="str">
        <f>IF(ISBLANK('RESUMEN VIGILANCIA'!AU98),"",'RESUMEN VIGILANCIA'!AU98)</f>
        <v/>
      </c>
      <c r="AW80" s="377" t="str">
        <f>IF(ISBLANK('RESUMEN VIGILANCIA'!AV98),"",'RESUMEN VIGILANCIA'!AV98)</f>
        <v/>
      </c>
      <c r="AX80" s="377" t="str">
        <f>IF(ISBLANK('RESUMEN VIGILANCIA'!AW98),"",'RESUMEN VIGILANCIA'!AW98)</f>
        <v/>
      </c>
      <c r="AY80" s="377" t="str">
        <f>IF(ISBLANK('RESUMEN VIGILANCIA'!AX98),"",'RESUMEN VIGILANCIA'!AX98)</f>
        <v/>
      </c>
      <c r="AZ80" s="377" t="str">
        <f>IF(ISBLANK('RESUMEN VIGILANCIA'!AY98),"",'RESUMEN VIGILANCIA'!AY98)</f>
        <v/>
      </c>
      <c r="BA80" s="378" t="str">
        <f>IF(ISBLANK('RESUMEN VIGILANCIA'!AZ98),"",'RESUMEN VIGILANCIA'!AZ98)</f>
        <v/>
      </c>
      <c r="BB80" s="242">
        <f t="shared" si="5"/>
        <v>311150.25</v>
      </c>
      <c r="BC80" s="112"/>
      <c r="BD80" s="112"/>
    </row>
    <row r="81" spans="1:56" s="29" customFormat="1" ht="20.100000000000001" customHeight="1">
      <c r="A81" s="30" t="str">
        <f>'RESUMEN VIGILANCIA'!A99</f>
        <v>Familia Centeno Rizzo</v>
      </c>
      <c r="B81" s="31" t="str">
        <f>'RESUMEN VIGILANCIA'!B99</f>
        <v>Calle Güigüe Nro. 88-102</v>
      </c>
      <c r="C81" s="429" t="s">
        <v>1317</v>
      </c>
      <c r="D81" s="436" t="s">
        <v>1315</v>
      </c>
      <c r="E81" s="417" t="str">
        <f>IF(ISBLANK('RESUMEN VIGILANCIA'!D99),"",'RESUMEN VIGILANCIA'!D99)</f>
        <v/>
      </c>
      <c r="F81" s="269" t="str">
        <f>IF(ISBLANK('RESUMEN VIGILANCIA'!E99),"",'RESUMEN VIGILANCIA'!E99)</f>
        <v/>
      </c>
      <c r="G81" s="181" t="str">
        <f>IF(ISBLANK('RESUMEN VIGILANCIA'!F99),"",'RESUMEN VIGILANCIA'!F99)</f>
        <v/>
      </c>
      <c r="H81" s="181" t="str">
        <f>IF(ISBLANK('RESUMEN VIGILANCIA'!G99),"",'RESUMEN VIGILANCIA'!G99)</f>
        <v/>
      </c>
      <c r="I81" s="181" t="str">
        <f>IF(ISBLANK('RESUMEN VIGILANCIA'!H99),"",'RESUMEN VIGILANCIA'!H99)</f>
        <v/>
      </c>
      <c r="J81" s="181" t="str">
        <f>IF(ISBLANK('RESUMEN VIGILANCIA'!I99),"",'RESUMEN VIGILANCIA'!I99)</f>
        <v/>
      </c>
      <c r="K81" s="181" t="str">
        <f>IF(ISBLANK('RESUMEN VIGILANCIA'!J99),"",'RESUMEN VIGILANCIA'!J99)</f>
        <v/>
      </c>
      <c r="L81" s="181" t="str">
        <f>IF(ISBLANK('RESUMEN VIGILANCIA'!K99),"",'RESUMEN VIGILANCIA'!K99)</f>
        <v/>
      </c>
      <c r="M81" s="181" t="str">
        <f>IF(ISBLANK('RESUMEN VIGILANCIA'!L99),"",'RESUMEN VIGILANCIA'!L99)</f>
        <v/>
      </c>
      <c r="N81" s="181" t="str">
        <f>IF(ISBLANK('RESUMEN VIGILANCIA'!M99),"",'RESUMEN VIGILANCIA'!M99)</f>
        <v/>
      </c>
      <c r="O81" s="181" t="str">
        <f>IF(ISBLANK('RESUMEN VIGILANCIA'!N99),"",'RESUMEN VIGILANCIA'!N99)</f>
        <v/>
      </c>
      <c r="P81" s="270" t="str">
        <f>IF(ISBLANK('RESUMEN VIGILANCIA'!O99),"",'RESUMEN VIGILANCIA'!O99)</f>
        <v/>
      </c>
      <c r="Q81" s="179" t="str">
        <f>IF(ISBLANK('RESUMEN VIGILANCIA'!P99),"",'RESUMEN VIGILANCIA'!P99)</f>
        <v/>
      </c>
      <c r="R81" s="271" t="str">
        <f>IF(ISBLANK('RESUMEN VIGILANCIA'!Q99),"",'RESUMEN VIGILANCIA'!Q99)</f>
        <v/>
      </c>
      <c r="S81" s="270" t="str">
        <f>IF(ISBLANK('RESUMEN VIGILANCIA'!R99),"",'RESUMEN VIGILANCIA'!R99)</f>
        <v/>
      </c>
      <c r="T81" s="270" t="str">
        <f>IF(ISBLANK('RESUMEN VIGILANCIA'!S99),"",'RESUMEN VIGILANCIA'!S99)</f>
        <v/>
      </c>
      <c r="U81" s="270" t="str">
        <f>IF(ISBLANK('RESUMEN VIGILANCIA'!T99),"",'RESUMEN VIGILANCIA'!T99)</f>
        <v/>
      </c>
      <c r="V81" s="270" t="str">
        <f>IF(ISBLANK('RESUMEN VIGILANCIA'!U99),"",'RESUMEN VIGILANCIA'!U99)</f>
        <v/>
      </c>
      <c r="W81" s="270" t="str">
        <f>IF(ISBLANK('RESUMEN VIGILANCIA'!V99),"",'RESUMEN VIGILANCIA'!V99)</f>
        <v/>
      </c>
      <c r="X81" s="270" t="str">
        <f>IF(ISBLANK('RESUMEN VIGILANCIA'!W99),"",'RESUMEN VIGILANCIA'!W99)</f>
        <v/>
      </c>
      <c r="Y81" s="270" t="str">
        <f>IF(ISBLANK('RESUMEN VIGILANCIA'!X99),"",'RESUMEN VIGILANCIA'!X99)</f>
        <v/>
      </c>
      <c r="Z81" s="455" t="str">
        <f>IF(ISBLANK('RESUMEN VIGILANCIA'!Y99),"",'RESUMEN VIGILANCIA'!Y99)</f>
        <v/>
      </c>
      <c r="AA81" s="455" t="str">
        <f>IF(ISBLANK('RESUMEN VIGILANCIA'!Z99),"",'RESUMEN VIGILANCIA'!Z99)</f>
        <v/>
      </c>
      <c r="AB81" s="455" t="str">
        <f>IF(ISBLANK('RESUMEN VIGILANCIA'!AA99),"",'RESUMEN VIGILANCIA'!AA99)</f>
        <v/>
      </c>
      <c r="AC81" s="456" t="str">
        <f>IF(ISBLANK('RESUMEN VIGILANCIA'!AB99),"",'RESUMEN VIGILANCIA'!AB99)</f>
        <v/>
      </c>
      <c r="AD81" s="376" t="str">
        <f>IF(ISBLANK('RESUMEN VIGILANCIA'!AC99),"",'RESUMEN VIGILANCIA'!AC99)</f>
        <v/>
      </c>
      <c r="AE81" s="377" t="str">
        <f>IF(ISBLANK('RESUMEN VIGILANCIA'!AD99),"",'RESUMEN VIGILANCIA'!AD99)</f>
        <v/>
      </c>
      <c r="AF81" s="377" t="str">
        <f>IF(ISBLANK('RESUMEN VIGILANCIA'!AE99),"",'RESUMEN VIGILANCIA'!AE99)</f>
        <v/>
      </c>
      <c r="AG81" s="377" t="str">
        <f>IF(ISBLANK('RESUMEN VIGILANCIA'!AF99),"",'RESUMEN VIGILANCIA'!AF99)</f>
        <v/>
      </c>
      <c r="AH81" s="377" t="str">
        <f>IF(ISBLANK('RESUMEN VIGILANCIA'!AG99),"",'RESUMEN VIGILANCIA'!AG99)</f>
        <v/>
      </c>
      <c r="AI81" s="377" t="str">
        <f>IF(ISBLANK('RESUMEN VIGILANCIA'!AH99),"",'RESUMEN VIGILANCIA'!AH99)</f>
        <v/>
      </c>
      <c r="AJ81" s="377" t="str">
        <f>IF(ISBLANK('RESUMEN VIGILANCIA'!AI99),"",'RESUMEN VIGILANCIA'!AI99)</f>
        <v/>
      </c>
      <c r="AK81" s="377" t="str">
        <f>IF(ISBLANK('RESUMEN VIGILANCIA'!AJ99),"",'RESUMEN VIGILANCIA'!AJ99)</f>
        <v/>
      </c>
      <c r="AL81" s="377" t="str">
        <f>IF(ISBLANK('RESUMEN VIGILANCIA'!AK99),"",'RESUMEN VIGILANCIA'!AK99)</f>
        <v/>
      </c>
      <c r="AM81" s="377" t="str">
        <f>IF(ISBLANK('RESUMEN VIGILANCIA'!AL99),"",'RESUMEN VIGILANCIA'!AL99)</f>
        <v/>
      </c>
      <c r="AN81" s="377" t="str">
        <f>IF(ISBLANK('RESUMEN VIGILANCIA'!AM99),"",'RESUMEN VIGILANCIA'!AM99)</f>
        <v/>
      </c>
      <c r="AO81" s="378" t="str">
        <f>IF(ISBLANK('RESUMEN VIGILANCIA'!AN99),"",'RESUMEN VIGILANCIA'!AN99)</f>
        <v/>
      </c>
      <c r="AP81" s="376" t="str">
        <f>IF(ISBLANK('RESUMEN VIGILANCIA'!AO99),"",'RESUMEN VIGILANCIA'!AO99)</f>
        <v/>
      </c>
      <c r="AQ81" s="377" t="str">
        <f>IF(ISBLANK('RESUMEN VIGILANCIA'!AP99),"",'RESUMEN VIGILANCIA'!AP99)</f>
        <v/>
      </c>
      <c r="AR81" s="377" t="str">
        <f>IF(ISBLANK('RESUMEN VIGILANCIA'!AQ99),"",'RESUMEN VIGILANCIA'!AQ99)</f>
        <v/>
      </c>
      <c r="AS81" s="377" t="str">
        <f>IF(ISBLANK('RESUMEN VIGILANCIA'!AR99),"",'RESUMEN VIGILANCIA'!AR99)</f>
        <v/>
      </c>
      <c r="AT81" s="377" t="str">
        <f>IF(ISBLANK('RESUMEN VIGILANCIA'!AS99),"",'RESUMEN VIGILANCIA'!AS99)</f>
        <v/>
      </c>
      <c r="AU81" s="377" t="str">
        <f>IF(ISBLANK('RESUMEN VIGILANCIA'!AT99),"",'RESUMEN VIGILANCIA'!AT99)</f>
        <v/>
      </c>
      <c r="AV81" s="377" t="str">
        <f>IF(ISBLANK('RESUMEN VIGILANCIA'!AU99),"",'RESUMEN VIGILANCIA'!AU99)</f>
        <v/>
      </c>
      <c r="AW81" s="377" t="str">
        <f>IF(ISBLANK('RESUMEN VIGILANCIA'!AV99),"",'RESUMEN VIGILANCIA'!AV99)</f>
        <v/>
      </c>
      <c r="AX81" s="377" t="str">
        <f>IF(ISBLANK('RESUMEN VIGILANCIA'!AW99),"",'RESUMEN VIGILANCIA'!AW99)</f>
        <v/>
      </c>
      <c r="AY81" s="377" t="str">
        <f>IF(ISBLANK('RESUMEN VIGILANCIA'!AX99),"",'RESUMEN VIGILANCIA'!AX99)</f>
        <v/>
      </c>
      <c r="AZ81" s="377" t="str">
        <f>IF(ISBLANK('RESUMEN VIGILANCIA'!AY99),"",'RESUMEN VIGILANCIA'!AY99)</f>
        <v/>
      </c>
      <c r="BA81" s="378" t="str">
        <f>IF(ISBLANK('RESUMEN VIGILANCIA'!AZ99),"",'RESUMEN VIGILANCIA'!AZ99)</f>
        <v/>
      </c>
      <c r="BB81" s="242">
        <f t="shared" si="5"/>
        <v>0</v>
      </c>
      <c r="BC81" s="112"/>
      <c r="BD81" s="112"/>
    </row>
    <row r="82" spans="1:56" s="29" customFormat="1" ht="20.100000000000001" customHeight="1">
      <c r="A82" s="33" t="str">
        <f>'RESUMEN VIGILANCIA'!A100</f>
        <v>Familia Pérez Malpica</v>
      </c>
      <c r="B82" s="34" t="str">
        <f>'RESUMEN VIGILANCIA'!B100</f>
        <v>Calle Güigüe Nro. 88-110</v>
      </c>
      <c r="C82" s="428" t="s">
        <v>1317</v>
      </c>
      <c r="D82" s="437" t="s">
        <v>1315</v>
      </c>
      <c r="E82" s="416" t="str">
        <f>IF(ISBLANK('RESUMEN VIGILANCIA'!D100),"",'RESUMEN VIGILANCIA'!D100)</f>
        <v/>
      </c>
      <c r="F82" s="266">
        <f>IF(ISBLANK('RESUMEN VIGILANCIA'!E100),"",'RESUMEN VIGILANCIA'!E100)</f>
        <v>0.02</v>
      </c>
      <c r="G82" s="188" t="str">
        <f>IF(ISBLANK('RESUMEN VIGILANCIA'!F100),"",'RESUMEN VIGILANCIA'!F100)</f>
        <v/>
      </c>
      <c r="H82" s="188" t="str">
        <f>IF(ISBLANK('RESUMEN VIGILANCIA'!G100),"",'RESUMEN VIGILANCIA'!G100)</f>
        <v/>
      </c>
      <c r="I82" s="188" t="str">
        <f>IF(ISBLANK('RESUMEN VIGILANCIA'!H100),"",'RESUMEN VIGILANCIA'!H100)</f>
        <v/>
      </c>
      <c r="J82" s="188" t="str">
        <f>IF(ISBLANK('RESUMEN VIGILANCIA'!I100),"",'RESUMEN VIGILANCIA'!I100)</f>
        <v/>
      </c>
      <c r="K82" s="188" t="str">
        <f>IF(ISBLANK('RESUMEN VIGILANCIA'!J100),"",'RESUMEN VIGILANCIA'!J100)</f>
        <v/>
      </c>
      <c r="L82" s="188" t="str">
        <f>IF(ISBLANK('RESUMEN VIGILANCIA'!K100),"",'RESUMEN VIGILANCIA'!K100)</f>
        <v/>
      </c>
      <c r="M82" s="188" t="str">
        <f>IF(ISBLANK('RESUMEN VIGILANCIA'!L100),"",'RESUMEN VIGILANCIA'!L100)</f>
        <v/>
      </c>
      <c r="N82" s="188" t="str">
        <f>IF(ISBLANK('RESUMEN VIGILANCIA'!M100),"",'RESUMEN VIGILANCIA'!M100)</f>
        <v/>
      </c>
      <c r="O82" s="188" t="str">
        <f>IF(ISBLANK('RESUMEN VIGILANCIA'!N100),"",'RESUMEN VIGILANCIA'!N100)</f>
        <v/>
      </c>
      <c r="P82" s="267" t="str">
        <f>IF(ISBLANK('RESUMEN VIGILANCIA'!O100),"",'RESUMEN VIGILANCIA'!O100)</f>
        <v/>
      </c>
      <c r="Q82" s="186" t="str">
        <f>IF(ISBLANK('RESUMEN VIGILANCIA'!P100),"",'RESUMEN VIGILANCIA'!P100)</f>
        <v/>
      </c>
      <c r="R82" s="268" t="str">
        <f>IF(ISBLANK('RESUMEN VIGILANCIA'!Q100),"",'RESUMEN VIGILANCIA'!Q100)</f>
        <v/>
      </c>
      <c r="S82" s="267" t="str">
        <f>IF(ISBLANK('RESUMEN VIGILANCIA'!R100),"",'RESUMEN VIGILANCIA'!R100)</f>
        <v/>
      </c>
      <c r="T82" s="267" t="str">
        <f>IF(ISBLANK('RESUMEN VIGILANCIA'!S100),"",'RESUMEN VIGILANCIA'!S100)</f>
        <v/>
      </c>
      <c r="U82" s="267" t="str">
        <f>IF(ISBLANK('RESUMEN VIGILANCIA'!T100),"",'RESUMEN VIGILANCIA'!T100)</f>
        <v/>
      </c>
      <c r="V82" s="267" t="str">
        <f>IF(ISBLANK('RESUMEN VIGILANCIA'!U100),"",'RESUMEN VIGILANCIA'!U100)</f>
        <v/>
      </c>
      <c r="W82" s="267" t="str">
        <f>IF(ISBLANK('RESUMEN VIGILANCIA'!V100),"",'RESUMEN VIGILANCIA'!V100)</f>
        <v/>
      </c>
      <c r="X82" s="267" t="str">
        <f>IF(ISBLANK('RESUMEN VIGILANCIA'!W100),"",'RESUMEN VIGILANCIA'!W100)</f>
        <v/>
      </c>
      <c r="Y82" s="267" t="str">
        <f>IF(ISBLANK('RESUMEN VIGILANCIA'!X100),"",'RESUMEN VIGILANCIA'!X100)</f>
        <v/>
      </c>
      <c r="Z82" s="459" t="str">
        <f>IF(ISBLANK('RESUMEN VIGILANCIA'!Y100),"",'RESUMEN VIGILANCIA'!Y100)</f>
        <v/>
      </c>
      <c r="AA82" s="459" t="str">
        <f>IF(ISBLANK('RESUMEN VIGILANCIA'!Z100),"",'RESUMEN VIGILANCIA'!Z100)</f>
        <v/>
      </c>
      <c r="AB82" s="459" t="str">
        <f>IF(ISBLANK('RESUMEN VIGILANCIA'!AA100),"",'RESUMEN VIGILANCIA'!AA100)</f>
        <v/>
      </c>
      <c r="AC82" s="460" t="str">
        <f>IF(ISBLANK('RESUMEN VIGILANCIA'!AB100),"",'RESUMEN VIGILANCIA'!AB100)</f>
        <v/>
      </c>
      <c r="AD82" s="373" t="str">
        <f>IF(ISBLANK('RESUMEN VIGILANCIA'!AC100),"",'RESUMEN VIGILANCIA'!AC100)</f>
        <v/>
      </c>
      <c r="AE82" s="374" t="str">
        <f>IF(ISBLANK('RESUMEN VIGILANCIA'!AD100),"",'RESUMEN VIGILANCIA'!AD100)</f>
        <v/>
      </c>
      <c r="AF82" s="374" t="str">
        <f>IF(ISBLANK('RESUMEN VIGILANCIA'!AE100),"",'RESUMEN VIGILANCIA'!AE100)</f>
        <v/>
      </c>
      <c r="AG82" s="374" t="str">
        <f>IF(ISBLANK('RESUMEN VIGILANCIA'!AF100),"",'RESUMEN VIGILANCIA'!AF100)</f>
        <v/>
      </c>
      <c r="AH82" s="374" t="str">
        <f>IF(ISBLANK('RESUMEN VIGILANCIA'!AG100),"",'RESUMEN VIGILANCIA'!AG100)</f>
        <v/>
      </c>
      <c r="AI82" s="374" t="str">
        <f>IF(ISBLANK('RESUMEN VIGILANCIA'!AH100),"",'RESUMEN VIGILANCIA'!AH100)</f>
        <v/>
      </c>
      <c r="AJ82" s="374" t="str">
        <f>IF(ISBLANK('RESUMEN VIGILANCIA'!AI100),"",'RESUMEN VIGILANCIA'!AI100)</f>
        <v/>
      </c>
      <c r="AK82" s="374" t="str">
        <f>IF(ISBLANK('RESUMEN VIGILANCIA'!AJ100),"",'RESUMEN VIGILANCIA'!AJ100)</f>
        <v/>
      </c>
      <c r="AL82" s="374" t="str">
        <f>IF(ISBLANK('RESUMEN VIGILANCIA'!AK100),"",'RESUMEN VIGILANCIA'!AK100)</f>
        <v/>
      </c>
      <c r="AM82" s="374" t="str">
        <f>IF(ISBLANK('RESUMEN VIGILANCIA'!AL100),"",'RESUMEN VIGILANCIA'!AL100)</f>
        <v/>
      </c>
      <c r="AN82" s="374" t="str">
        <f>IF(ISBLANK('RESUMEN VIGILANCIA'!AM100),"",'RESUMEN VIGILANCIA'!AM100)</f>
        <v/>
      </c>
      <c r="AO82" s="375" t="str">
        <f>IF(ISBLANK('RESUMEN VIGILANCIA'!AN100),"",'RESUMEN VIGILANCIA'!AN100)</f>
        <v/>
      </c>
      <c r="AP82" s="373" t="str">
        <f>IF(ISBLANK('RESUMEN VIGILANCIA'!AO100),"",'RESUMEN VIGILANCIA'!AO100)</f>
        <v/>
      </c>
      <c r="AQ82" s="374" t="str">
        <f>IF(ISBLANK('RESUMEN VIGILANCIA'!AP100),"",'RESUMEN VIGILANCIA'!AP100)</f>
        <v/>
      </c>
      <c r="AR82" s="374" t="str">
        <f>IF(ISBLANK('RESUMEN VIGILANCIA'!AQ100),"",'RESUMEN VIGILANCIA'!AQ100)</f>
        <v/>
      </c>
      <c r="AS82" s="374" t="str">
        <f>IF(ISBLANK('RESUMEN VIGILANCIA'!AR100),"",'RESUMEN VIGILANCIA'!AR100)</f>
        <v/>
      </c>
      <c r="AT82" s="374" t="str">
        <f>IF(ISBLANK('RESUMEN VIGILANCIA'!AS100),"",'RESUMEN VIGILANCIA'!AS100)</f>
        <v/>
      </c>
      <c r="AU82" s="374" t="str">
        <f>IF(ISBLANK('RESUMEN VIGILANCIA'!AT100),"",'RESUMEN VIGILANCIA'!AT100)</f>
        <v/>
      </c>
      <c r="AV82" s="374" t="str">
        <f>IF(ISBLANK('RESUMEN VIGILANCIA'!AU100),"",'RESUMEN VIGILANCIA'!AU100)</f>
        <v/>
      </c>
      <c r="AW82" s="374" t="str">
        <f>IF(ISBLANK('RESUMEN VIGILANCIA'!AV100),"",'RESUMEN VIGILANCIA'!AV100)</f>
        <v/>
      </c>
      <c r="AX82" s="374" t="str">
        <f>IF(ISBLANK('RESUMEN VIGILANCIA'!AW100),"",'RESUMEN VIGILANCIA'!AW100)</f>
        <v/>
      </c>
      <c r="AY82" s="374" t="str">
        <f>IF(ISBLANK('RESUMEN VIGILANCIA'!AX100),"",'RESUMEN VIGILANCIA'!AX100)</f>
        <v/>
      </c>
      <c r="AZ82" s="374" t="str">
        <f>IF(ISBLANK('RESUMEN VIGILANCIA'!AY100),"",'RESUMEN VIGILANCIA'!AY100)</f>
        <v/>
      </c>
      <c r="BA82" s="375" t="str">
        <f>IF(ISBLANK('RESUMEN VIGILANCIA'!AZ100),"",'RESUMEN VIGILANCIA'!AZ100)</f>
        <v/>
      </c>
      <c r="BB82" s="241">
        <f t="shared" si="5"/>
        <v>0.02</v>
      </c>
      <c r="BC82" s="111"/>
      <c r="BD82" s="111"/>
    </row>
    <row r="83" spans="1:56" s="29" customFormat="1" ht="20.100000000000001" customHeight="1">
      <c r="A83" s="30" t="str">
        <f>'RESUMEN VIGILANCIA'!A101</f>
        <v>Familia Astor Zamora</v>
      </c>
      <c r="B83" s="31" t="str">
        <f>'RESUMEN VIGILANCIA'!B101</f>
        <v>Calle Güigüe Nro. 88-111</v>
      </c>
      <c r="C83" s="429" t="s">
        <v>1317</v>
      </c>
      <c r="D83" s="436" t="s">
        <v>1315</v>
      </c>
      <c r="E83" s="417" t="str">
        <f>IF(ISBLANK('RESUMEN VIGILANCIA'!D101),"",'RESUMEN VIGILANCIA'!D101)</f>
        <v/>
      </c>
      <c r="F83" s="269">
        <f>IF(ISBLANK('RESUMEN VIGILANCIA'!E101),"",'RESUMEN VIGILANCIA'!E101)</f>
        <v>0.17</v>
      </c>
      <c r="G83" s="181">
        <f>IF(ISBLANK('RESUMEN VIGILANCIA'!F101),"",'RESUMEN VIGILANCIA'!F101)</f>
        <v>0.17</v>
      </c>
      <c r="H83" s="181">
        <f>IF(ISBLANK('RESUMEN VIGILANCIA'!G101),"",'RESUMEN VIGILANCIA'!G101)</f>
        <v>0.17</v>
      </c>
      <c r="I83" s="181">
        <f>IF(ISBLANK('RESUMEN VIGILANCIA'!H101),"",'RESUMEN VIGILANCIA'!H101)</f>
        <v>0.17</v>
      </c>
      <c r="J83" s="181">
        <f>IF(ISBLANK('RESUMEN VIGILANCIA'!I101),"",'RESUMEN VIGILANCIA'!I101)</f>
        <v>0.26</v>
      </c>
      <c r="K83" s="181">
        <f>IF(ISBLANK('RESUMEN VIGILANCIA'!J101),"",'RESUMEN VIGILANCIA'!J101)</f>
        <v>0.26</v>
      </c>
      <c r="L83" s="181">
        <f>IF(ISBLANK('RESUMEN VIGILANCIA'!K101),"",'RESUMEN VIGILANCIA'!K101)</f>
        <v>0.35</v>
      </c>
      <c r="M83" s="181">
        <f>IF(ISBLANK('RESUMEN VIGILANCIA'!L101),"",'RESUMEN VIGILANCIA'!L101)</f>
        <v>0.35</v>
      </c>
      <c r="N83" s="181" t="str">
        <f>IF(ISBLANK('RESUMEN VIGILANCIA'!M101),"",'RESUMEN VIGILANCIA'!M101)</f>
        <v/>
      </c>
      <c r="O83" s="181" t="str">
        <f>IF(ISBLANK('RESUMEN VIGILANCIA'!N101),"",'RESUMEN VIGILANCIA'!N101)</f>
        <v/>
      </c>
      <c r="P83" s="270" t="str">
        <f>IF(ISBLANK('RESUMEN VIGILANCIA'!O101),"",'RESUMEN VIGILANCIA'!O101)</f>
        <v/>
      </c>
      <c r="Q83" s="179" t="str">
        <f>IF(ISBLANK('RESUMEN VIGILANCIA'!P101),"",'RESUMEN VIGILANCIA'!P101)</f>
        <v/>
      </c>
      <c r="R83" s="271">
        <f>IF(ISBLANK('RESUMEN VIGILANCIA'!Q101),"",'RESUMEN VIGILANCIA'!Q101)</f>
        <v>0.8</v>
      </c>
      <c r="S83" s="270">
        <f>IF(ISBLANK('RESUMEN VIGILANCIA'!R101),"",'RESUMEN VIGILANCIA'!R101)</f>
        <v>0.8</v>
      </c>
      <c r="T83" s="270">
        <f>IF(ISBLANK('RESUMEN VIGILANCIA'!S101),"",'RESUMEN VIGILANCIA'!S101)</f>
        <v>1.4</v>
      </c>
      <c r="U83" s="270">
        <f>IF(ISBLANK('RESUMEN VIGILANCIA'!T101),"",'RESUMEN VIGILANCIA'!T101)</f>
        <v>1.4</v>
      </c>
      <c r="V83" s="270">
        <f>IF(ISBLANK('RESUMEN VIGILANCIA'!U101),"",'RESUMEN VIGILANCIA'!U101)</f>
        <v>4</v>
      </c>
      <c r="W83" s="270">
        <f>IF(ISBLANK('RESUMEN VIGILANCIA'!V101),"",'RESUMEN VIGILANCIA'!V101)</f>
        <v>3.25</v>
      </c>
      <c r="X83" s="270">
        <f>IF(ISBLANK('RESUMEN VIGILANCIA'!W101),"",'RESUMEN VIGILANCIA'!W101)</f>
        <v>10</v>
      </c>
      <c r="Y83" s="270">
        <f>IF(ISBLANK('RESUMEN VIGILANCIA'!X101),"",'RESUMEN VIGILANCIA'!X101)</f>
        <v>12</v>
      </c>
      <c r="Z83" s="455">
        <f>IF(ISBLANK('RESUMEN VIGILANCIA'!Y101),"",'RESUMEN VIGILANCIA'!Y101)</f>
        <v>320</v>
      </c>
      <c r="AA83" s="455">
        <f>IF(ISBLANK('RESUMEN VIGILANCIA'!Z101),"",'RESUMEN VIGILANCIA'!Z101)</f>
        <v>320</v>
      </c>
      <c r="AB83" s="455">
        <f>IF(ISBLANK('RESUMEN VIGILANCIA'!AA101),"",'RESUMEN VIGILANCIA'!AA101)</f>
        <v>320</v>
      </c>
      <c r="AC83" s="456">
        <f>IF(ISBLANK('RESUMEN VIGILANCIA'!AB101),"",'RESUMEN VIGILANCIA'!AB101)</f>
        <v>800</v>
      </c>
      <c r="AD83" s="376">
        <f>IF(ISBLANK('RESUMEN VIGILANCIA'!AC101),"",'RESUMEN VIGILANCIA'!AC101)</f>
        <v>3000</v>
      </c>
      <c r="AE83" s="377">
        <f>IF(ISBLANK('RESUMEN VIGILANCIA'!AD101),"",'RESUMEN VIGILANCIA'!AD101)</f>
        <v>3000</v>
      </c>
      <c r="AF83" s="377">
        <f>IF(ISBLANK('RESUMEN VIGILANCIA'!AE101),"",'RESUMEN VIGILANCIA'!AE101)</f>
        <v>3000</v>
      </c>
      <c r="AG83" s="377">
        <f>IF(ISBLANK('RESUMEN VIGILANCIA'!AF101),"",'RESUMEN VIGILANCIA'!AF101)</f>
        <v>5000</v>
      </c>
      <c r="AH83" s="377">
        <f>IF(ISBLANK('RESUMEN VIGILANCIA'!AG101),"",'RESUMEN VIGILANCIA'!AG101)</f>
        <v>8000</v>
      </c>
      <c r="AI83" s="377">
        <f>IF(ISBLANK('RESUMEN VIGILANCIA'!AH101),"",'RESUMEN VIGILANCIA'!AH101)</f>
        <v>8000</v>
      </c>
      <c r="AJ83" s="377">
        <f>IF(ISBLANK('RESUMEN VIGILANCIA'!AI101),"",'RESUMEN VIGILANCIA'!AI101)</f>
        <v>10000</v>
      </c>
      <c r="AK83" s="377">
        <f>IF(ISBLANK('RESUMEN VIGILANCIA'!AJ101),"",'RESUMEN VIGILANCIA'!AJ101)</f>
        <v>10000</v>
      </c>
      <c r="AL83" s="377">
        <f>IF(ISBLANK('RESUMEN VIGILANCIA'!AK101),"",'RESUMEN VIGILANCIA'!AK101)</f>
        <v>19800</v>
      </c>
      <c r="AM83" s="377">
        <f>IF(ISBLANK('RESUMEN VIGILANCIA'!AL101),"",'RESUMEN VIGILANCIA'!AL101)</f>
        <v>56250</v>
      </c>
      <c r="AN83" s="377" t="str">
        <f>IF(ISBLANK('RESUMEN VIGILANCIA'!AM101),"",'RESUMEN VIGILANCIA'!AM101)</f>
        <v/>
      </c>
      <c r="AO83" s="378" t="str">
        <f>IF(ISBLANK('RESUMEN VIGILANCIA'!AN101),"",'RESUMEN VIGILANCIA'!AN101)</f>
        <v/>
      </c>
      <c r="AP83" s="376" t="str">
        <f>IF(ISBLANK('RESUMEN VIGILANCIA'!AO101),"",'RESUMEN VIGILANCIA'!AO101)</f>
        <v/>
      </c>
      <c r="AQ83" s="377" t="str">
        <f>IF(ISBLANK('RESUMEN VIGILANCIA'!AP101),"",'RESUMEN VIGILANCIA'!AP101)</f>
        <v/>
      </c>
      <c r="AR83" s="377" t="str">
        <f>IF(ISBLANK('RESUMEN VIGILANCIA'!AQ101),"",'RESUMEN VIGILANCIA'!AQ101)</f>
        <v/>
      </c>
      <c r="AS83" s="377" t="str">
        <f>IF(ISBLANK('RESUMEN VIGILANCIA'!AR101),"",'RESUMEN VIGILANCIA'!AR101)</f>
        <v/>
      </c>
      <c r="AT83" s="377" t="str">
        <f>IF(ISBLANK('RESUMEN VIGILANCIA'!AS101),"",'RESUMEN VIGILANCIA'!AS101)</f>
        <v/>
      </c>
      <c r="AU83" s="377" t="str">
        <f>IF(ISBLANK('RESUMEN VIGILANCIA'!AT101),"",'RESUMEN VIGILANCIA'!AT101)</f>
        <v/>
      </c>
      <c r="AV83" s="377" t="str">
        <f>IF(ISBLANK('RESUMEN VIGILANCIA'!AU101),"",'RESUMEN VIGILANCIA'!AU101)</f>
        <v/>
      </c>
      <c r="AW83" s="377" t="str">
        <f>IF(ISBLANK('RESUMEN VIGILANCIA'!AV101),"",'RESUMEN VIGILANCIA'!AV101)</f>
        <v/>
      </c>
      <c r="AX83" s="377" t="str">
        <f>IF(ISBLANK('RESUMEN VIGILANCIA'!AW101),"",'RESUMEN VIGILANCIA'!AW101)</f>
        <v/>
      </c>
      <c r="AY83" s="377" t="str">
        <f>IF(ISBLANK('RESUMEN VIGILANCIA'!AX101),"",'RESUMEN VIGILANCIA'!AX101)</f>
        <v/>
      </c>
      <c r="AZ83" s="377" t="str">
        <f>IF(ISBLANK('RESUMEN VIGILANCIA'!AY101),"",'RESUMEN VIGILANCIA'!AY101)</f>
        <v/>
      </c>
      <c r="BA83" s="378" t="str">
        <f>IF(ISBLANK('RESUMEN VIGILANCIA'!AZ101),"",'RESUMEN VIGILANCIA'!AZ101)</f>
        <v/>
      </c>
      <c r="BB83" s="242">
        <f t="shared" si="5"/>
        <v>127845.55</v>
      </c>
      <c r="BC83" s="112"/>
      <c r="BD83" s="112"/>
    </row>
    <row r="84" spans="1:56" s="29" customFormat="1" ht="20.100000000000001" customHeight="1">
      <c r="A84" s="30" t="str">
        <f>'RESUMEN VIGILANCIA'!A102</f>
        <v>Familia Díaz González</v>
      </c>
      <c r="B84" s="31" t="str">
        <f>'RESUMEN VIGILANCIA'!B102</f>
        <v>Calle Güigüe Nro. 88-116</v>
      </c>
      <c r="C84" s="429" t="s">
        <v>1316</v>
      </c>
      <c r="D84" s="436" t="s">
        <v>1315</v>
      </c>
      <c r="E84" s="417" t="str">
        <f>IF(ISBLANK('RESUMEN VIGILANCIA'!D102),"",'RESUMEN VIGILANCIA'!D102)</f>
        <v/>
      </c>
      <c r="F84" s="269">
        <f>IF(ISBLANK('RESUMEN VIGILANCIA'!E102),"",'RESUMEN VIGILANCIA'!E102)</f>
        <v>0.17</v>
      </c>
      <c r="G84" s="181">
        <f>IF(ISBLANK('RESUMEN VIGILANCIA'!F102),"",'RESUMEN VIGILANCIA'!F102)</f>
        <v>0.17</v>
      </c>
      <c r="H84" s="181">
        <f>IF(ISBLANK('RESUMEN VIGILANCIA'!G102),"",'RESUMEN VIGILANCIA'!G102)</f>
        <v>0.17</v>
      </c>
      <c r="I84" s="181">
        <f>IF(ISBLANK('RESUMEN VIGILANCIA'!H102),"",'RESUMEN VIGILANCIA'!H102)</f>
        <v>0.17</v>
      </c>
      <c r="J84" s="181">
        <f>IF(ISBLANK('RESUMEN VIGILANCIA'!I102),"",'RESUMEN VIGILANCIA'!I102)</f>
        <v>0.26</v>
      </c>
      <c r="K84" s="181">
        <f>IF(ISBLANK('RESUMEN VIGILANCIA'!J102),"",'RESUMEN VIGILANCIA'!J102)</f>
        <v>0.26</v>
      </c>
      <c r="L84" s="181">
        <f>IF(ISBLANK('RESUMEN VIGILANCIA'!K102),"",'RESUMEN VIGILANCIA'!K102)</f>
        <v>0.35</v>
      </c>
      <c r="M84" s="181">
        <f>IF(ISBLANK('RESUMEN VIGILANCIA'!L102),"",'RESUMEN VIGILANCIA'!L102)</f>
        <v>0.35</v>
      </c>
      <c r="N84" s="181">
        <f>IF(ISBLANK('RESUMEN VIGILANCIA'!M102),"",'RESUMEN VIGILANCIA'!M102)</f>
        <v>0.35</v>
      </c>
      <c r="O84" s="181">
        <f>IF(ISBLANK('RESUMEN VIGILANCIA'!N102),"",'RESUMEN VIGILANCIA'!N102)</f>
        <v>0.35</v>
      </c>
      <c r="P84" s="270">
        <f>IF(ISBLANK('RESUMEN VIGILANCIA'!O102),"",'RESUMEN VIGILANCIA'!O102)</f>
        <v>0.5</v>
      </c>
      <c r="Q84" s="179">
        <f>IF(ISBLANK('RESUMEN VIGILANCIA'!P102),"",'RESUMEN VIGILANCIA'!P102)</f>
        <v>0.5</v>
      </c>
      <c r="R84" s="271">
        <f>IF(ISBLANK('RESUMEN VIGILANCIA'!Q102),"",'RESUMEN VIGILANCIA'!Q102)</f>
        <v>0.8</v>
      </c>
      <c r="S84" s="270">
        <f>IF(ISBLANK('RESUMEN VIGILANCIA'!R102),"",'RESUMEN VIGILANCIA'!R102)</f>
        <v>0.8</v>
      </c>
      <c r="T84" s="270">
        <f>IF(ISBLANK('RESUMEN VIGILANCIA'!S102),"",'RESUMEN VIGILANCIA'!S102)</f>
        <v>1.4</v>
      </c>
      <c r="U84" s="270">
        <f>IF(ISBLANK('RESUMEN VIGILANCIA'!T102),"",'RESUMEN VIGILANCIA'!T102)</f>
        <v>1.4</v>
      </c>
      <c r="V84" s="270">
        <f>IF(ISBLANK('RESUMEN VIGILANCIA'!U102),"",'RESUMEN VIGILANCIA'!U102)</f>
        <v>4</v>
      </c>
      <c r="W84" s="270">
        <f>IF(ISBLANK('RESUMEN VIGILANCIA'!V102),"",'RESUMEN VIGILANCIA'!V102)</f>
        <v>6.25</v>
      </c>
      <c r="X84" s="270">
        <f>IF(ISBLANK('RESUMEN VIGILANCIA'!W102),"",'RESUMEN VIGILANCIA'!W102)</f>
        <v>10</v>
      </c>
      <c r="Y84" s="270">
        <f>IF(ISBLANK('RESUMEN VIGILANCIA'!X102),"",'RESUMEN VIGILANCIA'!X102)</f>
        <v>12</v>
      </c>
      <c r="Z84" s="455">
        <f>IF(ISBLANK('RESUMEN VIGILANCIA'!Y102),"",'RESUMEN VIGILANCIA'!Y102)</f>
        <v>320</v>
      </c>
      <c r="AA84" s="455">
        <f>IF(ISBLANK('RESUMEN VIGILANCIA'!Z102),"",'RESUMEN VIGILANCIA'!Z102)</f>
        <v>320</v>
      </c>
      <c r="AB84" s="455">
        <f>IF(ISBLANK('RESUMEN VIGILANCIA'!AA102),"",'RESUMEN VIGILANCIA'!AA102)</f>
        <v>320</v>
      </c>
      <c r="AC84" s="456">
        <f>IF(ISBLANK('RESUMEN VIGILANCIA'!AB102),"",'RESUMEN VIGILANCIA'!AB102)</f>
        <v>800</v>
      </c>
      <c r="AD84" s="376">
        <f>IF(ISBLANK('RESUMEN VIGILANCIA'!AC102),"",'RESUMEN VIGILANCIA'!AC102)</f>
        <v>3000</v>
      </c>
      <c r="AE84" s="377">
        <f>IF(ISBLANK('RESUMEN VIGILANCIA'!AD102),"",'RESUMEN VIGILANCIA'!AD102)</f>
        <v>3000</v>
      </c>
      <c r="AF84" s="377">
        <f>IF(ISBLANK('RESUMEN VIGILANCIA'!AE102),"",'RESUMEN VIGILANCIA'!AE102)</f>
        <v>3000</v>
      </c>
      <c r="AG84" s="377">
        <f>IF(ISBLANK('RESUMEN VIGILANCIA'!AF102),"",'RESUMEN VIGILANCIA'!AF102)</f>
        <v>5000</v>
      </c>
      <c r="AH84" s="377">
        <f>IF(ISBLANK('RESUMEN VIGILANCIA'!AG102),"",'RESUMEN VIGILANCIA'!AG102)</f>
        <v>8000</v>
      </c>
      <c r="AI84" s="377">
        <f>IF(ISBLANK('RESUMEN VIGILANCIA'!AH102),"",'RESUMEN VIGILANCIA'!AH102)</f>
        <v>8000</v>
      </c>
      <c r="AJ84" s="377">
        <f>IF(ISBLANK('RESUMEN VIGILANCIA'!AI102),"",'RESUMEN VIGILANCIA'!AI102)</f>
        <v>10000</v>
      </c>
      <c r="AK84" s="377">
        <f>IF(ISBLANK('RESUMEN VIGILANCIA'!AJ102),"",'RESUMEN VIGILANCIA'!AJ102)</f>
        <v>10000</v>
      </c>
      <c r="AL84" s="377">
        <f>IF(ISBLANK('RESUMEN VIGILANCIA'!AK102),"",'RESUMEN VIGILANCIA'!AK102)</f>
        <v>19800</v>
      </c>
      <c r="AM84" s="377">
        <f>IF(ISBLANK('RESUMEN VIGILANCIA'!AL102),"",'RESUMEN VIGILANCIA'!AL102)</f>
        <v>47000</v>
      </c>
      <c r="AN84" s="377">
        <f>IF(ISBLANK('RESUMEN VIGILANCIA'!AM102),"",'RESUMEN VIGILANCIA'!AM102)</f>
        <v>64500</v>
      </c>
      <c r="AO84" s="378">
        <f>IF(ISBLANK('RESUMEN VIGILANCIA'!AN102),"",'RESUMEN VIGILANCIA'!AN102)</f>
        <v>64500</v>
      </c>
      <c r="AP84" s="376">
        <f>IF(ISBLANK('RESUMEN VIGILANCIA'!AO102),"",'RESUMEN VIGILANCIA'!AO102)</f>
        <v>136250</v>
      </c>
      <c r="AQ84" s="377">
        <f>IF(ISBLANK('RESUMEN VIGILANCIA'!AP102),"",'RESUMEN VIGILANCIA'!AP102)</f>
        <v>136250</v>
      </c>
      <c r="AR84" s="377">
        <f>IF(ISBLANK('RESUMEN VIGILANCIA'!AQ102),"",'RESUMEN VIGILANCIA'!AQ102)</f>
        <v>185250</v>
      </c>
      <c r="AS84" s="377">
        <f>IF(ISBLANK('RESUMEN VIGILANCIA'!AR102),"",'RESUMEN VIGILANCIA'!AR102)</f>
        <v>185250</v>
      </c>
      <c r="AT84" s="377">
        <f>IF(ISBLANK('RESUMEN VIGILANCIA'!AS102),"",'RESUMEN VIGILANCIA'!AS102)</f>
        <v>250000</v>
      </c>
      <c r="AU84" s="377" t="str">
        <f>IF(ISBLANK('RESUMEN VIGILANCIA'!AT102),"",'RESUMEN VIGILANCIA'!AT102)</f>
        <v/>
      </c>
      <c r="AV84" s="377" t="str">
        <f>IF(ISBLANK('RESUMEN VIGILANCIA'!AU102),"",'RESUMEN VIGILANCIA'!AU102)</f>
        <v/>
      </c>
      <c r="AW84" s="377" t="str">
        <f>IF(ISBLANK('RESUMEN VIGILANCIA'!AV102),"",'RESUMEN VIGILANCIA'!AV102)</f>
        <v/>
      </c>
      <c r="AX84" s="377" t="str">
        <f>IF(ISBLANK('RESUMEN VIGILANCIA'!AW102),"",'RESUMEN VIGILANCIA'!AW102)</f>
        <v/>
      </c>
      <c r="AY84" s="377" t="str">
        <f>IF(ISBLANK('RESUMEN VIGILANCIA'!AX102),"",'RESUMEN VIGILANCIA'!AX102)</f>
        <v/>
      </c>
      <c r="AZ84" s="377" t="str">
        <f>IF(ISBLANK('RESUMEN VIGILANCIA'!AY102),"",'RESUMEN VIGILANCIA'!AY102)</f>
        <v/>
      </c>
      <c r="BA84" s="378" t="str">
        <f>IF(ISBLANK('RESUMEN VIGILANCIA'!AZ102),"",'RESUMEN VIGILANCIA'!AZ102)</f>
        <v/>
      </c>
      <c r="BB84" s="242">
        <f t="shared" si="5"/>
        <v>247600.25</v>
      </c>
      <c r="BC84" s="112"/>
      <c r="BD84" s="112"/>
    </row>
    <row r="85" spans="1:56" s="29" customFormat="1" ht="20.100000000000001" customHeight="1">
      <c r="A85" s="30" t="str">
        <f>'RESUMEN VIGILANCIA'!A103</f>
        <v>Familia Loponte Arteaga</v>
      </c>
      <c r="B85" s="31" t="str">
        <f>'RESUMEN VIGILANCIA'!B103</f>
        <v>Calle Güigüe Nro. 88-120</v>
      </c>
      <c r="C85" s="429" t="s">
        <v>1316</v>
      </c>
      <c r="D85" s="436"/>
      <c r="E85" s="417" t="str">
        <f>IF(ISBLANK('RESUMEN VIGILANCIA'!D103),"",'RESUMEN VIGILANCIA'!D103)</f>
        <v/>
      </c>
      <c r="F85" s="273">
        <f>IF(ISBLANK('RESUMEN VIGILANCIA'!E103),"",'RESUMEN VIGILANCIA'!E103)</f>
        <v>0.105</v>
      </c>
      <c r="G85" s="181">
        <f>IF(ISBLANK('RESUMEN VIGILANCIA'!F103),"",'RESUMEN VIGILANCIA'!F103)</f>
        <v>0.17</v>
      </c>
      <c r="H85" s="181">
        <f>IF(ISBLANK('RESUMEN VIGILANCIA'!G103),"",'RESUMEN VIGILANCIA'!G103)</f>
        <v>0.17</v>
      </c>
      <c r="I85" s="181">
        <f>IF(ISBLANK('RESUMEN VIGILANCIA'!H103),"",'RESUMEN VIGILANCIA'!H103)</f>
        <v>0.17</v>
      </c>
      <c r="J85" s="181">
        <f>IF(ISBLANK('RESUMEN VIGILANCIA'!I103),"",'RESUMEN VIGILANCIA'!I103)</f>
        <v>0.26</v>
      </c>
      <c r="K85" s="181">
        <f>IF(ISBLANK('RESUMEN VIGILANCIA'!J103),"",'RESUMEN VIGILANCIA'!J103)</f>
        <v>0.26</v>
      </c>
      <c r="L85" s="226">
        <f>IF(ISBLANK('RESUMEN VIGILANCIA'!K103),"",'RESUMEN VIGILANCIA'!K103)</f>
        <v>0.26</v>
      </c>
      <c r="M85" s="181">
        <f>IF(ISBLANK('RESUMEN VIGILANCIA'!L103),"",'RESUMEN VIGILANCIA'!L103)</f>
        <v>0.35</v>
      </c>
      <c r="N85" s="181">
        <f>IF(ISBLANK('RESUMEN VIGILANCIA'!M103),"",'RESUMEN VIGILANCIA'!M103)</f>
        <v>0.35</v>
      </c>
      <c r="O85" s="181">
        <f>IF(ISBLANK('RESUMEN VIGILANCIA'!N103),"",'RESUMEN VIGILANCIA'!N103)</f>
        <v>0.35</v>
      </c>
      <c r="P85" s="270">
        <f>IF(ISBLANK('RESUMEN VIGILANCIA'!O103),"",'RESUMEN VIGILANCIA'!O103)</f>
        <v>0.5</v>
      </c>
      <c r="Q85" s="179">
        <f>IF(ISBLANK('RESUMEN VIGILANCIA'!P103),"",'RESUMEN VIGILANCIA'!P103)</f>
        <v>0.5</v>
      </c>
      <c r="R85" s="271">
        <f>IF(ISBLANK('RESUMEN VIGILANCIA'!Q103),"",'RESUMEN VIGILANCIA'!Q103)</f>
        <v>0.8</v>
      </c>
      <c r="S85" s="270">
        <f>IF(ISBLANK('RESUMEN VIGILANCIA'!R103),"",'RESUMEN VIGILANCIA'!R103)</f>
        <v>0.8</v>
      </c>
      <c r="T85" s="270">
        <f>IF(ISBLANK('RESUMEN VIGILANCIA'!S103),"",'RESUMEN VIGILANCIA'!S103)</f>
        <v>1.4</v>
      </c>
      <c r="U85" s="270">
        <f>IF(ISBLANK('RESUMEN VIGILANCIA'!T103),"",'RESUMEN VIGILANCIA'!T103)</f>
        <v>1.4</v>
      </c>
      <c r="V85" s="270">
        <f>IF(ISBLANK('RESUMEN VIGILANCIA'!U103),"",'RESUMEN VIGILANCIA'!U103)</f>
        <v>4</v>
      </c>
      <c r="W85" s="270">
        <f>IF(ISBLANK('RESUMEN VIGILANCIA'!V103),"",'RESUMEN VIGILANCIA'!V103)</f>
        <v>6.25</v>
      </c>
      <c r="X85" s="270">
        <f>IF(ISBLANK('RESUMEN VIGILANCIA'!W103),"",'RESUMEN VIGILANCIA'!W103)</f>
        <v>10</v>
      </c>
      <c r="Y85" s="270">
        <f>IF(ISBLANK('RESUMEN VIGILANCIA'!X103),"",'RESUMEN VIGILANCIA'!X103)</f>
        <v>12</v>
      </c>
      <c r="Z85" s="455">
        <f>IF(ISBLANK('RESUMEN VIGILANCIA'!Y103),"",'RESUMEN VIGILANCIA'!Y103)</f>
        <v>320</v>
      </c>
      <c r="AA85" s="455">
        <f>IF(ISBLANK('RESUMEN VIGILANCIA'!Z103),"",'RESUMEN VIGILANCIA'!Z103)</f>
        <v>320</v>
      </c>
      <c r="AB85" s="455">
        <f>IF(ISBLANK('RESUMEN VIGILANCIA'!AA103),"",'RESUMEN VIGILANCIA'!AA103)</f>
        <v>320</v>
      </c>
      <c r="AC85" s="456">
        <f>IF(ISBLANK('RESUMEN VIGILANCIA'!AB103),"",'RESUMEN VIGILANCIA'!AB103)</f>
        <v>500</v>
      </c>
      <c r="AD85" s="376">
        <f>IF(ISBLANK('RESUMEN VIGILANCIA'!AC103),"",'RESUMEN VIGILANCIA'!AC103)</f>
        <v>3000</v>
      </c>
      <c r="AE85" s="377">
        <f>IF(ISBLANK('RESUMEN VIGILANCIA'!AD103),"",'RESUMEN VIGILANCIA'!AD103)</f>
        <v>3000</v>
      </c>
      <c r="AF85" s="377">
        <f>IF(ISBLANK('RESUMEN VIGILANCIA'!AE103),"",'RESUMEN VIGILANCIA'!AE103)</f>
        <v>3000</v>
      </c>
      <c r="AG85" s="377">
        <f>IF(ISBLANK('RESUMEN VIGILANCIA'!AF103),"",'RESUMEN VIGILANCIA'!AF103)</f>
        <v>5000</v>
      </c>
      <c r="AH85" s="377">
        <f>IF(ISBLANK('RESUMEN VIGILANCIA'!AG103),"",'RESUMEN VIGILANCIA'!AG103)</f>
        <v>8000</v>
      </c>
      <c r="AI85" s="377">
        <f>IF(ISBLANK('RESUMEN VIGILANCIA'!AH103),"",'RESUMEN VIGILANCIA'!AH103)</f>
        <v>8000</v>
      </c>
      <c r="AJ85" s="377">
        <f>IF(ISBLANK('RESUMEN VIGILANCIA'!AI103),"",'RESUMEN VIGILANCIA'!AI103)</f>
        <v>10000</v>
      </c>
      <c r="AK85" s="377">
        <f>IF(ISBLANK('RESUMEN VIGILANCIA'!AJ103),"",'RESUMEN VIGILANCIA'!AJ103)</f>
        <v>10000</v>
      </c>
      <c r="AL85" s="377">
        <f>IF(ISBLANK('RESUMEN VIGILANCIA'!AK103),"",'RESUMEN VIGILANCIA'!AK103)</f>
        <v>20000</v>
      </c>
      <c r="AM85" s="377">
        <f>IF(ISBLANK('RESUMEN VIGILANCIA'!AL103),"",'RESUMEN VIGILANCIA'!AL103)</f>
        <v>47000</v>
      </c>
      <c r="AN85" s="377">
        <f>IF(ISBLANK('RESUMEN VIGILANCIA'!AM103),"",'RESUMEN VIGILANCIA'!AM103)</f>
        <v>56250</v>
      </c>
      <c r="AO85" s="378">
        <f>IF(ISBLANK('RESUMEN VIGILANCIA'!AN103),"",'RESUMEN VIGILANCIA'!AN103)</f>
        <v>97500</v>
      </c>
      <c r="AP85" s="376">
        <f>IF(ISBLANK('RESUMEN VIGILANCIA'!AO103),"",'RESUMEN VIGILANCIA'!AO103)</f>
        <v>136250</v>
      </c>
      <c r="AQ85" s="377">
        <f>IF(ISBLANK('RESUMEN VIGILANCIA'!AP103),"",'RESUMEN VIGILANCIA'!AP103)</f>
        <v>136250</v>
      </c>
      <c r="AR85" s="377">
        <f>IF(ISBLANK('RESUMEN VIGILANCIA'!AQ103),"",'RESUMEN VIGILANCIA'!AQ103)</f>
        <v>185250</v>
      </c>
      <c r="AS85" s="377">
        <f>IF(ISBLANK('RESUMEN VIGILANCIA'!AR103),"",'RESUMEN VIGILANCIA'!AR103)</f>
        <v>186250</v>
      </c>
      <c r="AT85" s="377">
        <f>IF(ISBLANK('RESUMEN VIGILANCIA'!AS103),"",'RESUMEN VIGILANCIA'!AS103)</f>
        <v>250000</v>
      </c>
      <c r="AU85" s="377">
        <f>IF(ISBLANK('RESUMEN VIGILANCIA'!AT103),"",'RESUMEN VIGILANCIA'!AT103)</f>
        <v>250000</v>
      </c>
      <c r="AV85" s="377" t="str">
        <f>IF(ISBLANK('RESUMEN VIGILANCIA'!AU103),"",'RESUMEN VIGILANCIA'!AU103)</f>
        <v/>
      </c>
      <c r="AW85" s="377" t="str">
        <f>IF(ISBLANK('RESUMEN VIGILANCIA'!AV103),"",'RESUMEN VIGILANCIA'!AV103)</f>
        <v/>
      </c>
      <c r="AX85" s="377" t="str">
        <f>IF(ISBLANK('RESUMEN VIGILANCIA'!AW103),"",'RESUMEN VIGILANCIA'!AW103)</f>
        <v/>
      </c>
      <c r="AY85" s="377" t="str">
        <f>IF(ISBLANK('RESUMEN VIGILANCIA'!AX103),"",'RESUMEN VIGILANCIA'!AX103)</f>
        <v/>
      </c>
      <c r="AZ85" s="377" t="str">
        <f>IF(ISBLANK('RESUMEN VIGILANCIA'!AY103),"",'RESUMEN VIGILANCIA'!AY103)</f>
        <v/>
      </c>
      <c r="BA85" s="378" t="str">
        <f>IF(ISBLANK('RESUMEN VIGILANCIA'!AZ103),"",'RESUMEN VIGILANCIA'!AZ103)</f>
        <v/>
      </c>
      <c r="BB85" s="242">
        <f t="shared" si="5"/>
        <v>272250.09499999997</v>
      </c>
      <c r="BC85" s="112"/>
      <c r="BD85" s="112"/>
    </row>
    <row r="86" spans="1:56" s="29" customFormat="1" ht="20.100000000000001" customHeight="1">
      <c r="A86" s="33" t="str">
        <f>'RESUMEN VIGILANCIA'!A104</f>
        <v>Zoraida Arteaga</v>
      </c>
      <c r="B86" s="34" t="str">
        <f>'RESUMEN VIGILANCIA'!B104</f>
        <v>Calle Güigüe Nro. 88-120</v>
      </c>
      <c r="C86" s="428" t="s">
        <v>1320</v>
      </c>
      <c r="D86" s="437" t="s">
        <v>17</v>
      </c>
      <c r="E86" s="416" t="str">
        <f>IF(ISBLANK('RESUMEN VIGILANCIA'!D104),"",'RESUMEN VIGILANCIA'!D104)</f>
        <v/>
      </c>
      <c r="F86" s="266" t="str">
        <f>IF(ISBLANK('RESUMEN VIGILANCIA'!E104),"",'RESUMEN VIGILANCIA'!E104)</f>
        <v/>
      </c>
      <c r="G86" s="188" t="str">
        <f>IF(ISBLANK('RESUMEN VIGILANCIA'!F104),"",'RESUMEN VIGILANCIA'!F104)</f>
        <v/>
      </c>
      <c r="H86" s="188" t="str">
        <f>IF(ISBLANK('RESUMEN VIGILANCIA'!G104),"",'RESUMEN VIGILANCIA'!G104)</f>
        <v/>
      </c>
      <c r="I86" s="188" t="str">
        <f>IF(ISBLANK('RESUMEN VIGILANCIA'!H104),"",'RESUMEN VIGILANCIA'!H104)</f>
        <v/>
      </c>
      <c r="J86" s="188" t="str">
        <f>IF(ISBLANK('RESUMEN VIGILANCIA'!I104),"",'RESUMEN VIGILANCIA'!I104)</f>
        <v/>
      </c>
      <c r="K86" s="188" t="str">
        <f>IF(ISBLANK('RESUMEN VIGILANCIA'!J104),"",'RESUMEN VIGILANCIA'!J104)</f>
        <v/>
      </c>
      <c r="L86" s="188" t="str">
        <f>IF(ISBLANK('RESUMEN VIGILANCIA'!K104),"",'RESUMEN VIGILANCIA'!K104)</f>
        <v/>
      </c>
      <c r="M86" s="188" t="str">
        <f>IF(ISBLANK('RESUMEN VIGILANCIA'!L104),"",'RESUMEN VIGILANCIA'!L104)</f>
        <v/>
      </c>
      <c r="N86" s="188" t="str">
        <f>IF(ISBLANK('RESUMEN VIGILANCIA'!M104),"",'RESUMEN VIGILANCIA'!M104)</f>
        <v/>
      </c>
      <c r="O86" s="188" t="str">
        <f>IF(ISBLANK('RESUMEN VIGILANCIA'!N104),"",'RESUMEN VIGILANCIA'!N104)</f>
        <v/>
      </c>
      <c r="P86" s="267" t="str">
        <f>IF(ISBLANK('RESUMEN VIGILANCIA'!O104),"",'RESUMEN VIGILANCIA'!O104)</f>
        <v/>
      </c>
      <c r="Q86" s="186" t="str">
        <f>IF(ISBLANK('RESUMEN VIGILANCIA'!P104),"",'RESUMEN VIGILANCIA'!P104)</f>
        <v/>
      </c>
      <c r="R86" s="268" t="str">
        <f>IF(ISBLANK('RESUMEN VIGILANCIA'!Q104),"",'RESUMEN VIGILANCIA'!Q104)</f>
        <v/>
      </c>
      <c r="S86" s="267" t="str">
        <f>IF(ISBLANK('RESUMEN VIGILANCIA'!R104),"",'RESUMEN VIGILANCIA'!R104)</f>
        <v/>
      </c>
      <c r="T86" s="267" t="str">
        <f>IF(ISBLANK('RESUMEN VIGILANCIA'!S104),"",'RESUMEN VIGILANCIA'!S104)</f>
        <v/>
      </c>
      <c r="U86" s="267" t="str">
        <f>IF(ISBLANK('RESUMEN VIGILANCIA'!T104),"",'RESUMEN VIGILANCIA'!T104)</f>
        <v/>
      </c>
      <c r="V86" s="267" t="str">
        <f>IF(ISBLANK('RESUMEN VIGILANCIA'!U104),"",'RESUMEN VIGILANCIA'!U104)</f>
        <v/>
      </c>
      <c r="W86" s="267" t="str">
        <f>IF(ISBLANK('RESUMEN VIGILANCIA'!V104),"",'RESUMEN VIGILANCIA'!V104)</f>
        <v/>
      </c>
      <c r="X86" s="267" t="str">
        <f>IF(ISBLANK('RESUMEN VIGILANCIA'!W104),"",'RESUMEN VIGILANCIA'!W104)</f>
        <v/>
      </c>
      <c r="Y86" s="267" t="str">
        <f>IF(ISBLANK('RESUMEN VIGILANCIA'!X104),"",'RESUMEN VIGILANCIA'!X104)</f>
        <v/>
      </c>
      <c r="Z86" s="459" t="str">
        <f>IF(ISBLANK('RESUMEN VIGILANCIA'!Y104),"",'RESUMEN VIGILANCIA'!Y104)</f>
        <v/>
      </c>
      <c r="AA86" s="459" t="str">
        <f>IF(ISBLANK('RESUMEN VIGILANCIA'!Z104),"",'RESUMEN VIGILANCIA'!Z104)</f>
        <v/>
      </c>
      <c r="AB86" s="459" t="str">
        <f>IF(ISBLANK('RESUMEN VIGILANCIA'!AA104),"",'RESUMEN VIGILANCIA'!AA104)</f>
        <v/>
      </c>
      <c r="AC86" s="460" t="str">
        <f>IF(ISBLANK('RESUMEN VIGILANCIA'!AB104),"",'RESUMEN VIGILANCIA'!AB104)</f>
        <v/>
      </c>
      <c r="AD86" s="373" t="str">
        <f>IF(ISBLANK('RESUMEN VIGILANCIA'!AC104),"",'RESUMEN VIGILANCIA'!AC104)</f>
        <v/>
      </c>
      <c r="AE86" s="374" t="str">
        <f>IF(ISBLANK('RESUMEN VIGILANCIA'!AD104),"",'RESUMEN VIGILANCIA'!AD104)</f>
        <v/>
      </c>
      <c r="AF86" s="374" t="str">
        <f>IF(ISBLANK('RESUMEN VIGILANCIA'!AE104),"",'RESUMEN VIGILANCIA'!AE104)</f>
        <v/>
      </c>
      <c r="AG86" s="374" t="str">
        <f>IF(ISBLANK('RESUMEN VIGILANCIA'!AF104),"",'RESUMEN VIGILANCIA'!AF104)</f>
        <v/>
      </c>
      <c r="AH86" s="374" t="str">
        <f>IF(ISBLANK('RESUMEN VIGILANCIA'!AG104),"",'RESUMEN VIGILANCIA'!AG104)</f>
        <v/>
      </c>
      <c r="AI86" s="374" t="str">
        <f>IF(ISBLANK('RESUMEN VIGILANCIA'!AH104),"",'RESUMEN VIGILANCIA'!AH104)</f>
        <v/>
      </c>
      <c r="AJ86" s="374" t="str">
        <f>IF(ISBLANK('RESUMEN VIGILANCIA'!AI104),"",'RESUMEN VIGILANCIA'!AI104)</f>
        <v/>
      </c>
      <c r="AK86" s="374" t="str">
        <f>IF(ISBLANK('RESUMEN VIGILANCIA'!AJ104),"",'RESUMEN VIGILANCIA'!AJ104)</f>
        <v/>
      </c>
      <c r="AL86" s="374" t="str">
        <f>IF(ISBLANK('RESUMEN VIGILANCIA'!AK104),"",'RESUMEN VIGILANCIA'!AK104)</f>
        <v/>
      </c>
      <c r="AM86" s="374" t="str">
        <f>IF(ISBLANK('RESUMEN VIGILANCIA'!AL104),"",'RESUMEN VIGILANCIA'!AL104)</f>
        <v/>
      </c>
      <c r="AN86" s="374" t="str">
        <f>IF(ISBLANK('RESUMEN VIGILANCIA'!AM104),"",'RESUMEN VIGILANCIA'!AM104)</f>
        <v/>
      </c>
      <c r="AO86" s="375" t="str">
        <f>IF(ISBLANK('RESUMEN VIGILANCIA'!AN104),"",'RESUMEN VIGILANCIA'!AN104)</f>
        <v/>
      </c>
      <c r="AP86" s="373" t="str">
        <f>IF(ISBLANK('RESUMEN VIGILANCIA'!AO104),"",'RESUMEN VIGILANCIA'!AO104)</f>
        <v/>
      </c>
      <c r="AQ86" s="374" t="str">
        <f>IF(ISBLANK('RESUMEN VIGILANCIA'!AP104),"",'RESUMEN VIGILANCIA'!AP104)</f>
        <v/>
      </c>
      <c r="AR86" s="374" t="str">
        <f>IF(ISBLANK('RESUMEN VIGILANCIA'!AQ104),"",'RESUMEN VIGILANCIA'!AQ104)</f>
        <v/>
      </c>
      <c r="AS86" s="374" t="str">
        <f>IF(ISBLANK('RESUMEN VIGILANCIA'!AR104),"",'RESUMEN VIGILANCIA'!AR104)</f>
        <v/>
      </c>
      <c r="AT86" s="374" t="str">
        <f>IF(ISBLANK('RESUMEN VIGILANCIA'!AS104),"",'RESUMEN VIGILANCIA'!AS104)</f>
        <v/>
      </c>
      <c r="AU86" s="374" t="str">
        <f>IF(ISBLANK('RESUMEN VIGILANCIA'!AT104),"",'RESUMEN VIGILANCIA'!AT104)</f>
        <v/>
      </c>
      <c r="AV86" s="374" t="str">
        <f>IF(ISBLANK('RESUMEN VIGILANCIA'!AU104),"",'RESUMEN VIGILANCIA'!AU104)</f>
        <v/>
      </c>
      <c r="AW86" s="374" t="str">
        <f>IF(ISBLANK('RESUMEN VIGILANCIA'!AV104),"",'RESUMEN VIGILANCIA'!AV104)</f>
        <v/>
      </c>
      <c r="AX86" s="374" t="str">
        <f>IF(ISBLANK('RESUMEN VIGILANCIA'!AW104),"",'RESUMEN VIGILANCIA'!AW104)</f>
        <v/>
      </c>
      <c r="AY86" s="374" t="str">
        <f>IF(ISBLANK('RESUMEN VIGILANCIA'!AX104),"",'RESUMEN VIGILANCIA'!AX104)</f>
        <v/>
      </c>
      <c r="AZ86" s="374" t="str">
        <f>IF(ISBLANK('RESUMEN VIGILANCIA'!AY104),"",'RESUMEN VIGILANCIA'!AY104)</f>
        <v/>
      </c>
      <c r="BA86" s="375" t="str">
        <f>IF(ISBLANK('RESUMEN VIGILANCIA'!AZ104),"",'RESUMEN VIGILANCIA'!AZ104)</f>
        <v/>
      </c>
      <c r="BB86" s="241">
        <f t="shared" ref="BB86" si="8">SUM(E86:AO86)</f>
        <v>0</v>
      </c>
      <c r="BC86" s="111"/>
      <c r="BD86" s="111"/>
    </row>
    <row r="87" spans="1:56" s="29" customFormat="1" ht="20.100000000000001" customHeight="1">
      <c r="A87" s="33" t="str">
        <f>'RESUMEN VIGILANCIA'!A80</f>
        <v>Familia Chávez Hernández</v>
      </c>
      <c r="B87" s="34" t="str">
        <f>'RESUMEN VIGILANCIA'!B80</f>
        <v>Calle Güigüe Nro. 88-20</v>
      </c>
      <c r="C87" s="428" t="s">
        <v>1318</v>
      </c>
      <c r="D87" s="437" t="s">
        <v>1315</v>
      </c>
      <c r="E87" s="416">
        <f>IF(ISBLANK('RESUMEN VIGILANCIA'!D80),"",'RESUMEN VIGILANCIA'!D80)</f>
        <v>0.06</v>
      </c>
      <c r="F87" s="266">
        <f>IF(ISBLANK('RESUMEN VIGILANCIA'!E80),"",'RESUMEN VIGILANCIA'!E80)</f>
        <v>0.03</v>
      </c>
      <c r="G87" s="188">
        <f>IF(ISBLANK('RESUMEN VIGILANCIA'!F80),"",'RESUMEN VIGILANCIA'!F80)</f>
        <v>0.03</v>
      </c>
      <c r="H87" s="188">
        <f>IF(ISBLANK('RESUMEN VIGILANCIA'!G80),"",'RESUMEN VIGILANCIA'!G80)</f>
        <v>0.03</v>
      </c>
      <c r="I87" s="188">
        <f>IF(ISBLANK('RESUMEN VIGILANCIA'!H80),"",'RESUMEN VIGILANCIA'!H80)</f>
        <v>0.03</v>
      </c>
      <c r="J87" s="188">
        <f>IF(ISBLANK('RESUMEN VIGILANCIA'!I80),"",'RESUMEN VIGILANCIA'!I80)</f>
        <v>0.03</v>
      </c>
      <c r="K87" s="188">
        <f>IF(ISBLANK('RESUMEN VIGILANCIA'!J80),"",'RESUMEN VIGILANCIA'!J80)</f>
        <v>0.03</v>
      </c>
      <c r="L87" s="188">
        <f>IF(ISBLANK('RESUMEN VIGILANCIA'!K80),"",'RESUMEN VIGILANCIA'!K80)</f>
        <v>0.03</v>
      </c>
      <c r="M87" s="188">
        <f>IF(ISBLANK('RESUMEN VIGILANCIA'!L80),"",'RESUMEN VIGILANCIA'!L80)</f>
        <v>0.03</v>
      </c>
      <c r="N87" s="188">
        <f>IF(ISBLANK('RESUMEN VIGILANCIA'!M80),"",'RESUMEN VIGILANCIA'!M80)</f>
        <v>0.03</v>
      </c>
      <c r="O87" s="188">
        <f>IF(ISBLANK('RESUMEN VIGILANCIA'!N80),"",'RESUMEN VIGILANCIA'!N80)</f>
        <v>0.03</v>
      </c>
      <c r="P87" s="267">
        <f>IF(ISBLANK('RESUMEN VIGILANCIA'!O80),"",'RESUMEN VIGILANCIA'!O80)</f>
        <v>0.1</v>
      </c>
      <c r="Q87" s="186">
        <f>IF(ISBLANK('RESUMEN VIGILANCIA'!P80),"",'RESUMEN VIGILANCIA'!P80)</f>
        <v>0.1</v>
      </c>
      <c r="R87" s="268">
        <f>IF(ISBLANK('RESUMEN VIGILANCIA'!Q80),"",'RESUMEN VIGILANCIA'!Q80)</f>
        <v>0.1</v>
      </c>
      <c r="S87" s="267">
        <f>IF(ISBLANK('RESUMEN VIGILANCIA'!R80),"",'RESUMEN VIGILANCIA'!R80)</f>
        <v>0.1</v>
      </c>
      <c r="T87" s="267">
        <f>IF(ISBLANK('RESUMEN VIGILANCIA'!S80),"",'RESUMEN VIGILANCIA'!S80)</f>
        <v>0.3</v>
      </c>
      <c r="U87" s="267">
        <f>IF(ISBLANK('RESUMEN VIGILANCIA'!T80),"",'RESUMEN VIGILANCIA'!T80)</f>
        <v>0.3</v>
      </c>
      <c r="V87" s="267">
        <f>IF(ISBLANK('RESUMEN VIGILANCIA'!U80),"",'RESUMEN VIGILANCIA'!U80)</f>
        <v>0.5</v>
      </c>
      <c r="W87" s="267">
        <f>IF(ISBLANK('RESUMEN VIGILANCIA'!V80),"",'RESUMEN VIGILANCIA'!V80)</f>
        <v>0.5</v>
      </c>
      <c r="X87" s="267">
        <f>IF(ISBLANK('RESUMEN VIGILANCIA'!W80),"",'RESUMEN VIGILANCIA'!W80)</f>
        <v>1</v>
      </c>
      <c r="Y87" s="267">
        <f>IF(ISBLANK('RESUMEN VIGILANCIA'!X80),"",'RESUMEN VIGILANCIA'!X80)</f>
        <v>12</v>
      </c>
      <c r="Z87" s="459">
        <f>IF(ISBLANK('RESUMEN VIGILANCIA'!Y80),"",'RESUMEN VIGILANCIA'!Y80)</f>
        <v>100</v>
      </c>
      <c r="AA87" s="459">
        <f>IF(ISBLANK('RESUMEN VIGILANCIA'!Z80),"",'RESUMEN VIGILANCIA'!Z80)</f>
        <v>100</v>
      </c>
      <c r="AB87" s="459">
        <f>IF(ISBLANK('RESUMEN VIGILANCIA'!AA80),"",'RESUMEN VIGILANCIA'!AA80)</f>
        <v>100</v>
      </c>
      <c r="AC87" s="460">
        <f>IF(ISBLANK('RESUMEN VIGILANCIA'!AB80),"",'RESUMEN VIGILANCIA'!AB80)</f>
        <v>100</v>
      </c>
      <c r="AD87" s="373">
        <f>IF(ISBLANK('RESUMEN VIGILANCIA'!AC80),"",'RESUMEN VIGILANCIA'!AC80)</f>
        <v>300</v>
      </c>
      <c r="AE87" s="374">
        <f>IF(ISBLANK('RESUMEN VIGILANCIA'!AD80),"",'RESUMEN VIGILANCIA'!AD80)</f>
        <v>300</v>
      </c>
      <c r="AF87" s="374">
        <f>IF(ISBLANK('RESUMEN VIGILANCIA'!AE80),"",'RESUMEN VIGILANCIA'!AE80)</f>
        <v>300</v>
      </c>
      <c r="AG87" s="374">
        <f>IF(ISBLANK('RESUMEN VIGILANCIA'!AF80),"",'RESUMEN VIGILANCIA'!AF80)</f>
        <v>300</v>
      </c>
      <c r="AH87" s="374">
        <f>IF(ISBLANK('RESUMEN VIGILANCIA'!AG80),"",'RESUMEN VIGILANCIA'!AG80)</f>
        <v>1000</v>
      </c>
      <c r="AI87" s="374">
        <f>IF(ISBLANK('RESUMEN VIGILANCIA'!AH80),"",'RESUMEN VIGILANCIA'!AH80)</f>
        <v>3000</v>
      </c>
      <c r="AJ87" s="374">
        <f>IF(ISBLANK('RESUMEN VIGILANCIA'!AI80),"",'RESUMEN VIGILANCIA'!AI80)</f>
        <v>6000</v>
      </c>
      <c r="AK87" s="374">
        <f>IF(ISBLANK('RESUMEN VIGILANCIA'!AJ80),"",'RESUMEN VIGILANCIA'!AJ80)</f>
        <v>5000</v>
      </c>
      <c r="AL87" s="374">
        <f>IF(ISBLANK('RESUMEN VIGILANCIA'!AK80),"",'RESUMEN VIGILANCIA'!AK80)</f>
        <v>10000</v>
      </c>
      <c r="AM87" s="374">
        <f>IF(ISBLANK('RESUMEN VIGILANCIA'!AL80),"",'RESUMEN VIGILANCIA'!AL80)</f>
        <v>10000</v>
      </c>
      <c r="AN87" s="374">
        <f>IF(ISBLANK('RESUMEN VIGILANCIA'!AM80),"",'RESUMEN VIGILANCIA'!AM80)</f>
        <v>20000</v>
      </c>
      <c r="AO87" s="375">
        <f>IF(ISBLANK('RESUMEN VIGILANCIA'!AN80),"",'RESUMEN VIGILANCIA'!AN80)</f>
        <v>20000</v>
      </c>
      <c r="AP87" s="373">
        <f>IF(ISBLANK('RESUMEN VIGILANCIA'!AO80),"",'RESUMEN VIGILANCIA'!AO80)</f>
        <v>30000</v>
      </c>
      <c r="AQ87" s="374">
        <f>IF(ISBLANK('RESUMEN VIGILANCIA'!AP80),"",'RESUMEN VIGILANCIA'!AP80)</f>
        <v>40000</v>
      </c>
      <c r="AR87" s="374">
        <f>IF(ISBLANK('RESUMEN VIGILANCIA'!AQ80),"",'RESUMEN VIGILANCIA'!AQ80)</f>
        <v>70000</v>
      </c>
      <c r="AS87" s="374">
        <f>IF(ISBLANK('RESUMEN VIGILANCIA'!AR80),"",'RESUMEN VIGILANCIA'!AR80)</f>
        <v>70000</v>
      </c>
      <c r="AT87" s="374">
        <f>IF(ISBLANK('RESUMEN VIGILANCIA'!AS80),"",'RESUMEN VIGILANCIA'!AS80)</f>
        <v>70000</v>
      </c>
      <c r="AU87" s="374" t="str">
        <f>IF(ISBLANK('RESUMEN VIGILANCIA'!AT80),"",'RESUMEN VIGILANCIA'!AT80)</f>
        <v/>
      </c>
      <c r="AV87" s="374" t="str">
        <f>IF(ISBLANK('RESUMEN VIGILANCIA'!AU80),"",'RESUMEN VIGILANCIA'!AU80)</f>
        <v/>
      </c>
      <c r="AW87" s="374" t="str">
        <f>IF(ISBLANK('RESUMEN VIGILANCIA'!AV80),"",'RESUMEN VIGILANCIA'!AV80)</f>
        <v/>
      </c>
      <c r="AX87" s="374" t="str">
        <f>IF(ISBLANK('RESUMEN VIGILANCIA'!AW80),"",'RESUMEN VIGILANCIA'!AW80)</f>
        <v/>
      </c>
      <c r="AY87" s="374" t="str">
        <f>IF(ISBLANK('RESUMEN VIGILANCIA'!AX80),"",'RESUMEN VIGILANCIA'!AX80)</f>
        <v/>
      </c>
      <c r="AZ87" s="374" t="str">
        <f>IF(ISBLANK('RESUMEN VIGILANCIA'!AY80),"",'RESUMEN VIGILANCIA'!AY80)</f>
        <v/>
      </c>
      <c r="BA87" s="375" t="str">
        <f>IF(ISBLANK('RESUMEN VIGILANCIA'!AZ80),"",'RESUMEN VIGILANCIA'!AZ80)</f>
        <v/>
      </c>
      <c r="BB87" s="241">
        <f t="shared" si="5"/>
        <v>76615.360000000001</v>
      </c>
      <c r="BC87" s="111"/>
      <c r="BD87" s="111"/>
    </row>
    <row r="88" spans="1:56" s="29" customFormat="1" ht="20.100000000000001" customHeight="1">
      <c r="A88" s="33" t="str">
        <f>'RESUMEN VIGILANCIA'!A81</f>
        <v>Ma. de Jesus Alonso</v>
      </c>
      <c r="B88" s="34" t="str">
        <f>'RESUMEN VIGILANCIA'!B81</f>
        <v>Calle Güigüe Nro. 88-30</v>
      </c>
      <c r="C88" s="430" t="s">
        <v>1317</v>
      </c>
      <c r="D88" s="435" t="s">
        <v>1315</v>
      </c>
      <c r="E88" s="421" t="str">
        <f>IF(ISBLANK('RESUMEN VIGILANCIA'!D81),"",'RESUMEN VIGILANCIA'!D81)</f>
        <v/>
      </c>
      <c r="F88" s="345">
        <f>IF(ISBLANK('RESUMEN VIGILANCIA'!E81),"",'RESUMEN VIGILANCIA'!E81)</f>
        <v>0.03</v>
      </c>
      <c r="G88" s="304">
        <f>IF(ISBLANK('RESUMEN VIGILANCIA'!F81),"",'RESUMEN VIGILANCIA'!F81)</f>
        <v>0.03</v>
      </c>
      <c r="H88" s="304">
        <f>IF(ISBLANK('RESUMEN VIGILANCIA'!G81),"",'RESUMEN VIGILANCIA'!G81)</f>
        <v>0.04</v>
      </c>
      <c r="I88" s="304">
        <f>IF(ISBLANK('RESUMEN VIGILANCIA'!H81),"",'RESUMEN VIGILANCIA'!H81)</f>
        <v>0.03</v>
      </c>
      <c r="J88" s="304">
        <f>IF(ISBLANK('RESUMEN VIGILANCIA'!I81),"",'RESUMEN VIGILANCIA'!I81)</f>
        <v>0.03</v>
      </c>
      <c r="K88" s="304">
        <f>IF(ISBLANK('RESUMEN VIGILANCIA'!J81),"",'RESUMEN VIGILANCIA'!J81)</f>
        <v>0.03</v>
      </c>
      <c r="L88" s="304">
        <f>IF(ISBLANK('RESUMEN VIGILANCIA'!K81),"",'RESUMEN VIGILANCIA'!K81)</f>
        <v>0.05</v>
      </c>
      <c r="M88" s="304">
        <f>IF(ISBLANK('RESUMEN VIGILANCIA'!L81),"",'RESUMEN VIGILANCIA'!L81)</f>
        <v>0.05</v>
      </c>
      <c r="N88" s="304">
        <f>IF(ISBLANK('RESUMEN VIGILANCIA'!M81),"",'RESUMEN VIGILANCIA'!M81)</f>
        <v>0.1</v>
      </c>
      <c r="O88" s="304">
        <f>IF(ISBLANK('RESUMEN VIGILANCIA'!N81),"",'RESUMEN VIGILANCIA'!N81)</f>
        <v>0.1</v>
      </c>
      <c r="P88" s="272">
        <f>IF(ISBLANK('RESUMEN VIGILANCIA'!O81),"",'RESUMEN VIGILANCIA'!O81)</f>
        <v>0.1</v>
      </c>
      <c r="Q88" s="344">
        <f>IF(ISBLANK('RESUMEN VIGILANCIA'!P81),"",'RESUMEN VIGILANCIA'!P81)</f>
        <v>0.1</v>
      </c>
      <c r="R88" s="336">
        <f>IF(ISBLANK('RESUMEN VIGILANCIA'!Q81),"",'RESUMEN VIGILANCIA'!Q81)</f>
        <v>0.1</v>
      </c>
      <c r="S88" s="272">
        <f>IF(ISBLANK('RESUMEN VIGILANCIA'!R81),"",'RESUMEN VIGILANCIA'!R81)</f>
        <v>0.30000000000000004</v>
      </c>
      <c r="T88" s="272">
        <f>IF(ISBLANK('RESUMEN VIGILANCIA'!S81),"",'RESUMEN VIGILANCIA'!S81)</f>
        <v>1.4</v>
      </c>
      <c r="U88" s="272">
        <f>IF(ISBLANK('RESUMEN VIGILANCIA'!T81),"",'RESUMEN VIGILANCIA'!T81)</f>
        <v>1.4</v>
      </c>
      <c r="V88" s="272">
        <f>IF(ISBLANK('RESUMEN VIGILANCIA'!U81),"",'RESUMEN VIGILANCIA'!U81)</f>
        <v>4</v>
      </c>
      <c r="W88" s="272">
        <f>IF(ISBLANK('RESUMEN VIGILANCIA'!V81),"",'RESUMEN VIGILANCIA'!V81)</f>
        <v>6.25</v>
      </c>
      <c r="X88" s="272">
        <f>IF(ISBLANK('RESUMEN VIGILANCIA'!W81),"",'RESUMEN VIGILANCIA'!W81)</f>
        <v>10</v>
      </c>
      <c r="Y88" s="272">
        <f>IF(ISBLANK('RESUMEN VIGILANCIA'!X81),"",'RESUMEN VIGILANCIA'!X81)</f>
        <v>12</v>
      </c>
      <c r="Z88" s="458">
        <f>IF(ISBLANK('RESUMEN VIGILANCIA'!Y81),"",'RESUMEN VIGILANCIA'!Y81)</f>
        <v>320</v>
      </c>
      <c r="AA88" s="458">
        <f>IF(ISBLANK('RESUMEN VIGILANCIA'!Z81),"",'RESUMEN VIGILANCIA'!Z81)</f>
        <v>320</v>
      </c>
      <c r="AB88" s="458">
        <f>IF(ISBLANK('RESUMEN VIGILANCIA'!AA81),"",'RESUMEN VIGILANCIA'!AA81)</f>
        <v>400</v>
      </c>
      <c r="AC88" s="457">
        <f>IF(ISBLANK('RESUMEN VIGILANCIA'!AB81),"",'RESUMEN VIGILANCIA'!AB81)</f>
        <v>800</v>
      </c>
      <c r="AD88" s="381">
        <f>IF(ISBLANK('RESUMEN VIGILANCIA'!AC81),"",'RESUMEN VIGILANCIA'!AC81)</f>
        <v>3000</v>
      </c>
      <c r="AE88" s="382">
        <f>IF(ISBLANK('RESUMEN VIGILANCIA'!AD81),"",'RESUMEN VIGILANCIA'!AD81)</f>
        <v>3000</v>
      </c>
      <c r="AF88" s="382">
        <f>IF(ISBLANK('RESUMEN VIGILANCIA'!AE81),"",'RESUMEN VIGILANCIA'!AE81)</f>
        <v>3000</v>
      </c>
      <c r="AG88" s="382">
        <f>IF(ISBLANK('RESUMEN VIGILANCIA'!AF81),"",'RESUMEN VIGILANCIA'!AF81)</f>
        <v>5000</v>
      </c>
      <c r="AH88" s="382">
        <f>IF(ISBLANK('RESUMEN VIGILANCIA'!AG81),"",'RESUMEN VIGILANCIA'!AG81)</f>
        <v>8000</v>
      </c>
      <c r="AI88" s="382">
        <f>IF(ISBLANK('RESUMEN VIGILANCIA'!AH81),"",'RESUMEN VIGILANCIA'!AH81)</f>
        <v>8000</v>
      </c>
      <c r="AJ88" s="382">
        <f>IF(ISBLANK('RESUMEN VIGILANCIA'!AI81),"",'RESUMEN VIGILANCIA'!AI81)</f>
        <v>10000</v>
      </c>
      <c r="AK88" s="382">
        <f>IF(ISBLANK('RESUMEN VIGILANCIA'!AJ81),"",'RESUMEN VIGILANCIA'!AJ81)</f>
        <v>10000</v>
      </c>
      <c r="AL88" s="382" t="str">
        <f>IF(ISBLANK('RESUMEN VIGILANCIA'!AK81),"",'RESUMEN VIGILANCIA'!AK81)</f>
        <v/>
      </c>
      <c r="AM88" s="382" t="str">
        <f>IF(ISBLANK('RESUMEN VIGILANCIA'!AL81),"",'RESUMEN VIGILANCIA'!AL81)</f>
        <v/>
      </c>
      <c r="AN88" s="382" t="str">
        <f>IF(ISBLANK('RESUMEN VIGILANCIA'!AM81),"",'RESUMEN VIGILANCIA'!AM81)</f>
        <v/>
      </c>
      <c r="AO88" s="387" t="str">
        <f>IF(ISBLANK('RESUMEN VIGILANCIA'!AN81),"",'RESUMEN VIGILANCIA'!AN81)</f>
        <v/>
      </c>
      <c r="AP88" s="381" t="str">
        <f>IF(ISBLANK('RESUMEN VIGILANCIA'!AO81),"",'RESUMEN VIGILANCIA'!AO81)</f>
        <v/>
      </c>
      <c r="AQ88" s="382" t="str">
        <f>IF(ISBLANK('RESUMEN VIGILANCIA'!AP81),"",'RESUMEN VIGILANCIA'!AP81)</f>
        <v/>
      </c>
      <c r="AR88" s="382" t="str">
        <f>IF(ISBLANK('RESUMEN VIGILANCIA'!AQ81),"",'RESUMEN VIGILANCIA'!AQ81)</f>
        <v/>
      </c>
      <c r="AS88" s="382" t="str">
        <f>IF(ISBLANK('RESUMEN VIGILANCIA'!AR81),"",'RESUMEN VIGILANCIA'!AR81)</f>
        <v/>
      </c>
      <c r="AT88" s="382" t="str">
        <f>IF(ISBLANK('RESUMEN VIGILANCIA'!AS81),"",'RESUMEN VIGILANCIA'!AS81)</f>
        <v/>
      </c>
      <c r="AU88" s="382" t="str">
        <f>IF(ISBLANK('RESUMEN VIGILANCIA'!AT81),"",'RESUMEN VIGILANCIA'!AT81)</f>
        <v/>
      </c>
      <c r="AV88" s="382" t="str">
        <f>IF(ISBLANK('RESUMEN VIGILANCIA'!AU81),"",'RESUMEN VIGILANCIA'!AU81)</f>
        <v/>
      </c>
      <c r="AW88" s="382" t="str">
        <f>IF(ISBLANK('RESUMEN VIGILANCIA'!AV81),"",'RESUMEN VIGILANCIA'!AV81)</f>
        <v/>
      </c>
      <c r="AX88" s="382" t="str">
        <f>IF(ISBLANK('RESUMEN VIGILANCIA'!AW81),"",'RESUMEN VIGILANCIA'!AW81)</f>
        <v/>
      </c>
      <c r="AY88" s="382" t="str">
        <f>IF(ISBLANK('RESUMEN VIGILANCIA'!AX81),"",'RESUMEN VIGILANCIA'!AX81)</f>
        <v/>
      </c>
      <c r="AZ88" s="382" t="str">
        <f>IF(ISBLANK('RESUMEN VIGILANCIA'!AY81),"",'RESUMEN VIGILANCIA'!AY81)</f>
        <v/>
      </c>
      <c r="BA88" s="387" t="str">
        <f>IF(ISBLANK('RESUMEN VIGILANCIA'!AZ81),"",'RESUMEN VIGILANCIA'!AZ81)</f>
        <v/>
      </c>
      <c r="BB88" s="346">
        <f t="shared" si="5"/>
        <v>51876.14</v>
      </c>
      <c r="BC88" s="347"/>
      <c r="BD88" s="347"/>
    </row>
    <row r="89" spans="1:56" s="29" customFormat="1" ht="20.100000000000001" customHeight="1">
      <c r="A89" s="33" t="str">
        <f>'RESUMEN VIGILANCIA'!A82</f>
        <v>Familia Moyetones</v>
      </c>
      <c r="B89" s="34" t="str">
        <f>'RESUMEN VIGILANCIA'!B82</f>
        <v>Calle Güigüe Nro. 88-36</v>
      </c>
      <c r="C89" s="428" t="s">
        <v>1317</v>
      </c>
      <c r="D89" s="437" t="s">
        <v>1315</v>
      </c>
      <c r="E89" s="416" t="str">
        <f>IF(ISBLANK('RESUMEN VIGILANCIA'!D82),"",'RESUMEN VIGILANCIA'!D82)</f>
        <v/>
      </c>
      <c r="F89" s="266" t="str">
        <f>IF(ISBLANK('RESUMEN VIGILANCIA'!E82),"",'RESUMEN VIGILANCIA'!E82)</f>
        <v/>
      </c>
      <c r="G89" s="188" t="str">
        <f>IF(ISBLANK('RESUMEN VIGILANCIA'!F82),"",'RESUMEN VIGILANCIA'!F82)</f>
        <v/>
      </c>
      <c r="H89" s="188" t="str">
        <f>IF(ISBLANK('RESUMEN VIGILANCIA'!G82),"",'RESUMEN VIGILANCIA'!G82)</f>
        <v/>
      </c>
      <c r="I89" s="188" t="str">
        <f>IF(ISBLANK('RESUMEN VIGILANCIA'!H82),"",'RESUMEN VIGILANCIA'!H82)</f>
        <v/>
      </c>
      <c r="J89" s="188" t="str">
        <f>IF(ISBLANK('RESUMEN VIGILANCIA'!I82),"",'RESUMEN VIGILANCIA'!I82)</f>
        <v/>
      </c>
      <c r="K89" s="188" t="str">
        <f>IF(ISBLANK('RESUMEN VIGILANCIA'!J82),"",'RESUMEN VIGILANCIA'!J82)</f>
        <v/>
      </c>
      <c r="L89" s="188" t="str">
        <f>IF(ISBLANK('RESUMEN VIGILANCIA'!K82),"",'RESUMEN VIGILANCIA'!K82)</f>
        <v/>
      </c>
      <c r="M89" s="188" t="str">
        <f>IF(ISBLANK('RESUMEN VIGILANCIA'!L82),"",'RESUMEN VIGILANCIA'!L82)</f>
        <v/>
      </c>
      <c r="N89" s="188" t="str">
        <f>IF(ISBLANK('RESUMEN VIGILANCIA'!M82),"",'RESUMEN VIGILANCIA'!M82)</f>
        <v/>
      </c>
      <c r="O89" s="188" t="str">
        <f>IF(ISBLANK('RESUMEN VIGILANCIA'!N82),"",'RESUMEN VIGILANCIA'!N82)</f>
        <v/>
      </c>
      <c r="P89" s="267" t="str">
        <f>IF(ISBLANK('RESUMEN VIGILANCIA'!O82),"",'RESUMEN VIGILANCIA'!O82)</f>
        <v/>
      </c>
      <c r="Q89" s="186" t="str">
        <f>IF(ISBLANK('RESUMEN VIGILANCIA'!P82),"",'RESUMEN VIGILANCIA'!P82)</f>
        <v/>
      </c>
      <c r="R89" s="268" t="str">
        <f>IF(ISBLANK('RESUMEN VIGILANCIA'!Q82),"",'RESUMEN VIGILANCIA'!Q82)</f>
        <v/>
      </c>
      <c r="S89" s="267" t="str">
        <f>IF(ISBLANK('RESUMEN VIGILANCIA'!R82),"",'RESUMEN VIGILANCIA'!R82)</f>
        <v/>
      </c>
      <c r="T89" s="267" t="str">
        <f>IF(ISBLANK('RESUMEN VIGILANCIA'!S82),"",'RESUMEN VIGILANCIA'!S82)</f>
        <v/>
      </c>
      <c r="U89" s="267" t="str">
        <f>IF(ISBLANK('RESUMEN VIGILANCIA'!T82),"",'RESUMEN VIGILANCIA'!T82)</f>
        <v/>
      </c>
      <c r="V89" s="267" t="str">
        <f>IF(ISBLANK('RESUMEN VIGILANCIA'!U82),"",'RESUMEN VIGILANCIA'!U82)</f>
        <v/>
      </c>
      <c r="W89" s="267" t="str">
        <f>IF(ISBLANK('RESUMEN VIGILANCIA'!V82),"",'RESUMEN VIGILANCIA'!V82)</f>
        <v/>
      </c>
      <c r="X89" s="267" t="str">
        <f>IF(ISBLANK('RESUMEN VIGILANCIA'!W82),"",'RESUMEN VIGILANCIA'!W82)</f>
        <v/>
      </c>
      <c r="Y89" s="267" t="str">
        <f>IF(ISBLANK('RESUMEN VIGILANCIA'!X82),"",'RESUMEN VIGILANCIA'!X82)</f>
        <v/>
      </c>
      <c r="Z89" s="459" t="str">
        <f>IF(ISBLANK('RESUMEN VIGILANCIA'!Y82),"",'RESUMEN VIGILANCIA'!Y82)</f>
        <v/>
      </c>
      <c r="AA89" s="459" t="str">
        <f>IF(ISBLANK('RESUMEN VIGILANCIA'!Z82),"",'RESUMEN VIGILANCIA'!Z82)</f>
        <v/>
      </c>
      <c r="AB89" s="459" t="str">
        <f>IF(ISBLANK('RESUMEN VIGILANCIA'!AA82),"",'RESUMEN VIGILANCIA'!AA82)</f>
        <v/>
      </c>
      <c r="AC89" s="460" t="str">
        <f>IF(ISBLANK('RESUMEN VIGILANCIA'!AB82),"",'RESUMEN VIGILANCIA'!AB82)</f>
        <v/>
      </c>
      <c r="AD89" s="373" t="str">
        <f>IF(ISBLANK('RESUMEN VIGILANCIA'!AC82),"",'RESUMEN VIGILANCIA'!AC82)</f>
        <v/>
      </c>
      <c r="AE89" s="374" t="str">
        <f>IF(ISBLANK('RESUMEN VIGILANCIA'!AD82),"",'RESUMEN VIGILANCIA'!AD82)</f>
        <v/>
      </c>
      <c r="AF89" s="374" t="str">
        <f>IF(ISBLANK('RESUMEN VIGILANCIA'!AE82),"",'RESUMEN VIGILANCIA'!AE82)</f>
        <v/>
      </c>
      <c r="AG89" s="374" t="str">
        <f>IF(ISBLANK('RESUMEN VIGILANCIA'!AF82),"",'RESUMEN VIGILANCIA'!AF82)</f>
        <v/>
      </c>
      <c r="AH89" s="374" t="str">
        <f>IF(ISBLANK('RESUMEN VIGILANCIA'!AG82),"",'RESUMEN VIGILANCIA'!AG82)</f>
        <v/>
      </c>
      <c r="AI89" s="374" t="str">
        <f>IF(ISBLANK('RESUMEN VIGILANCIA'!AH82),"",'RESUMEN VIGILANCIA'!AH82)</f>
        <v/>
      </c>
      <c r="AJ89" s="374" t="str">
        <f>IF(ISBLANK('RESUMEN VIGILANCIA'!AI82),"",'RESUMEN VIGILANCIA'!AI82)</f>
        <v/>
      </c>
      <c r="AK89" s="374" t="str">
        <f>IF(ISBLANK('RESUMEN VIGILANCIA'!AJ82),"",'RESUMEN VIGILANCIA'!AJ82)</f>
        <v/>
      </c>
      <c r="AL89" s="374" t="str">
        <f>IF(ISBLANK('RESUMEN VIGILANCIA'!AK82),"",'RESUMEN VIGILANCIA'!AK82)</f>
        <v/>
      </c>
      <c r="AM89" s="374" t="str">
        <f>IF(ISBLANK('RESUMEN VIGILANCIA'!AL82),"",'RESUMEN VIGILANCIA'!AL82)</f>
        <v/>
      </c>
      <c r="AN89" s="374" t="str">
        <f>IF(ISBLANK('RESUMEN VIGILANCIA'!AM82),"",'RESUMEN VIGILANCIA'!AM82)</f>
        <v/>
      </c>
      <c r="AO89" s="375" t="str">
        <f>IF(ISBLANK('RESUMEN VIGILANCIA'!AN82),"",'RESUMEN VIGILANCIA'!AN82)</f>
        <v/>
      </c>
      <c r="AP89" s="373" t="str">
        <f>IF(ISBLANK('RESUMEN VIGILANCIA'!AO82),"",'RESUMEN VIGILANCIA'!AO82)</f>
        <v/>
      </c>
      <c r="AQ89" s="374" t="str">
        <f>IF(ISBLANK('RESUMEN VIGILANCIA'!AP82),"",'RESUMEN VIGILANCIA'!AP82)</f>
        <v/>
      </c>
      <c r="AR89" s="374" t="str">
        <f>IF(ISBLANK('RESUMEN VIGILANCIA'!AQ82),"",'RESUMEN VIGILANCIA'!AQ82)</f>
        <v/>
      </c>
      <c r="AS89" s="374" t="str">
        <f>IF(ISBLANK('RESUMEN VIGILANCIA'!AR82),"",'RESUMEN VIGILANCIA'!AR82)</f>
        <v/>
      </c>
      <c r="AT89" s="374" t="str">
        <f>IF(ISBLANK('RESUMEN VIGILANCIA'!AS82),"",'RESUMEN VIGILANCIA'!AS82)</f>
        <v/>
      </c>
      <c r="AU89" s="374" t="str">
        <f>IF(ISBLANK('RESUMEN VIGILANCIA'!AT82),"",'RESUMEN VIGILANCIA'!AT82)</f>
        <v/>
      </c>
      <c r="AV89" s="374" t="str">
        <f>IF(ISBLANK('RESUMEN VIGILANCIA'!AU82),"",'RESUMEN VIGILANCIA'!AU82)</f>
        <v/>
      </c>
      <c r="AW89" s="374" t="str">
        <f>IF(ISBLANK('RESUMEN VIGILANCIA'!AV82),"",'RESUMEN VIGILANCIA'!AV82)</f>
        <v/>
      </c>
      <c r="AX89" s="374" t="str">
        <f>IF(ISBLANK('RESUMEN VIGILANCIA'!AW82),"",'RESUMEN VIGILANCIA'!AW82)</f>
        <v/>
      </c>
      <c r="AY89" s="374" t="str">
        <f>IF(ISBLANK('RESUMEN VIGILANCIA'!AX82),"",'RESUMEN VIGILANCIA'!AX82)</f>
        <v/>
      </c>
      <c r="AZ89" s="374" t="str">
        <f>IF(ISBLANK('RESUMEN VIGILANCIA'!AY82),"",'RESUMEN VIGILANCIA'!AY82)</f>
        <v/>
      </c>
      <c r="BA89" s="375" t="str">
        <f>IF(ISBLANK('RESUMEN VIGILANCIA'!AZ82),"",'RESUMEN VIGILANCIA'!AZ82)</f>
        <v/>
      </c>
      <c r="BB89" s="241">
        <f t="shared" si="5"/>
        <v>0</v>
      </c>
      <c r="BC89" s="111"/>
      <c r="BD89" s="111"/>
    </row>
    <row r="90" spans="1:56" s="29" customFormat="1" ht="20.100000000000001" customHeight="1">
      <c r="A90" s="33" t="str">
        <f>'RESUMEN VIGILANCIA'!A83</f>
        <v>Familia Rivero</v>
      </c>
      <c r="B90" s="34" t="str">
        <f>'RESUMEN VIGILANCIA'!B83</f>
        <v>Calle Güigüe Nro. 88-40</v>
      </c>
      <c r="C90" s="428" t="s">
        <v>1318</v>
      </c>
      <c r="D90" s="445" t="s">
        <v>17</v>
      </c>
      <c r="E90" s="416" t="str">
        <f>IF(ISBLANK('RESUMEN VIGILANCIA'!D83),"",'RESUMEN VIGILANCIA'!D83)</f>
        <v/>
      </c>
      <c r="F90" s="266">
        <f>IF(ISBLANK('RESUMEN VIGILANCIA'!E83),"",'RESUMEN VIGILANCIA'!E83)</f>
        <v>0.03</v>
      </c>
      <c r="G90" s="188">
        <f>IF(ISBLANK('RESUMEN VIGILANCIA'!F83),"",'RESUMEN VIGILANCIA'!F83)</f>
        <v>0.03</v>
      </c>
      <c r="H90" s="188">
        <f>IF(ISBLANK('RESUMEN VIGILANCIA'!G83),"",'RESUMEN VIGILANCIA'!G83)</f>
        <v>0.03</v>
      </c>
      <c r="I90" s="188">
        <f>IF(ISBLANK('RESUMEN VIGILANCIA'!H83),"",'RESUMEN VIGILANCIA'!H83)</f>
        <v>0.03</v>
      </c>
      <c r="J90" s="188">
        <f>IF(ISBLANK('RESUMEN VIGILANCIA'!I83),"",'RESUMEN VIGILANCIA'!I83)</f>
        <v>0.05</v>
      </c>
      <c r="K90" s="188">
        <f>IF(ISBLANK('RESUMEN VIGILANCIA'!J83),"",'RESUMEN VIGILANCIA'!J83)</f>
        <v>0.05</v>
      </c>
      <c r="L90" s="188">
        <f>IF(ISBLANK('RESUMEN VIGILANCIA'!K83),"",'RESUMEN VIGILANCIA'!K83)</f>
        <v>0.05</v>
      </c>
      <c r="M90" s="188">
        <f>IF(ISBLANK('RESUMEN VIGILANCIA'!L83),"",'RESUMEN VIGILANCIA'!L83)</f>
        <v>0.1</v>
      </c>
      <c r="N90" s="188">
        <f>IF(ISBLANK('RESUMEN VIGILANCIA'!M83),"",'RESUMEN VIGILANCIA'!M83)</f>
        <v>0.2</v>
      </c>
      <c r="O90" s="188">
        <f>IF(ISBLANK('RESUMEN VIGILANCIA'!N83),"",'RESUMEN VIGILANCIA'!N83)</f>
        <v>0.2</v>
      </c>
      <c r="P90" s="267">
        <f>IF(ISBLANK('RESUMEN VIGILANCIA'!O83),"",'RESUMEN VIGILANCIA'!O83)</f>
        <v>0.25</v>
      </c>
      <c r="Q90" s="186">
        <f>IF(ISBLANK('RESUMEN VIGILANCIA'!P83),"",'RESUMEN VIGILANCIA'!P83)</f>
        <v>0.3</v>
      </c>
      <c r="R90" s="268">
        <f>IF(ISBLANK('RESUMEN VIGILANCIA'!Q83),"",'RESUMEN VIGILANCIA'!Q83)</f>
        <v>0.3</v>
      </c>
      <c r="S90" s="267">
        <f>IF(ISBLANK('RESUMEN VIGILANCIA'!R83),"",'RESUMEN VIGILANCIA'!R83)</f>
        <v>0.3</v>
      </c>
      <c r="T90" s="267">
        <f>IF(ISBLANK('RESUMEN VIGILANCIA'!S83),"",'RESUMEN VIGILANCIA'!S83)</f>
        <v>0.3</v>
      </c>
      <c r="U90" s="267">
        <f>IF(ISBLANK('RESUMEN VIGILANCIA'!T83),"",'RESUMEN VIGILANCIA'!T83)</f>
        <v>0.3</v>
      </c>
      <c r="V90" s="267">
        <f>IF(ISBLANK('RESUMEN VIGILANCIA'!U83),"",'RESUMEN VIGILANCIA'!U83)</f>
        <v>0.3</v>
      </c>
      <c r="W90" s="267">
        <f>IF(ISBLANK('RESUMEN VIGILANCIA'!V83),"",'RESUMEN VIGILANCIA'!V83)</f>
        <v>0.4</v>
      </c>
      <c r="X90" s="267">
        <f>IF(ISBLANK('RESUMEN VIGILANCIA'!W83),"",'RESUMEN VIGILANCIA'!W83)</f>
        <v>10</v>
      </c>
      <c r="Y90" s="267">
        <f>IF(ISBLANK('RESUMEN VIGILANCIA'!X83),"",'RESUMEN VIGILANCIA'!X83)</f>
        <v>12</v>
      </c>
      <c r="Z90" s="459">
        <f>IF(ISBLANK('RESUMEN VIGILANCIA'!Y83),"",'RESUMEN VIGILANCIA'!Y83)</f>
        <v>78</v>
      </c>
      <c r="AA90" s="459" t="str">
        <f>IF(ISBLANK('RESUMEN VIGILANCIA'!Z83),"",'RESUMEN VIGILANCIA'!Z83)</f>
        <v/>
      </c>
      <c r="AB90" s="459" t="str">
        <f>IF(ISBLANK('RESUMEN VIGILANCIA'!AA83),"",'RESUMEN VIGILANCIA'!AA83)</f>
        <v/>
      </c>
      <c r="AC90" s="460" t="str">
        <f>IF(ISBLANK('RESUMEN VIGILANCIA'!AB83),"",'RESUMEN VIGILANCIA'!AB83)</f>
        <v/>
      </c>
      <c r="AD90" s="373" t="str">
        <f>IF(ISBLANK('RESUMEN VIGILANCIA'!AC83),"",'RESUMEN VIGILANCIA'!AC83)</f>
        <v/>
      </c>
      <c r="AE90" s="374" t="str">
        <f>IF(ISBLANK('RESUMEN VIGILANCIA'!AD83),"",'RESUMEN VIGILANCIA'!AD83)</f>
        <v/>
      </c>
      <c r="AF90" s="374" t="str">
        <f>IF(ISBLANK('RESUMEN VIGILANCIA'!AE83),"",'RESUMEN VIGILANCIA'!AE83)</f>
        <v/>
      </c>
      <c r="AG90" s="374" t="str">
        <f>IF(ISBLANK('RESUMEN VIGILANCIA'!AF83),"",'RESUMEN VIGILANCIA'!AF83)</f>
        <v/>
      </c>
      <c r="AH90" s="374" t="str">
        <f>IF(ISBLANK('RESUMEN VIGILANCIA'!AG83),"",'RESUMEN VIGILANCIA'!AG83)</f>
        <v/>
      </c>
      <c r="AI90" s="374" t="str">
        <f>IF(ISBLANK('RESUMEN VIGILANCIA'!AH83),"",'RESUMEN VIGILANCIA'!AH83)</f>
        <v/>
      </c>
      <c r="AJ90" s="374" t="str">
        <f>IF(ISBLANK('RESUMEN VIGILANCIA'!AI83),"",'RESUMEN VIGILANCIA'!AI83)</f>
        <v/>
      </c>
      <c r="AK90" s="374" t="str">
        <f>IF(ISBLANK('RESUMEN VIGILANCIA'!AJ83),"",'RESUMEN VIGILANCIA'!AJ83)</f>
        <v/>
      </c>
      <c r="AL90" s="374" t="str">
        <f>IF(ISBLANK('RESUMEN VIGILANCIA'!AK83),"",'RESUMEN VIGILANCIA'!AK83)</f>
        <v/>
      </c>
      <c r="AM90" s="374" t="str">
        <f>IF(ISBLANK('RESUMEN VIGILANCIA'!AL83),"",'RESUMEN VIGILANCIA'!AL83)</f>
        <v/>
      </c>
      <c r="AN90" s="374">
        <f>IF(ISBLANK('RESUMEN VIGILANCIA'!AM83),"",'RESUMEN VIGILANCIA'!AM83)</f>
        <v>20000</v>
      </c>
      <c r="AO90" s="375" t="str">
        <f>IF(ISBLANK('RESUMEN VIGILANCIA'!AN83),"",'RESUMEN VIGILANCIA'!AN83)</f>
        <v/>
      </c>
      <c r="AP90" s="373" t="str">
        <f>IF(ISBLANK('RESUMEN VIGILANCIA'!AO83),"",'RESUMEN VIGILANCIA'!AO83)</f>
        <v/>
      </c>
      <c r="AQ90" s="374" t="str">
        <f>IF(ISBLANK('RESUMEN VIGILANCIA'!AP83),"",'RESUMEN VIGILANCIA'!AP83)</f>
        <v/>
      </c>
      <c r="AR90" s="374" t="str">
        <f>IF(ISBLANK('RESUMEN VIGILANCIA'!AQ83),"",'RESUMEN VIGILANCIA'!AQ83)</f>
        <v/>
      </c>
      <c r="AS90" s="374" t="str">
        <f>IF(ISBLANK('RESUMEN VIGILANCIA'!AR83),"",'RESUMEN VIGILANCIA'!AR83)</f>
        <v/>
      </c>
      <c r="AT90" s="374" t="str">
        <f>IF(ISBLANK('RESUMEN VIGILANCIA'!AS83),"",'RESUMEN VIGILANCIA'!AS83)</f>
        <v/>
      </c>
      <c r="AU90" s="374" t="str">
        <f>IF(ISBLANK('RESUMEN VIGILANCIA'!AT83),"",'RESUMEN VIGILANCIA'!AT83)</f>
        <v/>
      </c>
      <c r="AV90" s="374" t="str">
        <f>IF(ISBLANK('RESUMEN VIGILANCIA'!AU83),"",'RESUMEN VIGILANCIA'!AU83)</f>
        <v/>
      </c>
      <c r="AW90" s="374" t="str">
        <f>IF(ISBLANK('RESUMEN VIGILANCIA'!AV83),"",'RESUMEN VIGILANCIA'!AV83)</f>
        <v/>
      </c>
      <c r="AX90" s="374" t="str">
        <f>IF(ISBLANK('RESUMEN VIGILANCIA'!AW83),"",'RESUMEN VIGILANCIA'!AW83)</f>
        <v/>
      </c>
      <c r="AY90" s="374" t="str">
        <f>IF(ISBLANK('RESUMEN VIGILANCIA'!AX83),"",'RESUMEN VIGILANCIA'!AX83)</f>
        <v/>
      </c>
      <c r="AZ90" s="374" t="str">
        <f>IF(ISBLANK('RESUMEN VIGILANCIA'!AY83),"",'RESUMEN VIGILANCIA'!AY83)</f>
        <v/>
      </c>
      <c r="BA90" s="375" t="str">
        <f>IF(ISBLANK('RESUMEN VIGILANCIA'!AZ83),"",'RESUMEN VIGILANCIA'!AZ83)</f>
        <v/>
      </c>
      <c r="BB90" s="241">
        <f t="shared" si="5"/>
        <v>20103.22</v>
      </c>
      <c r="BC90" s="111"/>
      <c r="BD90" s="111"/>
    </row>
    <row r="91" spans="1:56" s="29" customFormat="1" ht="20.100000000000001" customHeight="1">
      <c r="A91" s="33" t="str">
        <f>'RESUMEN VIGILANCIA'!A87</f>
        <v>Dra. Lilia Magallanes</v>
      </c>
      <c r="B91" s="34" t="str">
        <f>'RESUMEN VIGILANCIA'!B87</f>
        <v>Calle Güigüe Nro. 88-51</v>
      </c>
      <c r="C91" s="430" t="s">
        <v>1316</v>
      </c>
      <c r="D91" s="435" t="s">
        <v>1315</v>
      </c>
      <c r="E91" s="421" t="str">
        <f>IF(ISBLANK('RESUMEN VIGILANCIA'!D87),"",'RESUMEN VIGILANCIA'!D87)</f>
        <v/>
      </c>
      <c r="F91" s="345">
        <f>IF(ISBLANK('RESUMEN VIGILANCIA'!E87),"",'RESUMEN VIGILANCIA'!E87)</f>
        <v>0.05</v>
      </c>
      <c r="G91" s="304">
        <f>IF(ISBLANK('RESUMEN VIGILANCIA'!F87),"",'RESUMEN VIGILANCIA'!F87)</f>
        <v>0.05</v>
      </c>
      <c r="H91" s="304">
        <f>IF(ISBLANK('RESUMEN VIGILANCIA'!G87),"",'RESUMEN VIGILANCIA'!G87)</f>
        <v>7.0000000000000007E-2</v>
      </c>
      <c r="I91" s="304">
        <f>IF(ISBLANK('RESUMEN VIGILANCIA'!H87),"",'RESUMEN VIGILANCIA'!H87)</f>
        <v>0.1</v>
      </c>
      <c r="J91" s="304">
        <f>IF(ISBLANK('RESUMEN VIGILANCIA'!I87),"",'RESUMEN VIGILANCIA'!I87)</f>
        <v>0.2</v>
      </c>
      <c r="K91" s="304">
        <f>IF(ISBLANK('RESUMEN VIGILANCIA'!J87),"",'RESUMEN VIGILANCIA'!J87)</f>
        <v>0.2</v>
      </c>
      <c r="L91" s="304">
        <f>IF(ISBLANK('RESUMEN VIGILANCIA'!K87),"",'RESUMEN VIGILANCIA'!K87)</f>
        <v>0.3</v>
      </c>
      <c r="M91" s="304">
        <f>IF(ISBLANK('RESUMEN VIGILANCIA'!L87),"",'RESUMEN VIGILANCIA'!L87)</f>
        <v>0.35</v>
      </c>
      <c r="N91" s="304">
        <f>IF(ISBLANK('RESUMEN VIGILANCIA'!M87),"",'RESUMEN VIGILANCIA'!M87)</f>
        <v>0.35</v>
      </c>
      <c r="O91" s="304">
        <f>IF(ISBLANK('RESUMEN VIGILANCIA'!N87),"",'RESUMEN VIGILANCIA'!N87)</f>
        <v>0.35</v>
      </c>
      <c r="P91" s="272">
        <f>IF(ISBLANK('RESUMEN VIGILANCIA'!O87),"",'RESUMEN VIGILANCIA'!O87)</f>
        <v>0.5</v>
      </c>
      <c r="Q91" s="344">
        <f>IF(ISBLANK('RESUMEN VIGILANCIA'!P87),"",'RESUMEN VIGILANCIA'!P87)</f>
        <v>0.5</v>
      </c>
      <c r="R91" s="336">
        <f>IF(ISBLANK('RESUMEN VIGILANCIA'!Q87),"",'RESUMEN VIGILANCIA'!Q87)</f>
        <v>0.8</v>
      </c>
      <c r="S91" s="272">
        <f>IF(ISBLANK('RESUMEN VIGILANCIA'!R87),"",'RESUMEN VIGILANCIA'!R87)</f>
        <v>0.8</v>
      </c>
      <c r="T91" s="272">
        <f>IF(ISBLANK('RESUMEN VIGILANCIA'!S87),"",'RESUMEN VIGILANCIA'!S87)</f>
        <v>1.4</v>
      </c>
      <c r="U91" s="272">
        <f>IF(ISBLANK('RESUMEN VIGILANCIA'!T87),"",'RESUMEN VIGILANCIA'!T87)</f>
        <v>1.4</v>
      </c>
      <c r="V91" s="272">
        <f>IF(ISBLANK('RESUMEN VIGILANCIA'!U87),"",'RESUMEN VIGILANCIA'!U87)</f>
        <v>4</v>
      </c>
      <c r="W91" s="272">
        <f>IF(ISBLANK('RESUMEN VIGILANCIA'!V87),"",'RESUMEN VIGILANCIA'!V87)</f>
        <v>6.25</v>
      </c>
      <c r="X91" s="272">
        <f>IF(ISBLANK('RESUMEN VIGILANCIA'!W87),"",'RESUMEN VIGILANCIA'!W87)</f>
        <v>10</v>
      </c>
      <c r="Y91" s="272">
        <f>IF(ISBLANK('RESUMEN VIGILANCIA'!X87),"",'RESUMEN VIGILANCIA'!X87)</f>
        <v>12</v>
      </c>
      <c r="Z91" s="458">
        <f>IF(ISBLANK('RESUMEN VIGILANCIA'!Y87),"",'RESUMEN VIGILANCIA'!Y87)</f>
        <v>320.05</v>
      </c>
      <c r="AA91" s="458">
        <f>IF(ISBLANK('RESUMEN VIGILANCIA'!Z87),"",'RESUMEN VIGILANCIA'!Z87)</f>
        <v>320</v>
      </c>
      <c r="AB91" s="458">
        <f>IF(ISBLANK('RESUMEN VIGILANCIA'!AA87),"",'RESUMEN VIGILANCIA'!AA87)</f>
        <v>320</v>
      </c>
      <c r="AC91" s="457">
        <f>IF(ISBLANK('RESUMEN VIGILANCIA'!AB87),"",'RESUMEN VIGILANCIA'!AB87)</f>
        <v>800</v>
      </c>
      <c r="AD91" s="381">
        <f>IF(ISBLANK('RESUMEN VIGILANCIA'!AC87),"",'RESUMEN VIGILANCIA'!AC87)</f>
        <v>3000</v>
      </c>
      <c r="AE91" s="382">
        <f>IF(ISBLANK('RESUMEN VIGILANCIA'!AD87),"",'RESUMEN VIGILANCIA'!AD87)</f>
        <v>3000</v>
      </c>
      <c r="AF91" s="382">
        <f>IF(ISBLANK('RESUMEN VIGILANCIA'!AE87),"",'RESUMEN VIGILANCIA'!AE87)</f>
        <v>3000</v>
      </c>
      <c r="AG91" s="382">
        <f>IF(ISBLANK('RESUMEN VIGILANCIA'!AF87),"",'RESUMEN VIGILANCIA'!AF87)</f>
        <v>5000</v>
      </c>
      <c r="AH91" s="382">
        <f>IF(ISBLANK('RESUMEN VIGILANCIA'!AG87),"",'RESUMEN VIGILANCIA'!AG87)</f>
        <v>8000</v>
      </c>
      <c r="AI91" s="382">
        <f>IF(ISBLANK('RESUMEN VIGILANCIA'!AH87),"",'RESUMEN VIGILANCIA'!AH87)</f>
        <v>8000</v>
      </c>
      <c r="AJ91" s="382">
        <f>IF(ISBLANK('RESUMEN VIGILANCIA'!AI87),"",'RESUMEN VIGILANCIA'!AI87)</f>
        <v>10000</v>
      </c>
      <c r="AK91" s="382">
        <f>IF(ISBLANK('RESUMEN VIGILANCIA'!AJ87),"",'RESUMEN VIGILANCIA'!AJ87)</f>
        <v>10000</v>
      </c>
      <c r="AL91" s="382">
        <f>IF(ISBLANK('RESUMEN VIGILANCIA'!AK87),"",'RESUMEN VIGILANCIA'!AK87)</f>
        <v>23400</v>
      </c>
      <c r="AM91" s="382">
        <f>IF(ISBLANK('RESUMEN VIGILANCIA'!AL87),"",'RESUMEN VIGILANCIA'!AL87)</f>
        <v>51265</v>
      </c>
      <c r="AN91" s="382">
        <f>IF(ISBLANK('RESUMEN VIGILANCIA'!AM87),"",'RESUMEN VIGILANCIA'!AM87)</f>
        <v>56250</v>
      </c>
      <c r="AO91" s="387">
        <f>IF(ISBLANK('RESUMEN VIGILANCIA'!AN87),"",'RESUMEN VIGILANCIA'!AN87)</f>
        <v>97500</v>
      </c>
      <c r="AP91" s="381">
        <f>IF(ISBLANK('RESUMEN VIGILANCIA'!AO87),"",'RESUMEN VIGILANCIA'!AO87)</f>
        <v>136250</v>
      </c>
      <c r="AQ91" s="382">
        <f>IF(ISBLANK('RESUMEN VIGILANCIA'!AP87),"",'RESUMEN VIGILANCIA'!AP87)</f>
        <v>136250</v>
      </c>
      <c r="AR91" s="382">
        <f>IF(ISBLANK('RESUMEN VIGILANCIA'!AQ87),"",'RESUMEN VIGILANCIA'!AQ87)</f>
        <v>185250</v>
      </c>
      <c r="AS91" s="382">
        <f>IF(ISBLANK('RESUMEN VIGILANCIA'!AR87),"",'RESUMEN VIGILANCIA'!AR87)</f>
        <v>186250</v>
      </c>
      <c r="AT91" s="382">
        <f>IF(ISBLANK('RESUMEN VIGILANCIA'!AS87),"",'RESUMEN VIGILANCIA'!AS87)</f>
        <v>250000</v>
      </c>
      <c r="AU91" s="382" t="str">
        <f>IF(ISBLANK('RESUMEN VIGILANCIA'!AT87),"",'RESUMEN VIGILANCIA'!AT87)</f>
        <v/>
      </c>
      <c r="AV91" s="382" t="str">
        <f>IF(ISBLANK('RESUMEN VIGILANCIA'!AU87),"",'RESUMEN VIGILANCIA'!AU87)</f>
        <v/>
      </c>
      <c r="AW91" s="382" t="str">
        <f>IF(ISBLANK('RESUMEN VIGILANCIA'!AV87),"",'RESUMEN VIGILANCIA'!AV87)</f>
        <v/>
      </c>
      <c r="AX91" s="382" t="str">
        <f>IF(ISBLANK('RESUMEN VIGILANCIA'!AW87),"",'RESUMEN VIGILANCIA'!AW87)</f>
        <v/>
      </c>
      <c r="AY91" s="382" t="str">
        <f>IF(ISBLANK('RESUMEN VIGILANCIA'!AX87),"",'RESUMEN VIGILANCIA'!AX87)</f>
        <v/>
      </c>
      <c r="AZ91" s="382" t="str">
        <f>IF(ISBLANK('RESUMEN VIGILANCIA'!AY87),"",'RESUMEN VIGILANCIA'!AY87)</f>
        <v/>
      </c>
      <c r="BA91" s="387" t="str">
        <f>IF(ISBLANK('RESUMEN VIGILANCIA'!AZ87),"",'RESUMEN VIGILANCIA'!AZ87)</f>
        <v/>
      </c>
      <c r="BB91" s="346">
        <f t="shared" si="5"/>
        <v>280214.71999999997</v>
      </c>
      <c r="BC91" s="347"/>
      <c r="BD91" s="347"/>
    </row>
    <row r="92" spans="1:56" s="29" customFormat="1" ht="20.100000000000001" customHeight="1">
      <c r="A92" s="33" t="str">
        <f>'RESUMEN VIGILANCIA'!A84</f>
        <v>Thanya Albornoz</v>
      </c>
      <c r="B92" s="34" t="str">
        <f>'RESUMEN VIGILANCIA'!B84</f>
        <v>Calle Güigüe Nro. 88-42</v>
      </c>
      <c r="C92" s="428" t="s">
        <v>1317</v>
      </c>
      <c r="D92" s="437" t="s">
        <v>1315</v>
      </c>
      <c r="E92" s="416" t="str">
        <f>IF(ISBLANK('RESUMEN VIGILANCIA'!D84),"",'RESUMEN VIGILANCIA'!D84)</f>
        <v/>
      </c>
      <c r="F92" s="266" t="str">
        <f>IF(ISBLANK('RESUMEN VIGILANCIA'!E84),"",'RESUMEN VIGILANCIA'!E84)</f>
        <v/>
      </c>
      <c r="G92" s="188" t="str">
        <f>IF(ISBLANK('RESUMEN VIGILANCIA'!F84),"",'RESUMEN VIGILANCIA'!F84)</f>
        <v/>
      </c>
      <c r="H92" s="188" t="str">
        <f>IF(ISBLANK('RESUMEN VIGILANCIA'!G84),"",'RESUMEN VIGILANCIA'!G84)</f>
        <v/>
      </c>
      <c r="I92" s="188" t="str">
        <f>IF(ISBLANK('RESUMEN VIGILANCIA'!H84),"",'RESUMEN VIGILANCIA'!H84)</f>
        <v/>
      </c>
      <c r="J92" s="188" t="str">
        <f>IF(ISBLANK('RESUMEN VIGILANCIA'!I84),"",'RESUMEN VIGILANCIA'!I84)</f>
        <v/>
      </c>
      <c r="K92" s="188" t="str">
        <f>IF(ISBLANK('RESUMEN VIGILANCIA'!J84),"",'RESUMEN VIGILANCIA'!J84)</f>
        <v/>
      </c>
      <c r="L92" s="188" t="str">
        <f>IF(ISBLANK('RESUMEN VIGILANCIA'!K84),"",'RESUMEN VIGILANCIA'!K84)</f>
        <v/>
      </c>
      <c r="M92" s="188" t="str">
        <f>IF(ISBLANK('RESUMEN VIGILANCIA'!L84),"",'RESUMEN VIGILANCIA'!L84)</f>
        <v/>
      </c>
      <c r="N92" s="188" t="str">
        <f>IF(ISBLANK('RESUMEN VIGILANCIA'!M84),"",'RESUMEN VIGILANCIA'!M84)</f>
        <v/>
      </c>
      <c r="O92" s="188" t="str">
        <f>IF(ISBLANK('RESUMEN VIGILANCIA'!N84),"",'RESUMEN VIGILANCIA'!N84)</f>
        <v/>
      </c>
      <c r="P92" s="267" t="str">
        <f>IF(ISBLANK('RESUMEN VIGILANCIA'!O84),"",'RESUMEN VIGILANCIA'!O84)</f>
        <v/>
      </c>
      <c r="Q92" s="186" t="str">
        <f>IF(ISBLANK('RESUMEN VIGILANCIA'!P84),"",'RESUMEN VIGILANCIA'!P84)</f>
        <v/>
      </c>
      <c r="R92" s="268" t="str">
        <f>IF(ISBLANK('RESUMEN VIGILANCIA'!Q84),"",'RESUMEN VIGILANCIA'!Q84)</f>
        <v/>
      </c>
      <c r="S92" s="267" t="str">
        <f>IF(ISBLANK('RESUMEN VIGILANCIA'!R84),"",'RESUMEN VIGILANCIA'!R84)</f>
        <v/>
      </c>
      <c r="T92" s="267" t="str">
        <f>IF(ISBLANK('RESUMEN VIGILANCIA'!S84),"",'RESUMEN VIGILANCIA'!S84)</f>
        <v/>
      </c>
      <c r="U92" s="267" t="str">
        <f>IF(ISBLANK('RESUMEN VIGILANCIA'!T84),"",'RESUMEN VIGILANCIA'!T84)</f>
        <v/>
      </c>
      <c r="V92" s="267" t="str">
        <f>IF(ISBLANK('RESUMEN VIGILANCIA'!U84),"",'RESUMEN VIGILANCIA'!U84)</f>
        <v/>
      </c>
      <c r="W92" s="267" t="str">
        <f>IF(ISBLANK('RESUMEN VIGILANCIA'!V84),"",'RESUMEN VIGILANCIA'!V84)</f>
        <v/>
      </c>
      <c r="X92" s="267" t="str">
        <f>IF(ISBLANK('RESUMEN VIGILANCIA'!W84),"",'RESUMEN VIGILANCIA'!W84)</f>
        <v/>
      </c>
      <c r="Y92" s="267" t="str">
        <f>IF(ISBLANK('RESUMEN VIGILANCIA'!X84),"",'RESUMEN VIGILANCIA'!X84)</f>
        <v/>
      </c>
      <c r="Z92" s="459" t="str">
        <f>IF(ISBLANK('RESUMEN VIGILANCIA'!Y84),"",'RESUMEN VIGILANCIA'!Y84)</f>
        <v/>
      </c>
      <c r="AA92" s="459" t="str">
        <f>IF(ISBLANK('RESUMEN VIGILANCIA'!Z84),"",'RESUMEN VIGILANCIA'!Z84)</f>
        <v/>
      </c>
      <c r="AB92" s="459" t="str">
        <f>IF(ISBLANK('RESUMEN VIGILANCIA'!AA84),"",'RESUMEN VIGILANCIA'!AA84)</f>
        <v/>
      </c>
      <c r="AC92" s="460" t="str">
        <f>IF(ISBLANK('RESUMEN VIGILANCIA'!AB84),"",'RESUMEN VIGILANCIA'!AB84)</f>
        <v/>
      </c>
      <c r="AD92" s="373" t="str">
        <f>IF(ISBLANK('RESUMEN VIGILANCIA'!AC84),"",'RESUMEN VIGILANCIA'!AC84)</f>
        <v/>
      </c>
      <c r="AE92" s="374" t="str">
        <f>IF(ISBLANK('RESUMEN VIGILANCIA'!AD84),"",'RESUMEN VIGILANCIA'!AD84)</f>
        <v/>
      </c>
      <c r="AF92" s="374" t="str">
        <f>IF(ISBLANK('RESUMEN VIGILANCIA'!AE84),"",'RESUMEN VIGILANCIA'!AE84)</f>
        <v/>
      </c>
      <c r="AG92" s="374" t="str">
        <f>IF(ISBLANK('RESUMEN VIGILANCIA'!AF84),"",'RESUMEN VIGILANCIA'!AF84)</f>
        <v/>
      </c>
      <c r="AH92" s="374" t="str">
        <f>IF(ISBLANK('RESUMEN VIGILANCIA'!AG84),"",'RESUMEN VIGILANCIA'!AG84)</f>
        <v/>
      </c>
      <c r="AI92" s="374" t="str">
        <f>IF(ISBLANK('RESUMEN VIGILANCIA'!AH84),"",'RESUMEN VIGILANCIA'!AH84)</f>
        <v/>
      </c>
      <c r="AJ92" s="374" t="str">
        <f>IF(ISBLANK('RESUMEN VIGILANCIA'!AI84),"",'RESUMEN VIGILANCIA'!AI84)</f>
        <v/>
      </c>
      <c r="AK92" s="374" t="str">
        <f>IF(ISBLANK('RESUMEN VIGILANCIA'!AJ84),"",'RESUMEN VIGILANCIA'!AJ84)</f>
        <v/>
      </c>
      <c r="AL92" s="374" t="str">
        <f>IF(ISBLANK('RESUMEN VIGILANCIA'!AK84),"",'RESUMEN VIGILANCIA'!AK84)</f>
        <v/>
      </c>
      <c r="AM92" s="374" t="str">
        <f>IF(ISBLANK('RESUMEN VIGILANCIA'!AL84),"",'RESUMEN VIGILANCIA'!AL84)</f>
        <v/>
      </c>
      <c r="AN92" s="374" t="str">
        <f>IF(ISBLANK('RESUMEN VIGILANCIA'!AM84),"",'RESUMEN VIGILANCIA'!AM84)</f>
        <v/>
      </c>
      <c r="AO92" s="375" t="str">
        <f>IF(ISBLANK('RESUMEN VIGILANCIA'!AN84),"",'RESUMEN VIGILANCIA'!AN84)</f>
        <v/>
      </c>
      <c r="AP92" s="373" t="str">
        <f>IF(ISBLANK('RESUMEN VIGILANCIA'!AO84),"",'RESUMEN VIGILANCIA'!AO84)</f>
        <v/>
      </c>
      <c r="AQ92" s="374" t="str">
        <f>IF(ISBLANK('RESUMEN VIGILANCIA'!AP84),"",'RESUMEN VIGILANCIA'!AP84)</f>
        <v/>
      </c>
      <c r="AR92" s="374" t="str">
        <f>IF(ISBLANK('RESUMEN VIGILANCIA'!AQ84),"",'RESUMEN VIGILANCIA'!AQ84)</f>
        <v/>
      </c>
      <c r="AS92" s="374" t="str">
        <f>IF(ISBLANK('RESUMEN VIGILANCIA'!AR84),"",'RESUMEN VIGILANCIA'!AR84)</f>
        <v/>
      </c>
      <c r="AT92" s="374" t="str">
        <f>IF(ISBLANK('RESUMEN VIGILANCIA'!AS84),"",'RESUMEN VIGILANCIA'!AS84)</f>
        <v/>
      </c>
      <c r="AU92" s="374" t="str">
        <f>IF(ISBLANK('RESUMEN VIGILANCIA'!AT84),"",'RESUMEN VIGILANCIA'!AT84)</f>
        <v/>
      </c>
      <c r="AV92" s="374" t="str">
        <f>IF(ISBLANK('RESUMEN VIGILANCIA'!AU84),"",'RESUMEN VIGILANCIA'!AU84)</f>
        <v/>
      </c>
      <c r="AW92" s="374" t="str">
        <f>IF(ISBLANK('RESUMEN VIGILANCIA'!AV84),"",'RESUMEN VIGILANCIA'!AV84)</f>
        <v/>
      </c>
      <c r="AX92" s="374" t="str">
        <f>IF(ISBLANK('RESUMEN VIGILANCIA'!AW84),"",'RESUMEN VIGILANCIA'!AW84)</f>
        <v/>
      </c>
      <c r="AY92" s="374" t="str">
        <f>IF(ISBLANK('RESUMEN VIGILANCIA'!AX84),"",'RESUMEN VIGILANCIA'!AX84)</f>
        <v/>
      </c>
      <c r="AZ92" s="374" t="str">
        <f>IF(ISBLANK('RESUMEN VIGILANCIA'!AY84),"",'RESUMEN VIGILANCIA'!AY84)</f>
        <v/>
      </c>
      <c r="BA92" s="375" t="str">
        <f>IF(ISBLANK('RESUMEN VIGILANCIA'!AZ84),"",'RESUMEN VIGILANCIA'!AZ84)</f>
        <v/>
      </c>
      <c r="BB92" s="241">
        <f t="shared" si="5"/>
        <v>0</v>
      </c>
      <c r="BC92" s="111"/>
      <c r="BD92" s="111"/>
    </row>
    <row r="93" spans="1:56" s="29" customFormat="1" ht="20.100000000000001" customHeight="1">
      <c r="A93" s="30" t="str">
        <f>'RESUMEN VIGILANCIA'!A85</f>
        <v>Familia Colosso Delgado</v>
      </c>
      <c r="B93" s="31" t="str">
        <f>'RESUMEN VIGILANCIA'!B85</f>
        <v>Calle Güigüe Nro. 88-44</v>
      </c>
      <c r="C93" s="429" t="s">
        <v>1316</v>
      </c>
      <c r="D93" s="436" t="s">
        <v>17</v>
      </c>
      <c r="E93" s="417" t="str">
        <f>IF(ISBLANK('RESUMEN VIGILANCIA'!D85),"",'RESUMEN VIGILANCIA'!D85)</f>
        <v/>
      </c>
      <c r="F93" s="269">
        <f>IF(ISBLANK('RESUMEN VIGILANCIA'!E85),"",'RESUMEN VIGILANCIA'!E85)</f>
        <v>0.16999999999999998</v>
      </c>
      <c r="G93" s="181">
        <f>IF(ISBLANK('RESUMEN VIGILANCIA'!F85),"",'RESUMEN VIGILANCIA'!F85)</f>
        <v>0.17</v>
      </c>
      <c r="H93" s="181">
        <f>IF(ISBLANK('RESUMEN VIGILANCIA'!G85),"",'RESUMEN VIGILANCIA'!G85)</f>
        <v>0.17</v>
      </c>
      <c r="I93" s="181">
        <f>IF(ISBLANK('RESUMEN VIGILANCIA'!H85),"",'RESUMEN VIGILANCIA'!H85)</f>
        <v>0.17</v>
      </c>
      <c r="J93" s="181">
        <f>IF(ISBLANK('RESUMEN VIGILANCIA'!I85),"",'RESUMEN VIGILANCIA'!I85)</f>
        <v>0.26</v>
      </c>
      <c r="K93" s="181">
        <f>IF(ISBLANK('RESUMEN VIGILANCIA'!J85),"",'RESUMEN VIGILANCIA'!J85)</f>
        <v>0.26</v>
      </c>
      <c r="L93" s="181">
        <f>IF(ISBLANK('RESUMEN VIGILANCIA'!K85),"",'RESUMEN VIGILANCIA'!K85)</f>
        <v>0.35</v>
      </c>
      <c r="M93" s="181">
        <f>IF(ISBLANK('RESUMEN VIGILANCIA'!L85),"",'RESUMEN VIGILANCIA'!L85)</f>
        <v>0.35</v>
      </c>
      <c r="N93" s="181">
        <f>IF(ISBLANK('RESUMEN VIGILANCIA'!M85),"",'RESUMEN VIGILANCIA'!M85)</f>
        <v>0.35</v>
      </c>
      <c r="O93" s="181">
        <f>IF(ISBLANK('RESUMEN VIGILANCIA'!N85),"",'RESUMEN VIGILANCIA'!N85)</f>
        <v>0.35</v>
      </c>
      <c r="P93" s="270">
        <f>IF(ISBLANK('RESUMEN VIGILANCIA'!O85),"",'RESUMEN VIGILANCIA'!O85)</f>
        <v>0.5</v>
      </c>
      <c r="Q93" s="179">
        <f>IF(ISBLANK('RESUMEN VIGILANCIA'!P85),"",'RESUMEN VIGILANCIA'!P85)</f>
        <v>0.5</v>
      </c>
      <c r="R93" s="271">
        <f>IF(ISBLANK('RESUMEN VIGILANCIA'!Q85),"",'RESUMEN VIGILANCIA'!Q85)</f>
        <v>0.8</v>
      </c>
      <c r="S93" s="270">
        <f>IF(ISBLANK('RESUMEN VIGILANCIA'!R85),"",'RESUMEN VIGILANCIA'!R85)</f>
        <v>0.8</v>
      </c>
      <c r="T93" s="270">
        <f>IF(ISBLANK('RESUMEN VIGILANCIA'!S85),"",'RESUMEN VIGILANCIA'!S85)</f>
        <v>1.4</v>
      </c>
      <c r="U93" s="270">
        <f>IF(ISBLANK('RESUMEN VIGILANCIA'!T85),"",'RESUMEN VIGILANCIA'!T85)</f>
        <v>1.4</v>
      </c>
      <c r="V93" s="270">
        <f>IF(ISBLANK('RESUMEN VIGILANCIA'!U85),"",'RESUMEN VIGILANCIA'!U85)</f>
        <v>4</v>
      </c>
      <c r="W93" s="270">
        <f>IF(ISBLANK('RESUMEN VIGILANCIA'!V85),"",'RESUMEN VIGILANCIA'!V85)</f>
        <v>6.25</v>
      </c>
      <c r="X93" s="270">
        <f>IF(ISBLANK('RESUMEN VIGILANCIA'!W85),"",'RESUMEN VIGILANCIA'!W85)</f>
        <v>10</v>
      </c>
      <c r="Y93" s="270">
        <f>IF(ISBLANK('RESUMEN VIGILANCIA'!X85),"",'RESUMEN VIGILANCIA'!X85)</f>
        <v>12</v>
      </c>
      <c r="Z93" s="455">
        <f>IF(ISBLANK('RESUMEN VIGILANCIA'!Y85),"",'RESUMEN VIGILANCIA'!Y85)</f>
        <v>320</v>
      </c>
      <c r="AA93" s="455">
        <f>IF(ISBLANK('RESUMEN VIGILANCIA'!Z85),"",'RESUMEN VIGILANCIA'!Z85)</f>
        <v>320</v>
      </c>
      <c r="AB93" s="455">
        <f>IF(ISBLANK('RESUMEN VIGILANCIA'!AA85),"",'RESUMEN VIGILANCIA'!AA85)</f>
        <v>320</v>
      </c>
      <c r="AC93" s="456">
        <f>IF(ISBLANK('RESUMEN VIGILANCIA'!AB85),"",'RESUMEN VIGILANCIA'!AB85)</f>
        <v>800</v>
      </c>
      <c r="AD93" s="376">
        <f>IF(ISBLANK('RESUMEN VIGILANCIA'!AC85),"",'RESUMEN VIGILANCIA'!AC85)</f>
        <v>3000</v>
      </c>
      <c r="AE93" s="377">
        <f>IF(ISBLANK('RESUMEN VIGILANCIA'!AD85),"",'RESUMEN VIGILANCIA'!AD85)</f>
        <v>3000</v>
      </c>
      <c r="AF93" s="377">
        <f>IF(ISBLANK('RESUMEN VIGILANCIA'!AE85),"",'RESUMEN VIGILANCIA'!AE85)</f>
        <v>3000</v>
      </c>
      <c r="AG93" s="377">
        <f>IF(ISBLANK('RESUMEN VIGILANCIA'!AF85),"",'RESUMEN VIGILANCIA'!AF85)</f>
        <v>5000</v>
      </c>
      <c r="AH93" s="377">
        <f>IF(ISBLANK('RESUMEN VIGILANCIA'!AG85),"",'RESUMEN VIGILANCIA'!AG85)</f>
        <v>8000</v>
      </c>
      <c r="AI93" s="377">
        <f>IF(ISBLANK('RESUMEN VIGILANCIA'!AH85),"",'RESUMEN VIGILANCIA'!AH85)</f>
        <v>8000</v>
      </c>
      <c r="AJ93" s="377">
        <f>IF(ISBLANK('RESUMEN VIGILANCIA'!AI85),"",'RESUMEN VIGILANCIA'!AI85)</f>
        <v>10000</v>
      </c>
      <c r="AK93" s="377">
        <f>IF(ISBLANK('RESUMEN VIGILANCIA'!AJ85),"",'RESUMEN VIGILANCIA'!AJ85)</f>
        <v>10000</v>
      </c>
      <c r="AL93" s="377">
        <f>IF(ISBLANK('RESUMEN VIGILANCIA'!AK85),"",'RESUMEN VIGILANCIA'!AK85)</f>
        <v>23400</v>
      </c>
      <c r="AM93" s="377">
        <f>IF(ISBLANK('RESUMEN VIGILANCIA'!AL85),"",'RESUMEN VIGILANCIA'!AL85)</f>
        <v>47000</v>
      </c>
      <c r="AN93" s="377">
        <f>IF(ISBLANK('RESUMEN VIGILANCIA'!AM85),"",'RESUMEN VIGILANCIA'!AM85)</f>
        <v>51250</v>
      </c>
      <c r="AO93" s="378">
        <f>IF(ISBLANK('RESUMEN VIGILANCIA'!AN85),"",'RESUMEN VIGILANCIA'!AN85)</f>
        <v>81750</v>
      </c>
      <c r="AP93" s="376">
        <f>IF(ISBLANK('RESUMEN VIGILANCIA'!AO85),"",'RESUMEN VIGILANCIA'!AO85)</f>
        <v>136250</v>
      </c>
      <c r="AQ93" s="377">
        <f>IF(ISBLANK('RESUMEN VIGILANCIA'!AP85),"",'RESUMEN VIGILANCIA'!AP85)</f>
        <v>136250</v>
      </c>
      <c r="AR93" s="377">
        <f>IF(ISBLANK('RESUMEN VIGILANCIA'!AQ85),"",'RESUMEN VIGILANCIA'!AQ85)</f>
        <v>185250</v>
      </c>
      <c r="AS93" s="377">
        <f>IF(ISBLANK('RESUMEN VIGILANCIA'!AR85),"",'RESUMEN VIGILANCIA'!AR85)</f>
        <v>185250</v>
      </c>
      <c r="AT93" s="377">
        <f>IF(ISBLANK('RESUMEN VIGILANCIA'!AS85),"",'RESUMEN VIGILANCIA'!AS85)</f>
        <v>250000</v>
      </c>
      <c r="AU93" s="377" t="str">
        <f>IF(ISBLANK('RESUMEN VIGILANCIA'!AT85),"",'RESUMEN VIGILANCIA'!AT85)</f>
        <v/>
      </c>
      <c r="AV93" s="377" t="str">
        <f>IF(ISBLANK('RESUMEN VIGILANCIA'!AU85),"",'RESUMEN VIGILANCIA'!AU85)</f>
        <v/>
      </c>
      <c r="AW93" s="377" t="str">
        <f>IF(ISBLANK('RESUMEN VIGILANCIA'!AV85),"",'RESUMEN VIGILANCIA'!AV85)</f>
        <v/>
      </c>
      <c r="AX93" s="377" t="str">
        <f>IF(ISBLANK('RESUMEN VIGILANCIA'!AW85),"",'RESUMEN VIGILANCIA'!AW85)</f>
        <v/>
      </c>
      <c r="AY93" s="377" t="str">
        <f>IF(ISBLANK('RESUMEN VIGILANCIA'!AX85),"",'RESUMEN VIGILANCIA'!AX85)</f>
        <v/>
      </c>
      <c r="AZ93" s="377" t="str">
        <f>IF(ISBLANK('RESUMEN VIGILANCIA'!AY85),"",'RESUMEN VIGILANCIA'!AY85)</f>
        <v/>
      </c>
      <c r="BA93" s="378" t="str">
        <f>IF(ISBLANK('RESUMEN VIGILANCIA'!AZ85),"",'RESUMEN VIGILANCIA'!AZ85)</f>
        <v/>
      </c>
      <c r="BB93" s="242">
        <f t="shared" si="5"/>
        <v>255200.25</v>
      </c>
      <c r="BC93" s="112"/>
      <c r="BD93" s="112"/>
    </row>
    <row r="94" spans="1:56" s="29" customFormat="1" ht="20.100000000000001" customHeight="1">
      <c r="A94" s="30" t="str">
        <f>'RESUMEN VIGILANCIA'!A86</f>
        <v>Familia Jiménez Navarro</v>
      </c>
      <c r="B94" s="31" t="str">
        <f>'RESUMEN VIGILANCIA'!B86</f>
        <v>Calle Güigüe Nro. 88-50</v>
      </c>
      <c r="C94" s="429" t="s">
        <v>1316</v>
      </c>
      <c r="D94" s="436" t="s">
        <v>17</v>
      </c>
      <c r="E94" s="417" t="str">
        <f>IF(ISBLANK('RESUMEN VIGILANCIA'!D86),"",'RESUMEN VIGILANCIA'!D86)</f>
        <v/>
      </c>
      <c r="F94" s="269">
        <f>IF(ISBLANK('RESUMEN VIGILANCIA'!E86),"",'RESUMEN VIGILANCIA'!E86)</f>
        <v>0.17</v>
      </c>
      <c r="G94" s="181">
        <f>IF(ISBLANK('RESUMEN VIGILANCIA'!F86),"",'RESUMEN VIGILANCIA'!F86)</f>
        <v>0.17</v>
      </c>
      <c r="H94" s="181">
        <f>IF(ISBLANK('RESUMEN VIGILANCIA'!G86),"",'RESUMEN VIGILANCIA'!G86)</f>
        <v>0.17</v>
      </c>
      <c r="I94" s="181">
        <f>IF(ISBLANK('RESUMEN VIGILANCIA'!H86),"",'RESUMEN VIGILANCIA'!H86)</f>
        <v>0.17</v>
      </c>
      <c r="J94" s="181">
        <f>IF(ISBLANK('RESUMEN VIGILANCIA'!I86),"",'RESUMEN VIGILANCIA'!I86)</f>
        <v>0.26</v>
      </c>
      <c r="K94" s="225" t="str">
        <f>IF(ISBLANK('RESUMEN VIGILANCIA'!J86),"",'RESUMEN VIGILANCIA'!J86)</f>
        <v/>
      </c>
      <c r="L94" s="181">
        <f>IF(ISBLANK('RESUMEN VIGILANCIA'!K86),"",'RESUMEN VIGILANCIA'!K86)</f>
        <v>0.35</v>
      </c>
      <c r="M94" s="181">
        <f>IF(ISBLANK('RESUMEN VIGILANCIA'!L86),"",'RESUMEN VIGILANCIA'!L86)</f>
        <v>0.35</v>
      </c>
      <c r="N94" s="181">
        <f>IF(ISBLANK('RESUMEN VIGILANCIA'!M86),"",'RESUMEN VIGILANCIA'!M86)</f>
        <v>0.35</v>
      </c>
      <c r="O94" s="181">
        <f>IF(ISBLANK('RESUMEN VIGILANCIA'!N86),"",'RESUMEN VIGILANCIA'!N86)</f>
        <v>0.35</v>
      </c>
      <c r="P94" s="270">
        <f>IF(ISBLANK('RESUMEN VIGILANCIA'!O86),"",'RESUMEN VIGILANCIA'!O86)</f>
        <v>0.5</v>
      </c>
      <c r="Q94" s="179">
        <f>IF(ISBLANK('RESUMEN VIGILANCIA'!P86),"",'RESUMEN VIGILANCIA'!P86)</f>
        <v>0.5</v>
      </c>
      <c r="R94" s="271">
        <f>IF(ISBLANK('RESUMEN VIGILANCIA'!Q86),"",'RESUMEN VIGILANCIA'!Q86)</f>
        <v>0.8</v>
      </c>
      <c r="S94" s="270">
        <f>IF(ISBLANK('RESUMEN VIGILANCIA'!R86),"",'RESUMEN VIGILANCIA'!R86)</f>
        <v>0.8</v>
      </c>
      <c r="T94" s="270">
        <f>IF(ISBLANK('RESUMEN VIGILANCIA'!S86),"",'RESUMEN VIGILANCIA'!S86)</f>
        <v>1.4</v>
      </c>
      <c r="U94" s="270">
        <f>IF(ISBLANK('RESUMEN VIGILANCIA'!T86),"",'RESUMEN VIGILANCIA'!T86)</f>
        <v>3</v>
      </c>
      <c r="V94" s="270">
        <f>IF(ISBLANK('RESUMEN VIGILANCIA'!U86),"",'RESUMEN VIGILANCIA'!U86)</f>
        <v>4</v>
      </c>
      <c r="W94" s="270">
        <f>IF(ISBLANK('RESUMEN VIGILANCIA'!V86),"",'RESUMEN VIGILANCIA'!V86)</f>
        <v>10</v>
      </c>
      <c r="X94" s="270">
        <f>IF(ISBLANK('RESUMEN VIGILANCIA'!W86),"",'RESUMEN VIGILANCIA'!W86)</f>
        <v>10</v>
      </c>
      <c r="Y94" s="270">
        <f>IF(ISBLANK('RESUMEN VIGILANCIA'!X86),"",'RESUMEN VIGILANCIA'!X86)</f>
        <v>12</v>
      </c>
      <c r="Z94" s="455">
        <f>IF(ISBLANK('RESUMEN VIGILANCIA'!Y86),"",'RESUMEN VIGILANCIA'!Y86)</f>
        <v>320</v>
      </c>
      <c r="AA94" s="455">
        <f>IF(ISBLANK('RESUMEN VIGILANCIA'!Z86),"",'RESUMEN VIGILANCIA'!Z86)</f>
        <v>320</v>
      </c>
      <c r="AB94" s="455">
        <f>IF(ISBLANK('RESUMEN VIGILANCIA'!AA86),"",'RESUMEN VIGILANCIA'!AA86)</f>
        <v>320</v>
      </c>
      <c r="AC94" s="456">
        <f>IF(ISBLANK('RESUMEN VIGILANCIA'!AB86),"",'RESUMEN VIGILANCIA'!AB86)</f>
        <v>800</v>
      </c>
      <c r="AD94" s="376">
        <f>IF(ISBLANK('RESUMEN VIGILANCIA'!AC86),"",'RESUMEN VIGILANCIA'!AC86)</f>
        <v>3000</v>
      </c>
      <c r="AE94" s="377">
        <f>IF(ISBLANK('RESUMEN VIGILANCIA'!AD86),"",'RESUMEN VIGILANCIA'!AD86)</f>
        <v>3000</v>
      </c>
      <c r="AF94" s="377">
        <f>IF(ISBLANK('RESUMEN VIGILANCIA'!AE86),"",'RESUMEN VIGILANCIA'!AE86)</f>
        <v>3000</v>
      </c>
      <c r="AG94" s="377">
        <f>IF(ISBLANK('RESUMEN VIGILANCIA'!AF86),"",'RESUMEN VIGILANCIA'!AF86)</f>
        <v>5000</v>
      </c>
      <c r="AH94" s="377">
        <f>IF(ISBLANK('RESUMEN VIGILANCIA'!AG86),"",'RESUMEN VIGILANCIA'!AG86)</f>
        <v>8000</v>
      </c>
      <c r="AI94" s="377">
        <f>IF(ISBLANK('RESUMEN VIGILANCIA'!AH86),"",'RESUMEN VIGILANCIA'!AH86)</f>
        <v>8000</v>
      </c>
      <c r="AJ94" s="377">
        <f>IF(ISBLANK('RESUMEN VIGILANCIA'!AI86),"",'RESUMEN VIGILANCIA'!AI86)</f>
        <v>10000</v>
      </c>
      <c r="AK94" s="377">
        <f>IF(ISBLANK('RESUMEN VIGILANCIA'!AJ86),"",'RESUMEN VIGILANCIA'!AJ86)</f>
        <v>10000</v>
      </c>
      <c r="AL94" s="377">
        <f>IF(ISBLANK('RESUMEN VIGILANCIA'!AK86),"",'RESUMEN VIGILANCIA'!AK86)</f>
        <v>24000</v>
      </c>
      <c r="AM94" s="377">
        <f>IF(ISBLANK('RESUMEN VIGILANCIA'!AL86),"",'RESUMEN VIGILANCIA'!AL86)</f>
        <v>47000</v>
      </c>
      <c r="AN94" s="377">
        <f>IF(ISBLANK('RESUMEN VIGILANCIA'!AM86),"",'RESUMEN VIGILANCIA'!AM86)</f>
        <v>81750</v>
      </c>
      <c r="AO94" s="378">
        <f>IF(ISBLANK('RESUMEN VIGILANCIA'!AN86),"",'RESUMEN VIGILANCIA'!AN86)</f>
        <v>136500</v>
      </c>
      <c r="AP94" s="376">
        <f>IF(ISBLANK('RESUMEN VIGILANCIA'!AO86),"",'RESUMEN VIGILANCIA'!AO86)</f>
        <v>136500</v>
      </c>
      <c r="AQ94" s="377">
        <f>IF(ISBLANK('RESUMEN VIGILANCIA'!AP86),"",'RESUMEN VIGILANCIA'!AP86)</f>
        <v>190000</v>
      </c>
      <c r="AR94" s="377">
        <f>IF(ISBLANK('RESUMEN VIGILANCIA'!AQ86),"",'RESUMEN VIGILANCIA'!AQ86)</f>
        <v>185250</v>
      </c>
      <c r="AS94" s="377">
        <f>IF(ISBLANK('RESUMEN VIGILANCIA'!AR86),"",'RESUMEN VIGILANCIA'!AR86)</f>
        <v>185250</v>
      </c>
      <c r="AT94" s="377">
        <f>IF(ISBLANK('RESUMEN VIGILANCIA'!AS86),"",'RESUMEN VIGILANCIA'!AS86)</f>
        <v>250000</v>
      </c>
      <c r="AU94" s="377" t="str">
        <f>IF(ISBLANK('RESUMEN VIGILANCIA'!AT86),"",'RESUMEN VIGILANCIA'!AT86)</f>
        <v/>
      </c>
      <c r="AV94" s="377" t="str">
        <f>IF(ISBLANK('RESUMEN VIGILANCIA'!AU86),"",'RESUMEN VIGILANCIA'!AU86)</f>
        <v/>
      </c>
      <c r="AW94" s="377" t="str">
        <f>IF(ISBLANK('RESUMEN VIGILANCIA'!AV86),"",'RESUMEN VIGILANCIA'!AV86)</f>
        <v/>
      </c>
      <c r="AX94" s="377" t="str">
        <f>IF(ISBLANK('RESUMEN VIGILANCIA'!AW86),"",'RESUMEN VIGILANCIA'!AW86)</f>
        <v/>
      </c>
      <c r="AY94" s="377" t="str">
        <f>IF(ISBLANK('RESUMEN VIGILANCIA'!AX86),"",'RESUMEN VIGILANCIA'!AX86)</f>
        <v/>
      </c>
      <c r="AZ94" s="377" t="str">
        <f>IF(ISBLANK('RESUMEN VIGILANCIA'!AY86),"",'RESUMEN VIGILANCIA'!AY86)</f>
        <v/>
      </c>
      <c r="BA94" s="378" t="str">
        <f>IF(ISBLANK('RESUMEN VIGILANCIA'!AZ86),"",'RESUMEN VIGILANCIA'!AZ86)</f>
        <v/>
      </c>
      <c r="BB94" s="242">
        <f t="shared" si="5"/>
        <v>341055.33999999997</v>
      </c>
      <c r="BC94" s="112"/>
      <c r="BD94" s="112"/>
    </row>
    <row r="95" spans="1:56" s="29" customFormat="1" ht="20.100000000000001" customHeight="1">
      <c r="A95" s="30" t="str">
        <f>'RESUMEN VIGILANCIA'!A88</f>
        <v>Familia Navarro Assing</v>
      </c>
      <c r="B95" s="31" t="str">
        <f>'RESUMEN VIGILANCIA'!B88</f>
        <v>Calle Güigüe Nro. 88-54</v>
      </c>
      <c r="C95" s="429" t="s">
        <v>1316</v>
      </c>
      <c r="D95" s="436" t="s">
        <v>17</v>
      </c>
      <c r="E95" s="417" t="str">
        <f>IF(ISBLANK('RESUMEN VIGILANCIA'!D88),"",'RESUMEN VIGILANCIA'!D88)</f>
        <v/>
      </c>
      <c r="F95" s="269">
        <f>IF(ISBLANK('RESUMEN VIGILANCIA'!E88),"",'RESUMEN VIGILANCIA'!E88)</f>
        <v>0.17</v>
      </c>
      <c r="G95" s="181">
        <f>IF(ISBLANK('RESUMEN VIGILANCIA'!F88),"",'RESUMEN VIGILANCIA'!F88)</f>
        <v>0.17</v>
      </c>
      <c r="H95" s="181">
        <f>IF(ISBLANK('RESUMEN VIGILANCIA'!G88),"",'RESUMEN VIGILANCIA'!G88)</f>
        <v>0.17</v>
      </c>
      <c r="I95" s="181">
        <f>IF(ISBLANK('RESUMEN VIGILANCIA'!H88),"",'RESUMEN VIGILANCIA'!H88)</f>
        <v>0.17</v>
      </c>
      <c r="J95" s="181">
        <f>IF(ISBLANK('RESUMEN VIGILANCIA'!I88),"",'RESUMEN VIGILANCIA'!I88)</f>
        <v>0.26</v>
      </c>
      <c r="K95" s="181">
        <f>IF(ISBLANK('RESUMEN VIGILANCIA'!J88),"",'RESUMEN VIGILANCIA'!J88)</f>
        <v>0.26</v>
      </c>
      <c r="L95" s="181">
        <f>IF(ISBLANK('RESUMEN VIGILANCIA'!K88),"",'RESUMEN VIGILANCIA'!K88)</f>
        <v>0.35</v>
      </c>
      <c r="M95" s="181">
        <f>IF(ISBLANK('RESUMEN VIGILANCIA'!L88),"",'RESUMEN VIGILANCIA'!L88)</f>
        <v>0.35</v>
      </c>
      <c r="N95" s="181">
        <f>IF(ISBLANK('RESUMEN VIGILANCIA'!M88),"",'RESUMEN VIGILANCIA'!M88)</f>
        <v>0.35</v>
      </c>
      <c r="O95" s="181">
        <f>IF(ISBLANK('RESUMEN VIGILANCIA'!N88),"",'RESUMEN VIGILANCIA'!N88)</f>
        <v>0.35</v>
      </c>
      <c r="P95" s="270">
        <f>IF(ISBLANK('RESUMEN VIGILANCIA'!O88),"",'RESUMEN VIGILANCIA'!O88)</f>
        <v>0.5</v>
      </c>
      <c r="Q95" s="179">
        <f>IF(ISBLANK('RESUMEN VIGILANCIA'!P88),"",'RESUMEN VIGILANCIA'!P88)</f>
        <v>0.5</v>
      </c>
      <c r="R95" s="271">
        <f>IF(ISBLANK('RESUMEN VIGILANCIA'!Q88),"",'RESUMEN VIGILANCIA'!Q88)</f>
        <v>0.8</v>
      </c>
      <c r="S95" s="270">
        <f>IF(ISBLANK('RESUMEN VIGILANCIA'!R88),"",'RESUMEN VIGILANCIA'!R88)</f>
        <v>0.8</v>
      </c>
      <c r="T95" s="270">
        <f>IF(ISBLANK('RESUMEN VIGILANCIA'!S88),"",'RESUMEN VIGILANCIA'!S88)</f>
        <v>1.4</v>
      </c>
      <c r="U95" s="270">
        <f>IF(ISBLANK('RESUMEN VIGILANCIA'!T88),"",'RESUMEN VIGILANCIA'!T88)</f>
        <v>1.4</v>
      </c>
      <c r="V95" s="270">
        <f>IF(ISBLANK('RESUMEN VIGILANCIA'!U88),"",'RESUMEN VIGILANCIA'!U88)</f>
        <v>4</v>
      </c>
      <c r="W95" s="270">
        <f>IF(ISBLANK('RESUMEN VIGILANCIA'!V88),"",'RESUMEN VIGILANCIA'!V88)</f>
        <v>6.5</v>
      </c>
      <c r="X95" s="270">
        <f>IF(ISBLANK('RESUMEN VIGILANCIA'!W88),"",'RESUMEN VIGILANCIA'!W88)</f>
        <v>10</v>
      </c>
      <c r="Y95" s="270">
        <f>IF(ISBLANK('RESUMEN VIGILANCIA'!X88),"",'RESUMEN VIGILANCIA'!X88)</f>
        <v>12</v>
      </c>
      <c r="Z95" s="455">
        <f>IF(ISBLANK('RESUMEN VIGILANCIA'!Y88),"",'RESUMEN VIGILANCIA'!Y88)</f>
        <v>320</v>
      </c>
      <c r="AA95" s="455">
        <f>IF(ISBLANK('RESUMEN VIGILANCIA'!Z88),"",'RESUMEN VIGILANCIA'!Z88)</f>
        <v>320</v>
      </c>
      <c r="AB95" s="455">
        <f>IF(ISBLANK('RESUMEN VIGILANCIA'!AA88),"",'RESUMEN VIGILANCIA'!AA88)</f>
        <v>320</v>
      </c>
      <c r="AC95" s="456">
        <f>IF(ISBLANK('RESUMEN VIGILANCIA'!AB88),"",'RESUMEN VIGILANCIA'!AB88)</f>
        <v>800</v>
      </c>
      <c r="AD95" s="376">
        <f>IF(ISBLANK('RESUMEN VIGILANCIA'!AC88),"",'RESUMEN VIGILANCIA'!AC88)</f>
        <v>3000</v>
      </c>
      <c r="AE95" s="377">
        <f>IF(ISBLANK('RESUMEN VIGILANCIA'!AD88),"",'RESUMEN VIGILANCIA'!AD88)</f>
        <v>3000</v>
      </c>
      <c r="AF95" s="377">
        <f>IF(ISBLANK('RESUMEN VIGILANCIA'!AE88),"",'RESUMEN VIGILANCIA'!AE88)</f>
        <v>3000</v>
      </c>
      <c r="AG95" s="377">
        <f>IF(ISBLANK('RESUMEN VIGILANCIA'!AF88),"",'RESUMEN VIGILANCIA'!AF88)</f>
        <v>5000</v>
      </c>
      <c r="AH95" s="377">
        <f>IF(ISBLANK('RESUMEN VIGILANCIA'!AG88),"",'RESUMEN VIGILANCIA'!AG88)</f>
        <v>8000</v>
      </c>
      <c r="AI95" s="377">
        <f>IF(ISBLANK('RESUMEN VIGILANCIA'!AH88),"",'RESUMEN VIGILANCIA'!AH88)</f>
        <v>8000</v>
      </c>
      <c r="AJ95" s="377">
        <f>IF(ISBLANK('RESUMEN VIGILANCIA'!AI88),"",'RESUMEN VIGILANCIA'!AI88)</f>
        <v>10000</v>
      </c>
      <c r="AK95" s="377">
        <f>IF(ISBLANK('RESUMEN VIGILANCIA'!AJ88),"",'RESUMEN VIGILANCIA'!AJ88)</f>
        <v>10000</v>
      </c>
      <c r="AL95" s="377">
        <f>IF(ISBLANK('RESUMEN VIGILANCIA'!AK88),"",'RESUMEN VIGILANCIA'!AK88)</f>
        <v>21600</v>
      </c>
      <c r="AM95" s="377">
        <f>IF(ISBLANK('RESUMEN VIGILANCIA'!AL88),"",'RESUMEN VIGILANCIA'!AL88)</f>
        <v>51250</v>
      </c>
      <c r="AN95" s="377">
        <f>IF(ISBLANK('RESUMEN VIGILANCIA'!AM88),"",'RESUMEN VIGILANCIA'!AM88)</f>
        <v>64550</v>
      </c>
      <c r="AO95" s="378">
        <f>IF(ISBLANK('RESUMEN VIGILANCIA'!AN88),"",'RESUMEN VIGILANCIA'!AN88)</f>
        <v>105500</v>
      </c>
      <c r="AP95" s="376">
        <f>IF(ISBLANK('RESUMEN VIGILANCIA'!AO88),"",'RESUMEN VIGILANCIA'!AO88)</f>
        <v>136250</v>
      </c>
      <c r="AQ95" s="377">
        <f>IF(ISBLANK('RESUMEN VIGILANCIA'!AP88),"",'RESUMEN VIGILANCIA'!AP88)</f>
        <v>136450</v>
      </c>
      <c r="AR95" s="377">
        <f>IF(ISBLANK('RESUMEN VIGILANCIA'!AQ88),"",'RESUMEN VIGILANCIA'!AQ88)</f>
        <v>185250</v>
      </c>
      <c r="AS95" s="377">
        <f>IF(ISBLANK('RESUMEN VIGILANCIA'!AR88),"",'RESUMEN VIGILANCIA'!AR88)</f>
        <v>185250</v>
      </c>
      <c r="AT95" s="377">
        <f>IF(ISBLANK('RESUMEN VIGILANCIA'!AS88),"",'RESUMEN VIGILANCIA'!AS88)</f>
        <v>250000</v>
      </c>
      <c r="AU95" s="377" t="str">
        <f>IF(ISBLANK('RESUMEN VIGILANCIA'!AT88),"",'RESUMEN VIGILANCIA'!AT88)</f>
        <v/>
      </c>
      <c r="AV95" s="377" t="str">
        <f>IF(ISBLANK('RESUMEN VIGILANCIA'!AU88),"",'RESUMEN VIGILANCIA'!AU88)</f>
        <v/>
      </c>
      <c r="AW95" s="377" t="str">
        <f>IF(ISBLANK('RESUMEN VIGILANCIA'!AV88),"",'RESUMEN VIGILANCIA'!AV88)</f>
        <v/>
      </c>
      <c r="AX95" s="377" t="str">
        <f>IF(ISBLANK('RESUMEN VIGILANCIA'!AW88),"",'RESUMEN VIGILANCIA'!AW88)</f>
        <v/>
      </c>
      <c r="AY95" s="377" t="str">
        <f>IF(ISBLANK('RESUMEN VIGILANCIA'!AX88),"",'RESUMEN VIGILANCIA'!AX88)</f>
        <v/>
      </c>
      <c r="AZ95" s="377" t="str">
        <f>IF(ISBLANK('RESUMEN VIGILANCIA'!AY88),"",'RESUMEN VIGILANCIA'!AY88)</f>
        <v/>
      </c>
      <c r="BA95" s="378" t="str">
        <f>IF(ISBLANK('RESUMEN VIGILANCIA'!AZ88),"",'RESUMEN VIGILANCIA'!AZ88)</f>
        <v/>
      </c>
      <c r="BB95" s="242">
        <f t="shared" si="5"/>
        <v>294700.5</v>
      </c>
      <c r="BC95" s="112"/>
      <c r="BD95" s="112"/>
    </row>
    <row r="96" spans="1:56" s="29" customFormat="1" ht="20.100000000000001" customHeight="1">
      <c r="A96" s="30" t="str">
        <f>'RESUMEN VIGILANCIA'!A90</f>
        <v>Familia Ramírez</v>
      </c>
      <c r="B96" s="31" t="str">
        <f>'RESUMEN VIGILANCIA'!B90</f>
        <v>Calle Güigüe Nro. 88-61</v>
      </c>
      <c r="C96" s="429" t="s">
        <v>1320</v>
      </c>
      <c r="D96" s="444" t="s">
        <v>17</v>
      </c>
      <c r="E96" s="417" t="str">
        <f>IF(ISBLANK('RESUMEN VIGILANCIA'!D90),"",'RESUMEN VIGILANCIA'!D90)</f>
        <v/>
      </c>
      <c r="F96" s="269" t="str">
        <f>IF(ISBLANK('RESUMEN VIGILANCIA'!E90),"",'RESUMEN VIGILANCIA'!E90)</f>
        <v/>
      </c>
      <c r="G96" s="181" t="str">
        <f>IF(ISBLANK('RESUMEN VIGILANCIA'!F90),"",'RESUMEN VIGILANCIA'!F90)</f>
        <v/>
      </c>
      <c r="H96" s="181" t="str">
        <f>IF(ISBLANK('RESUMEN VIGILANCIA'!G90),"",'RESUMEN VIGILANCIA'!G90)</f>
        <v/>
      </c>
      <c r="I96" s="181" t="str">
        <f>IF(ISBLANK('RESUMEN VIGILANCIA'!H90),"",'RESUMEN VIGILANCIA'!H90)</f>
        <v/>
      </c>
      <c r="J96" s="181" t="str">
        <f>IF(ISBLANK('RESUMEN VIGILANCIA'!I90),"",'RESUMEN VIGILANCIA'!I90)</f>
        <v/>
      </c>
      <c r="K96" s="181" t="str">
        <f>IF(ISBLANK('RESUMEN VIGILANCIA'!J90),"",'RESUMEN VIGILANCIA'!J90)</f>
        <v/>
      </c>
      <c r="L96" s="181" t="str">
        <f>IF(ISBLANK('RESUMEN VIGILANCIA'!K90),"",'RESUMEN VIGILANCIA'!K90)</f>
        <v/>
      </c>
      <c r="M96" s="181" t="str">
        <f>IF(ISBLANK('RESUMEN VIGILANCIA'!L90),"",'RESUMEN VIGILANCIA'!L90)</f>
        <v/>
      </c>
      <c r="N96" s="181" t="str">
        <f>IF(ISBLANK('RESUMEN VIGILANCIA'!M90),"",'RESUMEN VIGILANCIA'!M90)</f>
        <v/>
      </c>
      <c r="O96" s="181" t="str">
        <f>IF(ISBLANK('RESUMEN VIGILANCIA'!N90),"",'RESUMEN VIGILANCIA'!N90)</f>
        <v/>
      </c>
      <c r="P96" s="270" t="str">
        <f>IF(ISBLANK('RESUMEN VIGILANCIA'!O90),"",'RESUMEN VIGILANCIA'!O90)</f>
        <v/>
      </c>
      <c r="Q96" s="179" t="str">
        <f>IF(ISBLANK('RESUMEN VIGILANCIA'!P90),"",'RESUMEN VIGILANCIA'!P90)</f>
        <v/>
      </c>
      <c r="R96" s="271" t="str">
        <f>IF(ISBLANK('RESUMEN VIGILANCIA'!Q90),"",'RESUMEN VIGILANCIA'!Q90)</f>
        <v/>
      </c>
      <c r="S96" s="270" t="str">
        <f>IF(ISBLANK('RESUMEN VIGILANCIA'!R90),"",'RESUMEN VIGILANCIA'!R90)</f>
        <v/>
      </c>
      <c r="T96" s="270" t="str">
        <f>IF(ISBLANK('RESUMEN VIGILANCIA'!S90),"",'RESUMEN VIGILANCIA'!S90)</f>
        <v/>
      </c>
      <c r="U96" s="270" t="str">
        <f>IF(ISBLANK('RESUMEN VIGILANCIA'!T90),"",'RESUMEN VIGILANCIA'!T90)</f>
        <v/>
      </c>
      <c r="V96" s="270" t="str">
        <f>IF(ISBLANK('RESUMEN VIGILANCIA'!U90),"",'RESUMEN VIGILANCIA'!U90)</f>
        <v/>
      </c>
      <c r="W96" s="270" t="str">
        <f>IF(ISBLANK('RESUMEN VIGILANCIA'!V90),"",'RESUMEN VIGILANCIA'!V90)</f>
        <v/>
      </c>
      <c r="X96" s="270" t="str">
        <f>IF(ISBLANK('RESUMEN VIGILANCIA'!W90),"",'RESUMEN VIGILANCIA'!W90)</f>
        <v/>
      </c>
      <c r="Y96" s="270" t="str">
        <f>IF(ISBLANK('RESUMEN VIGILANCIA'!X90),"",'RESUMEN VIGILANCIA'!X90)</f>
        <v/>
      </c>
      <c r="Z96" s="455" t="str">
        <f>IF(ISBLANK('RESUMEN VIGILANCIA'!Y90),"",'RESUMEN VIGILANCIA'!Y90)</f>
        <v/>
      </c>
      <c r="AA96" s="455" t="str">
        <f>IF(ISBLANK('RESUMEN VIGILANCIA'!Z90),"",'RESUMEN VIGILANCIA'!Z90)</f>
        <v/>
      </c>
      <c r="AB96" s="455" t="str">
        <f>IF(ISBLANK('RESUMEN VIGILANCIA'!AA90),"",'RESUMEN VIGILANCIA'!AA90)</f>
        <v/>
      </c>
      <c r="AC96" s="456" t="str">
        <f>IF(ISBLANK('RESUMEN VIGILANCIA'!AB90),"",'RESUMEN VIGILANCIA'!AB90)</f>
        <v/>
      </c>
      <c r="AD96" s="376" t="str">
        <f>IF(ISBLANK('RESUMEN VIGILANCIA'!AC90),"",'RESUMEN VIGILANCIA'!AC90)</f>
        <v/>
      </c>
      <c r="AE96" s="377" t="str">
        <f>IF(ISBLANK('RESUMEN VIGILANCIA'!AD90),"",'RESUMEN VIGILANCIA'!AD90)</f>
        <v/>
      </c>
      <c r="AF96" s="377" t="str">
        <f>IF(ISBLANK('RESUMEN VIGILANCIA'!AE90),"",'RESUMEN VIGILANCIA'!AE90)</f>
        <v/>
      </c>
      <c r="AG96" s="377" t="str">
        <f>IF(ISBLANK('RESUMEN VIGILANCIA'!AF90),"",'RESUMEN VIGILANCIA'!AF90)</f>
        <v/>
      </c>
      <c r="AH96" s="377" t="str">
        <f>IF(ISBLANK('RESUMEN VIGILANCIA'!AG90),"",'RESUMEN VIGILANCIA'!AG90)</f>
        <v/>
      </c>
      <c r="AI96" s="377" t="str">
        <f>IF(ISBLANK('RESUMEN VIGILANCIA'!AH90),"",'RESUMEN VIGILANCIA'!AH90)</f>
        <v/>
      </c>
      <c r="AJ96" s="377" t="str">
        <f>IF(ISBLANK('RESUMEN VIGILANCIA'!AI90),"",'RESUMEN VIGILANCIA'!AI90)</f>
        <v/>
      </c>
      <c r="AK96" s="377" t="str">
        <f>IF(ISBLANK('RESUMEN VIGILANCIA'!AJ90),"",'RESUMEN VIGILANCIA'!AJ90)</f>
        <v/>
      </c>
      <c r="AL96" s="377" t="str">
        <f>IF(ISBLANK('RESUMEN VIGILANCIA'!AK90),"",'RESUMEN VIGILANCIA'!AK90)</f>
        <v/>
      </c>
      <c r="AM96" s="377" t="str">
        <f>IF(ISBLANK('RESUMEN VIGILANCIA'!AL90),"",'RESUMEN VIGILANCIA'!AL90)</f>
        <v/>
      </c>
      <c r="AN96" s="377" t="str">
        <f>IF(ISBLANK('RESUMEN VIGILANCIA'!AM90),"",'RESUMEN VIGILANCIA'!AM90)</f>
        <v/>
      </c>
      <c r="AO96" s="378" t="str">
        <f>IF(ISBLANK('RESUMEN VIGILANCIA'!AN90),"",'RESUMEN VIGILANCIA'!AN90)</f>
        <v/>
      </c>
      <c r="AP96" s="376" t="str">
        <f>IF(ISBLANK('RESUMEN VIGILANCIA'!AO90),"",'RESUMEN VIGILANCIA'!AO90)</f>
        <v/>
      </c>
      <c r="AQ96" s="377" t="str">
        <f>IF(ISBLANK('RESUMEN VIGILANCIA'!AP90),"",'RESUMEN VIGILANCIA'!AP90)</f>
        <v/>
      </c>
      <c r="AR96" s="377" t="str">
        <f>IF(ISBLANK('RESUMEN VIGILANCIA'!AQ90),"",'RESUMEN VIGILANCIA'!AQ90)</f>
        <v/>
      </c>
      <c r="AS96" s="377" t="str">
        <f>IF(ISBLANK('RESUMEN VIGILANCIA'!AR90),"",'RESUMEN VIGILANCIA'!AR90)</f>
        <v/>
      </c>
      <c r="AT96" s="377" t="str">
        <f>IF(ISBLANK('RESUMEN VIGILANCIA'!AS90),"",'RESUMEN VIGILANCIA'!AS90)</f>
        <v/>
      </c>
      <c r="AU96" s="377" t="str">
        <f>IF(ISBLANK('RESUMEN VIGILANCIA'!AT90),"",'RESUMEN VIGILANCIA'!AT90)</f>
        <v/>
      </c>
      <c r="AV96" s="377" t="str">
        <f>IF(ISBLANK('RESUMEN VIGILANCIA'!AU90),"",'RESUMEN VIGILANCIA'!AU90)</f>
        <v/>
      </c>
      <c r="AW96" s="377" t="str">
        <f>IF(ISBLANK('RESUMEN VIGILANCIA'!AV90),"",'RESUMEN VIGILANCIA'!AV90)</f>
        <v/>
      </c>
      <c r="AX96" s="377" t="str">
        <f>IF(ISBLANK('RESUMEN VIGILANCIA'!AW90),"",'RESUMEN VIGILANCIA'!AW90)</f>
        <v/>
      </c>
      <c r="AY96" s="377" t="str">
        <f>IF(ISBLANK('RESUMEN VIGILANCIA'!AX90),"",'RESUMEN VIGILANCIA'!AX90)</f>
        <v/>
      </c>
      <c r="AZ96" s="377" t="str">
        <f>IF(ISBLANK('RESUMEN VIGILANCIA'!AY90),"",'RESUMEN VIGILANCIA'!AY90)</f>
        <v/>
      </c>
      <c r="BA96" s="378" t="str">
        <f>IF(ISBLANK('RESUMEN VIGILANCIA'!AZ90),"",'RESUMEN VIGILANCIA'!AZ90)</f>
        <v/>
      </c>
      <c r="BB96" s="242">
        <f t="shared" si="5"/>
        <v>0</v>
      </c>
      <c r="BC96" s="112"/>
      <c r="BD96" s="112"/>
    </row>
    <row r="97" spans="1:56" s="29" customFormat="1" ht="20.100000000000001" customHeight="1">
      <c r="A97" s="30" t="str">
        <f>'RESUMEN VIGILANCIA'!A89</f>
        <v>Familia Rodríguez Aular</v>
      </c>
      <c r="B97" s="31" t="str">
        <f>'RESUMEN VIGILANCIA'!B89</f>
        <v>Calle Güigüe Nro. 88-58</v>
      </c>
      <c r="C97" s="429" t="s">
        <v>1316</v>
      </c>
      <c r="D97" s="436" t="s">
        <v>17</v>
      </c>
      <c r="E97" s="416" t="str">
        <f>IF(ISBLANK('RESUMEN VIGILANCIA'!D89),"",'RESUMEN VIGILANCIA'!D89)</f>
        <v/>
      </c>
      <c r="F97" s="266">
        <f>IF(ISBLANK('RESUMEN VIGILANCIA'!E89),"",'RESUMEN VIGILANCIA'!E89)</f>
        <v>0.105</v>
      </c>
      <c r="G97" s="188">
        <f>IF(ISBLANK('RESUMEN VIGILANCIA'!F89),"",'RESUMEN VIGILANCIA'!F89)</f>
        <v>0.12</v>
      </c>
      <c r="H97" s="188">
        <f>IF(ISBLANK('RESUMEN VIGILANCIA'!G89),"",'RESUMEN VIGILANCIA'!G89)</f>
        <v>0.12</v>
      </c>
      <c r="I97" s="188">
        <f>IF(ISBLANK('RESUMEN VIGILANCIA'!H89),"",'RESUMEN VIGILANCIA'!H89)</f>
        <v>0.12</v>
      </c>
      <c r="J97" s="188">
        <f>IF(ISBLANK('RESUMEN VIGILANCIA'!I89),"",'RESUMEN VIGILANCIA'!I89)</f>
        <v>0.12</v>
      </c>
      <c r="K97" s="188">
        <f>IF(ISBLANK('RESUMEN VIGILANCIA'!J89),"",'RESUMEN VIGILANCIA'!J89)</f>
        <v>0.15</v>
      </c>
      <c r="L97" s="188">
        <f>IF(ISBLANK('RESUMEN VIGILANCIA'!K89),"",'RESUMEN VIGILANCIA'!K89)</f>
        <v>0.15</v>
      </c>
      <c r="M97" s="188">
        <f>IF(ISBLANK('RESUMEN VIGILANCIA'!L89),"",'RESUMEN VIGILANCIA'!L89)</f>
        <v>0.18</v>
      </c>
      <c r="N97" s="188">
        <f>IF(ISBLANK('RESUMEN VIGILANCIA'!M89),"",'RESUMEN VIGILANCIA'!M89)</f>
        <v>0.2</v>
      </c>
      <c r="O97" s="188">
        <f>IF(ISBLANK('RESUMEN VIGILANCIA'!N89),"",'RESUMEN VIGILANCIA'!N89)</f>
        <v>0.2</v>
      </c>
      <c r="P97" s="267">
        <f>IF(ISBLANK('RESUMEN VIGILANCIA'!O89),"",'RESUMEN VIGILANCIA'!O89)</f>
        <v>0.3</v>
      </c>
      <c r="Q97" s="186">
        <f>IF(ISBLANK('RESUMEN VIGILANCIA'!P89),"",'RESUMEN VIGILANCIA'!P89)</f>
        <v>0.4</v>
      </c>
      <c r="R97" s="268">
        <f>IF(ISBLANK('RESUMEN VIGILANCIA'!Q89),"",'RESUMEN VIGILANCIA'!Q89)</f>
        <v>0.4</v>
      </c>
      <c r="S97" s="267">
        <f>IF(ISBLANK('RESUMEN VIGILANCIA'!R89),"",'RESUMEN VIGILANCIA'!R89)</f>
        <v>0.8</v>
      </c>
      <c r="T97" s="267">
        <f>IF(ISBLANK('RESUMEN VIGILANCIA'!S89),"",'RESUMEN VIGILANCIA'!S89)</f>
        <v>1.2</v>
      </c>
      <c r="U97" s="267">
        <f>IF(ISBLANK('RESUMEN VIGILANCIA'!T89),"",'RESUMEN VIGILANCIA'!T89)</f>
        <v>1.4</v>
      </c>
      <c r="V97" s="267">
        <f>IF(ISBLANK('RESUMEN VIGILANCIA'!U89),"",'RESUMEN VIGILANCIA'!U89)</f>
        <v>2</v>
      </c>
      <c r="W97" s="267">
        <f>IF(ISBLANK('RESUMEN VIGILANCIA'!V89),"",'RESUMEN VIGILANCIA'!V89)</f>
        <v>4</v>
      </c>
      <c r="X97" s="270">
        <f>IF(ISBLANK('RESUMEN VIGILANCIA'!W89),"",'RESUMEN VIGILANCIA'!W89)</f>
        <v>10</v>
      </c>
      <c r="Y97" s="270">
        <f>IF(ISBLANK('RESUMEN VIGILANCIA'!X89),"",'RESUMEN VIGILANCIA'!X89)</f>
        <v>12</v>
      </c>
      <c r="Z97" s="473" t="str">
        <f>IF(ISBLANK('RESUMEN VIGILANCIA'!Y89),"",'RESUMEN VIGILANCIA'!Y89)</f>
        <v/>
      </c>
      <c r="AA97" s="458">
        <f>IF(ISBLANK('RESUMEN VIGILANCIA'!Z89),"",'RESUMEN VIGILANCIA'!Z89)</f>
        <v>320</v>
      </c>
      <c r="AB97" s="458">
        <f>IF(ISBLANK('RESUMEN VIGILANCIA'!AA89),"",'RESUMEN VIGILANCIA'!AA89)</f>
        <v>320</v>
      </c>
      <c r="AC97" s="457">
        <f>IF(ISBLANK('RESUMEN VIGILANCIA'!AB89),"",'RESUMEN VIGILANCIA'!AB89)</f>
        <v>800</v>
      </c>
      <c r="AD97" s="381">
        <f>IF(ISBLANK('RESUMEN VIGILANCIA'!AC89),"",'RESUMEN VIGILANCIA'!AC89)</f>
        <v>3000</v>
      </c>
      <c r="AE97" s="382">
        <f>IF(ISBLANK('RESUMEN VIGILANCIA'!AD89),"",'RESUMEN VIGILANCIA'!AD89)</f>
        <v>3000</v>
      </c>
      <c r="AF97" s="382">
        <f>IF(ISBLANK('RESUMEN VIGILANCIA'!AE89),"",'RESUMEN VIGILANCIA'!AE89)</f>
        <v>3000</v>
      </c>
      <c r="AG97" s="382">
        <f>IF(ISBLANK('RESUMEN VIGILANCIA'!AF89),"",'RESUMEN VIGILANCIA'!AF89)</f>
        <v>5000</v>
      </c>
      <c r="AH97" s="382">
        <f>IF(ISBLANK('RESUMEN VIGILANCIA'!AG89),"",'RESUMEN VIGILANCIA'!AG89)</f>
        <v>8000</v>
      </c>
      <c r="AI97" s="382">
        <f>IF(ISBLANK('RESUMEN VIGILANCIA'!AH89),"",'RESUMEN VIGILANCIA'!AH89)</f>
        <v>8000</v>
      </c>
      <c r="AJ97" s="382">
        <f>IF(ISBLANK('RESUMEN VIGILANCIA'!AI89),"",'RESUMEN VIGILANCIA'!AI89)</f>
        <v>10000</v>
      </c>
      <c r="AK97" s="382">
        <f>IF(ISBLANK('RESUMEN VIGILANCIA'!AJ89),"",'RESUMEN VIGILANCIA'!AJ89)</f>
        <v>10000</v>
      </c>
      <c r="AL97" s="382">
        <f>IF(ISBLANK('RESUMEN VIGILANCIA'!AK89),"",'RESUMEN VIGILANCIA'!AK89)</f>
        <v>19800</v>
      </c>
      <c r="AM97" s="382">
        <f>IF(ISBLANK('RESUMEN VIGILANCIA'!AL89),"",'RESUMEN VIGILANCIA'!AL89)</f>
        <v>51250</v>
      </c>
      <c r="AN97" s="382">
        <f>IF(ISBLANK('RESUMEN VIGILANCIA'!AM89),"",'RESUMEN VIGILANCIA'!AM89)</f>
        <v>64500</v>
      </c>
      <c r="AO97" s="387">
        <f>IF(ISBLANK('RESUMEN VIGILANCIA'!AN89),"",'RESUMEN VIGILANCIA'!AN89)</f>
        <v>136250</v>
      </c>
      <c r="AP97" s="381">
        <f>IF(ISBLANK('RESUMEN VIGILANCIA'!AO89),"",'RESUMEN VIGILANCIA'!AO89)</f>
        <v>136250</v>
      </c>
      <c r="AQ97" s="382">
        <f>IF(ISBLANK('RESUMEN VIGILANCIA'!AP89),"",'RESUMEN VIGILANCIA'!AP89)</f>
        <v>136250</v>
      </c>
      <c r="AR97" s="382">
        <f>IF(ISBLANK('RESUMEN VIGILANCIA'!AQ89),"",'RESUMEN VIGILANCIA'!AQ89)</f>
        <v>185250</v>
      </c>
      <c r="AS97" s="382">
        <f>IF(ISBLANK('RESUMEN VIGILANCIA'!AR89),"",'RESUMEN VIGILANCIA'!AR89)</f>
        <v>185250</v>
      </c>
      <c r="AT97" s="382">
        <f>IF(ISBLANK('RESUMEN VIGILANCIA'!AS89),"",'RESUMEN VIGILANCIA'!AS89)</f>
        <v>250000</v>
      </c>
      <c r="AU97" s="382" t="str">
        <f>IF(ISBLANK('RESUMEN VIGILANCIA'!AT89),"",'RESUMEN VIGILANCIA'!AT89)</f>
        <v/>
      </c>
      <c r="AV97" s="382" t="str">
        <f>IF(ISBLANK('RESUMEN VIGILANCIA'!AU89),"",'RESUMEN VIGILANCIA'!AU89)</f>
        <v/>
      </c>
      <c r="AW97" s="382" t="str">
        <f>IF(ISBLANK('RESUMEN VIGILANCIA'!AV89),"",'RESUMEN VIGILANCIA'!AV89)</f>
        <v/>
      </c>
      <c r="AX97" s="382" t="str">
        <f>IF(ISBLANK('RESUMEN VIGILANCIA'!AW89),"",'RESUMEN VIGILANCIA'!AW89)</f>
        <v/>
      </c>
      <c r="AY97" s="382" t="str">
        <f>IF(ISBLANK('RESUMEN VIGILANCIA'!AX89),"",'RESUMEN VIGILANCIA'!AX89)</f>
        <v/>
      </c>
      <c r="AZ97" s="382" t="str">
        <f>IF(ISBLANK('RESUMEN VIGILANCIA'!AY89),"",'RESUMEN VIGILANCIA'!AY89)</f>
        <v/>
      </c>
      <c r="BA97" s="387" t="str">
        <f>IF(ISBLANK('RESUMEN VIGILANCIA'!AZ89),"",'RESUMEN VIGILANCIA'!AZ89)</f>
        <v/>
      </c>
      <c r="BB97" s="346">
        <f t="shared" si="5"/>
        <v>323273.96499999997</v>
      </c>
      <c r="BC97" s="347"/>
      <c r="BD97" s="347"/>
    </row>
    <row r="98" spans="1:56" s="29" customFormat="1" ht="20.100000000000001" customHeight="1">
      <c r="A98" s="30" t="str">
        <f>'RESUMEN VIGILANCIA'!A91</f>
        <v>Familia Martínez Boada</v>
      </c>
      <c r="B98" s="31" t="str">
        <f>'RESUMEN VIGILANCIA'!B91</f>
        <v>Calle Güigüe Nro. 88-62</v>
      </c>
      <c r="C98" s="429" t="s">
        <v>1318</v>
      </c>
      <c r="D98" s="436" t="s">
        <v>1315</v>
      </c>
      <c r="E98" s="417" t="str">
        <f>IF(ISBLANK('RESUMEN VIGILANCIA'!D91),"",'RESUMEN VIGILANCIA'!D91)</f>
        <v/>
      </c>
      <c r="F98" s="269">
        <f>IF(ISBLANK('RESUMEN VIGILANCIA'!E91),"",'RESUMEN VIGILANCIA'!E91)</f>
        <v>0.16999999999999998</v>
      </c>
      <c r="G98" s="181">
        <f>IF(ISBLANK('RESUMEN VIGILANCIA'!F91),"",'RESUMEN VIGILANCIA'!F91)</f>
        <v>0.16999999999999998</v>
      </c>
      <c r="H98" s="181">
        <f>IF(ISBLANK('RESUMEN VIGILANCIA'!G91),"",'RESUMEN VIGILANCIA'!G91)</f>
        <v>0.17</v>
      </c>
      <c r="I98" s="181">
        <f>IF(ISBLANK('RESUMEN VIGILANCIA'!H91),"",'RESUMEN VIGILANCIA'!H91)</f>
        <v>0.17</v>
      </c>
      <c r="J98" s="181">
        <f>IF(ISBLANK('RESUMEN VIGILANCIA'!I91),"",'RESUMEN VIGILANCIA'!I91)</f>
        <v>0.26</v>
      </c>
      <c r="K98" s="181">
        <f>IF(ISBLANK('RESUMEN VIGILANCIA'!J91),"",'RESUMEN VIGILANCIA'!J91)</f>
        <v>0.26</v>
      </c>
      <c r="L98" s="181">
        <f>IF(ISBLANK('RESUMEN VIGILANCIA'!K91),"",'RESUMEN VIGILANCIA'!K91)</f>
        <v>0.35</v>
      </c>
      <c r="M98" s="181">
        <f>IF(ISBLANK('RESUMEN VIGILANCIA'!L91),"",'RESUMEN VIGILANCIA'!L91)</f>
        <v>0.35</v>
      </c>
      <c r="N98" s="181" t="str">
        <f>IF(ISBLANK('RESUMEN VIGILANCIA'!M91),"",'RESUMEN VIGILANCIA'!M91)</f>
        <v>- - -</v>
      </c>
      <c r="O98" s="181" t="str">
        <f>IF(ISBLANK('RESUMEN VIGILANCIA'!N91),"",'RESUMEN VIGILANCIA'!N91)</f>
        <v>- - -</v>
      </c>
      <c r="P98" s="270" t="str">
        <f>IF(ISBLANK('RESUMEN VIGILANCIA'!O91),"",'RESUMEN VIGILANCIA'!O91)</f>
        <v>- - -</v>
      </c>
      <c r="Q98" s="179" t="str">
        <f>IF(ISBLANK('RESUMEN VIGILANCIA'!P91),"",'RESUMEN VIGILANCIA'!P91)</f>
        <v>- - -</v>
      </c>
      <c r="R98" s="271">
        <f>IF(ISBLANK('RESUMEN VIGILANCIA'!Q91),"",'RESUMEN VIGILANCIA'!Q91)</f>
        <v>0.75</v>
      </c>
      <c r="S98" s="270">
        <f>IF(ISBLANK('RESUMEN VIGILANCIA'!R91),"",'RESUMEN VIGILANCIA'!R91)</f>
        <v>0.75</v>
      </c>
      <c r="T98" s="270">
        <f>IF(ISBLANK('RESUMEN VIGILANCIA'!S91),"",'RESUMEN VIGILANCIA'!S91)</f>
        <v>1</v>
      </c>
      <c r="U98" s="270">
        <f>IF(ISBLANK('RESUMEN VIGILANCIA'!T91),"",'RESUMEN VIGILANCIA'!T91)</f>
        <v>1</v>
      </c>
      <c r="V98" s="270">
        <f>IF(ISBLANK('RESUMEN VIGILANCIA'!U91),"",'RESUMEN VIGILANCIA'!U91)</f>
        <v>1</v>
      </c>
      <c r="W98" s="270">
        <f>IF(ISBLANK('RESUMEN VIGILANCIA'!V91),"",'RESUMEN VIGILANCIA'!V91)</f>
        <v>6</v>
      </c>
      <c r="X98" s="270">
        <f>IF(ISBLANK('RESUMEN VIGILANCIA'!W91),"",'RESUMEN VIGILANCIA'!W91)</f>
        <v>6</v>
      </c>
      <c r="Y98" s="270">
        <f>IF(ISBLANK('RESUMEN VIGILANCIA'!X91),"",'RESUMEN VIGILANCIA'!X91)</f>
        <v>12</v>
      </c>
      <c r="Z98" s="455">
        <f>IF(ISBLANK('RESUMEN VIGILANCIA'!Y91),"",'RESUMEN VIGILANCIA'!Y91)</f>
        <v>320</v>
      </c>
      <c r="AA98" s="455">
        <f>IF(ISBLANK('RESUMEN VIGILANCIA'!Z91),"",'RESUMEN VIGILANCIA'!Z91)</f>
        <v>268</v>
      </c>
      <c r="AB98" s="455">
        <f>IF(ISBLANK('RESUMEN VIGILANCIA'!AA91),"",'RESUMEN VIGILANCIA'!AA91)</f>
        <v>320</v>
      </c>
      <c r="AC98" s="456">
        <f>IF(ISBLANK('RESUMEN VIGILANCIA'!AB91),"",'RESUMEN VIGILANCIA'!AB91)</f>
        <v>680</v>
      </c>
      <c r="AD98" s="376">
        <f>IF(ISBLANK('RESUMEN VIGILANCIA'!AC91),"",'RESUMEN VIGILANCIA'!AC91)</f>
        <v>2000</v>
      </c>
      <c r="AE98" s="377">
        <f>IF(ISBLANK('RESUMEN VIGILANCIA'!AD91),"",'RESUMEN VIGILANCIA'!AD91)</f>
        <v>2000</v>
      </c>
      <c r="AF98" s="377">
        <f>IF(ISBLANK('RESUMEN VIGILANCIA'!AE91),"",'RESUMEN VIGILANCIA'!AE91)</f>
        <v>3000</v>
      </c>
      <c r="AG98" s="377">
        <f>IF(ISBLANK('RESUMEN VIGILANCIA'!AF91),"",'RESUMEN VIGILANCIA'!AF91)</f>
        <v>3000</v>
      </c>
      <c r="AH98" s="377">
        <f>IF(ISBLANK('RESUMEN VIGILANCIA'!AG91),"",'RESUMEN VIGILANCIA'!AG91)</f>
        <v>8000</v>
      </c>
      <c r="AI98" s="377">
        <f>IF(ISBLANK('RESUMEN VIGILANCIA'!AH91),"",'RESUMEN VIGILANCIA'!AH91)</f>
        <v>8000</v>
      </c>
      <c r="AJ98" s="377">
        <f>IF(ISBLANK('RESUMEN VIGILANCIA'!AI91),"",'RESUMEN VIGILANCIA'!AI91)</f>
        <v>10000</v>
      </c>
      <c r="AK98" s="377">
        <f>IF(ISBLANK('RESUMEN VIGILANCIA'!AJ91),"",'RESUMEN VIGILANCIA'!AJ91)</f>
        <v>10000</v>
      </c>
      <c r="AL98" s="377">
        <f>IF(ISBLANK('RESUMEN VIGILANCIA'!AK91),"",'RESUMEN VIGILANCIA'!AK91)</f>
        <v>21100</v>
      </c>
      <c r="AM98" s="377">
        <f>IF(ISBLANK('RESUMEN VIGILANCIA'!AL91),"",'RESUMEN VIGILANCIA'!AL91)</f>
        <v>32500</v>
      </c>
      <c r="AN98" s="377">
        <f>IF(ISBLANK('RESUMEN VIGILANCIA'!AM91),"",'RESUMEN VIGILANCIA'!AM91)</f>
        <v>32500</v>
      </c>
      <c r="AO98" s="378">
        <f>IF(ISBLANK('RESUMEN VIGILANCIA'!AN91),"",'RESUMEN VIGILANCIA'!AN91)</f>
        <v>32500</v>
      </c>
      <c r="AP98" s="376">
        <f>IF(ISBLANK('RESUMEN VIGILANCIA'!AO91),"",'RESUMEN VIGILANCIA'!AO91)</f>
        <v>136250</v>
      </c>
      <c r="AQ98" s="377">
        <f>IF(ISBLANK('RESUMEN VIGILANCIA'!AP91),"",'RESUMEN VIGILANCIA'!AP91)</f>
        <v>108750</v>
      </c>
      <c r="AR98" s="377">
        <f>IF(ISBLANK('RESUMEN VIGILANCIA'!AQ91),"",'RESUMEN VIGILANCIA'!AQ91)</f>
        <v>100000</v>
      </c>
      <c r="AS98" s="377">
        <f>IF(ISBLANK('RESUMEN VIGILANCIA'!AR91),"",'RESUMEN VIGILANCIA'!AR91)</f>
        <v>250000</v>
      </c>
      <c r="AT98" s="377" t="str">
        <f>IF(ISBLANK('RESUMEN VIGILANCIA'!AS91),"",'RESUMEN VIGILANCIA'!AS91)</f>
        <v/>
      </c>
      <c r="AU98" s="377" t="str">
        <f>IF(ISBLANK('RESUMEN VIGILANCIA'!AT91),"",'RESUMEN VIGILANCIA'!AT91)</f>
        <v/>
      </c>
      <c r="AV98" s="377" t="str">
        <f>IF(ISBLANK('RESUMEN VIGILANCIA'!AU91),"",'RESUMEN VIGILANCIA'!AU91)</f>
        <v/>
      </c>
      <c r="AW98" s="377" t="str">
        <f>IF(ISBLANK('RESUMEN VIGILANCIA'!AV91),"",'RESUMEN VIGILANCIA'!AV91)</f>
        <v/>
      </c>
      <c r="AX98" s="377" t="str">
        <f>IF(ISBLANK('RESUMEN VIGILANCIA'!AW91),"",'RESUMEN VIGILANCIA'!AW91)</f>
        <v/>
      </c>
      <c r="AY98" s="377" t="str">
        <f>IF(ISBLANK('RESUMEN VIGILANCIA'!AX91),"",'RESUMEN VIGILANCIA'!AX91)</f>
        <v/>
      </c>
      <c r="AZ98" s="377" t="str">
        <f>IF(ISBLANK('RESUMEN VIGILANCIA'!AY91),"",'RESUMEN VIGILANCIA'!AY91)</f>
        <v/>
      </c>
      <c r="BA98" s="378" t="str">
        <f>IF(ISBLANK('RESUMEN VIGILANCIA'!AZ91),"",'RESUMEN VIGILANCIA'!AZ91)</f>
        <v/>
      </c>
      <c r="BB98" s="242">
        <f t="shared" si="5"/>
        <v>166218.4</v>
      </c>
      <c r="BC98" s="112"/>
      <c r="BD98" s="112"/>
    </row>
    <row r="99" spans="1:56" s="29" customFormat="1" ht="20.100000000000001" customHeight="1">
      <c r="A99" s="33" t="str">
        <f>'RESUMEN VIGILANCIA'!A92</f>
        <v>Familia Gascón Domínguez</v>
      </c>
      <c r="B99" s="34" t="str">
        <f>'RESUMEN VIGILANCIA'!B92</f>
        <v>Calle Güigüe Nro. 88-70</v>
      </c>
      <c r="C99" s="430" t="s">
        <v>1316</v>
      </c>
      <c r="D99" s="435" t="s">
        <v>17</v>
      </c>
      <c r="E99" s="421" t="str">
        <f>IF(ISBLANK('RESUMEN VIGILANCIA'!D92),"",'RESUMEN VIGILANCIA'!D92)</f>
        <v/>
      </c>
      <c r="F99" s="345">
        <f>IF(ISBLANK('RESUMEN VIGILANCIA'!E92),"",'RESUMEN VIGILANCIA'!E92)</f>
        <v>0.1</v>
      </c>
      <c r="G99" s="304">
        <f>IF(ISBLANK('RESUMEN VIGILANCIA'!F92),"",'RESUMEN VIGILANCIA'!F92)</f>
        <v>0.1</v>
      </c>
      <c r="H99" s="304">
        <f>IF(ISBLANK('RESUMEN VIGILANCIA'!G92),"",'RESUMEN VIGILANCIA'!G92)</f>
        <v>0.1</v>
      </c>
      <c r="I99" s="304">
        <f>IF(ISBLANK('RESUMEN VIGILANCIA'!H92),"",'RESUMEN VIGILANCIA'!H92)</f>
        <v>0.17</v>
      </c>
      <c r="J99" s="304">
        <f>IF(ISBLANK('RESUMEN VIGILANCIA'!I92),"",'RESUMEN VIGILANCIA'!I92)</f>
        <v>0.26</v>
      </c>
      <c r="K99" s="304">
        <f>IF(ISBLANK('RESUMEN VIGILANCIA'!J92),"",'RESUMEN VIGILANCIA'!J92)</f>
        <v>0.26</v>
      </c>
      <c r="L99" s="304">
        <f>IF(ISBLANK('RESUMEN VIGILANCIA'!K92),"",'RESUMEN VIGILANCIA'!K92)</f>
        <v>0.35</v>
      </c>
      <c r="M99" s="304">
        <f>IF(ISBLANK('RESUMEN VIGILANCIA'!L92),"",'RESUMEN VIGILANCIA'!L92)</f>
        <v>0.35</v>
      </c>
      <c r="N99" s="304">
        <f>IF(ISBLANK('RESUMEN VIGILANCIA'!M92),"",'RESUMEN VIGILANCIA'!M92)</f>
        <v>0.35</v>
      </c>
      <c r="O99" s="304">
        <f>IF(ISBLANK('RESUMEN VIGILANCIA'!N92),"",'RESUMEN VIGILANCIA'!N92)</f>
        <v>0.35</v>
      </c>
      <c r="P99" s="272">
        <f>IF(ISBLANK('RESUMEN VIGILANCIA'!O92),"",'RESUMEN VIGILANCIA'!O92)</f>
        <v>0.5</v>
      </c>
      <c r="Q99" s="344">
        <f>IF(ISBLANK('RESUMEN VIGILANCIA'!P92),"",'RESUMEN VIGILANCIA'!P92)</f>
        <v>0.5</v>
      </c>
      <c r="R99" s="336">
        <f>IF(ISBLANK('RESUMEN VIGILANCIA'!Q92),"",'RESUMEN VIGILANCIA'!Q92)</f>
        <v>0.8</v>
      </c>
      <c r="S99" s="272">
        <f>IF(ISBLANK('RESUMEN VIGILANCIA'!R92),"",'RESUMEN VIGILANCIA'!R92)</f>
        <v>0.8</v>
      </c>
      <c r="T99" s="272">
        <f>IF(ISBLANK('RESUMEN VIGILANCIA'!S92),"",'RESUMEN VIGILANCIA'!S92)</f>
        <v>1.4</v>
      </c>
      <c r="U99" s="272">
        <f>IF(ISBLANK('RESUMEN VIGILANCIA'!T92),"",'RESUMEN VIGILANCIA'!T92)</f>
        <v>1.4</v>
      </c>
      <c r="V99" s="272">
        <f>IF(ISBLANK('RESUMEN VIGILANCIA'!U92),"",'RESUMEN VIGILANCIA'!U92)</f>
        <v>4</v>
      </c>
      <c r="W99" s="272">
        <f>IF(ISBLANK('RESUMEN VIGILANCIA'!V92),"",'RESUMEN VIGILANCIA'!V92)</f>
        <v>6.25</v>
      </c>
      <c r="X99" s="272">
        <f>IF(ISBLANK('RESUMEN VIGILANCIA'!W92),"",'RESUMEN VIGILANCIA'!W92)</f>
        <v>10</v>
      </c>
      <c r="Y99" s="272">
        <f>IF(ISBLANK('RESUMEN VIGILANCIA'!X92),"",'RESUMEN VIGILANCIA'!X92)</f>
        <v>12</v>
      </c>
      <c r="Z99" s="458">
        <f>IF(ISBLANK('RESUMEN VIGILANCIA'!Y92),"",'RESUMEN VIGILANCIA'!Y92)</f>
        <v>320</v>
      </c>
      <c r="AA99" s="458">
        <f>IF(ISBLANK('RESUMEN VIGILANCIA'!Z92),"",'RESUMEN VIGILANCIA'!Z92)</f>
        <v>320</v>
      </c>
      <c r="AB99" s="458">
        <f>IF(ISBLANK('RESUMEN VIGILANCIA'!AA92),"",'RESUMEN VIGILANCIA'!AA92)</f>
        <v>320</v>
      </c>
      <c r="AC99" s="457">
        <f>IF(ISBLANK('RESUMEN VIGILANCIA'!AB92),"",'RESUMEN VIGILANCIA'!AB92)</f>
        <v>800</v>
      </c>
      <c r="AD99" s="381">
        <f>IF(ISBLANK('RESUMEN VIGILANCIA'!AC92),"",'RESUMEN VIGILANCIA'!AC92)</f>
        <v>3000</v>
      </c>
      <c r="AE99" s="382">
        <f>IF(ISBLANK('RESUMEN VIGILANCIA'!AD92),"",'RESUMEN VIGILANCIA'!AD92)</f>
        <v>3000</v>
      </c>
      <c r="AF99" s="382">
        <f>IF(ISBLANK('RESUMEN VIGILANCIA'!AE92),"",'RESUMEN VIGILANCIA'!AE92)</f>
        <v>3000</v>
      </c>
      <c r="AG99" s="382">
        <f>IF(ISBLANK('RESUMEN VIGILANCIA'!AF92),"",'RESUMEN VIGILANCIA'!AF92)</f>
        <v>5000</v>
      </c>
      <c r="AH99" s="382">
        <f>IF(ISBLANK('RESUMEN VIGILANCIA'!AG92),"",'RESUMEN VIGILANCIA'!AG92)</f>
        <v>8000</v>
      </c>
      <c r="AI99" s="382">
        <f>IF(ISBLANK('RESUMEN VIGILANCIA'!AH92),"",'RESUMEN VIGILANCIA'!AH92)</f>
        <v>8000</v>
      </c>
      <c r="AJ99" s="382">
        <f>IF(ISBLANK('RESUMEN VIGILANCIA'!AI92),"",'RESUMEN VIGILANCIA'!AI92)</f>
        <v>10000</v>
      </c>
      <c r="AK99" s="382">
        <f>IF(ISBLANK('RESUMEN VIGILANCIA'!AJ92),"",'RESUMEN VIGILANCIA'!AJ92)</f>
        <v>10000</v>
      </c>
      <c r="AL99" s="382">
        <f>IF(ISBLANK('RESUMEN VIGILANCIA'!AK92),"",'RESUMEN VIGILANCIA'!AK92)</f>
        <v>21600</v>
      </c>
      <c r="AM99" s="382">
        <f>IF(ISBLANK('RESUMEN VIGILANCIA'!AL92),"",'RESUMEN VIGILANCIA'!AL92)</f>
        <v>51250</v>
      </c>
      <c r="AN99" s="382">
        <f>IF(ISBLANK('RESUMEN VIGILANCIA'!AM92),"",'RESUMEN VIGILANCIA'!AM92)</f>
        <v>64500</v>
      </c>
      <c r="AO99" s="387">
        <f>IF(ISBLANK('RESUMEN VIGILANCIA'!AN92),"",'RESUMEN VIGILANCIA'!AN92)</f>
        <v>105250</v>
      </c>
      <c r="AP99" s="381">
        <f>IF(ISBLANK('RESUMEN VIGILANCIA'!AO92),"",'RESUMEN VIGILANCIA'!AO92)</f>
        <v>136250</v>
      </c>
      <c r="AQ99" s="382">
        <f>IF(ISBLANK('RESUMEN VIGILANCIA'!AP92),"",'RESUMEN VIGILANCIA'!AP92)</f>
        <v>136250</v>
      </c>
      <c r="AR99" s="382">
        <f>IF(ISBLANK('RESUMEN VIGILANCIA'!AQ92),"",'RESUMEN VIGILANCIA'!AQ92)</f>
        <v>185250</v>
      </c>
      <c r="AS99" s="382">
        <f>IF(ISBLANK('RESUMEN VIGILANCIA'!AR92),"",'RESUMEN VIGILANCIA'!AR92)</f>
        <v>185250</v>
      </c>
      <c r="AT99" s="382">
        <f>IF(ISBLANK('RESUMEN VIGILANCIA'!AS92),"",'RESUMEN VIGILANCIA'!AS92)</f>
        <v>250000</v>
      </c>
      <c r="AU99" s="382" t="str">
        <f>IF(ISBLANK('RESUMEN VIGILANCIA'!AT92),"",'RESUMEN VIGILANCIA'!AT92)</f>
        <v/>
      </c>
      <c r="AV99" s="382" t="str">
        <f>IF(ISBLANK('RESUMEN VIGILANCIA'!AU92),"",'RESUMEN VIGILANCIA'!AU92)</f>
        <v/>
      </c>
      <c r="AW99" s="382" t="str">
        <f>IF(ISBLANK('RESUMEN VIGILANCIA'!AV92),"",'RESUMEN VIGILANCIA'!AV92)</f>
        <v/>
      </c>
      <c r="AX99" s="382" t="str">
        <f>IF(ISBLANK('RESUMEN VIGILANCIA'!AW92),"",'RESUMEN VIGILANCIA'!AW92)</f>
        <v/>
      </c>
      <c r="AY99" s="382" t="str">
        <f>IF(ISBLANK('RESUMEN VIGILANCIA'!AX92),"",'RESUMEN VIGILANCIA'!AX92)</f>
        <v/>
      </c>
      <c r="AZ99" s="382" t="str">
        <f>IF(ISBLANK('RESUMEN VIGILANCIA'!AY92),"",'RESUMEN VIGILANCIA'!AY92)</f>
        <v/>
      </c>
      <c r="BA99" s="387" t="str">
        <f>IF(ISBLANK('RESUMEN VIGILANCIA'!AZ92),"",'RESUMEN VIGILANCIA'!AZ92)</f>
        <v/>
      </c>
      <c r="BB99" s="346">
        <f t="shared" si="5"/>
        <v>294400.04000000004</v>
      </c>
      <c r="BC99" s="347"/>
      <c r="BD99" s="347"/>
    </row>
    <row r="100" spans="1:56" s="29" customFormat="1" ht="20.100000000000001" customHeight="1">
      <c r="A100" s="33" t="str">
        <f>'RESUMEN VIGILANCIA'!A94</f>
        <v>Zoraida Khair</v>
      </c>
      <c r="B100" s="34" t="str">
        <f>'RESUMEN VIGILANCIA'!B94</f>
        <v>Calle Güigüe Nro. 88-80</v>
      </c>
      <c r="C100" s="428" t="s">
        <v>1318</v>
      </c>
      <c r="D100" s="437" t="s">
        <v>1315</v>
      </c>
      <c r="E100" s="416" t="str">
        <f>IF(ISBLANK('RESUMEN VIGILANCIA'!D94),"",'RESUMEN VIGILANCIA'!D94)</f>
        <v/>
      </c>
      <c r="F100" s="266" t="str">
        <f>IF(ISBLANK('RESUMEN VIGILANCIA'!E94),"",'RESUMEN VIGILANCIA'!E94)</f>
        <v/>
      </c>
      <c r="G100" s="188">
        <f>IF(ISBLANK('RESUMEN VIGILANCIA'!F94),"",'RESUMEN VIGILANCIA'!F94)</f>
        <v>0.06</v>
      </c>
      <c r="H100" s="188" t="str">
        <f>IF(ISBLANK('RESUMEN VIGILANCIA'!G94),"",'RESUMEN VIGILANCIA'!G94)</f>
        <v/>
      </c>
      <c r="I100" s="188" t="str">
        <f>IF(ISBLANK('RESUMEN VIGILANCIA'!H94),"",'RESUMEN VIGILANCIA'!H94)</f>
        <v/>
      </c>
      <c r="J100" s="188">
        <f>IF(ISBLANK('RESUMEN VIGILANCIA'!I94),"",'RESUMEN VIGILANCIA'!I94)</f>
        <v>0.1</v>
      </c>
      <c r="K100" s="188">
        <f>IF(ISBLANK('RESUMEN VIGILANCIA'!J94),"",'RESUMEN VIGILANCIA'!J94)</f>
        <v>0.25</v>
      </c>
      <c r="L100" s="188">
        <f>IF(ISBLANK('RESUMEN VIGILANCIA'!K94),"",'RESUMEN VIGILANCIA'!K94)</f>
        <v>0.25</v>
      </c>
      <c r="M100" s="188">
        <f>IF(ISBLANK('RESUMEN VIGILANCIA'!L94),"",'RESUMEN VIGILANCIA'!L94)</f>
        <v>0.25</v>
      </c>
      <c r="N100" s="188">
        <f>IF(ISBLANK('RESUMEN VIGILANCIA'!M94),"",'RESUMEN VIGILANCIA'!M94)</f>
        <v>0.25</v>
      </c>
      <c r="O100" s="188">
        <f>IF(ISBLANK('RESUMEN VIGILANCIA'!N94),"",'RESUMEN VIGILANCIA'!N94)</f>
        <v>0.4</v>
      </c>
      <c r="P100" s="267">
        <f>IF(ISBLANK('RESUMEN VIGILANCIA'!O94),"",'RESUMEN VIGILANCIA'!O94)</f>
        <v>0.4</v>
      </c>
      <c r="Q100" s="186">
        <f>IF(ISBLANK('RESUMEN VIGILANCIA'!P94),"",'RESUMEN VIGILANCIA'!P94)</f>
        <v>0.4</v>
      </c>
      <c r="R100" s="268">
        <f>IF(ISBLANK('RESUMEN VIGILANCIA'!Q94),"",'RESUMEN VIGILANCIA'!Q94)</f>
        <v>1</v>
      </c>
      <c r="S100" s="267">
        <f>IF(ISBLANK('RESUMEN VIGILANCIA'!R94),"",'RESUMEN VIGILANCIA'!R94)</f>
        <v>1</v>
      </c>
      <c r="T100" s="267">
        <f>IF(ISBLANK('RESUMEN VIGILANCIA'!S94),"",'RESUMEN VIGILANCIA'!S94)</f>
        <v>1</v>
      </c>
      <c r="U100" s="267">
        <f>IF(ISBLANK('RESUMEN VIGILANCIA'!T94),"",'RESUMEN VIGILANCIA'!T94)</f>
        <v>1</v>
      </c>
      <c r="V100" s="267">
        <f>IF(ISBLANK('RESUMEN VIGILANCIA'!U94),"",'RESUMEN VIGILANCIA'!U94)</f>
        <v>4</v>
      </c>
      <c r="W100" s="267">
        <f>IF(ISBLANK('RESUMEN VIGILANCIA'!V94),"",'RESUMEN VIGILANCIA'!V94)</f>
        <v>6.25</v>
      </c>
      <c r="X100" s="267">
        <f>IF(ISBLANK('RESUMEN VIGILANCIA'!W94),"",'RESUMEN VIGILANCIA'!W94)</f>
        <v>10</v>
      </c>
      <c r="Y100" s="267">
        <f>IF(ISBLANK('RESUMEN VIGILANCIA'!X94),"",'RESUMEN VIGILANCIA'!X94)</f>
        <v>12</v>
      </c>
      <c r="Z100" s="459">
        <f>IF(ISBLANK('RESUMEN VIGILANCIA'!Y94),"",'RESUMEN VIGILANCIA'!Y94)</f>
        <v>320</v>
      </c>
      <c r="AA100" s="459">
        <f>IF(ISBLANK('RESUMEN VIGILANCIA'!Z94),"",'RESUMEN VIGILANCIA'!Z94)</f>
        <v>320</v>
      </c>
      <c r="AB100" s="459">
        <f>IF(ISBLANK('RESUMEN VIGILANCIA'!AA94),"",'RESUMEN VIGILANCIA'!AA94)</f>
        <v>320</v>
      </c>
      <c r="AC100" s="460">
        <f>IF(ISBLANK('RESUMEN VIGILANCIA'!AB94),"",'RESUMEN VIGILANCIA'!AB94)</f>
        <v>800</v>
      </c>
      <c r="AD100" s="373">
        <f>IF(ISBLANK('RESUMEN VIGILANCIA'!AC94),"",'RESUMEN VIGILANCIA'!AC94)</f>
        <v>3000</v>
      </c>
      <c r="AE100" s="374">
        <f>IF(ISBLANK('RESUMEN VIGILANCIA'!AD94),"",'RESUMEN VIGILANCIA'!AD94)</f>
        <v>3000</v>
      </c>
      <c r="AF100" s="374">
        <f>IF(ISBLANK('RESUMEN VIGILANCIA'!AE94),"",'RESUMEN VIGILANCIA'!AE94)</f>
        <v>2365.5500000000002</v>
      </c>
      <c r="AG100" s="374">
        <f>IF(ISBLANK('RESUMEN VIGILANCIA'!AF94),"",'RESUMEN VIGILANCIA'!AF94)</f>
        <v>5000</v>
      </c>
      <c r="AH100" s="374">
        <f>IF(ISBLANK('RESUMEN VIGILANCIA'!AG94),"",'RESUMEN VIGILANCIA'!AG94)</f>
        <v>8000</v>
      </c>
      <c r="AI100" s="374">
        <f>IF(ISBLANK('RESUMEN VIGILANCIA'!AH94),"",'RESUMEN VIGILANCIA'!AH94)</f>
        <v>8000</v>
      </c>
      <c r="AJ100" s="374">
        <f>IF(ISBLANK('RESUMEN VIGILANCIA'!AI94),"",'RESUMEN VIGILANCIA'!AI94)</f>
        <v>8000</v>
      </c>
      <c r="AK100" s="374">
        <f>IF(ISBLANK('RESUMEN VIGILANCIA'!AJ94),"",'RESUMEN VIGILANCIA'!AJ94)</f>
        <v>10000</v>
      </c>
      <c r="AL100" s="374">
        <f>IF(ISBLANK('RESUMEN VIGILANCIA'!AK94),"",'RESUMEN VIGILANCIA'!AK94)</f>
        <v>23000</v>
      </c>
      <c r="AM100" s="374">
        <f>IF(ISBLANK('RESUMEN VIGILANCIA'!AL94),"",'RESUMEN VIGILANCIA'!AL94)</f>
        <v>51250</v>
      </c>
      <c r="AN100" s="374">
        <f>IF(ISBLANK('RESUMEN VIGILANCIA'!AM94),"",'RESUMEN VIGILANCIA'!AM94)</f>
        <v>52000</v>
      </c>
      <c r="AO100" s="375">
        <f>IF(ISBLANK('RESUMEN VIGILANCIA'!AN94),"",'RESUMEN VIGILANCIA'!AN94)</f>
        <v>40000</v>
      </c>
      <c r="AP100" s="373">
        <f>IF(ISBLANK('RESUMEN VIGILANCIA'!AO94),"",'RESUMEN VIGILANCIA'!AO94)</f>
        <v>137000</v>
      </c>
      <c r="AQ100" s="374">
        <f>IF(ISBLANK('RESUMEN VIGILANCIA'!AP94),"",'RESUMEN VIGILANCIA'!AP94)</f>
        <v>185250</v>
      </c>
      <c r="AR100" s="374">
        <f>IF(ISBLANK('RESUMEN VIGILANCIA'!AQ94),"",'RESUMEN VIGILANCIA'!AQ94)</f>
        <v>185250</v>
      </c>
      <c r="AS100" s="374">
        <f>IF(ISBLANK('RESUMEN VIGILANCIA'!AR94),"",'RESUMEN VIGILANCIA'!AR94)</f>
        <v>185250</v>
      </c>
      <c r="AT100" s="374">
        <f>IF(ISBLANK('RESUMEN VIGILANCIA'!AS94),"",'RESUMEN VIGILANCIA'!AS94)</f>
        <v>250000</v>
      </c>
      <c r="AU100" s="374" t="str">
        <f>IF(ISBLANK('RESUMEN VIGILANCIA'!AT94),"",'RESUMEN VIGILANCIA'!AT94)</f>
        <v/>
      </c>
      <c r="AV100" s="374" t="str">
        <f>IF(ISBLANK('RESUMEN VIGILANCIA'!AU94),"",'RESUMEN VIGILANCIA'!AU94)</f>
        <v/>
      </c>
      <c r="AW100" s="374" t="str">
        <f>IF(ISBLANK('RESUMEN VIGILANCIA'!AV94),"",'RESUMEN VIGILANCIA'!AV94)</f>
        <v/>
      </c>
      <c r="AX100" s="374" t="str">
        <f>IF(ISBLANK('RESUMEN VIGILANCIA'!AW94),"",'RESUMEN VIGILANCIA'!AW94)</f>
        <v/>
      </c>
      <c r="AY100" s="374" t="str">
        <f>IF(ISBLANK('RESUMEN VIGILANCIA'!AX94),"",'RESUMEN VIGILANCIA'!AX94)</f>
        <v/>
      </c>
      <c r="AZ100" s="374" t="str">
        <f>IF(ISBLANK('RESUMEN VIGILANCIA'!AY94),"",'RESUMEN VIGILANCIA'!AY94)</f>
        <v/>
      </c>
      <c r="BA100" s="375" t="str">
        <f>IF(ISBLANK('RESUMEN VIGILANCIA'!AZ94),"",'RESUMEN VIGILANCIA'!AZ94)</f>
        <v/>
      </c>
      <c r="BB100" s="241">
        <f t="shared" si="5"/>
        <v>215414.16</v>
      </c>
      <c r="BC100" s="111"/>
      <c r="BD100" s="111"/>
    </row>
    <row r="101" spans="1:56" s="29" customFormat="1" ht="20.100000000000001" customHeight="1">
      <c r="A101" s="30" t="str">
        <f>'RESUMEN VIGILANCIA'!A95</f>
        <v>Familia Matta Palomino</v>
      </c>
      <c r="B101" s="31" t="str">
        <f>'RESUMEN VIGILANCIA'!B95</f>
        <v>Calle Güigüe Nro. 88-90</v>
      </c>
      <c r="C101" s="429" t="s">
        <v>1316</v>
      </c>
      <c r="D101" s="436" t="s">
        <v>1315</v>
      </c>
      <c r="E101" s="417" t="str">
        <f>IF(ISBLANK('RESUMEN VIGILANCIA'!D95),"",'RESUMEN VIGILANCIA'!D95)</f>
        <v/>
      </c>
      <c r="F101" s="269">
        <f>IF(ISBLANK('RESUMEN VIGILANCIA'!E95),"",'RESUMEN VIGILANCIA'!E95)</f>
        <v>0.17</v>
      </c>
      <c r="G101" s="181">
        <f>IF(ISBLANK('RESUMEN VIGILANCIA'!F95),"",'RESUMEN VIGILANCIA'!F95)</f>
        <v>0.17</v>
      </c>
      <c r="H101" s="182">
        <f>IF(ISBLANK('RESUMEN VIGILANCIA'!G95),"",'RESUMEN VIGILANCIA'!G95)</f>
        <v>0.16</v>
      </c>
      <c r="I101" s="182">
        <f>IF(ISBLANK('RESUMEN VIGILANCIA'!H95),"",'RESUMEN VIGILANCIA'!H95)</f>
        <v>0.16</v>
      </c>
      <c r="J101" s="181">
        <f>IF(ISBLANK('RESUMEN VIGILANCIA'!I95),"",'RESUMEN VIGILANCIA'!I95)</f>
        <v>0.26</v>
      </c>
      <c r="K101" s="181">
        <f>IF(ISBLANK('RESUMEN VIGILANCIA'!J95),"",'RESUMEN VIGILANCIA'!J95)</f>
        <v>0.26</v>
      </c>
      <c r="L101" s="181">
        <f>IF(ISBLANK('RESUMEN VIGILANCIA'!K95),"",'RESUMEN VIGILANCIA'!K95)</f>
        <v>0.35</v>
      </c>
      <c r="M101" s="181">
        <f>IF(ISBLANK('RESUMEN VIGILANCIA'!L95),"",'RESUMEN VIGILANCIA'!L95)</f>
        <v>0.35</v>
      </c>
      <c r="N101" s="181">
        <f>IF(ISBLANK('RESUMEN VIGILANCIA'!M95),"",'RESUMEN VIGILANCIA'!M95)</f>
        <v>0.35000000000000003</v>
      </c>
      <c r="O101" s="181">
        <f>IF(ISBLANK('RESUMEN VIGILANCIA'!N95),"",'RESUMEN VIGILANCIA'!N95)</f>
        <v>0.35</v>
      </c>
      <c r="P101" s="270">
        <f>IF(ISBLANK('RESUMEN VIGILANCIA'!O95),"",'RESUMEN VIGILANCIA'!O95)</f>
        <v>0.5</v>
      </c>
      <c r="Q101" s="179">
        <f>IF(ISBLANK('RESUMEN VIGILANCIA'!P95),"",'RESUMEN VIGILANCIA'!P95)</f>
        <v>0.5</v>
      </c>
      <c r="R101" s="271">
        <f>IF(ISBLANK('RESUMEN VIGILANCIA'!Q95),"",'RESUMEN VIGILANCIA'!Q95)</f>
        <v>0.8</v>
      </c>
      <c r="S101" s="270">
        <f>IF(ISBLANK('RESUMEN VIGILANCIA'!R95),"",'RESUMEN VIGILANCIA'!R95)</f>
        <v>0.8</v>
      </c>
      <c r="T101" s="270">
        <f>IF(ISBLANK('RESUMEN VIGILANCIA'!S95),"",'RESUMEN VIGILANCIA'!S95)</f>
        <v>1.4</v>
      </c>
      <c r="U101" s="270">
        <f>IF(ISBLANK('RESUMEN VIGILANCIA'!T95),"",'RESUMEN VIGILANCIA'!T95)</f>
        <v>1.4</v>
      </c>
      <c r="V101" s="270">
        <f>IF(ISBLANK('RESUMEN VIGILANCIA'!U95),"",'RESUMEN VIGILANCIA'!U95)</f>
        <v>4</v>
      </c>
      <c r="W101" s="270">
        <f>IF(ISBLANK('RESUMEN VIGILANCIA'!V95),"",'RESUMEN VIGILANCIA'!V95)</f>
        <v>6.25</v>
      </c>
      <c r="X101" s="270">
        <f>IF(ISBLANK('RESUMEN VIGILANCIA'!W95),"",'RESUMEN VIGILANCIA'!W95)</f>
        <v>10</v>
      </c>
      <c r="Y101" s="270">
        <f>IF(ISBLANK('RESUMEN VIGILANCIA'!X95),"",'RESUMEN VIGILANCIA'!X95)</f>
        <v>12</v>
      </c>
      <c r="Z101" s="455">
        <f>IF(ISBLANK('RESUMEN VIGILANCIA'!Y95),"",'RESUMEN VIGILANCIA'!Y95)</f>
        <v>320</v>
      </c>
      <c r="AA101" s="455">
        <f>IF(ISBLANK('RESUMEN VIGILANCIA'!Z95),"",'RESUMEN VIGILANCIA'!Z95)</f>
        <v>320</v>
      </c>
      <c r="AB101" s="455">
        <f>IF(ISBLANK('RESUMEN VIGILANCIA'!AA95),"",'RESUMEN VIGILANCIA'!AA95)</f>
        <v>320</v>
      </c>
      <c r="AC101" s="456">
        <f>IF(ISBLANK('RESUMEN VIGILANCIA'!AB95),"",'RESUMEN VIGILANCIA'!AB95)</f>
        <v>800</v>
      </c>
      <c r="AD101" s="376">
        <f>IF(ISBLANK('RESUMEN VIGILANCIA'!AC95),"",'RESUMEN VIGILANCIA'!AC95)</f>
        <v>3000</v>
      </c>
      <c r="AE101" s="377">
        <f>IF(ISBLANK('RESUMEN VIGILANCIA'!AD95),"",'RESUMEN VIGILANCIA'!AD95)</f>
        <v>3000</v>
      </c>
      <c r="AF101" s="377">
        <f>IF(ISBLANK('RESUMEN VIGILANCIA'!AE95),"",'RESUMEN VIGILANCIA'!AE95)</f>
        <v>3000</v>
      </c>
      <c r="AG101" s="377">
        <f>IF(ISBLANK('RESUMEN VIGILANCIA'!AF95),"",'RESUMEN VIGILANCIA'!AF95)</f>
        <v>5000</v>
      </c>
      <c r="AH101" s="377">
        <f>IF(ISBLANK('RESUMEN VIGILANCIA'!AG95),"",'RESUMEN VIGILANCIA'!AG95)</f>
        <v>8000</v>
      </c>
      <c r="AI101" s="377">
        <f>IF(ISBLANK('RESUMEN VIGILANCIA'!AH95),"",'RESUMEN VIGILANCIA'!AH95)</f>
        <v>8000</v>
      </c>
      <c r="AJ101" s="377">
        <f>IF(ISBLANK('RESUMEN VIGILANCIA'!AI95),"",'RESUMEN VIGILANCIA'!AI95)</f>
        <v>10000</v>
      </c>
      <c r="AK101" s="377">
        <f>IF(ISBLANK('RESUMEN VIGILANCIA'!AJ95),"",'RESUMEN VIGILANCIA'!AJ95)</f>
        <v>10000</v>
      </c>
      <c r="AL101" s="377">
        <f>IF(ISBLANK('RESUMEN VIGILANCIA'!AK95),"",'RESUMEN VIGILANCIA'!AK95)</f>
        <v>21100</v>
      </c>
      <c r="AM101" s="377">
        <f>IF(ISBLANK('RESUMEN VIGILANCIA'!AL95),"",'RESUMEN VIGILANCIA'!AL95)</f>
        <v>59800</v>
      </c>
      <c r="AN101" s="377">
        <f>IF(ISBLANK('RESUMEN VIGILANCIA'!AM95),"",'RESUMEN VIGILANCIA'!AM95)</f>
        <v>97500</v>
      </c>
      <c r="AO101" s="378">
        <f>IF(ISBLANK('RESUMEN VIGILANCIA'!AN95),"",'RESUMEN VIGILANCIA'!AN95)</f>
        <v>136250</v>
      </c>
      <c r="AP101" s="376">
        <f>IF(ISBLANK('RESUMEN VIGILANCIA'!AO95),"",'RESUMEN VIGILANCIA'!AO95)</f>
        <v>136250</v>
      </c>
      <c r="AQ101" s="377">
        <f>IF(ISBLANK('RESUMEN VIGILANCIA'!AP95),"",'RESUMEN VIGILANCIA'!AP95)</f>
        <v>185250</v>
      </c>
      <c r="AR101" s="377">
        <f>IF(ISBLANK('RESUMEN VIGILANCIA'!AQ95),"",'RESUMEN VIGILANCIA'!AQ95)</f>
        <v>185250</v>
      </c>
      <c r="AS101" s="377">
        <f>IF(ISBLANK('RESUMEN VIGILANCIA'!AR95),"",'RESUMEN VIGILANCIA'!AR95)</f>
        <v>185250</v>
      </c>
      <c r="AT101" s="377">
        <f>IF(ISBLANK('RESUMEN VIGILANCIA'!AS95),"",'RESUMEN VIGILANCIA'!AS95)</f>
        <v>250000</v>
      </c>
      <c r="AU101" s="377" t="str">
        <f>IF(ISBLANK('RESUMEN VIGILANCIA'!AT95),"",'RESUMEN VIGILANCIA'!AT95)</f>
        <v/>
      </c>
      <c r="AV101" s="377" t="str">
        <f>IF(ISBLANK('RESUMEN VIGILANCIA'!AU95),"",'RESUMEN VIGILANCIA'!AU95)</f>
        <v/>
      </c>
      <c r="AW101" s="377" t="str">
        <f>IF(ISBLANK('RESUMEN VIGILANCIA'!AV95),"",'RESUMEN VIGILANCIA'!AV95)</f>
        <v/>
      </c>
      <c r="AX101" s="377" t="str">
        <f>IF(ISBLANK('RESUMEN VIGILANCIA'!AW95),"",'RESUMEN VIGILANCIA'!AW95)</f>
        <v/>
      </c>
      <c r="AY101" s="377" t="str">
        <f>IF(ISBLANK('RESUMEN VIGILANCIA'!AX95),"",'RESUMEN VIGILANCIA'!AX95)</f>
        <v/>
      </c>
      <c r="AZ101" s="377" t="str">
        <f>IF(ISBLANK('RESUMEN VIGILANCIA'!AY95),"",'RESUMEN VIGILANCIA'!AY95)</f>
        <v/>
      </c>
      <c r="BA101" s="378" t="str">
        <f>IF(ISBLANK('RESUMEN VIGILANCIA'!AZ95),"",'RESUMEN VIGILANCIA'!AZ95)</f>
        <v/>
      </c>
      <c r="BB101" s="242">
        <f t="shared" si="5"/>
        <v>366450.23</v>
      </c>
      <c r="BC101" s="112"/>
      <c r="BD101" s="112"/>
    </row>
    <row r="102" spans="1:56" s="29" customFormat="1" ht="20.100000000000001" customHeight="1">
      <c r="A102" s="30" t="str">
        <f>'RESUMEN VIGILANCIA'!A97</f>
        <v>Familia Hernández Castillo</v>
      </c>
      <c r="B102" s="31" t="str">
        <f>'RESUMEN VIGILANCIA'!B97</f>
        <v>Calle Güigüe Nro. 88-94</v>
      </c>
      <c r="C102" s="429" t="s">
        <v>1317</v>
      </c>
      <c r="D102" s="436" t="s">
        <v>1315</v>
      </c>
      <c r="E102" s="417" t="str">
        <f>IF(ISBLANK('RESUMEN VIGILANCIA'!D97),"",'RESUMEN VIGILANCIA'!D97)</f>
        <v/>
      </c>
      <c r="F102" s="269" t="str">
        <f>IF(ISBLANK('RESUMEN VIGILANCIA'!E97),"",'RESUMEN VIGILANCIA'!E97)</f>
        <v/>
      </c>
      <c r="G102" s="181" t="str">
        <f>IF(ISBLANK('RESUMEN VIGILANCIA'!F97),"",'RESUMEN VIGILANCIA'!F97)</f>
        <v/>
      </c>
      <c r="H102" s="181" t="str">
        <f>IF(ISBLANK('RESUMEN VIGILANCIA'!G97),"",'RESUMEN VIGILANCIA'!G97)</f>
        <v/>
      </c>
      <c r="I102" s="181" t="str">
        <f>IF(ISBLANK('RESUMEN VIGILANCIA'!H97),"",'RESUMEN VIGILANCIA'!H97)</f>
        <v/>
      </c>
      <c r="J102" s="181" t="str">
        <f>IF(ISBLANK('RESUMEN VIGILANCIA'!I97),"",'RESUMEN VIGILANCIA'!I97)</f>
        <v/>
      </c>
      <c r="K102" s="181" t="str">
        <f>IF(ISBLANK('RESUMEN VIGILANCIA'!J97),"",'RESUMEN VIGILANCIA'!J97)</f>
        <v/>
      </c>
      <c r="L102" s="181" t="str">
        <f>IF(ISBLANK('RESUMEN VIGILANCIA'!K97),"",'RESUMEN VIGILANCIA'!K97)</f>
        <v/>
      </c>
      <c r="M102" s="181" t="str">
        <f>IF(ISBLANK('RESUMEN VIGILANCIA'!L97),"",'RESUMEN VIGILANCIA'!L97)</f>
        <v/>
      </c>
      <c r="N102" s="181" t="str">
        <f>IF(ISBLANK('RESUMEN VIGILANCIA'!M97),"",'RESUMEN VIGILANCIA'!M97)</f>
        <v/>
      </c>
      <c r="O102" s="181" t="str">
        <f>IF(ISBLANK('RESUMEN VIGILANCIA'!N97),"",'RESUMEN VIGILANCIA'!N97)</f>
        <v/>
      </c>
      <c r="P102" s="270" t="str">
        <f>IF(ISBLANK('RESUMEN VIGILANCIA'!O97),"",'RESUMEN VIGILANCIA'!O97)</f>
        <v/>
      </c>
      <c r="Q102" s="179" t="str">
        <f>IF(ISBLANK('RESUMEN VIGILANCIA'!P97),"",'RESUMEN VIGILANCIA'!P97)</f>
        <v/>
      </c>
      <c r="R102" s="271" t="str">
        <f>IF(ISBLANK('RESUMEN VIGILANCIA'!Q97),"",'RESUMEN VIGILANCIA'!Q97)</f>
        <v/>
      </c>
      <c r="S102" s="270" t="str">
        <f>IF(ISBLANK('RESUMEN VIGILANCIA'!R97),"",'RESUMEN VIGILANCIA'!R97)</f>
        <v/>
      </c>
      <c r="T102" s="270" t="str">
        <f>IF(ISBLANK('RESUMEN VIGILANCIA'!S97),"",'RESUMEN VIGILANCIA'!S97)</f>
        <v/>
      </c>
      <c r="U102" s="270" t="str">
        <f>IF(ISBLANK('RESUMEN VIGILANCIA'!T97),"",'RESUMEN VIGILANCIA'!T97)</f>
        <v/>
      </c>
      <c r="V102" s="270" t="str">
        <f>IF(ISBLANK('RESUMEN VIGILANCIA'!U97),"",'RESUMEN VIGILANCIA'!U97)</f>
        <v/>
      </c>
      <c r="W102" s="270" t="str">
        <f>IF(ISBLANK('RESUMEN VIGILANCIA'!V97),"",'RESUMEN VIGILANCIA'!V97)</f>
        <v/>
      </c>
      <c r="X102" s="270" t="str">
        <f>IF(ISBLANK('RESUMEN VIGILANCIA'!W97),"",'RESUMEN VIGILANCIA'!W97)</f>
        <v/>
      </c>
      <c r="Y102" s="270" t="str">
        <f>IF(ISBLANK('RESUMEN VIGILANCIA'!X97),"",'RESUMEN VIGILANCIA'!X97)</f>
        <v/>
      </c>
      <c r="Z102" s="455" t="str">
        <f>IF(ISBLANK('RESUMEN VIGILANCIA'!Y97),"",'RESUMEN VIGILANCIA'!Y97)</f>
        <v/>
      </c>
      <c r="AA102" s="455" t="str">
        <f>IF(ISBLANK('RESUMEN VIGILANCIA'!Z97),"",'RESUMEN VIGILANCIA'!Z97)</f>
        <v/>
      </c>
      <c r="AB102" s="455" t="str">
        <f>IF(ISBLANK('RESUMEN VIGILANCIA'!AA97),"",'RESUMEN VIGILANCIA'!AA97)</f>
        <v/>
      </c>
      <c r="AC102" s="456" t="str">
        <f>IF(ISBLANK('RESUMEN VIGILANCIA'!AB97),"",'RESUMEN VIGILANCIA'!AB97)</f>
        <v/>
      </c>
      <c r="AD102" s="376" t="str">
        <f>IF(ISBLANK('RESUMEN VIGILANCIA'!AC97),"",'RESUMEN VIGILANCIA'!AC97)</f>
        <v/>
      </c>
      <c r="AE102" s="377" t="str">
        <f>IF(ISBLANK('RESUMEN VIGILANCIA'!AD97),"",'RESUMEN VIGILANCIA'!AD97)</f>
        <v/>
      </c>
      <c r="AF102" s="377" t="str">
        <f>IF(ISBLANK('RESUMEN VIGILANCIA'!AE97),"",'RESUMEN VIGILANCIA'!AE97)</f>
        <v/>
      </c>
      <c r="AG102" s="377" t="str">
        <f>IF(ISBLANK('RESUMEN VIGILANCIA'!AF97),"",'RESUMEN VIGILANCIA'!AF97)</f>
        <v/>
      </c>
      <c r="AH102" s="377" t="str">
        <f>IF(ISBLANK('RESUMEN VIGILANCIA'!AG97),"",'RESUMEN VIGILANCIA'!AG97)</f>
        <v/>
      </c>
      <c r="AI102" s="377" t="str">
        <f>IF(ISBLANK('RESUMEN VIGILANCIA'!AH97),"",'RESUMEN VIGILANCIA'!AH97)</f>
        <v/>
      </c>
      <c r="AJ102" s="377" t="str">
        <f>IF(ISBLANK('RESUMEN VIGILANCIA'!AI97),"",'RESUMEN VIGILANCIA'!AI97)</f>
        <v/>
      </c>
      <c r="AK102" s="377" t="str">
        <f>IF(ISBLANK('RESUMEN VIGILANCIA'!AJ97),"",'RESUMEN VIGILANCIA'!AJ97)</f>
        <v/>
      </c>
      <c r="AL102" s="377" t="str">
        <f>IF(ISBLANK('RESUMEN VIGILANCIA'!AK97),"",'RESUMEN VIGILANCIA'!AK97)</f>
        <v/>
      </c>
      <c r="AM102" s="377" t="str">
        <f>IF(ISBLANK('RESUMEN VIGILANCIA'!AL97),"",'RESUMEN VIGILANCIA'!AL97)</f>
        <v/>
      </c>
      <c r="AN102" s="377" t="str">
        <f>IF(ISBLANK('RESUMEN VIGILANCIA'!AM97),"",'RESUMEN VIGILANCIA'!AM97)</f>
        <v/>
      </c>
      <c r="AO102" s="378" t="str">
        <f>IF(ISBLANK('RESUMEN VIGILANCIA'!AN97),"",'RESUMEN VIGILANCIA'!AN97)</f>
        <v/>
      </c>
      <c r="AP102" s="376" t="str">
        <f>IF(ISBLANK('RESUMEN VIGILANCIA'!AO97),"",'RESUMEN VIGILANCIA'!AO97)</f>
        <v/>
      </c>
      <c r="AQ102" s="377" t="str">
        <f>IF(ISBLANK('RESUMEN VIGILANCIA'!AP97),"",'RESUMEN VIGILANCIA'!AP97)</f>
        <v/>
      </c>
      <c r="AR102" s="377" t="str">
        <f>IF(ISBLANK('RESUMEN VIGILANCIA'!AQ97),"",'RESUMEN VIGILANCIA'!AQ97)</f>
        <v/>
      </c>
      <c r="AS102" s="377" t="str">
        <f>IF(ISBLANK('RESUMEN VIGILANCIA'!AR97),"",'RESUMEN VIGILANCIA'!AR97)</f>
        <v/>
      </c>
      <c r="AT102" s="377" t="str">
        <f>IF(ISBLANK('RESUMEN VIGILANCIA'!AS97),"",'RESUMEN VIGILANCIA'!AS97)</f>
        <v/>
      </c>
      <c r="AU102" s="377" t="str">
        <f>IF(ISBLANK('RESUMEN VIGILANCIA'!AT97),"",'RESUMEN VIGILANCIA'!AT97)</f>
        <v/>
      </c>
      <c r="AV102" s="377" t="str">
        <f>IF(ISBLANK('RESUMEN VIGILANCIA'!AU97),"",'RESUMEN VIGILANCIA'!AU97)</f>
        <v/>
      </c>
      <c r="AW102" s="377" t="str">
        <f>IF(ISBLANK('RESUMEN VIGILANCIA'!AV97),"",'RESUMEN VIGILANCIA'!AV97)</f>
        <v/>
      </c>
      <c r="AX102" s="377" t="str">
        <f>IF(ISBLANK('RESUMEN VIGILANCIA'!AW97),"",'RESUMEN VIGILANCIA'!AW97)</f>
        <v/>
      </c>
      <c r="AY102" s="377" t="str">
        <f>IF(ISBLANK('RESUMEN VIGILANCIA'!AX97),"",'RESUMEN VIGILANCIA'!AX97)</f>
        <v/>
      </c>
      <c r="AZ102" s="377" t="str">
        <f>IF(ISBLANK('RESUMEN VIGILANCIA'!AY97),"",'RESUMEN VIGILANCIA'!AY97)</f>
        <v/>
      </c>
      <c r="BA102" s="378" t="str">
        <f>IF(ISBLANK('RESUMEN VIGILANCIA'!AZ97),"",'RESUMEN VIGILANCIA'!AZ97)</f>
        <v/>
      </c>
      <c r="BB102" s="242">
        <f t="shared" si="5"/>
        <v>0</v>
      </c>
      <c r="BC102" s="112"/>
      <c r="BD102" s="112"/>
    </row>
    <row r="103" spans="1:56" s="29" customFormat="1" ht="20.100000000000001" customHeight="1">
      <c r="A103" s="30" t="str">
        <f>'RESUMEN VIGILANCIA'!A107</f>
        <v>Familia Acosta Carpio</v>
      </c>
      <c r="B103" s="31" t="str">
        <f>'RESUMEN VIGILANCIA'!B107</f>
        <v>Calle Güigüe Nro. 89-10</v>
      </c>
      <c r="C103" s="429" t="s">
        <v>1316</v>
      </c>
      <c r="D103" s="436"/>
      <c r="E103" s="417" t="str">
        <f>IF(ISBLANK('RESUMEN VIGILANCIA'!D107),"",'RESUMEN VIGILANCIA'!D107)</f>
        <v/>
      </c>
      <c r="F103" s="269">
        <f>IF(ISBLANK('RESUMEN VIGILANCIA'!E107),"",'RESUMEN VIGILANCIA'!E107)</f>
        <v>0.17</v>
      </c>
      <c r="G103" s="181">
        <f>IF(ISBLANK('RESUMEN VIGILANCIA'!F107),"",'RESUMEN VIGILANCIA'!F107)</f>
        <v>0.17</v>
      </c>
      <c r="H103" s="181">
        <f>IF(ISBLANK('RESUMEN VIGILANCIA'!G107),"",'RESUMEN VIGILANCIA'!G107)</f>
        <v>0.17</v>
      </c>
      <c r="I103" s="181">
        <f>IF(ISBLANK('RESUMEN VIGILANCIA'!H107),"",'RESUMEN VIGILANCIA'!H107)</f>
        <v>0.17</v>
      </c>
      <c r="J103" s="181">
        <f>IF(ISBLANK('RESUMEN VIGILANCIA'!I107),"",'RESUMEN VIGILANCIA'!I107)</f>
        <v>0.26</v>
      </c>
      <c r="K103" s="181">
        <f>IF(ISBLANK('RESUMEN VIGILANCIA'!J107),"",'RESUMEN VIGILANCIA'!J107)</f>
        <v>0.26</v>
      </c>
      <c r="L103" s="181">
        <f>IF(ISBLANK('RESUMEN VIGILANCIA'!K107),"",'RESUMEN VIGILANCIA'!K107)</f>
        <v>0.35</v>
      </c>
      <c r="M103" s="181">
        <f>IF(ISBLANK('RESUMEN VIGILANCIA'!L107),"",'RESUMEN VIGILANCIA'!L107)</f>
        <v>0.35</v>
      </c>
      <c r="N103" s="181">
        <f>IF(ISBLANK('RESUMEN VIGILANCIA'!M107),"",'RESUMEN VIGILANCIA'!M107)</f>
        <v>0.35</v>
      </c>
      <c r="O103" s="181">
        <f>IF(ISBLANK('RESUMEN VIGILANCIA'!N107),"",'RESUMEN VIGILANCIA'!N107)</f>
        <v>0.35</v>
      </c>
      <c r="P103" s="270">
        <f>IF(ISBLANK('RESUMEN VIGILANCIA'!O107),"",'RESUMEN VIGILANCIA'!O107)</f>
        <v>0.5</v>
      </c>
      <c r="Q103" s="179">
        <f>IF(ISBLANK('RESUMEN VIGILANCIA'!P107),"",'RESUMEN VIGILANCIA'!P107)</f>
        <v>0.5</v>
      </c>
      <c r="R103" s="271">
        <f>IF(ISBLANK('RESUMEN VIGILANCIA'!Q107),"",'RESUMEN VIGILANCIA'!Q107)</f>
        <v>0.8</v>
      </c>
      <c r="S103" s="270">
        <f>IF(ISBLANK('RESUMEN VIGILANCIA'!R107),"",'RESUMEN VIGILANCIA'!R107)</f>
        <v>0.8</v>
      </c>
      <c r="T103" s="270">
        <f>IF(ISBLANK('RESUMEN VIGILANCIA'!S107),"",'RESUMEN VIGILANCIA'!S107)</f>
        <v>1.4</v>
      </c>
      <c r="U103" s="270">
        <f>IF(ISBLANK('RESUMEN VIGILANCIA'!T107),"",'RESUMEN VIGILANCIA'!T107)</f>
        <v>1.4</v>
      </c>
      <c r="V103" s="270">
        <f>IF(ISBLANK('RESUMEN VIGILANCIA'!U107),"",'RESUMEN VIGILANCIA'!U107)</f>
        <v>4</v>
      </c>
      <c r="W103" s="270">
        <f>IF(ISBLANK('RESUMEN VIGILANCIA'!V107),"",'RESUMEN VIGILANCIA'!V107)</f>
        <v>6.25</v>
      </c>
      <c r="X103" s="270">
        <f>IF(ISBLANK('RESUMEN VIGILANCIA'!W107),"",'RESUMEN VIGILANCIA'!W107)</f>
        <v>10</v>
      </c>
      <c r="Y103" s="270">
        <f>IF(ISBLANK('RESUMEN VIGILANCIA'!X107),"",'RESUMEN VIGILANCIA'!X107)</f>
        <v>12</v>
      </c>
      <c r="Z103" s="455">
        <f>IF(ISBLANK('RESUMEN VIGILANCIA'!Y107),"",'RESUMEN VIGILANCIA'!Y107)</f>
        <v>320</v>
      </c>
      <c r="AA103" s="455">
        <f>IF(ISBLANK('RESUMEN VIGILANCIA'!Z107),"",'RESUMEN VIGILANCIA'!Z107)</f>
        <v>320</v>
      </c>
      <c r="AB103" s="455" t="str">
        <f>IF(ISBLANK('RESUMEN VIGILANCIA'!AA107),"",'RESUMEN VIGILANCIA'!AA107)</f>
        <v/>
      </c>
      <c r="AC103" s="456">
        <f>IF(ISBLANK('RESUMEN VIGILANCIA'!AB107),"",'RESUMEN VIGILANCIA'!AB107)</f>
        <v>800</v>
      </c>
      <c r="AD103" s="376">
        <f>IF(ISBLANK('RESUMEN VIGILANCIA'!AC107),"",'RESUMEN VIGILANCIA'!AC107)</f>
        <v>3000</v>
      </c>
      <c r="AE103" s="377">
        <f>IF(ISBLANK('RESUMEN VIGILANCIA'!AD107),"",'RESUMEN VIGILANCIA'!AD107)</f>
        <v>3000</v>
      </c>
      <c r="AF103" s="377">
        <f>IF(ISBLANK('RESUMEN VIGILANCIA'!AE107),"",'RESUMEN VIGILANCIA'!AE107)</f>
        <v>3000</v>
      </c>
      <c r="AG103" s="377">
        <f>IF(ISBLANK('RESUMEN VIGILANCIA'!AF107),"",'RESUMEN VIGILANCIA'!AF107)</f>
        <v>5000</v>
      </c>
      <c r="AH103" s="377">
        <f>IF(ISBLANK('RESUMEN VIGILANCIA'!AG107),"",'RESUMEN VIGILANCIA'!AG107)</f>
        <v>8000</v>
      </c>
      <c r="AI103" s="377">
        <f>IF(ISBLANK('RESUMEN VIGILANCIA'!AH107),"",'RESUMEN VIGILANCIA'!AH107)</f>
        <v>8000</v>
      </c>
      <c r="AJ103" s="377">
        <f>IF(ISBLANK('RESUMEN VIGILANCIA'!AI107),"",'RESUMEN VIGILANCIA'!AI107)</f>
        <v>10000</v>
      </c>
      <c r="AK103" s="377">
        <f>IF(ISBLANK('RESUMEN VIGILANCIA'!AJ107),"",'RESUMEN VIGILANCIA'!AJ107)</f>
        <v>10000</v>
      </c>
      <c r="AL103" s="377">
        <f>IF(ISBLANK('RESUMEN VIGILANCIA'!AK107),"",'RESUMEN VIGILANCIA'!AK107)</f>
        <v>19800</v>
      </c>
      <c r="AM103" s="377">
        <f>IF(ISBLANK('RESUMEN VIGILANCIA'!AL107),"",'RESUMEN VIGILANCIA'!AL107)</f>
        <v>52000</v>
      </c>
      <c r="AN103" s="377">
        <f>IF(ISBLANK('RESUMEN VIGILANCIA'!AM107),"",'RESUMEN VIGILANCIA'!AM107)</f>
        <v>64500</v>
      </c>
      <c r="AO103" s="378">
        <f>IF(ISBLANK('RESUMEN VIGILANCIA'!AN107),"",'RESUMEN VIGILANCIA'!AN107)</f>
        <v>105250</v>
      </c>
      <c r="AP103" s="376" t="str">
        <f>IF(ISBLANK('RESUMEN VIGILANCIA'!AO107),"",'RESUMEN VIGILANCIA'!AO107)</f>
        <v/>
      </c>
      <c r="AQ103" s="377" t="str">
        <f>IF(ISBLANK('RESUMEN VIGILANCIA'!AP107),"",'RESUMEN VIGILANCIA'!AP107)</f>
        <v/>
      </c>
      <c r="AR103" s="377" t="str">
        <f>IF(ISBLANK('RESUMEN VIGILANCIA'!AQ107),"",'RESUMEN VIGILANCIA'!AQ107)</f>
        <v/>
      </c>
      <c r="AS103" s="377" t="str">
        <f>IF(ISBLANK('RESUMEN VIGILANCIA'!AR107),"",'RESUMEN VIGILANCIA'!AR107)</f>
        <v/>
      </c>
      <c r="AT103" s="377" t="str">
        <f>IF(ISBLANK('RESUMEN VIGILANCIA'!AS107),"",'RESUMEN VIGILANCIA'!AS107)</f>
        <v/>
      </c>
      <c r="AU103" s="377" t="str">
        <f>IF(ISBLANK('RESUMEN VIGILANCIA'!AT107),"",'RESUMEN VIGILANCIA'!AT107)</f>
        <v/>
      </c>
      <c r="AV103" s="377" t="str">
        <f>IF(ISBLANK('RESUMEN VIGILANCIA'!AU107),"",'RESUMEN VIGILANCIA'!AU107)</f>
        <v/>
      </c>
      <c r="AW103" s="377" t="str">
        <f>IF(ISBLANK('RESUMEN VIGILANCIA'!AV107),"",'RESUMEN VIGILANCIA'!AV107)</f>
        <v/>
      </c>
      <c r="AX103" s="377" t="str">
        <f>IF(ISBLANK('RESUMEN VIGILANCIA'!AW107),"",'RESUMEN VIGILANCIA'!AW107)</f>
        <v/>
      </c>
      <c r="AY103" s="377" t="str">
        <f>IF(ISBLANK('RESUMEN VIGILANCIA'!AX107),"",'RESUMEN VIGILANCIA'!AX107)</f>
        <v/>
      </c>
      <c r="AZ103" s="377" t="str">
        <f>IF(ISBLANK('RESUMEN VIGILANCIA'!AY107),"",'RESUMEN VIGILANCIA'!AY107)</f>
        <v/>
      </c>
      <c r="BA103" s="378" t="str">
        <f>IF(ISBLANK('RESUMEN VIGILANCIA'!AZ107),"",'RESUMEN VIGILANCIA'!AZ107)</f>
        <v/>
      </c>
      <c r="BB103" s="242">
        <f t="shared" si="5"/>
        <v>293030.25</v>
      </c>
      <c r="BC103" s="112"/>
      <c r="BD103" s="112">
        <v>43831</v>
      </c>
    </row>
    <row r="104" spans="1:56" s="29" customFormat="1" ht="20.100000000000001" customHeight="1">
      <c r="A104" s="30" t="str">
        <f>'RESUMEN VIGILANCIA'!A108</f>
        <v>Familia Acosta Saravia</v>
      </c>
      <c r="B104" s="31" t="str">
        <f>'RESUMEN VIGILANCIA'!B108</f>
        <v>Calle Güigüe Nro. 89-10</v>
      </c>
      <c r="C104" s="429" t="s">
        <v>1316</v>
      </c>
      <c r="D104" s="436"/>
      <c r="E104" s="417" t="str">
        <f>IF(ISBLANK('RESUMEN VIGILANCIA'!D108),"",'RESUMEN VIGILANCIA'!D108)</f>
        <v/>
      </c>
      <c r="F104" s="269" t="str">
        <f>IF(ISBLANK('RESUMEN VIGILANCIA'!E108),"",'RESUMEN VIGILANCIA'!E108)</f>
        <v/>
      </c>
      <c r="G104" s="181" t="str">
        <f>IF(ISBLANK('RESUMEN VIGILANCIA'!F108),"",'RESUMEN VIGILANCIA'!F108)</f>
        <v/>
      </c>
      <c r="H104" s="181" t="str">
        <f>IF(ISBLANK('RESUMEN VIGILANCIA'!G108),"",'RESUMEN VIGILANCIA'!G108)</f>
        <v/>
      </c>
      <c r="I104" s="181" t="str">
        <f>IF(ISBLANK('RESUMEN VIGILANCIA'!H108),"",'RESUMEN VIGILANCIA'!H108)</f>
        <v/>
      </c>
      <c r="J104" s="181" t="str">
        <f>IF(ISBLANK('RESUMEN VIGILANCIA'!I108),"",'RESUMEN VIGILANCIA'!I108)</f>
        <v/>
      </c>
      <c r="K104" s="181" t="str">
        <f>IF(ISBLANK('RESUMEN VIGILANCIA'!J108),"",'RESUMEN VIGILANCIA'!J108)</f>
        <v/>
      </c>
      <c r="L104" s="181" t="str">
        <f>IF(ISBLANK('RESUMEN VIGILANCIA'!K108),"",'RESUMEN VIGILANCIA'!K108)</f>
        <v/>
      </c>
      <c r="M104" s="181" t="str">
        <f>IF(ISBLANK('RESUMEN VIGILANCIA'!L108),"",'RESUMEN VIGILANCIA'!L108)</f>
        <v/>
      </c>
      <c r="N104" s="181" t="str">
        <f>IF(ISBLANK('RESUMEN VIGILANCIA'!M108),"",'RESUMEN VIGILANCIA'!M108)</f>
        <v/>
      </c>
      <c r="O104" s="181" t="str">
        <f>IF(ISBLANK('RESUMEN VIGILANCIA'!N108),"",'RESUMEN VIGILANCIA'!N108)</f>
        <v/>
      </c>
      <c r="P104" s="270" t="str">
        <f>IF(ISBLANK('RESUMEN VIGILANCIA'!O108),"",'RESUMEN VIGILANCIA'!O108)</f>
        <v/>
      </c>
      <c r="Q104" s="179" t="str">
        <f>IF(ISBLANK('RESUMEN VIGILANCIA'!P108),"",'RESUMEN VIGILANCIA'!P108)</f>
        <v/>
      </c>
      <c r="R104" s="271" t="str">
        <f>IF(ISBLANK('RESUMEN VIGILANCIA'!Q108),"",'RESUMEN VIGILANCIA'!Q108)</f>
        <v/>
      </c>
      <c r="S104" s="270" t="str">
        <f>IF(ISBLANK('RESUMEN VIGILANCIA'!R108),"",'RESUMEN VIGILANCIA'!R108)</f>
        <v/>
      </c>
      <c r="T104" s="270" t="str">
        <f>IF(ISBLANK('RESUMEN VIGILANCIA'!S108),"",'RESUMEN VIGILANCIA'!S108)</f>
        <v/>
      </c>
      <c r="U104" s="270" t="str">
        <f>IF(ISBLANK('RESUMEN VIGILANCIA'!T108),"",'RESUMEN VIGILANCIA'!T108)</f>
        <v/>
      </c>
      <c r="V104" s="270" t="str">
        <f>IF(ISBLANK('RESUMEN VIGILANCIA'!U108),"",'RESUMEN VIGILANCIA'!U108)</f>
        <v/>
      </c>
      <c r="W104" s="270" t="str">
        <f>IF(ISBLANK('RESUMEN VIGILANCIA'!V108),"",'RESUMEN VIGILANCIA'!V108)</f>
        <v/>
      </c>
      <c r="X104" s="270" t="str">
        <f>IF(ISBLANK('RESUMEN VIGILANCIA'!W108),"",'RESUMEN VIGILANCIA'!W108)</f>
        <v/>
      </c>
      <c r="Y104" s="270" t="str">
        <f>IF(ISBLANK('RESUMEN VIGILANCIA'!X108),"",'RESUMEN VIGILANCIA'!X108)</f>
        <v/>
      </c>
      <c r="Z104" s="455" t="str">
        <f>IF(ISBLANK('RESUMEN VIGILANCIA'!Y108),"",'RESUMEN VIGILANCIA'!Y108)</f>
        <v/>
      </c>
      <c r="AA104" s="455" t="str">
        <f>IF(ISBLANK('RESUMEN VIGILANCIA'!Z108),"",'RESUMEN VIGILANCIA'!Z108)</f>
        <v/>
      </c>
      <c r="AB104" s="455" t="str">
        <f>IF(ISBLANK('RESUMEN VIGILANCIA'!AA108),"",'RESUMEN VIGILANCIA'!AA108)</f>
        <v/>
      </c>
      <c r="AC104" s="456" t="str">
        <f>IF(ISBLANK('RESUMEN VIGILANCIA'!AB108),"",'RESUMEN VIGILANCIA'!AB108)</f>
        <v/>
      </c>
      <c r="AD104" s="376" t="str">
        <f>IF(ISBLANK('RESUMEN VIGILANCIA'!AC108),"",'RESUMEN VIGILANCIA'!AC108)</f>
        <v/>
      </c>
      <c r="AE104" s="377" t="str">
        <f>IF(ISBLANK('RESUMEN VIGILANCIA'!AD108),"",'RESUMEN VIGILANCIA'!AD108)</f>
        <v/>
      </c>
      <c r="AF104" s="377" t="str">
        <f>IF(ISBLANK('RESUMEN VIGILANCIA'!AE108),"",'RESUMEN VIGILANCIA'!AE108)</f>
        <v/>
      </c>
      <c r="AG104" s="377" t="str">
        <f>IF(ISBLANK('RESUMEN VIGILANCIA'!AF108),"",'RESUMEN VIGILANCIA'!AF108)</f>
        <v/>
      </c>
      <c r="AH104" s="377" t="str">
        <f>IF(ISBLANK('RESUMEN VIGILANCIA'!AG108),"",'RESUMEN VIGILANCIA'!AG108)</f>
        <v/>
      </c>
      <c r="AI104" s="377" t="str">
        <f>IF(ISBLANK('RESUMEN VIGILANCIA'!AH108),"",'RESUMEN VIGILANCIA'!AH108)</f>
        <v/>
      </c>
      <c r="AJ104" s="377" t="str">
        <f>IF(ISBLANK('RESUMEN VIGILANCIA'!AI108),"",'RESUMEN VIGILANCIA'!AI108)</f>
        <v/>
      </c>
      <c r="AK104" s="377" t="str">
        <f>IF(ISBLANK('RESUMEN VIGILANCIA'!AJ108),"",'RESUMEN VIGILANCIA'!AJ108)</f>
        <v/>
      </c>
      <c r="AL104" s="377" t="str">
        <f>IF(ISBLANK('RESUMEN VIGILANCIA'!AK108),"",'RESUMEN VIGILANCIA'!AK108)</f>
        <v/>
      </c>
      <c r="AM104" s="377" t="str">
        <f>IF(ISBLANK('RESUMEN VIGILANCIA'!AL108),"",'RESUMEN VIGILANCIA'!AL108)</f>
        <v/>
      </c>
      <c r="AN104" s="377" t="str">
        <f>IF(ISBLANK('RESUMEN VIGILANCIA'!AM108),"",'RESUMEN VIGILANCIA'!AM108)</f>
        <v/>
      </c>
      <c r="AO104" s="378" t="str">
        <f>IF(ISBLANK('RESUMEN VIGILANCIA'!AN108),"",'RESUMEN VIGILANCIA'!AN108)</f>
        <v/>
      </c>
      <c r="AP104" s="376" t="str">
        <f>IF(ISBLANK('RESUMEN VIGILANCIA'!AO108),"",'RESUMEN VIGILANCIA'!AO108)</f>
        <v/>
      </c>
      <c r="AQ104" s="377">
        <f>IF(ISBLANK('RESUMEN VIGILANCIA'!AP108),"",'RESUMEN VIGILANCIA'!AP108)</f>
        <v>186000</v>
      </c>
      <c r="AR104" s="377">
        <f>IF(ISBLANK('RESUMEN VIGILANCIA'!AQ108),"",'RESUMEN VIGILANCIA'!AQ108)</f>
        <v>186000</v>
      </c>
      <c r="AS104" s="377">
        <f>IF(ISBLANK('RESUMEN VIGILANCIA'!AR108),"",'RESUMEN VIGILANCIA'!AR108)</f>
        <v>200000</v>
      </c>
      <c r="AT104" s="377">
        <f>IF(ISBLANK('RESUMEN VIGILANCIA'!AS108),"",'RESUMEN VIGILANCIA'!AS108)</f>
        <v>250000</v>
      </c>
      <c r="AU104" s="377" t="str">
        <f>IF(ISBLANK('RESUMEN VIGILANCIA'!AT108),"",'RESUMEN VIGILANCIA'!AT108)</f>
        <v/>
      </c>
      <c r="AV104" s="377" t="str">
        <f>IF(ISBLANK('RESUMEN VIGILANCIA'!AU108),"",'RESUMEN VIGILANCIA'!AU108)</f>
        <v/>
      </c>
      <c r="AW104" s="377" t="str">
        <f>IF(ISBLANK('RESUMEN VIGILANCIA'!AV108),"",'RESUMEN VIGILANCIA'!AV108)</f>
        <v/>
      </c>
      <c r="AX104" s="377" t="str">
        <f>IF(ISBLANK('RESUMEN VIGILANCIA'!AW108),"",'RESUMEN VIGILANCIA'!AW108)</f>
        <v/>
      </c>
      <c r="AY104" s="377" t="str">
        <f>IF(ISBLANK('RESUMEN VIGILANCIA'!AX108),"",'RESUMEN VIGILANCIA'!AX108)</f>
        <v/>
      </c>
      <c r="AZ104" s="377" t="str">
        <f>IF(ISBLANK('RESUMEN VIGILANCIA'!AY108),"",'RESUMEN VIGILANCIA'!AY108)</f>
        <v/>
      </c>
      <c r="BA104" s="378" t="str">
        <f>IF(ISBLANK('RESUMEN VIGILANCIA'!AZ108),"",'RESUMEN VIGILANCIA'!AZ108)</f>
        <v/>
      </c>
      <c r="BB104" s="242">
        <f t="shared" ref="BB104" si="9">SUM(E104:AO104)</f>
        <v>0</v>
      </c>
      <c r="BC104" s="112">
        <v>43862</v>
      </c>
      <c r="BD104" s="112"/>
    </row>
    <row r="105" spans="1:56" s="29" customFormat="1" ht="20.100000000000001" customHeight="1">
      <c r="A105" s="33" t="str">
        <f>'RESUMEN VIGILANCIA'!A109</f>
        <v>Silvia Power</v>
      </c>
      <c r="B105" s="34" t="str">
        <f>'RESUMEN VIGILANCIA'!B109</f>
        <v>Calle Güigüe Nro. 89-16</v>
      </c>
      <c r="C105" s="428" t="s">
        <v>1318</v>
      </c>
      <c r="D105" s="445" t="s">
        <v>17</v>
      </c>
      <c r="E105" s="416" t="str">
        <f>IF(ISBLANK('RESUMEN VIGILANCIA'!D109),"",'RESUMEN VIGILANCIA'!D109)</f>
        <v/>
      </c>
      <c r="F105" s="266">
        <f>IF(ISBLANK('RESUMEN VIGILANCIA'!E109),"",'RESUMEN VIGILANCIA'!E109)</f>
        <v>1.4999999999999999E-2</v>
      </c>
      <c r="G105" s="188">
        <f>IF(ISBLANK('RESUMEN VIGILANCIA'!F109),"",'RESUMEN VIGILANCIA'!F109)</f>
        <v>1.4999999999999999E-2</v>
      </c>
      <c r="H105" s="227" t="str">
        <f>IF(ISBLANK('RESUMEN VIGILANCIA'!G109),"",'RESUMEN VIGILANCIA'!G109)</f>
        <v>ü</v>
      </c>
      <c r="I105" s="227" t="str">
        <f>IF(ISBLANK('RESUMEN VIGILANCIA'!H109),"",'RESUMEN VIGILANCIA'!H109)</f>
        <v>ü</v>
      </c>
      <c r="J105" s="227" t="str">
        <f>IF(ISBLANK('RESUMEN VIGILANCIA'!I109),"",'RESUMEN VIGILANCIA'!I109)</f>
        <v>ü</v>
      </c>
      <c r="K105" s="227" t="str">
        <f>IF(ISBLANK('RESUMEN VIGILANCIA'!J109),"",'RESUMEN VIGILANCIA'!J109)</f>
        <v>ü</v>
      </c>
      <c r="L105" s="227" t="str">
        <f>IF(ISBLANK('RESUMEN VIGILANCIA'!K109),"",'RESUMEN VIGILANCIA'!K109)</f>
        <v>ü</v>
      </c>
      <c r="M105" s="227" t="str">
        <f>IF(ISBLANK('RESUMEN VIGILANCIA'!L109),"",'RESUMEN VIGILANCIA'!L109)</f>
        <v>ü</v>
      </c>
      <c r="N105" s="227" t="str">
        <f>IF(ISBLANK('RESUMEN VIGILANCIA'!M109),"",'RESUMEN VIGILANCIA'!M109)</f>
        <v>ü</v>
      </c>
      <c r="O105" s="227" t="str">
        <f>IF(ISBLANK('RESUMEN VIGILANCIA'!N109),"",'RESUMEN VIGILANCIA'!N109)</f>
        <v>ü</v>
      </c>
      <c r="P105" s="287" t="str">
        <f>IF(ISBLANK('RESUMEN VIGILANCIA'!O109),"",'RESUMEN VIGILANCIA'!O109)</f>
        <v>ü</v>
      </c>
      <c r="Q105" s="228" t="str">
        <f>IF(ISBLANK('RESUMEN VIGILANCIA'!P109),"",'RESUMEN VIGILANCIA'!P109)</f>
        <v>ü</v>
      </c>
      <c r="R105" s="288" t="str">
        <f>IF(ISBLANK('RESUMEN VIGILANCIA'!Q109),"",'RESUMEN VIGILANCIA'!Q109)</f>
        <v>ü</v>
      </c>
      <c r="S105" s="267">
        <f>IF(ISBLANK('RESUMEN VIGILANCIA'!R109),"",'RESUMEN VIGILANCIA'!R109)</f>
        <v>0.8</v>
      </c>
      <c r="T105" s="267">
        <f>IF(ISBLANK('RESUMEN VIGILANCIA'!S109),"",'RESUMEN VIGILANCIA'!S109)</f>
        <v>1.4</v>
      </c>
      <c r="U105" s="267">
        <f>IF(ISBLANK('RESUMEN VIGILANCIA'!T109),"",'RESUMEN VIGILANCIA'!T109)</f>
        <v>1.4</v>
      </c>
      <c r="V105" s="267">
        <f>IF(ISBLANK('RESUMEN VIGILANCIA'!U109),"",'RESUMEN VIGILANCIA'!U109)</f>
        <v>2</v>
      </c>
      <c r="W105" s="267">
        <f>IF(ISBLANK('RESUMEN VIGILANCIA'!V109),"",'RESUMEN VIGILANCIA'!V109)</f>
        <v>4.25</v>
      </c>
      <c r="X105" s="267">
        <f>IF(ISBLANK('RESUMEN VIGILANCIA'!W109),"",'RESUMEN VIGILANCIA'!W109)</f>
        <v>10</v>
      </c>
      <c r="Y105" s="267" t="str">
        <f>IF(ISBLANK('RESUMEN VIGILANCIA'!X109),"",'RESUMEN VIGILANCIA'!X109)</f>
        <v/>
      </c>
      <c r="Z105" s="459" t="str">
        <f>IF(ISBLANK('RESUMEN VIGILANCIA'!Y109),"",'RESUMEN VIGILANCIA'!Y109)</f>
        <v/>
      </c>
      <c r="AA105" s="459" t="str">
        <f>IF(ISBLANK('RESUMEN VIGILANCIA'!Z109),"",'RESUMEN VIGILANCIA'!Z109)</f>
        <v/>
      </c>
      <c r="AB105" s="459" t="str">
        <f>IF(ISBLANK('RESUMEN VIGILANCIA'!AA109),"",'RESUMEN VIGILANCIA'!AA109)</f>
        <v/>
      </c>
      <c r="AC105" s="460" t="str">
        <f>IF(ISBLANK('RESUMEN VIGILANCIA'!AB109),"",'RESUMEN VIGILANCIA'!AB109)</f>
        <v/>
      </c>
      <c r="AD105" s="373" t="str">
        <f>IF(ISBLANK('RESUMEN VIGILANCIA'!AC109),"",'RESUMEN VIGILANCIA'!AC109)</f>
        <v/>
      </c>
      <c r="AE105" s="374" t="str">
        <f>IF(ISBLANK('RESUMEN VIGILANCIA'!AD109),"",'RESUMEN VIGILANCIA'!AD109)</f>
        <v/>
      </c>
      <c r="AF105" s="374" t="str">
        <f>IF(ISBLANK('RESUMEN VIGILANCIA'!AE109),"",'RESUMEN VIGILANCIA'!AE109)</f>
        <v/>
      </c>
      <c r="AG105" s="374">
        <f>IF(ISBLANK('RESUMEN VIGILANCIA'!AF109),"",'RESUMEN VIGILANCIA'!AF109)</f>
        <v>5000</v>
      </c>
      <c r="AH105" s="374">
        <f>IF(ISBLANK('RESUMEN VIGILANCIA'!AG109),"",'RESUMEN VIGILANCIA'!AG109)</f>
        <v>5000</v>
      </c>
      <c r="AI105" s="374">
        <f>IF(ISBLANK('RESUMEN VIGILANCIA'!AH109),"",'RESUMEN VIGILANCIA'!AH109)</f>
        <v>5000</v>
      </c>
      <c r="AJ105" s="374">
        <f>IF(ISBLANK('RESUMEN VIGILANCIA'!AI109),"",'RESUMEN VIGILANCIA'!AI109)</f>
        <v>5000</v>
      </c>
      <c r="AK105" s="374">
        <f>IF(ISBLANK('RESUMEN VIGILANCIA'!AJ109),"",'RESUMEN VIGILANCIA'!AJ109)</f>
        <v>5000</v>
      </c>
      <c r="AL105" s="374">
        <f>IF(ISBLANK('RESUMEN VIGILANCIA'!AK109),"",'RESUMEN VIGILANCIA'!AK109)</f>
        <v>3500</v>
      </c>
      <c r="AM105" s="374">
        <f>IF(ISBLANK('RESUMEN VIGILANCIA'!AL109),"",'RESUMEN VIGILANCIA'!AL109)</f>
        <v>16000</v>
      </c>
      <c r="AN105" s="374">
        <f>IF(ISBLANK('RESUMEN VIGILANCIA'!AM109),"",'RESUMEN VIGILANCIA'!AM109)</f>
        <v>17000</v>
      </c>
      <c r="AO105" s="375">
        <f>IF(ISBLANK('RESUMEN VIGILANCIA'!AN109),"",'RESUMEN VIGILANCIA'!AN109)</f>
        <v>17000</v>
      </c>
      <c r="AP105" s="373">
        <f>IF(ISBLANK('RESUMEN VIGILANCIA'!AO109),"",'RESUMEN VIGILANCIA'!AO109)</f>
        <v>91400</v>
      </c>
      <c r="AQ105" s="374">
        <f>IF(ISBLANK('RESUMEN VIGILANCIA'!AP109),"",'RESUMEN VIGILANCIA'!AP109)</f>
        <v>91400</v>
      </c>
      <c r="AR105" s="374" t="str">
        <f>IF(ISBLANK('RESUMEN VIGILANCIA'!AQ109),"",'RESUMEN VIGILANCIA'!AQ109)</f>
        <v/>
      </c>
      <c r="AS105" s="374" t="str">
        <f>IF(ISBLANK('RESUMEN VIGILANCIA'!AR109),"",'RESUMEN VIGILANCIA'!AR109)</f>
        <v/>
      </c>
      <c r="AT105" s="374" t="str">
        <f>IF(ISBLANK('RESUMEN VIGILANCIA'!AS109),"",'RESUMEN VIGILANCIA'!AS109)</f>
        <v/>
      </c>
      <c r="AU105" s="374" t="str">
        <f>IF(ISBLANK('RESUMEN VIGILANCIA'!AT109),"",'RESUMEN VIGILANCIA'!AT109)</f>
        <v/>
      </c>
      <c r="AV105" s="374" t="str">
        <f>IF(ISBLANK('RESUMEN VIGILANCIA'!AU109),"",'RESUMEN VIGILANCIA'!AU109)</f>
        <v/>
      </c>
      <c r="AW105" s="374" t="str">
        <f>IF(ISBLANK('RESUMEN VIGILANCIA'!AV109),"",'RESUMEN VIGILANCIA'!AV109)</f>
        <v/>
      </c>
      <c r="AX105" s="374" t="str">
        <f>IF(ISBLANK('RESUMEN VIGILANCIA'!AW109),"",'RESUMEN VIGILANCIA'!AW109)</f>
        <v/>
      </c>
      <c r="AY105" s="374" t="str">
        <f>IF(ISBLANK('RESUMEN VIGILANCIA'!AX109),"",'RESUMEN VIGILANCIA'!AX109)</f>
        <v/>
      </c>
      <c r="AZ105" s="374" t="str">
        <f>IF(ISBLANK('RESUMEN VIGILANCIA'!AY109),"",'RESUMEN VIGILANCIA'!AY109)</f>
        <v/>
      </c>
      <c r="BA105" s="375" t="str">
        <f>IF(ISBLANK('RESUMEN VIGILANCIA'!AZ109),"",'RESUMEN VIGILANCIA'!AZ109)</f>
        <v/>
      </c>
      <c r="BB105" s="241">
        <f t="shared" ref="BB105:BB139" si="10">SUM(E105:AO105)</f>
        <v>78519.88</v>
      </c>
      <c r="BC105" s="111"/>
      <c r="BD105" s="111"/>
    </row>
    <row r="106" spans="1:56" s="29" customFormat="1" ht="20.100000000000001" customHeight="1">
      <c r="A106" s="33" t="str">
        <f>'RESUMEN VIGILANCIA'!A110</f>
        <v>Mibzar Cárdenas</v>
      </c>
      <c r="B106" s="34" t="str">
        <f>'RESUMEN VIGILANCIA'!B110</f>
        <v>Calle Güigüe Nro. 89-16</v>
      </c>
      <c r="C106" s="428" t="s">
        <v>1320</v>
      </c>
      <c r="D106" s="445" t="s">
        <v>17</v>
      </c>
      <c r="E106" s="416" t="str">
        <f>IF(ISBLANK('RESUMEN VIGILANCIA'!D110),"",'RESUMEN VIGILANCIA'!D110)</f>
        <v/>
      </c>
      <c r="F106" s="266" t="str">
        <f>IF(ISBLANK('RESUMEN VIGILANCIA'!E110),"",'RESUMEN VIGILANCIA'!E110)</f>
        <v/>
      </c>
      <c r="G106" s="188" t="str">
        <f>IF(ISBLANK('RESUMEN VIGILANCIA'!F110),"",'RESUMEN VIGILANCIA'!F110)</f>
        <v/>
      </c>
      <c r="H106" s="227" t="str">
        <f>IF(ISBLANK('RESUMEN VIGILANCIA'!G110),"",'RESUMEN VIGILANCIA'!G110)</f>
        <v/>
      </c>
      <c r="I106" s="227" t="str">
        <f>IF(ISBLANK('RESUMEN VIGILANCIA'!H110),"",'RESUMEN VIGILANCIA'!H110)</f>
        <v/>
      </c>
      <c r="J106" s="227" t="str">
        <f>IF(ISBLANK('RESUMEN VIGILANCIA'!I110),"",'RESUMEN VIGILANCIA'!I110)</f>
        <v/>
      </c>
      <c r="K106" s="227" t="str">
        <f>IF(ISBLANK('RESUMEN VIGILANCIA'!J110),"",'RESUMEN VIGILANCIA'!J110)</f>
        <v/>
      </c>
      <c r="L106" s="227" t="str">
        <f>IF(ISBLANK('RESUMEN VIGILANCIA'!K110),"",'RESUMEN VIGILANCIA'!K110)</f>
        <v/>
      </c>
      <c r="M106" s="227" t="str">
        <f>IF(ISBLANK('RESUMEN VIGILANCIA'!L110),"",'RESUMEN VIGILANCIA'!L110)</f>
        <v/>
      </c>
      <c r="N106" s="227" t="str">
        <f>IF(ISBLANK('RESUMEN VIGILANCIA'!M110),"",'RESUMEN VIGILANCIA'!M110)</f>
        <v/>
      </c>
      <c r="O106" s="227" t="str">
        <f>IF(ISBLANK('RESUMEN VIGILANCIA'!N110),"",'RESUMEN VIGILANCIA'!N110)</f>
        <v/>
      </c>
      <c r="P106" s="287" t="str">
        <f>IF(ISBLANK('RESUMEN VIGILANCIA'!O110),"",'RESUMEN VIGILANCIA'!O110)</f>
        <v/>
      </c>
      <c r="Q106" s="228" t="str">
        <f>IF(ISBLANK('RESUMEN VIGILANCIA'!P110),"",'RESUMEN VIGILANCIA'!P110)</f>
        <v/>
      </c>
      <c r="R106" s="288" t="str">
        <f>IF(ISBLANK('RESUMEN VIGILANCIA'!Q110),"",'RESUMEN VIGILANCIA'!Q110)</f>
        <v/>
      </c>
      <c r="S106" s="267" t="str">
        <f>IF(ISBLANK('RESUMEN VIGILANCIA'!R110),"",'RESUMEN VIGILANCIA'!R110)</f>
        <v/>
      </c>
      <c r="T106" s="267" t="str">
        <f>IF(ISBLANK('RESUMEN VIGILANCIA'!S110),"",'RESUMEN VIGILANCIA'!S110)</f>
        <v/>
      </c>
      <c r="U106" s="267" t="str">
        <f>IF(ISBLANK('RESUMEN VIGILANCIA'!T110),"",'RESUMEN VIGILANCIA'!T110)</f>
        <v/>
      </c>
      <c r="V106" s="267" t="str">
        <f>IF(ISBLANK('RESUMEN VIGILANCIA'!U110),"",'RESUMEN VIGILANCIA'!U110)</f>
        <v/>
      </c>
      <c r="W106" s="267" t="str">
        <f>IF(ISBLANK('RESUMEN VIGILANCIA'!V110),"",'RESUMEN VIGILANCIA'!V110)</f>
        <v/>
      </c>
      <c r="X106" s="267" t="str">
        <f>IF(ISBLANK('RESUMEN VIGILANCIA'!W110),"",'RESUMEN VIGILANCIA'!W110)</f>
        <v/>
      </c>
      <c r="Y106" s="267" t="str">
        <f>IF(ISBLANK('RESUMEN VIGILANCIA'!X110),"",'RESUMEN VIGILANCIA'!X110)</f>
        <v/>
      </c>
      <c r="Z106" s="459" t="str">
        <f>IF(ISBLANK('RESUMEN VIGILANCIA'!Y110),"",'RESUMEN VIGILANCIA'!Y110)</f>
        <v/>
      </c>
      <c r="AA106" s="459" t="str">
        <f>IF(ISBLANK('RESUMEN VIGILANCIA'!Z110),"",'RESUMEN VIGILANCIA'!Z110)</f>
        <v/>
      </c>
      <c r="AB106" s="459" t="str">
        <f>IF(ISBLANK('RESUMEN VIGILANCIA'!AA110),"",'RESUMEN VIGILANCIA'!AA110)</f>
        <v/>
      </c>
      <c r="AC106" s="460" t="str">
        <f>IF(ISBLANK('RESUMEN VIGILANCIA'!AB110),"",'RESUMEN VIGILANCIA'!AB110)</f>
        <v/>
      </c>
      <c r="AD106" s="373" t="str">
        <f>IF(ISBLANK('RESUMEN VIGILANCIA'!AC110),"",'RESUMEN VIGILANCIA'!AC110)</f>
        <v/>
      </c>
      <c r="AE106" s="374" t="str">
        <f>IF(ISBLANK('RESUMEN VIGILANCIA'!AD110),"",'RESUMEN VIGILANCIA'!AD110)</f>
        <v/>
      </c>
      <c r="AF106" s="374" t="str">
        <f>IF(ISBLANK('RESUMEN VIGILANCIA'!AE110),"",'RESUMEN VIGILANCIA'!AE110)</f>
        <v/>
      </c>
      <c r="AG106" s="374" t="str">
        <f>IF(ISBLANK('RESUMEN VIGILANCIA'!AF110),"",'RESUMEN VIGILANCIA'!AF110)</f>
        <v/>
      </c>
      <c r="AH106" s="374" t="str">
        <f>IF(ISBLANK('RESUMEN VIGILANCIA'!AG110),"",'RESUMEN VIGILANCIA'!AG110)</f>
        <v/>
      </c>
      <c r="AI106" s="374" t="str">
        <f>IF(ISBLANK('RESUMEN VIGILANCIA'!AH110),"",'RESUMEN VIGILANCIA'!AH110)</f>
        <v/>
      </c>
      <c r="AJ106" s="374" t="str">
        <f>IF(ISBLANK('RESUMEN VIGILANCIA'!AI110),"",'RESUMEN VIGILANCIA'!AI110)</f>
        <v/>
      </c>
      <c r="AK106" s="374" t="str">
        <f>IF(ISBLANK('RESUMEN VIGILANCIA'!AJ110),"",'RESUMEN VIGILANCIA'!AJ110)</f>
        <v/>
      </c>
      <c r="AL106" s="374" t="str">
        <f>IF(ISBLANK('RESUMEN VIGILANCIA'!AK110),"",'RESUMEN VIGILANCIA'!AK110)</f>
        <v/>
      </c>
      <c r="AM106" s="374" t="str">
        <f>IF(ISBLANK('RESUMEN VIGILANCIA'!AL110),"",'RESUMEN VIGILANCIA'!AL110)</f>
        <v/>
      </c>
      <c r="AN106" s="374" t="str">
        <f>IF(ISBLANK('RESUMEN VIGILANCIA'!AM110),"",'RESUMEN VIGILANCIA'!AM110)</f>
        <v/>
      </c>
      <c r="AO106" s="375" t="str">
        <f>IF(ISBLANK('RESUMEN VIGILANCIA'!AN110),"",'RESUMEN VIGILANCIA'!AN110)</f>
        <v/>
      </c>
      <c r="AP106" s="373" t="str">
        <f>IF(ISBLANK('RESUMEN VIGILANCIA'!AO110),"",'RESUMEN VIGILANCIA'!AO110)</f>
        <v/>
      </c>
      <c r="AQ106" s="374" t="str">
        <f>IF(ISBLANK('RESUMEN VIGILANCIA'!AP110),"",'RESUMEN VIGILANCIA'!AP110)</f>
        <v/>
      </c>
      <c r="AR106" s="374" t="str">
        <f>IF(ISBLANK('RESUMEN VIGILANCIA'!AQ110),"",'RESUMEN VIGILANCIA'!AQ110)</f>
        <v/>
      </c>
      <c r="AS106" s="374" t="str">
        <f>IF(ISBLANK('RESUMEN VIGILANCIA'!AR110),"",'RESUMEN VIGILANCIA'!AR110)</f>
        <v/>
      </c>
      <c r="AT106" s="374" t="str">
        <f>IF(ISBLANK('RESUMEN VIGILANCIA'!AS110),"",'RESUMEN VIGILANCIA'!AS110)</f>
        <v/>
      </c>
      <c r="AU106" s="374" t="str">
        <f>IF(ISBLANK('RESUMEN VIGILANCIA'!AT110),"",'RESUMEN VIGILANCIA'!AT110)</f>
        <v/>
      </c>
      <c r="AV106" s="374" t="str">
        <f>IF(ISBLANK('RESUMEN VIGILANCIA'!AU110),"",'RESUMEN VIGILANCIA'!AU110)</f>
        <v/>
      </c>
      <c r="AW106" s="374" t="str">
        <f>IF(ISBLANK('RESUMEN VIGILANCIA'!AV110),"",'RESUMEN VIGILANCIA'!AV110)</f>
        <v/>
      </c>
      <c r="AX106" s="374" t="str">
        <f>IF(ISBLANK('RESUMEN VIGILANCIA'!AW110),"",'RESUMEN VIGILANCIA'!AW110)</f>
        <v/>
      </c>
      <c r="AY106" s="374" t="str">
        <f>IF(ISBLANK('RESUMEN VIGILANCIA'!AX110),"",'RESUMEN VIGILANCIA'!AX110)</f>
        <v/>
      </c>
      <c r="AZ106" s="374" t="str">
        <f>IF(ISBLANK('RESUMEN VIGILANCIA'!AY110),"",'RESUMEN VIGILANCIA'!AY110)</f>
        <v/>
      </c>
      <c r="BA106" s="375" t="str">
        <f>IF(ISBLANK('RESUMEN VIGILANCIA'!AZ110),"",'RESUMEN VIGILANCIA'!AZ110)</f>
        <v/>
      </c>
      <c r="BB106" s="241">
        <f t="shared" ref="BB106" si="11">SUM(E106:AO106)</f>
        <v>0</v>
      </c>
      <c r="BC106" s="446"/>
      <c r="BD106" s="111"/>
    </row>
    <row r="107" spans="1:56" s="29" customFormat="1" ht="20.100000000000001" customHeight="1">
      <c r="A107" s="30" t="str">
        <f>'RESUMEN VIGILANCIA'!A115</f>
        <v>Familia Molina Estopiñán</v>
      </c>
      <c r="B107" s="31" t="str">
        <f>'RESUMEN VIGILANCIA'!B115</f>
        <v>Calle Güigüe Nro. 89-30</v>
      </c>
      <c r="C107" s="429" t="s">
        <v>1320</v>
      </c>
      <c r="D107" s="444" t="s">
        <v>17</v>
      </c>
      <c r="E107" s="417" t="str">
        <f>IF(ISBLANK('RESUMEN VIGILANCIA'!D115),"",'RESUMEN VIGILANCIA'!D115)</f>
        <v/>
      </c>
      <c r="F107" s="269" t="str">
        <f>IF(ISBLANK('RESUMEN VIGILANCIA'!E115),"",'RESUMEN VIGILANCIA'!E115)</f>
        <v/>
      </c>
      <c r="G107" s="181" t="str">
        <f>IF(ISBLANK('RESUMEN VIGILANCIA'!F115),"",'RESUMEN VIGILANCIA'!F115)</f>
        <v/>
      </c>
      <c r="H107" s="181" t="str">
        <f>IF(ISBLANK('RESUMEN VIGILANCIA'!G115),"",'RESUMEN VIGILANCIA'!G115)</f>
        <v/>
      </c>
      <c r="I107" s="181" t="str">
        <f>IF(ISBLANK('RESUMEN VIGILANCIA'!H115),"",'RESUMEN VIGILANCIA'!H115)</f>
        <v/>
      </c>
      <c r="J107" s="181" t="str">
        <f>IF(ISBLANK('RESUMEN VIGILANCIA'!I115),"",'RESUMEN VIGILANCIA'!I115)</f>
        <v/>
      </c>
      <c r="K107" s="181" t="str">
        <f>IF(ISBLANK('RESUMEN VIGILANCIA'!J115),"",'RESUMEN VIGILANCIA'!J115)</f>
        <v/>
      </c>
      <c r="L107" s="181" t="str">
        <f>IF(ISBLANK('RESUMEN VIGILANCIA'!K115),"",'RESUMEN VIGILANCIA'!K115)</f>
        <v/>
      </c>
      <c r="M107" s="181" t="str">
        <f>IF(ISBLANK('RESUMEN VIGILANCIA'!L115),"",'RESUMEN VIGILANCIA'!L115)</f>
        <v/>
      </c>
      <c r="N107" s="181" t="str">
        <f>IF(ISBLANK('RESUMEN VIGILANCIA'!M115),"",'RESUMEN VIGILANCIA'!M115)</f>
        <v/>
      </c>
      <c r="O107" s="181" t="str">
        <f>IF(ISBLANK('RESUMEN VIGILANCIA'!N115),"",'RESUMEN VIGILANCIA'!N115)</f>
        <v/>
      </c>
      <c r="P107" s="270" t="str">
        <f>IF(ISBLANK('RESUMEN VIGILANCIA'!O115),"",'RESUMEN VIGILANCIA'!O115)</f>
        <v/>
      </c>
      <c r="Q107" s="179" t="str">
        <f>IF(ISBLANK('RESUMEN VIGILANCIA'!P115),"",'RESUMEN VIGILANCIA'!P115)</f>
        <v/>
      </c>
      <c r="R107" s="271" t="str">
        <f>IF(ISBLANK('RESUMEN VIGILANCIA'!Q115),"",'RESUMEN VIGILANCIA'!Q115)</f>
        <v/>
      </c>
      <c r="S107" s="270" t="str">
        <f>IF(ISBLANK('RESUMEN VIGILANCIA'!R115),"",'RESUMEN VIGILANCIA'!R115)</f>
        <v/>
      </c>
      <c r="T107" s="270" t="str">
        <f>IF(ISBLANK('RESUMEN VIGILANCIA'!S115),"",'RESUMEN VIGILANCIA'!S115)</f>
        <v/>
      </c>
      <c r="U107" s="270" t="str">
        <f>IF(ISBLANK('RESUMEN VIGILANCIA'!T115),"",'RESUMEN VIGILANCIA'!T115)</f>
        <v/>
      </c>
      <c r="V107" s="270" t="str">
        <f>IF(ISBLANK('RESUMEN VIGILANCIA'!U115),"",'RESUMEN VIGILANCIA'!U115)</f>
        <v/>
      </c>
      <c r="W107" s="270" t="str">
        <f>IF(ISBLANK('RESUMEN VIGILANCIA'!V115),"",'RESUMEN VIGILANCIA'!V115)</f>
        <v/>
      </c>
      <c r="X107" s="270" t="str">
        <f>IF(ISBLANK('RESUMEN VIGILANCIA'!W115),"",'RESUMEN VIGILANCIA'!W115)</f>
        <v/>
      </c>
      <c r="Y107" s="270" t="str">
        <f>IF(ISBLANK('RESUMEN VIGILANCIA'!X115),"",'RESUMEN VIGILANCIA'!X115)</f>
        <v/>
      </c>
      <c r="Z107" s="455" t="str">
        <f>IF(ISBLANK('RESUMEN VIGILANCIA'!Y115),"",'RESUMEN VIGILANCIA'!Y115)</f>
        <v/>
      </c>
      <c r="AA107" s="455" t="str">
        <f>IF(ISBLANK('RESUMEN VIGILANCIA'!Z115),"",'RESUMEN VIGILANCIA'!Z115)</f>
        <v/>
      </c>
      <c r="AB107" s="455" t="str">
        <f>IF(ISBLANK('RESUMEN VIGILANCIA'!AA115),"",'RESUMEN VIGILANCIA'!AA115)</f>
        <v/>
      </c>
      <c r="AC107" s="456" t="str">
        <f>IF(ISBLANK('RESUMEN VIGILANCIA'!AB115),"",'RESUMEN VIGILANCIA'!AB115)</f>
        <v/>
      </c>
      <c r="AD107" s="376" t="str">
        <f>IF(ISBLANK('RESUMEN VIGILANCIA'!AC115),"",'RESUMEN VIGILANCIA'!AC115)</f>
        <v/>
      </c>
      <c r="AE107" s="377" t="str">
        <f>IF(ISBLANK('RESUMEN VIGILANCIA'!AD115),"",'RESUMEN VIGILANCIA'!AD115)</f>
        <v/>
      </c>
      <c r="AF107" s="377" t="str">
        <f>IF(ISBLANK('RESUMEN VIGILANCIA'!AE115),"",'RESUMEN VIGILANCIA'!AE115)</f>
        <v/>
      </c>
      <c r="AG107" s="377" t="str">
        <f>IF(ISBLANK('RESUMEN VIGILANCIA'!AF115),"",'RESUMEN VIGILANCIA'!AF115)</f>
        <v/>
      </c>
      <c r="AH107" s="377" t="str">
        <f>IF(ISBLANK('RESUMEN VIGILANCIA'!AG115),"",'RESUMEN VIGILANCIA'!AG115)</f>
        <v/>
      </c>
      <c r="AI107" s="377" t="str">
        <f>IF(ISBLANK('RESUMEN VIGILANCIA'!AH115),"",'RESUMEN VIGILANCIA'!AH115)</f>
        <v/>
      </c>
      <c r="AJ107" s="377" t="str">
        <f>IF(ISBLANK('RESUMEN VIGILANCIA'!AI115),"",'RESUMEN VIGILANCIA'!AI115)</f>
        <v/>
      </c>
      <c r="AK107" s="377" t="str">
        <f>IF(ISBLANK('RESUMEN VIGILANCIA'!AJ115),"",'RESUMEN VIGILANCIA'!AJ115)</f>
        <v/>
      </c>
      <c r="AL107" s="377" t="str">
        <f>IF(ISBLANK('RESUMEN VIGILANCIA'!AK115),"",'RESUMEN VIGILANCIA'!AK115)</f>
        <v/>
      </c>
      <c r="AM107" s="377" t="str">
        <f>IF(ISBLANK('RESUMEN VIGILANCIA'!AL115),"",'RESUMEN VIGILANCIA'!AL115)</f>
        <v/>
      </c>
      <c r="AN107" s="377" t="str">
        <f>IF(ISBLANK('RESUMEN VIGILANCIA'!AM115),"",'RESUMEN VIGILANCIA'!AM115)</f>
        <v/>
      </c>
      <c r="AO107" s="378" t="str">
        <f>IF(ISBLANK('RESUMEN VIGILANCIA'!AN115),"",'RESUMEN VIGILANCIA'!AN115)</f>
        <v/>
      </c>
      <c r="AP107" s="376" t="str">
        <f>IF(ISBLANK('RESUMEN VIGILANCIA'!AO115),"",'RESUMEN VIGILANCIA'!AO115)</f>
        <v/>
      </c>
      <c r="AQ107" s="377" t="str">
        <f>IF(ISBLANK('RESUMEN VIGILANCIA'!AP115),"",'RESUMEN VIGILANCIA'!AP115)</f>
        <v/>
      </c>
      <c r="AR107" s="377" t="str">
        <f>IF(ISBLANK('RESUMEN VIGILANCIA'!AQ115),"",'RESUMEN VIGILANCIA'!AQ115)</f>
        <v/>
      </c>
      <c r="AS107" s="377" t="str">
        <f>IF(ISBLANK('RESUMEN VIGILANCIA'!AR115),"",'RESUMEN VIGILANCIA'!AR115)</f>
        <v/>
      </c>
      <c r="AT107" s="377" t="str">
        <f>IF(ISBLANK('RESUMEN VIGILANCIA'!AS115),"",'RESUMEN VIGILANCIA'!AS115)</f>
        <v/>
      </c>
      <c r="AU107" s="377" t="str">
        <f>IF(ISBLANK('RESUMEN VIGILANCIA'!AT115),"",'RESUMEN VIGILANCIA'!AT115)</f>
        <v/>
      </c>
      <c r="AV107" s="377" t="str">
        <f>IF(ISBLANK('RESUMEN VIGILANCIA'!AU115),"",'RESUMEN VIGILANCIA'!AU115)</f>
        <v/>
      </c>
      <c r="AW107" s="377" t="str">
        <f>IF(ISBLANK('RESUMEN VIGILANCIA'!AV115),"",'RESUMEN VIGILANCIA'!AV115)</f>
        <v/>
      </c>
      <c r="AX107" s="377" t="str">
        <f>IF(ISBLANK('RESUMEN VIGILANCIA'!AW115),"",'RESUMEN VIGILANCIA'!AW115)</f>
        <v/>
      </c>
      <c r="AY107" s="377" t="str">
        <f>IF(ISBLANK('RESUMEN VIGILANCIA'!AX115),"",'RESUMEN VIGILANCIA'!AX115)</f>
        <v/>
      </c>
      <c r="AZ107" s="377" t="str">
        <f>IF(ISBLANK('RESUMEN VIGILANCIA'!AY115),"",'RESUMEN VIGILANCIA'!AY115)</f>
        <v/>
      </c>
      <c r="BA107" s="378" t="str">
        <f>IF(ISBLANK('RESUMEN VIGILANCIA'!AZ115),"",'RESUMEN VIGILANCIA'!AZ115)</f>
        <v/>
      </c>
      <c r="BB107" s="242">
        <f t="shared" si="10"/>
        <v>0</v>
      </c>
      <c r="BC107" s="112"/>
      <c r="BD107" s="112"/>
    </row>
    <row r="108" spans="1:56" s="29" customFormat="1" ht="20.100000000000001" customHeight="1">
      <c r="A108" s="33" t="str">
        <f>'RESUMEN VIGILANCIA'!A116</f>
        <v>Familia Sirit Palencia</v>
      </c>
      <c r="B108" s="34" t="str">
        <f>'RESUMEN VIGILANCIA'!B116</f>
        <v>Calle Güigüe Nro. 89-35</v>
      </c>
      <c r="C108" s="428" t="s">
        <v>1318</v>
      </c>
      <c r="D108" s="437" t="s">
        <v>1315</v>
      </c>
      <c r="E108" s="416" t="str">
        <f>IF(ISBLANK('RESUMEN VIGILANCIA'!D116),"",'RESUMEN VIGILANCIA'!D116)</f>
        <v/>
      </c>
      <c r="F108" s="266" t="str">
        <f>IF(ISBLANK('RESUMEN VIGILANCIA'!E116),"",'RESUMEN VIGILANCIA'!E116)</f>
        <v/>
      </c>
      <c r="G108" s="188" t="str">
        <f>IF(ISBLANK('RESUMEN VIGILANCIA'!F116),"",'RESUMEN VIGILANCIA'!F116)</f>
        <v/>
      </c>
      <c r="H108" s="188" t="str">
        <f>IF(ISBLANK('RESUMEN VIGILANCIA'!G116),"",'RESUMEN VIGILANCIA'!G116)</f>
        <v/>
      </c>
      <c r="I108" s="188">
        <f>IF(ISBLANK('RESUMEN VIGILANCIA'!H116),"",'RESUMEN VIGILANCIA'!H116)</f>
        <v>0.05</v>
      </c>
      <c r="J108" s="188" t="str">
        <f>IF(ISBLANK('RESUMEN VIGILANCIA'!I116),"",'RESUMEN VIGILANCIA'!I116)</f>
        <v/>
      </c>
      <c r="K108" s="188" t="str">
        <f>IF(ISBLANK('RESUMEN VIGILANCIA'!J116),"",'RESUMEN VIGILANCIA'!J116)</f>
        <v/>
      </c>
      <c r="L108" s="188" t="str">
        <f>IF(ISBLANK('RESUMEN VIGILANCIA'!K116),"",'RESUMEN VIGILANCIA'!K116)</f>
        <v/>
      </c>
      <c r="M108" s="188">
        <f>IF(ISBLANK('RESUMEN VIGILANCIA'!L116),"",'RESUMEN VIGILANCIA'!L116)</f>
        <v>0.1</v>
      </c>
      <c r="N108" s="188">
        <f>IF(ISBLANK('RESUMEN VIGILANCIA'!M116),"",'RESUMEN VIGILANCIA'!M116)</f>
        <v>0.1</v>
      </c>
      <c r="O108" s="188" t="str">
        <f>IF(ISBLANK('RESUMEN VIGILANCIA'!N116),"",'RESUMEN VIGILANCIA'!N116)</f>
        <v/>
      </c>
      <c r="P108" s="267" t="str">
        <f>IF(ISBLANK('RESUMEN VIGILANCIA'!O116),"",'RESUMEN VIGILANCIA'!O116)</f>
        <v/>
      </c>
      <c r="Q108" s="186" t="str">
        <f>IF(ISBLANK('RESUMEN VIGILANCIA'!P116),"",'RESUMEN VIGILANCIA'!P116)</f>
        <v/>
      </c>
      <c r="R108" s="268" t="str">
        <f>IF(ISBLANK('RESUMEN VIGILANCIA'!Q116),"",'RESUMEN VIGILANCIA'!Q116)</f>
        <v/>
      </c>
      <c r="S108" s="267" t="str">
        <f>IF(ISBLANK('RESUMEN VIGILANCIA'!R116),"",'RESUMEN VIGILANCIA'!R116)</f>
        <v/>
      </c>
      <c r="T108" s="267" t="str">
        <f>IF(ISBLANK('RESUMEN VIGILANCIA'!S116),"",'RESUMEN VIGILANCIA'!S116)</f>
        <v/>
      </c>
      <c r="U108" s="267" t="str">
        <f>IF(ISBLANK('RESUMEN VIGILANCIA'!T116),"",'RESUMEN VIGILANCIA'!T116)</f>
        <v/>
      </c>
      <c r="V108" s="267" t="str">
        <f>IF(ISBLANK('RESUMEN VIGILANCIA'!U116),"",'RESUMEN VIGILANCIA'!U116)</f>
        <v/>
      </c>
      <c r="W108" s="267" t="str">
        <f>IF(ISBLANK('RESUMEN VIGILANCIA'!V116),"",'RESUMEN VIGILANCIA'!V116)</f>
        <v/>
      </c>
      <c r="X108" s="267">
        <f>IF(ISBLANK('RESUMEN VIGILANCIA'!W116),"",'RESUMEN VIGILANCIA'!W116)</f>
        <v>5</v>
      </c>
      <c r="Y108" s="267" t="str">
        <f>IF(ISBLANK('RESUMEN VIGILANCIA'!X116),"",'RESUMEN VIGILANCIA'!X116)</f>
        <v/>
      </c>
      <c r="Z108" s="459" t="str">
        <f>IF(ISBLANK('RESUMEN VIGILANCIA'!Y116),"",'RESUMEN VIGILANCIA'!Y116)</f>
        <v/>
      </c>
      <c r="AA108" s="459">
        <f>IF(ISBLANK('RESUMEN VIGILANCIA'!Z116),"",'RESUMEN VIGILANCIA'!Z116)</f>
        <v>320</v>
      </c>
      <c r="AB108" s="459">
        <f>IF(ISBLANK('RESUMEN VIGILANCIA'!AA116),"",'RESUMEN VIGILANCIA'!AA116)</f>
        <v>320</v>
      </c>
      <c r="AC108" s="460">
        <f>IF(ISBLANK('RESUMEN VIGILANCIA'!AB116),"",'RESUMEN VIGILANCIA'!AB116)</f>
        <v>800</v>
      </c>
      <c r="AD108" s="373">
        <f>IF(ISBLANK('RESUMEN VIGILANCIA'!AC116),"",'RESUMEN VIGILANCIA'!AC116)</f>
        <v>960</v>
      </c>
      <c r="AE108" s="374">
        <f>IF(ISBLANK('RESUMEN VIGILANCIA'!AD116),"",'RESUMEN VIGILANCIA'!AD116)</f>
        <v>1500</v>
      </c>
      <c r="AF108" s="374">
        <f>IF(ISBLANK('RESUMEN VIGILANCIA'!AE116),"",'RESUMEN VIGILANCIA'!AE116)</f>
        <v>3000</v>
      </c>
      <c r="AG108" s="374">
        <f>IF(ISBLANK('RESUMEN VIGILANCIA'!AF116),"",'RESUMEN VIGILANCIA'!AF116)</f>
        <v>5000</v>
      </c>
      <c r="AH108" s="374">
        <f>IF(ISBLANK('RESUMEN VIGILANCIA'!AG116),"",'RESUMEN VIGILANCIA'!AG116)</f>
        <v>8000</v>
      </c>
      <c r="AI108" s="374">
        <f>IF(ISBLANK('RESUMEN VIGILANCIA'!AH116),"",'RESUMEN VIGILANCIA'!AH116)</f>
        <v>8000</v>
      </c>
      <c r="AJ108" s="374">
        <f>IF(ISBLANK('RESUMEN VIGILANCIA'!AI116),"",'RESUMEN VIGILANCIA'!AI116)</f>
        <v>10000</v>
      </c>
      <c r="AK108" s="374">
        <f>IF(ISBLANK('RESUMEN VIGILANCIA'!AJ116),"",'RESUMEN VIGILANCIA'!AJ116)</f>
        <v>10000</v>
      </c>
      <c r="AL108" s="374">
        <f>IF(ISBLANK('RESUMEN VIGILANCIA'!AK116),"",'RESUMEN VIGILANCIA'!AK116)</f>
        <v>21600</v>
      </c>
      <c r="AM108" s="374">
        <f>IF(ISBLANK('RESUMEN VIGILANCIA'!AL116),"",'RESUMEN VIGILANCIA'!AL116)</f>
        <v>21100</v>
      </c>
      <c r="AN108" s="374">
        <f>IF(ISBLANK('RESUMEN VIGILANCIA'!AM116),"",'RESUMEN VIGILANCIA'!AM116)</f>
        <v>100000</v>
      </c>
      <c r="AO108" s="375">
        <f>IF(ISBLANK('RESUMEN VIGILANCIA'!AN116),"",'RESUMEN VIGILANCIA'!AN116)</f>
        <v>100000</v>
      </c>
      <c r="AP108" s="373">
        <f>IF(ISBLANK('RESUMEN VIGILANCIA'!AO116),"",'RESUMEN VIGILANCIA'!AO116)</f>
        <v>100000</v>
      </c>
      <c r="AQ108" s="374">
        <f>IF(ISBLANK('RESUMEN VIGILANCIA'!AP116),"",'RESUMEN VIGILANCIA'!AP116)</f>
        <v>100000</v>
      </c>
      <c r="AR108" s="374">
        <f>IF(ISBLANK('RESUMEN VIGILANCIA'!AQ116),"",'RESUMEN VIGILANCIA'!AQ116)</f>
        <v>100000</v>
      </c>
      <c r="AS108" s="374">
        <f>IF(ISBLANK('RESUMEN VIGILANCIA'!AR116),"",'RESUMEN VIGILANCIA'!AR116)</f>
        <v>175000</v>
      </c>
      <c r="AT108" s="374">
        <f>IF(ISBLANK('RESUMEN VIGILANCIA'!AS116),"",'RESUMEN VIGILANCIA'!AS116)</f>
        <v>175000</v>
      </c>
      <c r="AU108" s="374" t="str">
        <f>IF(ISBLANK('RESUMEN VIGILANCIA'!AT116),"",'RESUMEN VIGILANCIA'!AT116)</f>
        <v/>
      </c>
      <c r="AV108" s="374" t="str">
        <f>IF(ISBLANK('RESUMEN VIGILANCIA'!AU116),"",'RESUMEN VIGILANCIA'!AU116)</f>
        <v/>
      </c>
      <c r="AW108" s="374" t="str">
        <f>IF(ISBLANK('RESUMEN VIGILANCIA'!AV116),"",'RESUMEN VIGILANCIA'!AV116)</f>
        <v/>
      </c>
      <c r="AX108" s="374" t="str">
        <f>IF(ISBLANK('RESUMEN VIGILANCIA'!AW116),"",'RESUMEN VIGILANCIA'!AW116)</f>
        <v/>
      </c>
      <c r="AY108" s="374" t="str">
        <f>IF(ISBLANK('RESUMEN VIGILANCIA'!AX116),"",'RESUMEN VIGILANCIA'!AX116)</f>
        <v/>
      </c>
      <c r="AZ108" s="374" t="str">
        <f>IF(ISBLANK('RESUMEN VIGILANCIA'!AY116),"",'RESUMEN VIGILANCIA'!AY116)</f>
        <v/>
      </c>
      <c r="BA108" s="375" t="str">
        <f>IF(ISBLANK('RESUMEN VIGILANCIA'!AZ116),"",'RESUMEN VIGILANCIA'!AZ116)</f>
        <v/>
      </c>
      <c r="BB108" s="241">
        <f t="shared" si="10"/>
        <v>290605.25</v>
      </c>
      <c r="BC108" s="111"/>
      <c r="BD108" s="111"/>
    </row>
    <row r="109" spans="1:56" s="29" customFormat="1" ht="20.100000000000001" customHeight="1">
      <c r="A109" s="33" t="str">
        <f>'RESUMEN VIGILANCIA'!A139</f>
        <v>Familia Jiménez de Avila</v>
      </c>
      <c r="B109" s="34" t="str">
        <f>'RESUMEN VIGILANCIA'!B139</f>
        <v>Calle Güigüe Nro. 89-116</v>
      </c>
      <c r="C109" s="428" t="s">
        <v>1318</v>
      </c>
      <c r="D109" s="437" t="s">
        <v>1315</v>
      </c>
      <c r="E109" s="416" t="str">
        <f>IF(ISBLANK('RESUMEN VIGILANCIA'!D139),"",'RESUMEN VIGILANCIA'!D139)</f>
        <v/>
      </c>
      <c r="F109" s="266" t="str">
        <f>IF(ISBLANK('RESUMEN VIGILANCIA'!E139),"",'RESUMEN VIGILANCIA'!E139)</f>
        <v/>
      </c>
      <c r="G109" s="188" t="str">
        <f>IF(ISBLANK('RESUMEN VIGILANCIA'!F139),"",'RESUMEN VIGILANCIA'!F139)</f>
        <v/>
      </c>
      <c r="H109" s="188" t="str">
        <f>IF(ISBLANK('RESUMEN VIGILANCIA'!G139),"",'RESUMEN VIGILANCIA'!G139)</f>
        <v/>
      </c>
      <c r="I109" s="188" t="str">
        <f>IF(ISBLANK('RESUMEN VIGILANCIA'!H139),"",'RESUMEN VIGILANCIA'!H139)</f>
        <v/>
      </c>
      <c r="J109" s="188" t="str">
        <f>IF(ISBLANK('RESUMEN VIGILANCIA'!I139),"",'RESUMEN VIGILANCIA'!I139)</f>
        <v/>
      </c>
      <c r="K109" s="188" t="str">
        <f>IF(ISBLANK('RESUMEN VIGILANCIA'!J139),"",'RESUMEN VIGILANCIA'!J139)</f>
        <v/>
      </c>
      <c r="L109" s="188" t="str">
        <f>IF(ISBLANK('RESUMEN VIGILANCIA'!K139),"",'RESUMEN VIGILANCIA'!K139)</f>
        <v/>
      </c>
      <c r="M109" s="188" t="str">
        <f>IF(ISBLANK('RESUMEN VIGILANCIA'!L139),"",'RESUMEN VIGILANCIA'!L139)</f>
        <v/>
      </c>
      <c r="N109" s="188" t="str">
        <f>IF(ISBLANK('RESUMEN VIGILANCIA'!M139),"",'RESUMEN VIGILANCIA'!M139)</f>
        <v/>
      </c>
      <c r="O109" s="188" t="str">
        <f>IF(ISBLANK('RESUMEN VIGILANCIA'!N139),"",'RESUMEN VIGILANCIA'!N139)</f>
        <v/>
      </c>
      <c r="P109" s="267">
        <f>IF(ISBLANK('RESUMEN VIGILANCIA'!O139),"",'RESUMEN VIGILANCIA'!O139)</f>
        <v>0.3</v>
      </c>
      <c r="Q109" s="186" t="str">
        <f>IF(ISBLANK('RESUMEN VIGILANCIA'!P139),"",'RESUMEN VIGILANCIA'!P139)</f>
        <v>ü</v>
      </c>
      <c r="R109" s="512" t="str">
        <f>IF(ISBLANK('RESUMEN VIGILANCIA'!Q139),"",'RESUMEN VIGILANCIA'!Q139)</f>
        <v>ü</v>
      </c>
      <c r="S109" s="513" t="str">
        <f>IF(ISBLANK('RESUMEN VIGILANCIA'!R139),"",'RESUMEN VIGILANCIA'!R139)</f>
        <v>ü</v>
      </c>
      <c r="T109" s="513" t="str">
        <f>IF(ISBLANK('RESUMEN VIGILANCIA'!S139),"",'RESUMEN VIGILANCIA'!S139)</f>
        <v>ü</v>
      </c>
      <c r="U109" s="513" t="str">
        <f>IF(ISBLANK('RESUMEN VIGILANCIA'!T139),"",'RESUMEN VIGILANCIA'!T139)</f>
        <v>ü</v>
      </c>
      <c r="V109" s="513" t="str">
        <f>IF(ISBLANK('RESUMEN VIGILANCIA'!U139),"",'RESUMEN VIGILANCIA'!U139)</f>
        <v>ü</v>
      </c>
      <c r="W109" s="513" t="str">
        <f>IF(ISBLANK('RESUMEN VIGILANCIA'!V139),"",'RESUMEN VIGILANCIA'!V139)</f>
        <v>ü</v>
      </c>
      <c r="X109" s="513" t="str">
        <f>IF(ISBLANK('RESUMEN VIGILANCIA'!W139),"",'RESUMEN VIGILANCIA'!W139)</f>
        <v>ü</v>
      </c>
      <c r="Y109" s="513" t="str">
        <f>IF(ISBLANK('RESUMEN VIGILANCIA'!X139),"",'RESUMEN VIGILANCIA'!X139)</f>
        <v>ü</v>
      </c>
      <c r="Z109" s="514" t="str">
        <f>IF(ISBLANK('RESUMEN VIGILANCIA'!Y139),"",'RESUMEN VIGILANCIA'!Y139)</f>
        <v>ü</v>
      </c>
      <c r="AA109" s="514" t="str">
        <f>IF(ISBLANK('RESUMEN VIGILANCIA'!Z139),"",'RESUMEN VIGILANCIA'!Z139)</f>
        <v>ü</v>
      </c>
      <c r="AB109" s="459">
        <f>IF(ISBLANK('RESUMEN VIGILANCIA'!AA139),"",'RESUMEN VIGILANCIA'!AA139)</f>
        <v>1350</v>
      </c>
      <c r="AC109" s="515" t="str">
        <f>IF(ISBLANK('RESUMEN VIGILANCIA'!AB139),"",'RESUMEN VIGILANCIA'!AB139)</f>
        <v>ü</v>
      </c>
      <c r="AD109" s="516" t="str">
        <f>IF(ISBLANK('RESUMEN VIGILANCIA'!AC139),"",'RESUMEN VIGILANCIA'!AC139)</f>
        <v>ü</v>
      </c>
      <c r="AE109" s="517" t="str">
        <f>IF(ISBLANK('RESUMEN VIGILANCIA'!AD139),"",'RESUMEN VIGILANCIA'!AD139)</f>
        <v>ü</v>
      </c>
      <c r="AF109" s="517" t="str">
        <f>IF(ISBLANK('RESUMEN VIGILANCIA'!AE139),"",'RESUMEN VIGILANCIA'!AE139)</f>
        <v>ü</v>
      </c>
      <c r="AG109" s="517" t="str">
        <f>IF(ISBLANK('RESUMEN VIGILANCIA'!AF139),"",'RESUMEN VIGILANCIA'!AF139)</f>
        <v>ü</v>
      </c>
      <c r="AH109" s="517" t="str">
        <f>IF(ISBLANK('RESUMEN VIGILANCIA'!AG139),"",'RESUMEN VIGILANCIA'!AG139)</f>
        <v>ü</v>
      </c>
      <c r="AI109" s="517" t="str">
        <f>IF(ISBLANK('RESUMEN VIGILANCIA'!AH139),"",'RESUMEN VIGILANCIA'!AH139)</f>
        <v>ü</v>
      </c>
      <c r="AJ109" s="374">
        <f>IF(ISBLANK('RESUMEN VIGILANCIA'!AI139),"",'RESUMEN VIGILANCIA'!AI139)</f>
        <v>5000</v>
      </c>
      <c r="AK109" s="374">
        <f>IF(ISBLANK('RESUMEN VIGILANCIA'!AJ139),"",'RESUMEN VIGILANCIA'!AJ139)</f>
        <v>5000</v>
      </c>
      <c r="AL109" s="374">
        <f>IF(ISBLANK('RESUMEN VIGILANCIA'!AK139),"",'RESUMEN VIGILANCIA'!AK139)</f>
        <v>5000</v>
      </c>
      <c r="AM109" s="374">
        <f>IF(ISBLANK('RESUMEN VIGILANCIA'!AL139),"",'RESUMEN VIGILANCIA'!AL139)</f>
        <v>5000</v>
      </c>
      <c r="AN109" s="374">
        <f>IF(ISBLANK('RESUMEN VIGILANCIA'!AM139),"",'RESUMEN VIGILANCIA'!AM139)</f>
        <v>5000</v>
      </c>
      <c r="AO109" s="375">
        <f>IF(ISBLANK('RESUMEN VIGILANCIA'!AN139),"",'RESUMEN VIGILANCIA'!AN139)</f>
        <v>5000</v>
      </c>
      <c r="AP109" s="373">
        <f>IF(ISBLANK('RESUMEN VIGILANCIA'!AO139),"",'RESUMEN VIGILANCIA'!AO139)</f>
        <v>70000</v>
      </c>
      <c r="AQ109" s="374">
        <f>IF(ISBLANK('RESUMEN VIGILANCIA'!AP139),"",'RESUMEN VIGILANCIA'!AP139)</f>
        <v>70000</v>
      </c>
      <c r="AR109" s="374">
        <f>IF(ISBLANK('RESUMEN VIGILANCIA'!AQ139),"",'RESUMEN VIGILANCIA'!AQ139)</f>
        <v>70000</v>
      </c>
      <c r="AS109" s="517" t="str">
        <f>IF(ISBLANK('RESUMEN VIGILANCIA'!AR139),"",'RESUMEN VIGILANCIA'!AR139)</f>
        <v/>
      </c>
      <c r="AT109" s="517" t="str">
        <f>IF(ISBLANK('RESUMEN VIGILANCIA'!AS139),"",'RESUMEN VIGILANCIA'!AS139)</f>
        <v/>
      </c>
      <c r="AU109" s="517" t="str">
        <f>IF(ISBLANK('RESUMEN VIGILANCIA'!AT139),"",'RESUMEN VIGILANCIA'!AT139)</f>
        <v/>
      </c>
      <c r="AV109" s="374" t="str">
        <f>IF(ISBLANK('RESUMEN VIGILANCIA'!AU139),"",'RESUMEN VIGILANCIA'!AU139)</f>
        <v/>
      </c>
      <c r="AW109" s="374" t="str">
        <f>IF(ISBLANK('RESUMEN VIGILANCIA'!AV139),"",'RESUMEN VIGILANCIA'!AV139)</f>
        <v/>
      </c>
      <c r="AX109" s="374" t="str">
        <f>IF(ISBLANK('RESUMEN VIGILANCIA'!AW139),"",'RESUMEN VIGILANCIA'!AW139)</f>
        <v/>
      </c>
      <c r="AY109" s="374" t="str">
        <f>IF(ISBLANK('RESUMEN VIGILANCIA'!AX139),"",'RESUMEN VIGILANCIA'!AX139)</f>
        <v/>
      </c>
      <c r="AZ109" s="374" t="str">
        <f>IF(ISBLANK('RESUMEN VIGILANCIA'!AY139),"",'RESUMEN VIGILANCIA'!AY139)</f>
        <v/>
      </c>
      <c r="BA109" s="375" t="str">
        <f>IF(ISBLANK('RESUMEN VIGILANCIA'!AZ139),"",'RESUMEN VIGILANCIA'!AZ139)</f>
        <v/>
      </c>
      <c r="BB109" s="241">
        <f t="shared" si="10"/>
        <v>31350.3</v>
      </c>
      <c r="BC109" s="111"/>
      <c r="BD109" s="111"/>
    </row>
    <row r="110" spans="1:56" s="29" customFormat="1" ht="20.100000000000001" customHeight="1">
      <c r="A110" s="40" t="str">
        <f>'RESUMEN VIGILANCIA'!A143</f>
        <v>Familia Pena Wierman</v>
      </c>
      <c r="B110" s="41" t="str">
        <f>'RESUMEN VIGILANCIA'!B143</f>
        <v>Calle Güigüe Nro. 89-126</v>
      </c>
      <c r="C110" s="431"/>
      <c r="D110" s="438" t="s">
        <v>1315</v>
      </c>
      <c r="E110" s="422" t="str">
        <f>IF(ISBLANK('RESUMEN VIGILANCIA'!D143),"",'RESUMEN VIGILANCIA'!D143)</f>
        <v/>
      </c>
      <c r="F110" s="289" t="str">
        <f>IF(ISBLANK('RESUMEN VIGILANCIA'!E143),"",'RESUMEN VIGILANCIA'!E143)</f>
        <v/>
      </c>
      <c r="G110" s="237" t="str">
        <f>IF(ISBLANK('RESUMEN VIGILANCIA'!F143),"",'RESUMEN VIGILANCIA'!F143)</f>
        <v/>
      </c>
      <c r="H110" s="237" t="str">
        <f>IF(ISBLANK('RESUMEN VIGILANCIA'!G143),"",'RESUMEN VIGILANCIA'!G143)</f>
        <v/>
      </c>
      <c r="I110" s="237" t="str">
        <f>IF(ISBLANK('RESUMEN VIGILANCIA'!H143),"",'RESUMEN VIGILANCIA'!H143)</f>
        <v/>
      </c>
      <c r="J110" s="237" t="str">
        <f>IF(ISBLANK('RESUMEN VIGILANCIA'!I143),"",'RESUMEN VIGILANCIA'!I143)</f>
        <v/>
      </c>
      <c r="K110" s="237" t="str">
        <f>IF(ISBLANK('RESUMEN VIGILANCIA'!J143),"",'RESUMEN VIGILANCIA'!J143)</f>
        <v/>
      </c>
      <c r="L110" s="237" t="str">
        <f>IF(ISBLANK('RESUMEN VIGILANCIA'!K143),"",'RESUMEN VIGILANCIA'!K143)</f>
        <v/>
      </c>
      <c r="M110" s="237" t="str">
        <f>IF(ISBLANK('RESUMEN VIGILANCIA'!L143),"",'RESUMEN VIGILANCIA'!L143)</f>
        <v/>
      </c>
      <c r="N110" s="237" t="str">
        <f>IF(ISBLANK('RESUMEN VIGILANCIA'!M143),"",'RESUMEN VIGILANCIA'!M143)</f>
        <v/>
      </c>
      <c r="O110" s="237" t="str">
        <f>IF(ISBLANK('RESUMEN VIGILANCIA'!N143),"",'RESUMEN VIGILANCIA'!N143)</f>
        <v/>
      </c>
      <c r="P110" s="290" t="str">
        <f>IF(ISBLANK('RESUMEN VIGILANCIA'!O143),"",'RESUMEN VIGILANCIA'!O143)</f>
        <v/>
      </c>
      <c r="Q110" s="235" t="str">
        <f>IF(ISBLANK('RESUMEN VIGILANCIA'!P143),"",'RESUMEN VIGILANCIA'!P143)</f>
        <v/>
      </c>
      <c r="R110" s="291" t="str">
        <f>IF(ISBLANK('RESUMEN VIGILANCIA'!Q143),"",'RESUMEN VIGILANCIA'!Q143)</f>
        <v/>
      </c>
      <c r="S110" s="290" t="str">
        <f>IF(ISBLANK('RESUMEN VIGILANCIA'!R143),"",'RESUMEN VIGILANCIA'!R143)</f>
        <v/>
      </c>
      <c r="T110" s="290" t="str">
        <f>IF(ISBLANK('RESUMEN VIGILANCIA'!S143),"",'RESUMEN VIGILANCIA'!S143)</f>
        <v/>
      </c>
      <c r="U110" s="290" t="str">
        <f>IF(ISBLANK('RESUMEN VIGILANCIA'!T143),"",'RESUMEN VIGILANCIA'!T143)</f>
        <v/>
      </c>
      <c r="V110" s="290" t="str">
        <f>IF(ISBLANK('RESUMEN VIGILANCIA'!U143),"",'RESUMEN VIGILANCIA'!U143)</f>
        <v/>
      </c>
      <c r="W110" s="290" t="str">
        <f>IF(ISBLANK('RESUMEN VIGILANCIA'!V143),"",'RESUMEN VIGILANCIA'!V143)</f>
        <v/>
      </c>
      <c r="X110" s="290" t="str">
        <f>IF(ISBLANK('RESUMEN VIGILANCIA'!W143),"",'RESUMEN VIGILANCIA'!W143)</f>
        <v/>
      </c>
      <c r="Y110" s="290" t="str">
        <f>IF(ISBLANK('RESUMEN VIGILANCIA'!X143),"",'RESUMEN VIGILANCIA'!X143)</f>
        <v/>
      </c>
      <c r="Z110" s="476" t="str">
        <f>IF(ISBLANK('RESUMEN VIGILANCIA'!Y143),"",'RESUMEN VIGILANCIA'!Y143)</f>
        <v/>
      </c>
      <c r="AA110" s="476" t="str">
        <f>IF(ISBLANK('RESUMEN VIGILANCIA'!Z143),"",'RESUMEN VIGILANCIA'!Z143)</f>
        <v/>
      </c>
      <c r="AB110" s="476" t="str">
        <f>IF(ISBLANK('RESUMEN VIGILANCIA'!AA143),"",'RESUMEN VIGILANCIA'!AA143)</f>
        <v/>
      </c>
      <c r="AC110" s="477" t="str">
        <f>IF(ISBLANK('RESUMEN VIGILANCIA'!AB143),"",'RESUMEN VIGILANCIA'!AB143)</f>
        <v/>
      </c>
      <c r="AD110" s="398" t="str">
        <f>IF(ISBLANK('RESUMEN VIGILANCIA'!AC143),"",'RESUMEN VIGILANCIA'!AC143)</f>
        <v/>
      </c>
      <c r="AE110" s="399" t="str">
        <f>IF(ISBLANK('RESUMEN VIGILANCIA'!AD143),"",'RESUMEN VIGILANCIA'!AD143)</f>
        <v/>
      </c>
      <c r="AF110" s="399" t="str">
        <f>IF(ISBLANK('RESUMEN VIGILANCIA'!AE143),"",'RESUMEN VIGILANCIA'!AE143)</f>
        <v/>
      </c>
      <c r="AG110" s="399" t="str">
        <f>IF(ISBLANK('RESUMEN VIGILANCIA'!AF143),"",'RESUMEN VIGILANCIA'!AF143)</f>
        <v/>
      </c>
      <c r="AH110" s="399" t="str">
        <f>IF(ISBLANK('RESUMEN VIGILANCIA'!AG143),"",'RESUMEN VIGILANCIA'!AG143)</f>
        <v/>
      </c>
      <c r="AI110" s="399" t="str">
        <f>IF(ISBLANK('RESUMEN VIGILANCIA'!AH143),"",'RESUMEN VIGILANCIA'!AH143)</f>
        <v/>
      </c>
      <c r="AJ110" s="399" t="str">
        <f>IF(ISBLANK('RESUMEN VIGILANCIA'!AI143),"",'RESUMEN VIGILANCIA'!AI143)</f>
        <v/>
      </c>
      <c r="AK110" s="399" t="str">
        <f>IF(ISBLANK('RESUMEN VIGILANCIA'!AJ143),"",'RESUMEN VIGILANCIA'!AJ143)</f>
        <v/>
      </c>
      <c r="AL110" s="399" t="str">
        <f>IF(ISBLANK('RESUMEN VIGILANCIA'!AK143),"",'RESUMEN VIGILANCIA'!AK143)</f>
        <v/>
      </c>
      <c r="AM110" s="399" t="str">
        <f>IF(ISBLANK('RESUMEN VIGILANCIA'!AL143),"",'RESUMEN VIGILANCIA'!AL143)</f>
        <v/>
      </c>
      <c r="AN110" s="399" t="str">
        <f>IF(ISBLANK('RESUMEN VIGILANCIA'!AM143),"",'RESUMEN VIGILANCIA'!AM143)</f>
        <v/>
      </c>
      <c r="AO110" s="400" t="str">
        <f>IF(ISBLANK('RESUMEN VIGILANCIA'!AN143),"",'RESUMEN VIGILANCIA'!AN143)</f>
        <v/>
      </c>
      <c r="AP110" s="398" t="str">
        <f>IF(ISBLANK('RESUMEN VIGILANCIA'!AO143),"",'RESUMEN VIGILANCIA'!AO143)</f>
        <v/>
      </c>
      <c r="AQ110" s="399" t="str">
        <f>IF(ISBLANK('RESUMEN VIGILANCIA'!AP143),"",'RESUMEN VIGILANCIA'!AP143)</f>
        <v/>
      </c>
      <c r="AR110" s="399" t="str">
        <f>IF(ISBLANK('RESUMEN VIGILANCIA'!AQ143),"",'RESUMEN VIGILANCIA'!AQ143)</f>
        <v/>
      </c>
      <c r="AS110" s="399" t="str">
        <f>IF(ISBLANK('RESUMEN VIGILANCIA'!AR143),"",'RESUMEN VIGILANCIA'!AR143)</f>
        <v/>
      </c>
      <c r="AT110" s="399" t="str">
        <f>IF(ISBLANK('RESUMEN VIGILANCIA'!AS143),"",'RESUMEN VIGILANCIA'!AS143)</f>
        <v/>
      </c>
      <c r="AU110" s="399" t="str">
        <f>IF(ISBLANK('RESUMEN VIGILANCIA'!AT143),"",'RESUMEN VIGILANCIA'!AT143)</f>
        <v/>
      </c>
      <c r="AV110" s="399" t="str">
        <f>IF(ISBLANK('RESUMEN VIGILANCIA'!AU143),"",'RESUMEN VIGILANCIA'!AU143)</f>
        <v/>
      </c>
      <c r="AW110" s="399" t="str">
        <f>IF(ISBLANK('RESUMEN VIGILANCIA'!AV143),"",'RESUMEN VIGILANCIA'!AV143)</f>
        <v/>
      </c>
      <c r="AX110" s="399" t="str">
        <f>IF(ISBLANK('RESUMEN VIGILANCIA'!AW143),"",'RESUMEN VIGILANCIA'!AW143)</f>
        <v/>
      </c>
      <c r="AY110" s="399" t="str">
        <f>IF(ISBLANK('RESUMEN VIGILANCIA'!AX143),"",'RESUMEN VIGILANCIA'!AX143)</f>
        <v/>
      </c>
      <c r="AZ110" s="399" t="str">
        <f>IF(ISBLANK('RESUMEN VIGILANCIA'!AY143),"",'RESUMEN VIGILANCIA'!AY143)</f>
        <v/>
      </c>
      <c r="BA110" s="400" t="str">
        <f>IF(ISBLANK('RESUMEN VIGILANCIA'!AZ143),"",'RESUMEN VIGILANCIA'!AZ143)</f>
        <v/>
      </c>
      <c r="BB110" s="246">
        <f t="shared" si="10"/>
        <v>0</v>
      </c>
      <c r="BC110" s="115"/>
      <c r="BD110" s="115">
        <v>43191</v>
      </c>
    </row>
    <row r="111" spans="1:56" s="29" customFormat="1" ht="20.100000000000001" customHeight="1">
      <c r="A111" s="59" t="str">
        <f>'RESUMEN VIGILANCIA'!A105</f>
        <v>Familia Sayago Peñaranda</v>
      </c>
      <c r="B111" s="60" t="str">
        <f>'RESUMEN VIGILANCIA'!B105</f>
        <v>Calle Güigüe Nro. 89-04</v>
      </c>
      <c r="C111" s="429" t="s">
        <v>1316</v>
      </c>
      <c r="D111" s="436" t="s">
        <v>1315</v>
      </c>
      <c r="E111" s="417" t="str">
        <f>IF(ISBLANK('RESUMEN VIGILANCIA'!D105),"",'RESUMEN VIGILANCIA'!D105)</f>
        <v/>
      </c>
      <c r="F111" s="269">
        <f>IF(ISBLANK('RESUMEN VIGILANCIA'!E105),"",'RESUMEN VIGILANCIA'!E105)</f>
        <v>0.17</v>
      </c>
      <c r="G111" s="181">
        <f>IF(ISBLANK('RESUMEN VIGILANCIA'!F105),"",'RESUMEN VIGILANCIA'!F105)</f>
        <v>0.17</v>
      </c>
      <c r="H111" s="181">
        <f>IF(ISBLANK('RESUMEN VIGILANCIA'!G105),"",'RESUMEN VIGILANCIA'!G105)</f>
        <v>0.17</v>
      </c>
      <c r="I111" s="181">
        <f>IF(ISBLANK('RESUMEN VIGILANCIA'!H105),"",'RESUMEN VIGILANCIA'!H105)</f>
        <v>0.17</v>
      </c>
      <c r="J111" s="181">
        <f>IF(ISBLANK('RESUMEN VIGILANCIA'!I105),"",'RESUMEN VIGILANCIA'!I105)</f>
        <v>0.26</v>
      </c>
      <c r="K111" s="181">
        <f>IF(ISBLANK('RESUMEN VIGILANCIA'!J105),"",'RESUMEN VIGILANCIA'!J105)</f>
        <v>0.26</v>
      </c>
      <c r="L111" s="181">
        <f>IF(ISBLANK('RESUMEN VIGILANCIA'!K105),"",'RESUMEN VIGILANCIA'!K105)</f>
        <v>0.35</v>
      </c>
      <c r="M111" s="181">
        <f>IF(ISBLANK('RESUMEN VIGILANCIA'!L105),"",'RESUMEN VIGILANCIA'!L105)</f>
        <v>0.35</v>
      </c>
      <c r="N111" s="181">
        <f>IF(ISBLANK('RESUMEN VIGILANCIA'!M105),"",'RESUMEN VIGILANCIA'!M105)</f>
        <v>0.35</v>
      </c>
      <c r="O111" s="181">
        <f>IF(ISBLANK('RESUMEN VIGILANCIA'!N105),"",'RESUMEN VIGILANCIA'!N105)</f>
        <v>0.35</v>
      </c>
      <c r="P111" s="270">
        <f>IF(ISBLANK('RESUMEN VIGILANCIA'!O105),"",'RESUMEN VIGILANCIA'!O105)</f>
        <v>0.5</v>
      </c>
      <c r="Q111" s="179">
        <f>IF(ISBLANK('RESUMEN VIGILANCIA'!P105),"",'RESUMEN VIGILANCIA'!P105)</f>
        <v>0.5</v>
      </c>
      <c r="R111" s="271">
        <f>IF(ISBLANK('RESUMEN VIGILANCIA'!Q105),"",'RESUMEN VIGILANCIA'!Q105)</f>
        <v>0.8</v>
      </c>
      <c r="S111" s="270">
        <f>IF(ISBLANK('RESUMEN VIGILANCIA'!R105),"",'RESUMEN VIGILANCIA'!R105)</f>
        <v>0.8</v>
      </c>
      <c r="T111" s="270">
        <f>IF(ISBLANK('RESUMEN VIGILANCIA'!S105),"",'RESUMEN VIGILANCIA'!S105)</f>
        <v>1.4</v>
      </c>
      <c r="U111" s="270">
        <f>IF(ISBLANK('RESUMEN VIGILANCIA'!T105),"",'RESUMEN VIGILANCIA'!T105)</f>
        <v>1.4</v>
      </c>
      <c r="V111" s="274" t="s">
        <v>1229</v>
      </c>
      <c r="W111" s="275" t="str">
        <f>IF(ISBLANK('RESUMEN VIGILANCIA'!V105),"",'RESUMEN VIGILANCIA'!V105)</f>
        <v/>
      </c>
      <c r="X111" s="275" t="str">
        <f>IF(ISBLANK('RESUMEN VIGILANCIA'!W105),"",'RESUMEN VIGILANCIA'!W105)</f>
        <v/>
      </c>
      <c r="Y111" s="275" t="str">
        <f>IF(ISBLANK('RESUMEN VIGILANCIA'!X105),"",'RESUMEN VIGILANCIA'!X105)</f>
        <v/>
      </c>
      <c r="Z111" s="461" t="str">
        <f>IF(ISBLANK('RESUMEN VIGILANCIA'!Y105),"",'RESUMEN VIGILANCIA'!Y105)</f>
        <v/>
      </c>
      <c r="AA111" s="461" t="str">
        <f>IF(ISBLANK('RESUMEN VIGILANCIA'!Z105),"",'RESUMEN VIGILANCIA'!Z105)</f>
        <v/>
      </c>
      <c r="AB111" s="461" t="str">
        <f>IF(ISBLANK('RESUMEN VIGILANCIA'!AA105),"",'RESUMEN VIGILANCIA'!AA105)</f>
        <v/>
      </c>
      <c r="AC111" s="462" t="str">
        <f>IF(ISBLANK('RESUMEN VIGILANCIA'!AB105),"",'RESUMEN VIGILANCIA'!AB105)</f>
        <v/>
      </c>
      <c r="AD111" s="392" t="str">
        <f>IF(ISBLANK('RESUMEN VIGILANCIA'!AC105),"",'RESUMEN VIGILANCIA'!AC105)</f>
        <v/>
      </c>
      <c r="AE111" s="393" t="str">
        <f>IF(ISBLANK('RESUMEN VIGILANCIA'!AD105),"",'RESUMEN VIGILANCIA'!AD105)</f>
        <v/>
      </c>
      <c r="AF111" s="393" t="str">
        <f>IF(ISBLANK('RESUMEN VIGILANCIA'!AE105),"",'RESUMEN VIGILANCIA'!AE105)</f>
        <v/>
      </c>
      <c r="AG111" s="393" t="str">
        <f>IF(ISBLANK('RESUMEN VIGILANCIA'!AF105),"",'RESUMEN VIGILANCIA'!AF105)</f>
        <v/>
      </c>
      <c r="AH111" s="393" t="str">
        <f>IF(ISBLANK('RESUMEN VIGILANCIA'!AG105),"",'RESUMEN VIGILANCIA'!AG105)</f>
        <v/>
      </c>
      <c r="AI111" s="393" t="str">
        <f>IF(ISBLANK('RESUMEN VIGILANCIA'!AH105),"",'RESUMEN VIGILANCIA'!AH105)</f>
        <v/>
      </c>
      <c r="AJ111" s="393" t="str">
        <f>IF(ISBLANK('RESUMEN VIGILANCIA'!AI105),"",'RESUMEN VIGILANCIA'!AI105)</f>
        <v/>
      </c>
      <c r="AK111" s="393" t="str">
        <f>IF(ISBLANK('RESUMEN VIGILANCIA'!AJ105),"",'RESUMEN VIGILANCIA'!AJ105)</f>
        <v/>
      </c>
      <c r="AL111" s="393" t="str">
        <f>IF(ISBLANK('RESUMEN VIGILANCIA'!AK105),"",'RESUMEN VIGILANCIA'!AK105)</f>
        <v/>
      </c>
      <c r="AM111" s="393" t="str">
        <f>IF(ISBLANK('RESUMEN VIGILANCIA'!AL105),"",'RESUMEN VIGILANCIA'!AL105)</f>
        <v/>
      </c>
      <c r="AN111" s="393" t="str">
        <f>IF(ISBLANK('RESUMEN VIGILANCIA'!AM105),"",'RESUMEN VIGILANCIA'!AM105)</f>
        <v/>
      </c>
      <c r="AO111" s="394" t="str">
        <f>IF(ISBLANK('RESUMEN VIGILANCIA'!AN105),"",'RESUMEN VIGILANCIA'!AN105)</f>
        <v/>
      </c>
      <c r="AP111" s="392" t="str">
        <f>IF(ISBLANK('RESUMEN VIGILANCIA'!AO105),"",'RESUMEN VIGILANCIA'!AO105)</f>
        <v/>
      </c>
      <c r="AQ111" s="393" t="str">
        <f>IF(ISBLANK('RESUMEN VIGILANCIA'!AP105),"",'RESUMEN VIGILANCIA'!AP105)</f>
        <v/>
      </c>
      <c r="AR111" s="393" t="str">
        <f>IF(ISBLANK('RESUMEN VIGILANCIA'!AQ105),"",'RESUMEN VIGILANCIA'!AQ105)</f>
        <v/>
      </c>
      <c r="AS111" s="393" t="str">
        <f>IF(ISBLANK('RESUMEN VIGILANCIA'!AR105),"",'RESUMEN VIGILANCIA'!AR105)</f>
        <v/>
      </c>
      <c r="AT111" s="393" t="str">
        <f>IF(ISBLANK('RESUMEN VIGILANCIA'!AS105),"",'RESUMEN VIGILANCIA'!AS105)</f>
        <v/>
      </c>
      <c r="AU111" s="393" t="str">
        <f>IF(ISBLANK('RESUMEN VIGILANCIA'!AT105),"",'RESUMEN VIGILANCIA'!AT105)</f>
        <v/>
      </c>
      <c r="AV111" s="393" t="str">
        <f>IF(ISBLANK('RESUMEN VIGILANCIA'!AU105),"",'RESUMEN VIGILANCIA'!AU105)</f>
        <v/>
      </c>
      <c r="AW111" s="393" t="str">
        <f>IF(ISBLANK('RESUMEN VIGILANCIA'!AV105),"",'RESUMEN VIGILANCIA'!AV105)</f>
        <v/>
      </c>
      <c r="AX111" s="393" t="str">
        <f>IF(ISBLANK('RESUMEN VIGILANCIA'!AW105),"",'RESUMEN VIGILANCIA'!AW105)</f>
        <v/>
      </c>
      <c r="AY111" s="393" t="str">
        <f>IF(ISBLANK('RESUMEN VIGILANCIA'!AX105),"",'RESUMEN VIGILANCIA'!AX105)</f>
        <v/>
      </c>
      <c r="AZ111" s="393" t="str">
        <f>IF(ISBLANK('RESUMEN VIGILANCIA'!AY105),"",'RESUMEN VIGILANCIA'!AY105)</f>
        <v/>
      </c>
      <c r="BA111" s="394" t="str">
        <f>IF(ISBLANK('RESUMEN VIGILANCIA'!AZ105),"",'RESUMEN VIGILANCIA'!AZ105)</f>
        <v/>
      </c>
      <c r="BB111" s="242">
        <f t="shared" si="10"/>
        <v>8</v>
      </c>
      <c r="BC111" s="112"/>
      <c r="BD111" s="112">
        <v>43191</v>
      </c>
    </row>
    <row r="112" spans="1:56" s="29" customFormat="1" ht="20.100000000000001" customHeight="1">
      <c r="A112" s="30" t="str">
        <f>'RESUMEN VIGILANCIA'!A106</f>
        <v>Carmen Moreno</v>
      </c>
      <c r="B112" s="31" t="str">
        <f>'RESUMEN VIGILANCIA'!B106</f>
        <v>Calle Güigüe Nro. 89-04</v>
      </c>
      <c r="C112" s="429" t="s">
        <v>1316</v>
      </c>
      <c r="D112" s="436" t="s">
        <v>17</v>
      </c>
      <c r="E112" s="419" t="str">
        <f>IF(ISBLANK('RESUMEN VIGILANCIA'!D106),"",'RESUMEN VIGILANCIA'!D106)</f>
        <v/>
      </c>
      <c r="F112" s="282" t="str">
        <f>IF(ISBLANK('RESUMEN VIGILANCIA'!E106),"",'RESUMEN VIGILANCIA'!E106)</f>
        <v/>
      </c>
      <c r="G112" s="209" t="str">
        <f>IF(ISBLANK('RESUMEN VIGILANCIA'!F106),"",'RESUMEN VIGILANCIA'!F106)</f>
        <v/>
      </c>
      <c r="H112" s="209" t="str">
        <f>IF(ISBLANK('RESUMEN VIGILANCIA'!G106),"",'RESUMEN VIGILANCIA'!G106)</f>
        <v/>
      </c>
      <c r="I112" s="209" t="str">
        <f>IF(ISBLANK('RESUMEN VIGILANCIA'!H106),"",'RESUMEN VIGILANCIA'!H106)</f>
        <v/>
      </c>
      <c r="J112" s="209" t="str">
        <f>IF(ISBLANK('RESUMEN VIGILANCIA'!I106),"",'RESUMEN VIGILANCIA'!I106)</f>
        <v/>
      </c>
      <c r="K112" s="209" t="str">
        <f>IF(ISBLANK('RESUMEN VIGILANCIA'!J106),"",'RESUMEN VIGILANCIA'!J106)</f>
        <v/>
      </c>
      <c r="L112" s="209" t="str">
        <f>IF(ISBLANK('RESUMEN VIGILANCIA'!K106),"",'RESUMEN VIGILANCIA'!K106)</f>
        <v/>
      </c>
      <c r="M112" s="209" t="str">
        <f>IF(ISBLANK('RESUMEN VIGILANCIA'!L106),"",'RESUMEN VIGILANCIA'!L106)</f>
        <v/>
      </c>
      <c r="N112" s="209" t="str">
        <f>IF(ISBLANK('RESUMEN VIGILANCIA'!M106),"",'RESUMEN VIGILANCIA'!M106)</f>
        <v/>
      </c>
      <c r="O112" s="209" t="str">
        <f>IF(ISBLANK('RESUMEN VIGILANCIA'!N106),"",'RESUMEN VIGILANCIA'!N106)</f>
        <v/>
      </c>
      <c r="P112" s="292" t="str">
        <f>IF(ISBLANK('RESUMEN VIGILANCIA'!O106),"",'RESUMEN VIGILANCIA'!O106)</f>
        <v/>
      </c>
      <c r="Q112" s="207" t="str">
        <f>IF(ISBLANK('RESUMEN VIGILANCIA'!P106),"",'RESUMEN VIGILANCIA'!P106)</f>
        <v/>
      </c>
      <c r="R112" s="293" t="str">
        <f>IF(ISBLANK('RESUMEN VIGILANCIA'!Q106),"",'RESUMEN VIGILANCIA'!Q106)</f>
        <v/>
      </c>
      <c r="S112" s="292" t="str">
        <f>IF(ISBLANK('RESUMEN VIGILANCIA'!R106),"",'RESUMEN VIGILANCIA'!R106)</f>
        <v/>
      </c>
      <c r="T112" s="292" t="str">
        <f>IF(ISBLANK('RESUMEN VIGILANCIA'!S106),"",'RESUMEN VIGILANCIA'!S106)</f>
        <v/>
      </c>
      <c r="U112" s="292" t="str">
        <f>IF(ISBLANK('RESUMEN VIGILANCIA'!T106),"",'RESUMEN VIGILANCIA'!T106)</f>
        <v/>
      </c>
      <c r="V112" s="270">
        <f>IF(ISBLANK('RESUMEN VIGILANCIA'!U106),"",'RESUMEN VIGILANCIA'!U106)</f>
        <v>4</v>
      </c>
      <c r="W112" s="270">
        <f>IF(ISBLANK('RESUMEN VIGILANCIA'!V106),"",'RESUMEN VIGILANCIA'!V106)</f>
        <v>6.25</v>
      </c>
      <c r="X112" s="270">
        <f>IF(ISBLANK('RESUMEN VIGILANCIA'!W106),"",'RESUMEN VIGILANCIA'!W106)</f>
        <v>10</v>
      </c>
      <c r="Y112" s="270">
        <f>IF(ISBLANK('RESUMEN VIGILANCIA'!X106),"",'RESUMEN VIGILANCIA'!X106)</f>
        <v>12</v>
      </c>
      <c r="Z112" s="455">
        <f>IF(ISBLANK('RESUMEN VIGILANCIA'!Y106),"",'RESUMEN VIGILANCIA'!Y106)</f>
        <v>320</v>
      </c>
      <c r="AA112" s="455">
        <f>IF(ISBLANK('RESUMEN VIGILANCIA'!Z106),"",'RESUMEN VIGILANCIA'!Z106)</f>
        <v>320</v>
      </c>
      <c r="AB112" s="455">
        <f>IF(ISBLANK('RESUMEN VIGILANCIA'!AA106),"",'RESUMEN VIGILANCIA'!AA106)</f>
        <v>320</v>
      </c>
      <c r="AC112" s="456">
        <f>IF(ISBLANK('RESUMEN VIGILANCIA'!AB106),"",'RESUMEN VIGILANCIA'!AB106)</f>
        <v>800</v>
      </c>
      <c r="AD112" s="376">
        <f>IF(ISBLANK('RESUMEN VIGILANCIA'!AC106),"",'RESUMEN VIGILANCIA'!AC106)</f>
        <v>3000</v>
      </c>
      <c r="AE112" s="377">
        <f>IF(ISBLANK('RESUMEN VIGILANCIA'!AD106),"",'RESUMEN VIGILANCIA'!AD106)</f>
        <v>3000</v>
      </c>
      <c r="AF112" s="377">
        <f>IF(ISBLANK('RESUMEN VIGILANCIA'!AE106),"",'RESUMEN VIGILANCIA'!AE106)</f>
        <v>3000</v>
      </c>
      <c r="AG112" s="377">
        <f>IF(ISBLANK('RESUMEN VIGILANCIA'!AF106),"",'RESUMEN VIGILANCIA'!AF106)</f>
        <v>5000</v>
      </c>
      <c r="AH112" s="377">
        <f>IF(ISBLANK('RESUMEN VIGILANCIA'!AG106),"",'RESUMEN VIGILANCIA'!AG106)</f>
        <v>8000</v>
      </c>
      <c r="AI112" s="377">
        <f>IF(ISBLANK('RESUMEN VIGILANCIA'!AH106),"",'RESUMEN VIGILANCIA'!AH106)</f>
        <v>8000</v>
      </c>
      <c r="AJ112" s="377">
        <f>IF(ISBLANK('RESUMEN VIGILANCIA'!AI106),"",'RESUMEN VIGILANCIA'!AI106)</f>
        <v>10000</v>
      </c>
      <c r="AK112" s="377">
        <f>IF(ISBLANK('RESUMEN VIGILANCIA'!AJ106),"",'RESUMEN VIGILANCIA'!AJ106)</f>
        <v>10000</v>
      </c>
      <c r="AL112" s="377">
        <f>IF(ISBLANK('RESUMEN VIGILANCIA'!AK106),"",'RESUMEN VIGILANCIA'!AK106)</f>
        <v>23400</v>
      </c>
      <c r="AM112" s="377">
        <f>IF(ISBLANK('RESUMEN VIGILANCIA'!AL106),"",'RESUMEN VIGILANCIA'!AL106)</f>
        <v>47000</v>
      </c>
      <c r="AN112" s="377">
        <f>IF(ISBLANK('RESUMEN VIGILANCIA'!AM106),"",'RESUMEN VIGILANCIA'!AM106)</f>
        <v>73500</v>
      </c>
      <c r="AO112" s="378">
        <f>IF(ISBLANK('RESUMEN VIGILANCIA'!AN106),"",'RESUMEN VIGILANCIA'!AN106)</f>
        <v>97500</v>
      </c>
      <c r="AP112" s="376">
        <f>IF(ISBLANK('RESUMEN VIGILANCIA'!AO106),"",'RESUMEN VIGILANCIA'!AO106)</f>
        <v>136250</v>
      </c>
      <c r="AQ112" s="377">
        <f>IF(ISBLANK('RESUMEN VIGILANCIA'!AP106),"",'RESUMEN VIGILANCIA'!AP106)</f>
        <v>136250</v>
      </c>
      <c r="AR112" s="377">
        <f>IF(ISBLANK('RESUMEN VIGILANCIA'!AQ106),"",'RESUMEN VIGILANCIA'!AQ106)</f>
        <v>185250</v>
      </c>
      <c r="AS112" s="377">
        <f>IF(ISBLANK('RESUMEN VIGILANCIA'!AR106),"",'RESUMEN VIGILANCIA'!AR106)</f>
        <v>185250</v>
      </c>
      <c r="AT112" s="377">
        <f>IF(ISBLANK('RESUMEN VIGILANCIA'!AS106),"",'RESUMEN VIGILANCIA'!AS106)</f>
        <v>250000</v>
      </c>
      <c r="AU112" s="377" t="str">
        <f>IF(ISBLANK('RESUMEN VIGILANCIA'!AT106),"",'RESUMEN VIGILANCIA'!AT106)</f>
        <v/>
      </c>
      <c r="AV112" s="377" t="str">
        <f>IF(ISBLANK('RESUMEN VIGILANCIA'!AU106),"",'RESUMEN VIGILANCIA'!AU106)</f>
        <v/>
      </c>
      <c r="AW112" s="377" t="str">
        <f>IF(ISBLANK('RESUMEN VIGILANCIA'!AV106),"",'RESUMEN VIGILANCIA'!AV106)</f>
        <v/>
      </c>
      <c r="AX112" s="377" t="str">
        <f>IF(ISBLANK('RESUMEN VIGILANCIA'!AW106),"",'RESUMEN VIGILANCIA'!AW106)</f>
        <v/>
      </c>
      <c r="AY112" s="377" t="str">
        <f>IF(ISBLANK('RESUMEN VIGILANCIA'!AX106),"",'RESUMEN VIGILANCIA'!AX106)</f>
        <v/>
      </c>
      <c r="AZ112" s="377" t="str">
        <f>IF(ISBLANK('RESUMEN VIGILANCIA'!AY106),"",'RESUMEN VIGILANCIA'!AY106)</f>
        <v/>
      </c>
      <c r="BA112" s="378" t="str">
        <f>IF(ISBLANK('RESUMEN VIGILANCIA'!AZ106),"",'RESUMEN VIGILANCIA'!AZ106)</f>
        <v/>
      </c>
      <c r="BB112" s="242">
        <f t="shared" si="10"/>
        <v>293192.25</v>
      </c>
      <c r="BC112" s="112">
        <v>43221</v>
      </c>
      <c r="BD112" s="112"/>
    </row>
    <row r="113" spans="1:56" s="29" customFormat="1" ht="20.100000000000001" customHeight="1">
      <c r="A113" s="30" t="str">
        <f>'RESUMEN VIGILANCIA'!A117</f>
        <v>Familia Guerra Miret</v>
      </c>
      <c r="B113" s="31" t="str">
        <f>'RESUMEN VIGILANCIA'!B117</f>
        <v>Calle Güigüe Nro. 89-40</v>
      </c>
      <c r="C113" s="429" t="s">
        <v>1316</v>
      </c>
      <c r="D113" s="436" t="s">
        <v>17</v>
      </c>
      <c r="E113" s="417" t="str">
        <f>IF(ISBLANK('RESUMEN VIGILANCIA'!D117),"",'RESUMEN VIGILANCIA'!D117)</f>
        <v/>
      </c>
      <c r="F113" s="273">
        <f>IF(ISBLANK('RESUMEN VIGILANCIA'!E117),"",'RESUMEN VIGILANCIA'!E117)</f>
        <v>0.12</v>
      </c>
      <c r="G113" s="182">
        <f>IF(ISBLANK('RESUMEN VIGILANCIA'!F117),"",'RESUMEN VIGILANCIA'!F117)</f>
        <v>0.12</v>
      </c>
      <c r="H113" s="182">
        <f>IF(ISBLANK('RESUMEN VIGILANCIA'!G117),"",'RESUMEN VIGILANCIA'!G117)</f>
        <v>0.12</v>
      </c>
      <c r="I113" s="181">
        <f>IF(ISBLANK('RESUMEN VIGILANCIA'!H117),"",'RESUMEN VIGILANCIA'!H117)</f>
        <v>0.17</v>
      </c>
      <c r="J113" s="225" t="str">
        <f>IF(ISBLANK('RESUMEN VIGILANCIA'!I117),"",'RESUMEN VIGILANCIA'!I117)</f>
        <v/>
      </c>
      <c r="K113" s="181">
        <f>IF(ISBLANK('RESUMEN VIGILANCIA'!J117),"",'RESUMEN VIGILANCIA'!J117)</f>
        <v>0.26</v>
      </c>
      <c r="L113" s="181">
        <f>IF(ISBLANK('RESUMEN VIGILANCIA'!K117),"",'RESUMEN VIGILANCIA'!K117)</f>
        <v>0.35000000000000003</v>
      </c>
      <c r="M113" s="181">
        <f>IF(ISBLANK('RESUMEN VIGILANCIA'!L117),"",'RESUMEN VIGILANCIA'!L117)</f>
        <v>0.35000000000000003</v>
      </c>
      <c r="N113" s="181">
        <f>IF(ISBLANK('RESUMEN VIGILANCIA'!M117),"",'RESUMEN VIGILANCIA'!M117)</f>
        <v>0.35000000000000003</v>
      </c>
      <c r="O113" s="181">
        <f>IF(ISBLANK('RESUMEN VIGILANCIA'!N117),"",'RESUMEN VIGILANCIA'!N117)</f>
        <v>0.35000000000000003</v>
      </c>
      <c r="P113" s="270">
        <f>IF(ISBLANK('RESUMEN VIGILANCIA'!O117),"",'RESUMEN VIGILANCIA'!O117)</f>
        <v>0.5</v>
      </c>
      <c r="Q113" s="179">
        <f>IF(ISBLANK('RESUMEN VIGILANCIA'!P117),"",'RESUMEN VIGILANCIA'!P117)</f>
        <v>0.5</v>
      </c>
      <c r="R113" s="271">
        <f>IF(ISBLANK('RESUMEN VIGILANCIA'!Q117),"",'RESUMEN VIGILANCIA'!Q117)</f>
        <v>0.8</v>
      </c>
      <c r="S113" s="270">
        <f>IF(ISBLANK('RESUMEN VIGILANCIA'!R117),"",'RESUMEN VIGILANCIA'!R117)</f>
        <v>0.8</v>
      </c>
      <c r="T113" s="270">
        <f>IF(ISBLANK('RESUMEN VIGILANCIA'!S117),"",'RESUMEN VIGILANCIA'!S117)</f>
        <v>1.4</v>
      </c>
      <c r="U113" s="270">
        <f>IF(ISBLANK('RESUMEN VIGILANCIA'!T117),"",'RESUMEN VIGILANCIA'!T117)</f>
        <v>1.4</v>
      </c>
      <c r="V113" s="270">
        <f>IF(ISBLANK('RESUMEN VIGILANCIA'!U117),"",'RESUMEN VIGILANCIA'!U117)</f>
        <v>4</v>
      </c>
      <c r="W113" s="270">
        <f>IF(ISBLANK('RESUMEN VIGILANCIA'!V117),"",'RESUMEN VIGILANCIA'!V117)</f>
        <v>6.25</v>
      </c>
      <c r="X113" s="270">
        <f>IF(ISBLANK('RESUMEN VIGILANCIA'!W117),"",'RESUMEN VIGILANCIA'!W117)</f>
        <v>10</v>
      </c>
      <c r="Y113" s="270">
        <f>IF(ISBLANK('RESUMEN VIGILANCIA'!X117),"",'RESUMEN VIGILANCIA'!X117)</f>
        <v>12</v>
      </c>
      <c r="Z113" s="455">
        <f>IF(ISBLANK('RESUMEN VIGILANCIA'!Y117),"",'RESUMEN VIGILANCIA'!Y117)</f>
        <v>320</v>
      </c>
      <c r="AA113" s="455">
        <f>IF(ISBLANK('RESUMEN VIGILANCIA'!Z117),"",'RESUMEN VIGILANCIA'!Z117)</f>
        <v>320</v>
      </c>
      <c r="AB113" s="455">
        <f>IF(ISBLANK('RESUMEN VIGILANCIA'!AA117),"",'RESUMEN VIGILANCIA'!AA117)</f>
        <v>320</v>
      </c>
      <c r="AC113" s="456">
        <f>IF(ISBLANK('RESUMEN VIGILANCIA'!AB117),"",'RESUMEN VIGILANCIA'!AB117)</f>
        <v>800</v>
      </c>
      <c r="AD113" s="376">
        <f>IF(ISBLANK('RESUMEN VIGILANCIA'!AC117),"",'RESUMEN VIGILANCIA'!AC117)</f>
        <v>3000</v>
      </c>
      <c r="AE113" s="377">
        <f>IF(ISBLANK('RESUMEN VIGILANCIA'!AD117),"",'RESUMEN VIGILANCIA'!AD117)</f>
        <v>3000</v>
      </c>
      <c r="AF113" s="377">
        <f>IF(ISBLANK('RESUMEN VIGILANCIA'!AE117),"",'RESUMEN VIGILANCIA'!AE117)</f>
        <v>3000</v>
      </c>
      <c r="AG113" s="377">
        <f>IF(ISBLANK('RESUMEN VIGILANCIA'!AF117),"",'RESUMEN VIGILANCIA'!AF117)</f>
        <v>5000</v>
      </c>
      <c r="AH113" s="377">
        <f>IF(ISBLANK('RESUMEN VIGILANCIA'!AG117),"",'RESUMEN VIGILANCIA'!AG117)</f>
        <v>8000</v>
      </c>
      <c r="AI113" s="377">
        <f>IF(ISBLANK('RESUMEN VIGILANCIA'!AH117),"",'RESUMEN VIGILANCIA'!AH117)</f>
        <v>8000</v>
      </c>
      <c r="AJ113" s="377">
        <f>IF(ISBLANK('RESUMEN VIGILANCIA'!AI117),"",'RESUMEN VIGILANCIA'!AI117)</f>
        <v>10000</v>
      </c>
      <c r="AK113" s="377">
        <f>IF(ISBLANK('RESUMEN VIGILANCIA'!AJ117),"",'RESUMEN VIGILANCIA'!AJ117)</f>
        <v>10000</v>
      </c>
      <c r="AL113" s="377">
        <f>IF(ISBLANK('RESUMEN VIGILANCIA'!AK117),"",'RESUMEN VIGILANCIA'!AK117)</f>
        <v>23400</v>
      </c>
      <c r="AM113" s="377">
        <f>IF(ISBLANK('RESUMEN VIGILANCIA'!AL117),"",'RESUMEN VIGILANCIA'!AL117)</f>
        <v>51250</v>
      </c>
      <c r="AN113" s="377">
        <f>IF(ISBLANK('RESUMEN VIGILANCIA'!AM117),"",'RESUMEN VIGILANCIA'!AM117)</f>
        <v>51250</v>
      </c>
      <c r="AO113" s="378">
        <f>IF(ISBLANK('RESUMEN VIGILANCIA'!AN117),"",'RESUMEN VIGILANCIA'!AN117)</f>
        <v>81750</v>
      </c>
      <c r="AP113" s="376">
        <f>IF(ISBLANK('RESUMEN VIGILANCIA'!AO117),"",'RESUMEN VIGILANCIA'!AO117)</f>
        <v>105250</v>
      </c>
      <c r="AQ113" s="377">
        <f>IF(ISBLANK('RESUMEN VIGILANCIA'!AP117),"",'RESUMEN VIGILANCIA'!AP117)</f>
        <v>136250</v>
      </c>
      <c r="AR113" s="377">
        <f>IF(ISBLANK('RESUMEN VIGILANCIA'!AQ117),"",'RESUMEN VIGILANCIA'!AQ117)</f>
        <v>185250</v>
      </c>
      <c r="AS113" s="377">
        <f>IF(ISBLANK('RESUMEN VIGILANCIA'!AR117),"",'RESUMEN VIGILANCIA'!AR117)</f>
        <v>185250</v>
      </c>
      <c r="AT113" s="377">
        <f>IF(ISBLANK('RESUMEN VIGILANCIA'!AS117),"",'RESUMEN VIGILANCIA'!AS117)</f>
        <v>250000</v>
      </c>
      <c r="AU113" s="377" t="str">
        <f>IF(ISBLANK('RESUMEN VIGILANCIA'!AT117),"",'RESUMEN VIGILANCIA'!AT117)</f>
        <v/>
      </c>
      <c r="AV113" s="377" t="str">
        <f>IF(ISBLANK('RESUMEN VIGILANCIA'!AU117),"",'RESUMEN VIGILANCIA'!AU117)</f>
        <v/>
      </c>
      <c r="AW113" s="377" t="str">
        <f>IF(ISBLANK('RESUMEN VIGILANCIA'!AV117),"",'RESUMEN VIGILANCIA'!AV117)</f>
        <v/>
      </c>
      <c r="AX113" s="377" t="str">
        <f>IF(ISBLANK('RESUMEN VIGILANCIA'!AW117),"",'RESUMEN VIGILANCIA'!AW117)</f>
        <v/>
      </c>
      <c r="AY113" s="377" t="str">
        <f>IF(ISBLANK('RESUMEN VIGILANCIA'!AX117),"",'RESUMEN VIGILANCIA'!AX117)</f>
        <v/>
      </c>
      <c r="AZ113" s="377" t="str">
        <f>IF(ISBLANK('RESUMEN VIGILANCIA'!AY117),"",'RESUMEN VIGILANCIA'!AY117)</f>
        <v/>
      </c>
      <c r="BA113" s="378" t="str">
        <f>IF(ISBLANK('RESUMEN VIGILANCIA'!AZ117),"",'RESUMEN VIGILANCIA'!AZ117)</f>
        <v/>
      </c>
      <c r="BB113" s="242">
        <f t="shared" si="10"/>
        <v>259449.84</v>
      </c>
      <c r="BC113" s="112"/>
      <c r="BD113" s="112"/>
    </row>
    <row r="114" spans="1:56" s="29" customFormat="1" ht="20.100000000000001" customHeight="1">
      <c r="A114" s="30" t="str">
        <f>'RESUMEN VIGILANCIA'!A118</f>
        <v>Familia Jiménez Salvatierra</v>
      </c>
      <c r="B114" s="31" t="str">
        <f>'RESUMEN VIGILANCIA'!B118</f>
        <v>Calle Güigüe Nro. 89-45</v>
      </c>
      <c r="C114" s="429" t="s">
        <v>1317</v>
      </c>
      <c r="D114" s="436" t="s">
        <v>1315</v>
      </c>
      <c r="E114" s="417" t="str">
        <f>IF(ISBLANK('RESUMEN VIGILANCIA'!D118),"",'RESUMEN VIGILANCIA'!D118)</f>
        <v/>
      </c>
      <c r="F114" s="269">
        <f>IF(ISBLANK('RESUMEN VIGILANCIA'!E118),"",'RESUMEN VIGILANCIA'!E118)</f>
        <v>0.17</v>
      </c>
      <c r="G114" s="181">
        <f>IF(ISBLANK('RESUMEN VIGILANCIA'!F118),"",'RESUMEN VIGILANCIA'!F118)</f>
        <v>0.17</v>
      </c>
      <c r="H114" s="181">
        <f>IF(ISBLANK('RESUMEN VIGILANCIA'!G118),"",'RESUMEN VIGILANCIA'!G118)</f>
        <v>0.17</v>
      </c>
      <c r="I114" s="181">
        <f>IF(ISBLANK('RESUMEN VIGILANCIA'!H118),"",'RESUMEN VIGILANCIA'!H118)</f>
        <v>0.17</v>
      </c>
      <c r="J114" s="181">
        <f>IF(ISBLANK('RESUMEN VIGILANCIA'!I118),"",'RESUMEN VIGILANCIA'!I118)</f>
        <v>0.26</v>
      </c>
      <c r="K114" s="181">
        <f>IF(ISBLANK('RESUMEN VIGILANCIA'!J118),"",'RESUMEN VIGILANCIA'!J118)</f>
        <v>0.26</v>
      </c>
      <c r="L114" s="181">
        <f>IF(ISBLANK('RESUMEN VIGILANCIA'!K118),"",'RESUMEN VIGILANCIA'!K118)</f>
        <v>0.35</v>
      </c>
      <c r="M114" s="181">
        <f>IF(ISBLANK('RESUMEN VIGILANCIA'!L118),"",'RESUMEN VIGILANCIA'!L118)</f>
        <v>0.35</v>
      </c>
      <c r="N114" s="181">
        <f>IF(ISBLANK('RESUMEN VIGILANCIA'!M118),"",'RESUMEN VIGILANCIA'!M118)</f>
        <v>0.35</v>
      </c>
      <c r="O114" s="181">
        <f>IF(ISBLANK('RESUMEN VIGILANCIA'!N118),"",'RESUMEN VIGILANCIA'!N118)</f>
        <v>0.35</v>
      </c>
      <c r="P114" s="270">
        <f>IF(ISBLANK('RESUMEN VIGILANCIA'!O118),"",'RESUMEN VIGILANCIA'!O118)</f>
        <v>0.5</v>
      </c>
      <c r="Q114" s="179">
        <f>IF(ISBLANK('RESUMEN VIGILANCIA'!P118),"",'RESUMEN VIGILANCIA'!P118)</f>
        <v>0.5</v>
      </c>
      <c r="R114" s="271">
        <f>IF(ISBLANK('RESUMEN VIGILANCIA'!Q118),"",'RESUMEN VIGILANCIA'!Q118)</f>
        <v>0.8</v>
      </c>
      <c r="S114" s="270">
        <f>IF(ISBLANK('RESUMEN VIGILANCIA'!R118),"",'RESUMEN VIGILANCIA'!R118)</f>
        <v>0.8</v>
      </c>
      <c r="T114" s="270">
        <f>IF(ISBLANK('RESUMEN VIGILANCIA'!S118),"",'RESUMEN VIGILANCIA'!S118)</f>
        <v>1.4</v>
      </c>
      <c r="U114" s="270">
        <f>IF(ISBLANK('RESUMEN VIGILANCIA'!T118),"",'RESUMEN VIGILANCIA'!T118)</f>
        <v>1.4</v>
      </c>
      <c r="V114" s="270">
        <f>IF(ISBLANK('RESUMEN VIGILANCIA'!U118),"",'RESUMEN VIGILANCIA'!U118)</f>
        <v>4</v>
      </c>
      <c r="W114" s="270">
        <f>IF(ISBLANK('RESUMEN VIGILANCIA'!V118),"",'RESUMEN VIGILANCIA'!V118)</f>
        <v>6.25</v>
      </c>
      <c r="X114" s="270">
        <f>IF(ISBLANK('RESUMEN VIGILANCIA'!W118),"",'RESUMEN VIGILANCIA'!W118)</f>
        <v>10</v>
      </c>
      <c r="Y114" s="270">
        <f>IF(ISBLANK('RESUMEN VIGILANCIA'!X118),"",'RESUMEN VIGILANCIA'!X118)</f>
        <v>12</v>
      </c>
      <c r="Z114" s="455" t="str">
        <f>IF(ISBLANK('RESUMEN VIGILANCIA'!Y118),"",'RESUMEN VIGILANCIA'!Y118)</f>
        <v/>
      </c>
      <c r="AA114" s="455" t="str">
        <f>IF(ISBLANK('RESUMEN VIGILANCIA'!Z118),"",'RESUMEN VIGILANCIA'!Z118)</f>
        <v/>
      </c>
      <c r="AB114" s="455" t="str">
        <f>IF(ISBLANK('RESUMEN VIGILANCIA'!AA118),"",'RESUMEN VIGILANCIA'!AA118)</f>
        <v/>
      </c>
      <c r="AC114" s="456" t="str">
        <f>IF(ISBLANK('RESUMEN VIGILANCIA'!AB118),"",'RESUMEN VIGILANCIA'!AB118)</f>
        <v/>
      </c>
      <c r="AD114" s="376" t="str">
        <f>IF(ISBLANK('RESUMEN VIGILANCIA'!AC118),"",'RESUMEN VIGILANCIA'!AC118)</f>
        <v/>
      </c>
      <c r="AE114" s="377" t="str">
        <f>IF(ISBLANK('RESUMEN VIGILANCIA'!AD118),"",'RESUMEN VIGILANCIA'!AD118)</f>
        <v/>
      </c>
      <c r="AF114" s="377" t="str">
        <f>IF(ISBLANK('RESUMEN VIGILANCIA'!AE118),"",'RESUMEN VIGILANCIA'!AE118)</f>
        <v/>
      </c>
      <c r="AG114" s="377" t="str">
        <f>IF(ISBLANK('RESUMEN VIGILANCIA'!AF118),"",'RESUMEN VIGILANCIA'!AF118)</f>
        <v/>
      </c>
      <c r="AH114" s="377" t="str">
        <f>IF(ISBLANK('RESUMEN VIGILANCIA'!AG118),"",'RESUMEN VIGILANCIA'!AG118)</f>
        <v/>
      </c>
      <c r="AI114" s="377" t="str">
        <f>IF(ISBLANK('RESUMEN VIGILANCIA'!AH118),"",'RESUMEN VIGILANCIA'!AH118)</f>
        <v/>
      </c>
      <c r="AJ114" s="377" t="str">
        <f>IF(ISBLANK('RESUMEN VIGILANCIA'!AI118),"",'RESUMEN VIGILANCIA'!AI118)</f>
        <v/>
      </c>
      <c r="AK114" s="377" t="str">
        <f>IF(ISBLANK('RESUMEN VIGILANCIA'!AJ118),"",'RESUMEN VIGILANCIA'!AJ118)</f>
        <v/>
      </c>
      <c r="AL114" s="377" t="str">
        <f>IF(ISBLANK('RESUMEN VIGILANCIA'!AK118),"",'RESUMEN VIGILANCIA'!AK118)</f>
        <v/>
      </c>
      <c r="AM114" s="377" t="str">
        <f>IF(ISBLANK('RESUMEN VIGILANCIA'!AL118),"",'RESUMEN VIGILANCIA'!AL118)</f>
        <v/>
      </c>
      <c r="AN114" s="377" t="str">
        <f>IF(ISBLANK('RESUMEN VIGILANCIA'!AM118),"",'RESUMEN VIGILANCIA'!AM118)</f>
        <v/>
      </c>
      <c r="AO114" s="378" t="str">
        <f>IF(ISBLANK('RESUMEN VIGILANCIA'!AN118),"",'RESUMEN VIGILANCIA'!AN118)</f>
        <v/>
      </c>
      <c r="AP114" s="376" t="str">
        <f>IF(ISBLANK('RESUMEN VIGILANCIA'!AO118),"",'RESUMEN VIGILANCIA'!AO118)</f>
        <v/>
      </c>
      <c r="AQ114" s="377" t="str">
        <f>IF(ISBLANK('RESUMEN VIGILANCIA'!AP118),"",'RESUMEN VIGILANCIA'!AP118)</f>
        <v/>
      </c>
      <c r="AR114" s="377" t="str">
        <f>IF(ISBLANK('RESUMEN VIGILANCIA'!AQ118),"",'RESUMEN VIGILANCIA'!AQ118)</f>
        <v/>
      </c>
      <c r="AS114" s="377" t="str">
        <f>IF(ISBLANK('RESUMEN VIGILANCIA'!AR118),"",'RESUMEN VIGILANCIA'!AR118)</f>
        <v/>
      </c>
      <c r="AT114" s="377" t="str">
        <f>IF(ISBLANK('RESUMEN VIGILANCIA'!AS118),"",'RESUMEN VIGILANCIA'!AS118)</f>
        <v/>
      </c>
      <c r="AU114" s="377" t="str">
        <f>IF(ISBLANK('RESUMEN VIGILANCIA'!AT118),"",'RESUMEN VIGILANCIA'!AT118)</f>
        <v/>
      </c>
      <c r="AV114" s="377" t="str">
        <f>IF(ISBLANK('RESUMEN VIGILANCIA'!AU118),"",'RESUMEN VIGILANCIA'!AU118)</f>
        <v/>
      </c>
      <c r="AW114" s="377" t="str">
        <f>IF(ISBLANK('RESUMEN VIGILANCIA'!AV118),"",'RESUMEN VIGILANCIA'!AV118)</f>
        <v/>
      </c>
      <c r="AX114" s="377" t="str">
        <f>IF(ISBLANK('RESUMEN VIGILANCIA'!AW118),"",'RESUMEN VIGILANCIA'!AW118)</f>
        <v/>
      </c>
      <c r="AY114" s="377" t="str">
        <f>IF(ISBLANK('RESUMEN VIGILANCIA'!AX118),"",'RESUMEN VIGILANCIA'!AX118)</f>
        <v/>
      </c>
      <c r="AZ114" s="377" t="str">
        <f>IF(ISBLANK('RESUMEN VIGILANCIA'!AY118),"",'RESUMEN VIGILANCIA'!AY118)</f>
        <v/>
      </c>
      <c r="BA114" s="378" t="str">
        <f>IF(ISBLANK('RESUMEN VIGILANCIA'!AZ118),"",'RESUMEN VIGILANCIA'!AZ118)</f>
        <v/>
      </c>
      <c r="BB114" s="242">
        <f t="shared" si="10"/>
        <v>40.25</v>
      </c>
      <c r="BC114" s="112"/>
      <c r="BD114" s="112"/>
    </row>
    <row r="115" spans="1:56" s="29" customFormat="1" ht="20.100000000000001" customHeight="1">
      <c r="A115" s="30" t="str">
        <f>'RESUMEN VIGILANCIA'!A119</f>
        <v>Familia Alonso Rojas</v>
      </c>
      <c r="B115" s="31" t="str">
        <f>'RESUMEN VIGILANCIA'!B119</f>
        <v>Calle Güigüe Nro. 89-54</v>
      </c>
      <c r="C115" s="429" t="s">
        <v>1316</v>
      </c>
      <c r="D115" s="436" t="s">
        <v>17</v>
      </c>
      <c r="E115" s="417" t="str">
        <f>IF(ISBLANK('RESUMEN VIGILANCIA'!D119),"",'RESUMEN VIGILANCIA'!D119)</f>
        <v/>
      </c>
      <c r="F115" s="269" t="str">
        <f>IF(ISBLANK('RESUMEN VIGILANCIA'!E119),"",'RESUMEN VIGILANCIA'!E119)</f>
        <v/>
      </c>
      <c r="G115" s="181" t="str">
        <f>IF(ISBLANK('RESUMEN VIGILANCIA'!F119),"",'RESUMEN VIGILANCIA'!F119)</f>
        <v/>
      </c>
      <c r="H115" s="181" t="str">
        <f>IF(ISBLANK('RESUMEN VIGILANCIA'!G119),"",'RESUMEN VIGILANCIA'!G119)</f>
        <v/>
      </c>
      <c r="I115" s="181" t="str">
        <f>IF(ISBLANK('RESUMEN VIGILANCIA'!H119),"",'RESUMEN VIGILANCIA'!H119)</f>
        <v/>
      </c>
      <c r="J115" s="181" t="str">
        <f>IF(ISBLANK('RESUMEN VIGILANCIA'!I119),"",'RESUMEN VIGILANCIA'!I119)</f>
        <v/>
      </c>
      <c r="K115" s="181" t="str">
        <f>IF(ISBLANK('RESUMEN VIGILANCIA'!J119),"",'RESUMEN VIGILANCIA'!J119)</f>
        <v/>
      </c>
      <c r="L115" s="181" t="str">
        <f>IF(ISBLANK('RESUMEN VIGILANCIA'!K119),"",'RESUMEN VIGILANCIA'!K119)</f>
        <v/>
      </c>
      <c r="M115" s="181" t="str">
        <f>IF(ISBLANK('RESUMEN VIGILANCIA'!L119),"",'RESUMEN VIGILANCIA'!L119)</f>
        <v/>
      </c>
      <c r="N115" s="181" t="str">
        <f>IF(ISBLANK('RESUMEN VIGILANCIA'!M119),"",'RESUMEN VIGILANCIA'!M119)</f>
        <v/>
      </c>
      <c r="O115" s="181" t="str">
        <f>IF(ISBLANK('RESUMEN VIGILANCIA'!N119),"",'RESUMEN VIGILANCIA'!N119)</f>
        <v/>
      </c>
      <c r="P115" s="270">
        <f>IF(ISBLANK('RESUMEN VIGILANCIA'!O119),"",'RESUMEN VIGILANCIA'!O119)</f>
        <v>0.5</v>
      </c>
      <c r="Q115" s="179">
        <f>IF(ISBLANK('RESUMEN VIGILANCIA'!P119),"",'RESUMEN VIGILANCIA'!P119)</f>
        <v>0.5</v>
      </c>
      <c r="R115" s="271">
        <f>IF(ISBLANK('RESUMEN VIGILANCIA'!Q119),"",'RESUMEN VIGILANCIA'!Q119)</f>
        <v>0.8</v>
      </c>
      <c r="S115" s="270">
        <f>IF(ISBLANK('RESUMEN VIGILANCIA'!R119),"",'RESUMEN VIGILANCIA'!R119)</f>
        <v>0.8</v>
      </c>
      <c r="T115" s="270">
        <f>IF(ISBLANK('RESUMEN VIGILANCIA'!S119),"",'RESUMEN VIGILANCIA'!S119)</f>
        <v>1.4</v>
      </c>
      <c r="U115" s="270">
        <f>IF(ISBLANK('RESUMEN VIGILANCIA'!T119),"",'RESUMEN VIGILANCIA'!T119)</f>
        <v>1.4</v>
      </c>
      <c r="V115" s="270">
        <f>IF(ISBLANK('RESUMEN VIGILANCIA'!U119),"",'RESUMEN VIGILANCIA'!U119)</f>
        <v>4</v>
      </c>
      <c r="W115" s="270">
        <f>IF(ISBLANK('RESUMEN VIGILANCIA'!V119),"",'RESUMEN VIGILANCIA'!V119)</f>
        <v>6.25</v>
      </c>
      <c r="X115" s="270">
        <f>IF(ISBLANK('RESUMEN VIGILANCIA'!W119),"",'RESUMEN VIGILANCIA'!W119)</f>
        <v>10</v>
      </c>
      <c r="Y115" s="270">
        <f>IF(ISBLANK('RESUMEN VIGILANCIA'!X119),"",'RESUMEN VIGILANCIA'!X119)</f>
        <v>15</v>
      </c>
      <c r="Z115" s="455">
        <f>IF(ISBLANK('RESUMEN VIGILANCIA'!Y119),"",'RESUMEN VIGILANCIA'!Y119)</f>
        <v>320</v>
      </c>
      <c r="AA115" s="455">
        <f>IF(ISBLANK('RESUMEN VIGILANCIA'!Z119),"",'RESUMEN VIGILANCIA'!Z119)</f>
        <v>320</v>
      </c>
      <c r="AB115" s="455">
        <f>IF(ISBLANK('RESUMEN VIGILANCIA'!AA119),"",'RESUMEN VIGILANCIA'!AA119)</f>
        <v>320</v>
      </c>
      <c r="AC115" s="456">
        <f>IF(ISBLANK('RESUMEN VIGILANCIA'!AB119),"",'RESUMEN VIGILANCIA'!AB119)</f>
        <v>500</v>
      </c>
      <c r="AD115" s="376">
        <f>IF(ISBLANK('RESUMEN VIGILANCIA'!AC119),"",'RESUMEN VIGILANCIA'!AC119)</f>
        <v>3000</v>
      </c>
      <c r="AE115" s="377">
        <f>IF(ISBLANK('RESUMEN VIGILANCIA'!AD119),"",'RESUMEN VIGILANCIA'!AD119)</f>
        <v>3000</v>
      </c>
      <c r="AF115" s="377">
        <f>IF(ISBLANK('RESUMEN VIGILANCIA'!AE119),"",'RESUMEN VIGILANCIA'!AE119)</f>
        <v>3000</v>
      </c>
      <c r="AG115" s="377">
        <f>IF(ISBLANK('RESUMEN VIGILANCIA'!AF119),"",'RESUMEN VIGILANCIA'!AF119)</f>
        <v>5000</v>
      </c>
      <c r="AH115" s="377">
        <f>IF(ISBLANK('RESUMEN VIGILANCIA'!AG119),"",'RESUMEN VIGILANCIA'!AG119)</f>
        <v>8000</v>
      </c>
      <c r="AI115" s="377">
        <f>IF(ISBLANK('RESUMEN VIGILANCIA'!AH119),"",'RESUMEN VIGILANCIA'!AH119)</f>
        <v>8000</v>
      </c>
      <c r="AJ115" s="377">
        <f>IF(ISBLANK('RESUMEN VIGILANCIA'!AI119),"",'RESUMEN VIGILANCIA'!AI119)</f>
        <v>10000</v>
      </c>
      <c r="AK115" s="377">
        <f>IF(ISBLANK('RESUMEN VIGILANCIA'!AJ119),"",'RESUMEN VIGILANCIA'!AJ119)</f>
        <v>10000</v>
      </c>
      <c r="AL115" s="377">
        <f>IF(ISBLANK('RESUMEN VIGILANCIA'!AK119),"",'RESUMEN VIGILANCIA'!AK119)</f>
        <v>20000</v>
      </c>
      <c r="AM115" s="377">
        <f>IF(ISBLANK('RESUMEN VIGILANCIA'!AL119),"",'RESUMEN VIGILANCIA'!AL119)</f>
        <v>56250</v>
      </c>
      <c r="AN115" s="377">
        <f>IF(ISBLANK('RESUMEN VIGILANCIA'!AM119),"",'RESUMEN VIGILANCIA'!AM119)</f>
        <v>56250</v>
      </c>
      <c r="AO115" s="378">
        <f>IF(ISBLANK('RESUMEN VIGILANCIA'!AN119),"",'RESUMEN VIGILANCIA'!AN119)</f>
        <v>105250</v>
      </c>
      <c r="AP115" s="376">
        <f>IF(ISBLANK('RESUMEN VIGILANCIA'!AO119),"",'RESUMEN VIGILANCIA'!AO119)</f>
        <v>136250</v>
      </c>
      <c r="AQ115" s="377">
        <f>IF(ISBLANK('RESUMEN VIGILANCIA'!AP119),"",'RESUMEN VIGILANCIA'!AP119)</f>
        <v>140000</v>
      </c>
      <c r="AR115" s="377">
        <f>IF(ISBLANK('RESUMEN VIGILANCIA'!AQ119),"",'RESUMEN VIGILANCIA'!AQ119)</f>
        <v>200000</v>
      </c>
      <c r="AS115" s="377">
        <f>IF(ISBLANK('RESUMEN VIGILANCIA'!AR119),"",'RESUMEN VIGILANCIA'!AR119)</f>
        <v>185250</v>
      </c>
      <c r="AT115" s="377">
        <f>IF(ISBLANK('RESUMEN VIGILANCIA'!AS119),"",'RESUMEN VIGILANCIA'!AS119)</f>
        <v>264750</v>
      </c>
      <c r="AU115" s="377" t="str">
        <f>IF(ISBLANK('RESUMEN VIGILANCIA'!AT119),"",'RESUMEN VIGILANCIA'!AT119)</f>
        <v/>
      </c>
      <c r="AV115" s="377" t="str">
        <f>IF(ISBLANK('RESUMEN VIGILANCIA'!AU119),"",'RESUMEN VIGILANCIA'!AU119)</f>
        <v/>
      </c>
      <c r="AW115" s="377" t="str">
        <f>IF(ISBLANK('RESUMEN VIGILANCIA'!AV119),"",'RESUMEN VIGILANCIA'!AV119)</f>
        <v/>
      </c>
      <c r="AX115" s="377" t="str">
        <f>IF(ISBLANK('RESUMEN VIGILANCIA'!AW119),"",'RESUMEN VIGILANCIA'!AW119)</f>
        <v/>
      </c>
      <c r="AY115" s="377" t="str">
        <f>IF(ISBLANK('RESUMEN VIGILANCIA'!AX119),"",'RESUMEN VIGILANCIA'!AX119)</f>
        <v/>
      </c>
      <c r="AZ115" s="377" t="str">
        <f>IF(ISBLANK('RESUMEN VIGILANCIA'!AY119),"",'RESUMEN VIGILANCIA'!AY119)</f>
        <v/>
      </c>
      <c r="BA115" s="378" t="str">
        <f>IF(ISBLANK('RESUMEN VIGILANCIA'!AZ119),"",'RESUMEN VIGILANCIA'!AZ119)</f>
        <v/>
      </c>
      <c r="BB115" s="242">
        <f t="shared" si="10"/>
        <v>289250.65000000002</v>
      </c>
      <c r="BC115" s="112"/>
      <c r="BD115" s="112"/>
    </row>
    <row r="116" spans="1:56" s="29" customFormat="1" ht="20.100000000000001" customHeight="1">
      <c r="A116" s="30" t="str">
        <f>'RESUMEN VIGILANCIA'!A120</f>
        <v>Familia Fermín Rivas</v>
      </c>
      <c r="B116" s="31" t="str">
        <f>'RESUMEN VIGILANCIA'!B120</f>
        <v>Calle Güigüe Nro. 89-55</v>
      </c>
      <c r="C116" s="429" t="s">
        <v>1316</v>
      </c>
      <c r="D116" s="436" t="s">
        <v>17</v>
      </c>
      <c r="E116" s="417" t="str">
        <f>IF(ISBLANK('RESUMEN VIGILANCIA'!D120),"",'RESUMEN VIGILANCIA'!D120)</f>
        <v/>
      </c>
      <c r="F116" s="269">
        <f>IF(ISBLANK('RESUMEN VIGILANCIA'!E120),"",'RESUMEN VIGILANCIA'!E120)</f>
        <v>0.16999999999999998</v>
      </c>
      <c r="G116" s="181">
        <f>IF(ISBLANK('RESUMEN VIGILANCIA'!F120),"",'RESUMEN VIGILANCIA'!F120)</f>
        <v>0.16999999999999998</v>
      </c>
      <c r="H116" s="181">
        <f>IF(ISBLANK('RESUMEN VIGILANCIA'!G120),"",'RESUMEN VIGILANCIA'!G120)</f>
        <v>0.17</v>
      </c>
      <c r="I116" s="181">
        <f>IF(ISBLANK('RESUMEN VIGILANCIA'!H120),"",'RESUMEN VIGILANCIA'!H120)</f>
        <v>0.17</v>
      </c>
      <c r="J116" s="181">
        <f>IF(ISBLANK('RESUMEN VIGILANCIA'!I120),"",'RESUMEN VIGILANCIA'!I120)</f>
        <v>0.26</v>
      </c>
      <c r="K116" s="181">
        <f>IF(ISBLANK('RESUMEN VIGILANCIA'!J120),"",'RESUMEN VIGILANCIA'!J120)</f>
        <v>0.26</v>
      </c>
      <c r="L116" s="181">
        <f>IF(ISBLANK('RESUMEN VIGILANCIA'!K120),"",'RESUMEN VIGILANCIA'!K120)</f>
        <v>0.35</v>
      </c>
      <c r="M116" s="181">
        <f>IF(ISBLANK('RESUMEN VIGILANCIA'!L120),"",'RESUMEN VIGILANCIA'!L120)</f>
        <v>0.35</v>
      </c>
      <c r="N116" s="181">
        <f>IF(ISBLANK('RESUMEN VIGILANCIA'!M120),"",'RESUMEN VIGILANCIA'!M120)</f>
        <v>0.35</v>
      </c>
      <c r="O116" s="181">
        <f>IF(ISBLANK('RESUMEN VIGILANCIA'!N120),"",'RESUMEN VIGILANCIA'!N120)</f>
        <v>0.35</v>
      </c>
      <c r="P116" s="270">
        <f>IF(ISBLANK('RESUMEN VIGILANCIA'!O120),"",'RESUMEN VIGILANCIA'!O120)</f>
        <v>0.5</v>
      </c>
      <c r="Q116" s="179">
        <f>IF(ISBLANK('RESUMEN VIGILANCIA'!P120),"",'RESUMEN VIGILANCIA'!P120)</f>
        <v>0.5</v>
      </c>
      <c r="R116" s="271">
        <f>IF(ISBLANK('RESUMEN VIGILANCIA'!Q120),"",'RESUMEN VIGILANCIA'!Q120)</f>
        <v>0.8</v>
      </c>
      <c r="S116" s="270">
        <f>IF(ISBLANK('RESUMEN VIGILANCIA'!R120),"",'RESUMEN VIGILANCIA'!R120)</f>
        <v>0.8</v>
      </c>
      <c r="T116" s="270">
        <f>IF(ISBLANK('RESUMEN VIGILANCIA'!S120),"",'RESUMEN VIGILANCIA'!S120)</f>
        <v>1.4</v>
      </c>
      <c r="U116" s="270">
        <f>IF(ISBLANK('RESUMEN VIGILANCIA'!T120),"",'RESUMEN VIGILANCIA'!T120)</f>
        <v>1.4</v>
      </c>
      <c r="V116" s="270">
        <f>IF(ISBLANK('RESUMEN VIGILANCIA'!U120),"",'RESUMEN VIGILANCIA'!U120)</f>
        <v>4</v>
      </c>
      <c r="W116" s="270">
        <f>IF(ISBLANK('RESUMEN VIGILANCIA'!V120),"",'RESUMEN VIGILANCIA'!V120)</f>
        <v>6.25</v>
      </c>
      <c r="X116" s="270">
        <f>IF(ISBLANK('RESUMEN VIGILANCIA'!W120),"",'RESUMEN VIGILANCIA'!W120)</f>
        <v>10</v>
      </c>
      <c r="Y116" s="270">
        <f>IF(ISBLANK('RESUMEN VIGILANCIA'!X120),"",'RESUMEN VIGILANCIA'!X120)</f>
        <v>12</v>
      </c>
      <c r="Z116" s="455">
        <f>IF(ISBLANK('RESUMEN VIGILANCIA'!Y120),"",'RESUMEN VIGILANCIA'!Y120)</f>
        <v>320</v>
      </c>
      <c r="AA116" s="455">
        <f>IF(ISBLANK('RESUMEN VIGILANCIA'!Z120),"",'RESUMEN VIGILANCIA'!Z120)</f>
        <v>320</v>
      </c>
      <c r="AB116" s="455">
        <f>IF(ISBLANK('RESUMEN VIGILANCIA'!AA120),"",'RESUMEN VIGILANCIA'!AA120)</f>
        <v>320</v>
      </c>
      <c r="AC116" s="456">
        <f>IF(ISBLANK('RESUMEN VIGILANCIA'!AB120),"",'RESUMEN VIGILANCIA'!AB120)</f>
        <v>800</v>
      </c>
      <c r="AD116" s="376">
        <f>IF(ISBLANK('RESUMEN VIGILANCIA'!AC120),"",'RESUMEN VIGILANCIA'!AC120)</f>
        <v>3000</v>
      </c>
      <c r="AE116" s="377">
        <f>IF(ISBLANK('RESUMEN VIGILANCIA'!AD120),"",'RESUMEN VIGILANCIA'!AD120)</f>
        <v>3000</v>
      </c>
      <c r="AF116" s="377">
        <f>IF(ISBLANK('RESUMEN VIGILANCIA'!AE120),"",'RESUMEN VIGILANCIA'!AE120)</f>
        <v>3000</v>
      </c>
      <c r="AG116" s="377">
        <f>IF(ISBLANK('RESUMEN VIGILANCIA'!AF120),"",'RESUMEN VIGILANCIA'!AF120)</f>
        <v>8000</v>
      </c>
      <c r="AH116" s="377">
        <f>IF(ISBLANK('RESUMEN VIGILANCIA'!AG120),"",'RESUMEN VIGILANCIA'!AG120)</f>
        <v>8000</v>
      </c>
      <c r="AI116" s="377">
        <f>IF(ISBLANK('RESUMEN VIGILANCIA'!AH120),"",'RESUMEN VIGILANCIA'!AH120)</f>
        <v>8000</v>
      </c>
      <c r="AJ116" s="377">
        <f>IF(ISBLANK('RESUMEN VIGILANCIA'!AI120),"",'RESUMEN VIGILANCIA'!AI120)</f>
        <v>10000</v>
      </c>
      <c r="AK116" s="377">
        <f>IF(ISBLANK('RESUMEN VIGILANCIA'!AJ120),"",'RESUMEN VIGILANCIA'!AJ120)</f>
        <v>10000</v>
      </c>
      <c r="AL116" s="377">
        <f>IF(ISBLANK('RESUMEN VIGILANCIA'!AK120),"",'RESUMEN VIGILANCIA'!AK120)</f>
        <v>23401</v>
      </c>
      <c r="AM116" s="377">
        <f>IF(ISBLANK('RESUMEN VIGILANCIA'!AL120),"",'RESUMEN VIGILANCIA'!AL120)</f>
        <v>47000</v>
      </c>
      <c r="AN116" s="377">
        <f>IF(ISBLANK('RESUMEN VIGILANCIA'!AM120),"",'RESUMEN VIGILANCIA'!AM120)</f>
        <v>51250</v>
      </c>
      <c r="AO116" s="378">
        <f>IF(ISBLANK('RESUMEN VIGILANCIA'!AN120),"",'RESUMEN VIGILANCIA'!AN120)</f>
        <v>81750</v>
      </c>
      <c r="AP116" s="376">
        <f>IF(ISBLANK('RESUMEN VIGILANCIA'!AO120),"",'RESUMEN VIGILANCIA'!AO120)</f>
        <v>136250</v>
      </c>
      <c r="AQ116" s="377">
        <f>IF(ISBLANK('RESUMEN VIGILANCIA'!AP120),"",'RESUMEN VIGILANCIA'!AP120)</f>
        <v>136250</v>
      </c>
      <c r="AR116" s="377">
        <f>IF(ISBLANK('RESUMEN VIGILANCIA'!AQ120),"",'RESUMEN VIGILANCIA'!AQ120)</f>
        <v>185250</v>
      </c>
      <c r="AS116" s="377">
        <f>IF(ISBLANK('RESUMEN VIGILANCIA'!AR120),"",'RESUMEN VIGILANCIA'!AR120)</f>
        <v>185250</v>
      </c>
      <c r="AT116" s="377">
        <f>IF(ISBLANK('RESUMEN VIGILANCIA'!AS120),"",'RESUMEN VIGILANCIA'!AS120)</f>
        <v>250000</v>
      </c>
      <c r="AU116" s="377" t="str">
        <f>IF(ISBLANK('RESUMEN VIGILANCIA'!AT120),"",'RESUMEN VIGILANCIA'!AT120)</f>
        <v/>
      </c>
      <c r="AV116" s="377" t="str">
        <f>IF(ISBLANK('RESUMEN VIGILANCIA'!AU120),"",'RESUMEN VIGILANCIA'!AU120)</f>
        <v/>
      </c>
      <c r="AW116" s="377" t="str">
        <f>IF(ISBLANK('RESUMEN VIGILANCIA'!AV120),"",'RESUMEN VIGILANCIA'!AV120)</f>
        <v/>
      </c>
      <c r="AX116" s="377" t="str">
        <f>IF(ISBLANK('RESUMEN VIGILANCIA'!AW120),"",'RESUMEN VIGILANCIA'!AW120)</f>
        <v/>
      </c>
      <c r="AY116" s="377" t="str">
        <f>IF(ISBLANK('RESUMEN VIGILANCIA'!AX120),"",'RESUMEN VIGILANCIA'!AX120)</f>
        <v/>
      </c>
      <c r="AZ116" s="377" t="str">
        <f>IF(ISBLANK('RESUMEN VIGILANCIA'!AY120),"",'RESUMEN VIGILANCIA'!AY120)</f>
        <v/>
      </c>
      <c r="BA116" s="378" t="str">
        <f>IF(ISBLANK('RESUMEN VIGILANCIA'!AZ120),"",'RESUMEN VIGILANCIA'!AZ120)</f>
        <v/>
      </c>
      <c r="BB116" s="242">
        <f t="shared" si="10"/>
        <v>258201.25</v>
      </c>
      <c r="BC116" s="112"/>
      <c r="BD116" s="112"/>
    </row>
    <row r="117" spans="1:56" s="29" customFormat="1" ht="20.100000000000001" customHeight="1">
      <c r="A117" s="30" t="str">
        <f>'RESUMEN VIGILANCIA'!A121</f>
        <v>Familia Blonval Hernández</v>
      </c>
      <c r="B117" s="31" t="str">
        <f>'RESUMEN VIGILANCIA'!B121</f>
        <v>Calle Güigüe Nro. 89-64</v>
      </c>
      <c r="C117" s="429" t="s">
        <v>1317</v>
      </c>
      <c r="D117" s="436" t="s">
        <v>1315</v>
      </c>
      <c r="E117" s="417" t="str">
        <f>IF(ISBLANK('RESUMEN VIGILANCIA'!D121),"",'RESUMEN VIGILANCIA'!D121)</f>
        <v/>
      </c>
      <c r="F117" s="269" t="str">
        <f>IF(ISBLANK('RESUMEN VIGILANCIA'!E121),"",'RESUMEN VIGILANCIA'!E121)</f>
        <v/>
      </c>
      <c r="G117" s="181" t="str">
        <f>IF(ISBLANK('RESUMEN VIGILANCIA'!F121),"",'RESUMEN VIGILANCIA'!F121)</f>
        <v/>
      </c>
      <c r="H117" s="181" t="str">
        <f>IF(ISBLANK('RESUMEN VIGILANCIA'!G121),"",'RESUMEN VIGILANCIA'!G121)</f>
        <v/>
      </c>
      <c r="I117" s="181" t="str">
        <f>IF(ISBLANK('RESUMEN VIGILANCIA'!H121),"",'RESUMEN VIGILANCIA'!H121)</f>
        <v/>
      </c>
      <c r="J117" s="181" t="str">
        <f>IF(ISBLANK('RESUMEN VIGILANCIA'!I121),"",'RESUMEN VIGILANCIA'!I121)</f>
        <v/>
      </c>
      <c r="K117" s="181" t="str">
        <f>IF(ISBLANK('RESUMEN VIGILANCIA'!J121),"",'RESUMEN VIGILANCIA'!J121)</f>
        <v/>
      </c>
      <c r="L117" s="181" t="str">
        <f>IF(ISBLANK('RESUMEN VIGILANCIA'!K121),"",'RESUMEN VIGILANCIA'!K121)</f>
        <v/>
      </c>
      <c r="M117" s="181" t="str">
        <f>IF(ISBLANK('RESUMEN VIGILANCIA'!L121),"",'RESUMEN VIGILANCIA'!L121)</f>
        <v/>
      </c>
      <c r="N117" s="181" t="str">
        <f>IF(ISBLANK('RESUMEN VIGILANCIA'!M121),"",'RESUMEN VIGILANCIA'!M121)</f>
        <v/>
      </c>
      <c r="O117" s="181" t="str">
        <f>IF(ISBLANK('RESUMEN VIGILANCIA'!N121),"",'RESUMEN VIGILANCIA'!N121)</f>
        <v/>
      </c>
      <c r="P117" s="270" t="str">
        <f>IF(ISBLANK('RESUMEN VIGILANCIA'!O121),"",'RESUMEN VIGILANCIA'!O121)</f>
        <v/>
      </c>
      <c r="Q117" s="179" t="str">
        <f>IF(ISBLANK('RESUMEN VIGILANCIA'!P121),"",'RESUMEN VIGILANCIA'!P121)</f>
        <v/>
      </c>
      <c r="R117" s="271" t="str">
        <f>IF(ISBLANK('RESUMEN VIGILANCIA'!Q121),"",'RESUMEN VIGILANCIA'!Q121)</f>
        <v/>
      </c>
      <c r="S117" s="270" t="str">
        <f>IF(ISBLANK('RESUMEN VIGILANCIA'!R121),"",'RESUMEN VIGILANCIA'!R121)</f>
        <v/>
      </c>
      <c r="T117" s="270" t="str">
        <f>IF(ISBLANK('RESUMEN VIGILANCIA'!S121),"",'RESUMEN VIGILANCIA'!S121)</f>
        <v/>
      </c>
      <c r="U117" s="270" t="str">
        <f>IF(ISBLANK('RESUMEN VIGILANCIA'!T121),"",'RESUMEN VIGILANCIA'!T121)</f>
        <v/>
      </c>
      <c r="V117" s="270" t="str">
        <f>IF(ISBLANK('RESUMEN VIGILANCIA'!U121),"",'RESUMEN VIGILANCIA'!U121)</f>
        <v/>
      </c>
      <c r="W117" s="270" t="str">
        <f>IF(ISBLANK('RESUMEN VIGILANCIA'!V121),"",'RESUMEN VIGILANCIA'!V121)</f>
        <v/>
      </c>
      <c r="X117" s="270" t="str">
        <f>IF(ISBLANK('RESUMEN VIGILANCIA'!W121),"",'RESUMEN VIGILANCIA'!W121)</f>
        <v/>
      </c>
      <c r="Y117" s="270" t="str">
        <f>IF(ISBLANK('RESUMEN VIGILANCIA'!X121),"",'RESUMEN VIGILANCIA'!X121)</f>
        <v/>
      </c>
      <c r="Z117" s="455" t="str">
        <f>IF(ISBLANK('RESUMEN VIGILANCIA'!Y121),"",'RESUMEN VIGILANCIA'!Y121)</f>
        <v/>
      </c>
      <c r="AA117" s="455" t="str">
        <f>IF(ISBLANK('RESUMEN VIGILANCIA'!Z121),"",'RESUMEN VIGILANCIA'!Z121)</f>
        <v/>
      </c>
      <c r="AB117" s="455" t="str">
        <f>IF(ISBLANK('RESUMEN VIGILANCIA'!AA121),"",'RESUMEN VIGILANCIA'!AA121)</f>
        <v/>
      </c>
      <c r="AC117" s="456" t="str">
        <f>IF(ISBLANK('RESUMEN VIGILANCIA'!AB121),"",'RESUMEN VIGILANCIA'!AB121)</f>
        <v/>
      </c>
      <c r="AD117" s="376" t="str">
        <f>IF(ISBLANK('RESUMEN VIGILANCIA'!AC121),"",'RESUMEN VIGILANCIA'!AC121)</f>
        <v/>
      </c>
      <c r="AE117" s="377" t="str">
        <f>IF(ISBLANK('RESUMEN VIGILANCIA'!AD121),"",'RESUMEN VIGILANCIA'!AD121)</f>
        <v/>
      </c>
      <c r="AF117" s="377" t="str">
        <f>IF(ISBLANK('RESUMEN VIGILANCIA'!AE121),"",'RESUMEN VIGILANCIA'!AE121)</f>
        <v/>
      </c>
      <c r="AG117" s="377" t="str">
        <f>IF(ISBLANK('RESUMEN VIGILANCIA'!AF121),"",'RESUMEN VIGILANCIA'!AF121)</f>
        <v/>
      </c>
      <c r="AH117" s="377" t="str">
        <f>IF(ISBLANK('RESUMEN VIGILANCIA'!AG121),"",'RESUMEN VIGILANCIA'!AG121)</f>
        <v/>
      </c>
      <c r="AI117" s="377" t="str">
        <f>IF(ISBLANK('RESUMEN VIGILANCIA'!AH121),"",'RESUMEN VIGILANCIA'!AH121)</f>
        <v/>
      </c>
      <c r="AJ117" s="377" t="str">
        <f>IF(ISBLANK('RESUMEN VIGILANCIA'!AI121),"",'RESUMEN VIGILANCIA'!AI121)</f>
        <v/>
      </c>
      <c r="AK117" s="377" t="str">
        <f>IF(ISBLANK('RESUMEN VIGILANCIA'!AJ121),"",'RESUMEN VIGILANCIA'!AJ121)</f>
        <v/>
      </c>
      <c r="AL117" s="377" t="str">
        <f>IF(ISBLANK('RESUMEN VIGILANCIA'!AK121),"",'RESUMEN VIGILANCIA'!AK121)</f>
        <v/>
      </c>
      <c r="AM117" s="377" t="str">
        <f>IF(ISBLANK('RESUMEN VIGILANCIA'!AL121),"",'RESUMEN VIGILANCIA'!AL121)</f>
        <v/>
      </c>
      <c r="AN117" s="377" t="str">
        <f>IF(ISBLANK('RESUMEN VIGILANCIA'!AM121),"",'RESUMEN VIGILANCIA'!AM121)</f>
        <v/>
      </c>
      <c r="AO117" s="378" t="str">
        <f>IF(ISBLANK('RESUMEN VIGILANCIA'!AN121),"",'RESUMEN VIGILANCIA'!AN121)</f>
        <v/>
      </c>
      <c r="AP117" s="376" t="str">
        <f>IF(ISBLANK('RESUMEN VIGILANCIA'!AO121),"",'RESUMEN VIGILANCIA'!AO121)</f>
        <v/>
      </c>
      <c r="AQ117" s="377" t="str">
        <f>IF(ISBLANK('RESUMEN VIGILANCIA'!AP121),"",'RESUMEN VIGILANCIA'!AP121)</f>
        <v/>
      </c>
      <c r="AR117" s="377" t="str">
        <f>IF(ISBLANK('RESUMEN VIGILANCIA'!AQ121),"",'RESUMEN VIGILANCIA'!AQ121)</f>
        <v/>
      </c>
      <c r="AS117" s="377" t="str">
        <f>IF(ISBLANK('RESUMEN VIGILANCIA'!AR121),"",'RESUMEN VIGILANCIA'!AR121)</f>
        <v/>
      </c>
      <c r="AT117" s="377" t="str">
        <f>IF(ISBLANK('RESUMEN VIGILANCIA'!AS121),"",'RESUMEN VIGILANCIA'!AS121)</f>
        <v/>
      </c>
      <c r="AU117" s="377" t="str">
        <f>IF(ISBLANK('RESUMEN VIGILANCIA'!AT121),"",'RESUMEN VIGILANCIA'!AT121)</f>
        <v/>
      </c>
      <c r="AV117" s="377" t="str">
        <f>IF(ISBLANK('RESUMEN VIGILANCIA'!AU121),"",'RESUMEN VIGILANCIA'!AU121)</f>
        <v/>
      </c>
      <c r="AW117" s="377" t="str">
        <f>IF(ISBLANK('RESUMEN VIGILANCIA'!AV121),"",'RESUMEN VIGILANCIA'!AV121)</f>
        <v/>
      </c>
      <c r="AX117" s="377" t="str">
        <f>IF(ISBLANK('RESUMEN VIGILANCIA'!AW121),"",'RESUMEN VIGILANCIA'!AW121)</f>
        <v/>
      </c>
      <c r="AY117" s="377" t="str">
        <f>IF(ISBLANK('RESUMEN VIGILANCIA'!AX121),"",'RESUMEN VIGILANCIA'!AX121)</f>
        <v/>
      </c>
      <c r="AZ117" s="377" t="str">
        <f>IF(ISBLANK('RESUMEN VIGILANCIA'!AY121),"",'RESUMEN VIGILANCIA'!AY121)</f>
        <v/>
      </c>
      <c r="BA117" s="378" t="str">
        <f>IF(ISBLANK('RESUMEN VIGILANCIA'!AZ121),"",'RESUMEN VIGILANCIA'!AZ121)</f>
        <v/>
      </c>
      <c r="BB117" s="242">
        <f t="shared" si="10"/>
        <v>0</v>
      </c>
      <c r="BC117" s="112"/>
      <c r="BD117" s="112"/>
    </row>
    <row r="118" spans="1:56" s="29" customFormat="1" ht="20.100000000000001" customHeight="1">
      <c r="A118" s="30" t="str">
        <f>'RESUMEN VIGILANCIA'!A122</f>
        <v>Familia Milanés Carmona</v>
      </c>
      <c r="B118" s="31" t="str">
        <f>'RESUMEN VIGILANCIA'!B122</f>
        <v>Calle Güigüe Nro. 89-65</v>
      </c>
      <c r="C118" s="429" t="s">
        <v>1316</v>
      </c>
      <c r="D118" s="436" t="s">
        <v>17</v>
      </c>
      <c r="E118" s="417" t="str">
        <f>IF(ISBLANK('RESUMEN VIGILANCIA'!D122),"",'RESUMEN VIGILANCIA'!D122)</f>
        <v/>
      </c>
      <c r="F118" s="273" t="str">
        <f>IF(ISBLANK('RESUMEN VIGILANCIA'!E122),"",'RESUMEN VIGILANCIA'!E122)</f>
        <v/>
      </c>
      <c r="G118" s="182" t="str">
        <f>IF(ISBLANK('RESUMEN VIGILANCIA'!F122),"",'RESUMEN VIGILANCIA'!F122)</f>
        <v/>
      </c>
      <c r="H118" s="182" t="str">
        <f>IF(ISBLANK('RESUMEN VIGILANCIA'!G122),"",'RESUMEN VIGILANCIA'!G122)</f>
        <v/>
      </c>
      <c r="I118" s="182" t="str">
        <f>IF(ISBLANK('RESUMEN VIGILANCIA'!H122),"",'RESUMEN VIGILANCIA'!H122)</f>
        <v/>
      </c>
      <c r="J118" s="182" t="str">
        <f>IF(ISBLANK('RESUMEN VIGILANCIA'!I122),"",'RESUMEN VIGILANCIA'!I122)</f>
        <v/>
      </c>
      <c r="K118" s="181">
        <f>IF(ISBLANK('RESUMEN VIGILANCIA'!J122),"",'RESUMEN VIGILANCIA'!J122)</f>
        <v>0.26</v>
      </c>
      <c r="L118" s="181">
        <f>IF(ISBLANK('RESUMEN VIGILANCIA'!K122),"",'RESUMEN VIGILANCIA'!K122)</f>
        <v>0.35</v>
      </c>
      <c r="M118" s="181">
        <f>IF(ISBLANK('RESUMEN VIGILANCIA'!L122),"",'RESUMEN VIGILANCIA'!L122)</f>
        <v>0.35</v>
      </c>
      <c r="N118" s="181">
        <f>IF(ISBLANK('RESUMEN VIGILANCIA'!M122),"",'RESUMEN VIGILANCIA'!M122)</f>
        <v>0.35</v>
      </c>
      <c r="O118" s="181">
        <f>IF(ISBLANK('RESUMEN VIGILANCIA'!N122),"",'RESUMEN VIGILANCIA'!N122)</f>
        <v>0.35</v>
      </c>
      <c r="P118" s="270">
        <f>IF(ISBLANK('RESUMEN VIGILANCIA'!O122),"",'RESUMEN VIGILANCIA'!O122)</f>
        <v>0.5</v>
      </c>
      <c r="Q118" s="179">
        <f>IF(ISBLANK('RESUMEN VIGILANCIA'!P122),"",'RESUMEN VIGILANCIA'!P122)</f>
        <v>0.5</v>
      </c>
      <c r="R118" s="271">
        <f>IF(ISBLANK('RESUMEN VIGILANCIA'!Q122),"",'RESUMEN VIGILANCIA'!Q122)</f>
        <v>0.8</v>
      </c>
      <c r="S118" s="270">
        <f>IF(ISBLANK('RESUMEN VIGILANCIA'!R122),"",'RESUMEN VIGILANCIA'!R122)</f>
        <v>0.8</v>
      </c>
      <c r="T118" s="270">
        <f>IF(ISBLANK('RESUMEN VIGILANCIA'!S122),"",'RESUMEN VIGILANCIA'!S122)</f>
        <v>1.4</v>
      </c>
      <c r="U118" s="270">
        <f>IF(ISBLANK('RESUMEN VIGILANCIA'!T122),"",'RESUMEN VIGILANCIA'!T122)</f>
        <v>1.4</v>
      </c>
      <c r="V118" s="270">
        <f>IF(ISBLANK('RESUMEN VIGILANCIA'!U122),"",'RESUMEN VIGILANCIA'!U122)</f>
        <v>4</v>
      </c>
      <c r="W118" s="270">
        <f>IF(ISBLANK('RESUMEN VIGILANCIA'!V122),"",'RESUMEN VIGILANCIA'!V122)</f>
        <v>6.25</v>
      </c>
      <c r="X118" s="270">
        <f>IF(ISBLANK('RESUMEN VIGILANCIA'!W122),"",'RESUMEN VIGILANCIA'!W122)</f>
        <v>10</v>
      </c>
      <c r="Y118" s="270">
        <f>IF(ISBLANK('RESUMEN VIGILANCIA'!X122),"",'RESUMEN VIGILANCIA'!X122)</f>
        <v>12</v>
      </c>
      <c r="Z118" s="455">
        <f>IF(ISBLANK('RESUMEN VIGILANCIA'!Y122),"",'RESUMEN VIGILANCIA'!Y122)</f>
        <v>333</v>
      </c>
      <c r="AA118" s="455">
        <f>IF(ISBLANK('RESUMEN VIGILANCIA'!Z122),"",'RESUMEN VIGILANCIA'!Z122)</f>
        <v>320</v>
      </c>
      <c r="AB118" s="455">
        <f>IF(ISBLANK('RESUMEN VIGILANCIA'!AA122),"",'RESUMEN VIGILANCIA'!AA122)</f>
        <v>320</v>
      </c>
      <c r="AC118" s="456">
        <f>IF(ISBLANK('RESUMEN VIGILANCIA'!AB122),"",'RESUMEN VIGILANCIA'!AB122)</f>
        <v>800</v>
      </c>
      <c r="AD118" s="376">
        <f>IF(ISBLANK('RESUMEN VIGILANCIA'!AC122),"",'RESUMEN VIGILANCIA'!AC122)</f>
        <v>3000</v>
      </c>
      <c r="AE118" s="377">
        <f>IF(ISBLANK('RESUMEN VIGILANCIA'!AD122),"",'RESUMEN VIGILANCIA'!AD122)</f>
        <v>3000</v>
      </c>
      <c r="AF118" s="377">
        <f>IF(ISBLANK('RESUMEN VIGILANCIA'!AE122),"",'RESUMEN VIGILANCIA'!AE122)</f>
        <v>3000</v>
      </c>
      <c r="AG118" s="377">
        <f>IF(ISBLANK('RESUMEN VIGILANCIA'!AF122),"",'RESUMEN VIGILANCIA'!AF122)</f>
        <v>5000</v>
      </c>
      <c r="AH118" s="377">
        <f>IF(ISBLANK('RESUMEN VIGILANCIA'!AG122),"",'RESUMEN VIGILANCIA'!AG122)</f>
        <v>8000</v>
      </c>
      <c r="AI118" s="377">
        <f>IF(ISBLANK('RESUMEN VIGILANCIA'!AH122),"",'RESUMEN VIGILANCIA'!AH122)</f>
        <v>8000</v>
      </c>
      <c r="AJ118" s="377">
        <f>IF(ISBLANK('RESUMEN VIGILANCIA'!AI122),"",'RESUMEN VIGILANCIA'!AI122)</f>
        <v>10000</v>
      </c>
      <c r="AK118" s="377">
        <f>IF(ISBLANK('RESUMEN VIGILANCIA'!AJ122),"",'RESUMEN VIGILANCIA'!AJ122)</f>
        <v>10000</v>
      </c>
      <c r="AL118" s="377">
        <f>IF(ISBLANK('RESUMEN VIGILANCIA'!AK122),"",'RESUMEN VIGILANCIA'!AK122)</f>
        <v>19800</v>
      </c>
      <c r="AM118" s="377">
        <f>IF(ISBLANK('RESUMEN VIGILANCIA'!AL122),"",'RESUMEN VIGILANCIA'!AL122)</f>
        <v>50000</v>
      </c>
      <c r="AN118" s="377">
        <f>IF(ISBLANK('RESUMEN VIGILANCIA'!AM122),"",'RESUMEN VIGILANCIA'!AM122)</f>
        <v>60000</v>
      </c>
      <c r="AO118" s="378">
        <f>IF(ISBLANK('RESUMEN VIGILANCIA'!AN122),"",'RESUMEN VIGILANCIA'!AN122)</f>
        <v>105250</v>
      </c>
      <c r="AP118" s="376">
        <f>IF(ISBLANK('RESUMEN VIGILANCIA'!AO122),"",'RESUMEN VIGILANCIA'!AO122)</f>
        <v>136250</v>
      </c>
      <c r="AQ118" s="377">
        <f>IF(ISBLANK('RESUMEN VIGILANCIA'!AP122),"",'RESUMEN VIGILANCIA'!AP122)</f>
        <v>136250</v>
      </c>
      <c r="AR118" s="377">
        <f>IF(ISBLANK('RESUMEN VIGILANCIA'!AQ122),"",'RESUMEN VIGILANCIA'!AQ122)</f>
        <v>185250</v>
      </c>
      <c r="AS118" s="377">
        <f>IF(ISBLANK('RESUMEN VIGILANCIA'!AR122),"",'RESUMEN VIGILANCIA'!AR122)</f>
        <v>200000</v>
      </c>
      <c r="AT118" s="377">
        <f>IF(ISBLANK('RESUMEN VIGILANCIA'!AS122),"",'RESUMEN VIGILANCIA'!AS122)</f>
        <v>250000</v>
      </c>
      <c r="AU118" s="377" t="str">
        <f>IF(ISBLANK('RESUMEN VIGILANCIA'!AT122),"",'RESUMEN VIGILANCIA'!AT122)</f>
        <v/>
      </c>
      <c r="AV118" s="377" t="str">
        <f>IF(ISBLANK('RESUMEN VIGILANCIA'!AU122),"",'RESUMEN VIGILANCIA'!AU122)</f>
        <v/>
      </c>
      <c r="AW118" s="377" t="str">
        <f>IF(ISBLANK('RESUMEN VIGILANCIA'!AV122),"",'RESUMEN VIGILANCIA'!AV122)</f>
        <v/>
      </c>
      <c r="AX118" s="377" t="str">
        <f>IF(ISBLANK('RESUMEN VIGILANCIA'!AW122),"",'RESUMEN VIGILANCIA'!AW122)</f>
        <v/>
      </c>
      <c r="AY118" s="377" t="str">
        <f>IF(ISBLANK('RESUMEN VIGILANCIA'!AX122),"",'RESUMEN VIGILANCIA'!AX122)</f>
        <v/>
      </c>
      <c r="AZ118" s="377" t="str">
        <f>IF(ISBLANK('RESUMEN VIGILANCIA'!AY122),"",'RESUMEN VIGILANCIA'!AY122)</f>
        <v/>
      </c>
      <c r="BA118" s="378" t="str">
        <f>IF(ISBLANK('RESUMEN VIGILANCIA'!AZ122),"",'RESUMEN VIGILANCIA'!AZ122)</f>
        <v/>
      </c>
      <c r="BB118" s="242">
        <f t="shared" si="10"/>
        <v>286862.31</v>
      </c>
      <c r="BC118" s="112"/>
      <c r="BD118" s="112"/>
    </row>
    <row r="119" spans="1:56" s="29" customFormat="1" ht="20.100000000000001" customHeight="1">
      <c r="A119" s="30" t="str">
        <f>'RESUMEN VIGILANCIA'!A123</f>
        <v>Familia Medina Colina</v>
      </c>
      <c r="B119" s="31" t="str">
        <f>'RESUMEN VIGILANCIA'!B123</f>
        <v>Calle Güigüe Nro. 89-70</v>
      </c>
      <c r="C119" s="429" t="s">
        <v>1317</v>
      </c>
      <c r="D119" s="436" t="s">
        <v>1315</v>
      </c>
      <c r="E119" s="417" t="str">
        <f>IF(ISBLANK('RESUMEN VIGILANCIA'!D123),"",'RESUMEN VIGILANCIA'!D123)</f>
        <v/>
      </c>
      <c r="F119" s="269">
        <f>IF(ISBLANK('RESUMEN VIGILANCIA'!E123),"",'RESUMEN VIGILANCIA'!E123)</f>
        <v>0.17</v>
      </c>
      <c r="G119" s="181">
        <f>IF(ISBLANK('RESUMEN VIGILANCIA'!F123),"",'RESUMEN VIGILANCIA'!F123)</f>
        <v>0.17</v>
      </c>
      <c r="H119" s="181" t="str">
        <f>IF(ISBLANK('RESUMEN VIGILANCIA'!G123),"",'RESUMEN VIGILANCIA'!G123)</f>
        <v/>
      </c>
      <c r="I119" s="181" t="str">
        <f>IF(ISBLANK('RESUMEN VIGILANCIA'!H123),"",'RESUMEN VIGILANCIA'!H123)</f>
        <v/>
      </c>
      <c r="J119" s="181" t="str">
        <f>IF(ISBLANK('RESUMEN VIGILANCIA'!I123),"",'RESUMEN VIGILANCIA'!I123)</f>
        <v/>
      </c>
      <c r="K119" s="181" t="str">
        <f>IF(ISBLANK('RESUMEN VIGILANCIA'!J123),"",'RESUMEN VIGILANCIA'!J123)</f>
        <v/>
      </c>
      <c r="L119" s="181" t="str">
        <f>IF(ISBLANK('RESUMEN VIGILANCIA'!K123),"",'RESUMEN VIGILANCIA'!K123)</f>
        <v/>
      </c>
      <c r="M119" s="181" t="str">
        <f>IF(ISBLANK('RESUMEN VIGILANCIA'!L123),"",'RESUMEN VIGILANCIA'!L123)</f>
        <v/>
      </c>
      <c r="N119" s="181" t="str">
        <f>IF(ISBLANK('RESUMEN VIGILANCIA'!M123),"",'RESUMEN VIGILANCIA'!M123)</f>
        <v/>
      </c>
      <c r="O119" s="181" t="str">
        <f>IF(ISBLANK('RESUMEN VIGILANCIA'!N123),"",'RESUMEN VIGILANCIA'!N123)</f>
        <v/>
      </c>
      <c r="P119" s="270" t="str">
        <f>IF(ISBLANK('RESUMEN VIGILANCIA'!O123),"",'RESUMEN VIGILANCIA'!O123)</f>
        <v/>
      </c>
      <c r="Q119" s="179" t="str">
        <f>IF(ISBLANK('RESUMEN VIGILANCIA'!P123),"",'RESUMEN VIGILANCIA'!P123)</f>
        <v/>
      </c>
      <c r="R119" s="294" t="str">
        <f>IF(ISBLANK('RESUMEN VIGILANCIA'!Q123),"",'RESUMEN VIGILANCIA'!Q123)</f>
        <v>ü</v>
      </c>
      <c r="S119" s="295" t="str">
        <f>IF(ISBLANK('RESUMEN VIGILANCIA'!R123),"",'RESUMEN VIGILANCIA'!R123)</f>
        <v>ü</v>
      </c>
      <c r="T119" s="295" t="str">
        <f>IF(ISBLANK('RESUMEN VIGILANCIA'!S123),"",'RESUMEN VIGILANCIA'!S123)</f>
        <v>ü</v>
      </c>
      <c r="U119" s="295" t="str">
        <f>IF(ISBLANK('RESUMEN VIGILANCIA'!T123),"",'RESUMEN VIGILANCIA'!T123)</f>
        <v>ü</v>
      </c>
      <c r="V119" s="295" t="str">
        <f>IF(ISBLANK('RESUMEN VIGILANCIA'!U123),"",'RESUMEN VIGILANCIA'!U123)</f>
        <v>ü</v>
      </c>
      <c r="W119" s="295" t="str">
        <f>IF(ISBLANK('RESUMEN VIGILANCIA'!V123),"",'RESUMEN VIGILANCIA'!V123)</f>
        <v>ü</v>
      </c>
      <c r="X119" s="295" t="str">
        <f>IF(ISBLANK('RESUMEN VIGILANCIA'!W123),"",'RESUMEN VIGILANCIA'!W123)</f>
        <v>ü</v>
      </c>
      <c r="Y119" s="295" t="str">
        <f>IF(ISBLANK('RESUMEN VIGILANCIA'!X123),"",'RESUMEN VIGILANCIA'!X123)</f>
        <v>ü</v>
      </c>
      <c r="Z119" s="474" t="str">
        <f>IF(ISBLANK('RESUMEN VIGILANCIA'!Y123),"",'RESUMEN VIGILANCIA'!Y123)</f>
        <v>ü</v>
      </c>
      <c r="AA119" s="474" t="str">
        <f>IF(ISBLANK('RESUMEN VIGILANCIA'!Z123),"",'RESUMEN VIGILANCIA'!Z123)</f>
        <v>ü</v>
      </c>
      <c r="AB119" s="474" t="str">
        <f>IF(ISBLANK('RESUMEN VIGILANCIA'!AA123),"",'RESUMEN VIGILANCIA'!AA123)</f>
        <v>ü</v>
      </c>
      <c r="AC119" s="475" t="str">
        <f>IF(ISBLANK('RESUMEN VIGILANCIA'!AB123),"",'RESUMEN VIGILANCIA'!AB123)</f>
        <v>ü</v>
      </c>
      <c r="AD119" s="395" t="str">
        <f>IF(ISBLANK('RESUMEN VIGILANCIA'!AC123),"",'RESUMEN VIGILANCIA'!AC123)</f>
        <v/>
      </c>
      <c r="AE119" s="396" t="str">
        <f>IF(ISBLANK('RESUMEN VIGILANCIA'!AD123),"",'RESUMEN VIGILANCIA'!AD123)</f>
        <v/>
      </c>
      <c r="AF119" s="396" t="str">
        <f>IF(ISBLANK('RESUMEN VIGILANCIA'!AE123),"",'RESUMEN VIGILANCIA'!AE123)</f>
        <v/>
      </c>
      <c r="AG119" s="396" t="str">
        <f>IF(ISBLANK('RESUMEN VIGILANCIA'!AF123),"",'RESUMEN VIGILANCIA'!AF123)</f>
        <v/>
      </c>
      <c r="AH119" s="396" t="str">
        <f>IF(ISBLANK('RESUMEN VIGILANCIA'!AG123),"",'RESUMEN VIGILANCIA'!AG123)</f>
        <v/>
      </c>
      <c r="AI119" s="396" t="str">
        <f>IF(ISBLANK('RESUMEN VIGILANCIA'!AH123),"",'RESUMEN VIGILANCIA'!AH123)</f>
        <v/>
      </c>
      <c r="AJ119" s="396" t="str">
        <f>IF(ISBLANK('RESUMEN VIGILANCIA'!AI123),"",'RESUMEN VIGILANCIA'!AI123)</f>
        <v/>
      </c>
      <c r="AK119" s="396" t="str">
        <f>IF(ISBLANK('RESUMEN VIGILANCIA'!AJ123),"",'RESUMEN VIGILANCIA'!AJ123)</f>
        <v/>
      </c>
      <c r="AL119" s="396" t="str">
        <f>IF(ISBLANK('RESUMEN VIGILANCIA'!AK123),"",'RESUMEN VIGILANCIA'!AK123)</f>
        <v/>
      </c>
      <c r="AM119" s="396" t="str">
        <f>IF(ISBLANK('RESUMEN VIGILANCIA'!AL123),"",'RESUMEN VIGILANCIA'!AL123)</f>
        <v/>
      </c>
      <c r="AN119" s="396" t="str">
        <f>IF(ISBLANK('RESUMEN VIGILANCIA'!AM123),"",'RESUMEN VIGILANCIA'!AM123)</f>
        <v/>
      </c>
      <c r="AO119" s="397" t="str">
        <f>IF(ISBLANK('RESUMEN VIGILANCIA'!AN123),"",'RESUMEN VIGILANCIA'!AN123)</f>
        <v/>
      </c>
      <c r="AP119" s="395" t="str">
        <f>IF(ISBLANK('RESUMEN VIGILANCIA'!AO123),"",'RESUMEN VIGILANCIA'!AO123)</f>
        <v/>
      </c>
      <c r="AQ119" s="396" t="str">
        <f>IF(ISBLANK('RESUMEN VIGILANCIA'!AP123),"",'RESUMEN VIGILANCIA'!AP123)</f>
        <v/>
      </c>
      <c r="AR119" s="396" t="str">
        <f>IF(ISBLANK('RESUMEN VIGILANCIA'!AQ123),"",'RESUMEN VIGILANCIA'!AQ123)</f>
        <v/>
      </c>
      <c r="AS119" s="396" t="str">
        <f>IF(ISBLANK('RESUMEN VIGILANCIA'!AR123),"",'RESUMEN VIGILANCIA'!AR123)</f>
        <v/>
      </c>
      <c r="AT119" s="396" t="str">
        <f>IF(ISBLANK('RESUMEN VIGILANCIA'!AS123),"",'RESUMEN VIGILANCIA'!AS123)</f>
        <v/>
      </c>
      <c r="AU119" s="396" t="str">
        <f>IF(ISBLANK('RESUMEN VIGILANCIA'!AT123),"",'RESUMEN VIGILANCIA'!AT123)</f>
        <v/>
      </c>
      <c r="AV119" s="396" t="str">
        <f>IF(ISBLANK('RESUMEN VIGILANCIA'!AU123),"",'RESUMEN VIGILANCIA'!AU123)</f>
        <v/>
      </c>
      <c r="AW119" s="396" t="str">
        <f>IF(ISBLANK('RESUMEN VIGILANCIA'!AV123),"",'RESUMEN VIGILANCIA'!AV123)</f>
        <v/>
      </c>
      <c r="AX119" s="396" t="str">
        <f>IF(ISBLANK('RESUMEN VIGILANCIA'!AW123),"",'RESUMEN VIGILANCIA'!AW123)</f>
        <v/>
      </c>
      <c r="AY119" s="396" t="str">
        <f>IF(ISBLANK('RESUMEN VIGILANCIA'!AX123),"",'RESUMEN VIGILANCIA'!AX123)</f>
        <v/>
      </c>
      <c r="AZ119" s="396" t="str">
        <f>IF(ISBLANK('RESUMEN VIGILANCIA'!AY123),"",'RESUMEN VIGILANCIA'!AY123)</f>
        <v/>
      </c>
      <c r="BA119" s="397" t="str">
        <f>IF(ISBLANK('RESUMEN VIGILANCIA'!AZ123),"",'RESUMEN VIGILANCIA'!AZ123)</f>
        <v/>
      </c>
      <c r="BB119" s="242">
        <f t="shared" si="10"/>
        <v>0.34</v>
      </c>
      <c r="BC119" s="112"/>
      <c r="BD119" s="112"/>
    </row>
    <row r="120" spans="1:56" s="29" customFormat="1" ht="20.100000000000001" customHeight="1">
      <c r="A120" s="33" t="str">
        <f>'RESUMEN VIGILANCIA'!A124</f>
        <v>Gloria Molina</v>
      </c>
      <c r="B120" s="34" t="str">
        <f>'RESUMEN VIGILANCIA'!B124</f>
        <v>Calle Güigüe Nro. 89-71</v>
      </c>
      <c r="C120" s="428" t="s">
        <v>1318</v>
      </c>
      <c r="D120" s="437" t="s">
        <v>1315</v>
      </c>
      <c r="E120" s="416" t="str">
        <f>IF(ISBLANK('RESUMEN VIGILANCIA'!D124),"",'RESUMEN VIGILANCIA'!D124)</f>
        <v/>
      </c>
      <c r="F120" s="266">
        <f>IF(ISBLANK('RESUMEN VIGILANCIA'!E124),"",'RESUMEN VIGILANCIA'!E124)</f>
        <v>0.1</v>
      </c>
      <c r="G120" s="188">
        <f>IF(ISBLANK('RESUMEN VIGILANCIA'!F124),"",'RESUMEN VIGILANCIA'!F124)</f>
        <v>0.1</v>
      </c>
      <c r="H120" s="188">
        <f>IF(ISBLANK('RESUMEN VIGILANCIA'!G124),"",'RESUMEN VIGILANCIA'!G124)</f>
        <v>0.1</v>
      </c>
      <c r="I120" s="188">
        <f>IF(ISBLANK('RESUMEN VIGILANCIA'!H124),"",'RESUMEN VIGILANCIA'!H124)</f>
        <v>0.15</v>
      </c>
      <c r="J120" s="188">
        <f>IF(ISBLANK('RESUMEN VIGILANCIA'!I124),"",'RESUMEN VIGILANCIA'!I124)</f>
        <v>0.15</v>
      </c>
      <c r="K120" s="188">
        <f>IF(ISBLANK('RESUMEN VIGILANCIA'!J124),"",'RESUMEN VIGILANCIA'!J124)</f>
        <v>0.15</v>
      </c>
      <c r="L120" s="188">
        <f>IF(ISBLANK('RESUMEN VIGILANCIA'!K124),"",'RESUMEN VIGILANCIA'!K124)</f>
        <v>0.15</v>
      </c>
      <c r="M120" s="188">
        <f>IF(ISBLANK('RESUMEN VIGILANCIA'!L124),"",'RESUMEN VIGILANCIA'!L124)</f>
        <v>0.15</v>
      </c>
      <c r="N120" s="188">
        <f>IF(ISBLANK('RESUMEN VIGILANCIA'!M124),"",'RESUMEN VIGILANCIA'!M124)</f>
        <v>0.15</v>
      </c>
      <c r="O120" s="188">
        <f>IF(ISBLANK('RESUMEN VIGILANCIA'!N124),"",'RESUMEN VIGILANCIA'!N124)</f>
        <v>0.2</v>
      </c>
      <c r="P120" s="267">
        <f>IF(ISBLANK('RESUMEN VIGILANCIA'!O124),"",'RESUMEN VIGILANCIA'!O124)</f>
        <v>0.2</v>
      </c>
      <c r="Q120" s="186">
        <f>IF(ISBLANK('RESUMEN VIGILANCIA'!P124),"",'RESUMEN VIGILANCIA'!P124)</f>
        <v>0.2</v>
      </c>
      <c r="R120" s="268">
        <f>IF(ISBLANK('RESUMEN VIGILANCIA'!Q124),"",'RESUMEN VIGILANCIA'!Q124)</f>
        <v>0.5</v>
      </c>
      <c r="S120" s="267">
        <f>IF(ISBLANK('RESUMEN VIGILANCIA'!R124),"",'RESUMEN VIGILANCIA'!R124)</f>
        <v>0.5</v>
      </c>
      <c r="T120" s="267">
        <f>IF(ISBLANK('RESUMEN VIGILANCIA'!S124),"",'RESUMEN VIGILANCIA'!S124)</f>
        <v>1</v>
      </c>
      <c r="U120" s="267">
        <f>IF(ISBLANK('RESUMEN VIGILANCIA'!T124),"",'RESUMEN VIGILANCIA'!T124)</f>
        <v>1</v>
      </c>
      <c r="V120" s="267">
        <f>IF(ISBLANK('RESUMEN VIGILANCIA'!U124),"",'RESUMEN VIGILANCIA'!U124)</f>
        <v>2</v>
      </c>
      <c r="W120" s="267">
        <f>IF(ISBLANK('RESUMEN VIGILANCIA'!V124),"",'RESUMEN VIGILANCIA'!V124)</f>
        <v>4</v>
      </c>
      <c r="X120" s="267">
        <f>IF(ISBLANK('RESUMEN VIGILANCIA'!W124),"",'RESUMEN VIGILANCIA'!W124)</f>
        <v>5</v>
      </c>
      <c r="Y120" s="267">
        <f>IF(ISBLANK('RESUMEN VIGILANCIA'!X124),"",'RESUMEN VIGILANCIA'!X124)</f>
        <v>10</v>
      </c>
      <c r="Z120" s="459">
        <f>IF(ISBLANK('RESUMEN VIGILANCIA'!Y124),"",'RESUMEN VIGILANCIA'!Y124)</f>
        <v>300</v>
      </c>
      <c r="AA120" s="459">
        <f>IF(ISBLANK('RESUMEN VIGILANCIA'!Z124),"",'RESUMEN VIGILANCIA'!Z124)</f>
        <v>200</v>
      </c>
      <c r="AB120" s="459">
        <f>IF(ISBLANK('RESUMEN VIGILANCIA'!AA124),"",'RESUMEN VIGILANCIA'!AA124)</f>
        <v>200</v>
      </c>
      <c r="AC120" s="460">
        <f>IF(ISBLANK('RESUMEN VIGILANCIA'!AB124),"",'RESUMEN VIGILANCIA'!AB124)</f>
        <v>500</v>
      </c>
      <c r="AD120" s="373">
        <f>IF(ISBLANK('RESUMEN VIGILANCIA'!AC124),"",'RESUMEN VIGILANCIA'!AC124)</f>
        <v>1500</v>
      </c>
      <c r="AE120" s="374">
        <f>IF(ISBLANK('RESUMEN VIGILANCIA'!AD124),"",'RESUMEN VIGILANCIA'!AD124)</f>
        <v>1500</v>
      </c>
      <c r="AF120" s="374">
        <f>IF(ISBLANK('RESUMEN VIGILANCIA'!AE124),"",'RESUMEN VIGILANCIA'!AE124)</f>
        <v>3000</v>
      </c>
      <c r="AG120" s="374">
        <f>IF(ISBLANK('RESUMEN VIGILANCIA'!AF124),"",'RESUMEN VIGILANCIA'!AF124)</f>
        <v>3000</v>
      </c>
      <c r="AH120" s="382">
        <f>IF(ISBLANK('RESUMEN VIGILANCIA'!AG124),"",'RESUMEN VIGILANCIA'!AG124)</f>
        <v>8000</v>
      </c>
      <c r="AI120" s="382">
        <f>IF(ISBLANK('RESUMEN VIGILANCIA'!AH124),"",'RESUMEN VIGILANCIA'!AH124)</f>
        <v>8000</v>
      </c>
      <c r="AJ120" s="382">
        <f>IF(ISBLANK('RESUMEN VIGILANCIA'!AI124),"",'RESUMEN VIGILANCIA'!AI124)</f>
        <v>10000</v>
      </c>
      <c r="AK120" s="382">
        <f>IF(ISBLANK('RESUMEN VIGILANCIA'!AJ124),"",'RESUMEN VIGILANCIA'!AJ124)</f>
        <v>10000</v>
      </c>
      <c r="AL120" s="382">
        <f>IF(ISBLANK('RESUMEN VIGILANCIA'!AK124),"",'RESUMEN VIGILANCIA'!AK124)</f>
        <v>19800</v>
      </c>
      <c r="AM120" s="382">
        <f>IF(ISBLANK('RESUMEN VIGILANCIA'!AL124),"",'RESUMEN VIGILANCIA'!AL124)</f>
        <v>47000</v>
      </c>
      <c r="AN120" s="382">
        <f>IF(ISBLANK('RESUMEN VIGILANCIA'!AM124),"",'RESUMEN VIGILANCIA'!AM124)</f>
        <v>60000</v>
      </c>
      <c r="AO120" s="387">
        <f>IF(ISBLANK('RESUMEN VIGILANCIA'!AN124),"",'RESUMEN VIGILANCIA'!AN124)</f>
        <v>60000</v>
      </c>
      <c r="AP120" s="376">
        <f>IF(ISBLANK('RESUMEN VIGILANCIA'!AO124),"",'RESUMEN VIGILANCIA'!AO124)</f>
        <v>100000</v>
      </c>
      <c r="AQ120" s="377">
        <f>IF(ISBLANK('RESUMEN VIGILANCIA'!AP124),"",'RESUMEN VIGILANCIA'!AP124)</f>
        <v>100000</v>
      </c>
      <c r="AR120" s="377">
        <f>IF(ISBLANK('RESUMEN VIGILANCIA'!AQ124),"",'RESUMEN VIGILANCIA'!AQ124)</f>
        <v>100000</v>
      </c>
      <c r="AS120" s="377">
        <f>IF(ISBLANK('RESUMEN VIGILANCIA'!AR124),"",'RESUMEN VIGILANCIA'!AR124)</f>
        <v>100000</v>
      </c>
      <c r="AT120" s="377" t="str">
        <f>IF(ISBLANK('RESUMEN VIGILANCIA'!AS124),"",'RESUMEN VIGILANCIA'!AS124)</f>
        <v/>
      </c>
      <c r="AU120" s="377" t="str">
        <f>IF(ISBLANK('RESUMEN VIGILANCIA'!AT124),"",'RESUMEN VIGILANCIA'!AT124)</f>
        <v/>
      </c>
      <c r="AV120" s="377" t="str">
        <f>IF(ISBLANK('RESUMEN VIGILANCIA'!AU124),"",'RESUMEN VIGILANCIA'!AU124)</f>
        <v/>
      </c>
      <c r="AW120" s="377" t="str">
        <f>IF(ISBLANK('RESUMEN VIGILANCIA'!AV124),"",'RESUMEN VIGILANCIA'!AV124)</f>
        <v/>
      </c>
      <c r="AX120" s="377" t="str">
        <f>IF(ISBLANK('RESUMEN VIGILANCIA'!AW124),"",'RESUMEN VIGILANCIA'!AW124)</f>
        <v/>
      </c>
      <c r="AY120" s="377" t="str">
        <f>IF(ISBLANK('RESUMEN VIGILANCIA'!AX124),"",'RESUMEN VIGILANCIA'!AX124)</f>
        <v/>
      </c>
      <c r="AZ120" s="377" t="str">
        <f>IF(ISBLANK('RESUMEN VIGILANCIA'!AY124),"",'RESUMEN VIGILANCIA'!AY124)</f>
        <v/>
      </c>
      <c r="BA120" s="387" t="str">
        <f>IF(ISBLANK('RESUMEN VIGILANCIA'!AZ124),"",'RESUMEN VIGILANCIA'!AZ124)</f>
        <v/>
      </c>
      <c r="BB120" s="346">
        <f t="shared" si="10"/>
        <v>233025.8</v>
      </c>
      <c r="BC120" s="347"/>
      <c r="BD120" s="347"/>
    </row>
    <row r="121" spans="1:56" s="29" customFormat="1" ht="20.100000000000001" customHeight="1">
      <c r="A121" s="30" t="str">
        <f>'RESUMEN VIGILANCIA'!A125</f>
        <v>Familia Gurmeitte</v>
      </c>
      <c r="B121" s="31" t="str">
        <f>'RESUMEN VIGILANCIA'!B125</f>
        <v>Calle Güigüe Nro. 89-74</v>
      </c>
      <c r="C121" s="429" t="s">
        <v>1317</v>
      </c>
      <c r="D121" s="436" t="s">
        <v>1315</v>
      </c>
      <c r="E121" s="417" t="str">
        <f>IF(ISBLANK('RESUMEN VIGILANCIA'!D125),"",'RESUMEN VIGILANCIA'!D125)</f>
        <v/>
      </c>
      <c r="F121" s="269" t="str">
        <f>IF(ISBLANK('RESUMEN VIGILANCIA'!E125),"",'RESUMEN VIGILANCIA'!E125)</f>
        <v/>
      </c>
      <c r="G121" s="181" t="str">
        <f>IF(ISBLANK('RESUMEN VIGILANCIA'!F125),"",'RESUMEN VIGILANCIA'!F125)</f>
        <v/>
      </c>
      <c r="H121" s="181" t="str">
        <f>IF(ISBLANK('RESUMEN VIGILANCIA'!G125),"",'RESUMEN VIGILANCIA'!G125)</f>
        <v/>
      </c>
      <c r="I121" s="181" t="str">
        <f>IF(ISBLANK('RESUMEN VIGILANCIA'!H125),"",'RESUMEN VIGILANCIA'!H125)</f>
        <v/>
      </c>
      <c r="J121" s="181" t="str">
        <f>IF(ISBLANK('RESUMEN VIGILANCIA'!I125),"",'RESUMEN VIGILANCIA'!I125)</f>
        <v/>
      </c>
      <c r="K121" s="181" t="str">
        <f>IF(ISBLANK('RESUMEN VIGILANCIA'!J125),"",'RESUMEN VIGILANCIA'!J125)</f>
        <v/>
      </c>
      <c r="L121" s="181" t="str">
        <f>IF(ISBLANK('RESUMEN VIGILANCIA'!K125),"",'RESUMEN VIGILANCIA'!K125)</f>
        <v/>
      </c>
      <c r="M121" s="181" t="str">
        <f>IF(ISBLANK('RESUMEN VIGILANCIA'!L125),"",'RESUMEN VIGILANCIA'!L125)</f>
        <v/>
      </c>
      <c r="N121" s="181" t="str">
        <f>IF(ISBLANK('RESUMEN VIGILANCIA'!M125),"",'RESUMEN VIGILANCIA'!M125)</f>
        <v/>
      </c>
      <c r="O121" s="181" t="str">
        <f>IF(ISBLANK('RESUMEN VIGILANCIA'!N125),"",'RESUMEN VIGILANCIA'!N125)</f>
        <v/>
      </c>
      <c r="P121" s="270" t="str">
        <f>IF(ISBLANK('RESUMEN VIGILANCIA'!O125),"",'RESUMEN VIGILANCIA'!O125)</f>
        <v/>
      </c>
      <c r="Q121" s="179" t="str">
        <f>IF(ISBLANK('RESUMEN VIGILANCIA'!P125),"",'RESUMEN VIGILANCIA'!P125)</f>
        <v/>
      </c>
      <c r="R121" s="271" t="str">
        <f>IF(ISBLANK('RESUMEN VIGILANCIA'!Q125),"",'RESUMEN VIGILANCIA'!Q125)</f>
        <v/>
      </c>
      <c r="S121" s="270" t="str">
        <f>IF(ISBLANK('RESUMEN VIGILANCIA'!R125),"",'RESUMEN VIGILANCIA'!R125)</f>
        <v/>
      </c>
      <c r="T121" s="270" t="str">
        <f>IF(ISBLANK('RESUMEN VIGILANCIA'!S125),"",'RESUMEN VIGILANCIA'!S125)</f>
        <v/>
      </c>
      <c r="U121" s="270" t="str">
        <f>IF(ISBLANK('RESUMEN VIGILANCIA'!T125),"",'RESUMEN VIGILANCIA'!T125)</f>
        <v/>
      </c>
      <c r="V121" s="270" t="str">
        <f>IF(ISBLANK('RESUMEN VIGILANCIA'!U125),"",'RESUMEN VIGILANCIA'!U125)</f>
        <v/>
      </c>
      <c r="W121" s="270" t="str">
        <f>IF(ISBLANK('RESUMEN VIGILANCIA'!V125),"",'RESUMEN VIGILANCIA'!V125)</f>
        <v/>
      </c>
      <c r="X121" s="270" t="str">
        <f>IF(ISBLANK('RESUMEN VIGILANCIA'!W125),"",'RESUMEN VIGILANCIA'!W125)</f>
        <v/>
      </c>
      <c r="Y121" s="270" t="str">
        <f>IF(ISBLANK('RESUMEN VIGILANCIA'!X125),"",'RESUMEN VIGILANCIA'!X125)</f>
        <v/>
      </c>
      <c r="Z121" s="455" t="str">
        <f>IF(ISBLANK('RESUMEN VIGILANCIA'!Y125),"",'RESUMEN VIGILANCIA'!Y125)</f>
        <v/>
      </c>
      <c r="AA121" s="455" t="str">
        <f>IF(ISBLANK('RESUMEN VIGILANCIA'!Z125),"",'RESUMEN VIGILANCIA'!Z125)</f>
        <v/>
      </c>
      <c r="AB121" s="455" t="str">
        <f>IF(ISBLANK('RESUMEN VIGILANCIA'!AA125),"",'RESUMEN VIGILANCIA'!AA125)</f>
        <v/>
      </c>
      <c r="AC121" s="456" t="str">
        <f>IF(ISBLANK('RESUMEN VIGILANCIA'!AB125),"",'RESUMEN VIGILANCIA'!AB125)</f>
        <v/>
      </c>
      <c r="AD121" s="376" t="str">
        <f>IF(ISBLANK('RESUMEN VIGILANCIA'!AC125),"",'RESUMEN VIGILANCIA'!AC125)</f>
        <v/>
      </c>
      <c r="AE121" s="377" t="str">
        <f>IF(ISBLANK('RESUMEN VIGILANCIA'!AD125),"",'RESUMEN VIGILANCIA'!AD125)</f>
        <v/>
      </c>
      <c r="AF121" s="377" t="str">
        <f>IF(ISBLANK('RESUMEN VIGILANCIA'!AE125),"",'RESUMEN VIGILANCIA'!AE125)</f>
        <v/>
      </c>
      <c r="AG121" s="377" t="str">
        <f>IF(ISBLANK('RESUMEN VIGILANCIA'!AF125),"",'RESUMEN VIGILANCIA'!AF125)</f>
        <v/>
      </c>
      <c r="AH121" s="377" t="str">
        <f>IF(ISBLANK('RESUMEN VIGILANCIA'!AG125),"",'RESUMEN VIGILANCIA'!AG125)</f>
        <v/>
      </c>
      <c r="AI121" s="377" t="str">
        <f>IF(ISBLANK('RESUMEN VIGILANCIA'!AH125),"",'RESUMEN VIGILANCIA'!AH125)</f>
        <v/>
      </c>
      <c r="AJ121" s="377" t="str">
        <f>IF(ISBLANK('RESUMEN VIGILANCIA'!AI125),"",'RESUMEN VIGILANCIA'!AI125)</f>
        <v/>
      </c>
      <c r="AK121" s="377" t="str">
        <f>IF(ISBLANK('RESUMEN VIGILANCIA'!AJ125),"",'RESUMEN VIGILANCIA'!AJ125)</f>
        <v/>
      </c>
      <c r="AL121" s="377" t="str">
        <f>IF(ISBLANK('RESUMEN VIGILANCIA'!AK125),"",'RESUMEN VIGILANCIA'!AK125)</f>
        <v/>
      </c>
      <c r="AM121" s="377" t="str">
        <f>IF(ISBLANK('RESUMEN VIGILANCIA'!AL125),"",'RESUMEN VIGILANCIA'!AL125)</f>
        <v/>
      </c>
      <c r="AN121" s="377" t="str">
        <f>IF(ISBLANK('RESUMEN VIGILANCIA'!AM125),"",'RESUMEN VIGILANCIA'!AM125)</f>
        <v/>
      </c>
      <c r="AO121" s="378" t="str">
        <f>IF(ISBLANK('RESUMEN VIGILANCIA'!AN125),"",'RESUMEN VIGILANCIA'!AN125)</f>
        <v/>
      </c>
      <c r="AP121" s="376" t="str">
        <f>IF(ISBLANK('RESUMEN VIGILANCIA'!AO125),"",'RESUMEN VIGILANCIA'!AO125)</f>
        <v/>
      </c>
      <c r="AQ121" s="377" t="str">
        <f>IF(ISBLANK('RESUMEN VIGILANCIA'!AP125),"",'RESUMEN VIGILANCIA'!AP125)</f>
        <v/>
      </c>
      <c r="AR121" s="377" t="str">
        <f>IF(ISBLANK('RESUMEN VIGILANCIA'!AQ125),"",'RESUMEN VIGILANCIA'!AQ125)</f>
        <v/>
      </c>
      <c r="AS121" s="377" t="str">
        <f>IF(ISBLANK('RESUMEN VIGILANCIA'!AR125),"",'RESUMEN VIGILANCIA'!AR125)</f>
        <v/>
      </c>
      <c r="AT121" s="377" t="str">
        <f>IF(ISBLANK('RESUMEN VIGILANCIA'!AS125),"",'RESUMEN VIGILANCIA'!AS125)</f>
        <v/>
      </c>
      <c r="AU121" s="377" t="str">
        <f>IF(ISBLANK('RESUMEN VIGILANCIA'!AT125),"",'RESUMEN VIGILANCIA'!AT125)</f>
        <v/>
      </c>
      <c r="AV121" s="377" t="str">
        <f>IF(ISBLANK('RESUMEN VIGILANCIA'!AU125),"",'RESUMEN VIGILANCIA'!AU125)</f>
        <v/>
      </c>
      <c r="AW121" s="377" t="str">
        <f>IF(ISBLANK('RESUMEN VIGILANCIA'!AV125),"",'RESUMEN VIGILANCIA'!AV125)</f>
        <v/>
      </c>
      <c r="AX121" s="377" t="str">
        <f>IF(ISBLANK('RESUMEN VIGILANCIA'!AW125),"",'RESUMEN VIGILANCIA'!AW125)</f>
        <v/>
      </c>
      <c r="AY121" s="377" t="str">
        <f>IF(ISBLANK('RESUMEN VIGILANCIA'!AX125),"",'RESUMEN VIGILANCIA'!AX125)</f>
        <v/>
      </c>
      <c r="AZ121" s="377" t="str">
        <f>IF(ISBLANK('RESUMEN VIGILANCIA'!AY125),"",'RESUMEN VIGILANCIA'!AY125)</f>
        <v/>
      </c>
      <c r="BA121" s="378" t="str">
        <f>IF(ISBLANK('RESUMEN VIGILANCIA'!AZ125),"",'RESUMEN VIGILANCIA'!AZ125)</f>
        <v/>
      </c>
      <c r="BB121" s="242">
        <f t="shared" si="10"/>
        <v>0</v>
      </c>
      <c r="BC121" s="112"/>
      <c r="BD121" s="112"/>
    </row>
    <row r="122" spans="1:56" s="29" customFormat="1" ht="20.100000000000001" customHeight="1">
      <c r="A122" s="59" t="str">
        <f>'RESUMEN VIGILANCIA'!A140</f>
        <v>Familia Morales Sesar</v>
      </c>
      <c r="B122" s="60" t="str">
        <f>'RESUMEN VIGILANCIA'!B140</f>
        <v>Calle Güigüe Nro. 89-120</v>
      </c>
      <c r="C122" s="429" t="s">
        <v>1318</v>
      </c>
      <c r="D122" s="436" t="s">
        <v>1315</v>
      </c>
      <c r="E122" s="416" t="str">
        <f>IF(ISBLANK('RESUMEN VIGILANCIA'!D140),"",'RESUMEN VIGILANCIA'!D140)</f>
        <v/>
      </c>
      <c r="F122" s="266">
        <f>IF(ISBLANK('RESUMEN VIGILANCIA'!E140),"",'RESUMEN VIGILANCIA'!E140)</f>
        <v>0.17</v>
      </c>
      <c r="G122" s="188">
        <f>IF(ISBLANK('RESUMEN VIGILANCIA'!F140),"",'RESUMEN VIGILANCIA'!F140)</f>
        <v>0.17</v>
      </c>
      <c r="H122" s="188">
        <f>IF(ISBLANK('RESUMEN VIGILANCIA'!G140),"",'RESUMEN VIGILANCIA'!G140)</f>
        <v>0.17</v>
      </c>
      <c r="I122" s="188">
        <f>IF(ISBLANK('RESUMEN VIGILANCIA'!H140),"",'RESUMEN VIGILANCIA'!H140)</f>
        <v>0.17</v>
      </c>
      <c r="J122" s="188">
        <f>IF(ISBLANK('RESUMEN VIGILANCIA'!I140),"",'RESUMEN VIGILANCIA'!I140)</f>
        <v>0.26</v>
      </c>
      <c r="K122" s="221">
        <f>IF(ISBLANK('RESUMEN VIGILANCIA'!J140),"",'RESUMEN VIGILANCIA'!J140)</f>
        <v>0.26</v>
      </c>
      <c r="L122" s="233">
        <f>IF(ISBLANK('RESUMEN VIGILANCIA'!K140),"",'RESUMEN VIGILANCIA'!K140)</f>
        <v>0.18</v>
      </c>
      <c r="M122" s="233">
        <f>IF(ISBLANK('RESUMEN VIGILANCIA'!L140),"",'RESUMEN VIGILANCIA'!L140)</f>
        <v>0.15</v>
      </c>
      <c r="N122" s="233">
        <f>IF(ISBLANK('RESUMEN VIGILANCIA'!M140),"",'RESUMEN VIGILANCIA'!M140)</f>
        <v>0.15</v>
      </c>
      <c r="O122" s="233">
        <f>IF(ISBLANK('RESUMEN VIGILANCIA'!N140),"",'RESUMEN VIGILANCIA'!N140)</f>
        <v>0.25</v>
      </c>
      <c r="P122" s="275" t="str">
        <f>IF(ISBLANK('RESUMEN VIGILANCIA'!O140),"",'RESUMEN VIGILANCIA'!O140)</f>
        <v>- - -</v>
      </c>
      <c r="Q122" s="222" t="str">
        <f>IF(ISBLANK('RESUMEN VIGILANCIA'!P140),"",'RESUMEN VIGILANCIA'!P140)</f>
        <v>- - -</v>
      </c>
      <c r="R122" s="336">
        <f>IF(ISBLANK('RESUMEN VIGILANCIA'!Q140),"",'RESUMEN VIGILANCIA'!Q140)</f>
        <v>0.4</v>
      </c>
      <c r="S122" s="272">
        <f>IF(ISBLANK('RESUMEN VIGILANCIA'!R140),"",'RESUMEN VIGILANCIA'!R140)</f>
        <v>0.4</v>
      </c>
      <c r="T122" s="272">
        <f>IF(ISBLANK('RESUMEN VIGILANCIA'!S140),"",'RESUMEN VIGILANCIA'!S140)</f>
        <v>0.5</v>
      </c>
      <c r="U122" s="272">
        <f>IF(ISBLANK('RESUMEN VIGILANCIA'!T140),"",'RESUMEN VIGILANCIA'!T140)</f>
        <v>0.5</v>
      </c>
      <c r="V122" s="272">
        <f>IF(ISBLANK('RESUMEN VIGILANCIA'!U140),"",'RESUMEN VIGILANCIA'!U140)</f>
        <v>1</v>
      </c>
      <c r="W122" s="272">
        <f>IF(ISBLANK('RESUMEN VIGILANCIA'!V140),"",'RESUMEN VIGILANCIA'!V140)</f>
        <v>1</v>
      </c>
      <c r="X122" s="272" t="str">
        <f>IF(ISBLANK('RESUMEN VIGILANCIA'!W140),"",'RESUMEN VIGILANCIA'!W140)</f>
        <v/>
      </c>
      <c r="Y122" s="272" t="str">
        <f>IF(ISBLANK('RESUMEN VIGILANCIA'!X140),"",'RESUMEN VIGILANCIA'!X140)</f>
        <v/>
      </c>
      <c r="Z122" s="458" t="str">
        <f>IF(ISBLANK('RESUMEN VIGILANCIA'!Y140),"",'RESUMEN VIGILANCIA'!Y140)</f>
        <v/>
      </c>
      <c r="AA122" s="478" t="str">
        <f>IF(ISBLANK('RESUMEN VIGILANCIA'!Z140),"",'RESUMEN VIGILANCIA'!Z140)</f>
        <v>VENDIDA</v>
      </c>
      <c r="AB122" s="461" t="str">
        <f>IF(ISBLANK('RESUMEN VIGILANCIA'!AA140),"",'RESUMEN VIGILANCIA'!AA140)</f>
        <v/>
      </c>
      <c r="AC122" s="462" t="str">
        <f>IF(ISBLANK('RESUMEN VIGILANCIA'!AB140),"",'RESUMEN VIGILANCIA'!AB140)</f>
        <v/>
      </c>
      <c r="AD122" s="392" t="str">
        <f>IF(ISBLANK('RESUMEN VIGILANCIA'!AC140),"",'RESUMEN VIGILANCIA'!AC140)</f>
        <v/>
      </c>
      <c r="AE122" s="393" t="str">
        <f>IF(ISBLANK('RESUMEN VIGILANCIA'!AD140),"",'RESUMEN VIGILANCIA'!AD140)</f>
        <v/>
      </c>
      <c r="AF122" s="393" t="str">
        <f>IF(ISBLANK('RESUMEN VIGILANCIA'!AE140),"",'RESUMEN VIGILANCIA'!AE140)</f>
        <v/>
      </c>
      <c r="AG122" s="393" t="str">
        <f>IF(ISBLANK('RESUMEN VIGILANCIA'!AF140),"",'RESUMEN VIGILANCIA'!AF140)</f>
        <v/>
      </c>
      <c r="AH122" s="393" t="str">
        <f>IF(ISBLANK('RESUMEN VIGILANCIA'!AG140),"",'RESUMEN VIGILANCIA'!AG140)</f>
        <v/>
      </c>
      <c r="AI122" s="393" t="str">
        <f>IF(ISBLANK('RESUMEN VIGILANCIA'!AH140),"",'RESUMEN VIGILANCIA'!AH140)</f>
        <v/>
      </c>
      <c r="AJ122" s="393" t="str">
        <f>IF(ISBLANK('RESUMEN VIGILANCIA'!AI140),"",'RESUMEN VIGILANCIA'!AI140)</f>
        <v/>
      </c>
      <c r="AK122" s="393" t="str">
        <f>IF(ISBLANK('RESUMEN VIGILANCIA'!AJ140),"",'RESUMEN VIGILANCIA'!AJ140)</f>
        <v/>
      </c>
      <c r="AL122" s="393" t="str">
        <f>IF(ISBLANK('RESUMEN VIGILANCIA'!AK140),"",'RESUMEN VIGILANCIA'!AK140)</f>
        <v/>
      </c>
      <c r="AM122" s="393" t="str">
        <f>IF(ISBLANK('RESUMEN VIGILANCIA'!AL140),"",'RESUMEN VIGILANCIA'!AL140)</f>
        <v/>
      </c>
      <c r="AN122" s="393" t="str">
        <f>IF(ISBLANK('RESUMEN VIGILANCIA'!AM140),"",'RESUMEN VIGILANCIA'!AM140)</f>
        <v/>
      </c>
      <c r="AO122" s="394" t="str">
        <f>IF(ISBLANK('RESUMEN VIGILANCIA'!AN140),"",'RESUMEN VIGILANCIA'!AN140)</f>
        <v/>
      </c>
      <c r="AP122" s="392" t="str">
        <f>IF(ISBLANK('RESUMEN VIGILANCIA'!AO140),"",'RESUMEN VIGILANCIA'!AO140)</f>
        <v/>
      </c>
      <c r="AQ122" s="393" t="str">
        <f>IF(ISBLANK('RESUMEN VIGILANCIA'!AP140),"",'RESUMEN VIGILANCIA'!AP140)</f>
        <v/>
      </c>
      <c r="AR122" s="393" t="str">
        <f>IF(ISBLANK('RESUMEN VIGILANCIA'!AQ140),"",'RESUMEN VIGILANCIA'!AQ140)</f>
        <v/>
      </c>
      <c r="AS122" s="393" t="str">
        <f>IF(ISBLANK('RESUMEN VIGILANCIA'!AR140),"",'RESUMEN VIGILANCIA'!AR140)</f>
        <v/>
      </c>
      <c r="AT122" s="393" t="str">
        <f>IF(ISBLANK('RESUMEN VIGILANCIA'!AS140),"",'RESUMEN VIGILANCIA'!AS140)</f>
        <v/>
      </c>
      <c r="AU122" s="393" t="str">
        <f>IF(ISBLANK('RESUMEN VIGILANCIA'!AT140),"",'RESUMEN VIGILANCIA'!AT140)</f>
        <v/>
      </c>
      <c r="AV122" s="393" t="str">
        <f>IF(ISBLANK('RESUMEN VIGILANCIA'!AU140),"",'RESUMEN VIGILANCIA'!AU140)</f>
        <v/>
      </c>
      <c r="AW122" s="393" t="str">
        <f>IF(ISBLANK('RESUMEN VIGILANCIA'!AV140),"",'RESUMEN VIGILANCIA'!AV140)</f>
        <v/>
      </c>
      <c r="AX122" s="393" t="str">
        <f>IF(ISBLANK('RESUMEN VIGILANCIA'!AW140),"",'RESUMEN VIGILANCIA'!AW140)</f>
        <v/>
      </c>
      <c r="AY122" s="393" t="str">
        <f>IF(ISBLANK('RESUMEN VIGILANCIA'!AX140),"",'RESUMEN VIGILANCIA'!AX140)</f>
        <v/>
      </c>
      <c r="AZ122" s="393" t="str">
        <f>IF(ISBLANK('RESUMEN VIGILANCIA'!AY140),"",'RESUMEN VIGILANCIA'!AY140)</f>
        <v/>
      </c>
      <c r="BA122" s="394" t="str">
        <f>IF(ISBLANK('RESUMEN VIGILANCIA'!AZ140),"",'RESUMEN VIGILANCIA'!AZ140)</f>
        <v/>
      </c>
      <c r="BB122" s="242">
        <f t="shared" si="10"/>
        <v>5.73</v>
      </c>
      <c r="BC122" s="112"/>
      <c r="BD122" s="112">
        <v>43344</v>
      </c>
    </row>
    <row r="123" spans="1:56" s="29" customFormat="1" ht="20.100000000000001" customHeight="1">
      <c r="A123" s="30" t="str">
        <f>'RESUMEN VIGILANCIA'!A141</f>
        <v>Familia Abbinante Pinto</v>
      </c>
      <c r="B123" s="31" t="str">
        <f>'RESUMEN VIGILANCIA'!B141</f>
        <v>Calle Güigüe Nro. 89-120</v>
      </c>
      <c r="C123" s="429" t="s">
        <v>1316</v>
      </c>
      <c r="D123" s="436" t="s">
        <v>1315</v>
      </c>
      <c r="E123" s="417" t="str">
        <f>IF(ISBLANK('RESUMEN VIGILANCIA'!D141),"",'RESUMEN VIGILANCIA'!D141)</f>
        <v/>
      </c>
      <c r="F123" s="269" t="str">
        <f>IF(ISBLANK('RESUMEN VIGILANCIA'!E141),"",'RESUMEN VIGILANCIA'!E141)</f>
        <v/>
      </c>
      <c r="G123" s="181" t="str">
        <f>IF(ISBLANK('RESUMEN VIGILANCIA'!F141),"",'RESUMEN VIGILANCIA'!F141)</f>
        <v/>
      </c>
      <c r="H123" s="181" t="str">
        <f>IF(ISBLANK('RESUMEN VIGILANCIA'!G141),"",'RESUMEN VIGILANCIA'!G141)</f>
        <v/>
      </c>
      <c r="I123" s="181" t="str">
        <f>IF(ISBLANK('RESUMEN VIGILANCIA'!H141),"",'RESUMEN VIGILANCIA'!H141)</f>
        <v/>
      </c>
      <c r="J123" s="181" t="str">
        <f>IF(ISBLANK('RESUMEN VIGILANCIA'!I141),"",'RESUMEN VIGILANCIA'!I141)</f>
        <v/>
      </c>
      <c r="K123" s="181" t="str">
        <f>IF(ISBLANK('RESUMEN VIGILANCIA'!J141),"",'RESUMEN VIGILANCIA'!J141)</f>
        <v/>
      </c>
      <c r="L123" s="226" t="str">
        <f>IF(ISBLANK('RESUMEN VIGILANCIA'!K141),"",'RESUMEN VIGILANCIA'!K141)</f>
        <v/>
      </c>
      <c r="M123" s="181" t="str">
        <f>IF(ISBLANK('RESUMEN VIGILANCIA'!L141),"",'RESUMEN VIGILANCIA'!L141)</f>
        <v/>
      </c>
      <c r="N123" s="181" t="str">
        <f>IF(ISBLANK('RESUMEN VIGILANCIA'!M141),"",'RESUMEN VIGILANCIA'!M141)</f>
        <v/>
      </c>
      <c r="O123" s="181" t="str">
        <f>IF(ISBLANK('RESUMEN VIGILANCIA'!N141),"",'RESUMEN VIGILANCIA'!N141)</f>
        <v/>
      </c>
      <c r="P123" s="270" t="str">
        <f>IF(ISBLANK('RESUMEN VIGILANCIA'!O141),"",'RESUMEN VIGILANCIA'!O141)</f>
        <v/>
      </c>
      <c r="Q123" s="179" t="str">
        <f>IF(ISBLANK('RESUMEN VIGILANCIA'!P141),"",'RESUMEN VIGILANCIA'!P141)</f>
        <v/>
      </c>
      <c r="R123" s="337" t="str">
        <f>IF(ISBLANK('RESUMEN VIGILANCIA'!Q141),"",'RESUMEN VIGILANCIA'!Q141)</f>
        <v/>
      </c>
      <c r="S123" s="281" t="str">
        <f>IF(ISBLANK('RESUMEN VIGILANCIA'!R141),"",'RESUMEN VIGILANCIA'!R141)</f>
        <v/>
      </c>
      <c r="T123" s="281" t="str">
        <f>IF(ISBLANK('RESUMEN VIGILANCIA'!S141),"",'RESUMEN VIGILANCIA'!S141)</f>
        <v/>
      </c>
      <c r="U123" s="281" t="str">
        <f>IF(ISBLANK('RESUMEN VIGILANCIA'!T141),"",'RESUMEN VIGILANCIA'!T141)</f>
        <v/>
      </c>
      <c r="V123" s="281" t="str">
        <f>IF(ISBLANK('RESUMEN VIGILANCIA'!U141),"",'RESUMEN VIGILANCIA'!U141)</f>
        <v/>
      </c>
      <c r="W123" s="281" t="str">
        <f>IF(ISBLANK('RESUMEN VIGILANCIA'!V141),"",'RESUMEN VIGILANCIA'!V141)</f>
        <v/>
      </c>
      <c r="X123" s="281" t="str">
        <f>IF(ISBLANK('RESUMEN VIGILANCIA'!W141),"",'RESUMEN VIGILANCIA'!W141)</f>
        <v/>
      </c>
      <c r="Y123" s="281" t="str">
        <f>IF(ISBLANK('RESUMEN VIGILANCIA'!X141),"",'RESUMEN VIGILANCIA'!X141)</f>
        <v/>
      </c>
      <c r="Z123" s="464" t="str">
        <f>IF(ISBLANK('RESUMEN VIGILANCIA'!Y141),"",'RESUMEN VIGILANCIA'!Y141)</f>
        <v/>
      </c>
      <c r="AA123" s="455">
        <f>IF(ISBLANK('RESUMEN VIGILANCIA'!Z141),"",'RESUMEN VIGILANCIA'!Z141)</f>
        <v>320</v>
      </c>
      <c r="AB123" s="455">
        <f>IF(ISBLANK('RESUMEN VIGILANCIA'!AA141),"",'RESUMEN VIGILANCIA'!AA141)</f>
        <v>320</v>
      </c>
      <c r="AC123" s="456">
        <f>IF(ISBLANK('RESUMEN VIGILANCIA'!AB141),"",'RESUMEN VIGILANCIA'!AB141)</f>
        <v>800</v>
      </c>
      <c r="AD123" s="376">
        <f>IF(ISBLANK('RESUMEN VIGILANCIA'!AC141),"",'RESUMEN VIGILANCIA'!AC141)</f>
        <v>3000</v>
      </c>
      <c r="AE123" s="377">
        <f>IF(ISBLANK('RESUMEN VIGILANCIA'!AD141),"",'RESUMEN VIGILANCIA'!AD141)</f>
        <v>3000</v>
      </c>
      <c r="AF123" s="377">
        <f>IF(ISBLANK('RESUMEN VIGILANCIA'!AE141),"",'RESUMEN VIGILANCIA'!AE141)</f>
        <v>3000</v>
      </c>
      <c r="AG123" s="377">
        <f>IF(ISBLANK('RESUMEN VIGILANCIA'!AF141),"",'RESUMEN VIGILANCIA'!AF141)</f>
        <v>5000</v>
      </c>
      <c r="AH123" s="377">
        <f>IF(ISBLANK('RESUMEN VIGILANCIA'!AG141),"",'RESUMEN VIGILANCIA'!AG141)</f>
        <v>8000</v>
      </c>
      <c r="AI123" s="377">
        <f>IF(ISBLANK('RESUMEN VIGILANCIA'!AH141),"",'RESUMEN VIGILANCIA'!AH141)</f>
        <v>8000</v>
      </c>
      <c r="AJ123" s="377">
        <f>IF(ISBLANK('RESUMEN VIGILANCIA'!AI141),"",'RESUMEN VIGILANCIA'!AI141)</f>
        <v>10000</v>
      </c>
      <c r="AK123" s="377">
        <f>IF(ISBLANK('RESUMEN VIGILANCIA'!AJ141),"",'RESUMEN VIGILANCIA'!AJ141)</f>
        <v>10000</v>
      </c>
      <c r="AL123" s="377">
        <f>IF(ISBLANK('RESUMEN VIGILANCIA'!AK141),"",'RESUMEN VIGILANCIA'!AK141)</f>
        <v>21600</v>
      </c>
      <c r="AM123" s="377">
        <f>IF(ISBLANK('RESUMEN VIGILANCIA'!AL141),"",'RESUMEN VIGILANCIA'!AL141)</f>
        <v>51250</v>
      </c>
      <c r="AN123" s="377">
        <f>IF(ISBLANK('RESUMEN VIGILANCIA'!AM141),"",'RESUMEN VIGILANCIA'!AM141)</f>
        <v>73500</v>
      </c>
      <c r="AO123" s="378">
        <f>IF(ISBLANK('RESUMEN VIGILANCIA'!AN141),"",'RESUMEN VIGILANCIA'!AN141)</f>
        <v>105250</v>
      </c>
      <c r="AP123" s="376">
        <f>IF(ISBLANK('RESUMEN VIGILANCIA'!AO141),"",'RESUMEN VIGILANCIA'!AO141)</f>
        <v>136250</v>
      </c>
      <c r="AQ123" s="377">
        <f>IF(ISBLANK('RESUMEN VIGILANCIA'!AP141),"",'RESUMEN VIGILANCIA'!AP141)</f>
        <v>185250</v>
      </c>
      <c r="AR123" s="377">
        <f>IF(ISBLANK('RESUMEN VIGILANCIA'!AQ141),"",'RESUMEN VIGILANCIA'!AQ141)</f>
        <v>185250</v>
      </c>
      <c r="AS123" s="377">
        <f>IF(ISBLANK('RESUMEN VIGILANCIA'!AR141),"",'RESUMEN VIGILANCIA'!AR141)</f>
        <v>186250</v>
      </c>
      <c r="AT123" s="377">
        <f>IF(ISBLANK('RESUMEN VIGILANCIA'!AS141),"",'RESUMEN VIGILANCIA'!AS141)</f>
        <v>250000</v>
      </c>
      <c r="AU123" s="377" t="str">
        <f>IF(ISBLANK('RESUMEN VIGILANCIA'!AT141),"",'RESUMEN VIGILANCIA'!AT141)</f>
        <v/>
      </c>
      <c r="AV123" s="377" t="str">
        <f>IF(ISBLANK('RESUMEN VIGILANCIA'!AU141),"",'RESUMEN VIGILANCIA'!AU141)</f>
        <v/>
      </c>
      <c r="AW123" s="377" t="str">
        <f>IF(ISBLANK('RESUMEN VIGILANCIA'!AV141),"",'RESUMEN VIGILANCIA'!AV141)</f>
        <v/>
      </c>
      <c r="AX123" s="377" t="str">
        <f>IF(ISBLANK('RESUMEN VIGILANCIA'!AW141),"",'RESUMEN VIGILANCIA'!AW141)</f>
        <v/>
      </c>
      <c r="AY123" s="377" t="str">
        <f>IF(ISBLANK('RESUMEN VIGILANCIA'!AX141),"",'RESUMEN VIGILANCIA'!AX141)</f>
        <v/>
      </c>
      <c r="AZ123" s="377" t="str">
        <f>IF(ISBLANK('RESUMEN VIGILANCIA'!AY141),"",'RESUMEN VIGILANCIA'!AY141)</f>
        <v/>
      </c>
      <c r="BA123" s="378" t="str">
        <f>IF(ISBLANK('RESUMEN VIGILANCIA'!AZ141),"",'RESUMEN VIGILANCIA'!AZ141)</f>
        <v/>
      </c>
      <c r="BB123" s="242">
        <f t="shared" si="10"/>
        <v>303040</v>
      </c>
      <c r="BC123" s="112">
        <v>43374</v>
      </c>
      <c r="BD123" s="112"/>
    </row>
    <row r="124" spans="1:56" s="29" customFormat="1" ht="20.100000000000001" customHeight="1">
      <c r="A124" s="33" t="str">
        <f>'RESUMEN VIGILANCIA'!A127</f>
        <v>Familia Kablan Sarmiento</v>
      </c>
      <c r="B124" s="34" t="str">
        <f>'RESUMEN VIGILANCIA'!B127</f>
        <v>Calle Güigüe Nro. 89-80</v>
      </c>
      <c r="C124" s="430" t="s">
        <v>1316</v>
      </c>
      <c r="D124" s="435" t="s">
        <v>1315</v>
      </c>
      <c r="E124" s="416" t="str">
        <f>IF(ISBLANK('RESUMEN VIGILANCIA'!D127),"",'RESUMEN VIGILANCIA'!D127)</f>
        <v/>
      </c>
      <c r="F124" s="266">
        <f>IF(ISBLANK('RESUMEN VIGILANCIA'!E127),"",'RESUMEN VIGILANCIA'!E127)</f>
        <v>0.1</v>
      </c>
      <c r="G124" s="188">
        <f>IF(ISBLANK('RESUMEN VIGILANCIA'!F127),"",'RESUMEN VIGILANCIA'!F127)</f>
        <v>0.1</v>
      </c>
      <c r="H124" s="188">
        <f>IF(ISBLANK('RESUMEN VIGILANCIA'!G127),"",'RESUMEN VIGILANCIA'!G127)</f>
        <v>0.1</v>
      </c>
      <c r="I124" s="188">
        <f>IF(ISBLANK('RESUMEN VIGILANCIA'!H127),"",'RESUMEN VIGILANCIA'!H127)</f>
        <v>0.1</v>
      </c>
      <c r="J124" s="188">
        <f>IF(ISBLANK('RESUMEN VIGILANCIA'!I127),"",'RESUMEN VIGILANCIA'!I127)</f>
        <v>0.15</v>
      </c>
      <c r="K124" s="188">
        <f>IF(ISBLANK('RESUMEN VIGILANCIA'!J127),"",'RESUMEN VIGILANCIA'!J127)</f>
        <v>0.15</v>
      </c>
      <c r="L124" s="188">
        <f>IF(ISBLANK('RESUMEN VIGILANCIA'!K127),"",'RESUMEN VIGILANCIA'!K127)</f>
        <v>0.2</v>
      </c>
      <c r="M124" s="188">
        <f>IF(ISBLANK('RESUMEN VIGILANCIA'!L127),"",'RESUMEN VIGILANCIA'!L127)</f>
        <v>0.2</v>
      </c>
      <c r="N124" s="188">
        <f>IF(ISBLANK('RESUMEN VIGILANCIA'!M127),"",'RESUMEN VIGILANCIA'!M127)</f>
        <v>0.2</v>
      </c>
      <c r="O124" s="188">
        <f>IF(ISBLANK('RESUMEN VIGILANCIA'!N127),"",'RESUMEN VIGILANCIA'!N127)</f>
        <v>0.2</v>
      </c>
      <c r="P124" s="267">
        <f>IF(ISBLANK('RESUMEN VIGILANCIA'!O127),"",'RESUMEN VIGILANCIA'!O127)</f>
        <v>0.4</v>
      </c>
      <c r="Q124" s="186">
        <f>IF(ISBLANK('RESUMEN VIGILANCIA'!P127),"",'RESUMEN VIGILANCIA'!P127)</f>
        <v>0.4</v>
      </c>
      <c r="R124" s="336">
        <f>IF(ISBLANK('RESUMEN VIGILANCIA'!Q127),"",'RESUMEN VIGILANCIA'!Q127)</f>
        <v>0.8</v>
      </c>
      <c r="S124" s="272">
        <f>IF(ISBLANK('RESUMEN VIGILANCIA'!R127),"",'RESUMEN VIGILANCIA'!R127)</f>
        <v>0.8</v>
      </c>
      <c r="T124" s="272">
        <f>IF(ISBLANK('RESUMEN VIGILANCIA'!S127),"",'RESUMEN VIGILANCIA'!S127)</f>
        <v>1.4</v>
      </c>
      <c r="U124" s="272">
        <f>IF(ISBLANK('RESUMEN VIGILANCIA'!T127),"",'RESUMEN VIGILANCIA'!T127)</f>
        <v>1.4</v>
      </c>
      <c r="V124" s="272">
        <f>IF(ISBLANK('RESUMEN VIGILANCIA'!U127),"",'RESUMEN VIGILANCIA'!U127)</f>
        <v>4</v>
      </c>
      <c r="W124" s="272">
        <f>IF(ISBLANK('RESUMEN VIGILANCIA'!V127),"",'RESUMEN VIGILANCIA'!V127)</f>
        <v>6.25</v>
      </c>
      <c r="X124" s="272">
        <f>IF(ISBLANK('RESUMEN VIGILANCIA'!W127),"",'RESUMEN VIGILANCIA'!W127)</f>
        <v>10</v>
      </c>
      <c r="Y124" s="272">
        <f>IF(ISBLANK('RESUMEN VIGILANCIA'!X127),"",'RESUMEN VIGILANCIA'!X127)</f>
        <v>12</v>
      </c>
      <c r="Z124" s="458">
        <f>IF(ISBLANK('RESUMEN VIGILANCIA'!Y127),"",'RESUMEN VIGILANCIA'!Y127)</f>
        <v>320</v>
      </c>
      <c r="AA124" s="458">
        <f>IF(ISBLANK('RESUMEN VIGILANCIA'!Z127),"",'RESUMEN VIGILANCIA'!Z127)</f>
        <v>320</v>
      </c>
      <c r="AB124" s="458">
        <f>IF(ISBLANK('RESUMEN VIGILANCIA'!AA127),"",'RESUMEN VIGILANCIA'!AA127)</f>
        <v>320</v>
      </c>
      <c r="AC124" s="457">
        <f>IF(ISBLANK('RESUMEN VIGILANCIA'!AB127),"",'RESUMEN VIGILANCIA'!AB127)</f>
        <v>800</v>
      </c>
      <c r="AD124" s="381">
        <f>IF(ISBLANK('RESUMEN VIGILANCIA'!AC127),"",'RESUMEN VIGILANCIA'!AC127)</f>
        <v>3000</v>
      </c>
      <c r="AE124" s="382">
        <f>IF(ISBLANK('RESUMEN VIGILANCIA'!AD127),"",'RESUMEN VIGILANCIA'!AD127)</f>
        <v>3000</v>
      </c>
      <c r="AF124" s="382">
        <f>IF(ISBLANK('RESUMEN VIGILANCIA'!AE127),"",'RESUMEN VIGILANCIA'!AE127)</f>
        <v>3000</v>
      </c>
      <c r="AG124" s="382">
        <f>IF(ISBLANK('RESUMEN VIGILANCIA'!AF127),"",'RESUMEN VIGILANCIA'!AF127)</f>
        <v>5000</v>
      </c>
      <c r="AH124" s="382">
        <f>IF(ISBLANK('RESUMEN VIGILANCIA'!AG127),"",'RESUMEN VIGILANCIA'!AG127)</f>
        <v>8000</v>
      </c>
      <c r="AI124" s="382">
        <f>IF(ISBLANK('RESUMEN VIGILANCIA'!AH127),"",'RESUMEN VIGILANCIA'!AH127)</f>
        <v>8000</v>
      </c>
      <c r="AJ124" s="382">
        <f>IF(ISBLANK('RESUMEN VIGILANCIA'!AI127),"",'RESUMEN VIGILANCIA'!AI127)</f>
        <v>10000</v>
      </c>
      <c r="AK124" s="382">
        <f>IF(ISBLANK('RESUMEN VIGILANCIA'!AJ127),"",'RESUMEN VIGILANCIA'!AJ127)</f>
        <v>10000</v>
      </c>
      <c r="AL124" s="382">
        <f>IF(ISBLANK('RESUMEN VIGILANCIA'!AK127),"",'RESUMEN VIGILANCIA'!AK127)</f>
        <v>20000</v>
      </c>
      <c r="AM124" s="382">
        <f>IF(ISBLANK('RESUMEN VIGILANCIA'!AL127),"",'RESUMEN VIGILANCIA'!AL127)</f>
        <v>51000</v>
      </c>
      <c r="AN124" s="382">
        <f>IF(ISBLANK('RESUMEN VIGILANCIA'!AM127),"",'RESUMEN VIGILANCIA'!AM127)</f>
        <v>51250</v>
      </c>
      <c r="AO124" s="387">
        <f>IF(ISBLANK('RESUMEN VIGILANCIA'!AN127),"",'RESUMEN VIGILANCIA'!AN127)</f>
        <v>97500</v>
      </c>
      <c r="AP124" s="381">
        <f>IF(ISBLANK('RESUMEN VIGILANCIA'!AO127),"",'RESUMEN VIGILANCIA'!AO127)</f>
        <v>136250</v>
      </c>
      <c r="AQ124" s="382">
        <f>IF(ISBLANK('RESUMEN VIGILANCIA'!AP127),"",'RESUMEN VIGILANCIA'!AP127)</f>
        <v>136250</v>
      </c>
      <c r="AR124" s="382">
        <f>IF(ISBLANK('RESUMEN VIGILANCIA'!AQ127),"",'RESUMEN VIGILANCIA'!AQ127)</f>
        <v>185250</v>
      </c>
      <c r="AS124" s="382">
        <f>IF(ISBLANK('RESUMEN VIGILANCIA'!AR127),"",'RESUMEN VIGILANCIA'!AR127)</f>
        <v>185250</v>
      </c>
      <c r="AT124" s="382">
        <f>IF(ISBLANK('RESUMEN VIGILANCIA'!AS127),"",'RESUMEN VIGILANCIA'!AS127)</f>
        <v>250000</v>
      </c>
      <c r="AU124" s="382" t="str">
        <f>IF(ISBLANK('RESUMEN VIGILANCIA'!AT127),"",'RESUMEN VIGILANCIA'!AT127)</f>
        <v/>
      </c>
      <c r="AV124" s="382" t="str">
        <f>IF(ISBLANK('RESUMEN VIGILANCIA'!AU127),"",'RESUMEN VIGILANCIA'!AU127)</f>
        <v/>
      </c>
      <c r="AW124" s="382" t="str">
        <f>IF(ISBLANK('RESUMEN VIGILANCIA'!AV127),"",'RESUMEN VIGILANCIA'!AV127)</f>
        <v/>
      </c>
      <c r="AX124" s="382" t="str">
        <f>IF(ISBLANK('RESUMEN VIGILANCIA'!AW127),"",'RESUMEN VIGILANCIA'!AW127)</f>
        <v/>
      </c>
      <c r="AY124" s="382" t="str">
        <f>IF(ISBLANK('RESUMEN VIGILANCIA'!AX127),"",'RESUMEN VIGILANCIA'!AX127)</f>
        <v/>
      </c>
      <c r="AZ124" s="382" t="str">
        <f>IF(ISBLANK('RESUMEN VIGILANCIA'!AY127),"",'RESUMEN VIGILANCIA'!AY127)</f>
        <v/>
      </c>
      <c r="BA124" s="387" t="str">
        <f>IF(ISBLANK('RESUMEN VIGILANCIA'!AZ127),"",'RESUMEN VIGILANCIA'!AZ127)</f>
        <v/>
      </c>
      <c r="BB124" s="346">
        <f t="shared" si="10"/>
        <v>271548.95</v>
      </c>
      <c r="BC124" s="347"/>
      <c r="BD124" s="347"/>
    </row>
    <row r="125" spans="1:56" s="29" customFormat="1" ht="20.100000000000001" customHeight="1">
      <c r="A125" s="30" t="str">
        <f>'RESUMEN VIGILANCIA'!A128</f>
        <v>Familia Ferrer Bahri</v>
      </c>
      <c r="B125" s="31" t="str">
        <f>'RESUMEN VIGILANCIA'!B128</f>
        <v>Calle Güigüe Nro. 89-83</v>
      </c>
      <c r="C125" s="429" t="s">
        <v>1316</v>
      </c>
      <c r="D125" s="436" t="s">
        <v>17</v>
      </c>
      <c r="E125" s="417" t="str">
        <f>IF(ISBLANK('RESUMEN VIGILANCIA'!D128),"",'RESUMEN VIGILANCIA'!D128)</f>
        <v/>
      </c>
      <c r="F125" s="269">
        <f>IF(ISBLANK('RESUMEN VIGILANCIA'!E128),"",'RESUMEN VIGILANCIA'!E128)</f>
        <v>0.17</v>
      </c>
      <c r="G125" s="181">
        <f>IF(ISBLANK('RESUMEN VIGILANCIA'!F128),"",'RESUMEN VIGILANCIA'!F128)</f>
        <v>0.17</v>
      </c>
      <c r="H125" s="181">
        <f>IF(ISBLANK('RESUMEN VIGILANCIA'!G128),"",'RESUMEN VIGILANCIA'!G128)</f>
        <v>0.17</v>
      </c>
      <c r="I125" s="181">
        <f>IF(ISBLANK('RESUMEN VIGILANCIA'!H128),"",'RESUMEN VIGILANCIA'!H128)</f>
        <v>0.17</v>
      </c>
      <c r="J125" s="181">
        <f>IF(ISBLANK('RESUMEN VIGILANCIA'!I128),"",'RESUMEN VIGILANCIA'!I128)</f>
        <v>0.26</v>
      </c>
      <c r="K125" s="181">
        <f>IF(ISBLANK('RESUMEN VIGILANCIA'!J128),"",'RESUMEN VIGILANCIA'!J128)</f>
        <v>0.26</v>
      </c>
      <c r="L125" s="181">
        <f>IF(ISBLANK('RESUMEN VIGILANCIA'!K128),"",'RESUMEN VIGILANCIA'!K128)</f>
        <v>0.35</v>
      </c>
      <c r="M125" s="181">
        <f>IF(ISBLANK('RESUMEN VIGILANCIA'!L128),"",'RESUMEN VIGILANCIA'!L128)</f>
        <v>0.35</v>
      </c>
      <c r="N125" s="181">
        <f>IF(ISBLANK('RESUMEN VIGILANCIA'!M128),"",'RESUMEN VIGILANCIA'!M128)</f>
        <v>0.35</v>
      </c>
      <c r="O125" s="181">
        <f>IF(ISBLANK('RESUMEN VIGILANCIA'!N128),"",'RESUMEN VIGILANCIA'!N128)</f>
        <v>0.35</v>
      </c>
      <c r="P125" s="270">
        <f>IF(ISBLANK('RESUMEN VIGILANCIA'!O128),"",'RESUMEN VIGILANCIA'!O128)</f>
        <v>0.5</v>
      </c>
      <c r="Q125" s="179">
        <f>IF(ISBLANK('RESUMEN VIGILANCIA'!P128),"",'RESUMEN VIGILANCIA'!P128)</f>
        <v>0.5</v>
      </c>
      <c r="R125" s="271">
        <f>IF(ISBLANK('RESUMEN VIGILANCIA'!Q128),"",'RESUMEN VIGILANCIA'!Q128)</f>
        <v>0.8</v>
      </c>
      <c r="S125" s="270">
        <f>IF(ISBLANK('RESUMEN VIGILANCIA'!R128),"",'RESUMEN VIGILANCIA'!R128)</f>
        <v>0.8</v>
      </c>
      <c r="T125" s="270">
        <f>IF(ISBLANK('RESUMEN VIGILANCIA'!S128),"",'RESUMEN VIGILANCIA'!S128)</f>
        <v>1.4</v>
      </c>
      <c r="U125" s="270">
        <f>IF(ISBLANK('RESUMEN VIGILANCIA'!T128),"",'RESUMEN VIGILANCIA'!T128)</f>
        <v>1.4</v>
      </c>
      <c r="V125" s="270">
        <f>IF(ISBLANK('RESUMEN VIGILANCIA'!U128),"",'RESUMEN VIGILANCIA'!U128)</f>
        <v>4</v>
      </c>
      <c r="W125" s="270">
        <f>IF(ISBLANK('RESUMEN VIGILANCIA'!V128),"",'RESUMEN VIGILANCIA'!V128)</f>
        <v>6.25</v>
      </c>
      <c r="X125" s="270">
        <f>IF(ISBLANK('RESUMEN VIGILANCIA'!W128),"",'RESUMEN VIGILANCIA'!W128)</f>
        <v>10</v>
      </c>
      <c r="Y125" s="270">
        <f>IF(ISBLANK('RESUMEN VIGILANCIA'!X128),"",'RESUMEN VIGILANCIA'!X128)</f>
        <v>12</v>
      </c>
      <c r="Z125" s="455">
        <f>IF(ISBLANK('RESUMEN VIGILANCIA'!Y128),"",'RESUMEN VIGILANCIA'!Y128)</f>
        <v>320</v>
      </c>
      <c r="AA125" s="455">
        <f>IF(ISBLANK('RESUMEN VIGILANCIA'!Z128),"",'RESUMEN VIGILANCIA'!Z128)</f>
        <v>320</v>
      </c>
      <c r="AB125" s="455">
        <f>IF(ISBLANK('RESUMEN VIGILANCIA'!AA128),"",'RESUMEN VIGILANCIA'!AA128)</f>
        <v>320</v>
      </c>
      <c r="AC125" s="456">
        <f>IF(ISBLANK('RESUMEN VIGILANCIA'!AB128),"",'RESUMEN VIGILANCIA'!AB128)</f>
        <v>800</v>
      </c>
      <c r="AD125" s="376">
        <f>IF(ISBLANK('RESUMEN VIGILANCIA'!AC128),"",'RESUMEN VIGILANCIA'!AC128)</f>
        <v>3000</v>
      </c>
      <c r="AE125" s="377">
        <f>IF(ISBLANK('RESUMEN VIGILANCIA'!AD128),"",'RESUMEN VIGILANCIA'!AD128)</f>
        <v>3000</v>
      </c>
      <c r="AF125" s="377">
        <f>IF(ISBLANK('RESUMEN VIGILANCIA'!AE128),"",'RESUMEN VIGILANCIA'!AE128)</f>
        <v>6000</v>
      </c>
      <c r="AG125" s="377">
        <f>IF(ISBLANK('RESUMEN VIGILANCIA'!AF128),"",'RESUMEN VIGILANCIA'!AF128)</f>
        <v>6000</v>
      </c>
      <c r="AH125" s="377">
        <f>IF(ISBLANK('RESUMEN VIGILANCIA'!AG128),"",'RESUMEN VIGILANCIA'!AG128)</f>
        <v>12000</v>
      </c>
      <c r="AI125" s="377">
        <f>IF(ISBLANK('RESUMEN VIGILANCIA'!AH128),"",'RESUMEN VIGILANCIA'!AH128)</f>
        <v>12000</v>
      </c>
      <c r="AJ125" s="377">
        <f>IF(ISBLANK('RESUMEN VIGILANCIA'!AI128),"",'RESUMEN VIGILANCIA'!AI128)</f>
        <v>20000</v>
      </c>
      <c r="AK125" s="377">
        <f>IF(ISBLANK('RESUMEN VIGILANCIA'!AJ128),"",'RESUMEN VIGILANCIA'!AJ128)</f>
        <v>20000</v>
      </c>
      <c r="AL125" s="377">
        <f>IF(ISBLANK('RESUMEN VIGILANCIA'!AK128),"",'RESUMEN VIGILANCIA'!AK128)</f>
        <v>23400</v>
      </c>
      <c r="AM125" s="377">
        <f>IF(ISBLANK('RESUMEN VIGILANCIA'!AL128),"",'RESUMEN VIGILANCIA'!AL128)</f>
        <v>47000</v>
      </c>
      <c r="AN125" s="377">
        <f>IF(ISBLANK('RESUMEN VIGILANCIA'!AM128),"",'RESUMEN VIGILANCIA'!AM128)</f>
        <v>60000</v>
      </c>
      <c r="AO125" s="378">
        <f>IF(ISBLANK('RESUMEN VIGILANCIA'!AN128),"",'RESUMEN VIGILANCIA'!AN128)</f>
        <v>150000</v>
      </c>
      <c r="AP125" s="376">
        <f>IF(ISBLANK('RESUMEN VIGILANCIA'!AO128),"",'RESUMEN VIGILANCIA'!AO128)</f>
        <v>150000</v>
      </c>
      <c r="AQ125" s="377">
        <f>IF(ISBLANK('RESUMEN VIGILANCIA'!AP128),"",'RESUMEN VIGILANCIA'!AP128)</f>
        <v>150000</v>
      </c>
      <c r="AR125" s="377">
        <f>IF(ISBLANK('RESUMEN VIGILANCIA'!AQ128),"",'RESUMEN VIGILANCIA'!AQ128)</f>
        <v>200000</v>
      </c>
      <c r="AS125" s="377">
        <f>IF(ISBLANK('RESUMEN VIGILANCIA'!AR128),"",'RESUMEN VIGILANCIA'!AR128)</f>
        <v>250000</v>
      </c>
      <c r="AT125" s="377">
        <f>IF(ISBLANK('RESUMEN VIGILANCIA'!AS128),"",'RESUMEN VIGILANCIA'!AS128)</f>
        <v>350000</v>
      </c>
      <c r="AU125" s="377" t="str">
        <f>IF(ISBLANK('RESUMEN VIGILANCIA'!AT128),"",'RESUMEN VIGILANCIA'!AT128)</f>
        <v/>
      </c>
      <c r="AV125" s="377" t="str">
        <f>IF(ISBLANK('RESUMEN VIGILANCIA'!AU128),"",'RESUMEN VIGILANCIA'!AU128)</f>
        <v/>
      </c>
      <c r="AW125" s="377" t="str">
        <f>IF(ISBLANK('RESUMEN VIGILANCIA'!AV128),"",'RESUMEN VIGILANCIA'!AV128)</f>
        <v/>
      </c>
      <c r="AX125" s="377" t="str">
        <f>IF(ISBLANK('RESUMEN VIGILANCIA'!AW128),"",'RESUMEN VIGILANCIA'!AW128)</f>
        <v/>
      </c>
      <c r="AY125" s="377" t="str">
        <f>IF(ISBLANK('RESUMEN VIGILANCIA'!AX128),"",'RESUMEN VIGILANCIA'!AX128)</f>
        <v/>
      </c>
      <c r="AZ125" s="377" t="str">
        <f>IF(ISBLANK('RESUMEN VIGILANCIA'!AY128),"",'RESUMEN VIGILANCIA'!AY128)</f>
        <v/>
      </c>
      <c r="BA125" s="378" t="str">
        <f>IF(ISBLANK('RESUMEN VIGILANCIA'!AZ128),"",'RESUMEN VIGILANCIA'!AZ128)</f>
        <v/>
      </c>
      <c r="BB125" s="242">
        <f t="shared" si="10"/>
        <v>364200.25</v>
      </c>
      <c r="BC125" s="112"/>
      <c r="BD125" s="112"/>
    </row>
    <row r="126" spans="1:56" s="29" customFormat="1" ht="20.100000000000001" customHeight="1">
      <c r="A126" s="59" t="str">
        <f>'RESUMEN VIGILANCIA'!A132</f>
        <v>Familia Herrera Guada</v>
      </c>
      <c r="B126" s="60" t="str">
        <f>'RESUMEN VIGILANCIA'!B132</f>
        <v>Calle Güigüe Nro. 89-90</v>
      </c>
      <c r="C126" s="429"/>
      <c r="D126" s="436" t="s">
        <v>1315</v>
      </c>
      <c r="E126" s="416" t="str">
        <f>IF(ISBLANK('RESUMEN VIGILANCIA'!D132),"",'RESUMEN VIGILANCIA'!D132)</f>
        <v/>
      </c>
      <c r="F126" s="266">
        <f>IF(ISBLANK('RESUMEN VIGILANCIA'!E132),"",'RESUMEN VIGILANCIA'!E132)</f>
        <v>4.4999999999999998E-2</v>
      </c>
      <c r="G126" s="188">
        <f>IF(ISBLANK('RESUMEN VIGILANCIA'!F132),"",'RESUMEN VIGILANCIA'!F132)</f>
        <v>4.4999999999999998E-2</v>
      </c>
      <c r="H126" s="188">
        <f>IF(ISBLANK('RESUMEN VIGILANCIA'!G132),"",'RESUMEN VIGILANCIA'!G132)</f>
        <v>0.05</v>
      </c>
      <c r="I126" s="188">
        <f>IF(ISBLANK('RESUMEN VIGILANCIA'!H132),"",'RESUMEN VIGILANCIA'!H132)</f>
        <v>0.05</v>
      </c>
      <c r="J126" s="188">
        <f>IF(ISBLANK('RESUMEN VIGILANCIA'!I132),"",'RESUMEN VIGILANCIA'!I132)</f>
        <v>0.05</v>
      </c>
      <c r="K126" s="221" t="str">
        <f>IF(ISBLANK('RESUMEN VIGILANCIA'!J132),"",'RESUMEN VIGILANCIA'!J132)</f>
        <v>VENDIDA</v>
      </c>
      <c r="L126" s="233" t="str">
        <f>IF(ISBLANK('RESUMEN VIGILANCIA'!K132),"",'RESUMEN VIGILANCIA'!K132)</f>
        <v/>
      </c>
      <c r="M126" s="233" t="str">
        <f>IF(ISBLANK('RESUMEN VIGILANCIA'!L132),"",'RESUMEN VIGILANCIA'!L132)</f>
        <v/>
      </c>
      <c r="N126" s="233" t="str">
        <f>IF(ISBLANK('RESUMEN VIGILANCIA'!M132),"",'RESUMEN VIGILANCIA'!M132)</f>
        <v/>
      </c>
      <c r="O126" s="233" t="str">
        <f>IF(ISBLANK('RESUMEN VIGILANCIA'!N132),"",'RESUMEN VIGILANCIA'!N132)</f>
        <v/>
      </c>
      <c r="P126" s="275" t="str">
        <f>IF(ISBLANK('RESUMEN VIGILANCIA'!O132),"",'RESUMEN VIGILANCIA'!O132)</f>
        <v/>
      </c>
      <c r="Q126" s="222" t="str">
        <f>IF(ISBLANK('RESUMEN VIGILANCIA'!P132),"",'RESUMEN VIGILANCIA'!P132)</f>
        <v/>
      </c>
      <c r="R126" s="296" t="str">
        <f>IF(ISBLANK('RESUMEN VIGILANCIA'!Q132),"",'RESUMEN VIGILANCIA'!Q132)</f>
        <v/>
      </c>
      <c r="S126" s="275" t="str">
        <f>IF(ISBLANK('RESUMEN VIGILANCIA'!R132),"",'RESUMEN VIGILANCIA'!R132)</f>
        <v/>
      </c>
      <c r="T126" s="275" t="str">
        <f>IF(ISBLANK('RESUMEN VIGILANCIA'!S132),"",'RESUMEN VIGILANCIA'!S132)</f>
        <v/>
      </c>
      <c r="U126" s="275" t="str">
        <f>IF(ISBLANK('RESUMEN VIGILANCIA'!T132),"",'RESUMEN VIGILANCIA'!T132)</f>
        <v/>
      </c>
      <c r="V126" s="275" t="str">
        <f>IF(ISBLANK('RESUMEN VIGILANCIA'!U132),"",'RESUMEN VIGILANCIA'!U132)</f>
        <v/>
      </c>
      <c r="W126" s="275" t="str">
        <f>IF(ISBLANK('RESUMEN VIGILANCIA'!V132),"",'RESUMEN VIGILANCIA'!V132)</f>
        <v/>
      </c>
      <c r="X126" s="275" t="str">
        <f>IF(ISBLANK('RESUMEN VIGILANCIA'!W132),"",'RESUMEN VIGILANCIA'!W132)</f>
        <v/>
      </c>
      <c r="Y126" s="275" t="str">
        <f>IF(ISBLANK('RESUMEN VIGILANCIA'!X132),"",'RESUMEN VIGILANCIA'!X132)</f>
        <v/>
      </c>
      <c r="Z126" s="461" t="str">
        <f>IF(ISBLANK('RESUMEN VIGILANCIA'!Y132),"",'RESUMEN VIGILANCIA'!Y132)</f>
        <v/>
      </c>
      <c r="AA126" s="461" t="str">
        <f>IF(ISBLANK('RESUMEN VIGILANCIA'!Z132),"",'RESUMEN VIGILANCIA'!Z132)</f>
        <v/>
      </c>
      <c r="AB126" s="461" t="str">
        <f>IF(ISBLANK('RESUMEN VIGILANCIA'!AA132),"",'RESUMEN VIGILANCIA'!AA132)</f>
        <v/>
      </c>
      <c r="AC126" s="462" t="str">
        <f>IF(ISBLANK('RESUMEN VIGILANCIA'!AB132),"",'RESUMEN VIGILANCIA'!AB132)</f>
        <v/>
      </c>
      <c r="AD126" s="392" t="str">
        <f>IF(ISBLANK('RESUMEN VIGILANCIA'!AC132),"",'RESUMEN VIGILANCIA'!AC132)</f>
        <v/>
      </c>
      <c r="AE126" s="393" t="str">
        <f>IF(ISBLANK('RESUMEN VIGILANCIA'!AD132),"",'RESUMEN VIGILANCIA'!AD132)</f>
        <v/>
      </c>
      <c r="AF126" s="393" t="str">
        <f>IF(ISBLANK('RESUMEN VIGILANCIA'!AE132),"",'RESUMEN VIGILANCIA'!AE132)</f>
        <v/>
      </c>
      <c r="AG126" s="393" t="str">
        <f>IF(ISBLANK('RESUMEN VIGILANCIA'!AF132),"",'RESUMEN VIGILANCIA'!AF132)</f>
        <v/>
      </c>
      <c r="AH126" s="393" t="str">
        <f>IF(ISBLANK('RESUMEN VIGILANCIA'!AG132),"",'RESUMEN VIGILANCIA'!AG132)</f>
        <v/>
      </c>
      <c r="AI126" s="393" t="str">
        <f>IF(ISBLANK('RESUMEN VIGILANCIA'!AH132),"",'RESUMEN VIGILANCIA'!AH132)</f>
        <v/>
      </c>
      <c r="AJ126" s="393" t="str">
        <f>IF(ISBLANK('RESUMEN VIGILANCIA'!AI132),"",'RESUMEN VIGILANCIA'!AI132)</f>
        <v/>
      </c>
      <c r="AK126" s="393" t="str">
        <f>IF(ISBLANK('RESUMEN VIGILANCIA'!AJ132),"",'RESUMEN VIGILANCIA'!AJ132)</f>
        <v/>
      </c>
      <c r="AL126" s="393" t="str">
        <f>IF(ISBLANK('RESUMEN VIGILANCIA'!AK132),"",'RESUMEN VIGILANCIA'!AK132)</f>
        <v/>
      </c>
      <c r="AM126" s="393" t="str">
        <f>IF(ISBLANK('RESUMEN VIGILANCIA'!AL132),"",'RESUMEN VIGILANCIA'!AL132)</f>
        <v/>
      </c>
      <c r="AN126" s="393" t="str">
        <f>IF(ISBLANK('RESUMEN VIGILANCIA'!AM132),"",'RESUMEN VIGILANCIA'!AM132)</f>
        <v/>
      </c>
      <c r="AO126" s="394" t="str">
        <f>IF(ISBLANK('RESUMEN VIGILANCIA'!AN132),"",'RESUMEN VIGILANCIA'!AN132)</f>
        <v/>
      </c>
      <c r="AP126" s="392" t="str">
        <f>IF(ISBLANK('RESUMEN VIGILANCIA'!AO132),"",'RESUMEN VIGILANCIA'!AO132)</f>
        <v/>
      </c>
      <c r="AQ126" s="393" t="str">
        <f>IF(ISBLANK('RESUMEN VIGILANCIA'!AP132),"",'RESUMEN VIGILANCIA'!AP132)</f>
        <v/>
      </c>
      <c r="AR126" s="393" t="str">
        <f>IF(ISBLANK('RESUMEN VIGILANCIA'!AQ132),"",'RESUMEN VIGILANCIA'!AQ132)</f>
        <v/>
      </c>
      <c r="AS126" s="393" t="str">
        <f>IF(ISBLANK('RESUMEN VIGILANCIA'!AR132),"",'RESUMEN VIGILANCIA'!AR132)</f>
        <v/>
      </c>
      <c r="AT126" s="393" t="str">
        <f>IF(ISBLANK('RESUMEN VIGILANCIA'!AS132),"",'RESUMEN VIGILANCIA'!AS132)</f>
        <v/>
      </c>
      <c r="AU126" s="393" t="str">
        <f>IF(ISBLANK('RESUMEN VIGILANCIA'!AT132),"",'RESUMEN VIGILANCIA'!AT132)</f>
        <v/>
      </c>
      <c r="AV126" s="393" t="str">
        <f>IF(ISBLANK('RESUMEN VIGILANCIA'!AU132),"",'RESUMEN VIGILANCIA'!AU132)</f>
        <v/>
      </c>
      <c r="AW126" s="393" t="str">
        <f>IF(ISBLANK('RESUMEN VIGILANCIA'!AV132),"",'RESUMEN VIGILANCIA'!AV132)</f>
        <v/>
      </c>
      <c r="AX126" s="393" t="str">
        <f>IF(ISBLANK('RESUMEN VIGILANCIA'!AW132),"",'RESUMEN VIGILANCIA'!AW132)</f>
        <v/>
      </c>
      <c r="AY126" s="393" t="str">
        <f>IF(ISBLANK('RESUMEN VIGILANCIA'!AX132),"",'RESUMEN VIGILANCIA'!AX132)</f>
        <v/>
      </c>
      <c r="AZ126" s="393" t="str">
        <f>IF(ISBLANK('RESUMEN VIGILANCIA'!AY132),"",'RESUMEN VIGILANCIA'!AY132)</f>
        <v/>
      </c>
      <c r="BA126" s="394" t="str">
        <f>IF(ISBLANK('RESUMEN VIGILANCIA'!AZ132),"",'RESUMEN VIGILANCIA'!AZ132)</f>
        <v/>
      </c>
      <c r="BB126" s="242">
        <f t="shared" si="10"/>
        <v>0.24</v>
      </c>
      <c r="BC126" s="112"/>
      <c r="BD126" s="112">
        <v>42856</v>
      </c>
    </row>
    <row r="127" spans="1:56" s="29" customFormat="1" ht="20.100000000000001" customHeight="1">
      <c r="A127" s="30" t="str">
        <f>'RESUMEN VIGILANCIA'!A133</f>
        <v>Familia Montilla García</v>
      </c>
      <c r="B127" s="31" t="str">
        <f>'RESUMEN VIGILANCIA'!B133</f>
        <v>Calle Güigüe Nro. 89-90</v>
      </c>
      <c r="C127" s="429" t="s">
        <v>1316</v>
      </c>
      <c r="D127" s="436" t="s">
        <v>1315</v>
      </c>
      <c r="E127" s="420" t="str">
        <f>IF(ISBLANK('RESUMEN VIGILANCIA'!D133),"",'RESUMEN VIGILANCIA'!D133)</f>
        <v/>
      </c>
      <c r="F127" s="297" t="str">
        <f>IF(ISBLANK('RESUMEN VIGILANCIA'!E133),"",'RESUMEN VIGILANCIA'!E133)</f>
        <v/>
      </c>
      <c r="G127" s="216" t="str">
        <f>IF(ISBLANK('RESUMEN VIGILANCIA'!F133),"",'RESUMEN VIGILANCIA'!F133)</f>
        <v/>
      </c>
      <c r="H127" s="216" t="str">
        <f>IF(ISBLANK('RESUMEN VIGILANCIA'!G133),"",'RESUMEN VIGILANCIA'!G133)</f>
        <v/>
      </c>
      <c r="I127" s="216" t="str">
        <f>IF(ISBLANK('RESUMEN VIGILANCIA'!H133),"",'RESUMEN VIGILANCIA'!H133)</f>
        <v/>
      </c>
      <c r="J127" s="216" t="str">
        <f>IF(ISBLANK('RESUMEN VIGILANCIA'!I133),"",'RESUMEN VIGILANCIA'!I133)</f>
        <v/>
      </c>
      <c r="K127" s="181">
        <f>IF(ISBLANK('RESUMEN VIGILANCIA'!J133),"",'RESUMEN VIGILANCIA'!J133)</f>
        <v>0.26</v>
      </c>
      <c r="L127" s="226">
        <f>IF(ISBLANK('RESUMEN VIGILANCIA'!K133),"",'RESUMEN VIGILANCIA'!K133)</f>
        <v>0.26</v>
      </c>
      <c r="M127" s="181">
        <f>IF(ISBLANK('RESUMEN VIGILANCIA'!L133),"",'RESUMEN VIGILANCIA'!L133)</f>
        <v>0.35</v>
      </c>
      <c r="N127" s="181">
        <f>IF(ISBLANK('RESUMEN VIGILANCIA'!M133),"",'RESUMEN VIGILANCIA'!M133)</f>
        <v>0.35</v>
      </c>
      <c r="O127" s="181">
        <f>IF(ISBLANK('RESUMEN VIGILANCIA'!N133),"",'RESUMEN VIGILANCIA'!N133)</f>
        <v>0.35</v>
      </c>
      <c r="P127" s="270">
        <f>IF(ISBLANK('RESUMEN VIGILANCIA'!O133),"",'RESUMEN VIGILANCIA'!O133)</f>
        <v>0.5</v>
      </c>
      <c r="Q127" s="179">
        <f>IF(ISBLANK('RESUMEN VIGILANCIA'!P133),"",'RESUMEN VIGILANCIA'!P133)</f>
        <v>0.5</v>
      </c>
      <c r="R127" s="271">
        <f>IF(ISBLANK('RESUMEN VIGILANCIA'!Q133),"",'RESUMEN VIGILANCIA'!Q133)</f>
        <v>0.8</v>
      </c>
      <c r="S127" s="270">
        <f>IF(ISBLANK('RESUMEN VIGILANCIA'!R133),"",'RESUMEN VIGILANCIA'!R133)</f>
        <v>0.8</v>
      </c>
      <c r="T127" s="270">
        <f>IF(ISBLANK('RESUMEN VIGILANCIA'!S133),"",'RESUMEN VIGILANCIA'!S133)</f>
        <v>1.4</v>
      </c>
      <c r="U127" s="270">
        <f>IF(ISBLANK('RESUMEN VIGILANCIA'!T133),"",'RESUMEN VIGILANCIA'!T133)</f>
        <v>1.4</v>
      </c>
      <c r="V127" s="270">
        <f>IF(ISBLANK('RESUMEN VIGILANCIA'!U133),"",'RESUMEN VIGILANCIA'!U133)</f>
        <v>4</v>
      </c>
      <c r="W127" s="270">
        <f>IF(ISBLANK('RESUMEN VIGILANCIA'!V133),"",'RESUMEN VIGILANCIA'!V133)</f>
        <v>6.25</v>
      </c>
      <c r="X127" s="270">
        <f>IF(ISBLANK('RESUMEN VIGILANCIA'!W133),"",'RESUMEN VIGILANCIA'!W133)</f>
        <v>10</v>
      </c>
      <c r="Y127" s="270">
        <f>IF(ISBLANK('RESUMEN VIGILANCIA'!X133),"",'RESUMEN VIGILANCIA'!X133)</f>
        <v>12</v>
      </c>
      <c r="Z127" s="455">
        <f>IF(ISBLANK('RESUMEN VIGILANCIA'!Y133),"",'RESUMEN VIGILANCIA'!Y133)</f>
        <v>320</v>
      </c>
      <c r="AA127" s="455">
        <f>IF(ISBLANK('RESUMEN VIGILANCIA'!Z133),"",'RESUMEN VIGILANCIA'!Z133)</f>
        <v>320</v>
      </c>
      <c r="AB127" s="455">
        <f>IF(ISBLANK('RESUMEN VIGILANCIA'!AA133),"",'RESUMEN VIGILANCIA'!AA133)</f>
        <v>320</v>
      </c>
      <c r="AC127" s="456">
        <f>IF(ISBLANK('RESUMEN VIGILANCIA'!AB133),"",'RESUMEN VIGILANCIA'!AB133)</f>
        <v>800</v>
      </c>
      <c r="AD127" s="376">
        <f>IF(ISBLANK('RESUMEN VIGILANCIA'!AC133),"",'RESUMEN VIGILANCIA'!AC133)</f>
        <v>3000</v>
      </c>
      <c r="AE127" s="377">
        <f>IF(ISBLANK('RESUMEN VIGILANCIA'!AD133),"",'RESUMEN VIGILANCIA'!AD133)</f>
        <v>3000</v>
      </c>
      <c r="AF127" s="377">
        <f>IF(ISBLANK('RESUMEN VIGILANCIA'!AE133),"",'RESUMEN VIGILANCIA'!AE133)</f>
        <v>3000</v>
      </c>
      <c r="AG127" s="377">
        <f>IF(ISBLANK('RESUMEN VIGILANCIA'!AF133),"",'RESUMEN VIGILANCIA'!AF133)</f>
        <v>5000</v>
      </c>
      <c r="AH127" s="377">
        <f>IF(ISBLANK('RESUMEN VIGILANCIA'!AG133),"",'RESUMEN VIGILANCIA'!AG133)</f>
        <v>8000</v>
      </c>
      <c r="AI127" s="377">
        <f>IF(ISBLANK('RESUMEN VIGILANCIA'!AH133),"",'RESUMEN VIGILANCIA'!AH133)</f>
        <v>8000</v>
      </c>
      <c r="AJ127" s="377">
        <f>IF(ISBLANK('RESUMEN VIGILANCIA'!AI133),"",'RESUMEN VIGILANCIA'!AI133)</f>
        <v>10000</v>
      </c>
      <c r="AK127" s="377">
        <f>IF(ISBLANK('RESUMEN VIGILANCIA'!AJ133),"",'RESUMEN VIGILANCIA'!AJ133)</f>
        <v>10000</v>
      </c>
      <c r="AL127" s="377">
        <f>IF(ISBLANK('RESUMEN VIGILANCIA'!AK133),"",'RESUMEN VIGILANCIA'!AK133)</f>
        <v>20500</v>
      </c>
      <c r="AM127" s="377">
        <f>IF(ISBLANK('RESUMEN VIGILANCIA'!AL133),"",'RESUMEN VIGILANCIA'!AL133)</f>
        <v>56250</v>
      </c>
      <c r="AN127" s="377">
        <f>IF(ISBLANK('RESUMEN VIGILANCIA'!AM133),"",'RESUMEN VIGILANCIA'!AM133)</f>
        <v>56250</v>
      </c>
      <c r="AO127" s="378">
        <f>IF(ISBLANK('RESUMEN VIGILANCIA'!AN133),"",'RESUMEN VIGILANCIA'!AN133)</f>
        <v>106000</v>
      </c>
      <c r="AP127" s="376">
        <f>IF(ISBLANK('RESUMEN VIGILANCIA'!AO133),"",'RESUMEN VIGILANCIA'!AO133)</f>
        <v>137000</v>
      </c>
      <c r="AQ127" s="377">
        <f>IF(ISBLANK('RESUMEN VIGILANCIA'!AP133),"",'RESUMEN VIGILANCIA'!AP133)</f>
        <v>136300</v>
      </c>
      <c r="AR127" s="377">
        <f>IF(ISBLANK('RESUMEN VIGILANCIA'!AQ133),"",'RESUMEN VIGILANCIA'!AQ133)</f>
        <v>185000</v>
      </c>
      <c r="AS127" s="377">
        <f>IF(ISBLANK('RESUMEN VIGILANCIA'!AR133),"",'RESUMEN VIGILANCIA'!AR133)</f>
        <v>187000</v>
      </c>
      <c r="AT127" s="377">
        <f>IF(ISBLANK('RESUMEN VIGILANCIA'!AS133),"",'RESUMEN VIGILANCIA'!AS133)</f>
        <v>250000</v>
      </c>
      <c r="AU127" s="377" t="str">
        <f>IF(ISBLANK('RESUMEN VIGILANCIA'!AT133),"",'RESUMEN VIGILANCIA'!AT133)</f>
        <v/>
      </c>
      <c r="AV127" s="377" t="str">
        <f>IF(ISBLANK('RESUMEN VIGILANCIA'!AU133),"",'RESUMEN VIGILANCIA'!AU133)</f>
        <v/>
      </c>
      <c r="AW127" s="377" t="str">
        <f>IF(ISBLANK('RESUMEN VIGILANCIA'!AV133),"",'RESUMEN VIGILANCIA'!AV133)</f>
        <v/>
      </c>
      <c r="AX127" s="377" t="str">
        <f>IF(ISBLANK('RESUMEN VIGILANCIA'!AW133),"",'RESUMEN VIGILANCIA'!AW133)</f>
        <v/>
      </c>
      <c r="AY127" s="377" t="str">
        <f>IF(ISBLANK('RESUMEN VIGILANCIA'!AX133),"",'RESUMEN VIGILANCIA'!AX133)</f>
        <v/>
      </c>
      <c r="AZ127" s="377" t="str">
        <f>IF(ISBLANK('RESUMEN VIGILANCIA'!AY133),"",'RESUMEN VIGILANCIA'!AY133)</f>
        <v/>
      </c>
      <c r="BA127" s="378" t="str">
        <f>IF(ISBLANK('RESUMEN VIGILANCIA'!AZ133),"",'RESUMEN VIGILANCIA'!AZ133)</f>
        <v/>
      </c>
      <c r="BB127" s="242">
        <f t="shared" si="10"/>
        <v>290799.21999999997</v>
      </c>
      <c r="BC127" s="112">
        <v>42887</v>
      </c>
      <c r="BD127" s="112"/>
    </row>
    <row r="128" spans="1:56" s="29" customFormat="1" ht="20.100000000000001" customHeight="1">
      <c r="A128" s="30" t="str">
        <f>'RESUMEN VIGILANCIA'!A134</f>
        <v>Familia Kattar González</v>
      </c>
      <c r="B128" s="31" t="str">
        <f>'RESUMEN VIGILANCIA'!B134</f>
        <v>Calle Güigüe Nro. 89-95</v>
      </c>
      <c r="C128" s="429" t="s">
        <v>1316</v>
      </c>
      <c r="D128" s="436"/>
      <c r="E128" s="417" t="str">
        <f>IF(ISBLANK('RESUMEN VIGILANCIA'!D134),"",'RESUMEN VIGILANCIA'!D134)</f>
        <v/>
      </c>
      <c r="F128" s="269">
        <f>IF(ISBLANK('RESUMEN VIGILANCIA'!E134),"",'RESUMEN VIGILANCIA'!E134)</f>
        <v>0.17</v>
      </c>
      <c r="G128" s="182">
        <f>IF(ISBLANK('RESUMEN VIGILANCIA'!F134),"",'RESUMEN VIGILANCIA'!F134)</f>
        <v>0.12</v>
      </c>
      <c r="H128" s="182" t="str">
        <f>IF(ISBLANK('RESUMEN VIGILANCIA'!G134),"",'RESUMEN VIGILANCIA'!G134)</f>
        <v/>
      </c>
      <c r="I128" s="182" t="str">
        <f>IF(ISBLANK('RESUMEN VIGILANCIA'!H134),"",'RESUMEN VIGILANCIA'!H134)</f>
        <v/>
      </c>
      <c r="J128" s="181">
        <f>IF(ISBLANK('RESUMEN VIGILANCIA'!I134),"",'RESUMEN VIGILANCIA'!I134)</f>
        <v>0.26</v>
      </c>
      <c r="K128" s="181">
        <f>IF(ISBLANK('RESUMEN VIGILANCIA'!J134),"",'RESUMEN VIGILANCIA'!J134)</f>
        <v>0.26</v>
      </c>
      <c r="L128" s="181">
        <f>IF(ISBLANK('RESUMEN VIGILANCIA'!K134),"",'RESUMEN VIGILANCIA'!K134)</f>
        <v>0.35</v>
      </c>
      <c r="M128" s="181">
        <f>IF(ISBLANK('RESUMEN VIGILANCIA'!L134),"",'RESUMEN VIGILANCIA'!L134)</f>
        <v>0.35</v>
      </c>
      <c r="N128" s="181">
        <f>IF(ISBLANK('RESUMEN VIGILANCIA'!M134),"",'RESUMEN VIGILANCIA'!M134)</f>
        <v>0.35</v>
      </c>
      <c r="O128" s="181">
        <f>IF(ISBLANK('RESUMEN VIGILANCIA'!N134),"",'RESUMEN VIGILANCIA'!N134)</f>
        <v>0.35</v>
      </c>
      <c r="P128" s="270">
        <f>IF(ISBLANK('RESUMEN VIGILANCIA'!O134),"",'RESUMEN VIGILANCIA'!O134)</f>
        <v>0.5</v>
      </c>
      <c r="Q128" s="179">
        <f>IF(ISBLANK('RESUMEN VIGILANCIA'!P134),"",'RESUMEN VIGILANCIA'!P134)</f>
        <v>0.5</v>
      </c>
      <c r="R128" s="271">
        <f>IF(ISBLANK('RESUMEN VIGILANCIA'!Q134),"",'RESUMEN VIGILANCIA'!Q134)</f>
        <v>0.8</v>
      </c>
      <c r="S128" s="270">
        <f>IF(ISBLANK('RESUMEN VIGILANCIA'!R134),"",'RESUMEN VIGILANCIA'!R134)</f>
        <v>0.8</v>
      </c>
      <c r="T128" s="270">
        <f>IF(ISBLANK('RESUMEN VIGILANCIA'!S134),"",'RESUMEN VIGILANCIA'!S134)</f>
        <v>1.4</v>
      </c>
      <c r="U128" s="270">
        <f>IF(ISBLANK('RESUMEN VIGILANCIA'!T134),"",'RESUMEN VIGILANCIA'!T134)</f>
        <v>1.4</v>
      </c>
      <c r="V128" s="270">
        <f>IF(ISBLANK('RESUMEN VIGILANCIA'!U134),"",'RESUMEN VIGILANCIA'!U134)</f>
        <v>4</v>
      </c>
      <c r="W128" s="270">
        <f>IF(ISBLANK('RESUMEN VIGILANCIA'!V134),"",'RESUMEN VIGILANCIA'!V134)</f>
        <v>6.25</v>
      </c>
      <c r="X128" s="270">
        <f>IF(ISBLANK('RESUMEN VIGILANCIA'!W134),"",'RESUMEN VIGILANCIA'!W134)</f>
        <v>10</v>
      </c>
      <c r="Y128" s="270">
        <f>IF(ISBLANK('RESUMEN VIGILANCIA'!X134),"",'RESUMEN VIGILANCIA'!X134)</f>
        <v>12</v>
      </c>
      <c r="Z128" s="455">
        <f>IF(ISBLANK('RESUMEN VIGILANCIA'!Y134),"",'RESUMEN VIGILANCIA'!Y134)</f>
        <v>320</v>
      </c>
      <c r="AA128" s="455">
        <f>IF(ISBLANK('RESUMEN VIGILANCIA'!Z134),"",'RESUMEN VIGILANCIA'!Z134)</f>
        <v>320</v>
      </c>
      <c r="AB128" s="455">
        <f>IF(ISBLANK('RESUMEN VIGILANCIA'!AA134),"",'RESUMEN VIGILANCIA'!AA134)</f>
        <v>320</v>
      </c>
      <c r="AC128" s="456">
        <f>IF(ISBLANK('RESUMEN VIGILANCIA'!AB134),"",'RESUMEN VIGILANCIA'!AB134)</f>
        <v>800</v>
      </c>
      <c r="AD128" s="376">
        <f>IF(ISBLANK('RESUMEN VIGILANCIA'!AC134),"",'RESUMEN VIGILANCIA'!AC134)</f>
        <v>3044.2</v>
      </c>
      <c r="AE128" s="377">
        <f>IF(ISBLANK('RESUMEN VIGILANCIA'!AD134),"",'RESUMEN VIGILANCIA'!AD134)</f>
        <v>3000</v>
      </c>
      <c r="AF128" s="377">
        <f>IF(ISBLANK('RESUMEN VIGILANCIA'!AE134),"",'RESUMEN VIGILANCIA'!AE134)</f>
        <v>3000</v>
      </c>
      <c r="AG128" s="377">
        <f>IF(ISBLANK('RESUMEN VIGILANCIA'!AF134),"",'RESUMEN VIGILANCIA'!AF134)</f>
        <v>5000</v>
      </c>
      <c r="AH128" s="377">
        <f>IF(ISBLANK('RESUMEN VIGILANCIA'!AG134),"",'RESUMEN VIGILANCIA'!AG134)</f>
        <v>8000</v>
      </c>
      <c r="AI128" s="377">
        <f>IF(ISBLANK('RESUMEN VIGILANCIA'!AH134),"",'RESUMEN VIGILANCIA'!AH134)</f>
        <v>8000</v>
      </c>
      <c r="AJ128" s="377">
        <f>IF(ISBLANK('RESUMEN VIGILANCIA'!AI134),"",'RESUMEN VIGILANCIA'!AI134)</f>
        <v>10000</v>
      </c>
      <c r="AK128" s="377">
        <f>IF(ISBLANK('RESUMEN VIGILANCIA'!AJ134),"",'RESUMEN VIGILANCIA'!AJ134)</f>
        <v>3900</v>
      </c>
      <c r="AL128" s="377">
        <f>IF(ISBLANK('RESUMEN VIGILANCIA'!AK134),"",'RESUMEN VIGILANCIA'!AK134)</f>
        <v>20500</v>
      </c>
      <c r="AM128" s="377">
        <f>IF(ISBLANK('RESUMEN VIGILANCIA'!AL134),"",'RESUMEN VIGILANCIA'!AL134)</f>
        <v>48000</v>
      </c>
      <c r="AN128" s="377">
        <f>IF(ISBLANK('RESUMEN VIGILANCIA'!AM134),"",'RESUMEN VIGILANCIA'!AM134)</f>
        <v>81750</v>
      </c>
      <c r="AO128" s="378">
        <f>IF(ISBLANK('RESUMEN VIGILANCIA'!AN134),"",'RESUMEN VIGILANCIA'!AN134)</f>
        <v>137000</v>
      </c>
      <c r="AP128" s="376">
        <f>IF(ISBLANK('RESUMEN VIGILANCIA'!AO134),"",'RESUMEN VIGILANCIA'!AO134)</f>
        <v>136250</v>
      </c>
      <c r="AQ128" s="377">
        <f>IF(ISBLANK('RESUMEN VIGILANCIA'!AP134),"",'RESUMEN VIGILANCIA'!AP134)</f>
        <v>136000</v>
      </c>
      <c r="AR128" s="377">
        <f>IF(ISBLANK('RESUMEN VIGILANCIA'!AQ134),"",'RESUMEN VIGILANCIA'!AQ134)</f>
        <v>188000</v>
      </c>
      <c r="AS128" s="377">
        <f>IF(ISBLANK('RESUMEN VIGILANCIA'!AR134),"",'RESUMEN VIGILANCIA'!AR134)</f>
        <v>186000</v>
      </c>
      <c r="AT128" s="377">
        <f>IF(ISBLANK('RESUMEN VIGILANCIA'!AS134),"",'RESUMEN VIGILANCIA'!AS134)</f>
        <v>250000</v>
      </c>
      <c r="AU128" s="377" t="str">
        <f>IF(ISBLANK('RESUMEN VIGILANCIA'!AT134),"",'RESUMEN VIGILANCIA'!AT134)</f>
        <v/>
      </c>
      <c r="AV128" s="377" t="str">
        <f>IF(ISBLANK('RESUMEN VIGILANCIA'!AU134),"",'RESUMEN VIGILANCIA'!AU134)</f>
        <v/>
      </c>
      <c r="AW128" s="377" t="str">
        <f>IF(ISBLANK('RESUMEN VIGILANCIA'!AV134),"",'RESUMEN VIGILANCIA'!AV134)</f>
        <v/>
      </c>
      <c r="AX128" s="377" t="str">
        <f>IF(ISBLANK('RESUMEN VIGILANCIA'!AW134),"",'RESUMEN VIGILANCIA'!AW134)</f>
        <v/>
      </c>
      <c r="AY128" s="377" t="str">
        <f>IF(ISBLANK('RESUMEN VIGILANCIA'!AX134),"",'RESUMEN VIGILANCIA'!AX134)</f>
        <v/>
      </c>
      <c r="AZ128" s="377" t="str">
        <f>IF(ISBLANK('RESUMEN VIGILANCIA'!AY134),"",'RESUMEN VIGILANCIA'!AY134)</f>
        <v/>
      </c>
      <c r="BA128" s="378" t="str">
        <f>IF(ISBLANK('RESUMEN VIGILANCIA'!AZ134),"",'RESUMEN VIGILANCIA'!AZ134)</f>
        <v/>
      </c>
      <c r="BB128" s="242">
        <f t="shared" si="10"/>
        <v>332994.06</v>
      </c>
      <c r="BC128" s="112"/>
      <c r="BD128" s="112"/>
    </row>
    <row r="129" spans="1:56" s="29" customFormat="1" ht="20.100000000000001" customHeight="1">
      <c r="A129" s="59" t="str">
        <f>'RESUMEN VIGILANCIA'!A137</f>
        <v>Anahiz Seijas</v>
      </c>
      <c r="B129" s="60" t="str">
        <f>'RESUMEN VIGILANCIA'!B137</f>
        <v>Calle Güigüe Nro. 89-106</v>
      </c>
      <c r="C129" s="429" t="s">
        <v>1316</v>
      </c>
      <c r="D129" s="436" t="s">
        <v>17</v>
      </c>
      <c r="E129" s="417" t="str">
        <f>IF(ISBLANK('RESUMEN VIGILANCIA'!D137),"",'RESUMEN VIGILANCIA'!D137)</f>
        <v/>
      </c>
      <c r="F129" s="269">
        <f>IF(ISBLANK('RESUMEN VIGILANCIA'!E137),"",'RESUMEN VIGILANCIA'!E137)</f>
        <v>0.17</v>
      </c>
      <c r="G129" s="181">
        <f>IF(ISBLANK('RESUMEN VIGILANCIA'!F137),"",'RESUMEN VIGILANCIA'!F137)</f>
        <v>0.17</v>
      </c>
      <c r="H129" s="181">
        <f>IF(ISBLANK('RESUMEN VIGILANCIA'!G137),"",'RESUMEN VIGILANCIA'!G137)</f>
        <v>0.17</v>
      </c>
      <c r="I129" s="181">
        <f>IF(ISBLANK('RESUMEN VIGILANCIA'!H137),"",'RESUMEN VIGILANCIA'!H137)</f>
        <v>0.17</v>
      </c>
      <c r="J129" s="181">
        <f>IF(ISBLANK('RESUMEN VIGILANCIA'!I137),"",'RESUMEN VIGILANCIA'!I137)</f>
        <v>0.26</v>
      </c>
      <c r="K129" s="181">
        <f>IF(ISBLANK('RESUMEN VIGILANCIA'!J137),"",'RESUMEN VIGILANCIA'!J137)</f>
        <v>0.26</v>
      </c>
      <c r="L129" s="181">
        <f>IF(ISBLANK('RESUMEN VIGILANCIA'!K137),"",'RESUMEN VIGILANCIA'!K137)</f>
        <v>0.35</v>
      </c>
      <c r="M129" s="181">
        <f>IF(ISBLANK('RESUMEN VIGILANCIA'!L137),"",'RESUMEN VIGILANCIA'!L137)</f>
        <v>0.35</v>
      </c>
      <c r="N129" s="181">
        <f>IF(ISBLANK('RESUMEN VIGILANCIA'!M137),"",'RESUMEN VIGILANCIA'!M137)</f>
        <v>0.35</v>
      </c>
      <c r="O129" s="181">
        <f>IF(ISBLANK('RESUMEN VIGILANCIA'!N137),"",'RESUMEN VIGILANCIA'!N137)</f>
        <v>0.35</v>
      </c>
      <c r="P129" s="270">
        <f>IF(ISBLANK('RESUMEN VIGILANCIA'!O137),"",'RESUMEN VIGILANCIA'!O137)</f>
        <v>0.5</v>
      </c>
      <c r="Q129" s="179">
        <f>IF(ISBLANK('RESUMEN VIGILANCIA'!P137),"",'RESUMEN VIGILANCIA'!P137)</f>
        <v>0.5</v>
      </c>
      <c r="R129" s="271">
        <f>IF(ISBLANK('RESUMEN VIGILANCIA'!Q137),"",'RESUMEN VIGILANCIA'!Q137)</f>
        <v>0.8</v>
      </c>
      <c r="S129" s="270">
        <f>IF(ISBLANK('RESUMEN VIGILANCIA'!R137),"",'RESUMEN VIGILANCIA'!R137)</f>
        <v>0.8</v>
      </c>
      <c r="T129" s="270">
        <f>IF(ISBLANK('RESUMEN VIGILANCIA'!S137),"",'RESUMEN VIGILANCIA'!S137)</f>
        <v>1.4</v>
      </c>
      <c r="U129" s="270">
        <f>IF(ISBLANK('RESUMEN VIGILANCIA'!T137),"",'RESUMEN VIGILANCIA'!T137)</f>
        <v>1.4</v>
      </c>
      <c r="V129" s="270">
        <f>IF(ISBLANK('RESUMEN VIGILANCIA'!U137),"",'RESUMEN VIGILANCIA'!U137)</f>
        <v>4</v>
      </c>
      <c r="W129" s="270">
        <f>IF(ISBLANK('RESUMEN VIGILANCIA'!V137),"",'RESUMEN VIGILANCIA'!V137)</f>
        <v>6.25</v>
      </c>
      <c r="X129" s="270">
        <f>IF(ISBLANK('RESUMEN VIGILANCIA'!W137),"",'RESUMEN VIGILANCIA'!W137)</f>
        <v>10</v>
      </c>
      <c r="Y129" s="270">
        <f>IF(ISBLANK('RESUMEN VIGILANCIA'!X137),"",'RESUMEN VIGILANCIA'!X137)</f>
        <v>10</v>
      </c>
      <c r="Z129" s="455">
        <f>IF(ISBLANK('RESUMEN VIGILANCIA'!Y137),"",'RESUMEN VIGILANCIA'!Y137)</f>
        <v>320</v>
      </c>
      <c r="AA129" s="455">
        <f>IF(ISBLANK('RESUMEN VIGILANCIA'!Z137),"",'RESUMEN VIGILANCIA'!Z137)</f>
        <v>320</v>
      </c>
      <c r="AB129" s="455">
        <f>IF(ISBLANK('RESUMEN VIGILANCIA'!AA137),"",'RESUMEN VIGILANCIA'!AA137)</f>
        <v>320</v>
      </c>
      <c r="AC129" s="456">
        <f>IF(ISBLANK('RESUMEN VIGILANCIA'!AB137),"",'RESUMEN VIGILANCIA'!AB137)</f>
        <v>800</v>
      </c>
      <c r="AD129" s="376">
        <f>IF(ISBLANK('RESUMEN VIGILANCIA'!AC137),"",'RESUMEN VIGILANCIA'!AC137)</f>
        <v>3000</v>
      </c>
      <c r="AE129" s="377">
        <f>IF(ISBLANK('RESUMEN VIGILANCIA'!AD137),"",'RESUMEN VIGILANCIA'!AD137)</f>
        <v>3000</v>
      </c>
      <c r="AF129" s="377">
        <f>IF(ISBLANK('RESUMEN VIGILANCIA'!AE137),"",'RESUMEN VIGILANCIA'!AE137)</f>
        <v>3000</v>
      </c>
      <c r="AG129" s="377">
        <f>IF(ISBLANK('RESUMEN VIGILANCIA'!AF137),"",'RESUMEN VIGILANCIA'!AF137)</f>
        <v>5000</v>
      </c>
      <c r="AH129" s="377">
        <f>IF(ISBLANK('RESUMEN VIGILANCIA'!AG137),"",'RESUMEN VIGILANCIA'!AG137)</f>
        <v>8000</v>
      </c>
      <c r="AI129" s="479" t="str">
        <f>IF(ISBLANK('RESUMEN VIGILANCIA'!AH137),"",'RESUMEN VIGILANCIA'!AH137)</f>
        <v>FIN DE CONTRATO DE ALQUILER</v>
      </c>
      <c r="AJ129" s="380" t="str">
        <f>IF(ISBLANK('RESUMEN VIGILANCIA'!AI137),"",'RESUMEN VIGILANCIA'!AI137)</f>
        <v/>
      </c>
      <c r="AK129" s="380" t="str">
        <f>IF(ISBLANK('RESUMEN VIGILANCIA'!AJ137),"",'RESUMEN VIGILANCIA'!AJ137)</f>
        <v/>
      </c>
      <c r="AL129" s="380" t="str">
        <f>IF(ISBLANK('RESUMEN VIGILANCIA'!AK137),"",'RESUMEN VIGILANCIA'!AK137)</f>
        <v/>
      </c>
      <c r="AM129" s="380" t="str">
        <f>IF(ISBLANK('RESUMEN VIGILANCIA'!AL137),"",'RESUMEN VIGILANCIA'!AL137)</f>
        <v/>
      </c>
      <c r="AN129" s="380" t="str">
        <f>IF(ISBLANK('RESUMEN VIGILANCIA'!AM137),"",'RESUMEN VIGILANCIA'!AM137)</f>
        <v/>
      </c>
      <c r="AO129" s="391" t="str">
        <f>IF(ISBLANK('RESUMEN VIGILANCIA'!AN137),"",'RESUMEN VIGILANCIA'!AN137)</f>
        <v/>
      </c>
      <c r="AP129" s="392" t="str">
        <f>IF(ISBLANK('RESUMEN VIGILANCIA'!AO137),"",'RESUMEN VIGILANCIA'!AO137)</f>
        <v/>
      </c>
      <c r="AQ129" s="393" t="str">
        <f>IF(ISBLANK('RESUMEN VIGILANCIA'!AP137),"",'RESUMEN VIGILANCIA'!AP137)</f>
        <v/>
      </c>
      <c r="AR129" s="393" t="str">
        <f>IF(ISBLANK('RESUMEN VIGILANCIA'!AQ137),"",'RESUMEN VIGILANCIA'!AQ137)</f>
        <v/>
      </c>
      <c r="AS129" s="393" t="str">
        <f>IF(ISBLANK('RESUMEN VIGILANCIA'!AR137),"",'RESUMEN VIGILANCIA'!AR137)</f>
        <v/>
      </c>
      <c r="AT129" s="393" t="str">
        <f>IF(ISBLANK('RESUMEN VIGILANCIA'!AS137),"",'RESUMEN VIGILANCIA'!AS137)</f>
        <v/>
      </c>
      <c r="AU129" s="479" t="str">
        <f>IF(ISBLANK('RESUMEN VIGILANCIA'!AT137),"",'RESUMEN VIGILANCIA'!AT137)</f>
        <v/>
      </c>
      <c r="AV129" s="380" t="str">
        <f>IF(ISBLANK('RESUMEN VIGILANCIA'!AU137),"",'RESUMEN VIGILANCIA'!AU137)</f>
        <v/>
      </c>
      <c r="AW129" s="380" t="str">
        <f>IF(ISBLANK('RESUMEN VIGILANCIA'!AV137),"",'RESUMEN VIGILANCIA'!AV137)</f>
        <v/>
      </c>
      <c r="AX129" s="380" t="str">
        <f>IF(ISBLANK('RESUMEN VIGILANCIA'!AW137),"",'RESUMEN VIGILANCIA'!AW137)</f>
        <v/>
      </c>
      <c r="AY129" s="380" t="str">
        <f>IF(ISBLANK('RESUMEN VIGILANCIA'!AX137),"",'RESUMEN VIGILANCIA'!AX137)</f>
        <v/>
      </c>
      <c r="AZ129" s="380" t="str">
        <f>IF(ISBLANK('RESUMEN VIGILANCIA'!AY137),"",'RESUMEN VIGILANCIA'!AY137)</f>
        <v/>
      </c>
      <c r="BA129" s="391" t="str">
        <f>IF(ISBLANK('RESUMEN VIGILANCIA'!AZ137),"",'RESUMEN VIGILANCIA'!AZ137)</f>
        <v/>
      </c>
      <c r="BB129" s="244">
        <f t="shared" si="10"/>
        <v>23798.25</v>
      </c>
      <c r="BC129" s="116"/>
      <c r="BD129" s="116">
        <v>43586</v>
      </c>
    </row>
    <row r="130" spans="1:56" s="29" customFormat="1" ht="20.100000000000001" customHeight="1">
      <c r="A130" s="30" t="str">
        <f>'RESUMEN VIGILANCIA'!A138</f>
        <v>Familia Chan García</v>
      </c>
      <c r="B130" s="31" t="str">
        <f>'RESUMEN VIGILANCIA'!B138</f>
        <v>Calle Güigüe Nro. 89-106</v>
      </c>
      <c r="C130" s="429" t="s">
        <v>1316</v>
      </c>
      <c r="D130" s="436"/>
      <c r="E130" s="420" t="str">
        <f>IF(ISBLANK('RESUMEN VIGILANCIA'!D138),"",'RESUMEN VIGILANCIA'!D138)</f>
        <v/>
      </c>
      <c r="F130" s="297" t="str">
        <f>IF(ISBLANK('RESUMEN VIGILANCIA'!E138),"",'RESUMEN VIGILANCIA'!E138)</f>
        <v/>
      </c>
      <c r="G130" s="216" t="str">
        <f>IF(ISBLANK('RESUMEN VIGILANCIA'!F138),"",'RESUMEN VIGILANCIA'!F138)</f>
        <v/>
      </c>
      <c r="H130" s="216" t="str">
        <f>IF(ISBLANK('RESUMEN VIGILANCIA'!G138),"",'RESUMEN VIGILANCIA'!G138)</f>
        <v/>
      </c>
      <c r="I130" s="216" t="str">
        <f>IF(ISBLANK('RESUMEN VIGILANCIA'!H138),"",'RESUMEN VIGILANCIA'!H138)</f>
        <v/>
      </c>
      <c r="J130" s="216" t="str">
        <f>IF(ISBLANK('RESUMEN VIGILANCIA'!I138),"",'RESUMEN VIGILANCIA'!I138)</f>
        <v/>
      </c>
      <c r="K130" s="216" t="str">
        <f>IF(ISBLANK('RESUMEN VIGILANCIA'!J138),"",'RESUMEN VIGILANCIA'!J138)</f>
        <v/>
      </c>
      <c r="L130" s="216" t="str">
        <f>IF(ISBLANK('RESUMEN VIGILANCIA'!K138),"",'RESUMEN VIGILANCIA'!K138)</f>
        <v/>
      </c>
      <c r="M130" s="216" t="str">
        <f>IF(ISBLANK('RESUMEN VIGILANCIA'!L138),"",'RESUMEN VIGILANCIA'!L138)</f>
        <v/>
      </c>
      <c r="N130" s="216" t="str">
        <f>IF(ISBLANK('RESUMEN VIGILANCIA'!M138),"",'RESUMEN VIGILANCIA'!M138)</f>
        <v/>
      </c>
      <c r="O130" s="216" t="str">
        <f>IF(ISBLANK('RESUMEN VIGILANCIA'!N138),"",'RESUMEN VIGILANCIA'!N138)</f>
        <v/>
      </c>
      <c r="P130" s="283" t="str">
        <f>IF(ISBLANK('RESUMEN VIGILANCIA'!O138),"",'RESUMEN VIGILANCIA'!O138)</f>
        <v/>
      </c>
      <c r="Q130" s="214" t="str">
        <f>IF(ISBLANK('RESUMEN VIGILANCIA'!P138),"",'RESUMEN VIGILANCIA'!P138)</f>
        <v/>
      </c>
      <c r="R130" s="284" t="str">
        <f>IF(ISBLANK('RESUMEN VIGILANCIA'!Q138),"",'RESUMEN VIGILANCIA'!Q138)</f>
        <v/>
      </c>
      <c r="S130" s="283" t="str">
        <f>IF(ISBLANK('RESUMEN VIGILANCIA'!R138),"",'RESUMEN VIGILANCIA'!R138)</f>
        <v/>
      </c>
      <c r="T130" s="283" t="str">
        <f>IF(ISBLANK('RESUMEN VIGILANCIA'!S138),"",'RESUMEN VIGILANCIA'!S138)</f>
        <v/>
      </c>
      <c r="U130" s="283" t="str">
        <f>IF(ISBLANK('RESUMEN VIGILANCIA'!T138),"",'RESUMEN VIGILANCIA'!T138)</f>
        <v/>
      </c>
      <c r="V130" s="283" t="str">
        <f>IF(ISBLANK('RESUMEN VIGILANCIA'!U138),"",'RESUMEN VIGILANCIA'!U138)</f>
        <v/>
      </c>
      <c r="W130" s="283" t="str">
        <f>IF(ISBLANK('RESUMEN VIGILANCIA'!V138),"",'RESUMEN VIGILANCIA'!V138)</f>
        <v/>
      </c>
      <c r="X130" s="283" t="str">
        <f>IF(ISBLANK('RESUMEN VIGILANCIA'!W138),"",'RESUMEN VIGILANCIA'!W138)</f>
        <v/>
      </c>
      <c r="Y130" s="283" t="str">
        <f>IF(ISBLANK('RESUMEN VIGILANCIA'!X138),"",'RESUMEN VIGILANCIA'!X138)</f>
        <v/>
      </c>
      <c r="Z130" s="466" t="str">
        <f>IF(ISBLANK('RESUMEN VIGILANCIA'!Y138),"",'RESUMEN VIGILANCIA'!Y138)</f>
        <v/>
      </c>
      <c r="AA130" s="466" t="str">
        <f>IF(ISBLANK('RESUMEN VIGILANCIA'!Z138),"",'RESUMEN VIGILANCIA'!Z138)</f>
        <v/>
      </c>
      <c r="AB130" s="466" t="str">
        <f>IF(ISBLANK('RESUMEN VIGILANCIA'!AA138),"",'RESUMEN VIGILANCIA'!AA138)</f>
        <v/>
      </c>
      <c r="AC130" s="467" t="str">
        <f>IF(ISBLANK('RESUMEN VIGILANCIA'!AB138),"",'RESUMEN VIGILANCIA'!AB138)</f>
        <v/>
      </c>
      <c r="AD130" s="480" t="str">
        <f>IF(ISBLANK('RESUMEN VIGILANCIA'!AC138),"",'RESUMEN VIGILANCIA'!AC138)</f>
        <v/>
      </c>
      <c r="AE130" s="481" t="str">
        <f>IF(ISBLANK('RESUMEN VIGILANCIA'!AD138),"",'RESUMEN VIGILANCIA'!AD138)</f>
        <v/>
      </c>
      <c r="AF130" s="481" t="str">
        <f>IF(ISBLANK('RESUMEN VIGILANCIA'!AE138),"",'RESUMEN VIGILANCIA'!AE138)</f>
        <v/>
      </c>
      <c r="AG130" s="481" t="str">
        <f>IF(ISBLANK('RESUMEN VIGILANCIA'!AF138),"",'RESUMEN VIGILANCIA'!AF138)</f>
        <v/>
      </c>
      <c r="AH130" s="481" t="str">
        <f>IF(ISBLANK('RESUMEN VIGILANCIA'!AG138),"",'RESUMEN VIGILANCIA'!AG138)</f>
        <v/>
      </c>
      <c r="AI130" s="377">
        <f>IF(ISBLANK('RESUMEN VIGILANCIA'!AH138),"",'RESUMEN VIGILANCIA'!AH138)</f>
        <v>8000</v>
      </c>
      <c r="AJ130" s="377">
        <f>IF(ISBLANK('RESUMEN VIGILANCIA'!AI138),"",'RESUMEN VIGILANCIA'!AI138)</f>
        <v>10000</v>
      </c>
      <c r="AK130" s="377">
        <f>IF(ISBLANK('RESUMEN VIGILANCIA'!AJ138),"",'RESUMEN VIGILANCIA'!AJ138)</f>
        <v>10000</v>
      </c>
      <c r="AL130" s="377">
        <f>IF(ISBLANK('RESUMEN VIGILANCIA'!AK138),"",'RESUMEN VIGILANCIA'!AK138)</f>
        <v>21600</v>
      </c>
      <c r="AM130" s="377">
        <f>IF(ISBLANK('RESUMEN VIGILANCIA'!AL138),"",'RESUMEN VIGILANCIA'!AL138)</f>
        <v>47000</v>
      </c>
      <c r="AN130" s="377">
        <f>IF(ISBLANK('RESUMEN VIGILANCIA'!AM138),"",'RESUMEN VIGILANCIA'!AM138)</f>
        <v>73500</v>
      </c>
      <c r="AO130" s="378">
        <f>IF(ISBLANK('RESUMEN VIGILANCIA'!AN138),"",'RESUMEN VIGILANCIA'!AN138)</f>
        <v>105250</v>
      </c>
      <c r="AP130" s="376">
        <f>IF(ISBLANK('RESUMEN VIGILANCIA'!AO138),"",'RESUMEN VIGILANCIA'!AO138)</f>
        <v>136250</v>
      </c>
      <c r="AQ130" s="377">
        <f>IF(ISBLANK('RESUMEN VIGILANCIA'!AP138),"",'RESUMEN VIGILANCIA'!AP138)</f>
        <v>136250</v>
      </c>
      <c r="AR130" s="377">
        <f>IF(ISBLANK('RESUMEN VIGILANCIA'!AQ138),"",'RESUMEN VIGILANCIA'!AQ138)</f>
        <v>185250</v>
      </c>
      <c r="AS130" s="377">
        <f>IF(ISBLANK('RESUMEN VIGILANCIA'!AR138),"",'RESUMEN VIGILANCIA'!AR138)</f>
        <v>185250</v>
      </c>
      <c r="AT130" s="377">
        <f>IF(ISBLANK('RESUMEN VIGILANCIA'!AS138),"",'RESUMEN VIGILANCIA'!AS138)</f>
        <v>250000</v>
      </c>
      <c r="AU130" s="377" t="str">
        <f>IF(ISBLANK('RESUMEN VIGILANCIA'!AT138),"",'RESUMEN VIGILANCIA'!AT138)</f>
        <v/>
      </c>
      <c r="AV130" s="377" t="str">
        <f>IF(ISBLANK('RESUMEN VIGILANCIA'!AU138),"",'RESUMEN VIGILANCIA'!AU138)</f>
        <v/>
      </c>
      <c r="AW130" s="377" t="str">
        <f>IF(ISBLANK('RESUMEN VIGILANCIA'!AV138),"",'RESUMEN VIGILANCIA'!AV138)</f>
        <v/>
      </c>
      <c r="AX130" s="377" t="str">
        <f>IF(ISBLANK('RESUMEN VIGILANCIA'!AW138),"",'RESUMEN VIGILANCIA'!AW138)</f>
        <v/>
      </c>
      <c r="AY130" s="377" t="str">
        <f>IF(ISBLANK('RESUMEN VIGILANCIA'!AX138),"",'RESUMEN VIGILANCIA'!AX138)</f>
        <v/>
      </c>
      <c r="AZ130" s="377" t="str">
        <f>IF(ISBLANK('RESUMEN VIGILANCIA'!AY138),"",'RESUMEN VIGILANCIA'!AY138)</f>
        <v/>
      </c>
      <c r="BA130" s="378" t="str">
        <f>IF(ISBLANK('RESUMEN VIGILANCIA'!AZ138),"",'RESUMEN VIGILANCIA'!AZ138)</f>
        <v/>
      </c>
      <c r="BB130" s="242">
        <f t="shared" ref="BB130" si="12">SUM(E130:AO130)</f>
        <v>275350</v>
      </c>
      <c r="BC130" s="112">
        <v>43617</v>
      </c>
      <c r="BD130" s="112"/>
    </row>
    <row r="131" spans="1:56" s="29" customFormat="1" ht="20.100000000000001" customHeight="1">
      <c r="A131" s="30" t="str">
        <f>'RESUMEN VIGILANCIA'!A135</f>
        <v>Amarilis Guerra</v>
      </c>
      <c r="B131" s="31" t="str">
        <f>'RESUMEN VIGILANCIA'!B135</f>
        <v>Calle Güigüe Nro. 89-96</v>
      </c>
      <c r="C131" s="429" t="s">
        <v>1316</v>
      </c>
      <c r="D131" s="436" t="s">
        <v>1315</v>
      </c>
      <c r="E131" s="417" t="str">
        <f>IF(ISBLANK('RESUMEN VIGILANCIA'!D135),"",'RESUMEN VIGILANCIA'!D135)</f>
        <v/>
      </c>
      <c r="F131" s="269">
        <f>IF(ISBLANK('RESUMEN VIGILANCIA'!E135),"",'RESUMEN VIGILANCIA'!E135)</f>
        <v>0.17</v>
      </c>
      <c r="G131" s="181">
        <f>IF(ISBLANK('RESUMEN VIGILANCIA'!F135),"",'RESUMEN VIGILANCIA'!F135)</f>
        <v>0.17</v>
      </c>
      <c r="H131" s="181">
        <f>IF(ISBLANK('RESUMEN VIGILANCIA'!G135),"",'RESUMEN VIGILANCIA'!G135)</f>
        <v>0.17</v>
      </c>
      <c r="I131" s="181">
        <f>IF(ISBLANK('RESUMEN VIGILANCIA'!H135),"",'RESUMEN VIGILANCIA'!H135)</f>
        <v>0.17</v>
      </c>
      <c r="J131" s="181">
        <f>IF(ISBLANK('RESUMEN VIGILANCIA'!I135),"",'RESUMEN VIGILANCIA'!I135)</f>
        <v>0.26</v>
      </c>
      <c r="K131" s="181">
        <f>IF(ISBLANK('RESUMEN VIGILANCIA'!J135),"",'RESUMEN VIGILANCIA'!J135)</f>
        <v>0.26</v>
      </c>
      <c r="L131" s="181">
        <f>IF(ISBLANK('RESUMEN VIGILANCIA'!K135),"",'RESUMEN VIGILANCIA'!K135)</f>
        <v>0.35</v>
      </c>
      <c r="M131" s="181">
        <f>IF(ISBLANK('RESUMEN VIGILANCIA'!L135),"",'RESUMEN VIGILANCIA'!L135)</f>
        <v>0.35</v>
      </c>
      <c r="N131" s="181">
        <f>IF(ISBLANK('RESUMEN VIGILANCIA'!M135),"",'RESUMEN VIGILANCIA'!M135)</f>
        <v>0.35</v>
      </c>
      <c r="O131" s="181">
        <f>IF(ISBLANK('RESUMEN VIGILANCIA'!N135),"",'RESUMEN VIGILANCIA'!N135)</f>
        <v>0.35</v>
      </c>
      <c r="P131" s="270">
        <f>IF(ISBLANK('RESUMEN VIGILANCIA'!O135),"",'RESUMEN VIGILANCIA'!O135)</f>
        <v>0.5</v>
      </c>
      <c r="Q131" s="179">
        <f>IF(ISBLANK('RESUMEN VIGILANCIA'!P135),"",'RESUMEN VIGILANCIA'!P135)</f>
        <v>0.5</v>
      </c>
      <c r="R131" s="271">
        <f>IF(ISBLANK('RESUMEN VIGILANCIA'!Q135),"",'RESUMEN VIGILANCIA'!Q135)</f>
        <v>0.8</v>
      </c>
      <c r="S131" s="270">
        <f>IF(ISBLANK('RESUMEN VIGILANCIA'!R135),"",'RESUMEN VIGILANCIA'!R135)</f>
        <v>0.8</v>
      </c>
      <c r="T131" s="270">
        <f>IF(ISBLANK('RESUMEN VIGILANCIA'!S135),"",'RESUMEN VIGILANCIA'!S135)</f>
        <v>1.4</v>
      </c>
      <c r="U131" s="270">
        <f>IF(ISBLANK('RESUMEN VIGILANCIA'!T135),"",'RESUMEN VIGILANCIA'!T135)</f>
        <v>1.4</v>
      </c>
      <c r="V131" s="270">
        <f>IF(ISBLANK('RESUMEN VIGILANCIA'!U135),"",'RESUMEN VIGILANCIA'!U135)</f>
        <v>4</v>
      </c>
      <c r="W131" s="270">
        <f>IF(ISBLANK('RESUMEN VIGILANCIA'!V135),"",'RESUMEN VIGILANCIA'!V135)</f>
        <v>6.25</v>
      </c>
      <c r="X131" s="270">
        <f>IF(ISBLANK('RESUMEN VIGILANCIA'!W135),"",'RESUMEN VIGILANCIA'!W135)</f>
        <v>10</v>
      </c>
      <c r="Y131" s="270">
        <f>IF(ISBLANK('RESUMEN VIGILANCIA'!X135),"",'RESUMEN VIGILANCIA'!X135)</f>
        <v>12</v>
      </c>
      <c r="Z131" s="455">
        <f>IF(ISBLANK('RESUMEN VIGILANCIA'!Y135),"",'RESUMEN VIGILANCIA'!Y135)</f>
        <v>320</v>
      </c>
      <c r="AA131" s="455">
        <f>IF(ISBLANK('RESUMEN VIGILANCIA'!Z135),"",'RESUMEN VIGILANCIA'!Z135)</f>
        <v>320</v>
      </c>
      <c r="AB131" s="455">
        <f>IF(ISBLANK('RESUMEN VIGILANCIA'!AA135),"",'RESUMEN VIGILANCIA'!AA135)</f>
        <v>320</v>
      </c>
      <c r="AC131" s="456">
        <f>IF(ISBLANK('RESUMEN VIGILANCIA'!AB135),"",'RESUMEN VIGILANCIA'!AB135)</f>
        <v>800</v>
      </c>
      <c r="AD131" s="376">
        <f>IF(ISBLANK('RESUMEN VIGILANCIA'!AC135),"",'RESUMEN VIGILANCIA'!AC135)</f>
        <v>3000</v>
      </c>
      <c r="AE131" s="377">
        <f>IF(ISBLANK('RESUMEN VIGILANCIA'!AD135),"",'RESUMEN VIGILANCIA'!AD135)</f>
        <v>3000</v>
      </c>
      <c r="AF131" s="377">
        <f>IF(ISBLANK('RESUMEN VIGILANCIA'!AE135),"",'RESUMEN VIGILANCIA'!AE135)</f>
        <v>3000</v>
      </c>
      <c r="AG131" s="377">
        <f>IF(ISBLANK('RESUMEN VIGILANCIA'!AF135),"",'RESUMEN VIGILANCIA'!AF135)</f>
        <v>5000</v>
      </c>
      <c r="AH131" s="377">
        <f>IF(ISBLANK('RESUMEN VIGILANCIA'!AG135),"",'RESUMEN VIGILANCIA'!AG135)</f>
        <v>8000</v>
      </c>
      <c r="AI131" s="377">
        <f>IF(ISBLANK('RESUMEN VIGILANCIA'!AH135),"",'RESUMEN VIGILANCIA'!AH135)</f>
        <v>8000</v>
      </c>
      <c r="AJ131" s="377">
        <f>IF(ISBLANK('RESUMEN VIGILANCIA'!AI135),"",'RESUMEN VIGILANCIA'!AI135)</f>
        <v>10000</v>
      </c>
      <c r="AK131" s="377">
        <f>IF(ISBLANK('RESUMEN VIGILANCIA'!AJ135),"",'RESUMEN VIGILANCIA'!AJ135)</f>
        <v>10000</v>
      </c>
      <c r="AL131" s="377">
        <f>IF(ISBLANK('RESUMEN VIGILANCIA'!AK135),"",'RESUMEN VIGILANCIA'!AK135)</f>
        <v>23400</v>
      </c>
      <c r="AM131" s="377">
        <f>IF(ISBLANK('RESUMEN VIGILANCIA'!AL135),"",'RESUMEN VIGILANCIA'!AL135)</f>
        <v>47000</v>
      </c>
      <c r="AN131" s="377">
        <f>IF(ISBLANK('RESUMEN VIGILANCIA'!AM135),"",'RESUMEN VIGILANCIA'!AM135)</f>
        <v>73500</v>
      </c>
      <c r="AO131" s="378">
        <f>IF(ISBLANK('RESUMEN VIGILANCIA'!AN135),"",'RESUMEN VIGILANCIA'!AN135)</f>
        <v>81750</v>
      </c>
      <c r="AP131" s="376">
        <f>IF(ISBLANK('RESUMEN VIGILANCIA'!AO135),"",'RESUMEN VIGILANCIA'!AO135)</f>
        <v>136250</v>
      </c>
      <c r="AQ131" s="377">
        <f>IF(ISBLANK('RESUMEN VIGILANCIA'!AP135),"",'RESUMEN VIGILANCIA'!AP135)</f>
        <v>136250</v>
      </c>
      <c r="AR131" s="377">
        <f>IF(ISBLANK('RESUMEN VIGILANCIA'!AQ135),"",'RESUMEN VIGILANCIA'!AQ135)</f>
        <v>186250</v>
      </c>
      <c r="AS131" s="377">
        <f>IF(ISBLANK('RESUMEN VIGILANCIA'!AR135),"",'RESUMEN VIGILANCIA'!AR135)</f>
        <v>185250</v>
      </c>
      <c r="AT131" s="377">
        <f>IF(ISBLANK('RESUMEN VIGILANCIA'!AS135),"",'RESUMEN VIGILANCIA'!AS135)</f>
        <v>250000</v>
      </c>
      <c r="AU131" s="377" t="str">
        <f>IF(ISBLANK('RESUMEN VIGILANCIA'!AT135),"",'RESUMEN VIGILANCIA'!AT135)</f>
        <v/>
      </c>
      <c r="AV131" s="377" t="str">
        <f>IF(ISBLANK('RESUMEN VIGILANCIA'!AU135),"",'RESUMEN VIGILANCIA'!AU135)</f>
        <v/>
      </c>
      <c r="AW131" s="377" t="str">
        <f>IF(ISBLANK('RESUMEN VIGILANCIA'!AV135),"",'RESUMEN VIGILANCIA'!AV135)</f>
        <v/>
      </c>
      <c r="AX131" s="377" t="str">
        <f>IF(ISBLANK('RESUMEN VIGILANCIA'!AW135),"",'RESUMEN VIGILANCIA'!AW135)</f>
        <v/>
      </c>
      <c r="AY131" s="377" t="str">
        <f>IF(ISBLANK('RESUMEN VIGILANCIA'!AX135),"",'RESUMEN VIGILANCIA'!AX135)</f>
        <v/>
      </c>
      <c r="AZ131" s="377" t="str">
        <f>IF(ISBLANK('RESUMEN VIGILANCIA'!AY135),"",'RESUMEN VIGILANCIA'!AY135)</f>
        <v/>
      </c>
      <c r="BA131" s="378" t="str">
        <f>IF(ISBLANK('RESUMEN VIGILANCIA'!AZ135),"",'RESUMEN VIGILANCIA'!AZ135)</f>
        <v/>
      </c>
      <c r="BB131" s="242">
        <f t="shared" si="10"/>
        <v>277450.25</v>
      </c>
      <c r="BC131" s="112"/>
      <c r="BD131" s="112"/>
    </row>
    <row r="132" spans="1:56" s="29" customFormat="1" ht="20.100000000000001" customHeight="1">
      <c r="A132" s="30" t="str">
        <f>'RESUMEN VIGILANCIA'!A111</f>
        <v>Familia Piñero Padilla</v>
      </c>
      <c r="B132" s="31" t="str">
        <f>'RESUMEN VIGILANCIA'!B111</f>
        <v>Calle Güigüe Nro. 89-21</v>
      </c>
      <c r="C132" s="429" t="s">
        <v>1316</v>
      </c>
      <c r="D132" s="436" t="s">
        <v>17</v>
      </c>
      <c r="E132" s="417" t="str">
        <f>IF(ISBLANK('RESUMEN VIGILANCIA'!D111),"",'RESUMEN VIGILANCIA'!D111)</f>
        <v/>
      </c>
      <c r="F132" s="269">
        <f>IF(ISBLANK('RESUMEN VIGILANCIA'!E111),"",'RESUMEN VIGILANCIA'!E111)</f>
        <v>0.17</v>
      </c>
      <c r="G132" s="181">
        <f>IF(ISBLANK('RESUMEN VIGILANCIA'!F111),"",'RESUMEN VIGILANCIA'!F111)</f>
        <v>0.17</v>
      </c>
      <c r="H132" s="181">
        <f>IF(ISBLANK('RESUMEN VIGILANCIA'!G111),"",'RESUMEN VIGILANCIA'!G111)</f>
        <v>0.17</v>
      </c>
      <c r="I132" s="181">
        <f>IF(ISBLANK('RESUMEN VIGILANCIA'!H111),"",'RESUMEN VIGILANCIA'!H111)</f>
        <v>0.17</v>
      </c>
      <c r="J132" s="181">
        <f>IF(ISBLANK('RESUMEN VIGILANCIA'!I111),"",'RESUMEN VIGILANCIA'!I111)</f>
        <v>0.26</v>
      </c>
      <c r="K132" s="181">
        <f>IF(ISBLANK('RESUMEN VIGILANCIA'!J111),"",'RESUMEN VIGILANCIA'!J111)</f>
        <v>0.26</v>
      </c>
      <c r="L132" s="181">
        <f>IF(ISBLANK('RESUMEN VIGILANCIA'!K111),"",'RESUMEN VIGILANCIA'!K111)</f>
        <v>0.35</v>
      </c>
      <c r="M132" s="181">
        <f>IF(ISBLANK('RESUMEN VIGILANCIA'!L111),"",'RESUMEN VIGILANCIA'!L111)</f>
        <v>0.35</v>
      </c>
      <c r="N132" s="181">
        <f>IF(ISBLANK('RESUMEN VIGILANCIA'!M111),"",'RESUMEN VIGILANCIA'!M111)</f>
        <v>0.35</v>
      </c>
      <c r="O132" s="181">
        <f>IF(ISBLANK('RESUMEN VIGILANCIA'!N111),"",'RESUMEN VIGILANCIA'!N111)</f>
        <v>0.35</v>
      </c>
      <c r="P132" s="270">
        <f>IF(ISBLANK('RESUMEN VIGILANCIA'!O111),"",'RESUMEN VIGILANCIA'!O111)</f>
        <v>0.5</v>
      </c>
      <c r="Q132" s="179">
        <f>IF(ISBLANK('RESUMEN VIGILANCIA'!P111),"",'RESUMEN VIGILANCIA'!P111)</f>
        <v>0.5</v>
      </c>
      <c r="R132" s="271">
        <f>IF(ISBLANK('RESUMEN VIGILANCIA'!Q111),"",'RESUMEN VIGILANCIA'!Q111)</f>
        <v>0.8</v>
      </c>
      <c r="S132" s="270">
        <f>IF(ISBLANK('RESUMEN VIGILANCIA'!R111),"",'RESUMEN VIGILANCIA'!R111)</f>
        <v>0.8</v>
      </c>
      <c r="T132" s="270">
        <f>IF(ISBLANK('RESUMEN VIGILANCIA'!S111),"",'RESUMEN VIGILANCIA'!S111)</f>
        <v>1.4</v>
      </c>
      <c r="U132" s="270">
        <f>IF(ISBLANK('RESUMEN VIGILANCIA'!T111),"",'RESUMEN VIGILANCIA'!T111)</f>
        <v>1.4</v>
      </c>
      <c r="V132" s="270">
        <f>IF(ISBLANK('RESUMEN VIGILANCIA'!U111),"",'RESUMEN VIGILANCIA'!U111)</f>
        <v>4</v>
      </c>
      <c r="W132" s="270">
        <f>IF(ISBLANK('RESUMEN VIGILANCIA'!V111),"",'RESUMEN VIGILANCIA'!V111)</f>
        <v>6.25</v>
      </c>
      <c r="X132" s="270">
        <f>IF(ISBLANK('RESUMEN VIGILANCIA'!W111),"",'RESUMEN VIGILANCIA'!W111)</f>
        <v>10</v>
      </c>
      <c r="Y132" s="270">
        <f>IF(ISBLANK('RESUMEN VIGILANCIA'!X111),"",'RESUMEN VIGILANCIA'!X111)</f>
        <v>12</v>
      </c>
      <c r="Z132" s="455">
        <f>IF(ISBLANK('RESUMEN VIGILANCIA'!Y111),"",'RESUMEN VIGILANCIA'!Y111)</f>
        <v>320</v>
      </c>
      <c r="AA132" s="455">
        <f>IF(ISBLANK('RESUMEN VIGILANCIA'!Z111),"",'RESUMEN VIGILANCIA'!Z111)</f>
        <v>320</v>
      </c>
      <c r="AB132" s="455">
        <f>IF(ISBLANK('RESUMEN VIGILANCIA'!AA111),"",'RESUMEN VIGILANCIA'!AA111)</f>
        <v>320</v>
      </c>
      <c r="AC132" s="456">
        <f>IF(ISBLANK('RESUMEN VIGILANCIA'!AB111),"",'RESUMEN VIGILANCIA'!AB111)</f>
        <v>800</v>
      </c>
      <c r="AD132" s="376">
        <f>IF(ISBLANK('RESUMEN VIGILANCIA'!AC111),"",'RESUMEN VIGILANCIA'!AC111)</f>
        <v>3000</v>
      </c>
      <c r="AE132" s="377">
        <f>IF(ISBLANK('RESUMEN VIGILANCIA'!AD111),"",'RESUMEN VIGILANCIA'!AD111)</f>
        <v>3000</v>
      </c>
      <c r="AF132" s="377">
        <f>IF(ISBLANK('RESUMEN VIGILANCIA'!AE111),"",'RESUMEN VIGILANCIA'!AE111)</f>
        <v>3000</v>
      </c>
      <c r="AG132" s="377">
        <f>IF(ISBLANK('RESUMEN VIGILANCIA'!AF111),"",'RESUMEN VIGILANCIA'!AF111)</f>
        <v>5000</v>
      </c>
      <c r="AH132" s="377">
        <f>IF(ISBLANK('RESUMEN VIGILANCIA'!AG111),"",'RESUMEN VIGILANCIA'!AG111)</f>
        <v>8000</v>
      </c>
      <c r="AI132" s="377">
        <f>IF(ISBLANK('RESUMEN VIGILANCIA'!AH111),"",'RESUMEN VIGILANCIA'!AH111)</f>
        <v>8000</v>
      </c>
      <c r="AJ132" s="377">
        <f>IF(ISBLANK('RESUMEN VIGILANCIA'!AI111),"",'RESUMEN VIGILANCIA'!AI111)</f>
        <v>10000</v>
      </c>
      <c r="AK132" s="377">
        <f>IF(ISBLANK('RESUMEN VIGILANCIA'!AJ111),"",'RESUMEN VIGILANCIA'!AJ111)</f>
        <v>10000</v>
      </c>
      <c r="AL132" s="377">
        <f>IF(ISBLANK('RESUMEN VIGILANCIA'!AK111),"",'RESUMEN VIGILANCIA'!AK111)</f>
        <v>20500</v>
      </c>
      <c r="AM132" s="377">
        <f>IF(ISBLANK('RESUMEN VIGILANCIA'!AL111),"",'RESUMEN VIGILANCIA'!AL111)</f>
        <v>73500</v>
      </c>
      <c r="AN132" s="377">
        <f>IF(ISBLANK('RESUMEN VIGILANCIA'!AM111),"",'RESUMEN VIGILANCIA'!AM111)</f>
        <v>73500</v>
      </c>
      <c r="AO132" s="378">
        <f>IF(ISBLANK('RESUMEN VIGILANCIA'!AN111),"",'RESUMEN VIGILANCIA'!AN111)</f>
        <v>136250</v>
      </c>
      <c r="AP132" s="376">
        <f>IF(ISBLANK('RESUMEN VIGILANCIA'!AO111),"",'RESUMEN VIGILANCIA'!AO111)</f>
        <v>185250</v>
      </c>
      <c r="AQ132" s="377">
        <f>IF(ISBLANK('RESUMEN VIGILANCIA'!AP111),"",'RESUMEN VIGILANCIA'!AP111)</f>
        <v>185250</v>
      </c>
      <c r="AR132" s="377">
        <f>IF(ISBLANK('RESUMEN VIGILANCIA'!AQ111),"",'RESUMEN VIGILANCIA'!AQ111)</f>
        <v>185250</v>
      </c>
      <c r="AS132" s="377">
        <f>IF(ISBLANK('RESUMEN VIGILANCIA'!AR111),"",'RESUMEN VIGILANCIA'!AR111)</f>
        <v>187000</v>
      </c>
      <c r="AT132" s="377">
        <f>IF(ISBLANK('RESUMEN VIGILANCIA'!AS111),"",'RESUMEN VIGILANCIA'!AS111)</f>
        <v>250000</v>
      </c>
      <c r="AU132" s="377" t="str">
        <f>IF(ISBLANK('RESUMEN VIGILANCIA'!AT111),"",'RESUMEN VIGILANCIA'!AT111)</f>
        <v/>
      </c>
      <c r="AV132" s="377" t="str">
        <f>IF(ISBLANK('RESUMEN VIGILANCIA'!AU111),"",'RESUMEN VIGILANCIA'!AU111)</f>
        <v/>
      </c>
      <c r="AW132" s="377" t="str">
        <f>IF(ISBLANK('RESUMEN VIGILANCIA'!AV111),"",'RESUMEN VIGILANCIA'!AV111)</f>
        <v/>
      </c>
      <c r="AX132" s="377" t="str">
        <f>IF(ISBLANK('RESUMEN VIGILANCIA'!AW111),"",'RESUMEN VIGILANCIA'!AW111)</f>
        <v/>
      </c>
      <c r="AY132" s="377" t="str">
        <f>IF(ISBLANK('RESUMEN VIGILANCIA'!AX111),"",'RESUMEN VIGILANCIA'!AX111)</f>
        <v/>
      </c>
      <c r="AZ132" s="377" t="str">
        <f>IF(ISBLANK('RESUMEN VIGILANCIA'!AY111),"",'RESUMEN VIGILANCIA'!AY111)</f>
        <v/>
      </c>
      <c r="BA132" s="378" t="str">
        <f>IF(ISBLANK('RESUMEN VIGILANCIA'!AZ111),"",'RESUMEN VIGILANCIA'!AZ111)</f>
        <v/>
      </c>
      <c r="BB132" s="242">
        <f t="shared" si="10"/>
        <v>355550.25</v>
      </c>
      <c r="BC132" s="112"/>
      <c r="BD132" s="112"/>
    </row>
    <row r="133" spans="1:56" s="29" customFormat="1" ht="20.100000000000001" customHeight="1">
      <c r="A133" s="30" t="str">
        <f>'RESUMEN VIGILANCIA'!A96</f>
        <v>Familia Castillo Rodríguez</v>
      </c>
      <c r="B133" s="31" t="str">
        <f>'RESUMEN VIGILANCIA'!B96</f>
        <v>Calle Güigüe Nro. 88-91</v>
      </c>
      <c r="C133" s="430" t="s">
        <v>1318</v>
      </c>
      <c r="D133" s="436" t="s">
        <v>1315</v>
      </c>
      <c r="E133" s="417" t="str">
        <f>IF(ISBLANK('RESUMEN VIGILANCIA'!D96),"",'RESUMEN VIGILANCIA'!D96)</f>
        <v/>
      </c>
      <c r="F133" s="269">
        <f>IF(ISBLANK('RESUMEN VIGILANCIA'!E96),"",'RESUMEN VIGILANCIA'!E96)</f>
        <v>0.17</v>
      </c>
      <c r="G133" s="181">
        <f>IF(ISBLANK('RESUMEN VIGILANCIA'!F96),"",'RESUMEN VIGILANCIA'!F96)</f>
        <v>0.17</v>
      </c>
      <c r="H133" s="182" t="str">
        <f>IF(ISBLANK('RESUMEN VIGILANCIA'!G96),"",'RESUMEN VIGILANCIA'!G96)</f>
        <v/>
      </c>
      <c r="I133" s="182" t="str">
        <f>IF(ISBLANK('RESUMEN VIGILANCIA'!H96),"",'RESUMEN VIGILANCIA'!H96)</f>
        <v/>
      </c>
      <c r="J133" s="181">
        <f>IF(ISBLANK('RESUMEN VIGILANCIA'!I96),"",'RESUMEN VIGILANCIA'!I96)</f>
        <v>0.26</v>
      </c>
      <c r="K133" s="181">
        <f>IF(ISBLANK('RESUMEN VIGILANCIA'!J96),"",'RESUMEN VIGILANCIA'!J96)</f>
        <v>0.26</v>
      </c>
      <c r="L133" s="226">
        <f>IF(ISBLANK('RESUMEN VIGILANCIA'!K96),"",'RESUMEN VIGILANCIA'!K96)</f>
        <v>0.26</v>
      </c>
      <c r="M133" s="181" t="str">
        <f>IF(ISBLANK('RESUMEN VIGILANCIA'!L96),"",'RESUMEN VIGILANCIA'!L96)</f>
        <v/>
      </c>
      <c r="N133" s="181" t="str">
        <f>IF(ISBLANK('RESUMEN VIGILANCIA'!M96),"",'RESUMEN VIGILANCIA'!M96)</f>
        <v/>
      </c>
      <c r="O133" s="181" t="str">
        <f>IF(ISBLANK('RESUMEN VIGILANCIA'!N96),"",'RESUMEN VIGILANCIA'!N96)</f>
        <v/>
      </c>
      <c r="P133" s="270" t="str">
        <f>IF(ISBLANK('RESUMEN VIGILANCIA'!O96),"",'RESUMEN VIGILANCIA'!O96)</f>
        <v/>
      </c>
      <c r="Q133" s="179" t="str">
        <f>IF(ISBLANK('RESUMEN VIGILANCIA'!P96),"",'RESUMEN VIGILANCIA'!P96)</f>
        <v/>
      </c>
      <c r="R133" s="271" t="str">
        <f>IF(ISBLANK('RESUMEN VIGILANCIA'!Q96),"",'RESUMEN VIGILANCIA'!Q96)</f>
        <v/>
      </c>
      <c r="S133" s="270" t="str">
        <f>IF(ISBLANK('RESUMEN VIGILANCIA'!R96),"",'RESUMEN VIGILANCIA'!R96)</f>
        <v/>
      </c>
      <c r="T133" s="270" t="str">
        <f>IF(ISBLANK('RESUMEN VIGILANCIA'!S96),"",'RESUMEN VIGILANCIA'!S96)</f>
        <v/>
      </c>
      <c r="U133" s="270" t="str">
        <f>IF(ISBLANK('RESUMEN VIGILANCIA'!T96),"",'RESUMEN VIGILANCIA'!T96)</f>
        <v/>
      </c>
      <c r="V133" s="270" t="str">
        <f>IF(ISBLANK('RESUMEN VIGILANCIA'!U96),"",'RESUMEN VIGILANCIA'!U96)</f>
        <v/>
      </c>
      <c r="W133" s="270" t="str">
        <f>IF(ISBLANK('RESUMEN VIGILANCIA'!V96),"",'RESUMEN VIGILANCIA'!V96)</f>
        <v/>
      </c>
      <c r="X133" s="270" t="str">
        <f>IF(ISBLANK('RESUMEN VIGILANCIA'!W96),"",'RESUMEN VIGILANCIA'!W96)</f>
        <v/>
      </c>
      <c r="Y133" s="270" t="str">
        <f>IF(ISBLANK('RESUMEN VIGILANCIA'!X96),"",'RESUMEN VIGILANCIA'!X96)</f>
        <v/>
      </c>
      <c r="Z133" s="455" t="str">
        <f>IF(ISBLANK('RESUMEN VIGILANCIA'!Y96),"",'RESUMEN VIGILANCIA'!Y96)</f>
        <v/>
      </c>
      <c r="AA133" s="455" t="str">
        <f>IF(ISBLANK('RESUMEN VIGILANCIA'!Z96),"",'RESUMEN VIGILANCIA'!Z96)</f>
        <v/>
      </c>
      <c r="AB133" s="455" t="str">
        <f>IF(ISBLANK('RESUMEN VIGILANCIA'!AA96),"",'RESUMEN VIGILANCIA'!AA96)</f>
        <v/>
      </c>
      <c r="AC133" s="456" t="str">
        <f>IF(ISBLANK('RESUMEN VIGILANCIA'!AB96),"",'RESUMEN VIGILANCIA'!AB96)</f>
        <v/>
      </c>
      <c r="AD133" s="376" t="str">
        <f>IF(ISBLANK('RESUMEN VIGILANCIA'!AC96),"",'RESUMEN VIGILANCIA'!AC96)</f>
        <v/>
      </c>
      <c r="AE133" s="377" t="str">
        <f>IF(ISBLANK('RESUMEN VIGILANCIA'!AD96),"",'RESUMEN VIGILANCIA'!AD96)</f>
        <v/>
      </c>
      <c r="AF133" s="377" t="str">
        <f>IF(ISBLANK('RESUMEN VIGILANCIA'!AE96),"",'RESUMEN VIGILANCIA'!AE96)</f>
        <v/>
      </c>
      <c r="AG133" s="377" t="str">
        <f>IF(ISBLANK('RESUMEN VIGILANCIA'!AF96),"",'RESUMEN VIGILANCIA'!AF96)</f>
        <v/>
      </c>
      <c r="AH133" s="377" t="str">
        <f>IF(ISBLANK('RESUMEN VIGILANCIA'!AG96),"",'RESUMEN VIGILANCIA'!AG96)</f>
        <v/>
      </c>
      <c r="AI133" s="377" t="str">
        <f>IF(ISBLANK('RESUMEN VIGILANCIA'!AH96),"",'RESUMEN VIGILANCIA'!AH96)</f>
        <v/>
      </c>
      <c r="AJ133" s="377" t="str">
        <f>IF(ISBLANK('RESUMEN VIGILANCIA'!AI96),"",'RESUMEN VIGILANCIA'!AI96)</f>
        <v/>
      </c>
      <c r="AK133" s="377" t="str">
        <f>IF(ISBLANK('RESUMEN VIGILANCIA'!AJ96),"",'RESUMEN VIGILANCIA'!AJ96)</f>
        <v/>
      </c>
      <c r="AL133" s="377" t="str">
        <f>IF(ISBLANK('RESUMEN VIGILANCIA'!AK96),"",'RESUMEN VIGILANCIA'!AK96)</f>
        <v/>
      </c>
      <c r="AM133" s="377">
        <f>IF(ISBLANK('RESUMEN VIGILANCIA'!AL96),"",'RESUMEN VIGILANCIA'!AL96)</f>
        <v>159299</v>
      </c>
      <c r="AN133" s="377">
        <f>IF(ISBLANK('RESUMEN VIGILANCIA'!AM96),"",'RESUMEN VIGILANCIA'!AM96)</f>
        <v>81750</v>
      </c>
      <c r="AO133" s="378" t="str">
        <f>IF(ISBLANK('RESUMEN VIGILANCIA'!AN96),"",'RESUMEN VIGILANCIA'!AN96)</f>
        <v/>
      </c>
      <c r="AP133" s="376" t="str">
        <f>IF(ISBLANK('RESUMEN VIGILANCIA'!AO96),"",'RESUMEN VIGILANCIA'!AO96)</f>
        <v/>
      </c>
      <c r="AQ133" s="377" t="str">
        <f>IF(ISBLANK('RESUMEN VIGILANCIA'!AP96),"",'RESUMEN VIGILANCIA'!AP96)</f>
        <v/>
      </c>
      <c r="AR133" s="377" t="str">
        <f>IF(ISBLANK('RESUMEN VIGILANCIA'!AQ96),"",'RESUMEN VIGILANCIA'!AQ96)</f>
        <v/>
      </c>
      <c r="AS133" s="377" t="str">
        <f>IF(ISBLANK('RESUMEN VIGILANCIA'!AR96),"",'RESUMEN VIGILANCIA'!AR96)</f>
        <v/>
      </c>
      <c r="AT133" s="377" t="str">
        <f>IF(ISBLANK('RESUMEN VIGILANCIA'!AS96),"",'RESUMEN VIGILANCIA'!AS96)</f>
        <v/>
      </c>
      <c r="AU133" s="377" t="str">
        <f>IF(ISBLANK('RESUMEN VIGILANCIA'!AT96),"",'RESUMEN VIGILANCIA'!AT96)</f>
        <v/>
      </c>
      <c r="AV133" s="377" t="str">
        <f>IF(ISBLANK('RESUMEN VIGILANCIA'!AU96),"",'RESUMEN VIGILANCIA'!AU96)</f>
        <v/>
      </c>
      <c r="AW133" s="377" t="str">
        <f>IF(ISBLANK('RESUMEN VIGILANCIA'!AV96),"",'RESUMEN VIGILANCIA'!AV96)</f>
        <v/>
      </c>
      <c r="AX133" s="377" t="str">
        <f>IF(ISBLANK('RESUMEN VIGILANCIA'!AW96),"",'RESUMEN VIGILANCIA'!AW96)</f>
        <v/>
      </c>
      <c r="AY133" s="377" t="str">
        <f>IF(ISBLANK('RESUMEN VIGILANCIA'!AX96),"",'RESUMEN VIGILANCIA'!AX96)</f>
        <v/>
      </c>
      <c r="AZ133" s="377" t="str">
        <f>IF(ISBLANK('RESUMEN VIGILANCIA'!AY96),"",'RESUMEN VIGILANCIA'!AY96)</f>
        <v/>
      </c>
      <c r="BA133" s="378" t="str">
        <f>IF(ISBLANK('RESUMEN VIGILANCIA'!AZ96),"",'RESUMEN VIGILANCIA'!AZ96)</f>
        <v/>
      </c>
      <c r="BB133" s="242">
        <f t="shared" si="10"/>
        <v>241050.12</v>
      </c>
      <c r="BC133" s="112"/>
      <c r="BD133" s="112"/>
    </row>
    <row r="134" spans="1:56" s="29" customFormat="1" ht="20.100000000000001" customHeight="1">
      <c r="A134" s="59" t="str">
        <f>'RESUMEN VIGILANCIA'!A112</f>
        <v>Familia Navarrete Medina</v>
      </c>
      <c r="B134" s="60" t="str">
        <f>'RESUMEN VIGILANCIA'!B112</f>
        <v>Calle Güigüe Nro. 89-22</v>
      </c>
      <c r="C134" s="429" t="s">
        <v>1316</v>
      </c>
      <c r="D134" s="436" t="s">
        <v>1315</v>
      </c>
      <c r="E134" s="417" t="str">
        <f>IF(ISBLANK('RESUMEN VIGILANCIA'!D112),"",'RESUMEN VIGILANCIA'!D112)</f>
        <v/>
      </c>
      <c r="F134" s="269" t="str">
        <f>IF(ISBLANK('RESUMEN VIGILANCIA'!E112),"",'RESUMEN VIGILANCIA'!E112)</f>
        <v/>
      </c>
      <c r="G134" s="181" t="str">
        <f>IF(ISBLANK('RESUMEN VIGILANCIA'!F112),"",'RESUMEN VIGILANCIA'!F112)</f>
        <v/>
      </c>
      <c r="H134" s="181" t="str">
        <f>IF(ISBLANK('RESUMEN VIGILANCIA'!G112),"",'RESUMEN VIGILANCIA'!G112)</f>
        <v/>
      </c>
      <c r="I134" s="181" t="str">
        <f>IF(ISBLANK('RESUMEN VIGILANCIA'!H112),"",'RESUMEN VIGILANCIA'!H112)</f>
        <v/>
      </c>
      <c r="J134" s="181" t="str">
        <f>IF(ISBLANK('RESUMEN VIGILANCIA'!I112),"",'RESUMEN VIGILANCIA'!I112)</f>
        <v/>
      </c>
      <c r="K134" s="181" t="str">
        <f>IF(ISBLANK('RESUMEN VIGILANCIA'!J112),"",'RESUMEN VIGILANCIA'!J112)</f>
        <v/>
      </c>
      <c r="L134" s="181">
        <f>IF(ISBLANK('RESUMEN VIGILANCIA'!K112),"",'RESUMEN VIGILANCIA'!K112)</f>
        <v>0.35</v>
      </c>
      <c r="M134" s="181">
        <f>IF(ISBLANK('RESUMEN VIGILANCIA'!L112),"",'RESUMEN VIGILANCIA'!L112)</f>
        <v>0.35</v>
      </c>
      <c r="N134" s="181">
        <f>IF(ISBLANK('RESUMEN VIGILANCIA'!M112),"",'RESUMEN VIGILANCIA'!M112)</f>
        <v>0.35</v>
      </c>
      <c r="O134" s="181">
        <f>IF(ISBLANK('RESUMEN VIGILANCIA'!N112),"",'RESUMEN VIGILANCIA'!N112)</f>
        <v>0.35</v>
      </c>
      <c r="P134" s="270">
        <f>IF(ISBLANK('RESUMEN VIGILANCIA'!O112),"",'RESUMEN VIGILANCIA'!O112)</f>
        <v>0.5</v>
      </c>
      <c r="Q134" s="179">
        <f>IF(ISBLANK('RESUMEN VIGILANCIA'!P112),"",'RESUMEN VIGILANCIA'!P112)</f>
        <v>0.5</v>
      </c>
      <c r="R134" s="271">
        <f>IF(ISBLANK('RESUMEN VIGILANCIA'!Q112),"",'RESUMEN VIGILANCIA'!Q112)</f>
        <v>0.8</v>
      </c>
      <c r="S134" s="270">
        <f>IF(ISBLANK('RESUMEN VIGILANCIA'!R112),"",'RESUMEN VIGILANCIA'!R112)</f>
        <v>0.8</v>
      </c>
      <c r="T134" s="270">
        <f>IF(ISBLANK('RESUMEN VIGILANCIA'!S112),"",'RESUMEN VIGILANCIA'!S112)</f>
        <v>1.4</v>
      </c>
      <c r="U134" s="270">
        <f>IF(ISBLANK('RESUMEN VIGILANCIA'!T112),"",'RESUMEN VIGILANCIA'!T112)</f>
        <v>1.4</v>
      </c>
      <c r="V134" s="270">
        <f>IF(ISBLANK('RESUMEN VIGILANCIA'!U112),"",'RESUMEN VIGILANCIA'!U112)</f>
        <v>4</v>
      </c>
      <c r="W134" s="270">
        <f>IF(ISBLANK('RESUMEN VIGILANCIA'!V112),"",'RESUMEN VIGILANCIA'!V112)</f>
        <v>6.25</v>
      </c>
      <c r="X134" s="270">
        <f>IF(ISBLANK('RESUMEN VIGILANCIA'!W112),"",'RESUMEN VIGILANCIA'!W112)</f>
        <v>10</v>
      </c>
      <c r="Y134" s="270">
        <f>IF(ISBLANK('RESUMEN VIGILANCIA'!X112),"",'RESUMEN VIGILANCIA'!X112)</f>
        <v>12</v>
      </c>
      <c r="Z134" s="455">
        <f>IF(ISBLANK('RESUMEN VIGILANCIA'!Y112),"",'RESUMEN VIGILANCIA'!Y112)</f>
        <v>320</v>
      </c>
      <c r="AA134" s="455">
        <f>IF(ISBLANK('RESUMEN VIGILANCIA'!Z112),"",'RESUMEN VIGILANCIA'!Z112)</f>
        <v>320</v>
      </c>
      <c r="AB134" s="455">
        <f>IF(ISBLANK('RESUMEN VIGILANCIA'!AA112),"",'RESUMEN VIGILANCIA'!AA112)</f>
        <v>320</v>
      </c>
      <c r="AC134" s="456">
        <f>IF(ISBLANK('RESUMEN VIGILANCIA'!AB112),"",'RESUMEN VIGILANCIA'!AB112)</f>
        <v>800</v>
      </c>
      <c r="AD134" s="376">
        <f>IF(ISBLANK('RESUMEN VIGILANCIA'!AC112),"",'RESUMEN VIGILANCIA'!AC112)</f>
        <v>3000</v>
      </c>
      <c r="AE134" s="377">
        <f>IF(ISBLANK('RESUMEN VIGILANCIA'!AD112),"",'RESUMEN VIGILANCIA'!AD112)</f>
        <v>3000</v>
      </c>
      <c r="AF134" s="377">
        <f>IF(ISBLANK('RESUMEN VIGILANCIA'!AE112),"",'RESUMEN VIGILANCIA'!AE112)</f>
        <v>3000</v>
      </c>
      <c r="AG134" s="377">
        <f>IF(ISBLANK('RESUMEN VIGILANCIA'!AF112),"",'RESUMEN VIGILANCIA'!AF112)</f>
        <v>5000</v>
      </c>
      <c r="AH134" s="377">
        <f>IF(ISBLANK('RESUMEN VIGILANCIA'!AG112),"",'RESUMEN VIGILANCIA'!AG112)</f>
        <v>8000</v>
      </c>
      <c r="AI134" s="479" t="str">
        <f>IF(ISBLANK('RESUMEN VIGILANCIA'!AH112),"",'RESUMEN VIGILANCIA'!AH112)</f>
        <v>VENDIDA</v>
      </c>
      <c r="AJ134" s="510" t="str">
        <f>IF(ISBLANK('RESUMEN VIGILANCIA'!AI112),"",'RESUMEN VIGILANCIA'!AI112)</f>
        <v/>
      </c>
      <c r="AK134" s="380" t="str">
        <f>IF(ISBLANK('RESUMEN VIGILANCIA'!AJ112),"",'RESUMEN VIGILANCIA'!AJ112)</f>
        <v/>
      </c>
      <c r="AL134" s="380" t="str">
        <f>IF(ISBLANK('RESUMEN VIGILANCIA'!AK112),"",'RESUMEN VIGILANCIA'!AK112)</f>
        <v/>
      </c>
      <c r="AM134" s="380" t="str">
        <f>IF(ISBLANK('RESUMEN VIGILANCIA'!AL112),"",'RESUMEN VIGILANCIA'!AL112)</f>
        <v/>
      </c>
      <c r="AN134" s="380" t="str">
        <f>IF(ISBLANK('RESUMEN VIGILANCIA'!AM112),"",'RESUMEN VIGILANCIA'!AM112)</f>
        <v/>
      </c>
      <c r="AO134" s="391" t="str">
        <f>IF(ISBLANK('RESUMEN VIGILANCIA'!AN112),"",'RESUMEN VIGILANCIA'!AN112)</f>
        <v/>
      </c>
      <c r="AP134" s="392" t="str">
        <f>IF(ISBLANK('RESUMEN VIGILANCIA'!AO112),"",'RESUMEN VIGILANCIA'!AO112)</f>
        <v/>
      </c>
      <c r="AQ134" s="393" t="str">
        <f>IF(ISBLANK('RESUMEN VIGILANCIA'!AP112),"",'RESUMEN VIGILANCIA'!AP112)</f>
        <v/>
      </c>
      <c r="AR134" s="393" t="str">
        <f>IF(ISBLANK('RESUMEN VIGILANCIA'!AQ112),"",'RESUMEN VIGILANCIA'!AQ112)</f>
        <v/>
      </c>
      <c r="AS134" s="393" t="str">
        <f>IF(ISBLANK('RESUMEN VIGILANCIA'!AR112),"",'RESUMEN VIGILANCIA'!AR112)</f>
        <v/>
      </c>
      <c r="AT134" s="393" t="str">
        <f>IF(ISBLANK('RESUMEN VIGILANCIA'!AS112),"",'RESUMEN VIGILANCIA'!AS112)</f>
        <v/>
      </c>
      <c r="AU134" s="479" t="str">
        <f>IF(ISBLANK('RESUMEN VIGILANCIA'!AT112),"",'RESUMEN VIGILANCIA'!AT112)</f>
        <v/>
      </c>
      <c r="AV134" s="510" t="str">
        <f>IF(ISBLANK('RESUMEN VIGILANCIA'!AU112),"",'RESUMEN VIGILANCIA'!AU112)</f>
        <v/>
      </c>
      <c r="AW134" s="380" t="str">
        <f>IF(ISBLANK('RESUMEN VIGILANCIA'!AV112),"",'RESUMEN VIGILANCIA'!AV112)</f>
        <v/>
      </c>
      <c r="AX134" s="380" t="str">
        <f>IF(ISBLANK('RESUMEN VIGILANCIA'!AW112),"",'RESUMEN VIGILANCIA'!AW112)</f>
        <v/>
      </c>
      <c r="AY134" s="380" t="str">
        <f>IF(ISBLANK('RESUMEN VIGILANCIA'!AX112),"",'RESUMEN VIGILANCIA'!AX112)</f>
        <v/>
      </c>
      <c r="AZ134" s="380" t="str">
        <f>IF(ISBLANK('RESUMEN VIGILANCIA'!AY112),"",'RESUMEN VIGILANCIA'!AY112)</f>
        <v/>
      </c>
      <c r="BA134" s="391" t="str">
        <f>IF(ISBLANK('RESUMEN VIGILANCIA'!AZ112),"",'RESUMEN VIGILANCIA'!AZ112)</f>
        <v/>
      </c>
      <c r="BB134" s="244">
        <f t="shared" si="10"/>
        <v>23799.05</v>
      </c>
      <c r="BC134" s="116"/>
      <c r="BD134" s="116">
        <v>43586</v>
      </c>
    </row>
    <row r="135" spans="1:56" s="29" customFormat="1" ht="20.100000000000001" customHeight="1">
      <c r="A135" s="30" t="str">
        <f>'RESUMEN VIGILANCIA'!A113</f>
        <v>Familia Rodríguez Girón</v>
      </c>
      <c r="B135" s="31" t="str">
        <f>'RESUMEN VIGILANCIA'!B113</f>
        <v>Calle Güigüe Nro. 89-22</v>
      </c>
      <c r="C135" s="429" t="s">
        <v>1316</v>
      </c>
      <c r="D135" s="436" t="s">
        <v>1315</v>
      </c>
      <c r="E135" s="508" t="str">
        <f>IF(ISBLANK('RESUMEN VIGILANCIA'!D113),"",'RESUMEN VIGILANCIA'!D113)</f>
        <v/>
      </c>
      <c r="F135" s="509" t="str">
        <f>IF(ISBLANK('RESUMEN VIGILANCIA'!E113),"",'RESUMEN VIGILANCIA'!E113)</f>
        <v/>
      </c>
      <c r="G135" s="499" t="str">
        <f>IF(ISBLANK('RESUMEN VIGILANCIA'!F113),"",'RESUMEN VIGILANCIA'!F113)</f>
        <v/>
      </c>
      <c r="H135" s="499" t="str">
        <f>IF(ISBLANK('RESUMEN VIGILANCIA'!G113),"",'RESUMEN VIGILANCIA'!G113)</f>
        <v/>
      </c>
      <c r="I135" s="499" t="str">
        <f>IF(ISBLANK('RESUMEN VIGILANCIA'!H113),"",'RESUMEN VIGILANCIA'!H113)</f>
        <v/>
      </c>
      <c r="J135" s="499" t="str">
        <f>IF(ISBLANK('RESUMEN VIGILANCIA'!I113),"",'RESUMEN VIGILANCIA'!I113)</f>
        <v/>
      </c>
      <c r="K135" s="499" t="str">
        <f>IF(ISBLANK('RESUMEN VIGILANCIA'!J113),"",'RESUMEN VIGILANCIA'!J113)</f>
        <v/>
      </c>
      <c r="L135" s="499" t="str">
        <f>IF(ISBLANK('RESUMEN VIGILANCIA'!K113),"",'RESUMEN VIGILANCIA'!K113)</f>
        <v/>
      </c>
      <c r="M135" s="499" t="str">
        <f>IF(ISBLANK('RESUMEN VIGILANCIA'!L113),"",'RESUMEN VIGILANCIA'!L113)</f>
        <v/>
      </c>
      <c r="N135" s="499" t="str">
        <f>IF(ISBLANK('RESUMEN VIGILANCIA'!M113),"",'RESUMEN VIGILANCIA'!M113)</f>
        <v/>
      </c>
      <c r="O135" s="499" t="str">
        <f>IF(ISBLANK('RESUMEN VIGILANCIA'!N113),"",'RESUMEN VIGILANCIA'!N113)</f>
        <v/>
      </c>
      <c r="P135" s="505" t="str">
        <f>IF(ISBLANK('RESUMEN VIGILANCIA'!O113),"",'RESUMEN VIGILANCIA'!O113)</f>
        <v/>
      </c>
      <c r="Q135" s="497" t="str">
        <f>IF(ISBLANK('RESUMEN VIGILANCIA'!P113),"",'RESUMEN VIGILANCIA'!P113)</f>
        <v/>
      </c>
      <c r="R135" s="504" t="str">
        <f>IF(ISBLANK('RESUMEN VIGILANCIA'!Q113),"",'RESUMEN VIGILANCIA'!Q113)</f>
        <v/>
      </c>
      <c r="S135" s="505" t="str">
        <f>IF(ISBLANK('RESUMEN VIGILANCIA'!R113),"",'RESUMEN VIGILANCIA'!R113)</f>
        <v/>
      </c>
      <c r="T135" s="505" t="str">
        <f>IF(ISBLANK('RESUMEN VIGILANCIA'!S113),"",'RESUMEN VIGILANCIA'!S113)</f>
        <v/>
      </c>
      <c r="U135" s="505" t="str">
        <f>IF(ISBLANK('RESUMEN VIGILANCIA'!T113),"",'RESUMEN VIGILANCIA'!T113)</f>
        <v/>
      </c>
      <c r="V135" s="505" t="str">
        <f>IF(ISBLANK('RESUMEN VIGILANCIA'!U113),"",'RESUMEN VIGILANCIA'!U113)</f>
        <v/>
      </c>
      <c r="W135" s="505" t="str">
        <f>IF(ISBLANK('RESUMEN VIGILANCIA'!V113),"",'RESUMEN VIGILANCIA'!V113)</f>
        <v/>
      </c>
      <c r="X135" s="505" t="str">
        <f>IF(ISBLANK('RESUMEN VIGILANCIA'!W113),"",'RESUMEN VIGILANCIA'!W113)</f>
        <v/>
      </c>
      <c r="Y135" s="505" t="str">
        <f>IF(ISBLANK('RESUMEN VIGILANCIA'!X113),"",'RESUMEN VIGILANCIA'!X113)</f>
        <v/>
      </c>
      <c r="Z135" s="506" t="str">
        <f>IF(ISBLANK('RESUMEN VIGILANCIA'!Y113),"",'RESUMEN VIGILANCIA'!Y113)</f>
        <v/>
      </c>
      <c r="AA135" s="506" t="str">
        <f>IF(ISBLANK('RESUMEN VIGILANCIA'!Z113),"",'RESUMEN VIGILANCIA'!Z113)</f>
        <v/>
      </c>
      <c r="AB135" s="506" t="str">
        <f>IF(ISBLANK('RESUMEN VIGILANCIA'!AA113),"",'RESUMEN VIGILANCIA'!AA113)</f>
        <v/>
      </c>
      <c r="AC135" s="507" t="str">
        <f>IF(ISBLANK('RESUMEN VIGILANCIA'!AB113),"",'RESUMEN VIGILANCIA'!AB113)</f>
        <v/>
      </c>
      <c r="AD135" s="502" t="str">
        <f>IF(ISBLANK('RESUMEN VIGILANCIA'!AC113),"",'RESUMEN VIGILANCIA'!AC113)</f>
        <v/>
      </c>
      <c r="AE135" s="503" t="str">
        <f>IF(ISBLANK('RESUMEN VIGILANCIA'!AD113),"",'RESUMEN VIGILANCIA'!AD113)</f>
        <v/>
      </c>
      <c r="AF135" s="503" t="str">
        <f>IF(ISBLANK('RESUMEN VIGILANCIA'!AE113),"",'RESUMEN VIGILANCIA'!AE113)</f>
        <v/>
      </c>
      <c r="AG135" s="503" t="str">
        <f>IF(ISBLANK('RESUMEN VIGILANCIA'!AF113),"",'RESUMEN VIGILANCIA'!AF113)</f>
        <v/>
      </c>
      <c r="AH135" s="503" t="str">
        <f>IF(ISBLANK('RESUMEN VIGILANCIA'!AG113),"",'RESUMEN VIGILANCIA'!AG113)</f>
        <v/>
      </c>
      <c r="AI135" s="377">
        <f>IF(ISBLANK('RESUMEN VIGILANCIA'!AH113),"",'RESUMEN VIGILANCIA'!AH113)</f>
        <v>8000</v>
      </c>
      <c r="AJ135" s="377">
        <f>IF(ISBLANK('RESUMEN VIGILANCIA'!AI113),"",'RESUMEN VIGILANCIA'!AI113)</f>
        <v>10000</v>
      </c>
      <c r="AK135" s="377">
        <f>IF(ISBLANK('RESUMEN VIGILANCIA'!AJ113),"",'RESUMEN VIGILANCIA'!AJ113)</f>
        <v>10000</v>
      </c>
      <c r="AL135" s="377">
        <f>IF(ISBLANK('RESUMEN VIGILANCIA'!AK113),"",'RESUMEN VIGILANCIA'!AK113)</f>
        <v>21100</v>
      </c>
      <c r="AM135" s="377">
        <f>IF(ISBLANK('RESUMEN VIGILANCIA'!AL113),"",'RESUMEN VIGILANCIA'!AL113)</f>
        <v>48600</v>
      </c>
      <c r="AN135" s="377">
        <f>IF(ISBLANK('RESUMEN VIGILANCIA'!AM113),"",'RESUMEN VIGILANCIA'!AM113)</f>
        <v>60000</v>
      </c>
      <c r="AO135" s="378">
        <f>IF(ISBLANK('RESUMEN VIGILANCIA'!AN113),"",'RESUMEN VIGILANCIA'!AN113)</f>
        <v>81750</v>
      </c>
      <c r="AP135" s="376">
        <f>IF(ISBLANK('RESUMEN VIGILANCIA'!AO113),"",'RESUMEN VIGILANCIA'!AO113)</f>
        <v>136250</v>
      </c>
      <c r="AQ135" s="377">
        <f>IF(ISBLANK('RESUMEN VIGILANCIA'!AP113),"",'RESUMEN VIGILANCIA'!AP113)</f>
        <v>136250</v>
      </c>
      <c r="AR135" s="377">
        <f>IF(ISBLANK('RESUMEN VIGILANCIA'!AQ113),"",'RESUMEN VIGILANCIA'!AQ113)</f>
        <v>185250</v>
      </c>
      <c r="AS135" s="377">
        <f>IF(ISBLANK('RESUMEN VIGILANCIA'!AR113),"",'RESUMEN VIGILANCIA'!AR113)</f>
        <v>186250</v>
      </c>
      <c r="AT135" s="377">
        <f>IF(ISBLANK('RESUMEN VIGILANCIA'!AS113),"",'RESUMEN VIGILANCIA'!AS113)</f>
        <v>250000</v>
      </c>
      <c r="AU135" s="377" t="str">
        <f>IF(ISBLANK('RESUMEN VIGILANCIA'!AT113),"",'RESUMEN VIGILANCIA'!AT113)</f>
        <v/>
      </c>
      <c r="AV135" s="377" t="str">
        <f>IF(ISBLANK('RESUMEN VIGILANCIA'!AU113),"",'RESUMEN VIGILANCIA'!AU113)</f>
        <v/>
      </c>
      <c r="AW135" s="377" t="str">
        <f>IF(ISBLANK('RESUMEN VIGILANCIA'!AV113),"",'RESUMEN VIGILANCIA'!AV113)</f>
        <v/>
      </c>
      <c r="AX135" s="377" t="str">
        <f>IF(ISBLANK('RESUMEN VIGILANCIA'!AW113),"",'RESUMEN VIGILANCIA'!AW113)</f>
        <v/>
      </c>
      <c r="AY135" s="377" t="str">
        <f>IF(ISBLANK('RESUMEN VIGILANCIA'!AX113),"",'RESUMEN VIGILANCIA'!AX113)</f>
        <v/>
      </c>
      <c r="AZ135" s="377" t="str">
        <f>IF(ISBLANK('RESUMEN VIGILANCIA'!AY113),"",'RESUMEN VIGILANCIA'!AY113)</f>
        <v/>
      </c>
      <c r="BA135" s="378" t="str">
        <f>IF(ISBLANK('RESUMEN VIGILANCIA'!AZ113),"",'RESUMEN VIGILANCIA'!AZ113)</f>
        <v/>
      </c>
      <c r="BB135" s="242">
        <f t="shared" ref="BB135" si="13">SUM(E135:AO135)</f>
        <v>239450</v>
      </c>
      <c r="BC135" s="112">
        <v>43617</v>
      </c>
      <c r="BD135" s="112"/>
    </row>
    <row r="136" spans="1:56" s="29" customFormat="1" ht="20.100000000000001" customHeight="1">
      <c r="A136" s="30" t="str">
        <f>'RESUMEN VIGILANCIA'!A79</f>
        <v>Familia Costermani Terrer</v>
      </c>
      <c r="B136" s="31" t="str">
        <f>'RESUMEN VIGILANCIA'!B79</f>
        <v>Calle Güigüe Nro. 88-11</v>
      </c>
      <c r="C136" s="429" t="s">
        <v>1316</v>
      </c>
      <c r="D136" s="436" t="s">
        <v>17</v>
      </c>
      <c r="E136" s="417" t="str">
        <f>IF(ISBLANK('RESUMEN VIGILANCIA'!D79),"",'RESUMEN VIGILANCIA'!D79)</f>
        <v/>
      </c>
      <c r="F136" s="269" t="str">
        <f>IF(ISBLANK('RESUMEN VIGILANCIA'!E79),"",'RESUMEN VIGILANCIA'!E79)</f>
        <v/>
      </c>
      <c r="G136" s="181" t="str">
        <f>IF(ISBLANK('RESUMEN VIGILANCIA'!F79),"",'RESUMEN VIGILANCIA'!F79)</f>
        <v/>
      </c>
      <c r="H136" s="181" t="str">
        <f>IF(ISBLANK('RESUMEN VIGILANCIA'!G79),"",'RESUMEN VIGILANCIA'!G79)</f>
        <v/>
      </c>
      <c r="I136" s="181" t="str">
        <f>IF(ISBLANK('RESUMEN VIGILANCIA'!H79),"",'RESUMEN VIGILANCIA'!H79)</f>
        <v/>
      </c>
      <c r="J136" s="181" t="str">
        <f>IF(ISBLANK('RESUMEN VIGILANCIA'!I79),"",'RESUMEN VIGILANCIA'!I79)</f>
        <v/>
      </c>
      <c r="K136" s="181" t="str">
        <f>IF(ISBLANK('RESUMEN VIGILANCIA'!J79),"",'RESUMEN VIGILANCIA'!J79)</f>
        <v/>
      </c>
      <c r="L136" s="181" t="str">
        <f>IF(ISBLANK('RESUMEN VIGILANCIA'!K79),"",'RESUMEN VIGILANCIA'!K79)</f>
        <v/>
      </c>
      <c r="M136" s="181" t="str">
        <f>IF(ISBLANK('RESUMEN VIGILANCIA'!L79),"",'RESUMEN VIGILANCIA'!L79)</f>
        <v/>
      </c>
      <c r="N136" s="181" t="str">
        <f>IF(ISBLANK('RESUMEN VIGILANCIA'!M79),"",'RESUMEN VIGILANCIA'!M79)</f>
        <v/>
      </c>
      <c r="O136" s="181" t="str">
        <f>IF(ISBLANK('RESUMEN VIGILANCIA'!N79),"",'RESUMEN VIGILANCIA'!N79)</f>
        <v/>
      </c>
      <c r="P136" s="270" t="str">
        <f>IF(ISBLANK('RESUMEN VIGILANCIA'!O79),"",'RESUMEN VIGILANCIA'!O79)</f>
        <v/>
      </c>
      <c r="Q136" s="179" t="str">
        <f>IF(ISBLANK('RESUMEN VIGILANCIA'!P79),"",'RESUMEN VIGILANCIA'!P79)</f>
        <v/>
      </c>
      <c r="R136" s="271" t="str">
        <f>IF(ISBLANK('RESUMEN VIGILANCIA'!Q79),"",'RESUMEN VIGILANCIA'!Q79)</f>
        <v/>
      </c>
      <c r="S136" s="270">
        <f>IF(ISBLANK('RESUMEN VIGILANCIA'!R79),"",'RESUMEN VIGILANCIA'!R79)</f>
        <v>0.8</v>
      </c>
      <c r="T136" s="270">
        <f>IF(ISBLANK('RESUMEN VIGILANCIA'!S79),"",'RESUMEN VIGILANCIA'!S79)</f>
        <v>1.4</v>
      </c>
      <c r="U136" s="270">
        <f>IF(ISBLANK('RESUMEN VIGILANCIA'!T79),"",'RESUMEN VIGILANCIA'!T79)</f>
        <v>1.4</v>
      </c>
      <c r="V136" s="270">
        <f>IF(ISBLANK('RESUMEN VIGILANCIA'!U79),"",'RESUMEN VIGILANCIA'!U79)</f>
        <v>4</v>
      </c>
      <c r="W136" s="270">
        <f>IF(ISBLANK('RESUMEN VIGILANCIA'!V79),"",'RESUMEN VIGILANCIA'!V79)</f>
        <v>6.5</v>
      </c>
      <c r="X136" s="270">
        <f>IF(ISBLANK('RESUMEN VIGILANCIA'!W79),"",'RESUMEN VIGILANCIA'!W79)</f>
        <v>10</v>
      </c>
      <c r="Y136" s="270">
        <f>IF(ISBLANK('RESUMEN VIGILANCIA'!X79),"",'RESUMEN VIGILANCIA'!X79)</f>
        <v>12</v>
      </c>
      <c r="Z136" s="455">
        <f>IF(ISBLANK('RESUMEN VIGILANCIA'!Y79),"",'RESUMEN VIGILANCIA'!Y79)</f>
        <v>320</v>
      </c>
      <c r="AA136" s="455">
        <f>IF(ISBLANK('RESUMEN VIGILANCIA'!Z79),"",'RESUMEN VIGILANCIA'!Z79)</f>
        <v>320</v>
      </c>
      <c r="AB136" s="455">
        <f>IF(ISBLANK('RESUMEN VIGILANCIA'!AA79),"",'RESUMEN VIGILANCIA'!AA79)</f>
        <v>320</v>
      </c>
      <c r="AC136" s="456">
        <f>IF(ISBLANK('RESUMEN VIGILANCIA'!AB79),"",'RESUMEN VIGILANCIA'!AB79)</f>
        <v>800</v>
      </c>
      <c r="AD136" s="376">
        <f>IF(ISBLANK('RESUMEN VIGILANCIA'!AC79),"",'RESUMEN VIGILANCIA'!AC79)</f>
        <v>3000</v>
      </c>
      <c r="AE136" s="377">
        <f>IF(ISBLANK('RESUMEN VIGILANCIA'!AD79),"",'RESUMEN VIGILANCIA'!AD79)</f>
        <v>3000</v>
      </c>
      <c r="AF136" s="377">
        <f>IF(ISBLANK('RESUMEN VIGILANCIA'!AE79),"",'RESUMEN VIGILANCIA'!AE79)</f>
        <v>3000</v>
      </c>
      <c r="AG136" s="377">
        <f>IF(ISBLANK('RESUMEN VIGILANCIA'!AF79),"",'RESUMEN VIGILANCIA'!AF79)</f>
        <v>5000</v>
      </c>
      <c r="AH136" s="377">
        <f>IF(ISBLANK('RESUMEN VIGILANCIA'!AG79),"",'RESUMEN VIGILANCIA'!AG79)</f>
        <v>8000</v>
      </c>
      <c r="AI136" s="377">
        <f>IF(ISBLANK('RESUMEN VIGILANCIA'!AH79),"",'RESUMEN VIGILANCIA'!AH79)</f>
        <v>8000</v>
      </c>
      <c r="AJ136" s="377">
        <f>IF(ISBLANK('RESUMEN VIGILANCIA'!AI79),"",'RESUMEN VIGILANCIA'!AI79)</f>
        <v>10000</v>
      </c>
      <c r="AK136" s="377">
        <f>IF(ISBLANK('RESUMEN VIGILANCIA'!AJ79),"",'RESUMEN VIGILANCIA'!AJ79)</f>
        <v>10000</v>
      </c>
      <c r="AL136" s="377">
        <f>IF(ISBLANK('RESUMEN VIGILANCIA'!AK79),"",'RESUMEN VIGILANCIA'!AK79)</f>
        <v>20500</v>
      </c>
      <c r="AM136" s="377">
        <f>IF(ISBLANK('RESUMEN VIGILANCIA'!AL79),"",'RESUMEN VIGILANCIA'!AL79)</f>
        <v>51250</v>
      </c>
      <c r="AN136" s="377">
        <f>IF(ISBLANK('RESUMEN VIGILANCIA'!AM79),"",'RESUMEN VIGILANCIA'!AM79)</f>
        <v>64500</v>
      </c>
      <c r="AO136" s="378">
        <f>IF(ISBLANK('RESUMEN VIGILANCIA'!AN79),"",'RESUMEN VIGILANCIA'!AN79)</f>
        <v>105250</v>
      </c>
      <c r="AP136" s="376">
        <f>IF(ISBLANK('RESUMEN VIGILANCIA'!AO79),"",'RESUMEN VIGILANCIA'!AO79)</f>
        <v>136250</v>
      </c>
      <c r="AQ136" s="377">
        <f>IF(ISBLANK('RESUMEN VIGILANCIA'!AP79),"",'RESUMEN VIGILANCIA'!AP79)</f>
        <v>136250</v>
      </c>
      <c r="AR136" s="377">
        <f>IF(ISBLANK('RESUMEN VIGILANCIA'!AQ79),"",'RESUMEN VIGILANCIA'!AQ79)</f>
        <v>185250</v>
      </c>
      <c r="AS136" s="377">
        <f>IF(ISBLANK('RESUMEN VIGILANCIA'!AR79),"",'RESUMEN VIGILANCIA'!AR79)</f>
        <v>185250</v>
      </c>
      <c r="AT136" s="377">
        <f>IF(ISBLANK('RESUMEN VIGILANCIA'!AS79),"",'RESUMEN VIGILANCIA'!AS79)</f>
        <v>250000</v>
      </c>
      <c r="AU136" s="377" t="str">
        <f>IF(ISBLANK('RESUMEN VIGILANCIA'!AT79),"",'RESUMEN VIGILANCIA'!AT79)</f>
        <v/>
      </c>
      <c r="AV136" s="377" t="str">
        <f>IF(ISBLANK('RESUMEN VIGILANCIA'!AU79),"",'RESUMEN VIGILANCIA'!AU79)</f>
        <v/>
      </c>
      <c r="AW136" s="377" t="str">
        <f>IF(ISBLANK('RESUMEN VIGILANCIA'!AV79),"",'RESUMEN VIGILANCIA'!AV79)</f>
        <v/>
      </c>
      <c r="AX136" s="377" t="str">
        <f>IF(ISBLANK('RESUMEN VIGILANCIA'!AW79),"",'RESUMEN VIGILANCIA'!AW79)</f>
        <v/>
      </c>
      <c r="AY136" s="377" t="str">
        <f>IF(ISBLANK('RESUMEN VIGILANCIA'!AX79),"",'RESUMEN VIGILANCIA'!AX79)</f>
        <v/>
      </c>
      <c r="AZ136" s="377" t="str">
        <f>IF(ISBLANK('RESUMEN VIGILANCIA'!AY79),"",'RESUMEN VIGILANCIA'!AY79)</f>
        <v/>
      </c>
      <c r="BA136" s="378" t="str">
        <f>IF(ISBLANK('RESUMEN VIGILANCIA'!AZ79),"",'RESUMEN VIGILANCIA'!AZ79)</f>
        <v/>
      </c>
      <c r="BB136" s="242">
        <f t="shared" si="10"/>
        <v>293296.09999999998</v>
      </c>
      <c r="BC136" s="112"/>
      <c r="BD136" s="112"/>
    </row>
    <row r="137" spans="1:56" s="29" customFormat="1" ht="20.100000000000001" customHeight="1">
      <c r="A137" s="30" t="str">
        <f>'RESUMEN VIGILANCIA'!A136</f>
        <v>Familia Ochoa Mendoza</v>
      </c>
      <c r="B137" s="31" t="str">
        <f>'RESUMEN VIGILANCIA'!B136</f>
        <v>Calle Güigüe Nro. 89-105</v>
      </c>
      <c r="C137" s="429" t="s">
        <v>1316</v>
      </c>
      <c r="D137" s="436" t="s">
        <v>17</v>
      </c>
      <c r="E137" s="417" t="str">
        <f>IF(ISBLANK('RESUMEN VIGILANCIA'!D136),"",'RESUMEN VIGILANCIA'!D136)</f>
        <v/>
      </c>
      <c r="F137" s="269">
        <f>IF(ISBLANK('RESUMEN VIGILANCIA'!E136),"",'RESUMEN VIGILANCIA'!E136)</f>
        <v>0.17</v>
      </c>
      <c r="G137" s="181">
        <f>IF(ISBLANK('RESUMEN VIGILANCIA'!F136),"",'RESUMEN VIGILANCIA'!F136)</f>
        <v>0.17</v>
      </c>
      <c r="H137" s="181">
        <f>IF(ISBLANK('RESUMEN VIGILANCIA'!G136),"",'RESUMEN VIGILANCIA'!G136)</f>
        <v>0.17</v>
      </c>
      <c r="I137" s="181">
        <f>IF(ISBLANK('RESUMEN VIGILANCIA'!H136),"",'RESUMEN VIGILANCIA'!H136)</f>
        <v>0.17</v>
      </c>
      <c r="J137" s="181">
        <f>IF(ISBLANK('RESUMEN VIGILANCIA'!I136),"",'RESUMEN VIGILANCIA'!I136)</f>
        <v>0.26</v>
      </c>
      <c r="K137" s="181">
        <f>IF(ISBLANK('RESUMEN VIGILANCIA'!J136),"",'RESUMEN VIGILANCIA'!J136)</f>
        <v>0.26</v>
      </c>
      <c r="L137" s="181">
        <f>IF(ISBLANK('RESUMEN VIGILANCIA'!K136),"",'RESUMEN VIGILANCIA'!K136)</f>
        <v>0.35</v>
      </c>
      <c r="M137" s="181">
        <f>IF(ISBLANK('RESUMEN VIGILANCIA'!L136),"",'RESUMEN VIGILANCIA'!L136)</f>
        <v>0.35</v>
      </c>
      <c r="N137" s="181">
        <f>IF(ISBLANK('RESUMEN VIGILANCIA'!M136),"",'RESUMEN VIGILANCIA'!M136)</f>
        <v>0.35</v>
      </c>
      <c r="O137" s="181">
        <f>IF(ISBLANK('RESUMEN VIGILANCIA'!N136),"",'RESUMEN VIGILANCIA'!N136)</f>
        <v>0.35</v>
      </c>
      <c r="P137" s="270">
        <f>IF(ISBLANK('RESUMEN VIGILANCIA'!O136),"",'RESUMEN VIGILANCIA'!O136)</f>
        <v>0.5</v>
      </c>
      <c r="Q137" s="179">
        <f>IF(ISBLANK('RESUMEN VIGILANCIA'!P136),"",'RESUMEN VIGILANCIA'!P136)</f>
        <v>0.5</v>
      </c>
      <c r="R137" s="271">
        <f>IF(ISBLANK('RESUMEN VIGILANCIA'!Q136),"",'RESUMEN VIGILANCIA'!Q136)</f>
        <v>0.8</v>
      </c>
      <c r="S137" s="270">
        <f>IF(ISBLANK('RESUMEN VIGILANCIA'!R136),"",'RESUMEN VIGILANCIA'!R136)</f>
        <v>0.8</v>
      </c>
      <c r="T137" s="270">
        <f>IF(ISBLANK('RESUMEN VIGILANCIA'!S136),"",'RESUMEN VIGILANCIA'!S136)</f>
        <v>1.4</v>
      </c>
      <c r="U137" s="270">
        <f>IF(ISBLANK('RESUMEN VIGILANCIA'!T136),"",'RESUMEN VIGILANCIA'!T136)</f>
        <v>1.5</v>
      </c>
      <c r="V137" s="270">
        <f>IF(ISBLANK('RESUMEN VIGILANCIA'!U136),"",'RESUMEN VIGILANCIA'!U136)</f>
        <v>4</v>
      </c>
      <c r="W137" s="270">
        <f>IF(ISBLANK('RESUMEN VIGILANCIA'!V136),"",'RESUMEN VIGILANCIA'!V136)</f>
        <v>6.25</v>
      </c>
      <c r="X137" s="270">
        <f>IF(ISBLANK('RESUMEN VIGILANCIA'!W136),"",'RESUMEN VIGILANCIA'!W136)</f>
        <v>10</v>
      </c>
      <c r="Y137" s="270">
        <f>IF(ISBLANK('RESUMEN VIGILANCIA'!X136),"",'RESUMEN VIGILANCIA'!X136)</f>
        <v>11.25</v>
      </c>
      <c r="Z137" s="455">
        <f>IF(ISBLANK('RESUMEN VIGILANCIA'!Y136),"",'RESUMEN VIGILANCIA'!Y136)</f>
        <v>320</v>
      </c>
      <c r="AA137" s="455">
        <f>IF(ISBLANK('RESUMEN VIGILANCIA'!Z136),"",'RESUMEN VIGILANCIA'!Z136)</f>
        <v>320</v>
      </c>
      <c r="AB137" s="455">
        <f>IF(ISBLANK('RESUMEN VIGILANCIA'!AA136),"",'RESUMEN VIGILANCIA'!AA136)</f>
        <v>350</v>
      </c>
      <c r="AC137" s="456">
        <f>IF(ISBLANK('RESUMEN VIGILANCIA'!AB136),"",'RESUMEN VIGILANCIA'!AB136)</f>
        <v>800</v>
      </c>
      <c r="AD137" s="376">
        <f>IF(ISBLANK('RESUMEN VIGILANCIA'!AC136),"",'RESUMEN VIGILANCIA'!AC136)</f>
        <v>3000</v>
      </c>
      <c r="AE137" s="377">
        <f>IF(ISBLANK('RESUMEN VIGILANCIA'!AD136),"",'RESUMEN VIGILANCIA'!AD136)</f>
        <v>3000</v>
      </c>
      <c r="AF137" s="377">
        <f>IF(ISBLANK('RESUMEN VIGILANCIA'!AE136),"",'RESUMEN VIGILANCIA'!AE136)</f>
        <v>3000</v>
      </c>
      <c r="AG137" s="377">
        <f>IF(ISBLANK('RESUMEN VIGILANCIA'!AF136),"",'RESUMEN VIGILANCIA'!AF136)</f>
        <v>5000</v>
      </c>
      <c r="AH137" s="377">
        <f>IF(ISBLANK('RESUMEN VIGILANCIA'!AG136),"",'RESUMEN VIGILANCIA'!AG136)</f>
        <v>8000</v>
      </c>
      <c r="AI137" s="377">
        <f>IF(ISBLANK('RESUMEN VIGILANCIA'!AH136),"",'RESUMEN VIGILANCIA'!AH136)</f>
        <v>8000</v>
      </c>
      <c r="AJ137" s="377">
        <f>IF(ISBLANK('RESUMEN VIGILANCIA'!AI136),"",'RESUMEN VIGILANCIA'!AI136)</f>
        <v>10000</v>
      </c>
      <c r="AK137" s="377">
        <f>IF(ISBLANK('RESUMEN VIGILANCIA'!AJ136),"",'RESUMEN VIGILANCIA'!AJ136)</f>
        <v>10000</v>
      </c>
      <c r="AL137" s="377">
        <f>IF(ISBLANK('RESUMEN VIGILANCIA'!AK136),"",'RESUMEN VIGILANCIA'!AK136)</f>
        <v>20500</v>
      </c>
      <c r="AM137" s="377">
        <f>IF(ISBLANK('RESUMEN VIGILANCIA'!AL136),"",'RESUMEN VIGILANCIA'!AL136)</f>
        <v>47000</v>
      </c>
      <c r="AN137" s="377">
        <f>IF(ISBLANK('RESUMEN VIGILANCIA'!AM136),"",'RESUMEN VIGILANCIA'!AM136)</f>
        <v>56250</v>
      </c>
      <c r="AO137" s="378">
        <f>IF(ISBLANK('RESUMEN VIGILANCIA'!AN136),"",'RESUMEN VIGILANCIA'!AN136)</f>
        <v>81750</v>
      </c>
      <c r="AP137" s="376">
        <f>IF(ISBLANK('RESUMEN VIGILANCIA'!AO136),"",'RESUMEN VIGILANCIA'!AO136)</f>
        <v>136250</v>
      </c>
      <c r="AQ137" s="377">
        <f>IF(ISBLANK('RESUMEN VIGILANCIA'!AP136),"",'RESUMEN VIGILANCIA'!AP136)</f>
        <v>136250</v>
      </c>
      <c r="AR137" s="377">
        <f>IF(ISBLANK('RESUMEN VIGILANCIA'!AQ136),"",'RESUMEN VIGILANCIA'!AQ136)</f>
        <v>185250</v>
      </c>
      <c r="AS137" s="377">
        <f>IF(ISBLANK('RESUMEN VIGILANCIA'!AR136),"",'RESUMEN VIGILANCIA'!AR136)</f>
        <v>185250</v>
      </c>
      <c r="AT137" s="377">
        <f>IF(ISBLANK('RESUMEN VIGILANCIA'!AS136),"",'RESUMEN VIGILANCIA'!AS136)</f>
        <v>250000</v>
      </c>
      <c r="AU137" s="377" t="str">
        <f>IF(ISBLANK('RESUMEN VIGILANCIA'!AT136),"",'RESUMEN VIGILANCIA'!AT136)</f>
        <v/>
      </c>
      <c r="AV137" s="377" t="str">
        <f>IF(ISBLANK('RESUMEN VIGILANCIA'!AU136),"",'RESUMEN VIGILANCIA'!AU136)</f>
        <v/>
      </c>
      <c r="AW137" s="377" t="str">
        <f>IF(ISBLANK('RESUMEN VIGILANCIA'!AV136),"",'RESUMEN VIGILANCIA'!AV136)</f>
        <v/>
      </c>
      <c r="AX137" s="377" t="str">
        <f>IF(ISBLANK('RESUMEN VIGILANCIA'!AW136),"",'RESUMEN VIGILANCIA'!AW136)</f>
        <v/>
      </c>
      <c r="AY137" s="377" t="str">
        <f>IF(ISBLANK('RESUMEN VIGILANCIA'!AX136),"",'RESUMEN VIGILANCIA'!AX136)</f>
        <v/>
      </c>
      <c r="AZ137" s="377" t="str">
        <f>IF(ISBLANK('RESUMEN VIGILANCIA'!AY136),"",'RESUMEN VIGILANCIA'!AY136)</f>
        <v/>
      </c>
      <c r="BA137" s="378" t="str">
        <f>IF(ISBLANK('RESUMEN VIGILANCIA'!AZ136),"",'RESUMEN VIGILANCIA'!AZ136)</f>
        <v/>
      </c>
      <c r="BB137" s="242">
        <f t="shared" si="10"/>
        <v>257329.6</v>
      </c>
      <c r="BC137" s="112"/>
      <c r="BD137" s="112"/>
    </row>
    <row r="138" spans="1:56" s="29" customFormat="1" ht="20.100000000000001" customHeight="1">
      <c r="A138" s="59" t="str">
        <f>'RESUMEN VIGILANCIA'!A129</f>
        <v>Familia Amirante</v>
      </c>
      <c r="B138" s="60" t="str">
        <f>'RESUMEN VIGILANCIA'!B129</f>
        <v>Calle Güigüe Nro. 89-89</v>
      </c>
      <c r="C138" s="429"/>
      <c r="D138" s="436" t="s">
        <v>1315</v>
      </c>
      <c r="E138" s="417" t="str">
        <f>IF(ISBLANK('RESUMEN VIGILANCIA'!D129),"",'RESUMEN VIGILANCIA'!D129)</f>
        <v/>
      </c>
      <c r="F138" s="269" t="str">
        <f>IF(ISBLANK('RESUMEN VIGILANCIA'!E129),"",'RESUMEN VIGILANCIA'!E129)</f>
        <v/>
      </c>
      <c r="G138" s="181" t="str">
        <f>IF(ISBLANK('RESUMEN VIGILANCIA'!F129),"",'RESUMEN VIGILANCIA'!F129)</f>
        <v/>
      </c>
      <c r="H138" s="181" t="str">
        <f>IF(ISBLANK('RESUMEN VIGILANCIA'!G129),"",'RESUMEN VIGILANCIA'!G129)</f>
        <v/>
      </c>
      <c r="I138" s="181" t="str">
        <f>IF(ISBLANK('RESUMEN VIGILANCIA'!H129),"",'RESUMEN VIGILANCIA'!H129)</f>
        <v/>
      </c>
      <c r="J138" s="181" t="str">
        <f>IF(ISBLANK('RESUMEN VIGILANCIA'!I129),"",'RESUMEN VIGILANCIA'!I129)</f>
        <v/>
      </c>
      <c r="K138" s="181" t="str">
        <f>IF(ISBLANK('RESUMEN VIGILANCIA'!J129),"",'RESUMEN VIGILANCIA'!J129)</f>
        <v/>
      </c>
      <c r="L138" s="181" t="str">
        <f>IF(ISBLANK('RESUMEN VIGILANCIA'!K129),"",'RESUMEN VIGILANCIA'!K129)</f>
        <v/>
      </c>
      <c r="M138" s="181" t="str">
        <f>IF(ISBLANK('RESUMEN VIGILANCIA'!L129),"",'RESUMEN VIGILANCIA'!L129)</f>
        <v/>
      </c>
      <c r="N138" s="181" t="str">
        <f>IF(ISBLANK('RESUMEN VIGILANCIA'!M129),"",'RESUMEN VIGILANCIA'!M129)</f>
        <v/>
      </c>
      <c r="O138" s="181" t="str">
        <f>IF(ISBLANK('RESUMEN VIGILANCIA'!N129),"",'RESUMEN VIGILANCIA'!N129)</f>
        <v/>
      </c>
      <c r="P138" s="270" t="str">
        <f>IF(ISBLANK('RESUMEN VIGILANCIA'!O129),"",'RESUMEN VIGILANCIA'!O129)</f>
        <v/>
      </c>
      <c r="Q138" s="179" t="str">
        <f>IF(ISBLANK('RESUMEN VIGILANCIA'!P129),"",'RESUMEN VIGILANCIA'!P129)</f>
        <v/>
      </c>
      <c r="R138" s="271" t="str">
        <f>IF(ISBLANK('RESUMEN VIGILANCIA'!Q129),"",'RESUMEN VIGILANCIA'!Q129)</f>
        <v/>
      </c>
      <c r="S138" s="270" t="str">
        <f>IF(ISBLANK('RESUMEN VIGILANCIA'!R129),"",'RESUMEN VIGILANCIA'!R129)</f>
        <v/>
      </c>
      <c r="T138" s="270" t="str">
        <f>IF(ISBLANK('RESUMEN VIGILANCIA'!S129),"",'RESUMEN VIGILANCIA'!S129)</f>
        <v/>
      </c>
      <c r="U138" s="274" t="str">
        <f>IF(ISBLANK('RESUMEN VIGILANCIA'!T129),"",'RESUMEN VIGILANCIA'!T129)</f>
        <v>VENDIDA</v>
      </c>
      <c r="V138" s="281" t="str">
        <f>IF(ISBLANK('RESUMEN VIGILANCIA'!U129),"",'RESUMEN VIGILANCIA'!U129)</f>
        <v/>
      </c>
      <c r="W138" s="281" t="str">
        <f>IF(ISBLANK('RESUMEN VIGILANCIA'!V129),"",'RESUMEN VIGILANCIA'!V129)</f>
        <v/>
      </c>
      <c r="X138" s="281" t="str">
        <f>IF(ISBLANK('RESUMEN VIGILANCIA'!W129),"",'RESUMEN VIGILANCIA'!W129)</f>
        <v/>
      </c>
      <c r="Y138" s="281" t="str">
        <f>IF(ISBLANK('RESUMEN VIGILANCIA'!X129),"",'RESUMEN VIGILANCIA'!X129)</f>
        <v/>
      </c>
      <c r="Z138" s="464" t="str">
        <f>IF(ISBLANK('RESUMEN VIGILANCIA'!Y129),"",'RESUMEN VIGILANCIA'!Y129)</f>
        <v/>
      </c>
      <c r="AA138" s="464" t="str">
        <f>IF(ISBLANK('RESUMEN VIGILANCIA'!Z129),"",'RESUMEN VIGILANCIA'!Z129)</f>
        <v/>
      </c>
      <c r="AB138" s="464" t="str">
        <f>IF(ISBLANK('RESUMEN VIGILANCIA'!AA129),"",'RESUMEN VIGILANCIA'!AA129)</f>
        <v/>
      </c>
      <c r="AC138" s="465" t="str">
        <f>IF(ISBLANK('RESUMEN VIGILANCIA'!AB129),"",'RESUMEN VIGILANCIA'!AB129)</f>
        <v/>
      </c>
      <c r="AD138" s="390" t="str">
        <f>IF(ISBLANK('RESUMEN VIGILANCIA'!AC129),"",'RESUMEN VIGILANCIA'!AC129)</f>
        <v/>
      </c>
      <c r="AE138" s="380" t="str">
        <f>IF(ISBLANK('RESUMEN VIGILANCIA'!AD129),"",'RESUMEN VIGILANCIA'!AD129)</f>
        <v/>
      </c>
      <c r="AF138" s="380" t="str">
        <f>IF(ISBLANK('RESUMEN VIGILANCIA'!AE129),"",'RESUMEN VIGILANCIA'!AE129)</f>
        <v/>
      </c>
      <c r="AG138" s="380" t="str">
        <f>IF(ISBLANK('RESUMEN VIGILANCIA'!AF129),"",'RESUMEN VIGILANCIA'!AF129)</f>
        <v/>
      </c>
      <c r="AH138" s="380" t="str">
        <f>IF(ISBLANK('RESUMEN VIGILANCIA'!AG129),"",'RESUMEN VIGILANCIA'!AG129)</f>
        <v/>
      </c>
      <c r="AI138" s="380" t="str">
        <f>IF(ISBLANK('RESUMEN VIGILANCIA'!AH129),"",'RESUMEN VIGILANCIA'!AH129)</f>
        <v/>
      </c>
      <c r="AJ138" s="380" t="str">
        <f>IF(ISBLANK('RESUMEN VIGILANCIA'!AI129),"",'RESUMEN VIGILANCIA'!AI129)</f>
        <v/>
      </c>
      <c r="AK138" s="380" t="str">
        <f>IF(ISBLANK('RESUMEN VIGILANCIA'!AJ129),"",'RESUMEN VIGILANCIA'!AJ129)</f>
        <v/>
      </c>
      <c r="AL138" s="380" t="str">
        <f>IF(ISBLANK('RESUMEN VIGILANCIA'!AK129),"",'RESUMEN VIGILANCIA'!AK129)</f>
        <v/>
      </c>
      <c r="AM138" s="380" t="str">
        <f>IF(ISBLANK('RESUMEN VIGILANCIA'!AL129),"",'RESUMEN VIGILANCIA'!AL129)</f>
        <v/>
      </c>
      <c r="AN138" s="380" t="str">
        <f>IF(ISBLANK('RESUMEN VIGILANCIA'!AM129),"",'RESUMEN VIGILANCIA'!AM129)</f>
        <v/>
      </c>
      <c r="AO138" s="391" t="str">
        <f>IF(ISBLANK('RESUMEN VIGILANCIA'!AN129),"",'RESUMEN VIGILANCIA'!AN129)</f>
        <v/>
      </c>
      <c r="AP138" s="390" t="str">
        <f>IF(ISBLANK('RESUMEN VIGILANCIA'!AO129),"",'RESUMEN VIGILANCIA'!AO129)</f>
        <v/>
      </c>
      <c r="AQ138" s="380" t="str">
        <f>IF(ISBLANK('RESUMEN VIGILANCIA'!AP129),"",'RESUMEN VIGILANCIA'!AP129)</f>
        <v/>
      </c>
      <c r="AR138" s="380" t="str">
        <f>IF(ISBLANK('RESUMEN VIGILANCIA'!AQ129),"",'RESUMEN VIGILANCIA'!AQ129)</f>
        <v/>
      </c>
      <c r="AS138" s="380" t="str">
        <f>IF(ISBLANK('RESUMEN VIGILANCIA'!AR129),"",'RESUMEN VIGILANCIA'!AR129)</f>
        <v/>
      </c>
      <c r="AT138" s="380" t="str">
        <f>IF(ISBLANK('RESUMEN VIGILANCIA'!AS129),"",'RESUMEN VIGILANCIA'!AS129)</f>
        <v/>
      </c>
      <c r="AU138" s="380" t="str">
        <f>IF(ISBLANK('RESUMEN VIGILANCIA'!AT129),"",'RESUMEN VIGILANCIA'!AT129)</f>
        <v/>
      </c>
      <c r="AV138" s="380" t="str">
        <f>IF(ISBLANK('RESUMEN VIGILANCIA'!AU129),"",'RESUMEN VIGILANCIA'!AU129)</f>
        <v/>
      </c>
      <c r="AW138" s="380" t="str">
        <f>IF(ISBLANK('RESUMEN VIGILANCIA'!AV129),"",'RESUMEN VIGILANCIA'!AV129)</f>
        <v/>
      </c>
      <c r="AX138" s="380" t="str">
        <f>IF(ISBLANK('RESUMEN VIGILANCIA'!AW129),"",'RESUMEN VIGILANCIA'!AW129)</f>
        <v/>
      </c>
      <c r="AY138" s="380" t="str">
        <f>IF(ISBLANK('RESUMEN VIGILANCIA'!AX129),"",'RESUMEN VIGILANCIA'!AX129)</f>
        <v/>
      </c>
      <c r="AZ138" s="380" t="str">
        <f>IF(ISBLANK('RESUMEN VIGILANCIA'!AY129),"",'RESUMEN VIGILANCIA'!AY129)</f>
        <v/>
      </c>
      <c r="BA138" s="391" t="str">
        <f>IF(ISBLANK('RESUMEN VIGILANCIA'!AZ129),"",'RESUMEN VIGILANCIA'!AZ129)</f>
        <v/>
      </c>
      <c r="BB138" s="244">
        <f t="shared" si="10"/>
        <v>0</v>
      </c>
      <c r="BC138" s="116"/>
      <c r="BD138" s="116">
        <v>43160</v>
      </c>
    </row>
    <row r="139" spans="1:56" s="29" customFormat="1" ht="20.100000000000001" customHeight="1">
      <c r="A139" s="59" t="str">
        <f>'RESUMEN VIGILANCIA'!A130</f>
        <v>Familia Civitico Rueda</v>
      </c>
      <c r="B139" s="60" t="str">
        <f>'RESUMEN VIGILANCIA'!B130</f>
        <v>Calle Güigüe Nro. 89-89</v>
      </c>
      <c r="C139" s="429" t="s">
        <v>1319</v>
      </c>
      <c r="D139" s="436" t="s">
        <v>1315</v>
      </c>
      <c r="E139" s="419" t="str">
        <f>IF(ISBLANK('RESUMEN VIGILANCIA'!D130),"",'RESUMEN VIGILANCIA'!D130)</f>
        <v/>
      </c>
      <c r="F139" s="282" t="str">
        <f>IF(ISBLANK('RESUMEN VIGILANCIA'!E130),"",'RESUMEN VIGILANCIA'!E130)</f>
        <v/>
      </c>
      <c r="G139" s="209" t="str">
        <f>IF(ISBLANK('RESUMEN VIGILANCIA'!F130),"",'RESUMEN VIGILANCIA'!F130)</f>
        <v/>
      </c>
      <c r="H139" s="209" t="str">
        <f>IF(ISBLANK('RESUMEN VIGILANCIA'!G130),"",'RESUMEN VIGILANCIA'!G130)</f>
        <v/>
      </c>
      <c r="I139" s="209" t="str">
        <f>IF(ISBLANK('RESUMEN VIGILANCIA'!H130),"",'RESUMEN VIGILANCIA'!H130)</f>
        <v/>
      </c>
      <c r="J139" s="209" t="str">
        <f>IF(ISBLANK('RESUMEN VIGILANCIA'!I130),"",'RESUMEN VIGILANCIA'!I130)</f>
        <v/>
      </c>
      <c r="K139" s="209" t="str">
        <f>IF(ISBLANK('RESUMEN VIGILANCIA'!J130),"",'RESUMEN VIGILANCIA'!J130)</f>
        <v/>
      </c>
      <c r="L139" s="209" t="str">
        <f>IF(ISBLANK('RESUMEN VIGILANCIA'!K130),"",'RESUMEN VIGILANCIA'!K130)</f>
        <v/>
      </c>
      <c r="M139" s="209" t="str">
        <f>IF(ISBLANK('RESUMEN VIGILANCIA'!L130),"",'RESUMEN VIGILANCIA'!L130)</f>
        <v/>
      </c>
      <c r="N139" s="209" t="str">
        <f>IF(ISBLANK('RESUMEN VIGILANCIA'!M130),"",'RESUMEN VIGILANCIA'!M130)</f>
        <v/>
      </c>
      <c r="O139" s="209" t="str">
        <f>IF(ISBLANK('RESUMEN VIGILANCIA'!N130),"",'RESUMEN VIGILANCIA'!N130)</f>
        <v/>
      </c>
      <c r="P139" s="292" t="str">
        <f>IF(ISBLANK('RESUMEN VIGILANCIA'!O130),"",'RESUMEN VIGILANCIA'!O130)</f>
        <v/>
      </c>
      <c r="Q139" s="207" t="str">
        <f>IF(ISBLANK('RESUMEN VIGILANCIA'!P130),"",'RESUMEN VIGILANCIA'!P130)</f>
        <v/>
      </c>
      <c r="R139" s="293" t="str">
        <f>IF(ISBLANK('RESUMEN VIGILANCIA'!Q130),"",'RESUMEN VIGILANCIA'!Q130)</f>
        <v/>
      </c>
      <c r="S139" s="292" t="str">
        <f>IF(ISBLANK('RESUMEN VIGILANCIA'!R130),"",'RESUMEN VIGILANCIA'!R130)</f>
        <v/>
      </c>
      <c r="T139" s="292" t="str">
        <f>IF(ISBLANK('RESUMEN VIGILANCIA'!S130),"",'RESUMEN VIGILANCIA'!S130)</f>
        <v/>
      </c>
      <c r="U139" s="270">
        <f>IF(ISBLANK('RESUMEN VIGILANCIA'!T130),"",'RESUMEN VIGILANCIA'!T130)</f>
        <v>1.4</v>
      </c>
      <c r="V139" s="270">
        <f>IF(ISBLANK('RESUMEN VIGILANCIA'!U130),"",'RESUMEN VIGILANCIA'!U130)</f>
        <v>4</v>
      </c>
      <c r="W139" s="270">
        <f>IF(ISBLANK('RESUMEN VIGILANCIA'!V130),"",'RESUMEN VIGILANCIA'!V130)</f>
        <v>4</v>
      </c>
      <c r="X139" s="274" t="str">
        <f>IF(ISBLANK('RESUMEN VIGILANCIA'!W130),"",'RESUMEN VIGILANCIA'!W130)</f>
        <v>ALQUILADA</v>
      </c>
      <c r="Y139" s="281" t="str">
        <f>IF(ISBLANK('RESUMEN VIGILANCIA'!X130),"",'RESUMEN VIGILANCIA'!X130)</f>
        <v/>
      </c>
      <c r="Z139" s="464" t="str">
        <f>IF(ISBLANK('RESUMEN VIGILANCIA'!Y130),"",'RESUMEN VIGILANCIA'!Y130)</f>
        <v/>
      </c>
      <c r="AA139" s="464" t="str">
        <f>IF(ISBLANK('RESUMEN VIGILANCIA'!Z130),"",'RESUMEN VIGILANCIA'!Z130)</f>
        <v/>
      </c>
      <c r="AB139" s="464" t="str">
        <f>IF(ISBLANK('RESUMEN VIGILANCIA'!AA130),"",'RESUMEN VIGILANCIA'!AA130)</f>
        <v/>
      </c>
      <c r="AC139" s="465" t="str">
        <f>IF(ISBLANK('RESUMEN VIGILANCIA'!AB130),"",'RESUMEN VIGILANCIA'!AB130)</f>
        <v/>
      </c>
      <c r="AD139" s="390" t="str">
        <f>IF(ISBLANK('RESUMEN VIGILANCIA'!AC130),"",'RESUMEN VIGILANCIA'!AC130)</f>
        <v/>
      </c>
      <c r="AE139" s="380" t="str">
        <f>IF(ISBLANK('RESUMEN VIGILANCIA'!AD130),"",'RESUMEN VIGILANCIA'!AD130)</f>
        <v/>
      </c>
      <c r="AF139" s="380" t="str">
        <f>IF(ISBLANK('RESUMEN VIGILANCIA'!AE130),"",'RESUMEN VIGILANCIA'!AE130)</f>
        <v/>
      </c>
      <c r="AG139" s="380" t="str">
        <f>IF(ISBLANK('RESUMEN VIGILANCIA'!AF130),"",'RESUMEN VIGILANCIA'!AF130)</f>
        <v/>
      </c>
      <c r="AH139" s="380" t="str">
        <f>IF(ISBLANK('RESUMEN VIGILANCIA'!AG130),"",'RESUMEN VIGILANCIA'!AG130)</f>
        <v/>
      </c>
      <c r="AI139" s="380" t="str">
        <f>IF(ISBLANK('RESUMEN VIGILANCIA'!AH130),"",'RESUMEN VIGILANCIA'!AH130)</f>
        <v/>
      </c>
      <c r="AJ139" s="380" t="str">
        <f>IF(ISBLANK('RESUMEN VIGILANCIA'!AI130),"",'RESUMEN VIGILANCIA'!AI130)</f>
        <v/>
      </c>
      <c r="AK139" s="380" t="str">
        <f>IF(ISBLANK('RESUMEN VIGILANCIA'!AJ130),"",'RESUMEN VIGILANCIA'!AJ130)</f>
        <v/>
      </c>
      <c r="AL139" s="380" t="str">
        <f>IF(ISBLANK('RESUMEN VIGILANCIA'!AK130),"",'RESUMEN VIGILANCIA'!AK130)</f>
        <v/>
      </c>
      <c r="AM139" s="380" t="str">
        <f>IF(ISBLANK('RESUMEN VIGILANCIA'!AL130),"",'RESUMEN VIGILANCIA'!AL130)</f>
        <v/>
      </c>
      <c r="AN139" s="380" t="str">
        <f>IF(ISBLANK('RESUMEN VIGILANCIA'!AM130),"",'RESUMEN VIGILANCIA'!AM130)</f>
        <v/>
      </c>
      <c r="AO139" s="391" t="str">
        <f>IF(ISBLANK('RESUMEN VIGILANCIA'!AN130),"",'RESUMEN VIGILANCIA'!AN130)</f>
        <v/>
      </c>
      <c r="AP139" s="390" t="str">
        <f>IF(ISBLANK('RESUMEN VIGILANCIA'!AO130),"",'RESUMEN VIGILANCIA'!AO130)</f>
        <v/>
      </c>
      <c r="AQ139" s="380" t="str">
        <f>IF(ISBLANK('RESUMEN VIGILANCIA'!AP130),"",'RESUMEN VIGILANCIA'!AP130)</f>
        <v/>
      </c>
      <c r="AR139" s="380" t="str">
        <f>IF(ISBLANK('RESUMEN VIGILANCIA'!AQ130),"",'RESUMEN VIGILANCIA'!AQ130)</f>
        <v/>
      </c>
      <c r="AS139" s="380" t="str">
        <f>IF(ISBLANK('RESUMEN VIGILANCIA'!AR130),"",'RESUMEN VIGILANCIA'!AR130)</f>
        <v/>
      </c>
      <c r="AT139" s="380" t="str">
        <f>IF(ISBLANK('RESUMEN VIGILANCIA'!AS130),"",'RESUMEN VIGILANCIA'!AS130)</f>
        <v/>
      </c>
      <c r="AU139" s="380" t="str">
        <f>IF(ISBLANK('RESUMEN VIGILANCIA'!AT130),"",'RESUMEN VIGILANCIA'!AT130)</f>
        <v/>
      </c>
      <c r="AV139" s="380" t="str">
        <f>IF(ISBLANK('RESUMEN VIGILANCIA'!AU130),"",'RESUMEN VIGILANCIA'!AU130)</f>
        <v/>
      </c>
      <c r="AW139" s="380" t="str">
        <f>IF(ISBLANK('RESUMEN VIGILANCIA'!AV130),"",'RESUMEN VIGILANCIA'!AV130)</f>
        <v/>
      </c>
      <c r="AX139" s="380" t="str">
        <f>IF(ISBLANK('RESUMEN VIGILANCIA'!AW130),"",'RESUMEN VIGILANCIA'!AW130)</f>
        <v/>
      </c>
      <c r="AY139" s="380" t="str">
        <f>IF(ISBLANK('RESUMEN VIGILANCIA'!AX130),"",'RESUMEN VIGILANCIA'!AX130)</f>
        <v/>
      </c>
      <c r="AZ139" s="380" t="str">
        <f>IF(ISBLANK('RESUMEN VIGILANCIA'!AY130),"",'RESUMEN VIGILANCIA'!AY130)</f>
        <v/>
      </c>
      <c r="BA139" s="391" t="str">
        <f>IF(ISBLANK('RESUMEN VIGILANCIA'!AZ130),"",'RESUMEN VIGILANCIA'!AZ130)</f>
        <v/>
      </c>
      <c r="BB139" s="244">
        <f t="shared" si="10"/>
        <v>9.4</v>
      </c>
      <c r="BC139" s="116">
        <v>43191</v>
      </c>
      <c r="BD139" s="116">
        <v>43252</v>
      </c>
    </row>
    <row r="140" spans="1:56" s="29" customFormat="1" ht="20.100000000000001" customHeight="1">
      <c r="A140" s="30" t="str">
        <f>'RESUMEN VIGILANCIA'!A131</f>
        <v>Wilson Escamilla</v>
      </c>
      <c r="B140" s="31" t="str">
        <f>'RESUMEN VIGILANCIA'!B131</f>
        <v>Calle Güigüe Nro. 89-89</v>
      </c>
      <c r="C140" s="429" t="s">
        <v>1316</v>
      </c>
      <c r="D140" s="523" t="s">
        <v>17</v>
      </c>
      <c r="E140" s="419" t="str">
        <f>IF(ISBLANK('RESUMEN VIGILANCIA'!D131),"",'RESUMEN VIGILANCIA'!D131)</f>
        <v/>
      </c>
      <c r="F140" s="282" t="str">
        <f>IF(ISBLANK('RESUMEN VIGILANCIA'!E131),"",'RESUMEN VIGILANCIA'!E131)</f>
        <v/>
      </c>
      <c r="G140" s="209" t="str">
        <f>IF(ISBLANK('RESUMEN VIGILANCIA'!F131),"",'RESUMEN VIGILANCIA'!F131)</f>
        <v/>
      </c>
      <c r="H140" s="209" t="str">
        <f>IF(ISBLANK('RESUMEN VIGILANCIA'!G131),"",'RESUMEN VIGILANCIA'!G131)</f>
        <v/>
      </c>
      <c r="I140" s="209" t="str">
        <f>IF(ISBLANK('RESUMEN VIGILANCIA'!H131),"",'RESUMEN VIGILANCIA'!H131)</f>
        <v/>
      </c>
      <c r="J140" s="209" t="str">
        <f>IF(ISBLANK('RESUMEN VIGILANCIA'!I131),"",'RESUMEN VIGILANCIA'!I131)</f>
        <v/>
      </c>
      <c r="K140" s="209" t="str">
        <f>IF(ISBLANK('RESUMEN VIGILANCIA'!J131),"",'RESUMEN VIGILANCIA'!J131)</f>
        <v/>
      </c>
      <c r="L140" s="209" t="str">
        <f>IF(ISBLANK('RESUMEN VIGILANCIA'!K131),"",'RESUMEN VIGILANCIA'!K131)</f>
        <v/>
      </c>
      <c r="M140" s="209" t="str">
        <f>IF(ISBLANK('RESUMEN VIGILANCIA'!L131),"",'RESUMEN VIGILANCIA'!L131)</f>
        <v/>
      </c>
      <c r="N140" s="209" t="str">
        <f>IF(ISBLANK('RESUMEN VIGILANCIA'!M131),"",'RESUMEN VIGILANCIA'!M131)</f>
        <v/>
      </c>
      <c r="O140" s="209" t="str">
        <f>IF(ISBLANK('RESUMEN VIGILANCIA'!N131),"",'RESUMEN VIGILANCIA'!N131)</f>
        <v/>
      </c>
      <c r="P140" s="292" t="str">
        <f>IF(ISBLANK('RESUMEN VIGILANCIA'!O131),"",'RESUMEN VIGILANCIA'!O131)</f>
        <v/>
      </c>
      <c r="Q140" s="207" t="str">
        <f>IF(ISBLANK('RESUMEN VIGILANCIA'!P131),"",'RESUMEN VIGILANCIA'!P131)</f>
        <v/>
      </c>
      <c r="R140" s="293" t="str">
        <f>IF(ISBLANK('RESUMEN VIGILANCIA'!Q131),"",'RESUMEN VIGILANCIA'!Q131)</f>
        <v/>
      </c>
      <c r="S140" s="292" t="str">
        <f>IF(ISBLANK('RESUMEN VIGILANCIA'!R131),"",'RESUMEN VIGILANCIA'!R131)</f>
        <v/>
      </c>
      <c r="T140" s="292" t="str">
        <f>IF(ISBLANK('RESUMEN VIGILANCIA'!S131),"",'RESUMEN VIGILANCIA'!S131)</f>
        <v/>
      </c>
      <c r="U140" s="283" t="str">
        <f>IF(ISBLANK('RESUMEN VIGILANCIA'!T131),"",'RESUMEN VIGILANCIA'!T131)</f>
        <v/>
      </c>
      <c r="V140" s="283" t="str">
        <f>IF(ISBLANK('RESUMEN VIGILANCIA'!U131),"",'RESUMEN VIGILANCIA'!U131)</f>
        <v/>
      </c>
      <c r="W140" s="283">
        <f>IF(ISBLANK('RESUMEN VIGILANCIA'!V131),"",'RESUMEN VIGILANCIA'!V131)</f>
        <v>2.25</v>
      </c>
      <c r="X140" s="270">
        <f>IF(ISBLANK('RESUMEN VIGILANCIA'!W131),"",'RESUMEN VIGILANCIA'!W131)</f>
        <v>10</v>
      </c>
      <c r="Y140" s="270">
        <f>IF(ISBLANK('RESUMEN VIGILANCIA'!X131),"",'RESUMEN VIGILANCIA'!X131)</f>
        <v>12</v>
      </c>
      <c r="Z140" s="455">
        <f>IF(ISBLANK('RESUMEN VIGILANCIA'!Y131),"",'RESUMEN VIGILANCIA'!Y131)</f>
        <v>320</v>
      </c>
      <c r="AA140" s="455">
        <f>IF(ISBLANK('RESUMEN VIGILANCIA'!Z131),"",'RESUMEN VIGILANCIA'!Z131)</f>
        <v>320</v>
      </c>
      <c r="AB140" s="455">
        <f>IF(ISBLANK('RESUMEN VIGILANCIA'!AA131),"",'RESUMEN VIGILANCIA'!AA131)</f>
        <v>320</v>
      </c>
      <c r="AC140" s="456">
        <f>IF(ISBLANK('RESUMEN VIGILANCIA'!AB131),"",'RESUMEN VIGILANCIA'!AB131)</f>
        <v>800</v>
      </c>
      <c r="AD140" s="376">
        <f>IF(ISBLANK('RESUMEN VIGILANCIA'!AC131),"",'RESUMEN VIGILANCIA'!AC131)</f>
        <v>2800</v>
      </c>
      <c r="AE140" s="377">
        <f>IF(ISBLANK('RESUMEN VIGILANCIA'!AD131),"",'RESUMEN VIGILANCIA'!AD131)</f>
        <v>3000</v>
      </c>
      <c r="AF140" s="377">
        <f>IF(ISBLANK('RESUMEN VIGILANCIA'!AE131),"",'RESUMEN VIGILANCIA'!AE131)</f>
        <v>3000</v>
      </c>
      <c r="AG140" s="377">
        <f>IF(ISBLANK('RESUMEN VIGILANCIA'!AF131),"",'RESUMEN VIGILANCIA'!AF131)</f>
        <v>5000</v>
      </c>
      <c r="AH140" s="377">
        <f>IF(ISBLANK('RESUMEN VIGILANCIA'!AG131),"",'RESUMEN VIGILANCIA'!AG131)</f>
        <v>8000</v>
      </c>
      <c r="AI140" s="377">
        <f>IF(ISBLANK('RESUMEN VIGILANCIA'!AH131),"",'RESUMEN VIGILANCIA'!AH131)</f>
        <v>8000</v>
      </c>
      <c r="AJ140" s="377">
        <f>IF(ISBLANK('RESUMEN VIGILANCIA'!AI131),"",'RESUMEN VIGILANCIA'!AI131)</f>
        <v>10000</v>
      </c>
      <c r="AK140" s="377">
        <f>IF(ISBLANK('RESUMEN VIGILANCIA'!AJ131),"",'RESUMEN VIGILANCIA'!AJ131)</f>
        <v>10000</v>
      </c>
      <c r="AL140" s="377">
        <f>IF(ISBLANK('RESUMEN VIGILANCIA'!AK131),"",'RESUMEN VIGILANCIA'!AK131)</f>
        <v>20500</v>
      </c>
      <c r="AM140" s="377">
        <f>IF(ISBLANK('RESUMEN VIGILANCIA'!AL131),"",'RESUMEN VIGILANCIA'!AL131)</f>
        <v>56250</v>
      </c>
      <c r="AN140" s="377">
        <f>IF(ISBLANK('RESUMEN VIGILANCIA'!AM131),"",'RESUMEN VIGILANCIA'!AM131)</f>
        <v>56250</v>
      </c>
      <c r="AO140" s="378">
        <f>IF(ISBLANK('RESUMEN VIGILANCIA'!AN131),"",'RESUMEN VIGILANCIA'!AN131)</f>
        <v>183500</v>
      </c>
      <c r="AP140" s="376">
        <f>IF(ISBLANK('RESUMEN VIGILANCIA'!AO131),"",'RESUMEN VIGILANCIA'!AO131)</f>
        <v>183500</v>
      </c>
      <c r="AQ140" s="377">
        <f>IF(ISBLANK('RESUMEN VIGILANCIA'!AP131),"",'RESUMEN VIGILANCIA'!AP131)</f>
        <v>183500</v>
      </c>
      <c r="AR140" s="377">
        <f>IF(ISBLANK('RESUMEN VIGILANCIA'!AQ131),"",'RESUMEN VIGILANCIA'!AQ131)</f>
        <v>183500</v>
      </c>
      <c r="AS140" s="377">
        <f>IF(ISBLANK('RESUMEN VIGILANCIA'!AR131),"",'RESUMEN VIGILANCIA'!AR131)</f>
        <v>185250</v>
      </c>
      <c r="AT140" s="377">
        <f>IF(ISBLANK('RESUMEN VIGILANCIA'!AS131),"",'RESUMEN VIGILANCIA'!AS131)</f>
        <v>250000</v>
      </c>
      <c r="AU140" s="377">
        <f>IF(ISBLANK('RESUMEN VIGILANCIA'!AT131),"",'RESUMEN VIGILANCIA'!AT131)</f>
        <v>250000</v>
      </c>
      <c r="AV140" s="377" t="str">
        <f>IF(ISBLANK('RESUMEN VIGILANCIA'!AU131),"",'RESUMEN VIGILANCIA'!AU131)</f>
        <v/>
      </c>
      <c r="AW140" s="377" t="str">
        <f>IF(ISBLANK('RESUMEN VIGILANCIA'!AV131),"",'RESUMEN VIGILANCIA'!AV131)</f>
        <v/>
      </c>
      <c r="AX140" s="377" t="str">
        <f>IF(ISBLANK('RESUMEN VIGILANCIA'!AW131),"",'RESUMEN VIGILANCIA'!AW131)</f>
        <v/>
      </c>
      <c r="AY140" s="377" t="str">
        <f>IF(ISBLANK('RESUMEN VIGILANCIA'!AX131),"",'RESUMEN VIGILANCIA'!AX131)</f>
        <v/>
      </c>
      <c r="AZ140" s="377" t="str">
        <f>IF(ISBLANK('RESUMEN VIGILANCIA'!AY131),"",'RESUMEN VIGILANCIA'!AY131)</f>
        <v/>
      </c>
      <c r="BA140" s="378" t="str">
        <f>IF(ISBLANK('RESUMEN VIGILANCIA'!AZ131),"",'RESUMEN VIGILANCIA'!AZ131)</f>
        <v/>
      </c>
      <c r="BB140" s="242">
        <f t="shared" ref="BB140:BB146" si="14">SUM(E140:AO140)</f>
        <v>368084.25</v>
      </c>
      <c r="BC140" s="112">
        <v>43282</v>
      </c>
      <c r="BD140" s="112"/>
    </row>
    <row r="141" spans="1:56" s="29" customFormat="1" ht="20.100000000000001" customHeight="1">
      <c r="A141" s="30" t="str">
        <f>'RESUMEN VIGILANCIA'!A126</f>
        <v>Familia López Hermoso</v>
      </c>
      <c r="B141" s="31" t="str">
        <f>'RESUMEN VIGILANCIA'!B126</f>
        <v>Calle Güigüe Nro. 89-79</v>
      </c>
      <c r="C141" s="429" t="s">
        <v>1316</v>
      </c>
      <c r="D141" s="436" t="s">
        <v>17</v>
      </c>
      <c r="E141" s="417" t="str">
        <f>IF(ISBLANK('RESUMEN VIGILANCIA'!D126),"",'RESUMEN VIGILANCIA'!D126)</f>
        <v/>
      </c>
      <c r="F141" s="269">
        <f>IF(ISBLANK('RESUMEN VIGILANCIA'!E126),"",'RESUMEN VIGILANCIA'!E126)</f>
        <v>0.17</v>
      </c>
      <c r="G141" s="181">
        <f>IF(ISBLANK('RESUMEN VIGILANCIA'!F126),"",'RESUMEN VIGILANCIA'!F126)</f>
        <v>0.17</v>
      </c>
      <c r="H141" s="181">
        <f>IF(ISBLANK('RESUMEN VIGILANCIA'!G126),"",'RESUMEN VIGILANCIA'!G126)</f>
        <v>0.17</v>
      </c>
      <c r="I141" s="181">
        <f>IF(ISBLANK('RESUMEN VIGILANCIA'!H126),"",'RESUMEN VIGILANCIA'!H126)</f>
        <v>0.17</v>
      </c>
      <c r="J141" s="181">
        <f>IF(ISBLANK('RESUMEN VIGILANCIA'!I126),"",'RESUMEN VIGILANCIA'!I126)</f>
        <v>0.26</v>
      </c>
      <c r="K141" s="181">
        <f>IF(ISBLANK('RESUMEN VIGILANCIA'!J126),"",'RESUMEN VIGILANCIA'!J126)</f>
        <v>0.26</v>
      </c>
      <c r="L141" s="181">
        <f>IF(ISBLANK('RESUMEN VIGILANCIA'!K126),"",'RESUMEN VIGILANCIA'!K126)</f>
        <v>0.35</v>
      </c>
      <c r="M141" s="181">
        <f>IF(ISBLANK('RESUMEN VIGILANCIA'!L126),"",'RESUMEN VIGILANCIA'!L126)</f>
        <v>0.35</v>
      </c>
      <c r="N141" s="181">
        <f>IF(ISBLANK('RESUMEN VIGILANCIA'!M126),"",'RESUMEN VIGILANCIA'!M126)</f>
        <v>0.35</v>
      </c>
      <c r="O141" s="181">
        <f>IF(ISBLANK('RESUMEN VIGILANCIA'!N126),"",'RESUMEN VIGILANCIA'!N126)</f>
        <v>0.35</v>
      </c>
      <c r="P141" s="270">
        <f>IF(ISBLANK('RESUMEN VIGILANCIA'!O126),"",'RESUMEN VIGILANCIA'!O126)</f>
        <v>0.5</v>
      </c>
      <c r="Q141" s="179">
        <f>IF(ISBLANK('RESUMEN VIGILANCIA'!P126),"",'RESUMEN VIGILANCIA'!P126)</f>
        <v>0.5</v>
      </c>
      <c r="R141" s="271">
        <f>IF(ISBLANK('RESUMEN VIGILANCIA'!Q126),"",'RESUMEN VIGILANCIA'!Q126)</f>
        <v>0.8</v>
      </c>
      <c r="S141" s="270">
        <f>IF(ISBLANK('RESUMEN VIGILANCIA'!R126),"",'RESUMEN VIGILANCIA'!R126)</f>
        <v>0.8</v>
      </c>
      <c r="T141" s="270">
        <f>IF(ISBLANK('RESUMEN VIGILANCIA'!S126),"",'RESUMEN VIGILANCIA'!S126)</f>
        <v>1.4</v>
      </c>
      <c r="U141" s="270">
        <f>IF(ISBLANK('RESUMEN VIGILANCIA'!T126),"",'RESUMEN VIGILANCIA'!T126)</f>
        <v>1.4</v>
      </c>
      <c r="V141" s="270">
        <f>IF(ISBLANK('RESUMEN VIGILANCIA'!U126),"",'RESUMEN VIGILANCIA'!U126)</f>
        <v>4</v>
      </c>
      <c r="W141" s="270">
        <f>IF(ISBLANK('RESUMEN VIGILANCIA'!V126),"",'RESUMEN VIGILANCIA'!V126)</f>
        <v>6.25</v>
      </c>
      <c r="X141" s="270">
        <f>IF(ISBLANK('RESUMEN VIGILANCIA'!W126),"",'RESUMEN VIGILANCIA'!W126)</f>
        <v>10</v>
      </c>
      <c r="Y141" s="270">
        <f>IF(ISBLANK('RESUMEN VIGILANCIA'!X126),"",'RESUMEN VIGILANCIA'!X126)</f>
        <v>12</v>
      </c>
      <c r="Z141" s="455">
        <f>IF(ISBLANK('RESUMEN VIGILANCIA'!Y126),"",'RESUMEN VIGILANCIA'!Y126)</f>
        <v>320</v>
      </c>
      <c r="AA141" s="455">
        <f>IF(ISBLANK('RESUMEN VIGILANCIA'!Z126),"",'RESUMEN VIGILANCIA'!Z126)</f>
        <v>320</v>
      </c>
      <c r="AB141" s="455">
        <f>IF(ISBLANK('RESUMEN VIGILANCIA'!AA126),"",'RESUMEN VIGILANCIA'!AA126)</f>
        <v>320</v>
      </c>
      <c r="AC141" s="456">
        <f>IF(ISBLANK('RESUMEN VIGILANCIA'!AB126),"",'RESUMEN VIGILANCIA'!AB126)</f>
        <v>811.15</v>
      </c>
      <c r="AD141" s="376">
        <f>IF(ISBLANK('RESUMEN VIGILANCIA'!AC126),"",'RESUMEN VIGILANCIA'!AC126)</f>
        <v>3000</v>
      </c>
      <c r="AE141" s="377">
        <f>IF(ISBLANK('RESUMEN VIGILANCIA'!AD126),"",'RESUMEN VIGILANCIA'!AD126)</f>
        <v>3000</v>
      </c>
      <c r="AF141" s="377">
        <f>IF(ISBLANK('RESUMEN VIGILANCIA'!AE126),"",'RESUMEN VIGILANCIA'!AE126)</f>
        <v>3000</v>
      </c>
      <c r="AG141" s="377">
        <f>IF(ISBLANK('RESUMEN VIGILANCIA'!AF126),"",'RESUMEN VIGILANCIA'!AF126)</f>
        <v>5000</v>
      </c>
      <c r="AH141" s="377">
        <f>IF(ISBLANK('RESUMEN VIGILANCIA'!AG126),"",'RESUMEN VIGILANCIA'!AG126)</f>
        <v>8000</v>
      </c>
      <c r="AI141" s="377">
        <f>IF(ISBLANK('RESUMEN VIGILANCIA'!AH126),"",'RESUMEN VIGILANCIA'!AH126)</f>
        <v>8000</v>
      </c>
      <c r="AJ141" s="377">
        <f>IF(ISBLANK('RESUMEN VIGILANCIA'!AI126),"",'RESUMEN VIGILANCIA'!AI126)</f>
        <v>10000</v>
      </c>
      <c r="AK141" s="377">
        <f>IF(ISBLANK('RESUMEN VIGILANCIA'!AJ126),"",'RESUMEN VIGILANCIA'!AJ126)</f>
        <v>10000</v>
      </c>
      <c r="AL141" s="377">
        <f>IF(ISBLANK('RESUMEN VIGILANCIA'!AK126),"",'RESUMEN VIGILANCIA'!AK126)</f>
        <v>19800</v>
      </c>
      <c r="AM141" s="377">
        <f>IF(ISBLANK('RESUMEN VIGILANCIA'!AL126),"",'RESUMEN VIGILANCIA'!AL126)</f>
        <v>47000</v>
      </c>
      <c r="AN141" s="377">
        <f>IF(ISBLANK('RESUMEN VIGILANCIA'!AM126),"",'RESUMEN VIGILANCIA'!AM126)</f>
        <v>73500</v>
      </c>
      <c r="AO141" s="378">
        <f>IF(ISBLANK('RESUMEN VIGILANCIA'!AN126),"",'RESUMEN VIGILANCIA'!AN126)</f>
        <v>105250</v>
      </c>
      <c r="AP141" s="376">
        <f>IF(ISBLANK('RESUMEN VIGILANCIA'!AO126),"",'RESUMEN VIGILANCIA'!AO126)</f>
        <v>137000</v>
      </c>
      <c r="AQ141" s="377">
        <f>IF(ISBLANK('RESUMEN VIGILANCIA'!AP126),"",'RESUMEN VIGILANCIA'!AP126)</f>
        <v>137000</v>
      </c>
      <c r="AR141" s="377">
        <f>IF(ISBLANK('RESUMEN VIGILANCIA'!AQ126),"",'RESUMEN VIGILANCIA'!AQ126)</f>
        <v>200000</v>
      </c>
      <c r="AS141" s="377">
        <f>IF(ISBLANK('RESUMEN VIGILANCIA'!AR126),"",'RESUMEN VIGILANCIA'!AR126)</f>
        <v>200000</v>
      </c>
      <c r="AT141" s="377">
        <f>IF(ISBLANK('RESUMEN VIGILANCIA'!AS126),"",'RESUMEN VIGILANCIA'!AS126)</f>
        <v>250000</v>
      </c>
      <c r="AU141" s="377" t="str">
        <f>IF(ISBLANK('RESUMEN VIGILANCIA'!AT126),"",'RESUMEN VIGILANCIA'!AT126)</f>
        <v/>
      </c>
      <c r="AV141" s="377" t="str">
        <f>IF(ISBLANK('RESUMEN VIGILANCIA'!AU126),"",'RESUMEN VIGILANCIA'!AU126)</f>
        <v/>
      </c>
      <c r="AW141" s="377" t="str">
        <f>IF(ISBLANK('RESUMEN VIGILANCIA'!AV126),"",'RESUMEN VIGILANCIA'!AV126)</f>
        <v/>
      </c>
      <c r="AX141" s="377" t="str">
        <f>IF(ISBLANK('RESUMEN VIGILANCIA'!AW126),"",'RESUMEN VIGILANCIA'!AW126)</f>
        <v/>
      </c>
      <c r="AY141" s="377" t="str">
        <f>IF(ISBLANK('RESUMEN VIGILANCIA'!AX126),"",'RESUMEN VIGILANCIA'!AX126)</f>
        <v/>
      </c>
      <c r="AZ141" s="377" t="str">
        <f>IF(ISBLANK('RESUMEN VIGILANCIA'!AY126),"",'RESUMEN VIGILANCIA'!AY126)</f>
        <v/>
      </c>
      <c r="BA141" s="378" t="str">
        <f>IF(ISBLANK('RESUMEN VIGILANCIA'!AZ126),"",'RESUMEN VIGILANCIA'!AZ126)</f>
        <v/>
      </c>
      <c r="BB141" s="242">
        <f t="shared" si="14"/>
        <v>297361.40000000002</v>
      </c>
      <c r="BC141" s="112"/>
      <c r="BD141" s="112"/>
    </row>
    <row r="142" spans="1:56" s="29" customFormat="1" ht="20.100000000000001" customHeight="1">
      <c r="A142" s="33" t="str">
        <f>'RESUMEN VIGILANCIA'!A114</f>
        <v>Familia Rodríguez Landaeta</v>
      </c>
      <c r="B142" s="34" t="str">
        <f>'RESUMEN VIGILANCIA'!B114</f>
        <v>Calle Güigüe Nro. 89-29</v>
      </c>
      <c r="C142" s="428" t="s">
        <v>1318</v>
      </c>
      <c r="D142" s="437" t="s">
        <v>1315</v>
      </c>
      <c r="E142" s="416" t="str">
        <f>IF(ISBLANK('RESUMEN VIGILANCIA'!D114),"",'RESUMEN VIGILANCIA'!D114)</f>
        <v/>
      </c>
      <c r="F142" s="266" t="str">
        <f>IF(ISBLANK('RESUMEN VIGILANCIA'!E114),"",'RESUMEN VIGILANCIA'!E114)</f>
        <v/>
      </c>
      <c r="G142" s="188" t="str">
        <f>IF(ISBLANK('RESUMEN VIGILANCIA'!F114),"",'RESUMEN VIGILANCIA'!F114)</f>
        <v/>
      </c>
      <c r="H142" s="188" t="str">
        <f>IF(ISBLANK('RESUMEN VIGILANCIA'!G114),"",'RESUMEN VIGILANCIA'!G114)</f>
        <v/>
      </c>
      <c r="I142" s="188">
        <f>IF(ISBLANK('RESUMEN VIGILANCIA'!H114),"",'RESUMEN VIGILANCIA'!H114)</f>
        <v>0.1</v>
      </c>
      <c r="J142" s="188">
        <f>IF(ISBLANK('RESUMEN VIGILANCIA'!I114),"",'RESUMEN VIGILANCIA'!I114)</f>
        <v>0.1</v>
      </c>
      <c r="K142" s="188">
        <f>IF(ISBLANK('RESUMEN VIGILANCIA'!J114),"",'RESUMEN VIGILANCIA'!J114)</f>
        <v>0.13</v>
      </c>
      <c r="L142" s="188">
        <f>IF(ISBLANK('RESUMEN VIGILANCIA'!K114),"",'RESUMEN VIGILANCIA'!K114)</f>
        <v>0.15</v>
      </c>
      <c r="M142" s="188">
        <f>IF(ISBLANK('RESUMEN VIGILANCIA'!L114),"",'RESUMEN VIGILANCIA'!L114)</f>
        <v>0.15</v>
      </c>
      <c r="N142" s="188">
        <f>IF(ISBLANK('RESUMEN VIGILANCIA'!M114),"",'RESUMEN VIGILANCIA'!M114)</f>
        <v>0.17</v>
      </c>
      <c r="O142" s="188">
        <f>IF(ISBLANK('RESUMEN VIGILANCIA'!N114),"",'RESUMEN VIGILANCIA'!N114)</f>
        <v>0.15</v>
      </c>
      <c r="P142" s="267">
        <f>IF(ISBLANK('RESUMEN VIGILANCIA'!O114),"",'RESUMEN VIGILANCIA'!O114)</f>
        <v>0.15</v>
      </c>
      <c r="Q142" s="186">
        <f>IF(ISBLANK('RESUMEN VIGILANCIA'!P114),"",'RESUMEN VIGILANCIA'!P114)</f>
        <v>0.17</v>
      </c>
      <c r="R142" s="268">
        <f>IF(ISBLANK('RESUMEN VIGILANCIA'!Q114),"",'RESUMEN VIGILANCIA'!Q114)</f>
        <v>0.4</v>
      </c>
      <c r="S142" s="267">
        <f>IF(ISBLANK('RESUMEN VIGILANCIA'!R114),"",'RESUMEN VIGILANCIA'!R114)</f>
        <v>0.4</v>
      </c>
      <c r="T142" s="267">
        <f>IF(ISBLANK('RESUMEN VIGILANCIA'!S114),"",'RESUMEN VIGILANCIA'!S114)</f>
        <v>0.8</v>
      </c>
      <c r="U142" s="267">
        <f>IF(ISBLANK('RESUMEN VIGILANCIA'!T114),"",'RESUMEN VIGILANCIA'!T114)</f>
        <v>0.8</v>
      </c>
      <c r="V142" s="267">
        <f>IF(ISBLANK('RESUMEN VIGILANCIA'!U114),"",'RESUMEN VIGILANCIA'!U114)</f>
        <v>2</v>
      </c>
      <c r="W142" s="267">
        <f>IF(ISBLANK('RESUMEN VIGILANCIA'!V114),"",'RESUMEN VIGILANCIA'!V114)</f>
        <v>3</v>
      </c>
      <c r="X142" s="267">
        <f>IF(ISBLANK('RESUMEN VIGILANCIA'!W114),"",'RESUMEN VIGILANCIA'!W114)</f>
        <v>5</v>
      </c>
      <c r="Y142" s="267">
        <f>IF(ISBLANK('RESUMEN VIGILANCIA'!X114),"",'RESUMEN VIGILANCIA'!X114)</f>
        <v>12</v>
      </c>
      <c r="Z142" s="459">
        <f>IF(ISBLANK('RESUMEN VIGILANCIA'!Y114),"",'RESUMEN VIGILANCIA'!Y114)</f>
        <v>320</v>
      </c>
      <c r="AA142" s="459">
        <f>IF(ISBLANK('RESUMEN VIGILANCIA'!Z114),"",'RESUMEN VIGILANCIA'!Z114)</f>
        <v>250</v>
      </c>
      <c r="AB142" s="459">
        <f>IF(ISBLANK('RESUMEN VIGILANCIA'!AA114),"",'RESUMEN VIGILANCIA'!AA114)</f>
        <v>250</v>
      </c>
      <c r="AC142" s="460">
        <f>IF(ISBLANK('RESUMEN VIGILANCIA'!AB114),"",'RESUMEN VIGILANCIA'!AB114)</f>
        <v>400</v>
      </c>
      <c r="AD142" s="373">
        <f>IF(ISBLANK('RESUMEN VIGILANCIA'!AC114),"",'RESUMEN VIGILANCIA'!AC114)</f>
        <v>600</v>
      </c>
      <c r="AE142" s="374">
        <f>IF(ISBLANK('RESUMEN VIGILANCIA'!AD114),"",'RESUMEN VIGILANCIA'!AD114)</f>
        <v>1500</v>
      </c>
      <c r="AF142" s="374">
        <f>IF(ISBLANK('RESUMEN VIGILANCIA'!AE114),"",'RESUMEN VIGILANCIA'!AE114)</f>
        <v>2000</v>
      </c>
      <c r="AG142" s="374">
        <f>IF(ISBLANK('RESUMEN VIGILANCIA'!AF114),"",'RESUMEN VIGILANCIA'!AF114)</f>
        <v>2500</v>
      </c>
      <c r="AH142" s="374">
        <f>IF(ISBLANK('RESUMEN VIGILANCIA'!AG114),"",'RESUMEN VIGILANCIA'!AG114)</f>
        <v>2500</v>
      </c>
      <c r="AI142" s="374">
        <f>IF(ISBLANK('RESUMEN VIGILANCIA'!AH114),"",'RESUMEN VIGILANCIA'!AH114)</f>
        <v>5000</v>
      </c>
      <c r="AJ142" s="374">
        <f>IF(ISBLANK('RESUMEN VIGILANCIA'!AI114),"",'RESUMEN VIGILANCIA'!AI114)</f>
        <v>5000</v>
      </c>
      <c r="AK142" s="374">
        <f>IF(ISBLANK('RESUMEN VIGILANCIA'!AJ114),"",'RESUMEN VIGILANCIA'!AJ114)</f>
        <v>5000</v>
      </c>
      <c r="AL142" s="374">
        <f>IF(ISBLANK('RESUMEN VIGILANCIA'!AK114),"",'RESUMEN VIGILANCIA'!AK114)</f>
        <v>10000</v>
      </c>
      <c r="AM142" s="374">
        <f>IF(ISBLANK('RESUMEN VIGILANCIA'!AL114),"",'RESUMEN VIGILANCIA'!AL114)</f>
        <v>10000</v>
      </c>
      <c r="AN142" s="374">
        <f>IF(ISBLANK('RESUMEN VIGILANCIA'!AM114),"",'RESUMEN VIGILANCIA'!AM114)</f>
        <v>25000</v>
      </c>
      <c r="AO142" s="375">
        <f>IF(ISBLANK('RESUMEN VIGILANCIA'!AN114),"",'RESUMEN VIGILANCIA'!AN114)</f>
        <v>55600</v>
      </c>
      <c r="AP142" s="373">
        <f>IF(ISBLANK('RESUMEN VIGILANCIA'!AO114),"",'RESUMEN VIGILANCIA'!AO114)</f>
        <v>55600</v>
      </c>
      <c r="AQ142" s="374">
        <f>IF(ISBLANK('RESUMEN VIGILANCIA'!AP114),"",'RESUMEN VIGILANCIA'!AP114)</f>
        <v>55600</v>
      </c>
      <c r="AR142" s="374">
        <f>IF(ISBLANK('RESUMEN VIGILANCIA'!AQ114),"",'RESUMEN VIGILANCIA'!AQ114)</f>
        <v>80000</v>
      </c>
      <c r="AS142" s="374">
        <f>IF(ISBLANK('RESUMEN VIGILANCIA'!AR114),"",'RESUMEN VIGILANCIA'!AR114)</f>
        <v>80000</v>
      </c>
      <c r="AT142" s="374">
        <f>IF(ISBLANK('RESUMEN VIGILANCIA'!AS114),"",'RESUMEN VIGILANCIA'!AS114)</f>
        <v>100000</v>
      </c>
      <c r="AU142" s="374" t="str">
        <f>IF(ISBLANK('RESUMEN VIGILANCIA'!AT114),"",'RESUMEN VIGILANCIA'!AT114)</f>
        <v/>
      </c>
      <c r="AV142" s="374" t="str">
        <f>IF(ISBLANK('RESUMEN VIGILANCIA'!AU114),"",'RESUMEN VIGILANCIA'!AU114)</f>
        <v/>
      </c>
      <c r="AW142" s="374" t="str">
        <f>IF(ISBLANK('RESUMEN VIGILANCIA'!AV114),"",'RESUMEN VIGILANCIA'!AV114)</f>
        <v/>
      </c>
      <c r="AX142" s="374" t="str">
        <f>IF(ISBLANK('RESUMEN VIGILANCIA'!AW114),"",'RESUMEN VIGILANCIA'!AW114)</f>
        <v/>
      </c>
      <c r="AY142" s="374" t="str">
        <f>IF(ISBLANK('RESUMEN VIGILANCIA'!AX114),"",'RESUMEN VIGILANCIA'!AX114)</f>
        <v/>
      </c>
      <c r="AZ142" s="374" t="str">
        <f>IF(ISBLANK('RESUMEN VIGILANCIA'!AY114),"",'RESUMEN VIGILANCIA'!AY114)</f>
        <v/>
      </c>
      <c r="BA142" s="375" t="str">
        <f>IF(ISBLANK('RESUMEN VIGILANCIA'!AZ114),"",'RESUMEN VIGILANCIA'!AZ114)</f>
        <v/>
      </c>
      <c r="BB142" s="241">
        <f t="shared" si="14"/>
        <v>125945.67</v>
      </c>
      <c r="BC142" s="111"/>
      <c r="BD142" s="111"/>
    </row>
    <row r="143" spans="1:56" s="29" customFormat="1" ht="20.100000000000001" customHeight="1">
      <c r="A143" s="54" t="str">
        <f>'RESUMEN VIGILANCIA'!A93</f>
        <v>Colegio El Trigal</v>
      </c>
      <c r="B143" s="55" t="str">
        <f>'RESUMEN VIGILANCIA'!B93</f>
        <v>Calle Güigüe Nros. 88-71 y 88-81</v>
      </c>
      <c r="C143" s="429" t="s">
        <v>1316</v>
      </c>
      <c r="D143" s="436" t="s">
        <v>17</v>
      </c>
      <c r="E143" s="417" t="str">
        <f>IF(ISBLANK('RESUMEN VIGILANCIA'!D93),"",'RESUMEN VIGILANCIA'!D93)</f>
        <v/>
      </c>
      <c r="F143" s="269">
        <f>IF(ISBLANK('RESUMEN VIGILANCIA'!E93),"",'RESUMEN VIGILANCIA'!E93)</f>
        <v>0.30000000000000004</v>
      </c>
      <c r="G143" s="181">
        <f>IF(ISBLANK('RESUMEN VIGILANCIA'!F93),"",'RESUMEN VIGILANCIA'!F93)</f>
        <v>0.3</v>
      </c>
      <c r="H143" s="181">
        <f>IF(ISBLANK('RESUMEN VIGILANCIA'!G93),"",'RESUMEN VIGILANCIA'!G93)</f>
        <v>0.3</v>
      </c>
      <c r="I143" s="181">
        <f>IF(ISBLANK('RESUMEN VIGILANCIA'!H93),"",'RESUMEN VIGILANCIA'!H93)</f>
        <v>0.3</v>
      </c>
      <c r="J143" s="181">
        <f>IF(ISBLANK('RESUMEN VIGILANCIA'!I93),"",'RESUMEN VIGILANCIA'!I93)</f>
        <v>0.4</v>
      </c>
      <c r="K143" s="181">
        <f>IF(ISBLANK('RESUMEN VIGILANCIA'!J93),"",'RESUMEN VIGILANCIA'!J93)</f>
        <v>0.4</v>
      </c>
      <c r="L143" s="181">
        <f>IF(ISBLANK('RESUMEN VIGILANCIA'!K93),"",'RESUMEN VIGILANCIA'!K93)</f>
        <v>0.54</v>
      </c>
      <c r="M143" s="181">
        <f>IF(ISBLANK('RESUMEN VIGILANCIA'!L93),"",'RESUMEN VIGILANCIA'!L93)</f>
        <v>0.54</v>
      </c>
      <c r="N143" s="181">
        <f>IF(ISBLANK('RESUMEN VIGILANCIA'!M93),"",'RESUMEN VIGILANCIA'!M93)</f>
        <v>0.54</v>
      </c>
      <c r="O143" s="181">
        <f>IF(ISBLANK('RESUMEN VIGILANCIA'!N93),"",'RESUMEN VIGILANCIA'!N93)</f>
        <v>0.54</v>
      </c>
      <c r="P143" s="270">
        <f>IF(ISBLANK('RESUMEN VIGILANCIA'!O93),"",'RESUMEN VIGILANCIA'!O93)</f>
        <v>0.71</v>
      </c>
      <c r="Q143" s="179">
        <f>IF(ISBLANK('RESUMEN VIGILANCIA'!P93),"",'RESUMEN VIGILANCIA'!P93)</f>
        <v>0.71</v>
      </c>
      <c r="R143" s="271">
        <f>IF(ISBLANK('RESUMEN VIGILANCIA'!Q93),"",'RESUMEN VIGILANCIA'!Q93)</f>
        <v>1.1359999999999999</v>
      </c>
      <c r="S143" s="270">
        <f>IF(ISBLANK('RESUMEN VIGILANCIA'!R93),"",'RESUMEN VIGILANCIA'!R93)</f>
        <v>1.1359999999999999</v>
      </c>
      <c r="T143" s="270">
        <f>IF(ISBLANK('RESUMEN VIGILANCIA'!S93),"",'RESUMEN VIGILANCIA'!S93)</f>
        <v>2</v>
      </c>
      <c r="U143" s="270">
        <f>IF(ISBLANK('RESUMEN VIGILANCIA'!T93),"",'RESUMEN VIGILANCIA'!T93)</f>
        <v>2</v>
      </c>
      <c r="V143" s="270">
        <f>IF(ISBLANK('RESUMEN VIGILANCIA'!U93),"",'RESUMEN VIGILANCIA'!U93)</f>
        <v>5.8</v>
      </c>
      <c r="W143" s="270">
        <f>IF(ISBLANK('RESUMEN VIGILANCIA'!V93),"",'RESUMEN VIGILANCIA'!V93)</f>
        <v>9.0500000000000007</v>
      </c>
      <c r="X143" s="270">
        <f>IF(ISBLANK('RESUMEN VIGILANCIA'!W93),"",'RESUMEN VIGILANCIA'!W93)</f>
        <v>14.5</v>
      </c>
      <c r="Y143" s="270">
        <f>IF(ISBLANK('RESUMEN VIGILANCIA'!X93),"",'RESUMEN VIGILANCIA'!X93)</f>
        <v>17.399999999999999</v>
      </c>
      <c r="Z143" s="455">
        <f>IF(ISBLANK('RESUMEN VIGILANCIA'!Y93),"",'RESUMEN VIGILANCIA'!Y93)</f>
        <v>465</v>
      </c>
      <c r="AA143" s="455">
        <f>IF(ISBLANK('RESUMEN VIGILANCIA'!Z93),"",'RESUMEN VIGILANCIA'!Z93)</f>
        <v>465</v>
      </c>
      <c r="AB143" s="455">
        <f>IF(ISBLANK('RESUMEN VIGILANCIA'!AA93),"",'RESUMEN VIGILANCIA'!AA93)</f>
        <v>465</v>
      </c>
      <c r="AC143" s="456">
        <f>IF(ISBLANK('RESUMEN VIGILANCIA'!AB93),"",'RESUMEN VIGILANCIA'!AB93)</f>
        <v>1160</v>
      </c>
      <c r="AD143" s="376">
        <f>IF(ISBLANK('RESUMEN VIGILANCIA'!AC93),"",'RESUMEN VIGILANCIA'!AC93)</f>
        <v>4350</v>
      </c>
      <c r="AE143" s="377">
        <f>IF(ISBLANK('RESUMEN VIGILANCIA'!AD93),"",'RESUMEN VIGILANCIA'!AD93)</f>
        <v>4350</v>
      </c>
      <c r="AF143" s="377">
        <f>IF(ISBLANK('RESUMEN VIGILANCIA'!AE93),"",'RESUMEN VIGILANCIA'!AE93)</f>
        <v>4350</v>
      </c>
      <c r="AG143" s="377">
        <f>IF(ISBLANK('RESUMEN VIGILANCIA'!AF93),"",'RESUMEN VIGILANCIA'!AF93)</f>
        <v>7250</v>
      </c>
      <c r="AH143" s="377">
        <f>IF(ISBLANK('RESUMEN VIGILANCIA'!AG93),"",'RESUMEN VIGILANCIA'!AG93)</f>
        <v>11600</v>
      </c>
      <c r="AI143" s="377">
        <f>IF(ISBLANK('RESUMEN VIGILANCIA'!AH93),"",'RESUMEN VIGILANCIA'!AH93)</f>
        <v>11600</v>
      </c>
      <c r="AJ143" s="377">
        <f>IF(ISBLANK('RESUMEN VIGILANCIA'!AI93),"",'RESUMEN VIGILANCIA'!AI93)</f>
        <v>14500</v>
      </c>
      <c r="AK143" s="377">
        <f>IF(ISBLANK('RESUMEN VIGILANCIA'!AJ93),"",'RESUMEN VIGILANCIA'!AJ93)</f>
        <v>14500</v>
      </c>
      <c r="AL143" s="377">
        <f>IF(ISBLANK('RESUMEN VIGILANCIA'!AK93),"",'RESUMEN VIGILANCIA'!AK93)</f>
        <v>29725</v>
      </c>
      <c r="AM143" s="377">
        <f>IF(ISBLANK('RESUMEN VIGILANCIA'!AL93),"",'RESUMEN VIGILANCIA'!AL93)</f>
        <v>68150</v>
      </c>
      <c r="AN143" s="377">
        <f>IF(ISBLANK('RESUMEN VIGILANCIA'!AM93),"",'RESUMEN VIGILANCIA'!AM93)</f>
        <v>118540</v>
      </c>
      <c r="AO143" s="378">
        <f>IF(ISBLANK('RESUMEN VIGILANCIA'!AN93),"",'RESUMEN VIGILANCIA'!AN93)</f>
        <v>141375</v>
      </c>
      <c r="AP143" s="376">
        <f>IF(ISBLANK('RESUMEN VIGILANCIA'!AO93),"",'RESUMEN VIGILANCIA'!AO93)</f>
        <v>197575</v>
      </c>
      <c r="AQ143" s="377">
        <f>IF(ISBLANK('RESUMEN VIGILANCIA'!AP93),"",'RESUMEN VIGILANCIA'!AP93)</f>
        <v>197575</v>
      </c>
      <c r="AR143" s="377">
        <f>IF(ISBLANK('RESUMEN VIGILANCIA'!AQ93),"",'RESUMEN VIGILANCIA'!AQ93)</f>
        <v>268615</v>
      </c>
      <c r="AS143" s="377">
        <f>IF(ISBLANK('RESUMEN VIGILANCIA'!AR93),"",'RESUMEN VIGILANCIA'!AR93)</f>
        <v>268615</v>
      </c>
      <c r="AT143" s="377">
        <f>IF(ISBLANK('RESUMEN VIGILANCIA'!AS93),"",'RESUMEN VIGILANCIA'!AS93)</f>
        <v>362500</v>
      </c>
      <c r="AU143" s="377" t="str">
        <f>IF(ISBLANK('RESUMEN VIGILANCIA'!AT93),"",'RESUMEN VIGILANCIA'!AT93)</f>
        <v/>
      </c>
      <c r="AV143" s="377" t="str">
        <f>IF(ISBLANK('RESUMEN VIGILANCIA'!AU93),"",'RESUMEN VIGILANCIA'!AU93)</f>
        <v/>
      </c>
      <c r="AW143" s="377" t="str">
        <f>IF(ISBLANK('RESUMEN VIGILANCIA'!AV93),"",'RESUMEN VIGILANCIA'!AV93)</f>
        <v/>
      </c>
      <c r="AX143" s="377" t="str">
        <f>IF(ISBLANK('RESUMEN VIGILANCIA'!AW93),"",'RESUMEN VIGILANCIA'!AW93)</f>
        <v/>
      </c>
      <c r="AY143" s="377" t="str">
        <f>IF(ISBLANK('RESUMEN VIGILANCIA'!AX93),"",'RESUMEN VIGILANCIA'!AX93)</f>
        <v/>
      </c>
      <c r="AZ143" s="377" t="str">
        <f>IF(ISBLANK('RESUMEN VIGILANCIA'!AY93),"",'RESUMEN VIGILANCIA'!AY93)</f>
        <v/>
      </c>
      <c r="BA143" s="378" t="str">
        <f>IF(ISBLANK('RESUMEN VIGILANCIA'!AZ93),"",'RESUMEN VIGILANCIA'!AZ93)</f>
        <v/>
      </c>
      <c r="BB143" s="298">
        <f t="shared" si="14"/>
        <v>432903.60200000001</v>
      </c>
      <c r="BC143" s="117"/>
      <c r="BD143" s="117"/>
    </row>
    <row r="144" spans="1:56">
      <c r="A144" s="43"/>
      <c r="B144" s="44" t="s">
        <v>1227</v>
      </c>
      <c r="C144" s="441"/>
      <c r="D144" s="439"/>
      <c r="E144" s="423">
        <f t="shared" ref="E144:AN144" si="15">SUM(E2:E143)</f>
        <v>0.1</v>
      </c>
      <c r="F144" s="299">
        <f t="shared" si="15"/>
        <v>10.254999999999999</v>
      </c>
      <c r="G144" s="300">
        <f t="shared" si="15"/>
        <v>10.619999999999997</v>
      </c>
      <c r="H144" s="300">
        <f t="shared" si="15"/>
        <v>10.084999999999999</v>
      </c>
      <c r="I144" s="300">
        <f t="shared" si="15"/>
        <v>10.475999999999999</v>
      </c>
      <c r="J144" s="300">
        <f t="shared" si="15"/>
        <v>15.079999999999991</v>
      </c>
      <c r="K144" s="300">
        <f t="shared" si="15"/>
        <v>15.649999999999993</v>
      </c>
      <c r="L144" s="300">
        <f t="shared" si="15"/>
        <v>20.910000000000004</v>
      </c>
      <c r="M144" s="300">
        <f t="shared" si="15"/>
        <v>21.105</v>
      </c>
      <c r="N144" s="300">
        <f t="shared" si="15"/>
        <v>20.769000000000002</v>
      </c>
      <c r="O144" s="300">
        <f t="shared" si="15"/>
        <v>21.42</v>
      </c>
      <c r="P144" s="301">
        <f t="shared" si="15"/>
        <v>30.400000000000002</v>
      </c>
      <c r="Q144" s="302">
        <f t="shared" si="15"/>
        <v>30.77</v>
      </c>
      <c r="R144" s="259">
        <f t="shared" si="15"/>
        <v>53.999999999999957</v>
      </c>
      <c r="S144" s="256">
        <f t="shared" si="15"/>
        <v>56.999999999999943</v>
      </c>
      <c r="T144" s="256">
        <f t="shared" si="15"/>
        <v>98.200000000000074</v>
      </c>
      <c r="U144" s="256">
        <f t="shared" si="15"/>
        <v>103.15000000000008</v>
      </c>
      <c r="V144" s="256">
        <f t="shared" si="15"/>
        <v>280.10000000000002</v>
      </c>
      <c r="W144" s="256">
        <f t="shared" si="15"/>
        <v>451.35</v>
      </c>
      <c r="X144" s="256">
        <f t="shared" si="15"/>
        <v>767.75</v>
      </c>
      <c r="Y144" s="256">
        <f t="shared" si="15"/>
        <v>934.85</v>
      </c>
      <c r="Z144" s="367">
        <f t="shared" si="15"/>
        <v>23201.41</v>
      </c>
      <c r="AA144" s="367">
        <f t="shared" si="15"/>
        <v>24138.5</v>
      </c>
      <c r="AB144" s="367">
        <f t="shared" si="15"/>
        <v>25420</v>
      </c>
      <c r="AC144" s="368">
        <f t="shared" si="15"/>
        <v>59421.15</v>
      </c>
      <c r="AD144" s="366">
        <f t="shared" si="15"/>
        <v>224154.2</v>
      </c>
      <c r="AE144" s="367">
        <f t="shared" si="15"/>
        <v>229490</v>
      </c>
      <c r="AF144" s="367">
        <f t="shared" si="15"/>
        <v>243715.55</v>
      </c>
      <c r="AG144" s="367">
        <f t="shared" si="15"/>
        <v>392130</v>
      </c>
      <c r="AH144" s="367">
        <f t="shared" si="15"/>
        <v>632980</v>
      </c>
      <c r="AI144" s="367">
        <f t="shared" si="15"/>
        <v>645640</v>
      </c>
      <c r="AJ144" s="367">
        <f t="shared" si="15"/>
        <v>809500</v>
      </c>
      <c r="AK144" s="367">
        <f t="shared" si="15"/>
        <v>809400</v>
      </c>
      <c r="AL144" s="367">
        <f t="shared" si="15"/>
        <v>1723176.22</v>
      </c>
      <c r="AM144" s="367">
        <f t="shared" si="15"/>
        <v>4089589</v>
      </c>
      <c r="AN144" s="367">
        <f t="shared" si="15"/>
        <v>7493371</v>
      </c>
      <c r="AO144" s="368">
        <f t="shared" ref="AO144" si="16">SUM(AO2:AO143)</f>
        <v>8064925</v>
      </c>
      <c r="AP144" s="366">
        <f t="shared" ref="AP144:AZ144" si="17">SUM(AP2:AP143)</f>
        <v>10541325</v>
      </c>
      <c r="AQ144" s="367">
        <f t="shared" si="17"/>
        <v>11317025</v>
      </c>
      <c r="AR144" s="367">
        <f t="shared" si="17"/>
        <v>14180040</v>
      </c>
      <c r="AS144" s="367">
        <f t="shared" si="17"/>
        <v>14181995.800000001</v>
      </c>
      <c r="AT144" s="367">
        <f t="shared" si="17"/>
        <v>16867000</v>
      </c>
      <c r="AU144" s="367">
        <f t="shared" si="17"/>
        <v>802300</v>
      </c>
      <c r="AV144" s="367">
        <f t="shared" si="17"/>
        <v>0</v>
      </c>
      <c r="AW144" s="367">
        <f t="shared" si="17"/>
        <v>0</v>
      </c>
      <c r="AX144" s="367">
        <f t="shared" si="17"/>
        <v>0</v>
      </c>
      <c r="AY144" s="367">
        <f t="shared" si="17"/>
        <v>0</v>
      </c>
      <c r="AZ144" s="367">
        <f t="shared" si="17"/>
        <v>0</v>
      </c>
      <c r="BA144" s="368">
        <f t="shared" ref="BA144" si="18">SUM(BA2:BA143)</f>
        <v>0</v>
      </c>
      <c r="BB144" s="303">
        <f t="shared" si="14"/>
        <v>25493216.07</v>
      </c>
      <c r="BC144" s="118"/>
      <c r="BD144" s="118"/>
    </row>
    <row r="145" spans="1:56">
      <c r="A145" s="74"/>
      <c r="B145" s="44" t="s">
        <v>1233</v>
      </c>
      <c r="C145" s="441"/>
      <c r="D145" s="439"/>
      <c r="E145" s="424">
        <f>'RESUMEN VIGILANCIA'!D145</f>
        <v>2</v>
      </c>
      <c r="F145" s="78">
        <f>'RESUMEN VIGILANCIA'!E145</f>
        <v>75</v>
      </c>
      <c r="G145" s="79">
        <f>'RESUMEN VIGILANCIA'!F145</f>
        <v>75</v>
      </c>
      <c r="H145" s="79">
        <f>'RESUMEN VIGILANCIA'!G145</f>
        <v>69</v>
      </c>
      <c r="I145" s="79">
        <f>'RESUMEN VIGILANCIA'!H145</f>
        <v>70</v>
      </c>
      <c r="J145" s="79">
        <f>'RESUMEN VIGILANCIA'!I145</f>
        <v>69</v>
      </c>
      <c r="K145" s="79">
        <f>'RESUMEN VIGILANCIA'!J145</f>
        <v>68</v>
      </c>
      <c r="L145" s="79">
        <f>'RESUMEN VIGILANCIA'!K145</f>
        <v>71</v>
      </c>
      <c r="M145" s="79">
        <f>'RESUMEN VIGILANCIA'!L145</f>
        <v>71</v>
      </c>
      <c r="N145" s="79">
        <f>'RESUMEN VIGILANCIA'!M145</f>
        <v>68</v>
      </c>
      <c r="O145" s="79">
        <f>'RESUMEN VIGILANCIA'!N145</f>
        <v>68</v>
      </c>
      <c r="P145" s="79">
        <f>'RESUMEN VIGILANCIA'!O145</f>
        <v>68</v>
      </c>
      <c r="Q145" s="77">
        <f>'RESUMEN VIGILANCIA'!P145</f>
        <v>68</v>
      </c>
      <c r="R145" s="78">
        <f>'RESUMEN VIGILANCIA'!Q145</f>
        <v>74</v>
      </c>
      <c r="S145" s="79">
        <f>'RESUMEN VIGILANCIA'!R145</f>
        <v>76</v>
      </c>
      <c r="T145" s="79">
        <f>'RESUMEN VIGILANCIA'!S145</f>
        <v>76</v>
      </c>
      <c r="U145" s="79">
        <f>'RESUMEN VIGILANCIA'!T145</f>
        <v>77</v>
      </c>
      <c r="V145" s="79">
        <f>'RESUMEN VIGILANCIA'!U145</f>
        <v>78</v>
      </c>
      <c r="W145" s="79">
        <f>'RESUMEN VIGILANCIA'!V145</f>
        <v>79</v>
      </c>
      <c r="X145" s="79">
        <f>'RESUMEN VIGILANCIA'!W145</f>
        <v>80</v>
      </c>
      <c r="Y145" s="79">
        <f>'RESUMEN VIGILANCIA'!X145</f>
        <v>78</v>
      </c>
      <c r="Z145" s="79">
        <f>'RESUMEN VIGILANCIA'!Y145</f>
        <v>75</v>
      </c>
      <c r="AA145" s="79">
        <f>'RESUMEN VIGILANCIA'!Z145</f>
        <v>77</v>
      </c>
      <c r="AB145" s="79">
        <f>'RESUMEN VIGILANCIA'!AA145</f>
        <v>76</v>
      </c>
      <c r="AC145" s="77">
        <f>'RESUMEN VIGILANCIA'!AB145</f>
        <v>76</v>
      </c>
      <c r="AD145" s="330">
        <f>'RESUMEN VIGILANCIA'!AC145</f>
        <v>78</v>
      </c>
      <c r="AE145" s="331">
        <f>'RESUMEN VIGILANCIA'!AD145</f>
        <v>78</v>
      </c>
      <c r="AF145" s="331">
        <f>'RESUMEN VIGILANCIA'!AE145</f>
        <v>79</v>
      </c>
      <c r="AG145" s="331">
        <f>'RESUMEN VIGILANCIA'!AF145</f>
        <v>80</v>
      </c>
      <c r="AH145" s="331">
        <f>'RESUMEN VIGILANCIA'!AG145</f>
        <v>81</v>
      </c>
      <c r="AI145" s="331">
        <f>'RESUMEN VIGILANCIA'!AH145</f>
        <v>81</v>
      </c>
      <c r="AJ145" s="331">
        <f>'RESUMEN VIGILANCIA'!AI145</f>
        <v>81</v>
      </c>
      <c r="AK145" s="331">
        <f>'RESUMEN VIGILANCIA'!AJ145</f>
        <v>81</v>
      </c>
      <c r="AL145" s="331">
        <f>'RESUMEN VIGILANCIA'!AK145</f>
        <v>80</v>
      </c>
      <c r="AM145" s="331">
        <f>'RESUMEN VIGILANCIA'!AL145</f>
        <v>81</v>
      </c>
      <c r="AN145" s="331">
        <f>'RESUMEN VIGILANCIA'!AM145</f>
        <v>82</v>
      </c>
      <c r="AO145" s="350">
        <f>'RESUMEN VIGILANCIA'!AN145</f>
        <v>80</v>
      </c>
      <c r="AP145" s="330">
        <f>'RESUMEN VIGILANCIA'!AO145</f>
        <v>79</v>
      </c>
      <c r="AQ145" s="331">
        <f>'RESUMEN VIGILANCIA'!AP145</f>
        <v>80</v>
      </c>
      <c r="AR145" s="331">
        <f>'RESUMEN VIGILANCIA'!AQ145</f>
        <v>79</v>
      </c>
      <c r="AS145" s="331">
        <f>'RESUMEN VIGILANCIA'!AR145</f>
        <v>76</v>
      </c>
      <c r="AT145" s="331">
        <f>'RESUMEN VIGILANCIA'!AS145</f>
        <v>69</v>
      </c>
      <c r="AU145" s="331">
        <f>'RESUMEN VIGILANCIA'!AT145</f>
        <v>4</v>
      </c>
      <c r="AV145" s="331">
        <f>'RESUMEN VIGILANCIA'!AU145</f>
        <v>0</v>
      </c>
      <c r="AW145" s="331">
        <f>'RESUMEN VIGILANCIA'!AV145</f>
        <v>0</v>
      </c>
      <c r="AX145" s="331">
        <f>'RESUMEN VIGILANCIA'!AW145</f>
        <v>0</v>
      </c>
      <c r="AY145" s="331">
        <f>'RESUMEN VIGILANCIA'!AX145</f>
        <v>0</v>
      </c>
      <c r="AZ145" s="331">
        <f>'RESUMEN VIGILANCIA'!AY145</f>
        <v>0</v>
      </c>
      <c r="BA145" s="350">
        <f>'RESUMEN VIGILANCIA'!AZ145</f>
        <v>0</v>
      </c>
      <c r="BB145" s="56">
        <f t="shared" si="14"/>
        <v>2726</v>
      </c>
      <c r="BC145" s="119"/>
      <c r="BD145" s="119"/>
    </row>
    <row r="146" spans="1:56">
      <c r="A146" s="75"/>
      <c r="B146" s="76" t="s">
        <v>1234</v>
      </c>
      <c r="C146" s="441"/>
      <c r="D146" s="439"/>
      <c r="E146" s="424">
        <f>'RESUMEN VIGILANCIA'!D146</f>
        <v>0</v>
      </c>
      <c r="F146" s="78">
        <f>'RESUMEN VIGILANCIA'!E146</f>
        <v>46</v>
      </c>
      <c r="G146" s="79">
        <f>'RESUMEN VIGILANCIA'!F146</f>
        <v>50</v>
      </c>
      <c r="H146" s="79">
        <f>'RESUMEN VIGILANCIA'!G146</f>
        <v>46</v>
      </c>
      <c r="I146" s="79">
        <f>'RESUMEN VIGILANCIA'!H146</f>
        <v>52</v>
      </c>
      <c r="J146" s="79">
        <f>'RESUMEN VIGILANCIA'!I146</f>
        <v>48</v>
      </c>
      <c r="K146" s="79">
        <f>'RESUMEN VIGILANCIA'!J146</f>
        <v>51</v>
      </c>
      <c r="L146" s="79">
        <f>'RESUMEN VIGILANCIA'!K146</f>
        <v>47</v>
      </c>
      <c r="M146" s="79">
        <f>'RESUMEN VIGILANCIA'!L146</f>
        <v>50</v>
      </c>
      <c r="N146" s="79">
        <f>'RESUMEN VIGILANCIA'!M146</f>
        <v>50</v>
      </c>
      <c r="O146" s="79">
        <f>'RESUMEN VIGILANCIA'!N146</f>
        <v>52</v>
      </c>
      <c r="P146" s="79">
        <f>'RESUMEN VIGILANCIA'!O146</f>
        <v>52</v>
      </c>
      <c r="Q146" s="77">
        <f>'RESUMEN VIGILANCIA'!P146</f>
        <v>52</v>
      </c>
      <c r="R146" s="78">
        <f>'RESUMEN VIGILANCIA'!Q146</f>
        <v>59</v>
      </c>
      <c r="S146" s="79">
        <f>'RESUMEN VIGILANCIA'!R146</f>
        <v>63</v>
      </c>
      <c r="T146" s="79">
        <f>'RESUMEN VIGILANCIA'!S146</f>
        <v>61</v>
      </c>
      <c r="U146" s="79">
        <f>'RESUMEN VIGILANCIA'!T146</f>
        <v>64</v>
      </c>
      <c r="V146" s="79">
        <f>'RESUMEN VIGILANCIA'!U146</f>
        <v>64</v>
      </c>
      <c r="W146" s="79">
        <f>'RESUMEN VIGILANCIA'!V146</f>
        <v>62</v>
      </c>
      <c r="X146" s="79">
        <f>'RESUMEN VIGILANCIA'!W146</f>
        <v>73</v>
      </c>
      <c r="Y146" s="79">
        <f>'RESUMEN VIGILANCIA'!X146</f>
        <v>73</v>
      </c>
      <c r="Z146" s="79">
        <f>'RESUMEN VIGILANCIA'!Y146</f>
        <v>68</v>
      </c>
      <c r="AA146" s="79">
        <f>'RESUMEN VIGILANCIA'!Z146</f>
        <v>70</v>
      </c>
      <c r="AB146" s="79">
        <f>'RESUMEN VIGILANCIA'!AA146</f>
        <v>72</v>
      </c>
      <c r="AC146" s="77">
        <f>'RESUMEN VIGILANCIA'!AB146</f>
        <v>69</v>
      </c>
      <c r="AD146" s="330">
        <f>'RESUMEN VIGILANCIA'!AC146</f>
        <v>71</v>
      </c>
      <c r="AE146" s="331">
        <f>'RESUMEN VIGILANCIA'!AD146</f>
        <v>72</v>
      </c>
      <c r="AF146" s="331">
        <f>'RESUMEN VIGILANCIA'!AE146</f>
        <v>75</v>
      </c>
      <c r="AG146" s="331">
        <f>'RESUMEN VIGILANCIA'!AF146</f>
        <v>74</v>
      </c>
      <c r="AH146" s="331">
        <f>'RESUMEN VIGILANCIA'!AG146</f>
        <v>75</v>
      </c>
      <c r="AI146" s="331">
        <f>'RESUMEN VIGILANCIA'!AH146</f>
        <v>76</v>
      </c>
      <c r="AJ146" s="331">
        <f>'RESUMEN VIGILANCIA'!AI146</f>
        <v>75</v>
      </c>
      <c r="AK146" s="331">
        <f>'RESUMEN VIGILANCIA'!AJ146</f>
        <v>75</v>
      </c>
      <c r="AL146" s="331">
        <f>'RESUMEN VIGILANCIA'!AK146</f>
        <v>40</v>
      </c>
      <c r="AM146" s="331">
        <f>'RESUMEN VIGILANCIA'!AL146</f>
        <v>38</v>
      </c>
      <c r="AN146" s="331">
        <f>'RESUMEN VIGILANCIA'!AM146</f>
        <v>29</v>
      </c>
      <c r="AO146" s="350">
        <f>'RESUMEN VIGILANCIA'!AN146</f>
        <v>38</v>
      </c>
      <c r="AP146" s="330">
        <f>'RESUMEN VIGILANCIA'!AO146</f>
        <v>69</v>
      </c>
      <c r="AQ146" s="331">
        <f>'RESUMEN VIGILANCIA'!AP146</f>
        <v>69</v>
      </c>
      <c r="AR146" s="331">
        <f>'RESUMEN VIGILANCIA'!AQ146</f>
        <v>66</v>
      </c>
      <c r="AS146" s="331">
        <f>'RESUMEN VIGILANCIA'!AR146</f>
        <v>70</v>
      </c>
      <c r="AT146" s="331">
        <f>'RESUMEN VIGILANCIA'!AS146</f>
        <v>62</v>
      </c>
      <c r="AU146" s="331">
        <f>'RESUMEN VIGILANCIA'!AT146</f>
        <v>4</v>
      </c>
      <c r="AV146" s="331">
        <f>'RESUMEN VIGILANCIA'!AU146</f>
        <v>0</v>
      </c>
      <c r="AW146" s="331">
        <f>'RESUMEN VIGILANCIA'!AV146</f>
        <v>0</v>
      </c>
      <c r="AX146" s="331">
        <f>'RESUMEN VIGILANCIA'!AW146</f>
        <v>0</v>
      </c>
      <c r="AY146" s="331">
        <f>'RESUMEN VIGILANCIA'!AX146</f>
        <v>0</v>
      </c>
      <c r="AZ146" s="331">
        <f>'RESUMEN VIGILANCIA'!AY146</f>
        <v>0</v>
      </c>
      <c r="BA146" s="350">
        <f>'RESUMEN VIGILANCIA'!AZ146</f>
        <v>0</v>
      </c>
      <c r="BB146" s="56">
        <f t="shared" si="14"/>
        <v>2132</v>
      </c>
      <c r="BC146" s="119"/>
      <c r="BD146" s="119"/>
    </row>
    <row r="147" spans="1:56">
      <c r="A147" s="485" t="s">
        <v>1236</v>
      </c>
      <c r="B147" s="57"/>
      <c r="C147" s="442"/>
      <c r="D147" s="443"/>
      <c r="E147" s="425"/>
      <c r="F147" s="259">
        <f>IF(NOT(ISBLANK('RESUMEN VIGILANCIA'!E148)),'RESUMEN VIGILANCIA'!E148,"")</f>
        <v>0.17</v>
      </c>
      <c r="G147" s="256">
        <f>IF(NOT(ISBLANK('RESUMEN VIGILANCIA'!F148)),'RESUMEN VIGILANCIA'!F148,"")</f>
        <v>0.17</v>
      </c>
      <c r="H147" s="256">
        <f>IF(NOT(ISBLANK('RESUMEN VIGILANCIA'!G148)),'RESUMEN VIGILANCIA'!G148,"")</f>
        <v>0.17</v>
      </c>
      <c r="I147" s="256">
        <f>IF(NOT(ISBLANK('RESUMEN VIGILANCIA'!H148)),'RESUMEN VIGILANCIA'!H148,"")</f>
        <v>0.17</v>
      </c>
      <c r="J147" s="256">
        <f>IF(NOT(ISBLANK('RESUMEN VIGILANCIA'!I148)),'RESUMEN VIGILANCIA'!I148,"")</f>
        <v>0.26</v>
      </c>
      <c r="K147" s="256">
        <f>IF(NOT(ISBLANK('RESUMEN VIGILANCIA'!J148)),'RESUMEN VIGILANCIA'!J148,"")</f>
        <v>0.26</v>
      </c>
      <c r="L147" s="256">
        <f>IF(NOT(ISBLANK('RESUMEN VIGILANCIA'!K148)),'RESUMEN VIGILANCIA'!K148,"")</f>
        <v>0.35</v>
      </c>
      <c r="M147" s="256">
        <f>IF(NOT(ISBLANK('RESUMEN VIGILANCIA'!L148)),'RESUMEN VIGILANCIA'!L148,"")</f>
        <v>0.35</v>
      </c>
      <c r="N147" s="256">
        <f>IF(NOT(ISBLANK('RESUMEN VIGILANCIA'!M148)),'RESUMEN VIGILANCIA'!M148,"")</f>
        <v>0.35</v>
      </c>
      <c r="O147" s="256">
        <f>IF(NOT(ISBLANK('RESUMEN VIGILANCIA'!N148)),'RESUMEN VIGILANCIA'!N148,"")</f>
        <v>0.35</v>
      </c>
      <c r="P147" s="256">
        <f>IF(NOT(ISBLANK('RESUMEN VIGILANCIA'!O148)),'RESUMEN VIGILANCIA'!O148,"")</f>
        <v>0.5</v>
      </c>
      <c r="Q147" s="254">
        <f>IF(NOT(ISBLANK('RESUMEN VIGILANCIA'!P148)),'RESUMEN VIGILANCIA'!P148,"")</f>
        <v>0.5</v>
      </c>
      <c r="R147" s="260">
        <f>IF(NOT(ISBLANK('RESUMEN VIGILANCIA'!Q148)),'RESUMEN VIGILANCIA'!Q148,"")</f>
        <v>0.8</v>
      </c>
      <c r="S147" s="261">
        <f>IF(NOT(ISBLANK('RESUMEN VIGILANCIA'!R148)),'RESUMEN VIGILANCIA'!R148,"")</f>
        <v>0.8</v>
      </c>
      <c r="T147" s="261">
        <f>IF(NOT(ISBLANK('RESUMEN VIGILANCIA'!S148)),'RESUMEN VIGILANCIA'!S148,"")</f>
        <v>1.4</v>
      </c>
      <c r="U147" s="261">
        <f>IF(NOT(ISBLANK('RESUMEN VIGILANCIA'!T148)),'RESUMEN VIGILANCIA'!T148,"")</f>
        <v>1.4</v>
      </c>
      <c r="V147" s="261">
        <f>IF(NOT(ISBLANK('RESUMEN VIGILANCIA'!U148)),'RESUMEN VIGILANCIA'!U148,"")</f>
        <v>4</v>
      </c>
      <c r="W147" s="261">
        <f>IF(NOT(ISBLANK('RESUMEN VIGILANCIA'!V148)),'RESUMEN VIGILANCIA'!V148,"")</f>
        <v>6.25</v>
      </c>
      <c r="X147" s="261">
        <f>IF(NOT(ISBLANK('RESUMEN VIGILANCIA'!W148)),'RESUMEN VIGILANCIA'!W148,"")</f>
        <v>10</v>
      </c>
      <c r="Y147" s="261">
        <f>IF(NOT(ISBLANK('RESUMEN VIGILANCIA'!X148)),'RESUMEN VIGILANCIA'!X148,"")</f>
        <v>12</v>
      </c>
      <c r="Z147" s="482">
        <f>IF(NOT(ISBLANK('RESUMEN VIGILANCIA'!Y148)),'RESUMEN VIGILANCIA'!Y148,"")</f>
        <v>320</v>
      </c>
      <c r="AA147" s="482">
        <f>IF(NOT(ISBLANK('RESUMEN VIGILANCIA'!Z148)),'RESUMEN VIGILANCIA'!Z148,"")</f>
        <v>320</v>
      </c>
      <c r="AB147" s="482">
        <f>IF(NOT(ISBLANK('RESUMEN VIGILANCIA'!AA148)),'RESUMEN VIGILANCIA'!AA148,"")</f>
        <v>320</v>
      </c>
      <c r="AC147" s="368">
        <f>IF(NOT(ISBLANK('RESUMEN VIGILANCIA'!AB148)),'RESUMEN VIGILANCIA'!AB148,"")</f>
        <v>800</v>
      </c>
      <c r="AD147" s="366">
        <f>IF(NOT(ISBLANK('RESUMEN VIGILANCIA'!AC148)),'RESUMEN VIGILANCIA'!AC148,"")</f>
        <v>3000</v>
      </c>
      <c r="AE147" s="367">
        <f>IF(NOT(ISBLANK('RESUMEN VIGILANCIA'!AD148)),'RESUMEN VIGILANCIA'!AD148,"")</f>
        <v>3000</v>
      </c>
      <c r="AF147" s="367">
        <f>IF(NOT(ISBLANK('RESUMEN VIGILANCIA'!AE148)),'RESUMEN VIGILANCIA'!AE148,"")</f>
        <v>3000</v>
      </c>
      <c r="AG147" s="367">
        <f>IF(NOT(ISBLANK('RESUMEN VIGILANCIA'!AF148)),'RESUMEN VIGILANCIA'!AF148,"")</f>
        <v>5000</v>
      </c>
      <c r="AH147" s="367">
        <f>IF(NOT(ISBLANK('RESUMEN VIGILANCIA'!AG148)),'RESUMEN VIGILANCIA'!AG148,"")</f>
        <v>8000</v>
      </c>
      <c r="AI147" s="367">
        <f>IF(NOT(ISBLANK('RESUMEN VIGILANCIA'!AH148)),'RESUMEN VIGILANCIA'!AH148,"")</f>
        <v>8000</v>
      </c>
      <c r="AJ147" s="367">
        <f>IF(NOT(ISBLANK('RESUMEN VIGILANCIA'!AI148)),'RESUMEN VIGILANCIA'!AI148,"")</f>
        <v>10000</v>
      </c>
      <c r="AK147" s="367">
        <f>IF(NOT(ISBLANK('RESUMEN VIGILANCIA'!AJ148)),'RESUMEN VIGILANCIA'!AJ148,"")</f>
        <v>10000</v>
      </c>
      <c r="AL147" s="367">
        <f>IF(NOT(ISBLANK('RESUMEN VIGILANCIA'!AK148)),'RESUMEN VIGILANCIA'!AK148,"")</f>
        <v>20720</v>
      </c>
      <c r="AM147" s="367">
        <f>IF(NOT(ISBLANK('RESUMEN VIGILANCIA'!AL148)),'RESUMEN VIGILANCIA'!AL148,"")</f>
        <v>50250</v>
      </c>
      <c r="AN147" s="367">
        <f>IF(NOT(ISBLANK('RESUMEN VIGILANCIA'!AM148)),'RESUMEN VIGILANCIA'!AM148,"")</f>
        <v>65450</v>
      </c>
      <c r="AO147" s="368">
        <f>IF(NOT(ISBLANK('RESUMEN VIGILANCIA'!AN148)),'RESUMEN VIGILANCIA'!AN148,"")</f>
        <v>100041.66666666667</v>
      </c>
      <c r="AP147" s="366">
        <f>IF(NOT(ISBLANK('RESUMEN VIGILANCIA'!AO148)),'RESUMEN VIGILANCIA'!AO148,"")</f>
        <v>130050</v>
      </c>
      <c r="AQ147" s="367">
        <f>IF(NOT(ISBLANK('RESUMEN VIGILANCIA'!AP148)),'RESUMEN VIGILANCIA'!AP148,"")</f>
        <v>136250</v>
      </c>
      <c r="AR147" s="367">
        <f>IF(NOT(ISBLANK('RESUMEN VIGILANCIA'!AQ148)),'RESUMEN VIGILANCIA'!AQ148,"")</f>
        <v>185250</v>
      </c>
      <c r="AS147" s="367">
        <f>IF(NOT(ISBLANK('RESUMEN VIGILANCIA'!AR148)),'RESUMEN VIGILANCIA'!AR148,"")</f>
        <v>185250</v>
      </c>
      <c r="AT147" s="367">
        <f>IF(NOT(ISBLANK('RESUMEN VIGILANCIA'!AS148)),'RESUMEN VIGILANCIA'!AS148,"")</f>
        <v>250000</v>
      </c>
      <c r="AU147" s="367">
        <f>IF(NOT(ISBLANK('RESUMEN VIGILANCIA'!AT148)),'RESUMEN VIGILANCIA'!AT148,"")</f>
        <v>0</v>
      </c>
      <c r="AV147" s="367">
        <f>IF(NOT(ISBLANK('RESUMEN VIGILANCIA'!AU148)),'RESUMEN VIGILANCIA'!AU148,"")</f>
        <v>0</v>
      </c>
      <c r="AW147" s="367">
        <f>IF(NOT(ISBLANK('RESUMEN VIGILANCIA'!AV148)),'RESUMEN VIGILANCIA'!AV148,"")</f>
        <v>0</v>
      </c>
      <c r="AX147" s="367">
        <f>IF(NOT(ISBLANK('RESUMEN VIGILANCIA'!AW148)),'RESUMEN VIGILANCIA'!AW148,"")</f>
        <v>0</v>
      </c>
      <c r="AY147" s="367">
        <f>IF(NOT(ISBLANK('RESUMEN VIGILANCIA'!AX148)),'RESUMEN VIGILANCIA'!AX148,"")</f>
        <v>0</v>
      </c>
      <c r="AZ147" s="367">
        <f>IF(NOT(ISBLANK('RESUMEN VIGILANCIA'!AY148)),'RESUMEN VIGILANCIA'!AY148,"")</f>
        <v>0</v>
      </c>
      <c r="BA147" s="368">
        <f>IF(NOT(ISBLANK('RESUMEN VIGILANCIA'!AZ148)),'RESUMEN VIGILANCIA'!AZ148,"")</f>
        <v>0</v>
      </c>
      <c r="BB147" s="262"/>
      <c r="BC147" s="120"/>
      <c r="BD147" s="120"/>
    </row>
    <row r="148" spans="1:56">
      <c r="A148" s="82" t="s">
        <v>1237</v>
      </c>
      <c r="B148" s="57"/>
      <c r="C148" s="484"/>
      <c r="D148" s="443"/>
      <c r="E148" s="425"/>
      <c r="F148" s="259">
        <f>IF(NOT(ISBLANK('RESUMEN VIGILANCIA'!E149)),'RESUMEN VIGILANCIA'!E149,"")</f>
        <v>0.12</v>
      </c>
      <c r="G148" s="256">
        <f>IF(NOT(ISBLANK('RESUMEN VIGILANCIA'!F149)),'RESUMEN VIGILANCIA'!F149,"")</f>
        <v>0.2</v>
      </c>
      <c r="H148" s="256">
        <f>IF(NOT(ISBLANK('RESUMEN VIGILANCIA'!G149)),'RESUMEN VIGILANCIA'!G149,"")</f>
        <v>0.2</v>
      </c>
      <c r="I148" s="256">
        <f>IF(NOT(ISBLANK('RESUMEN VIGILANCIA'!H149)),'RESUMEN VIGILANCIA'!H149,"")</f>
        <v>0.2</v>
      </c>
      <c r="J148" s="256">
        <f>IF(NOT(ISBLANK('RESUMEN VIGILANCIA'!I149)),'RESUMEN VIGILANCIA'!I149,"")</f>
        <v>0.3</v>
      </c>
      <c r="K148" s="256">
        <f>IF(NOT(ISBLANK('RESUMEN VIGILANCIA'!J149)),'RESUMEN VIGILANCIA'!J149,"")</f>
        <v>0.3</v>
      </c>
      <c r="L148" s="256">
        <f>IF(NOT(ISBLANK('RESUMEN VIGILANCIA'!K149)),'RESUMEN VIGILANCIA'!K149,"")</f>
        <v>0.4</v>
      </c>
      <c r="M148" s="256">
        <f>IF(NOT(ISBLANK('RESUMEN VIGILANCIA'!L149)),'RESUMEN VIGILANCIA'!L149,"")</f>
        <v>0.4</v>
      </c>
      <c r="N148" s="256">
        <f>IF(NOT(ISBLANK('RESUMEN VIGILANCIA'!M149)),'RESUMEN VIGILANCIA'!M149,"")</f>
        <v>0.4</v>
      </c>
      <c r="O148" s="256">
        <f>IF(NOT(ISBLANK('RESUMEN VIGILANCIA'!N149)),'RESUMEN VIGILANCIA'!N149,"")</f>
        <v>0.4</v>
      </c>
      <c r="P148" s="256">
        <f>IF(NOT(ISBLANK('RESUMEN VIGILANCIA'!O149)),'RESUMEN VIGILANCIA'!O149,"")</f>
        <v>0.54</v>
      </c>
      <c r="Q148" s="254">
        <f>IF(NOT(ISBLANK('RESUMEN VIGILANCIA'!P149)),'RESUMEN VIGILANCIA'!P149,"")</f>
        <v>0.54</v>
      </c>
      <c r="R148" s="260">
        <f>IF(NOT(ISBLANK('RESUMEN VIGILANCIA'!Q149)),'RESUMEN VIGILANCIA'!Q149,"")</f>
        <v>0.86399999999999999</v>
      </c>
      <c r="S148" s="261">
        <f>IF(NOT(ISBLANK('RESUMEN VIGILANCIA'!R149)),'RESUMEN VIGILANCIA'!R149,"")</f>
        <v>0.86399999999999999</v>
      </c>
      <c r="T148" s="261">
        <f>IF(NOT(ISBLANK('RESUMEN VIGILANCIA'!S149)),'RESUMEN VIGILANCIA'!S149,"")</f>
        <v>1.55</v>
      </c>
      <c r="U148" s="261">
        <f>IF(NOT(ISBLANK('RESUMEN VIGILANCIA'!T149)),'RESUMEN VIGILANCIA'!T149,"")</f>
        <v>1.55</v>
      </c>
      <c r="V148" s="261">
        <f>IF(NOT(ISBLANK('RESUMEN VIGILANCIA'!U149)),'RESUMEN VIGILANCIA'!U149,"")</f>
        <v>4.4000000000000004</v>
      </c>
      <c r="W148" s="261">
        <f>IF(NOT(ISBLANK('RESUMEN VIGILANCIA'!V149)),'RESUMEN VIGILANCIA'!V149,"")</f>
        <v>6.875</v>
      </c>
      <c r="X148" s="261">
        <f>IF(NOT(ISBLANK('RESUMEN VIGILANCIA'!W149)),'RESUMEN VIGILANCIA'!W149,"")</f>
        <v>11</v>
      </c>
      <c r="Y148" s="261">
        <f>IF(NOT(ISBLANK('RESUMEN VIGILANCIA'!X149)),'RESUMEN VIGILANCIA'!X149,"")</f>
        <v>13.2</v>
      </c>
      <c r="Z148" s="482">
        <f>IF(NOT(ISBLANK('RESUMEN VIGILANCIA'!Y149)),'RESUMEN VIGILANCIA'!Y149,"")</f>
        <v>355</v>
      </c>
      <c r="AA148" s="482">
        <f>IF(NOT(ISBLANK('RESUMEN VIGILANCIA'!Z149)),'RESUMEN VIGILANCIA'!Z149,"")</f>
        <v>355</v>
      </c>
      <c r="AB148" s="482">
        <f>IF(NOT(ISBLANK('RESUMEN VIGILANCIA'!AA149)),'RESUMEN VIGILANCIA'!AA149,"")</f>
        <v>355</v>
      </c>
      <c r="AC148" s="368">
        <f>IF(NOT(ISBLANK('RESUMEN VIGILANCIA'!AB149)),'RESUMEN VIGILANCIA'!AB149,"")</f>
        <v>880</v>
      </c>
      <c r="AD148" s="366">
        <f>IF(NOT(ISBLANK('RESUMEN VIGILANCIA'!AC149)),'RESUMEN VIGILANCIA'!AC149,"")</f>
        <v>3300</v>
      </c>
      <c r="AE148" s="367">
        <f>IF(NOT(ISBLANK('RESUMEN VIGILANCIA'!AD149)),'RESUMEN VIGILANCIA'!AD149,"")</f>
        <v>3300</v>
      </c>
      <c r="AF148" s="367">
        <f>IF(NOT(ISBLANK('RESUMEN VIGILANCIA'!AE149)),'RESUMEN VIGILANCIA'!AE149,"")</f>
        <v>3300</v>
      </c>
      <c r="AG148" s="367">
        <f>IF(NOT(ISBLANK('RESUMEN VIGILANCIA'!AF149)),'RESUMEN VIGILANCIA'!AF149,"")</f>
        <v>5500</v>
      </c>
      <c r="AH148" s="367">
        <f>IF(NOT(ISBLANK('RESUMEN VIGILANCIA'!AG149)),'RESUMEN VIGILANCIA'!AG149,"")</f>
        <v>8800</v>
      </c>
      <c r="AI148" s="367">
        <f>IF(NOT(ISBLANK('RESUMEN VIGILANCIA'!AH149)),'RESUMEN VIGILANCIA'!AH149,"")</f>
        <v>8800</v>
      </c>
      <c r="AJ148" s="367">
        <f>IF(NOT(ISBLANK('RESUMEN VIGILANCIA'!AI149)),'RESUMEN VIGILANCIA'!AI149,"")</f>
        <v>11000</v>
      </c>
      <c r="AK148" s="367">
        <f>IF(NOT(ISBLANK('RESUMEN VIGILANCIA'!AJ149)),'RESUMEN VIGILANCIA'!AJ149,"")</f>
        <v>11000</v>
      </c>
      <c r="AL148" s="367">
        <f>IF(NOT(ISBLANK('RESUMEN VIGILANCIA'!AK149)),'RESUMEN VIGILANCIA'!AK149,"")</f>
        <v>22795</v>
      </c>
      <c r="AM148" s="367">
        <f>IF(NOT(ISBLANK('RESUMEN VIGILANCIA'!AL149)),'RESUMEN VIGILANCIA'!AL149,"")</f>
        <v>55275</v>
      </c>
      <c r="AN148" s="367">
        <f>IF(NOT(ISBLANK('RESUMEN VIGILANCIA'!AM149)),'RESUMEN VIGILANCIA'!AM149,"")</f>
        <v>71995</v>
      </c>
      <c r="AO148" s="368">
        <f>IF(NOT(ISBLANK('RESUMEN VIGILANCIA'!AN149)),'RESUMEN VIGILANCIA'!AN149,"")</f>
        <v>110050</v>
      </c>
      <c r="AP148" s="366">
        <f>IF(NOT(ISBLANK('RESUMEN VIGILANCIA'!AO149)),'RESUMEN VIGILANCIA'!AO149,"")</f>
        <v>143055</v>
      </c>
      <c r="AQ148" s="367">
        <f>IF(NOT(ISBLANK('RESUMEN VIGILANCIA'!AP149)),'RESUMEN VIGILANCIA'!AP149,"")</f>
        <v>149875</v>
      </c>
      <c r="AR148" s="367">
        <f>IF(NOT(ISBLANK('RESUMEN VIGILANCIA'!AQ149)),'RESUMEN VIGILANCIA'!AQ149,"")</f>
        <v>203775</v>
      </c>
      <c r="AS148" s="367">
        <f>IF(NOT(ISBLANK('RESUMEN VIGILANCIA'!AR149)),'RESUMEN VIGILANCIA'!AR149,"")</f>
        <v>203775</v>
      </c>
      <c r="AT148" s="367">
        <f>IF(NOT(ISBLANK('RESUMEN VIGILANCIA'!AS149)),'RESUMEN VIGILANCIA'!AS149,"")</f>
        <v>275000</v>
      </c>
      <c r="AU148" s="367">
        <f>IF(NOT(ISBLANK('RESUMEN VIGILANCIA'!AT149)),'RESUMEN VIGILANCIA'!AT149,"")</f>
        <v>0</v>
      </c>
      <c r="AV148" s="367">
        <f>IF(NOT(ISBLANK('RESUMEN VIGILANCIA'!AU149)),'RESUMEN VIGILANCIA'!AU149,"")</f>
        <v>0</v>
      </c>
      <c r="AW148" s="367">
        <f>IF(NOT(ISBLANK('RESUMEN VIGILANCIA'!AV149)),'RESUMEN VIGILANCIA'!AV149,"")</f>
        <v>0</v>
      </c>
      <c r="AX148" s="367">
        <f>IF(NOT(ISBLANK('RESUMEN VIGILANCIA'!AW149)),'RESUMEN VIGILANCIA'!AW149,"")</f>
        <v>0</v>
      </c>
      <c r="AY148" s="367">
        <f>IF(NOT(ISBLANK('RESUMEN VIGILANCIA'!AX149)),'RESUMEN VIGILANCIA'!AX149,"")</f>
        <v>0</v>
      </c>
      <c r="AZ148" s="367">
        <f>IF(NOT(ISBLANK('RESUMEN VIGILANCIA'!AY149)),'RESUMEN VIGILANCIA'!AY149,"")</f>
        <v>0</v>
      </c>
      <c r="BA148" s="368">
        <f>IF(NOT(ISBLANK('RESUMEN VIGILANCIA'!AZ149)),'RESUMEN VIGILANCIA'!AZ149,"")</f>
        <v>0</v>
      </c>
      <c r="BB148" s="262"/>
      <c r="BC148" s="120"/>
      <c r="BD148" s="120"/>
    </row>
    <row r="149" spans="1:56">
      <c r="A149" s="82" t="s">
        <v>1238</v>
      </c>
      <c r="B149" s="57"/>
      <c r="C149" s="484"/>
      <c r="D149" s="443"/>
      <c r="E149" s="425"/>
      <c r="F149" s="259">
        <f>IF(NOT(ISBLANK('RESUMEN VIGILANCIA'!E150)),'RESUMEN VIGILANCIA'!E150,"")</f>
        <v>0.3</v>
      </c>
      <c r="G149" s="256">
        <f>IF(NOT(ISBLANK('RESUMEN VIGILANCIA'!F150)),'RESUMEN VIGILANCIA'!F150,"")</f>
        <v>0.3</v>
      </c>
      <c r="H149" s="256">
        <f>IF(NOT(ISBLANK('RESUMEN VIGILANCIA'!G150)),'RESUMEN VIGILANCIA'!G150,"")</f>
        <v>0.3</v>
      </c>
      <c r="I149" s="256">
        <f>IF(NOT(ISBLANK('RESUMEN VIGILANCIA'!H150)),'RESUMEN VIGILANCIA'!H150,"")</f>
        <v>0.3</v>
      </c>
      <c r="J149" s="256">
        <f>IF(NOT(ISBLANK('RESUMEN VIGILANCIA'!I150)),'RESUMEN VIGILANCIA'!I150,"")</f>
        <v>0.4</v>
      </c>
      <c r="K149" s="256">
        <f>IF(NOT(ISBLANK('RESUMEN VIGILANCIA'!J150)),'RESUMEN VIGILANCIA'!J150,"")</f>
        <v>0.4</v>
      </c>
      <c r="L149" s="256">
        <f>IF(NOT(ISBLANK('RESUMEN VIGILANCIA'!K150)),'RESUMEN VIGILANCIA'!K150,"")</f>
        <v>0.54</v>
      </c>
      <c r="M149" s="256">
        <f>IF(NOT(ISBLANK('RESUMEN VIGILANCIA'!L150)),'RESUMEN VIGILANCIA'!L150,"")</f>
        <v>0.54</v>
      </c>
      <c r="N149" s="256">
        <f>IF(NOT(ISBLANK('RESUMEN VIGILANCIA'!M150)),'RESUMEN VIGILANCIA'!M150,"")</f>
        <v>0.54</v>
      </c>
      <c r="O149" s="256">
        <f>IF(NOT(ISBLANK('RESUMEN VIGILANCIA'!N150)),'RESUMEN VIGILANCIA'!N150,"")</f>
        <v>0.54</v>
      </c>
      <c r="P149" s="256">
        <f>IF(NOT(ISBLANK('RESUMEN VIGILANCIA'!O150)),'RESUMEN VIGILANCIA'!O150,"")</f>
        <v>0.71</v>
      </c>
      <c r="Q149" s="254">
        <f>IF(NOT(ISBLANK('RESUMEN VIGILANCIA'!P150)),'RESUMEN VIGILANCIA'!P150,"")</f>
        <v>0.71</v>
      </c>
      <c r="R149" s="260">
        <f>IF(NOT(ISBLANK('RESUMEN VIGILANCIA'!Q150)),'RESUMEN VIGILANCIA'!Q150,"")</f>
        <v>1.1359999999999999</v>
      </c>
      <c r="S149" s="261">
        <f>IF(NOT(ISBLANK('RESUMEN VIGILANCIA'!R150)),'RESUMEN VIGILANCIA'!R150,"")</f>
        <v>1.1359999999999999</v>
      </c>
      <c r="T149" s="261">
        <f>IF(NOT(ISBLANK('RESUMEN VIGILANCIA'!S150)),'RESUMEN VIGILANCIA'!S150,"")</f>
        <v>2</v>
      </c>
      <c r="U149" s="261">
        <f>IF(NOT(ISBLANK('RESUMEN VIGILANCIA'!T150)),'RESUMEN VIGILANCIA'!T150,"")</f>
        <v>2</v>
      </c>
      <c r="V149" s="261">
        <f>IF(NOT(ISBLANK('RESUMEN VIGILANCIA'!U150)),'RESUMEN VIGILANCIA'!U150,"")</f>
        <v>5.8</v>
      </c>
      <c r="W149" s="261">
        <f>IF(NOT(ISBLANK('RESUMEN VIGILANCIA'!V150)),'RESUMEN VIGILANCIA'!V150,"")</f>
        <v>9.0649999999999995</v>
      </c>
      <c r="X149" s="261">
        <f>IF(NOT(ISBLANK('RESUMEN VIGILANCIA'!W150)),'RESUMEN VIGILANCIA'!W150,"")</f>
        <v>14.5</v>
      </c>
      <c r="Y149" s="261">
        <f>IF(NOT(ISBLANK('RESUMEN VIGILANCIA'!X150)),'RESUMEN VIGILANCIA'!X150,"")</f>
        <v>17.399999999999999</v>
      </c>
      <c r="Z149" s="482">
        <f>IF(NOT(ISBLANK('RESUMEN VIGILANCIA'!Y150)),'RESUMEN VIGILANCIA'!Y150,"")</f>
        <v>465</v>
      </c>
      <c r="AA149" s="482">
        <f>IF(NOT(ISBLANK('RESUMEN VIGILANCIA'!Z150)),'RESUMEN VIGILANCIA'!Z150,"")</f>
        <v>465</v>
      </c>
      <c r="AB149" s="482">
        <f>IF(NOT(ISBLANK('RESUMEN VIGILANCIA'!AA150)),'RESUMEN VIGILANCIA'!AA150,"")</f>
        <v>465</v>
      </c>
      <c r="AC149" s="368">
        <f>IF(NOT(ISBLANK('RESUMEN VIGILANCIA'!AB150)),'RESUMEN VIGILANCIA'!AB150,"")</f>
        <v>1160</v>
      </c>
      <c r="AD149" s="366">
        <f>IF(NOT(ISBLANK('RESUMEN VIGILANCIA'!AC150)),'RESUMEN VIGILANCIA'!AC150,"")</f>
        <v>4350</v>
      </c>
      <c r="AE149" s="367">
        <f>IF(NOT(ISBLANK('RESUMEN VIGILANCIA'!AD150)),'RESUMEN VIGILANCIA'!AD150,"")</f>
        <v>4350</v>
      </c>
      <c r="AF149" s="367">
        <f>IF(NOT(ISBLANK('RESUMEN VIGILANCIA'!AE150)),'RESUMEN VIGILANCIA'!AE150,"")</f>
        <v>4350</v>
      </c>
      <c r="AG149" s="367">
        <f>IF(NOT(ISBLANK('RESUMEN VIGILANCIA'!AF150)),'RESUMEN VIGILANCIA'!AF150,"")</f>
        <v>7250</v>
      </c>
      <c r="AH149" s="367">
        <f>IF(NOT(ISBLANK('RESUMEN VIGILANCIA'!AG150)),'RESUMEN VIGILANCIA'!AG150,"")</f>
        <v>11600</v>
      </c>
      <c r="AI149" s="367">
        <f>IF(NOT(ISBLANK('RESUMEN VIGILANCIA'!AH150)),'RESUMEN VIGILANCIA'!AH150,"")</f>
        <v>11600</v>
      </c>
      <c r="AJ149" s="367">
        <f>IF(NOT(ISBLANK('RESUMEN VIGILANCIA'!AI150)),'RESUMEN VIGILANCIA'!AI150,"")</f>
        <v>14500</v>
      </c>
      <c r="AK149" s="367">
        <f>IF(NOT(ISBLANK('RESUMEN VIGILANCIA'!AJ150)),'RESUMEN VIGILANCIA'!AJ150,"")</f>
        <v>14500</v>
      </c>
      <c r="AL149" s="367">
        <f>IF(NOT(ISBLANK('RESUMEN VIGILANCIA'!AK150)),'RESUMEN VIGILANCIA'!AK150,"")</f>
        <v>30045</v>
      </c>
      <c r="AM149" s="367">
        <f>IF(NOT(ISBLANK('RESUMEN VIGILANCIA'!AL150)),'RESUMEN VIGILANCIA'!AL150,"")</f>
        <v>72865</v>
      </c>
      <c r="AN149" s="367">
        <f>IF(NOT(ISBLANK('RESUMEN VIGILANCIA'!AM150)),'RESUMEN VIGILANCIA'!AM150,"")</f>
        <v>94905</v>
      </c>
      <c r="AO149" s="368">
        <f>IF(NOT(ISBLANK('RESUMEN VIGILANCIA'!AN150)),'RESUMEN VIGILANCIA'!AN150,"")</f>
        <v>145060</v>
      </c>
      <c r="AP149" s="366">
        <f>IF(NOT(ISBLANK('RESUMEN VIGILANCIA'!AO150)),'RESUMEN VIGILANCIA'!AO150,"")</f>
        <v>188575</v>
      </c>
      <c r="AQ149" s="367">
        <f>IF(NOT(ISBLANK('RESUMEN VIGILANCIA'!AP150)),'RESUMEN VIGILANCIA'!AP150,"")</f>
        <v>197565</v>
      </c>
      <c r="AR149" s="367">
        <f>IF(NOT(ISBLANK('RESUMEN VIGILANCIA'!AQ150)),'RESUMEN VIGILANCIA'!AQ150,"")</f>
        <v>268615</v>
      </c>
      <c r="AS149" s="367">
        <f>IF(NOT(ISBLANK('RESUMEN VIGILANCIA'!AR150)),'RESUMEN VIGILANCIA'!AR150,"")</f>
        <v>268615</v>
      </c>
      <c r="AT149" s="367">
        <f>IF(NOT(ISBLANK('RESUMEN VIGILANCIA'!AS150)),'RESUMEN VIGILANCIA'!AS150,"")</f>
        <v>362500</v>
      </c>
      <c r="AU149" s="367">
        <f>IF(NOT(ISBLANK('RESUMEN VIGILANCIA'!AT150)),'RESUMEN VIGILANCIA'!AT150,"")</f>
        <v>0</v>
      </c>
      <c r="AV149" s="367">
        <f>IF(NOT(ISBLANK('RESUMEN VIGILANCIA'!AU150)),'RESUMEN VIGILANCIA'!AU150,"")</f>
        <v>0</v>
      </c>
      <c r="AW149" s="367">
        <f>IF(NOT(ISBLANK('RESUMEN VIGILANCIA'!AV150)),'RESUMEN VIGILANCIA'!AV150,"")</f>
        <v>0</v>
      </c>
      <c r="AX149" s="367">
        <f>IF(NOT(ISBLANK('RESUMEN VIGILANCIA'!AW150)),'RESUMEN VIGILANCIA'!AW150,"")</f>
        <v>0</v>
      </c>
      <c r="AY149" s="367">
        <f>IF(NOT(ISBLANK('RESUMEN VIGILANCIA'!AX150)),'RESUMEN VIGILANCIA'!AX150,"")</f>
        <v>0</v>
      </c>
      <c r="AZ149" s="367">
        <f>IF(NOT(ISBLANK('RESUMEN VIGILANCIA'!AY150)),'RESUMEN VIGILANCIA'!AY150,"")</f>
        <v>0</v>
      </c>
      <c r="BA149" s="368">
        <f>IF(NOT(ISBLANK('RESUMEN VIGILANCIA'!AZ150)),'RESUMEN VIGILANCIA'!AZ150,"")</f>
        <v>0</v>
      </c>
      <c r="BB149" s="262"/>
      <c r="BC149" s="120"/>
      <c r="BD149" s="120"/>
    </row>
  </sheetData>
  <autoFilter ref="A1:BB149"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L156"/>
  <sheetViews>
    <sheetView showGridLines="0" workbookViewId="0">
      <pane xSplit="2" ySplit="1" topLeftCell="C143" activePane="bottomRight" state="frozen"/>
      <selection pane="bottomRight" activeCell="C144" sqref="C144"/>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1" width="11.28515625" customWidth="1"/>
    <col min="12" max="12" width="1.7109375" customWidth="1"/>
    <col min="13" max="41" width="10.7109375" customWidth="1"/>
  </cols>
  <sheetData>
    <row r="1" spans="1:12" s="618" customFormat="1" ht="41.25">
      <c r="A1" s="579" t="s">
        <v>5</v>
      </c>
      <c r="B1" s="579" t="s">
        <v>7</v>
      </c>
      <c r="C1" s="580" t="s">
        <v>452</v>
      </c>
      <c r="D1" s="580" t="s">
        <v>673</v>
      </c>
      <c r="E1" s="580" t="s">
        <v>745</v>
      </c>
      <c r="F1" s="580" t="s">
        <v>827</v>
      </c>
      <c r="G1" s="580" t="s">
        <v>1217</v>
      </c>
      <c r="H1" s="580" t="s">
        <v>368</v>
      </c>
      <c r="I1" s="580" t="s">
        <v>459</v>
      </c>
      <c r="J1" s="580" t="s">
        <v>733</v>
      </c>
      <c r="K1" s="580" t="s">
        <v>652</v>
      </c>
    </row>
    <row r="2" spans="1:12">
      <c r="A2" s="30" t="str">
        <f>'RESUMEN VIGILANCIA'!A2</f>
        <v>Familia Scabuzzo Gómez</v>
      </c>
      <c r="B2" s="31" t="str">
        <f>'RESUMEN VIGILANCIA'!B2</f>
        <v>Av. "I" Nro. 146-20</v>
      </c>
      <c r="C2" s="181">
        <f>SUMIFS(Vigilancia!$E:$E,Vigilancia!$F:$F,$A2,Vigilancia!$J:$J,C$1)</f>
        <v>0</v>
      </c>
      <c r="D2" s="181">
        <f>SUMIFS(Vigilancia!$E:$E,Vigilancia!$F:$F,$A2,Vigilancia!$J:$J,D$1)</f>
        <v>4</v>
      </c>
      <c r="E2" s="181">
        <f>SUMIFS(Vigilancia!$E:$E,Vigilancia!$F:$F,$A2,Vigilancia!$J:$J,E$1)</f>
        <v>0</v>
      </c>
      <c r="F2" s="181">
        <f>SUMIFS(Vigilancia!$E:$E,Vigilancia!$F:$F,$A2,Vigilancia!$J:$J,F$1)</f>
        <v>10</v>
      </c>
      <c r="G2" s="181">
        <f>SUMIFS(Vigilancia!$E:$E,Vigilancia!$F:$F,$A2,Vigilancia!$J:$J,G$1)</f>
        <v>0</v>
      </c>
      <c r="H2" s="181">
        <f>SUMIFS(Vigilancia!$E:$E,Vigilancia!$F:$F,$A2,Vigilancia!$J:$J,H$1)</f>
        <v>0</v>
      </c>
      <c r="I2" s="181">
        <f>SUMIFS(Vigilancia!$E:$E,Vigilancia!$F:$F,$A2,Vigilancia!$J:$J,I$1)</f>
        <v>0</v>
      </c>
      <c r="J2" s="181">
        <f>SUMIFS(Vigilancia!$E:$E,Vigilancia!$F:$F,$A2,Vigilancia!$J:$J,J$1)</f>
        <v>0</v>
      </c>
      <c r="K2" s="181">
        <f>SUMIFS(Vigilancia!$E:$E,Vigilancia!$F:$F,$A2,Vigilancia!$J:$J,K$1)</f>
        <v>0</v>
      </c>
    </row>
    <row r="3" spans="1:12">
      <c r="A3" s="30" t="str">
        <f>'RESUMEN VIGILANCIA'!A3</f>
        <v>Familia Hoyte Rafmari</v>
      </c>
      <c r="B3" s="31" t="str">
        <f>'RESUMEN VIGILANCIA'!B3</f>
        <v>Av. "I" Nro. 146-30</v>
      </c>
      <c r="C3" s="181">
        <f>SUMIFS(Vigilancia!$E:$E,Vigilancia!$F:$F,$A3,Vigilancia!$J:$J,C$1)</f>
        <v>0</v>
      </c>
      <c r="D3" s="181">
        <f>SUMIFS(Vigilancia!$E:$E,Vigilancia!$F:$F,$A3,Vigilancia!$J:$J,D$1)</f>
        <v>0</v>
      </c>
      <c r="E3" s="181">
        <f>SUMIFS(Vigilancia!$E:$E,Vigilancia!$F:$F,$A3,Vigilancia!$J:$J,E$1)</f>
        <v>0</v>
      </c>
      <c r="F3" s="181">
        <f>SUMIFS(Vigilancia!$E:$E,Vigilancia!$F:$F,$A3,Vigilancia!$J:$J,F$1)</f>
        <v>0</v>
      </c>
      <c r="G3" s="181">
        <f>SUMIFS(Vigilancia!$E:$E,Vigilancia!$F:$F,$A3,Vigilancia!$J:$J,G$1)</f>
        <v>0</v>
      </c>
      <c r="H3" s="181">
        <f>SUMIFS(Vigilancia!$E:$E,Vigilancia!$F:$F,$A3,Vigilancia!$J:$J,H$1)</f>
        <v>0</v>
      </c>
      <c r="I3" s="181">
        <f>SUMIFS(Vigilancia!$E:$E,Vigilancia!$F:$F,$A3,Vigilancia!$J:$J,I$1)</f>
        <v>0</v>
      </c>
      <c r="J3" s="181">
        <f>SUMIFS(Vigilancia!$E:$E,Vigilancia!$F:$F,$A3,Vigilancia!$J:$J,J$1)</f>
        <v>0</v>
      </c>
      <c r="K3" s="181">
        <f>SUMIFS(Vigilancia!$E:$E,Vigilancia!$F:$F,$A3,Vigilancia!$J:$J,K$1)</f>
        <v>0</v>
      </c>
    </row>
    <row r="4" spans="1:12">
      <c r="A4" s="30" t="str">
        <f>'RESUMEN VIGILANCIA'!A4</f>
        <v>Familia Il Grande Franceschi</v>
      </c>
      <c r="B4" s="31" t="str">
        <f>'RESUMEN VIGILANCIA'!B4</f>
        <v>Av. "I" Nro. 146-40</v>
      </c>
      <c r="C4" s="181">
        <f>SUMIFS(Vigilancia!$E:$E,Vigilancia!$F:$F,$A4,Vigilancia!$J:$J,C$1)</f>
        <v>0</v>
      </c>
      <c r="D4" s="181">
        <f>SUMIFS(Vigilancia!$E:$E,Vigilancia!$F:$F,$A4,Vigilancia!$J:$J,D$1)</f>
        <v>3.5</v>
      </c>
      <c r="E4" s="181">
        <f>SUMIFS(Vigilancia!$E:$E,Vigilancia!$F:$F,$A4,Vigilancia!$J:$J,E$1)</f>
        <v>0</v>
      </c>
      <c r="F4" s="181">
        <f>SUMIFS(Vigilancia!$E:$E,Vigilancia!$F:$F,$A4,Vigilancia!$J:$J,F$1)</f>
        <v>0</v>
      </c>
      <c r="G4" s="181">
        <f>SUMIFS(Vigilancia!$E:$E,Vigilancia!$F:$F,$A4,Vigilancia!$J:$J,G$1)</f>
        <v>50000</v>
      </c>
      <c r="H4" s="181">
        <f>SUMIFS(Vigilancia!$E:$E,Vigilancia!$F:$F,$A4,Vigilancia!$J:$J,H$1)</f>
        <v>0</v>
      </c>
      <c r="I4" s="181">
        <f>SUMIFS(Vigilancia!$E:$E,Vigilancia!$F:$F,$A4,Vigilancia!$J:$J,I$1)</f>
        <v>0</v>
      </c>
      <c r="J4" s="181">
        <f>SUMIFS(Vigilancia!$E:$E,Vigilancia!$F:$F,$A4,Vigilancia!$J:$J,J$1)</f>
        <v>0</v>
      </c>
      <c r="K4" s="181">
        <f>SUMIFS(Vigilancia!$E:$E,Vigilancia!$F:$F,$A4,Vigilancia!$J:$J,K$1)</f>
        <v>0</v>
      </c>
    </row>
    <row r="5" spans="1:12">
      <c r="A5" s="30" t="str">
        <f>'RESUMEN VIGILANCIA'!A5</f>
        <v>Jocsan Orta Correa</v>
      </c>
      <c r="B5" s="31" t="str">
        <f>'RESUMEN VIGILANCIA'!B5</f>
        <v>Av. "L" anexo de Los Tronquitos</v>
      </c>
      <c r="C5" s="181">
        <f>SUMIFS(Vigilancia!$E:$E,Vigilancia!$F:$F,$A5,Vigilancia!$J:$J,C$1)</f>
        <v>0</v>
      </c>
      <c r="D5" s="181">
        <f>SUMIFS(Vigilancia!$E:$E,Vigilancia!$F:$F,$A5,Vigilancia!$J:$J,D$1)</f>
        <v>0</v>
      </c>
      <c r="E5" s="304">
        <f>SUMIFS(Vigilancia!$E:$E,Vigilancia!$F:$F,$A5,Vigilancia!$J:$J,E$1)</f>
        <v>0</v>
      </c>
      <c r="F5" s="304">
        <f>SUMIFS(Vigilancia!$E:$E,Vigilancia!$F:$F,$A5,Vigilancia!$J:$J,F$1)</f>
        <v>0</v>
      </c>
      <c r="G5" s="181">
        <f>SUMIFS(Vigilancia!$E:$E,Vigilancia!$F:$F,$A5,Vigilancia!$J:$J,G$1)</f>
        <v>0</v>
      </c>
      <c r="H5" s="181">
        <f>SUMIFS(Vigilancia!$E:$E,Vigilancia!$F:$F,$A5,Vigilancia!$J:$J,H$1)</f>
        <v>0</v>
      </c>
      <c r="I5" s="181">
        <f>SUMIFS(Vigilancia!$E:$E,Vigilancia!$F:$F,$A5,Vigilancia!$J:$J,I$1)</f>
        <v>0</v>
      </c>
      <c r="J5" s="181">
        <f>SUMIFS(Vigilancia!$E:$E,Vigilancia!$F:$F,$A5,Vigilancia!$J:$J,J$1)</f>
        <v>0</v>
      </c>
      <c r="K5" s="181">
        <f>SUMIFS(Vigilancia!$E:$E,Vigilancia!$F:$F,$A5,Vigilancia!$J:$J,K$1)</f>
        <v>0</v>
      </c>
    </row>
    <row r="6" spans="1:12">
      <c r="A6" s="30" t="str">
        <f>'RESUMEN VIGILANCIA'!A6</f>
        <v>Sra. Reina Meléndez</v>
      </c>
      <c r="B6" s="31" t="str">
        <f>'RESUMEN VIGILANCIA'!B6</f>
        <v>Av. "M" Nro. 145-10</v>
      </c>
      <c r="C6" s="181">
        <f>SUMIFS(Vigilancia!$E:$E,Vigilancia!$F:$F,$A6,Vigilancia!$J:$J,C$1)</f>
        <v>7.0000000000000007E-2</v>
      </c>
      <c r="D6" s="181">
        <f>SUMIFS(Vigilancia!$E:$E,Vigilancia!$F:$F,$A6,Vigilancia!$J:$J,D$1)</f>
        <v>3.5</v>
      </c>
      <c r="E6" s="304">
        <f>SUMIFS(Vigilancia!$E:$E,Vigilancia!$F:$F,$A6,Vigilancia!$J:$J,E$1)</f>
        <v>12.2</v>
      </c>
      <c r="F6" s="304">
        <f>SUMIFS(Vigilancia!$E:$E,Vigilancia!$F:$F,$A6,Vigilancia!$J:$J,F$1)</f>
        <v>10</v>
      </c>
      <c r="G6" s="181">
        <f>SUMIFS(Vigilancia!$E:$E,Vigilancia!$F:$F,$A6,Vigilancia!$J:$J,G$1)</f>
        <v>50000</v>
      </c>
      <c r="H6" s="181">
        <f>SUMIFS(Vigilancia!$E:$E,Vigilancia!$F:$F,$A6,Vigilancia!$J:$J,H$1)</f>
        <v>0</v>
      </c>
      <c r="I6" s="181">
        <f>SUMIFS(Vigilancia!$E:$E,Vigilancia!$F:$F,$A6,Vigilancia!$J:$J,I$1)</f>
        <v>0</v>
      </c>
      <c r="J6" s="181">
        <f>SUMIFS(Vigilancia!$E:$E,Vigilancia!$F:$F,$A6,Vigilancia!$J:$J,J$1)</f>
        <v>0</v>
      </c>
      <c r="K6" s="181">
        <f>SUMIFS(Vigilancia!$E:$E,Vigilancia!$F:$F,$A6,Vigilancia!$J:$J,K$1)</f>
        <v>0</v>
      </c>
    </row>
    <row r="7" spans="1:12">
      <c r="A7" s="30" t="str">
        <f>'RESUMEN VIGILANCIA'!A7</f>
        <v>Familia Barreto Pérez</v>
      </c>
      <c r="B7" s="31" t="str">
        <f>'RESUMEN VIGILANCIA'!B7</f>
        <v>Av. "M" Nro. 146-15</v>
      </c>
      <c r="C7" s="181">
        <f>SUMIFS(Vigilancia!$E:$E,Vigilancia!$F:$F,$A7,Vigilancia!$J:$J,C$1)</f>
        <v>0</v>
      </c>
      <c r="D7" s="181">
        <f>SUMIFS(Vigilancia!$E:$E,Vigilancia!$F:$F,$A7,Vigilancia!$J:$J,D$1)</f>
        <v>3.5</v>
      </c>
      <c r="E7" s="304">
        <f>SUMIFS(Vigilancia!$E:$E,Vigilancia!$F:$F,$A7,Vigilancia!$J:$J,E$1)</f>
        <v>0</v>
      </c>
      <c r="F7" s="304">
        <f>SUMIFS(Vigilancia!$E:$E,Vigilancia!$F:$F,$A7,Vigilancia!$J:$J,F$1)</f>
        <v>10</v>
      </c>
      <c r="G7" s="181">
        <f>SUMIFS(Vigilancia!$E:$E,Vigilancia!$F:$F,$A7,Vigilancia!$J:$J,G$1)</f>
        <v>50000</v>
      </c>
      <c r="H7" s="181">
        <f>SUMIFS(Vigilancia!$E:$E,Vigilancia!$F:$F,$A7,Vigilancia!$J:$J,H$1)</f>
        <v>0</v>
      </c>
      <c r="I7" s="181">
        <f>SUMIFS(Vigilancia!$E:$E,Vigilancia!$F:$F,$A7,Vigilancia!$J:$J,I$1)</f>
        <v>0</v>
      </c>
      <c r="J7" s="181">
        <f>SUMIFS(Vigilancia!$E:$E,Vigilancia!$F:$F,$A7,Vigilancia!$J:$J,J$1)</f>
        <v>0</v>
      </c>
      <c r="K7" s="181">
        <f>SUMIFS(Vigilancia!$E:$E,Vigilancia!$F:$F,$A7,Vigilancia!$J:$J,K$1)</f>
        <v>0</v>
      </c>
    </row>
    <row r="8" spans="1:12">
      <c r="A8" s="30" t="str">
        <f>'RESUMEN VIGILANCIA'!A8</f>
        <v>Familia Flores Montagne</v>
      </c>
      <c r="B8" s="31" t="str">
        <f>'RESUMEN VIGILANCIA'!B8</f>
        <v>Av. "M" Nro. 146-20</v>
      </c>
      <c r="C8" s="181">
        <f>SUMIFS(Vigilancia!$E:$E,Vigilancia!$F:$F,$A8,Vigilancia!$J:$J,C$1)</f>
        <v>0</v>
      </c>
      <c r="D8" s="181">
        <f>SUMIFS(Vigilancia!$E:$E,Vigilancia!$F:$F,$A8,Vigilancia!$J:$J,D$1)</f>
        <v>0</v>
      </c>
      <c r="E8" s="304">
        <f>SUMIFS(Vigilancia!$E:$E,Vigilancia!$F:$F,$A8,Vigilancia!$J:$J,E$1)</f>
        <v>0</v>
      </c>
      <c r="F8" s="304">
        <f>SUMIFS(Vigilancia!$E:$E,Vigilancia!$F:$F,$A8,Vigilancia!$J:$J,F$1)</f>
        <v>10</v>
      </c>
      <c r="G8" s="181">
        <f>SUMIFS(Vigilancia!$E:$E,Vigilancia!$F:$F,$A8,Vigilancia!$J:$J,G$1)</f>
        <v>0</v>
      </c>
      <c r="H8" s="181">
        <f>SUMIFS(Vigilancia!$E:$E,Vigilancia!$F:$F,$A8,Vigilancia!$J:$J,H$1)</f>
        <v>0</v>
      </c>
      <c r="I8" s="181">
        <f>SUMIFS(Vigilancia!$E:$E,Vigilancia!$F:$F,$A8,Vigilancia!$J:$J,I$1)</f>
        <v>0</v>
      </c>
      <c r="J8" s="181">
        <f>SUMIFS(Vigilancia!$E:$E,Vigilancia!$F:$F,$A8,Vigilancia!$J:$J,J$1)</f>
        <v>0</v>
      </c>
      <c r="K8" s="181">
        <f>SUMIFS(Vigilancia!$E:$E,Vigilancia!$F:$F,$A8,Vigilancia!$J:$J,K$1)</f>
        <v>0</v>
      </c>
    </row>
    <row r="9" spans="1:12">
      <c r="A9" s="30" t="str">
        <f>'RESUMEN VIGILANCIA'!A9</f>
        <v>Judith Lazo</v>
      </c>
      <c r="B9" s="31" t="str">
        <f>'RESUMEN VIGILANCIA'!B9</f>
        <v>Av. "M" Nro. 146-25</v>
      </c>
      <c r="C9" s="181">
        <f>SUMIFS(Vigilancia!$E:$E,Vigilancia!$F:$F,$A9,Vigilancia!$J:$J,C$1)</f>
        <v>0</v>
      </c>
      <c r="D9" s="181">
        <f>SUMIFS(Vigilancia!$E:$E,Vigilancia!$F:$F,$A9,Vigilancia!$J:$J,D$1)</f>
        <v>0</v>
      </c>
      <c r="E9" s="304">
        <f>SUMIFS(Vigilancia!$E:$E,Vigilancia!$F:$F,$A9,Vigilancia!$J:$J,E$1)</f>
        <v>0</v>
      </c>
      <c r="F9" s="304">
        <f>SUMIFS(Vigilancia!$E:$E,Vigilancia!$F:$F,$A9,Vigilancia!$J:$J,F$1)</f>
        <v>10</v>
      </c>
      <c r="G9" s="181">
        <f>SUMIFS(Vigilancia!$E:$E,Vigilancia!$F:$F,$A9,Vigilancia!$J:$J,G$1)</f>
        <v>50000</v>
      </c>
      <c r="H9" s="181">
        <f>SUMIFS(Vigilancia!$E:$E,Vigilancia!$F:$F,$A9,Vigilancia!$J:$J,H$1)</f>
        <v>0</v>
      </c>
      <c r="I9" s="181">
        <f>SUMIFS(Vigilancia!$E:$E,Vigilancia!$F:$F,$A9,Vigilancia!$J:$J,I$1)</f>
        <v>0</v>
      </c>
      <c r="J9" s="181">
        <f>SUMIFS(Vigilancia!$E:$E,Vigilancia!$F:$F,$A9,Vigilancia!$J:$J,J$1)</f>
        <v>0</v>
      </c>
      <c r="K9" s="181">
        <f>SUMIFS(Vigilancia!$E:$E,Vigilancia!$F:$F,$A9,Vigilancia!$J:$J,K$1)</f>
        <v>0</v>
      </c>
    </row>
    <row r="10" spans="1:12">
      <c r="A10" s="59" t="str">
        <f>'RESUMEN VIGILANCIA'!A10</f>
        <v>La Casita Encantada</v>
      </c>
      <c r="B10" s="60" t="str">
        <f>'RESUMEN VIGILANCIA'!B10</f>
        <v>Av. "M" Nro. 146-30</v>
      </c>
      <c r="C10" s="213">
        <f>SUMIFS(Vigilancia!$E:$E,Vigilancia!$F:$F,$A10,Vigilancia!$J:$J,C$1)</f>
        <v>7.0000000000000007E-2</v>
      </c>
      <c r="D10" s="213">
        <f>SUMIFS(Vigilancia!$E:$E,Vigilancia!$F:$F,$A10,Vigilancia!$J:$J,D$1)</f>
        <v>3.5</v>
      </c>
      <c r="E10" s="213">
        <f>SUMIFS(Vigilancia!$E:$E,Vigilancia!$F:$F,$A10,Vigilancia!$J:$J,E$1)</f>
        <v>12.2</v>
      </c>
      <c r="F10" s="213">
        <f>SUMIFS(Vigilancia!$E:$E,Vigilancia!$F:$F,$A10,Vigilancia!$J:$J,F$1)</f>
        <v>0</v>
      </c>
      <c r="G10" s="213">
        <f>SUMIFS(Vigilancia!$E:$E,Vigilancia!$F:$F,$A10,Vigilancia!$J:$J,G$1)</f>
        <v>0</v>
      </c>
      <c r="H10" s="213">
        <f>SUMIFS(Vigilancia!$E:$E,Vigilancia!$F:$F,$A10,Vigilancia!$J:$J,H$1)</f>
        <v>0</v>
      </c>
      <c r="I10" s="213">
        <f>SUMIFS(Vigilancia!$E:$E,Vigilancia!$F:$F,$A10,Vigilancia!$J:$J,I$1)</f>
        <v>0</v>
      </c>
      <c r="J10" s="213">
        <f>SUMIFS(Vigilancia!$E:$E,Vigilancia!$F:$F,$A10,Vigilancia!$J:$J,J$1)</f>
        <v>0</v>
      </c>
      <c r="K10" s="213">
        <f>SUMIFS(Vigilancia!$E:$E,Vigilancia!$F:$F,$A10,Vigilancia!$J:$J,K$1)</f>
        <v>0</v>
      </c>
      <c r="L10" s="122"/>
    </row>
    <row r="11" spans="1:12">
      <c r="A11" s="59" t="str">
        <f>'RESUMEN VIGILANCIA'!A11</f>
        <v>Familia Calzadilla Trujillo</v>
      </c>
      <c r="B11" s="60" t="str">
        <f>'RESUMEN VIGILANCIA'!B11</f>
        <v>Av. "M" Nro. 146-30</v>
      </c>
      <c r="C11" s="213">
        <f>SUMIFS(Vigilancia!$E:$E,Vigilancia!$F:$F,$A11,Vigilancia!$J:$J,C$1)</f>
        <v>0</v>
      </c>
      <c r="D11" s="213">
        <f>SUMIFS(Vigilancia!$E:$E,Vigilancia!$F:$F,$A11,Vigilancia!$J:$J,D$1)</f>
        <v>0</v>
      </c>
      <c r="E11" s="213">
        <f>SUMIFS(Vigilancia!$E:$E,Vigilancia!$F:$F,$A11,Vigilancia!$J:$J,E$1)</f>
        <v>0</v>
      </c>
      <c r="F11" s="213">
        <f>SUMIFS(Vigilancia!$E:$E,Vigilancia!$F:$F,$A11,Vigilancia!$J:$J,F$1)</f>
        <v>0</v>
      </c>
      <c r="G11" s="213">
        <f>SUMIFS(Vigilancia!$E:$E,Vigilancia!$F:$F,$A11,Vigilancia!$J:$J,G$1)</f>
        <v>0</v>
      </c>
      <c r="H11" s="213">
        <f>SUMIFS(Vigilancia!$E:$E,Vigilancia!$F:$F,$A11,Vigilancia!$J:$J,H$1)</f>
        <v>0</v>
      </c>
      <c r="I11" s="213">
        <f>SUMIFS(Vigilancia!$E:$E,Vigilancia!$F:$F,$A11,Vigilancia!$J:$J,I$1)</f>
        <v>0</v>
      </c>
      <c r="J11" s="213">
        <f>SUMIFS(Vigilancia!$E:$E,Vigilancia!$F:$F,$A11,Vigilancia!$J:$J,J$1)</f>
        <v>0</v>
      </c>
      <c r="K11" s="213">
        <f>SUMIFS(Vigilancia!$E:$E,Vigilancia!$F:$F,$A11,Vigilancia!$J:$J,K$1)</f>
        <v>0</v>
      </c>
      <c r="L11" s="123"/>
    </row>
    <row r="12" spans="1:12">
      <c r="A12" s="30" t="str">
        <f>'RESUMEN VIGILANCIA'!A12</f>
        <v>Santiago Varela</v>
      </c>
      <c r="B12" s="31" t="str">
        <f>'RESUMEN VIGILANCIA'!B12</f>
        <v>Av. "M" Nro. 146-30</v>
      </c>
      <c r="C12" s="181">
        <f>SUMIFS(Vigilancia!$E:$E,Vigilancia!$F:$F,$A12,Vigilancia!$J:$J,C$1)</f>
        <v>0</v>
      </c>
      <c r="D12" s="181">
        <f>SUMIFS(Vigilancia!$E:$E,Vigilancia!$F:$F,$A12,Vigilancia!$J:$J,D$1)</f>
        <v>0</v>
      </c>
      <c r="E12" s="304">
        <f>SUMIFS(Vigilancia!$E:$E,Vigilancia!$F:$F,$A12,Vigilancia!$J:$J,E$1)</f>
        <v>0</v>
      </c>
      <c r="F12" s="304">
        <f>SUMIFS(Vigilancia!$E:$E,Vigilancia!$F:$F,$A12,Vigilancia!$J:$J,F$1)</f>
        <v>0</v>
      </c>
      <c r="G12" s="181">
        <f>SUMIFS(Vigilancia!$E:$E,Vigilancia!$F:$F,$A12,Vigilancia!$J:$J,G$1)</f>
        <v>50000</v>
      </c>
      <c r="H12" s="181">
        <f>SUMIFS(Vigilancia!$E:$E,Vigilancia!$F:$F,$A12,Vigilancia!$J:$J,H$1)</f>
        <v>0</v>
      </c>
      <c r="I12" s="181">
        <f>SUMIFS(Vigilancia!$E:$E,Vigilancia!$F:$F,$A12,Vigilancia!$J:$J,I$1)</f>
        <v>0</v>
      </c>
      <c r="J12" s="181">
        <f>SUMIFS(Vigilancia!$E:$E,Vigilancia!$F:$F,$A12,Vigilancia!$J:$J,J$1)</f>
        <v>0</v>
      </c>
      <c r="K12" s="181">
        <f>SUMIFS(Vigilancia!$E:$E,Vigilancia!$F:$F,$A12,Vigilancia!$J:$J,K$1)</f>
        <v>0</v>
      </c>
      <c r="L12" s="124"/>
    </row>
    <row r="13" spans="1:12">
      <c r="A13" s="30" t="str">
        <f>'RESUMEN VIGILANCIA'!A13</f>
        <v>Ely Saúl Rivero Gómez</v>
      </c>
      <c r="B13" s="31" t="str">
        <f>'RESUMEN VIGILANCIA'!B13</f>
        <v>Av. "Ñ" Nro. 145-25</v>
      </c>
      <c r="C13" s="181">
        <f>SUMIFS(Vigilancia!$E:$E,Vigilancia!$F:$F,$A13,Vigilancia!$J:$J,C$1)</f>
        <v>7.0000000000000007E-2</v>
      </c>
      <c r="D13" s="181">
        <f>SUMIFS(Vigilancia!$E:$E,Vigilancia!$F:$F,$A13,Vigilancia!$J:$J,D$1)</f>
        <v>3.5</v>
      </c>
      <c r="E13" s="304">
        <f>SUMIFS(Vigilancia!$E:$E,Vigilancia!$F:$F,$A13,Vigilancia!$J:$J,E$1)</f>
        <v>12.2</v>
      </c>
      <c r="F13" s="304">
        <f>SUMIFS(Vigilancia!$E:$E,Vigilancia!$F:$F,$A13,Vigilancia!$J:$J,F$1)</f>
        <v>10</v>
      </c>
      <c r="G13" s="181">
        <f>SUMIFS(Vigilancia!$E:$E,Vigilancia!$F:$F,$A13,Vigilancia!$J:$J,G$1)</f>
        <v>50000</v>
      </c>
      <c r="H13" s="181">
        <f>SUMIFS(Vigilancia!$E:$E,Vigilancia!$F:$F,$A13,Vigilancia!$J:$J,H$1)</f>
        <v>0</v>
      </c>
      <c r="I13" s="181">
        <f>SUMIFS(Vigilancia!$E:$E,Vigilancia!$F:$F,$A13,Vigilancia!$J:$J,I$1)</f>
        <v>0</v>
      </c>
      <c r="J13" s="181">
        <f>SUMIFS(Vigilancia!$E:$E,Vigilancia!$F:$F,$A13,Vigilancia!$J:$J,J$1)</f>
        <v>0</v>
      </c>
      <c r="K13" s="181">
        <f>SUMIFS(Vigilancia!$E:$E,Vigilancia!$F:$F,$A13,Vigilancia!$J:$J,K$1)</f>
        <v>0</v>
      </c>
    </row>
    <row r="14" spans="1:12">
      <c r="A14" s="30" t="str">
        <f>'RESUMEN VIGILANCIA'!A14</f>
        <v>Familia González López</v>
      </c>
      <c r="B14" s="31" t="str">
        <f>'RESUMEN VIGILANCIA'!B14</f>
        <v>Av. "Ñ" Nro. 145-27</v>
      </c>
      <c r="C14" s="181">
        <f>SUMIFS(Vigilancia!$E:$E,Vigilancia!$F:$F,$A14,Vigilancia!$J:$J,C$1)</f>
        <v>0</v>
      </c>
      <c r="D14" s="181">
        <f>SUMIFS(Vigilancia!$E:$E,Vigilancia!$F:$F,$A14,Vigilancia!$J:$J,D$1)</f>
        <v>0</v>
      </c>
      <c r="E14" s="304">
        <f>SUMIFS(Vigilancia!$E:$E,Vigilancia!$F:$F,$A14,Vigilancia!$J:$J,E$1)</f>
        <v>0</v>
      </c>
      <c r="F14" s="304">
        <f>SUMIFS(Vigilancia!$E:$E,Vigilancia!$F:$F,$A14,Vigilancia!$J:$J,F$1)</f>
        <v>0</v>
      </c>
      <c r="G14" s="181">
        <f>SUMIFS(Vigilancia!$E:$E,Vigilancia!$F:$F,$A14,Vigilancia!$J:$J,G$1)</f>
        <v>0</v>
      </c>
      <c r="H14" s="181">
        <f>SUMIFS(Vigilancia!$E:$E,Vigilancia!$F:$F,$A14,Vigilancia!$J:$J,H$1)</f>
        <v>0</v>
      </c>
      <c r="I14" s="181">
        <f>SUMIFS(Vigilancia!$E:$E,Vigilancia!$F:$F,$A14,Vigilancia!$J:$J,I$1)</f>
        <v>0</v>
      </c>
      <c r="J14" s="181">
        <f>SUMIFS(Vigilancia!$E:$E,Vigilancia!$F:$F,$A14,Vigilancia!$J:$J,J$1)</f>
        <v>0</v>
      </c>
      <c r="K14" s="181">
        <f>SUMIFS(Vigilancia!$E:$E,Vigilancia!$F:$F,$A14,Vigilancia!$J:$J,K$1)</f>
        <v>0</v>
      </c>
    </row>
    <row r="15" spans="1:12">
      <c r="A15" s="30" t="str">
        <f>'RESUMEN VIGILANCIA'!A15</f>
        <v>Familia Coronel</v>
      </c>
      <c r="B15" s="31" t="str">
        <f>'RESUMEN VIGILANCIA'!B15</f>
        <v>Av. "O" Nro. 146-10</v>
      </c>
      <c r="C15" s="181">
        <f>SUMIFS(Vigilancia!$E:$E,Vigilancia!$F:$F,$A15,Vigilancia!$J:$J,C$1)</f>
        <v>0</v>
      </c>
      <c r="D15" s="181">
        <f>SUMIFS(Vigilancia!$E:$E,Vigilancia!$F:$F,$A15,Vigilancia!$J:$J,D$1)</f>
        <v>0</v>
      </c>
      <c r="E15" s="304">
        <f>SUMIFS(Vigilancia!$E:$E,Vigilancia!$F:$F,$A15,Vigilancia!$J:$J,E$1)</f>
        <v>0</v>
      </c>
      <c r="F15" s="304">
        <f>SUMIFS(Vigilancia!$E:$E,Vigilancia!$F:$F,$A15,Vigilancia!$J:$J,F$1)</f>
        <v>0</v>
      </c>
      <c r="G15" s="181">
        <f>SUMIFS(Vigilancia!$E:$E,Vigilancia!$F:$F,$A15,Vigilancia!$J:$J,G$1)</f>
        <v>0</v>
      </c>
      <c r="H15" s="181">
        <f>SUMIFS(Vigilancia!$E:$E,Vigilancia!$F:$F,$A15,Vigilancia!$J:$J,H$1)</f>
        <v>0</v>
      </c>
      <c r="I15" s="181">
        <f>SUMIFS(Vigilancia!$E:$E,Vigilancia!$F:$F,$A15,Vigilancia!$J:$J,I$1)</f>
        <v>0</v>
      </c>
      <c r="J15" s="181">
        <f>SUMIFS(Vigilancia!$E:$E,Vigilancia!$F:$F,$A15,Vigilancia!$J:$J,J$1)</f>
        <v>0</v>
      </c>
      <c r="K15" s="181">
        <f>SUMIFS(Vigilancia!$E:$E,Vigilancia!$F:$F,$A15,Vigilancia!$J:$J,K$1)</f>
        <v>0</v>
      </c>
    </row>
    <row r="16" spans="1:12">
      <c r="A16" s="30" t="str">
        <f>'RESUMEN VIGILANCIA'!A16</f>
        <v>Familia Hurtado</v>
      </c>
      <c r="B16" s="31" t="str">
        <f>'RESUMEN VIGILANCIA'!B16</f>
        <v>Av. "O" Nro. 146-11</v>
      </c>
      <c r="C16" s="181">
        <f>SUMIFS(Vigilancia!$E:$E,Vigilancia!$F:$F,$A16,Vigilancia!$J:$J,C$1)</f>
        <v>7.0000000000000007E-2</v>
      </c>
      <c r="D16" s="181">
        <f>SUMIFS(Vigilancia!$E:$E,Vigilancia!$F:$F,$A16,Vigilancia!$J:$J,D$1)</f>
        <v>0</v>
      </c>
      <c r="E16" s="304">
        <f>SUMIFS(Vigilancia!$E:$E,Vigilancia!$F:$F,$A16,Vigilancia!$J:$J,E$1)</f>
        <v>0</v>
      </c>
      <c r="F16" s="304">
        <f>SUMIFS(Vigilancia!$E:$E,Vigilancia!$F:$F,$A16,Vigilancia!$J:$J,F$1)</f>
        <v>10</v>
      </c>
      <c r="G16" s="181">
        <f>SUMIFS(Vigilancia!$E:$E,Vigilancia!$F:$F,$A16,Vigilancia!$J:$J,G$1)</f>
        <v>0</v>
      </c>
      <c r="H16" s="181">
        <f>SUMIFS(Vigilancia!$E:$E,Vigilancia!$F:$F,$A16,Vigilancia!$J:$J,H$1)</f>
        <v>0</v>
      </c>
      <c r="I16" s="181">
        <f>SUMIFS(Vigilancia!$E:$E,Vigilancia!$F:$F,$A16,Vigilancia!$J:$J,I$1)</f>
        <v>0</v>
      </c>
      <c r="J16" s="181">
        <f>SUMIFS(Vigilancia!$E:$E,Vigilancia!$F:$F,$A16,Vigilancia!$J:$J,J$1)</f>
        <v>0</v>
      </c>
      <c r="K16" s="181">
        <f>SUMIFS(Vigilancia!$E:$E,Vigilancia!$F:$F,$A16,Vigilancia!$J:$J,K$1)</f>
        <v>0</v>
      </c>
    </row>
    <row r="17" spans="1:11">
      <c r="A17" s="30" t="str">
        <f>'RESUMEN VIGILANCIA'!A17</f>
        <v>Ana de González</v>
      </c>
      <c r="B17" s="31" t="str">
        <f>'RESUMEN VIGILANCIA'!B17</f>
        <v>Av. "O" Nro. 146-17</v>
      </c>
      <c r="C17" s="181">
        <f>SUMIFS(Vigilancia!$E:$E,Vigilancia!$F:$F,$A17,Vigilancia!$J:$J,C$1)</f>
        <v>7.0000000000000007E-2</v>
      </c>
      <c r="D17" s="181">
        <f>SUMIFS(Vigilancia!$E:$E,Vigilancia!$F:$F,$A17,Vigilancia!$J:$J,D$1)</f>
        <v>3.5</v>
      </c>
      <c r="E17" s="304">
        <f>SUMIFS(Vigilancia!$E:$E,Vigilancia!$F:$F,$A17,Vigilancia!$J:$J,E$1)</f>
        <v>0</v>
      </c>
      <c r="F17" s="304">
        <f>SUMIFS(Vigilancia!$E:$E,Vigilancia!$F:$F,$A17,Vigilancia!$J:$J,F$1)</f>
        <v>0</v>
      </c>
      <c r="G17" s="181">
        <f>SUMIFS(Vigilancia!$E:$E,Vigilancia!$F:$F,$A17,Vigilancia!$J:$J,G$1)</f>
        <v>50000</v>
      </c>
      <c r="H17" s="181">
        <f>SUMIFS(Vigilancia!$E:$E,Vigilancia!$F:$F,$A17,Vigilancia!$J:$J,H$1)</f>
        <v>0.18</v>
      </c>
      <c r="I17" s="181">
        <f>SUMIFS(Vigilancia!$E:$E,Vigilancia!$F:$F,$A17,Vigilancia!$J:$J,I$1)</f>
        <v>0</v>
      </c>
      <c r="J17" s="181">
        <f>SUMIFS(Vigilancia!$E:$E,Vigilancia!$F:$F,$A17,Vigilancia!$J:$J,J$1)</f>
        <v>0</v>
      </c>
      <c r="K17" s="181">
        <f>SUMIFS(Vigilancia!$E:$E,Vigilancia!$F:$F,$A17,Vigilancia!$J:$J,K$1)</f>
        <v>0</v>
      </c>
    </row>
    <row r="18" spans="1:11">
      <c r="A18" s="30" t="str">
        <f>'RESUMEN VIGILANCIA'!A18</f>
        <v>María Luisa Gornés</v>
      </c>
      <c r="B18" s="31" t="str">
        <f>'RESUMEN VIGILANCIA'!B18</f>
        <v>Calle Guacara Nro. 87-05</v>
      </c>
      <c r="C18" s="181">
        <f>SUMIFS(Vigilancia!$E:$E,Vigilancia!$F:$F,$A18,Vigilancia!$J:$J,C$1)</f>
        <v>0</v>
      </c>
      <c r="D18" s="181">
        <f>SUMIFS(Vigilancia!$E:$E,Vigilancia!$F:$F,$A18,Vigilancia!$J:$J,D$1)</f>
        <v>0</v>
      </c>
      <c r="E18" s="304">
        <f>SUMIFS(Vigilancia!$E:$E,Vigilancia!$F:$F,$A18,Vigilancia!$J:$J,E$1)</f>
        <v>0</v>
      </c>
      <c r="F18" s="304">
        <f>SUMIFS(Vigilancia!$E:$E,Vigilancia!$F:$F,$A18,Vigilancia!$J:$J,F$1)</f>
        <v>0</v>
      </c>
      <c r="G18" s="181">
        <f>SUMIFS(Vigilancia!$E:$E,Vigilancia!$F:$F,$A18,Vigilancia!$J:$J,G$1)</f>
        <v>0</v>
      </c>
      <c r="H18" s="181">
        <f>SUMIFS(Vigilancia!$E:$E,Vigilancia!$F:$F,$A18,Vigilancia!$J:$J,H$1)</f>
        <v>0</v>
      </c>
      <c r="I18" s="181">
        <f>SUMIFS(Vigilancia!$E:$E,Vigilancia!$F:$F,$A18,Vigilancia!$J:$J,I$1)</f>
        <v>0</v>
      </c>
      <c r="J18" s="181">
        <f>SUMIFS(Vigilancia!$E:$E,Vigilancia!$F:$F,$A18,Vigilancia!$J:$J,J$1)</f>
        <v>0</v>
      </c>
      <c r="K18" s="181">
        <f>SUMIFS(Vigilancia!$E:$E,Vigilancia!$F:$F,$A18,Vigilancia!$J:$J,K$1)</f>
        <v>0</v>
      </c>
    </row>
    <row r="19" spans="1:11">
      <c r="A19" s="30" t="str">
        <f>'RESUMEN VIGILANCIA'!A19</f>
        <v>Familia Aponte . Anexo</v>
      </c>
      <c r="B19" s="31" t="str">
        <f>'RESUMEN VIGILANCIA'!B19</f>
        <v>Calle Guacara Nro. 87-05</v>
      </c>
      <c r="C19" s="181">
        <f>SUMIFS(Vigilancia!$E:$E,Vigilancia!$F:$F,$A19,Vigilancia!$J:$J,C$1)</f>
        <v>0</v>
      </c>
      <c r="D19" s="181">
        <f>SUMIFS(Vigilancia!$E:$E,Vigilancia!$F:$F,$A19,Vigilancia!$J:$J,D$1)</f>
        <v>0</v>
      </c>
      <c r="E19" s="304">
        <f>SUMIFS(Vigilancia!$E:$E,Vigilancia!$F:$F,$A19,Vigilancia!$J:$J,E$1)</f>
        <v>0</v>
      </c>
      <c r="F19" s="304">
        <f>SUMIFS(Vigilancia!$E:$E,Vigilancia!$F:$F,$A19,Vigilancia!$J:$J,F$1)</f>
        <v>0</v>
      </c>
      <c r="G19" s="181">
        <f>SUMIFS(Vigilancia!$E:$E,Vigilancia!$F:$F,$A19,Vigilancia!$J:$J,G$1)</f>
        <v>0</v>
      </c>
      <c r="H19" s="181">
        <f>SUMIFS(Vigilancia!$E:$E,Vigilancia!$F:$F,$A19,Vigilancia!$J:$J,H$1)</f>
        <v>0</v>
      </c>
      <c r="I19" s="181">
        <f>SUMIFS(Vigilancia!$E:$E,Vigilancia!$F:$F,$A19,Vigilancia!$J:$J,I$1)</f>
        <v>0</v>
      </c>
      <c r="J19" s="181">
        <f>SUMIFS(Vigilancia!$E:$E,Vigilancia!$F:$F,$A19,Vigilancia!$J:$J,J$1)</f>
        <v>0</v>
      </c>
      <c r="K19" s="181">
        <f>SUMIFS(Vigilancia!$E:$E,Vigilancia!$F:$F,$A19,Vigilancia!$J:$J,K$1)</f>
        <v>0</v>
      </c>
    </row>
    <row r="20" spans="1:11">
      <c r="A20" s="30" t="str">
        <f>'RESUMEN VIGILANCIA'!A20</f>
        <v>Familia Franco Gómez</v>
      </c>
      <c r="B20" s="31" t="str">
        <f>'RESUMEN VIGILANCIA'!B20</f>
        <v>Calle Guacara Nro. 87-07</v>
      </c>
      <c r="C20" s="181">
        <f>SUMIFS(Vigilancia!$E:$E,Vigilancia!$F:$F,$A20,Vigilancia!$J:$J,C$1)</f>
        <v>7.0000000000000007E-2</v>
      </c>
      <c r="D20" s="181">
        <f>SUMIFS(Vigilancia!$E:$E,Vigilancia!$F:$F,$A20,Vigilancia!$J:$J,D$1)</f>
        <v>3.5</v>
      </c>
      <c r="E20" s="304">
        <f>SUMIFS(Vigilancia!$E:$E,Vigilancia!$F:$F,$A20,Vigilancia!$J:$J,E$1)</f>
        <v>12.2</v>
      </c>
      <c r="F20" s="304">
        <f>SUMIFS(Vigilancia!$E:$E,Vigilancia!$F:$F,$A20,Vigilancia!$J:$J,F$1)</f>
        <v>10</v>
      </c>
      <c r="G20" s="181">
        <f>SUMIFS(Vigilancia!$E:$E,Vigilancia!$F:$F,$A20,Vigilancia!$J:$J,G$1)</f>
        <v>50000</v>
      </c>
      <c r="H20" s="181">
        <f>SUMIFS(Vigilancia!$E:$E,Vigilancia!$F:$F,$A20,Vigilancia!$J:$J,H$1)</f>
        <v>0</v>
      </c>
      <c r="I20" s="181">
        <f>SUMIFS(Vigilancia!$E:$E,Vigilancia!$F:$F,$A20,Vigilancia!$J:$J,I$1)</f>
        <v>0</v>
      </c>
      <c r="J20" s="181">
        <f>SUMIFS(Vigilancia!$E:$E,Vigilancia!$F:$F,$A20,Vigilancia!$J:$J,J$1)</f>
        <v>0</v>
      </c>
      <c r="K20" s="181">
        <f>SUMIFS(Vigilancia!$E:$E,Vigilancia!$F:$F,$A20,Vigilancia!$J:$J,K$1)</f>
        <v>0</v>
      </c>
    </row>
    <row r="21" spans="1:11">
      <c r="A21" s="37" t="str">
        <f>'RESUMEN VIGILANCIA'!A21</f>
        <v>Doris Valderrama</v>
      </c>
      <c r="B21" s="38" t="str">
        <f>'RESUMEN VIGILANCIA'!B21</f>
        <v>Calle Guacara Nro. 87-15</v>
      </c>
      <c r="C21" s="199">
        <f>SUMIFS(Vigilancia!$E:$E,Vigilancia!$F:$F,$A21,Vigilancia!$J:$J,C$1)</f>
        <v>0</v>
      </c>
      <c r="D21" s="199">
        <f>SUMIFS(Vigilancia!$E:$E,Vigilancia!$F:$F,$A21,Vigilancia!$J:$J,D$1)</f>
        <v>0</v>
      </c>
      <c r="E21" s="199">
        <f>SUMIFS(Vigilancia!$E:$E,Vigilancia!$F:$F,$A21,Vigilancia!$J:$J,E$1)</f>
        <v>0</v>
      </c>
      <c r="F21" s="199">
        <f>SUMIFS(Vigilancia!$E:$E,Vigilancia!$F:$F,$A21,Vigilancia!$J:$J,F$1)</f>
        <v>0</v>
      </c>
      <c r="G21" s="199">
        <f>SUMIFS(Vigilancia!$E:$E,Vigilancia!$F:$F,$A21,Vigilancia!$J:$J,G$1)</f>
        <v>0</v>
      </c>
      <c r="H21" s="199">
        <f>SUMIFS(Vigilancia!$E:$E,Vigilancia!$F:$F,$A21,Vigilancia!$J:$J,H$1)</f>
        <v>0</v>
      </c>
      <c r="I21" s="199">
        <f>SUMIFS(Vigilancia!$E:$E,Vigilancia!$F:$F,$A21,Vigilancia!$J:$J,I$1)</f>
        <v>0</v>
      </c>
      <c r="J21" s="199">
        <f>SUMIFS(Vigilancia!$E:$E,Vigilancia!$F:$F,$A21,Vigilancia!$J:$J,J$1)</f>
        <v>0</v>
      </c>
      <c r="K21" s="199">
        <f>SUMIFS(Vigilancia!$E:$E,Vigilancia!$F:$F,$A21,Vigilancia!$J:$J,K$1)</f>
        <v>0</v>
      </c>
    </row>
    <row r="22" spans="1:11">
      <c r="A22" s="37" t="str">
        <f>'RESUMEN VIGILANCIA'!A22</f>
        <v>Familia Delgado</v>
      </c>
      <c r="B22" s="38" t="str">
        <f>'RESUMEN VIGILANCIA'!B22</f>
        <v>Calle Guacara Nro. 87-19</v>
      </c>
      <c r="C22" s="199">
        <f>SUMIFS(Vigilancia!$E:$E,Vigilancia!$F:$F,$A22,Vigilancia!$J:$J,C$1)</f>
        <v>0</v>
      </c>
      <c r="D22" s="199">
        <f>SUMIFS(Vigilancia!$E:$E,Vigilancia!$F:$F,$A22,Vigilancia!$J:$J,D$1)</f>
        <v>0</v>
      </c>
      <c r="E22" s="199">
        <f>SUMIFS(Vigilancia!$E:$E,Vigilancia!$F:$F,$A22,Vigilancia!$J:$J,E$1)</f>
        <v>0</v>
      </c>
      <c r="F22" s="199">
        <f>SUMIFS(Vigilancia!$E:$E,Vigilancia!$F:$F,$A22,Vigilancia!$J:$J,F$1)</f>
        <v>0</v>
      </c>
      <c r="G22" s="199">
        <f>SUMIFS(Vigilancia!$E:$E,Vigilancia!$F:$F,$A22,Vigilancia!$J:$J,G$1)</f>
        <v>0</v>
      </c>
      <c r="H22" s="199">
        <f>SUMIFS(Vigilancia!$E:$E,Vigilancia!$F:$F,$A22,Vigilancia!$J:$J,H$1)</f>
        <v>0</v>
      </c>
      <c r="I22" s="199">
        <f>SUMIFS(Vigilancia!$E:$E,Vigilancia!$F:$F,$A22,Vigilancia!$J:$J,I$1)</f>
        <v>0</v>
      </c>
      <c r="J22" s="199">
        <f>SUMIFS(Vigilancia!$E:$E,Vigilancia!$F:$F,$A22,Vigilancia!$J:$J,J$1)</f>
        <v>0</v>
      </c>
      <c r="K22" s="199">
        <f>SUMIFS(Vigilancia!$E:$E,Vigilancia!$F:$F,$A22,Vigilancia!$J:$J,K$1)</f>
        <v>0</v>
      </c>
    </row>
    <row r="23" spans="1:11">
      <c r="A23" s="37" t="str">
        <f>'RESUMEN VIGILANCIA'!A23</f>
        <v>Familia Pereira</v>
      </c>
      <c r="B23" s="38" t="str">
        <f>'RESUMEN VIGILANCIA'!B23</f>
        <v>Calle Guacara Nro. 87-27</v>
      </c>
      <c r="C23" s="199">
        <f>SUMIFS(Vigilancia!$E:$E,Vigilancia!$F:$F,$A23,Vigilancia!$J:$J,C$1)</f>
        <v>0</v>
      </c>
      <c r="D23" s="199">
        <f>SUMIFS(Vigilancia!$E:$E,Vigilancia!$F:$F,$A23,Vigilancia!$J:$J,D$1)</f>
        <v>0</v>
      </c>
      <c r="E23" s="199">
        <f>SUMIFS(Vigilancia!$E:$E,Vigilancia!$F:$F,$A23,Vigilancia!$J:$J,E$1)</f>
        <v>0</v>
      </c>
      <c r="F23" s="199">
        <f>SUMIFS(Vigilancia!$E:$E,Vigilancia!$F:$F,$A23,Vigilancia!$J:$J,F$1)</f>
        <v>0</v>
      </c>
      <c r="G23" s="199">
        <f>SUMIFS(Vigilancia!$E:$E,Vigilancia!$F:$F,$A23,Vigilancia!$J:$J,G$1)</f>
        <v>0</v>
      </c>
      <c r="H23" s="199">
        <f>SUMIFS(Vigilancia!$E:$E,Vigilancia!$F:$F,$A23,Vigilancia!$J:$J,H$1)</f>
        <v>0</v>
      </c>
      <c r="I23" s="199">
        <f>SUMIFS(Vigilancia!$E:$E,Vigilancia!$F:$F,$A23,Vigilancia!$J:$J,I$1)</f>
        <v>0</v>
      </c>
      <c r="J23" s="199">
        <f>SUMIFS(Vigilancia!$E:$E,Vigilancia!$F:$F,$A23,Vigilancia!$J:$J,J$1)</f>
        <v>0</v>
      </c>
      <c r="K23" s="199">
        <f>SUMIFS(Vigilancia!$E:$E,Vigilancia!$F:$F,$A23,Vigilancia!$J:$J,K$1)</f>
        <v>0</v>
      </c>
    </row>
    <row r="24" spans="1:11">
      <c r="A24" s="37" t="str">
        <f>'RESUMEN VIGILANCIA'!A24</f>
        <v>Familia Padrón C. Bollingher</v>
      </c>
      <c r="B24" s="38" t="str">
        <f>'RESUMEN VIGILANCIA'!B24</f>
        <v>Calle Guacara Nro. 87-30</v>
      </c>
      <c r="C24" s="199">
        <f>SUMIFS(Vigilancia!$E:$E,Vigilancia!$F:$F,$A24,Vigilancia!$J:$J,C$1)</f>
        <v>0</v>
      </c>
      <c r="D24" s="199">
        <f>SUMIFS(Vigilancia!$E:$E,Vigilancia!$F:$F,$A24,Vigilancia!$J:$J,D$1)</f>
        <v>0</v>
      </c>
      <c r="E24" s="199">
        <f>SUMIFS(Vigilancia!$E:$E,Vigilancia!$F:$F,$A24,Vigilancia!$J:$J,E$1)</f>
        <v>0</v>
      </c>
      <c r="F24" s="199">
        <f>SUMIFS(Vigilancia!$E:$E,Vigilancia!$F:$F,$A24,Vigilancia!$J:$J,F$1)</f>
        <v>0</v>
      </c>
      <c r="G24" s="199">
        <f>SUMIFS(Vigilancia!$E:$E,Vigilancia!$F:$F,$A24,Vigilancia!$J:$J,G$1)</f>
        <v>0</v>
      </c>
      <c r="H24" s="199">
        <f>SUMIFS(Vigilancia!$E:$E,Vigilancia!$F:$F,$A24,Vigilancia!$J:$J,H$1)</f>
        <v>0</v>
      </c>
      <c r="I24" s="199">
        <f>SUMIFS(Vigilancia!$E:$E,Vigilancia!$F:$F,$A24,Vigilancia!$J:$J,I$1)</f>
        <v>0</v>
      </c>
      <c r="J24" s="199">
        <f>SUMIFS(Vigilancia!$E:$E,Vigilancia!$F:$F,$A24,Vigilancia!$J:$J,J$1)</f>
        <v>0</v>
      </c>
      <c r="K24" s="199">
        <f>SUMIFS(Vigilancia!$E:$E,Vigilancia!$F:$F,$A24,Vigilancia!$J:$J,K$1)</f>
        <v>0</v>
      </c>
    </row>
    <row r="25" spans="1:11">
      <c r="A25" s="37" t="str">
        <f>'RESUMEN VIGILANCIA'!A25</f>
        <v>Familia Morillo</v>
      </c>
      <c r="B25" s="38" t="str">
        <f>'RESUMEN VIGILANCIA'!B25</f>
        <v>Calle Guacara Nro. 87-35</v>
      </c>
      <c r="C25" s="199">
        <f>SUMIFS(Vigilancia!$E:$E,Vigilancia!$F:$F,$A25,Vigilancia!$J:$J,C$1)</f>
        <v>0</v>
      </c>
      <c r="D25" s="199">
        <f>SUMIFS(Vigilancia!$E:$E,Vigilancia!$F:$F,$A25,Vigilancia!$J:$J,D$1)</f>
        <v>0</v>
      </c>
      <c r="E25" s="199">
        <f>SUMIFS(Vigilancia!$E:$E,Vigilancia!$F:$F,$A25,Vigilancia!$J:$J,E$1)</f>
        <v>0</v>
      </c>
      <c r="F25" s="199">
        <f>SUMIFS(Vigilancia!$E:$E,Vigilancia!$F:$F,$A25,Vigilancia!$J:$J,F$1)</f>
        <v>0</v>
      </c>
      <c r="G25" s="199">
        <f>SUMIFS(Vigilancia!$E:$E,Vigilancia!$F:$F,$A25,Vigilancia!$J:$J,G$1)</f>
        <v>0</v>
      </c>
      <c r="H25" s="199">
        <f>SUMIFS(Vigilancia!$E:$E,Vigilancia!$F:$F,$A25,Vigilancia!$J:$J,H$1)</f>
        <v>0</v>
      </c>
      <c r="I25" s="199">
        <f>SUMIFS(Vigilancia!$E:$E,Vigilancia!$F:$F,$A25,Vigilancia!$J:$J,I$1)</f>
        <v>0</v>
      </c>
      <c r="J25" s="199">
        <f>SUMIFS(Vigilancia!$E:$E,Vigilancia!$F:$F,$A25,Vigilancia!$J:$J,J$1)</f>
        <v>0</v>
      </c>
      <c r="K25" s="199">
        <f>SUMIFS(Vigilancia!$E:$E,Vigilancia!$F:$F,$A25,Vigilancia!$J:$J,K$1)</f>
        <v>0</v>
      </c>
    </row>
    <row r="26" spans="1:11">
      <c r="A26" s="37" t="str">
        <f>'RESUMEN VIGILANCIA'!A26</f>
        <v>Familia Gorrín Gianfrancesco</v>
      </c>
      <c r="B26" s="38" t="str">
        <f>'RESUMEN VIGILANCIA'!B26</f>
        <v>Calle Guacara Nro. 87-40</v>
      </c>
      <c r="C26" s="199">
        <f>SUMIFS(Vigilancia!$E:$E,Vigilancia!$F:$F,$A26,Vigilancia!$J:$J,C$1)</f>
        <v>0</v>
      </c>
      <c r="D26" s="199">
        <f>SUMIFS(Vigilancia!$E:$E,Vigilancia!$F:$F,$A26,Vigilancia!$J:$J,D$1)</f>
        <v>0</v>
      </c>
      <c r="E26" s="199">
        <f>SUMIFS(Vigilancia!$E:$E,Vigilancia!$F:$F,$A26,Vigilancia!$J:$J,E$1)</f>
        <v>0</v>
      </c>
      <c r="F26" s="199">
        <f>SUMIFS(Vigilancia!$E:$E,Vigilancia!$F:$F,$A26,Vigilancia!$J:$J,F$1)</f>
        <v>0</v>
      </c>
      <c r="G26" s="199">
        <f>SUMIFS(Vigilancia!$E:$E,Vigilancia!$F:$F,$A26,Vigilancia!$J:$J,G$1)</f>
        <v>0</v>
      </c>
      <c r="H26" s="199">
        <f>SUMIFS(Vigilancia!$E:$E,Vigilancia!$F:$F,$A26,Vigilancia!$J:$J,H$1)</f>
        <v>0</v>
      </c>
      <c r="I26" s="199">
        <f>SUMIFS(Vigilancia!$E:$E,Vigilancia!$F:$F,$A26,Vigilancia!$J:$J,I$1)</f>
        <v>0</v>
      </c>
      <c r="J26" s="199">
        <f>SUMIFS(Vigilancia!$E:$E,Vigilancia!$F:$F,$A26,Vigilancia!$J:$J,J$1)</f>
        <v>0</v>
      </c>
      <c r="K26" s="199">
        <f>SUMIFS(Vigilancia!$E:$E,Vigilancia!$F:$F,$A26,Vigilancia!$J:$J,K$1)</f>
        <v>0</v>
      </c>
    </row>
    <row r="27" spans="1:11">
      <c r="A27" s="37" t="str">
        <f>'RESUMEN VIGILANCIA'!A27</f>
        <v>Familia Moretti</v>
      </c>
      <c r="B27" s="38" t="str">
        <f>'RESUMEN VIGILANCIA'!B27</f>
        <v>Calle Guacara Nro. 87-51</v>
      </c>
      <c r="C27" s="199">
        <f>SUMIFS(Vigilancia!$E:$E,Vigilancia!$F:$F,$A27,Vigilancia!$J:$J,C$1)</f>
        <v>0</v>
      </c>
      <c r="D27" s="199">
        <f>SUMIFS(Vigilancia!$E:$E,Vigilancia!$F:$F,$A27,Vigilancia!$J:$J,D$1)</f>
        <v>0</v>
      </c>
      <c r="E27" s="199">
        <f>SUMIFS(Vigilancia!$E:$E,Vigilancia!$F:$F,$A27,Vigilancia!$J:$J,E$1)</f>
        <v>0</v>
      </c>
      <c r="F27" s="199">
        <f>SUMIFS(Vigilancia!$E:$E,Vigilancia!$F:$F,$A27,Vigilancia!$J:$J,F$1)</f>
        <v>0</v>
      </c>
      <c r="G27" s="199">
        <f>SUMIFS(Vigilancia!$E:$E,Vigilancia!$F:$F,$A27,Vigilancia!$J:$J,G$1)</f>
        <v>0</v>
      </c>
      <c r="H27" s="199">
        <f>SUMIFS(Vigilancia!$E:$E,Vigilancia!$F:$F,$A27,Vigilancia!$J:$J,H$1)</f>
        <v>0</v>
      </c>
      <c r="I27" s="199">
        <f>SUMIFS(Vigilancia!$E:$E,Vigilancia!$F:$F,$A27,Vigilancia!$J:$J,I$1)</f>
        <v>0</v>
      </c>
      <c r="J27" s="199">
        <f>SUMIFS(Vigilancia!$E:$E,Vigilancia!$F:$F,$A27,Vigilancia!$J:$J,J$1)</f>
        <v>0</v>
      </c>
      <c r="K27" s="199">
        <f>SUMIFS(Vigilancia!$E:$E,Vigilancia!$F:$F,$A27,Vigilancia!$J:$J,K$1)</f>
        <v>0</v>
      </c>
    </row>
    <row r="28" spans="1:11">
      <c r="A28" s="37" t="str">
        <f>'RESUMEN VIGILANCIA'!A28</f>
        <v>Familia Ramírez (Guacara)</v>
      </c>
      <c r="B28" s="38" t="str">
        <f>'RESUMEN VIGILANCIA'!B28</f>
        <v>Calle Guacara Nro. 87-59</v>
      </c>
      <c r="C28" s="199">
        <f>SUMIFS(Vigilancia!$E:$E,Vigilancia!$F:$F,$A28,Vigilancia!$J:$J,C$1)</f>
        <v>0</v>
      </c>
      <c r="D28" s="199">
        <f>SUMIFS(Vigilancia!$E:$E,Vigilancia!$F:$F,$A28,Vigilancia!$J:$J,D$1)</f>
        <v>0</v>
      </c>
      <c r="E28" s="199">
        <f>SUMIFS(Vigilancia!$E:$E,Vigilancia!$F:$F,$A28,Vigilancia!$J:$J,E$1)</f>
        <v>0</v>
      </c>
      <c r="F28" s="199">
        <f>SUMIFS(Vigilancia!$E:$E,Vigilancia!$F:$F,$A28,Vigilancia!$J:$J,F$1)</f>
        <v>0</v>
      </c>
      <c r="G28" s="199">
        <f>SUMIFS(Vigilancia!$E:$E,Vigilancia!$F:$F,$A28,Vigilancia!$J:$J,G$1)</f>
        <v>0</v>
      </c>
      <c r="H28" s="199">
        <f>SUMIFS(Vigilancia!$E:$E,Vigilancia!$F:$F,$A28,Vigilancia!$J:$J,H$1)</f>
        <v>0</v>
      </c>
      <c r="I28" s="199">
        <f>SUMIFS(Vigilancia!$E:$E,Vigilancia!$F:$F,$A28,Vigilancia!$J:$J,I$1)</f>
        <v>0</v>
      </c>
      <c r="J28" s="199">
        <f>SUMIFS(Vigilancia!$E:$E,Vigilancia!$F:$F,$A28,Vigilancia!$J:$J,J$1)</f>
        <v>0</v>
      </c>
      <c r="K28" s="199">
        <f>SUMIFS(Vigilancia!$E:$E,Vigilancia!$F:$F,$A28,Vigilancia!$J:$J,K$1)</f>
        <v>0</v>
      </c>
    </row>
    <row r="29" spans="1:11">
      <c r="A29" s="37" t="str">
        <f>'RESUMEN VIGILANCIA'!A29</f>
        <v>Familia De Sousa Pereira</v>
      </c>
      <c r="B29" s="38" t="str">
        <f>'RESUMEN VIGILANCIA'!B29</f>
        <v>Calle Guacara Nro. 87-65</v>
      </c>
      <c r="C29" s="199">
        <f>SUMIFS(Vigilancia!$E:$E,Vigilancia!$F:$F,$A29,Vigilancia!$J:$J,C$1)</f>
        <v>0</v>
      </c>
      <c r="D29" s="199">
        <f>SUMIFS(Vigilancia!$E:$E,Vigilancia!$F:$F,$A29,Vigilancia!$J:$J,D$1)</f>
        <v>0</v>
      </c>
      <c r="E29" s="199">
        <f>SUMIFS(Vigilancia!$E:$E,Vigilancia!$F:$F,$A29,Vigilancia!$J:$J,E$1)</f>
        <v>0</v>
      </c>
      <c r="F29" s="199">
        <f>SUMIFS(Vigilancia!$E:$E,Vigilancia!$F:$F,$A29,Vigilancia!$J:$J,F$1)</f>
        <v>0</v>
      </c>
      <c r="G29" s="199">
        <f>SUMIFS(Vigilancia!$E:$E,Vigilancia!$F:$F,$A29,Vigilancia!$J:$J,G$1)</f>
        <v>0</v>
      </c>
      <c r="H29" s="199">
        <f>SUMIFS(Vigilancia!$E:$E,Vigilancia!$F:$F,$A29,Vigilancia!$J:$J,H$1)</f>
        <v>0</v>
      </c>
      <c r="I29" s="199">
        <f>SUMIFS(Vigilancia!$E:$E,Vigilancia!$F:$F,$A29,Vigilancia!$J:$J,I$1)</f>
        <v>0</v>
      </c>
      <c r="J29" s="199">
        <f>SUMIFS(Vigilancia!$E:$E,Vigilancia!$F:$F,$A29,Vigilancia!$J:$J,J$1)</f>
        <v>0</v>
      </c>
      <c r="K29" s="199">
        <f>SUMIFS(Vigilancia!$E:$E,Vigilancia!$F:$F,$A29,Vigilancia!$J:$J,K$1)</f>
        <v>0</v>
      </c>
    </row>
    <row r="30" spans="1:11">
      <c r="A30" s="37" t="str">
        <f>'RESUMEN VIGILANCIA'!A30</f>
        <v>Familia De Libero Marinelli</v>
      </c>
      <c r="B30" s="38" t="str">
        <f>'RESUMEN VIGILANCIA'!B30</f>
        <v>Calle Guacara Nro. 87-70</v>
      </c>
      <c r="C30" s="199">
        <f>SUMIFS(Vigilancia!$E:$E,Vigilancia!$F:$F,$A30,Vigilancia!$J:$J,C$1)</f>
        <v>0</v>
      </c>
      <c r="D30" s="199">
        <f>SUMIFS(Vigilancia!$E:$E,Vigilancia!$F:$F,$A30,Vigilancia!$J:$J,D$1)</f>
        <v>0</v>
      </c>
      <c r="E30" s="199">
        <f>SUMIFS(Vigilancia!$E:$E,Vigilancia!$F:$F,$A30,Vigilancia!$J:$J,E$1)</f>
        <v>0</v>
      </c>
      <c r="F30" s="199">
        <f>SUMIFS(Vigilancia!$E:$E,Vigilancia!$F:$F,$A30,Vigilancia!$J:$J,F$1)</f>
        <v>0</v>
      </c>
      <c r="G30" s="199">
        <f>SUMIFS(Vigilancia!$E:$E,Vigilancia!$F:$F,$A30,Vigilancia!$J:$J,G$1)</f>
        <v>0</v>
      </c>
      <c r="H30" s="199">
        <f>SUMIFS(Vigilancia!$E:$E,Vigilancia!$F:$F,$A30,Vigilancia!$J:$J,H$1)</f>
        <v>0</v>
      </c>
      <c r="I30" s="199">
        <f>SUMIFS(Vigilancia!$E:$E,Vigilancia!$F:$F,$A30,Vigilancia!$J:$J,I$1)</f>
        <v>0</v>
      </c>
      <c r="J30" s="199">
        <f>SUMIFS(Vigilancia!$E:$E,Vigilancia!$F:$F,$A30,Vigilancia!$J:$J,J$1)</f>
        <v>0</v>
      </c>
      <c r="K30" s="199">
        <f>SUMIFS(Vigilancia!$E:$E,Vigilancia!$F:$F,$A30,Vigilancia!$J:$J,K$1)</f>
        <v>0</v>
      </c>
    </row>
    <row r="31" spans="1:11">
      <c r="A31" s="37" t="str">
        <f>'RESUMEN VIGILANCIA'!A31</f>
        <v>Familia Martínez</v>
      </c>
      <c r="B31" s="38" t="str">
        <f>'RESUMEN VIGILANCIA'!B31</f>
        <v>Calle Guacara Nro. 87-80</v>
      </c>
      <c r="C31" s="199">
        <f>SUMIFS(Vigilancia!$E:$E,Vigilancia!$F:$F,$A31,Vigilancia!$J:$J,C$1)</f>
        <v>0</v>
      </c>
      <c r="D31" s="199">
        <f>SUMIFS(Vigilancia!$E:$E,Vigilancia!$F:$F,$A31,Vigilancia!$J:$J,D$1)</f>
        <v>0</v>
      </c>
      <c r="E31" s="199">
        <f>SUMIFS(Vigilancia!$E:$E,Vigilancia!$F:$F,$A31,Vigilancia!$J:$J,E$1)</f>
        <v>0</v>
      </c>
      <c r="F31" s="199">
        <f>SUMIFS(Vigilancia!$E:$E,Vigilancia!$F:$F,$A31,Vigilancia!$J:$J,F$1)</f>
        <v>0</v>
      </c>
      <c r="G31" s="199">
        <f>SUMIFS(Vigilancia!$E:$E,Vigilancia!$F:$F,$A31,Vigilancia!$J:$J,G$1)</f>
        <v>0</v>
      </c>
      <c r="H31" s="199">
        <f>SUMIFS(Vigilancia!$E:$E,Vigilancia!$F:$F,$A31,Vigilancia!$J:$J,H$1)</f>
        <v>0</v>
      </c>
      <c r="I31" s="199">
        <f>SUMIFS(Vigilancia!$E:$E,Vigilancia!$F:$F,$A31,Vigilancia!$J:$J,I$1)</f>
        <v>0</v>
      </c>
      <c r="J31" s="199">
        <f>SUMIFS(Vigilancia!$E:$E,Vigilancia!$F:$F,$A31,Vigilancia!$J:$J,J$1)</f>
        <v>0</v>
      </c>
      <c r="K31" s="199">
        <f>SUMIFS(Vigilancia!$E:$E,Vigilancia!$F:$F,$A31,Vigilancia!$J:$J,K$1)</f>
        <v>0</v>
      </c>
    </row>
    <row r="32" spans="1:11">
      <c r="A32" s="37" t="str">
        <f>'RESUMEN VIGILANCIA'!A32</f>
        <v>Familia Suarez</v>
      </c>
      <c r="B32" s="38" t="str">
        <f>'RESUMEN VIGILANCIA'!B32</f>
        <v>Calle Guacara Nro. 87-82</v>
      </c>
      <c r="C32" s="199">
        <f>SUMIFS(Vigilancia!$E:$E,Vigilancia!$F:$F,$A32,Vigilancia!$J:$J,C$1)</f>
        <v>0</v>
      </c>
      <c r="D32" s="199">
        <f>SUMIFS(Vigilancia!$E:$E,Vigilancia!$F:$F,$A32,Vigilancia!$J:$J,D$1)</f>
        <v>0</v>
      </c>
      <c r="E32" s="199">
        <f>SUMIFS(Vigilancia!$E:$E,Vigilancia!$F:$F,$A32,Vigilancia!$J:$J,E$1)</f>
        <v>0</v>
      </c>
      <c r="F32" s="199">
        <f>SUMIFS(Vigilancia!$E:$E,Vigilancia!$F:$F,$A32,Vigilancia!$J:$J,F$1)</f>
        <v>0</v>
      </c>
      <c r="G32" s="199">
        <f>SUMIFS(Vigilancia!$E:$E,Vigilancia!$F:$F,$A32,Vigilancia!$J:$J,G$1)</f>
        <v>0</v>
      </c>
      <c r="H32" s="199">
        <f>SUMIFS(Vigilancia!$E:$E,Vigilancia!$F:$F,$A32,Vigilancia!$J:$J,H$1)</f>
        <v>0</v>
      </c>
      <c r="I32" s="199">
        <f>SUMIFS(Vigilancia!$E:$E,Vigilancia!$F:$F,$A32,Vigilancia!$J:$J,I$1)</f>
        <v>0</v>
      </c>
      <c r="J32" s="199">
        <f>SUMIFS(Vigilancia!$E:$E,Vigilancia!$F:$F,$A32,Vigilancia!$J:$J,J$1)</f>
        <v>0</v>
      </c>
      <c r="K32" s="199">
        <f>SUMIFS(Vigilancia!$E:$E,Vigilancia!$F:$F,$A32,Vigilancia!$J:$J,K$1)</f>
        <v>0</v>
      </c>
    </row>
    <row r="33" spans="1:12">
      <c r="A33" s="30" t="str">
        <f>'RESUMEN VIGILANCIA'!A33</f>
        <v>Chin Chun Ya (Goya)</v>
      </c>
      <c r="B33" s="31" t="str">
        <f>'RESUMEN VIGILANCIA'!B33</f>
        <v>Calle Guacara Nro. 87-86</v>
      </c>
      <c r="C33" s="181">
        <f>SUMIFS(Vigilancia!$E:$E,Vigilancia!$F:$F,$A33,Vigilancia!$J:$J,C$1)</f>
        <v>7.0000000000000007E-2</v>
      </c>
      <c r="D33" s="181">
        <f>SUMIFS(Vigilancia!$E:$E,Vigilancia!$F:$F,$A33,Vigilancia!$J:$J,D$1)</f>
        <v>3.5</v>
      </c>
      <c r="E33" s="304">
        <f>SUMIFS(Vigilancia!$E:$E,Vigilancia!$F:$F,$A33,Vigilancia!$J:$J,E$1)</f>
        <v>12.2</v>
      </c>
      <c r="F33" s="304">
        <f>SUMIFS(Vigilancia!$E:$E,Vigilancia!$F:$F,$A33,Vigilancia!$J:$J,F$1)</f>
        <v>10</v>
      </c>
      <c r="G33" s="181">
        <f>SUMIFS(Vigilancia!$E:$E,Vigilancia!$F:$F,$A33,Vigilancia!$J:$J,G$1)</f>
        <v>0</v>
      </c>
      <c r="H33" s="181">
        <f>SUMIFS(Vigilancia!$E:$E,Vigilancia!$F:$F,$A33,Vigilancia!$J:$J,H$1)</f>
        <v>0</v>
      </c>
      <c r="I33" s="181">
        <f>SUMIFS(Vigilancia!$E:$E,Vigilancia!$F:$F,$A33,Vigilancia!$J:$J,I$1)</f>
        <v>0</v>
      </c>
      <c r="J33" s="181">
        <f>SUMIFS(Vigilancia!$E:$E,Vigilancia!$F:$F,$A33,Vigilancia!$J:$J,J$1)</f>
        <v>0</v>
      </c>
      <c r="K33" s="181">
        <f>SUMIFS(Vigilancia!$E:$E,Vigilancia!$F:$F,$A33,Vigilancia!$J:$J,K$1)</f>
        <v>0</v>
      </c>
    </row>
    <row r="34" spans="1:12">
      <c r="A34" s="30" t="str">
        <f>'RESUMEN VIGILANCIA'!A34</f>
        <v>Familia Ríos Sambrano</v>
      </c>
      <c r="B34" s="31" t="str">
        <f>'RESUMEN VIGILANCIA'!B34</f>
        <v>Calle Guacara Nro. 87-86</v>
      </c>
      <c r="C34" s="181">
        <f>SUMIFS(Vigilancia!$E:$E,Vigilancia!$F:$F,$A34,Vigilancia!$J:$J,C$1)</f>
        <v>0</v>
      </c>
      <c r="D34" s="181">
        <f>SUMIFS(Vigilancia!$E:$E,Vigilancia!$F:$F,$A34,Vigilancia!$J:$J,D$1)</f>
        <v>0</v>
      </c>
      <c r="E34" s="304">
        <f>SUMIFS(Vigilancia!$E:$E,Vigilancia!$F:$F,$A34,Vigilancia!$J:$J,E$1)</f>
        <v>0</v>
      </c>
      <c r="F34" s="304">
        <f>SUMIFS(Vigilancia!$E:$E,Vigilancia!$F:$F,$A34,Vigilancia!$J:$J,F$1)</f>
        <v>0</v>
      </c>
      <c r="G34" s="181">
        <f>SUMIFS(Vigilancia!$E:$E,Vigilancia!$F:$F,$A34,Vigilancia!$J:$J,G$1)</f>
        <v>50000</v>
      </c>
      <c r="H34" s="181">
        <f>SUMIFS(Vigilancia!$E:$E,Vigilancia!$F:$F,$A34,Vigilancia!$J:$J,H$1)</f>
        <v>0</v>
      </c>
      <c r="I34" s="181">
        <f>SUMIFS(Vigilancia!$E:$E,Vigilancia!$F:$F,$A34,Vigilancia!$J:$J,I$1)</f>
        <v>0</v>
      </c>
      <c r="J34" s="181">
        <f>SUMIFS(Vigilancia!$E:$E,Vigilancia!$F:$F,$A34,Vigilancia!$J:$J,J$1)</f>
        <v>0</v>
      </c>
      <c r="K34" s="181">
        <f>SUMIFS(Vigilancia!$E:$E,Vigilancia!$F:$F,$A34,Vigilancia!$J:$J,K$1)</f>
        <v>0</v>
      </c>
    </row>
    <row r="35" spans="1:12">
      <c r="A35" s="30" t="str">
        <f>'RESUMEN VIGILANCIA'!A35</f>
        <v>Teresita Román</v>
      </c>
      <c r="B35" s="31" t="str">
        <f>'RESUMEN VIGILANCIA'!B35</f>
        <v>Calle Guacara Nro. 87-90</v>
      </c>
      <c r="C35" s="181">
        <f>SUMIFS(Vigilancia!$E:$E,Vigilancia!$F:$F,$A35,Vigilancia!$J:$J,C$1)</f>
        <v>0</v>
      </c>
      <c r="D35" s="181">
        <f>SUMIFS(Vigilancia!$E:$E,Vigilancia!$F:$F,$A35,Vigilancia!$J:$J,D$1)</f>
        <v>0</v>
      </c>
      <c r="E35" s="304">
        <f>SUMIFS(Vigilancia!$E:$E,Vigilancia!$F:$F,$A35,Vigilancia!$J:$J,E$1)</f>
        <v>0</v>
      </c>
      <c r="F35" s="304">
        <f>SUMIFS(Vigilancia!$E:$E,Vigilancia!$F:$F,$A35,Vigilancia!$J:$J,F$1)</f>
        <v>0</v>
      </c>
      <c r="G35" s="181">
        <f>SUMIFS(Vigilancia!$E:$E,Vigilancia!$F:$F,$A35,Vigilancia!$J:$J,G$1)</f>
        <v>0</v>
      </c>
      <c r="H35" s="181">
        <f>SUMIFS(Vigilancia!$E:$E,Vigilancia!$F:$F,$A35,Vigilancia!$J:$J,H$1)</f>
        <v>0</v>
      </c>
      <c r="I35" s="181">
        <f>SUMIFS(Vigilancia!$E:$E,Vigilancia!$F:$F,$A35,Vigilancia!$J:$J,I$1)</f>
        <v>0</v>
      </c>
      <c r="J35" s="181">
        <f>SUMIFS(Vigilancia!$E:$E,Vigilancia!$F:$F,$A35,Vigilancia!$J:$J,J$1)</f>
        <v>0</v>
      </c>
      <c r="K35" s="181">
        <f>SUMIFS(Vigilancia!$E:$E,Vigilancia!$F:$F,$A35,Vigilancia!$J:$J,K$1)</f>
        <v>0</v>
      </c>
    </row>
    <row r="36" spans="1:12">
      <c r="A36" s="30" t="str">
        <f>'RESUMEN VIGILANCIA'!A36</f>
        <v>Familia Puerta Burguillos</v>
      </c>
      <c r="B36" s="31" t="str">
        <f>'RESUMEN VIGILANCIA'!B36</f>
        <v>Calle Guacara Nro. 87-100</v>
      </c>
      <c r="C36" s="181">
        <f>SUMIFS(Vigilancia!$E:$E,Vigilancia!$F:$F,$A36,Vigilancia!$J:$J,C$1)</f>
        <v>7.0000000000000007E-2</v>
      </c>
      <c r="D36" s="181">
        <f>SUMIFS(Vigilancia!$E:$E,Vigilancia!$F:$F,$A36,Vigilancia!$J:$J,D$1)</f>
        <v>3.5</v>
      </c>
      <c r="E36" s="304">
        <f>SUMIFS(Vigilancia!$E:$E,Vigilancia!$F:$F,$A36,Vigilancia!$J:$J,E$1)</f>
        <v>12.2</v>
      </c>
      <c r="F36" s="304">
        <f>SUMIFS(Vigilancia!$E:$E,Vigilancia!$F:$F,$A36,Vigilancia!$J:$J,F$1)</f>
        <v>10</v>
      </c>
      <c r="G36" s="181">
        <f>SUMIFS(Vigilancia!$E:$E,Vigilancia!$F:$F,$A36,Vigilancia!$J:$J,G$1)</f>
        <v>50000</v>
      </c>
      <c r="H36" s="181">
        <f>SUMIFS(Vigilancia!$E:$E,Vigilancia!$F:$F,$A36,Vigilancia!$J:$J,H$1)</f>
        <v>0</v>
      </c>
      <c r="I36" s="181">
        <f>SUMIFS(Vigilancia!$E:$E,Vigilancia!$F:$F,$A36,Vigilancia!$J:$J,I$1)</f>
        <v>0</v>
      </c>
      <c r="J36" s="181">
        <f>SUMIFS(Vigilancia!$E:$E,Vigilancia!$F:$F,$A36,Vigilancia!$J:$J,J$1)</f>
        <v>0</v>
      </c>
      <c r="K36" s="181">
        <f>SUMIFS(Vigilancia!$E:$E,Vigilancia!$F:$F,$A36,Vigilancia!$J:$J,K$1)</f>
        <v>0</v>
      </c>
    </row>
    <row r="37" spans="1:12">
      <c r="A37" s="30" t="str">
        <f>'RESUMEN VIGILANCIA'!A37</f>
        <v>Familia Méndez Parra</v>
      </c>
      <c r="B37" s="31" t="str">
        <f>'RESUMEN VIGILANCIA'!B37</f>
        <v>Calle Guacara Nro. 88-19</v>
      </c>
      <c r="C37" s="181">
        <f>SUMIFS(Vigilancia!$E:$E,Vigilancia!$F:$F,$A37,Vigilancia!$J:$J,C$1)</f>
        <v>4.3200000000000002E-2</v>
      </c>
      <c r="D37" s="181">
        <f>SUMIFS(Vigilancia!$E:$E,Vigilancia!$F:$F,$A37,Vigilancia!$J:$J,D$1)</f>
        <v>3.5</v>
      </c>
      <c r="E37" s="304">
        <f>SUMIFS(Vigilancia!$E:$E,Vigilancia!$F:$F,$A37,Vigilancia!$J:$J,E$1)</f>
        <v>12</v>
      </c>
      <c r="F37" s="304">
        <f>SUMIFS(Vigilancia!$E:$E,Vigilancia!$F:$F,$A37,Vigilancia!$J:$J,F$1)</f>
        <v>0</v>
      </c>
      <c r="G37" s="181">
        <f>SUMIFS(Vigilancia!$E:$E,Vigilancia!$F:$F,$A37,Vigilancia!$J:$J,G$1)</f>
        <v>20000</v>
      </c>
      <c r="H37" s="181">
        <f>SUMIFS(Vigilancia!$E:$E,Vigilancia!$F:$F,$A37,Vigilancia!$J:$J,H$1)</f>
        <v>0</v>
      </c>
      <c r="I37" s="181">
        <f>SUMIFS(Vigilancia!$E:$E,Vigilancia!$F:$F,$A37,Vigilancia!$J:$J,I$1)</f>
        <v>0</v>
      </c>
      <c r="J37" s="181">
        <f>SUMIFS(Vigilancia!$E:$E,Vigilancia!$F:$F,$A37,Vigilancia!$J:$J,J$1)</f>
        <v>0</v>
      </c>
      <c r="K37" s="181">
        <f>SUMIFS(Vigilancia!$E:$E,Vigilancia!$F:$F,$A37,Vigilancia!$J:$J,K$1)</f>
        <v>0</v>
      </c>
    </row>
    <row r="38" spans="1:12">
      <c r="A38" s="30" t="str">
        <f>'RESUMEN VIGILANCIA'!A38</f>
        <v>Victoria Francischiello</v>
      </c>
      <c r="B38" s="31" t="str">
        <f>'RESUMEN VIGILANCIA'!B38</f>
        <v>Calle Guacara Nro. 88-25</v>
      </c>
      <c r="C38" s="181">
        <f>SUMIFS(Vigilancia!$E:$E,Vigilancia!$F:$F,$A38,Vigilancia!$J:$J,C$1)</f>
        <v>0.05</v>
      </c>
      <c r="D38" s="181">
        <f>SUMIFS(Vigilancia!$E:$E,Vigilancia!$F:$F,$A38,Vigilancia!$J:$J,D$1)</f>
        <v>3.5</v>
      </c>
      <c r="E38" s="304">
        <f>SUMIFS(Vigilancia!$E:$E,Vigilancia!$F:$F,$A38,Vigilancia!$J:$J,E$1)</f>
        <v>0</v>
      </c>
      <c r="F38" s="304">
        <f>SUMIFS(Vigilancia!$E:$E,Vigilancia!$F:$F,$A38,Vigilancia!$J:$J,F$1)</f>
        <v>10</v>
      </c>
      <c r="G38" s="181">
        <f>SUMIFS(Vigilancia!$E:$E,Vigilancia!$F:$F,$A38,Vigilancia!$J:$J,G$1)</f>
        <v>50000</v>
      </c>
      <c r="H38" s="181">
        <f>SUMIFS(Vigilancia!$E:$E,Vigilancia!$F:$F,$A38,Vigilancia!$J:$J,H$1)</f>
        <v>0</v>
      </c>
      <c r="I38" s="181">
        <f>SUMIFS(Vigilancia!$E:$E,Vigilancia!$F:$F,$A38,Vigilancia!$J:$J,I$1)</f>
        <v>0</v>
      </c>
      <c r="J38" s="181">
        <f>SUMIFS(Vigilancia!$E:$E,Vigilancia!$F:$F,$A38,Vigilancia!$J:$J,J$1)</f>
        <v>0</v>
      </c>
      <c r="K38" s="181">
        <f>SUMIFS(Vigilancia!$E:$E,Vigilancia!$F:$F,$A38,Vigilancia!$J:$J,K$1)</f>
        <v>0</v>
      </c>
    </row>
    <row r="39" spans="1:12">
      <c r="A39" s="30" t="str">
        <f>'RESUMEN VIGILANCIA'!A39</f>
        <v>Familia Cegarra Villamizar</v>
      </c>
      <c r="B39" s="31" t="str">
        <f>'RESUMEN VIGILANCIA'!B39</f>
        <v>Calle Guacara Nro. 88-35</v>
      </c>
      <c r="C39" s="181">
        <f>SUMIFS(Vigilancia!$E:$E,Vigilancia!$F:$F,$A39,Vigilancia!$J:$J,C$1)</f>
        <v>7.0000000000000007E-2</v>
      </c>
      <c r="D39" s="181">
        <f>SUMIFS(Vigilancia!$E:$E,Vigilancia!$F:$F,$A39,Vigilancia!$J:$J,D$1)</f>
        <v>0</v>
      </c>
      <c r="E39" s="304">
        <f>SUMIFS(Vigilancia!$E:$E,Vigilancia!$F:$F,$A39,Vigilancia!$J:$J,E$1)</f>
        <v>0</v>
      </c>
      <c r="F39" s="304">
        <f>SUMIFS(Vigilancia!$E:$E,Vigilancia!$F:$F,$A39,Vigilancia!$J:$J,F$1)</f>
        <v>0</v>
      </c>
      <c r="G39" s="181">
        <f>SUMIFS(Vigilancia!$E:$E,Vigilancia!$F:$F,$A39,Vigilancia!$J:$J,G$1)</f>
        <v>0</v>
      </c>
      <c r="H39" s="181">
        <f>SUMIFS(Vigilancia!$E:$E,Vigilancia!$F:$F,$A39,Vigilancia!$J:$J,H$1)</f>
        <v>0</v>
      </c>
      <c r="I39" s="181">
        <f>SUMIFS(Vigilancia!$E:$E,Vigilancia!$F:$F,$A39,Vigilancia!$J:$J,I$1)</f>
        <v>0</v>
      </c>
      <c r="J39" s="181">
        <f>SUMIFS(Vigilancia!$E:$E,Vigilancia!$F:$F,$A39,Vigilancia!$J:$J,J$1)</f>
        <v>0</v>
      </c>
      <c r="K39" s="181">
        <f>SUMIFS(Vigilancia!$E:$E,Vigilancia!$F:$F,$A39,Vigilancia!$J:$J,K$1)</f>
        <v>0</v>
      </c>
    </row>
    <row r="40" spans="1:12">
      <c r="A40" s="30" t="str">
        <f>'RESUMEN VIGILANCIA'!A40</f>
        <v>Familia Del Negro Palermo</v>
      </c>
      <c r="B40" s="31" t="str">
        <f>'RESUMEN VIGILANCIA'!B40</f>
        <v>Calle Guacara Nro. 88-45</v>
      </c>
      <c r="C40" s="181">
        <f>SUMIFS(Vigilancia!$E:$E,Vigilancia!$F:$F,$A40,Vigilancia!$J:$J,C$1)</f>
        <v>0</v>
      </c>
      <c r="D40" s="181">
        <f>SUMIFS(Vigilancia!$E:$E,Vigilancia!$F:$F,$A40,Vigilancia!$J:$J,D$1)</f>
        <v>0</v>
      </c>
      <c r="E40" s="315">
        <f>SUMIFS(Vigilancia!$E:$E,Vigilancia!$F:$F,$A40,Vigilancia!$J:$J,E$1)</f>
        <v>0</v>
      </c>
      <c r="F40" s="315">
        <f>SUMIFS(Vigilancia!$E:$E,Vigilancia!$F:$F,$A40,Vigilancia!$J:$J,F$1)</f>
        <v>0</v>
      </c>
      <c r="G40" s="181">
        <f>SUMIFS(Vigilancia!$E:$E,Vigilancia!$F:$F,$A40,Vigilancia!$J:$J,G$1)</f>
        <v>50000</v>
      </c>
      <c r="H40" s="181">
        <f>SUMIFS(Vigilancia!$E:$E,Vigilancia!$F:$F,$A40,Vigilancia!$J:$J,H$1)</f>
        <v>0</v>
      </c>
      <c r="I40" s="181">
        <f>SUMIFS(Vigilancia!$E:$E,Vigilancia!$F:$F,$A40,Vigilancia!$J:$J,I$1)</f>
        <v>0</v>
      </c>
      <c r="J40" s="181">
        <f>SUMIFS(Vigilancia!$E:$E,Vigilancia!$F:$F,$A40,Vigilancia!$J:$J,J$1)</f>
        <v>0</v>
      </c>
      <c r="K40" s="181">
        <f>SUMIFS(Vigilancia!$E:$E,Vigilancia!$F:$F,$A40,Vigilancia!$J:$J,K$1)</f>
        <v>0</v>
      </c>
    </row>
    <row r="41" spans="1:12">
      <c r="A41" s="30" t="str">
        <f>'RESUMEN VIGILANCIA'!A41</f>
        <v>Familia Hatem Medina</v>
      </c>
      <c r="B41" s="31" t="str">
        <f>'RESUMEN VIGILANCIA'!B41</f>
        <v>Calle Guacara Nro. 88-51</v>
      </c>
      <c r="C41" s="181">
        <f>SUMIFS(Vigilancia!$E:$E,Vigilancia!$F:$F,$A41,Vigilancia!$J:$J,C$1)</f>
        <v>0.03</v>
      </c>
      <c r="D41" s="181">
        <f>SUMIFS(Vigilancia!$E:$E,Vigilancia!$F:$F,$A41,Vigilancia!$J:$J,D$1)</f>
        <v>5</v>
      </c>
      <c r="E41" s="304">
        <f>SUMIFS(Vigilancia!$E:$E,Vigilancia!$F:$F,$A41,Vigilancia!$J:$J,E$1)</f>
        <v>8.5</v>
      </c>
      <c r="F41" s="304">
        <f>SUMIFS(Vigilancia!$E:$E,Vigilancia!$F:$F,$A41,Vigilancia!$J:$J,F$1)</f>
        <v>72</v>
      </c>
      <c r="G41" s="181">
        <f>SUMIFS(Vigilancia!$E:$E,Vigilancia!$F:$F,$A41,Vigilancia!$J:$J,G$1)</f>
        <v>50000</v>
      </c>
      <c r="H41" s="181">
        <f>SUMIFS(Vigilancia!$E:$E,Vigilancia!$F:$F,$A41,Vigilancia!$J:$J,H$1)</f>
        <v>0</v>
      </c>
      <c r="I41" s="181">
        <f>SUMIFS(Vigilancia!$E:$E,Vigilancia!$F:$F,$A41,Vigilancia!$J:$J,I$1)</f>
        <v>0</v>
      </c>
      <c r="J41" s="181">
        <f>SUMIFS(Vigilancia!$E:$E,Vigilancia!$F:$F,$A41,Vigilancia!$J:$J,J$1)</f>
        <v>0</v>
      </c>
      <c r="K41" s="181">
        <f>SUMIFS(Vigilancia!$E:$E,Vigilancia!$F:$F,$A41,Vigilancia!$J:$J,K$1)</f>
        <v>0</v>
      </c>
    </row>
    <row r="42" spans="1:12">
      <c r="A42" s="30" t="str">
        <f>'RESUMEN VIGILANCIA'!A42</f>
        <v>Familia Leung</v>
      </c>
      <c r="B42" s="31" t="str">
        <f>'RESUMEN VIGILANCIA'!B42</f>
        <v>Calle Guacara Nro. 88-55</v>
      </c>
      <c r="C42" s="181">
        <f>SUMIFS(Vigilancia!$E:$E,Vigilancia!$F:$F,$A42,Vigilancia!$J:$J,C$1)</f>
        <v>0</v>
      </c>
      <c r="D42" s="181">
        <f>SUMIFS(Vigilancia!$E:$E,Vigilancia!$F:$F,$A42,Vigilancia!$J:$J,D$1)</f>
        <v>0</v>
      </c>
      <c r="E42" s="304">
        <f>SUMIFS(Vigilancia!$E:$E,Vigilancia!$F:$F,$A42,Vigilancia!$J:$J,E$1)</f>
        <v>0</v>
      </c>
      <c r="F42" s="304">
        <f>SUMIFS(Vigilancia!$E:$E,Vigilancia!$F:$F,$A42,Vigilancia!$J:$J,F$1)</f>
        <v>0</v>
      </c>
      <c r="G42" s="181">
        <f>SUMIFS(Vigilancia!$E:$E,Vigilancia!$F:$F,$A42,Vigilancia!$J:$J,G$1)</f>
        <v>0</v>
      </c>
      <c r="H42" s="181">
        <f>SUMIFS(Vigilancia!$E:$E,Vigilancia!$F:$F,$A42,Vigilancia!$J:$J,H$1)</f>
        <v>0</v>
      </c>
      <c r="I42" s="181">
        <f>SUMIFS(Vigilancia!$E:$E,Vigilancia!$F:$F,$A42,Vigilancia!$J:$J,I$1)</f>
        <v>0</v>
      </c>
      <c r="J42" s="181">
        <f>SUMIFS(Vigilancia!$E:$E,Vigilancia!$F:$F,$A42,Vigilancia!$J:$J,J$1)</f>
        <v>0</v>
      </c>
      <c r="K42" s="181">
        <f>SUMIFS(Vigilancia!$E:$E,Vigilancia!$F:$F,$A42,Vigilancia!$J:$J,K$1)</f>
        <v>0</v>
      </c>
    </row>
    <row r="43" spans="1:12">
      <c r="A43" s="30" t="str">
        <f>'RESUMEN VIGILANCIA'!A43</f>
        <v>Familia Zhen</v>
      </c>
      <c r="B43" s="31" t="str">
        <f>'RESUMEN VIGILANCIA'!B43</f>
        <v>Calle Guacara Nro. 88-55</v>
      </c>
      <c r="C43" s="181">
        <f>SUMIFS(Vigilancia!$E:$E,Vigilancia!$F:$F,$A43,Vigilancia!$J:$J,C$1)</f>
        <v>0</v>
      </c>
      <c r="D43" s="181">
        <f>SUMIFS(Vigilancia!$E:$E,Vigilancia!$F:$F,$A43,Vigilancia!$J:$J,D$1)</f>
        <v>0</v>
      </c>
      <c r="E43" s="304">
        <f>SUMIFS(Vigilancia!$E:$E,Vigilancia!$F:$F,$A43,Vigilancia!$J:$J,E$1)</f>
        <v>0</v>
      </c>
      <c r="F43" s="304">
        <f>SUMIFS(Vigilancia!$E:$E,Vigilancia!$F:$F,$A43,Vigilancia!$J:$J,F$1)</f>
        <v>0</v>
      </c>
      <c r="G43" s="181">
        <f>SUMIFS(Vigilancia!$E:$E,Vigilancia!$F:$F,$A43,Vigilancia!$J:$J,G$1)</f>
        <v>0</v>
      </c>
      <c r="H43" s="181">
        <f>SUMIFS(Vigilancia!$E:$E,Vigilancia!$F:$F,$A43,Vigilancia!$J:$J,H$1)</f>
        <v>0</v>
      </c>
      <c r="I43" s="181">
        <f>SUMIFS(Vigilancia!$E:$E,Vigilancia!$F:$F,$A43,Vigilancia!$J:$J,I$1)</f>
        <v>0</v>
      </c>
      <c r="J43" s="181">
        <f>SUMIFS(Vigilancia!$E:$E,Vigilancia!$F:$F,$A43,Vigilancia!$J:$J,J$1)</f>
        <v>0</v>
      </c>
      <c r="K43" s="181">
        <f>SUMIFS(Vigilancia!$E:$E,Vigilancia!$F:$F,$A43,Vigilancia!$J:$J,K$1)</f>
        <v>0</v>
      </c>
    </row>
    <row r="44" spans="1:12">
      <c r="A44" s="66" t="str">
        <f>'RESUMEN VIGILANCIA'!A44</f>
        <v>Amparo Acosta</v>
      </c>
      <c r="B44" s="64" t="str">
        <f>'RESUMEN VIGILANCIA'!B44</f>
        <v>Calle Guacara Nro. 88-65</v>
      </c>
      <c r="C44" s="181">
        <f>SUMIFS(Vigilancia!$E:$E,Vigilancia!$F:$F,$A44,Vigilancia!$J:$J,C$1)</f>
        <v>7.0000000000000007E-2</v>
      </c>
      <c r="D44" s="181">
        <f>SUMIFS(Vigilancia!$E:$E,Vigilancia!$F:$F,$A44,Vigilancia!$J:$J,D$1)</f>
        <v>0</v>
      </c>
      <c r="E44" s="304">
        <f>SUMIFS(Vigilancia!$E:$E,Vigilancia!$F:$F,$A44,Vigilancia!$J:$J,E$1)</f>
        <v>12.2</v>
      </c>
      <c r="F44" s="304">
        <f>SUMIFS(Vigilancia!$E:$E,Vigilancia!$F:$F,$A44,Vigilancia!$J:$J,F$1)</f>
        <v>10</v>
      </c>
      <c r="G44" s="181">
        <f>SUMIFS(Vigilancia!$E:$E,Vigilancia!$F:$F,$A44,Vigilancia!$J:$J,G$1)</f>
        <v>50000</v>
      </c>
      <c r="H44" s="181">
        <f>SUMIFS(Vigilancia!$E:$E,Vigilancia!$F:$F,$A44,Vigilancia!$J:$J,H$1)</f>
        <v>0</v>
      </c>
      <c r="I44" s="181">
        <f>SUMIFS(Vigilancia!$E:$E,Vigilancia!$F:$F,$A44,Vigilancia!$J:$J,I$1)</f>
        <v>0</v>
      </c>
      <c r="J44" s="181">
        <f>SUMIFS(Vigilancia!$E:$E,Vigilancia!$F:$F,$A44,Vigilancia!$J:$J,J$1)</f>
        <v>0</v>
      </c>
      <c r="K44" s="181">
        <f>SUMIFS(Vigilancia!$E:$E,Vigilancia!$F:$F,$A44,Vigilancia!$J:$J,K$1)</f>
        <v>0</v>
      </c>
    </row>
    <row r="45" spans="1:12">
      <c r="A45" s="59" t="str">
        <f>'RESUMEN VIGILANCIA'!A45</f>
        <v>Familia Fernández Parés</v>
      </c>
      <c r="B45" s="60" t="str">
        <f>'RESUMEN VIGILANCIA'!B45</f>
        <v>Calle Guacara Nro. 88-75</v>
      </c>
      <c r="C45" s="213">
        <f>SUMIFS(Vigilancia!$E:$E,Vigilancia!$F:$F,$A45,Vigilancia!$J:$J,C$1)</f>
        <v>7.0000000000000007E-2</v>
      </c>
      <c r="D45" s="213">
        <f>SUMIFS(Vigilancia!$E:$E,Vigilancia!$F:$F,$A45,Vigilancia!$J:$J,D$1)</f>
        <v>0</v>
      </c>
      <c r="E45" s="213">
        <f>SUMIFS(Vigilancia!$E:$E,Vigilancia!$F:$F,$A45,Vigilancia!$J:$J,E$1)</f>
        <v>0</v>
      </c>
      <c r="F45" s="213">
        <f>SUMIFS(Vigilancia!$E:$E,Vigilancia!$F:$F,$A45,Vigilancia!$J:$J,F$1)</f>
        <v>0</v>
      </c>
      <c r="G45" s="305">
        <f>SUMIFS(Vigilancia!$E:$E,Vigilancia!$F:$F,$A45,Vigilancia!$J:$J,G$1)</f>
        <v>0</v>
      </c>
      <c r="H45" s="305">
        <f>SUMIFS(Vigilancia!$E:$E,Vigilancia!$F:$F,$A45,Vigilancia!$J:$J,H$1)</f>
        <v>0</v>
      </c>
      <c r="I45" s="213">
        <f>SUMIFS(Vigilancia!$E:$E,Vigilancia!$F:$F,$A45,Vigilancia!$J:$J,I$1)</f>
        <v>0</v>
      </c>
      <c r="J45" s="213">
        <f>SUMIFS(Vigilancia!$E:$E,Vigilancia!$F:$F,$A45,Vigilancia!$J:$J,J$1)</f>
        <v>0</v>
      </c>
      <c r="K45" s="205">
        <f>SUMIFS(Vigilancia!$E:$E,Vigilancia!$F:$F,$A45,Vigilancia!$J:$J,K$1)</f>
        <v>0</v>
      </c>
      <c r="L45" s="122"/>
    </row>
    <row r="46" spans="1:12">
      <c r="A46" s="59" t="str">
        <f>'RESUMEN VIGILANCIA'!A46</f>
        <v>Isbeth Palacios</v>
      </c>
      <c r="B46" s="60" t="str">
        <f>'RESUMEN VIGILANCIA'!B46</f>
        <v>Calle Guacara Nro. 88-75</v>
      </c>
      <c r="C46" s="213">
        <f>SUMIFS(Vigilancia!$E:$E,Vigilancia!$F:$F,$A46,Vigilancia!$J:$J,C$1)</f>
        <v>0</v>
      </c>
      <c r="D46" s="213">
        <f>SUMIFS(Vigilancia!$E:$E,Vigilancia!$F:$F,$A46,Vigilancia!$J:$J,D$1)</f>
        <v>3.5</v>
      </c>
      <c r="E46" s="213">
        <f>SUMIFS(Vigilancia!$E:$E,Vigilancia!$F:$F,$A46,Vigilancia!$J:$J,E$1)</f>
        <v>12.2</v>
      </c>
      <c r="F46" s="213">
        <f>SUMIFS(Vigilancia!$E:$E,Vigilancia!$F:$F,$A46,Vigilancia!$J:$J,F$1)</f>
        <v>0</v>
      </c>
      <c r="G46" s="305">
        <f>SUMIFS(Vigilancia!$E:$E,Vigilancia!$F:$F,$A46,Vigilancia!$J:$J,G$1)</f>
        <v>0</v>
      </c>
      <c r="H46" s="305">
        <f>SUMIFS(Vigilancia!$E:$E,Vigilancia!$F:$F,$A46,Vigilancia!$J:$J,H$1)</f>
        <v>0</v>
      </c>
      <c r="I46" s="213">
        <f>SUMIFS(Vigilancia!$E:$E,Vigilancia!$F:$F,$A46,Vigilancia!$J:$J,I$1)</f>
        <v>0</v>
      </c>
      <c r="J46" s="213">
        <f>SUMIFS(Vigilancia!$E:$E,Vigilancia!$F:$F,$A46,Vigilancia!$J:$J,J$1)</f>
        <v>0</v>
      </c>
      <c r="K46" s="205">
        <f>SUMIFS(Vigilancia!$E:$E,Vigilancia!$F:$F,$A46,Vigilancia!$J:$J,K$1)</f>
        <v>0</v>
      </c>
      <c r="L46" s="123"/>
    </row>
    <row r="47" spans="1:12">
      <c r="A47" s="30" t="str">
        <f>'RESUMEN VIGILANCIA'!A47</f>
        <v>Andrea Valor</v>
      </c>
      <c r="B47" s="31" t="str">
        <f>'RESUMEN VIGILANCIA'!B47</f>
        <v>Calle Guacara Nro. 88-75</v>
      </c>
      <c r="C47" s="181">
        <f>SUMIFS(Vigilancia!$E:$E,Vigilancia!$F:$F,$A47,Vigilancia!$J:$J,C$1)</f>
        <v>0</v>
      </c>
      <c r="D47" s="181">
        <f>SUMIFS(Vigilancia!$E:$E,Vigilancia!$F:$F,$A47,Vigilancia!$J:$J,D$1)</f>
        <v>0</v>
      </c>
      <c r="E47" s="304">
        <f>SUMIFS(Vigilancia!$E:$E,Vigilancia!$F:$F,$A47,Vigilancia!$J:$J,E$1)</f>
        <v>0</v>
      </c>
      <c r="F47" s="304">
        <f>SUMIFS(Vigilancia!$E:$E,Vigilancia!$F:$F,$A47,Vigilancia!$J:$J,F$1)</f>
        <v>0</v>
      </c>
      <c r="G47" s="181">
        <f>SUMIFS(Vigilancia!$E:$E,Vigilancia!$F:$F,$A47,Vigilancia!$J:$J,G$1)</f>
        <v>50000</v>
      </c>
      <c r="H47" s="181">
        <f>SUMIFS(Vigilancia!$E:$E,Vigilancia!$F:$F,$A47,Vigilancia!$J:$J,H$1)</f>
        <v>0</v>
      </c>
      <c r="I47" s="181">
        <f>SUMIFS(Vigilancia!$E:$E,Vigilancia!$F:$F,$A47,Vigilancia!$J:$J,I$1)</f>
        <v>0</v>
      </c>
      <c r="J47" s="181">
        <f>SUMIFS(Vigilancia!$E:$E,Vigilancia!$F:$F,$A47,Vigilancia!$J:$J,J$1)</f>
        <v>0</v>
      </c>
      <c r="K47" s="181">
        <f>SUMIFS(Vigilancia!$E:$E,Vigilancia!$F:$F,$A47,Vigilancia!$J:$J,K$1)</f>
        <v>0</v>
      </c>
      <c r="L47" s="124"/>
    </row>
    <row r="48" spans="1:12">
      <c r="A48" s="30" t="str">
        <f>'RESUMEN VIGILANCIA'!A48</f>
        <v>Familia Machado Stoppa</v>
      </c>
      <c r="B48" s="31" t="str">
        <f>'RESUMEN VIGILANCIA'!B48</f>
        <v>Calle Guacara Nro. 88-85</v>
      </c>
      <c r="C48" s="181">
        <f>SUMIFS(Vigilancia!$E:$E,Vigilancia!$F:$F,$A48,Vigilancia!$J:$J,C$1)</f>
        <v>0</v>
      </c>
      <c r="D48" s="181">
        <f>SUMIFS(Vigilancia!$E:$E,Vigilancia!$F:$F,$A48,Vigilancia!$J:$J,D$1)</f>
        <v>3.5</v>
      </c>
      <c r="E48" s="304">
        <f>SUMIFS(Vigilancia!$E:$E,Vigilancia!$F:$F,$A48,Vigilancia!$J:$J,E$1)</f>
        <v>12.2</v>
      </c>
      <c r="F48" s="304">
        <f>SUMIFS(Vigilancia!$E:$E,Vigilancia!$F:$F,$A48,Vigilancia!$J:$J,F$1)</f>
        <v>10</v>
      </c>
      <c r="G48" s="180">
        <f>SUMIFS(Vigilancia!$E:$E,Vigilancia!$F:$F,$A48,Vigilancia!$J:$J,G$1)</f>
        <v>50000</v>
      </c>
      <c r="H48" s="180">
        <f>SUMIFS(Vigilancia!$E:$E,Vigilancia!$F:$F,$A48,Vigilancia!$J:$J,H$1)</f>
        <v>0</v>
      </c>
      <c r="I48" s="181">
        <f>SUMIFS(Vigilancia!$E:$E,Vigilancia!$F:$F,$A48,Vigilancia!$J:$J,I$1)</f>
        <v>0</v>
      </c>
      <c r="J48" s="181">
        <f>SUMIFS(Vigilancia!$E:$E,Vigilancia!$F:$F,$A48,Vigilancia!$J:$J,J$1)</f>
        <v>0</v>
      </c>
      <c r="K48" s="181">
        <f>SUMIFS(Vigilancia!$E:$E,Vigilancia!$F:$F,$A48,Vigilancia!$J:$J,K$1)</f>
        <v>0</v>
      </c>
    </row>
    <row r="49" spans="1:12">
      <c r="A49" s="30" t="str">
        <f>'RESUMEN VIGILANCIA'!A49</f>
        <v>Familia Zavarce Barón</v>
      </c>
      <c r="B49" s="31" t="str">
        <f>'RESUMEN VIGILANCIA'!B49</f>
        <v>Calle Guacara Nro. 88-91</v>
      </c>
      <c r="C49" s="181">
        <f>SUMIFS(Vigilancia!$E:$E,Vigilancia!$F:$F,$A49,Vigilancia!$J:$J,C$1)</f>
        <v>0</v>
      </c>
      <c r="D49" s="181">
        <f>SUMIFS(Vigilancia!$E:$E,Vigilancia!$F:$F,$A49,Vigilancia!$J:$J,D$1)</f>
        <v>3.5</v>
      </c>
      <c r="E49" s="304">
        <f>SUMIFS(Vigilancia!$E:$E,Vigilancia!$F:$F,$A49,Vigilancia!$J:$J,E$1)</f>
        <v>12</v>
      </c>
      <c r="F49" s="304">
        <f>SUMIFS(Vigilancia!$E:$E,Vigilancia!$F:$F,$A49,Vigilancia!$J:$J,F$1)</f>
        <v>10</v>
      </c>
      <c r="G49" s="180">
        <f>SUMIFS(Vigilancia!$E:$E,Vigilancia!$F:$F,$A49,Vigilancia!$J:$J,G$1)</f>
        <v>50000</v>
      </c>
      <c r="H49" s="180">
        <f>SUMIFS(Vigilancia!$E:$E,Vigilancia!$F:$F,$A49,Vigilancia!$J:$J,H$1)</f>
        <v>0</v>
      </c>
      <c r="I49" s="181">
        <f>SUMIFS(Vigilancia!$E:$E,Vigilancia!$F:$F,$A49,Vigilancia!$J:$J,I$1)</f>
        <v>0</v>
      </c>
      <c r="J49" s="181">
        <f>SUMIFS(Vigilancia!$E:$E,Vigilancia!$F:$F,$A49,Vigilancia!$J:$J,J$1)</f>
        <v>0</v>
      </c>
      <c r="K49" s="181">
        <f>SUMIFS(Vigilancia!$E:$E,Vigilancia!$F:$F,$A49,Vigilancia!$J:$J,K$1)</f>
        <v>0</v>
      </c>
    </row>
    <row r="50" spans="1:12">
      <c r="A50" s="59" t="str">
        <f>'RESUMEN VIGILANCIA'!A50</f>
        <v>Familia Chávez Moncada</v>
      </c>
      <c r="B50" s="60" t="str">
        <f>'RESUMEN VIGILANCIA'!B50</f>
        <v>Calle Guacara Nro. 88-95</v>
      </c>
      <c r="C50" s="213">
        <f>SUMIFS(Vigilancia!$E:$E,Vigilancia!$F:$F,$A50,Vigilancia!$J:$J,C$1)</f>
        <v>0</v>
      </c>
      <c r="D50" s="213">
        <f>SUMIFS(Vigilancia!$E:$E,Vigilancia!$F:$F,$A50,Vigilancia!$J:$J,D$1)</f>
        <v>0</v>
      </c>
      <c r="E50" s="213">
        <f>SUMIFS(Vigilancia!$E:$E,Vigilancia!$F:$F,$A50,Vigilancia!$J:$J,E$1)</f>
        <v>0</v>
      </c>
      <c r="F50" s="213">
        <f>SUMIFS(Vigilancia!$E:$E,Vigilancia!$F:$F,$A50,Vigilancia!$J:$J,F$1)</f>
        <v>0</v>
      </c>
      <c r="G50" s="305">
        <f>SUMIFS(Vigilancia!$E:$E,Vigilancia!$F:$F,$A50,Vigilancia!$J:$J,G$1)</f>
        <v>0</v>
      </c>
      <c r="H50" s="305">
        <f>SUMIFS(Vigilancia!$E:$E,Vigilancia!$F:$F,$A50,Vigilancia!$J:$J,H$1)</f>
        <v>0</v>
      </c>
      <c r="I50" s="213">
        <f>SUMIFS(Vigilancia!$E:$E,Vigilancia!$F:$F,$A50,Vigilancia!$J:$J,I$1)</f>
        <v>0</v>
      </c>
      <c r="J50" s="213">
        <f>SUMIFS(Vigilancia!$E:$E,Vigilancia!$F:$F,$A50,Vigilancia!$J:$J,J$1)</f>
        <v>0</v>
      </c>
      <c r="K50" s="213">
        <f>SUMIFS(Vigilancia!$E:$E,Vigilancia!$F:$F,$A50,Vigilancia!$J:$J,K$1)</f>
        <v>0</v>
      </c>
      <c r="L50" s="122"/>
    </row>
    <row r="51" spans="1:12">
      <c r="A51" s="30" t="str">
        <f>'RESUMEN VIGILANCIA'!A51</f>
        <v>Familia Brito Viana</v>
      </c>
      <c r="B51" s="31" t="str">
        <f>'RESUMEN VIGILANCIA'!B51</f>
        <v>Calle Guacara Nro. 88-95</v>
      </c>
      <c r="C51" s="181">
        <f>SUMIFS(Vigilancia!$E:$E,Vigilancia!$F:$F,$A51,Vigilancia!$J:$J,C$1)</f>
        <v>0</v>
      </c>
      <c r="D51" s="181">
        <f>SUMIFS(Vigilancia!$E:$E,Vigilancia!$F:$F,$A51,Vigilancia!$J:$J,D$1)</f>
        <v>0</v>
      </c>
      <c r="E51" s="181">
        <f>SUMIFS(Vigilancia!$E:$E,Vigilancia!$F:$F,$A51,Vigilancia!$J:$J,E$1)</f>
        <v>0</v>
      </c>
      <c r="F51" s="181">
        <f>SUMIFS(Vigilancia!$E:$E,Vigilancia!$F:$F,$A51,Vigilancia!$J:$J,F$1)</f>
        <v>0</v>
      </c>
      <c r="G51" s="180">
        <f>SUMIFS(Vigilancia!$E:$E,Vigilancia!$F:$F,$A51,Vigilancia!$J:$J,G$1)</f>
        <v>50000</v>
      </c>
      <c r="H51" s="180">
        <f>SUMIFS(Vigilancia!$E:$E,Vigilancia!$F:$F,$A51,Vigilancia!$J:$J,H$1)</f>
        <v>0</v>
      </c>
      <c r="I51" s="181">
        <f>SUMIFS(Vigilancia!$E:$E,Vigilancia!$F:$F,$A51,Vigilancia!$J:$J,I$1)</f>
        <v>0</v>
      </c>
      <c r="J51" s="181">
        <f>SUMIFS(Vigilancia!$E:$E,Vigilancia!$F:$F,$A51,Vigilancia!$J:$J,J$1)</f>
        <v>0</v>
      </c>
      <c r="K51" s="181">
        <f>SUMIFS(Vigilancia!$E:$E,Vigilancia!$F:$F,$A51,Vigilancia!$J:$J,K$1)</f>
        <v>0</v>
      </c>
      <c r="L51" s="124"/>
    </row>
    <row r="52" spans="1:12">
      <c r="A52" s="59" t="str">
        <f>'RESUMEN VIGILANCIA'!A52</f>
        <v>Familia Zampini Scaccia</v>
      </c>
      <c r="B52" s="60" t="str">
        <f>'RESUMEN VIGILANCIA'!B52</f>
        <v>Calle Guacara Nro. 88-A-10</v>
      </c>
      <c r="C52" s="213">
        <f>SUMIFS(Vigilancia!$E:$E,Vigilancia!$F:$F,$A52,Vigilancia!$J:$J,C$1)</f>
        <v>0</v>
      </c>
      <c r="D52" s="213">
        <f>SUMIFS(Vigilancia!$E:$E,Vigilancia!$F:$F,$A52,Vigilancia!$J:$J,D$1)</f>
        <v>0</v>
      </c>
      <c r="E52" s="213">
        <f>SUMIFS(Vigilancia!$E:$E,Vigilancia!$F:$F,$A52,Vigilancia!$J:$J,E$1)</f>
        <v>0</v>
      </c>
      <c r="F52" s="213">
        <f>SUMIFS(Vigilancia!$E:$E,Vigilancia!$F:$F,$A52,Vigilancia!$J:$J,F$1)</f>
        <v>0</v>
      </c>
      <c r="G52" s="305">
        <f>SUMIFS(Vigilancia!$E:$E,Vigilancia!$F:$F,$A52,Vigilancia!$J:$J,G$1)</f>
        <v>0</v>
      </c>
      <c r="H52" s="305">
        <f>SUMIFS(Vigilancia!$E:$E,Vigilancia!$F:$F,$A52,Vigilancia!$J:$J,H$1)</f>
        <v>0</v>
      </c>
      <c r="I52" s="213">
        <f>SUMIFS(Vigilancia!$E:$E,Vigilancia!$F:$F,$A52,Vigilancia!$J:$J,I$1)</f>
        <v>0</v>
      </c>
      <c r="J52" s="213">
        <f>SUMIFS(Vigilancia!$E:$E,Vigilancia!$F:$F,$A52,Vigilancia!$J:$J,J$1)</f>
        <v>0</v>
      </c>
      <c r="K52" s="205">
        <f>SUMIFS(Vigilancia!$E:$E,Vigilancia!$F:$F,$A52,Vigilancia!$J:$J,K$1)</f>
        <v>0</v>
      </c>
      <c r="L52" s="122"/>
    </row>
    <row r="53" spans="1:12">
      <c r="A53" s="30" t="str">
        <f>'RESUMEN VIGILANCIA'!A53</f>
        <v>Familia Wu Acevedo</v>
      </c>
      <c r="B53" s="31" t="str">
        <f>'RESUMEN VIGILANCIA'!B53</f>
        <v>Calle Guacara Nro. 88-A-10</v>
      </c>
      <c r="C53" s="181">
        <f>SUMIFS(Vigilancia!$E:$E,Vigilancia!$F:$F,$A53,Vigilancia!$J:$J,C$1)</f>
        <v>0</v>
      </c>
      <c r="D53" s="181">
        <f>SUMIFS(Vigilancia!$E:$E,Vigilancia!$F:$F,$A53,Vigilancia!$J:$J,D$1)</f>
        <v>0</v>
      </c>
      <c r="E53" s="304">
        <f>SUMIFS(Vigilancia!$E:$E,Vigilancia!$F:$F,$A53,Vigilancia!$J:$J,E$1)</f>
        <v>12.2</v>
      </c>
      <c r="F53" s="304">
        <f>SUMIFS(Vigilancia!$E:$E,Vigilancia!$F:$F,$A53,Vigilancia!$J:$J,F$1)</f>
        <v>10</v>
      </c>
      <c r="G53" s="180">
        <f>SUMIFS(Vigilancia!$E:$E,Vigilancia!$F:$F,$A53,Vigilancia!$J:$J,G$1)</f>
        <v>0</v>
      </c>
      <c r="H53" s="180">
        <f>SUMIFS(Vigilancia!$E:$E,Vigilancia!$F:$F,$A53,Vigilancia!$J:$J,H$1)</f>
        <v>0</v>
      </c>
      <c r="I53" s="181">
        <f>SUMIFS(Vigilancia!$E:$E,Vigilancia!$F:$F,$A53,Vigilancia!$J:$J,I$1)</f>
        <v>0</v>
      </c>
      <c r="J53" s="181">
        <f>SUMIFS(Vigilancia!$E:$E,Vigilancia!$F:$F,$A53,Vigilancia!$J:$J,J$1)</f>
        <v>0</v>
      </c>
      <c r="K53" s="184">
        <f>SUMIFS(Vigilancia!$E:$E,Vigilancia!$F:$F,$A53,Vigilancia!$J:$J,K$1)</f>
        <v>0</v>
      </c>
      <c r="L53" s="124"/>
    </row>
    <row r="54" spans="1:12">
      <c r="A54" s="67" t="str">
        <f>'RESUMEN VIGILANCIA'!A54</f>
        <v>Familia Arcia Polanco</v>
      </c>
      <c r="B54" s="65" t="str">
        <f>'RESUMEN VIGILANCIA'!B54</f>
        <v>Calle Guacara Nro. 89-20</v>
      </c>
      <c r="C54" s="181">
        <f>SUMIFS(Vigilancia!$E:$E,Vigilancia!$F:$F,$A54,Vigilancia!$J:$J,C$1)</f>
        <v>7.0000000000000007E-2</v>
      </c>
      <c r="D54" s="181">
        <f>SUMIFS(Vigilancia!$E:$E,Vigilancia!$F:$F,$A54,Vigilancia!$J:$J,D$1)</f>
        <v>3.5</v>
      </c>
      <c r="E54" s="304">
        <f>SUMIFS(Vigilancia!$E:$E,Vigilancia!$F:$F,$A54,Vigilancia!$J:$J,E$1)</f>
        <v>12.2</v>
      </c>
      <c r="F54" s="304">
        <f>SUMIFS(Vigilancia!$E:$E,Vigilancia!$F:$F,$A54,Vigilancia!$J:$J,F$1)</f>
        <v>10</v>
      </c>
      <c r="G54" s="181">
        <f>SUMIFS(Vigilancia!$E:$E,Vigilancia!$F:$F,$A54,Vigilancia!$J:$J,G$1)</f>
        <v>50000</v>
      </c>
      <c r="H54" s="181">
        <f>SUMIFS(Vigilancia!$E:$E,Vigilancia!$F:$F,$A54,Vigilancia!$J:$J,H$1)</f>
        <v>0</v>
      </c>
      <c r="I54" s="181">
        <f>SUMIFS(Vigilancia!$E:$E,Vigilancia!$F:$F,$A54,Vigilancia!$J:$J,I$1)</f>
        <v>0</v>
      </c>
      <c r="J54" s="181">
        <f>SUMIFS(Vigilancia!$E:$E,Vigilancia!$F:$F,$A54,Vigilancia!$J:$J,J$1)</f>
        <v>0</v>
      </c>
      <c r="K54" s="181">
        <f>SUMIFS(Vigilancia!$E:$E,Vigilancia!$F:$F,$A54,Vigilancia!$J:$J,K$1)</f>
        <v>0</v>
      </c>
    </row>
    <row r="55" spans="1:12">
      <c r="A55" s="30" t="str">
        <f>'RESUMEN VIGILANCIA'!A55</f>
        <v>Familia Lomeña Agudo</v>
      </c>
      <c r="B55" s="31" t="str">
        <f>'RESUMEN VIGILANCIA'!B55</f>
        <v>Calle Guacara Nro. 89-30</v>
      </c>
      <c r="C55" s="181">
        <f>SUMIFS(Vigilancia!$E:$E,Vigilancia!$F:$F,$A55,Vigilancia!$J:$J,C$1)</f>
        <v>7.0000000000000007E-2</v>
      </c>
      <c r="D55" s="181">
        <f>SUMIFS(Vigilancia!$E:$E,Vigilancia!$F:$F,$A55,Vigilancia!$J:$J,D$1)</f>
        <v>3.5</v>
      </c>
      <c r="E55" s="304">
        <f>SUMIFS(Vigilancia!$E:$E,Vigilancia!$F:$F,$A55,Vigilancia!$J:$J,E$1)</f>
        <v>12.2</v>
      </c>
      <c r="F55" s="304">
        <f>SUMIFS(Vigilancia!$E:$E,Vigilancia!$F:$F,$A55,Vigilancia!$J:$J,F$1)</f>
        <v>10</v>
      </c>
      <c r="G55" s="181">
        <f>SUMIFS(Vigilancia!$E:$E,Vigilancia!$F:$F,$A55,Vigilancia!$J:$J,G$1)</f>
        <v>50000</v>
      </c>
      <c r="H55" s="181">
        <f>SUMIFS(Vigilancia!$E:$E,Vigilancia!$F:$F,$A55,Vigilancia!$J:$J,H$1)</f>
        <v>0</v>
      </c>
      <c r="I55" s="181">
        <f>SUMIFS(Vigilancia!$E:$E,Vigilancia!$F:$F,$A55,Vigilancia!$J:$J,I$1)</f>
        <v>1.4999999999999999E-2</v>
      </c>
      <c r="J55" s="181">
        <f>SUMIFS(Vigilancia!$E:$E,Vigilancia!$F:$F,$A55,Vigilancia!$J:$J,J$1)</f>
        <v>0</v>
      </c>
      <c r="K55" s="181">
        <f>SUMIFS(Vigilancia!$E:$E,Vigilancia!$F:$F,$A55,Vigilancia!$J:$J,K$1)</f>
        <v>0</v>
      </c>
    </row>
    <row r="56" spans="1:12">
      <c r="A56" s="30" t="str">
        <f>'RESUMEN VIGILANCIA'!A56</f>
        <v>Familia Manrique Riera</v>
      </c>
      <c r="B56" s="31" t="str">
        <f>'RESUMEN VIGILANCIA'!B56</f>
        <v>Calle Guacara Nro. 89-40</v>
      </c>
      <c r="C56" s="181">
        <f>SUMIFS(Vigilancia!$E:$E,Vigilancia!$F:$F,$A56,Vigilancia!$J:$J,C$1)</f>
        <v>7.0000000000000007E-2</v>
      </c>
      <c r="D56" s="181">
        <f>SUMIFS(Vigilancia!$E:$E,Vigilancia!$F:$F,$A56,Vigilancia!$J:$J,D$1)</f>
        <v>0</v>
      </c>
      <c r="E56" s="304">
        <f>SUMIFS(Vigilancia!$E:$E,Vigilancia!$F:$F,$A56,Vigilancia!$J:$J,E$1)</f>
        <v>0</v>
      </c>
      <c r="F56" s="304">
        <f>SUMIFS(Vigilancia!$E:$E,Vigilancia!$F:$F,$A56,Vigilancia!$J:$J,F$1)</f>
        <v>0</v>
      </c>
      <c r="G56" s="181">
        <f>SUMIFS(Vigilancia!$E:$E,Vigilancia!$F:$F,$A56,Vigilancia!$J:$J,G$1)</f>
        <v>50000</v>
      </c>
      <c r="H56" s="181">
        <f>SUMIFS(Vigilancia!$E:$E,Vigilancia!$F:$F,$A56,Vigilancia!$J:$J,H$1)</f>
        <v>0</v>
      </c>
      <c r="I56" s="181">
        <f>SUMIFS(Vigilancia!$E:$E,Vigilancia!$F:$F,$A56,Vigilancia!$J:$J,I$1)</f>
        <v>0</v>
      </c>
      <c r="J56" s="181">
        <f>SUMIFS(Vigilancia!$E:$E,Vigilancia!$F:$F,$A56,Vigilancia!$J:$J,J$1)</f>
        <v>0</v>
      </c>
      <c r="K56" s="181">
        <f>SUMIFS(Vigilancia!$E:$E,Vigilancia!$F:$F,$A56,Vigilancia!$J:$J,K$1)</f>
        <v>0</v>
      </c>
    </row>
    <row r="57" spans="1:12">
      <c r="A57" s="30" t="str">
        <f>'RESUMEN VIGILANCIA'!A57</f>
        <v>Familia Romero</v>
      </c>
      <c r="B57" s="31" t="str">
        <f>'RESUMEN VIGILANCIA'!B57</f>
        <v>Calle Guacara Nro. 89-50</v>
      </c>
      <c r="C57" s="181">
        <f>SUMIFS(Vigilancia!$E:$E,Vigilancia!$F:$F,$A57,Vigilancia!$J:$J,C$1)</f>
        <v>0</v>
      </c>
      <c r="D57" s="181">
        <f>SUMIFS(Vigilancia!$E:$E,Vigilancia!$F:$F,$A57,Vigilancia!$J:$J,D$1)</f>
        <v>3.5</v>
      </c>
      <c r="E57" s="304">
        <f>SUMIFS(Vigilancia!$E:$E,Vigilancia!$F:$F,$A57,Vigilancia!$J:$J,E$1)</f>
        <v>12.2</v>
      </c>
      <c r="F57" s="304">
        <f>SUMIFS(Vigilancia!$E:$E,Vigilancia!$F:$F,$A57,Vigilancia!$J:$J,F$1)</f>
        <v>0</v>
      </c>
      <c r="G57" s="181">
        <f>SUMIFS(Vigilancia!$E:$E,Vigilancia!$F:$F,$A57,Vigilancia!$J:$J,G$1)</f>
        <v>0</v>
      </c>
      <c r="H57" s="181">
        <f>SUMIFS(Vigilancia!$E:$E,Vigilancia!$F:$F,$A57,Vigilancia!$J:$J,H$1)</f>
        <v>0</v>
      </c>
      <c r="I57" s="181">
        <f>SUMIFS(Vigilancia!$E:$E,Vigilancia!$F:$F,$A57,Vigilancia!$J:$J,I$1)</f>
        <v>0</v>
      </c>
      <c r="J57" s="181">
        <f>SUMIFS(Vigilancia!$E:$E,Vigilancia!$F:$F,$A57,Vigilancia!$J:$J,J$1)</f>
        <v>0</v>
      </c>
      <c r="K57" s="181">
        <f>SUMIFS(Vigilancia!$E:$E,Vigilancia!$F:$F,$A57,Vigilancia!$J:$J,K$1)</f>
        <v>0</v>
      </c>
    </row>
    <row r="58" spans="1:12">
      <c r="A58" s="30" t="str">
        <f>'RESUMEN VIGILANCIA'!A58</f>
        <v>Familia Durvelle Serrano</v>
      </c>
      <c r="B58" s="31" t="str">
        <f>'RESUMEN VIGILANCIA'!B58</f>
        <v>Calle Guacara Nro. 89-60</v>
      </c>
      <c r="C58" s="181">
        <f>SUMIFS(Vigilancia!$E:$E,Vigilancia!$F:$F,$A58,Vigilancia!$J:$J,C$1)</f>
        <v>7.0000000000000007E-2</v>
      </c>
      <c r="D58" s="181">
        <f>SUMIFS(Vigilancia!$E:$E,Vigilancia!$F:$F,$A58,Vigilancia!$J:$J,D$1)</f>
        <v>3.5</v>
      </c>
      <c r="E58" s="315">
        <f>SUMIFS(Vigilancia!$E:$E,Vigilancia!$F:$F,$A58,Vigilancia!$J:$J,E$1)</f>
        <v>0</v>
      </c>
      <c r="F58" s="304">
        <f>SUMIFS(Vigilancia!$E:$E,Vigilancia!$F:$F,$A58,Vigilancia!$J:$J,F$1)</f>
        <v>50</v>
      </c>
      <c r="G58" s="181">
        <f>SUMIFS(Vigilancia!$E:$E,Vigilancia!$F:$F,$A58,Vigilancia!$J:$J,G$1)</f>
        <v>50000</v>
      </c>
      <c r="H58" s="181">
        <f>SUMIFS(Vigilancia!$E:$E,Vigilancia!$F:$F,$A58,Vigilancia!$J:$J,H$1)</f>
        <v>6.2E-2</v>
      </c>
      <c r="I58" s="181">
        <f>SUMIFS(Vigilancia!$E:$E,Vigilancia!$F:$F,$A58,Vigilancia!$J:$J,I$1)</f>
        <v>0</v>
      </c>
      <c r="J58" s="181">
        <f>SUMIFS(Vigilancia!$E:$E,Vigilancia!$F:$F,$A58,Vigilancia!$J:$J,J$1)</f>
        <v>0</v>
      </c>
      <c r="K58" s="181">
        <f>SUMIFS(Vigilancia!$E:$E,Vigilancia!$F:$F,$A58,Vigilancia!$J:$J,K$1)</f>
        <v>0</v>
      </c>
    </row>
    <row r="59" spans="1:12">
      <c r="A59" s="30" t="str">
        <f>'RESUMEN VIGILANCIA'!A59</f>
        <v>Yuraima Rodríguez</v>
      </c>
      <c r="B59" s="31" t="str">
        <f>'RESUMEN VIGILANCIA'!B59</f>
        <v>Calle Guacara Nro. 89-70</v>
      </c>
      <c r="C59" s="181">
        <f>SUMIFS(Vigilancia!$E:$E,Vigilancia!$F:$F,$A59,Vigilancia!$J:$J,C$1)</f>
        <v>0</v>
      </c>
      <c r="D59" s="181">
        <f>SUMIFS(Vigilancia!$E:$E,Vigilancia!$F:$F,$A59,Vigilancia!$J:$J,D$1)</f>
        <v>0</v>
      </c>
      <c r="E59" s="304">
        <f>SUMIFS(Vigilancia!$E:$E,Vigilancia!$F:$F,$A59,Vigilancia!$J:$J,E$1)</f>
        <v>0</v>
      </c>
      <c r="F59" s="304">
        <f>SUMIFS(Vigilancia!$E:$E,Vigilancia!$F:$F,$A59,Vigilancia!$J:$J,F$1)</f>
        <v>0</v>
      </c>
      <c r="G59" s="181">
        <f>SUMIFS(Vigilancia!$E:$E,Vigilancia!$F:$F,$A59,Vigilancia!$J:$J,G$1)</f>
        <v>0</v>
      </c>
      <c r="H59" s="181">
        <f>SUMIFS(Vigilancia!$E:$E,Vigilancia!$F:$F,$A59,Vigilancia!$J:$J,H$1)</f>
        <v>0</v>
      </c>
      <c r="I59" s="181">
        <f>SUMIFS(Vigilancia!$E:$E,Vigilancia!$F:$F,$A59,Vigilancia!$J:$J,I$1)</f>
        <v>0</v>
      </c>
      <c r="J59" s="181">
        <f>SUMIFS(Vigilancia!$E:$E,Vigilancia!$F:$F,$A59,Vigilancia!$J:$J,J$1)</f>
        <v>0</v>
      </c>
      <c r="K59" s="181">
        <f>SUMIFS(Vigilancia!$E:$E,Vigilancia!$F:$F,$A59,Vigilancia!$J:$J,K$1)</f>
        <v>0</v>
      </c>
    </row>
    <row r="60" spans="1:12">
      <c r="A60" s="30" t="str">
        <f>'RESUMEN VIGILANCIA'!A60</f>
        <v>Familia Nava Gordon</v>
      </c>
      <c r="B60" s="31" t="str">
        <f>'RESUMEN VIGILANCIA'!B60</f>
        <v>Calle Guacara Nro. 89-78</v>
      </c>
      <c r="C60" s="181">
        <f>SUMIFS(Vigilancia!$E:$E,Vigilancia!$F:$F,$A60,Vigilancia!$J:$J,C$1)</f>
        <v>7.0000000000000007E-2</v>
      </c>
      <c r="D60" s="181">
        <f>SUMIFS(Vigilancia!$E:$E,Vigilancia!$F:$F,$A60,Vigilancia!$J:$J,D$1)</f>
        <v>4.0999999999999996</v>
      </c>
      <c r="E60" s="304">
        <f>SUMIFS(Vigilancia!$E:$E,Vigilancia!$F:$F,$A60,Vigilancia!$J:$J,E$1)</f>
        <v>12.2</v>
      </c>
      <c r="F60" s="304">
        <f>SUMIFS(Vigilancia!$E:$E,Vigilancia!$F:$F,$A60,Vigilancia!$J:$J,F$1)</f>
        <v>10</v>
      </c>
      <c r="G60" s="181">
        <f>SUMIFS(Vigilancia!$E:$E,Vigilancia!$F:$F,$A60,Vigilancia!$J:$J,G$1)</f>
        <v>50000</v>
      </c>
      <c r="H60" s="181">
        <f>SUMIFS(Vigilancia!$E:$E,Vigilancia!$F:$F,$A60,Vigilancia!$J:$J,H$1)</f>
        <v>0</v>
      </c>
      <c r="I60" s="181">
        <f>SUMIFS(Vigilancia!$E:$E,Vigilancia!$F:$F,$A60,Vigilancia!$J:$J,I$1)</f>
        <v>0</v>
      </c>
      <c r="J60" s="181">
        <f>SUMIFS(Vigilancia!$E:$E,Vigilancia!$F:$F,$A60,Vigilancia!$J:$J,J$1)</f>
        <v>0</v>
      </c>
      <c r="K60" s="181">
        <f>SUMIFS(Vigilancia!$E:$E,Vigilancia!$F:$F,$A60,Vigilancia!$J:$J,K$1)</f>
        <v>0</v>
      </c>
    </row>
    <row r="61" spans="1:12">
      <c r="A61" s="30" t="str">
        <f>'RESUMEN VIGILANCIA'!A61</f>
        <v>Familia González Arévalo</v>
      </c>
      <c r="B61" s="31" t="str">
        <f>'RESUMEN VIGILANCIA'!B61</f>
        <v>Calle Guacara Nro. 89-86</v>
      </c>
      <c r="C61" s="181">
        <f>SUMIFS(Vigilancia!$E:$E,Vigilancia!$F:$F,$A61,Vigilancia!$J:$J,C$1)</f>
        <v>7.0000000000000007E-2</v>
      </c>
      <c r="D61" s="181">
        <f>SUMIFS(Vigilancia!$E:$E,Vigilancia!$F:$F,$A61,Vigilancia!$J:$J,D$1)</f>
        <v>3.5</v>
      </c>
      <c r="E61" s="304">
        <f>SUMIFS(Vigilancia!$E:$E,Vigilancia!$F:$F,$A61,Vigilancia!$J:$J,E$1)</f>
        <v>12.2</v>
      </c>
      <c r="F61" s="304">
        <f>SUMIFS(Vigilancia!$E:$E,Vigilancia!$F:$F,$A61,Vigilancia!$J:$J,F$1)</f>
        <v>10</v>
      </c>
      <c r="G61" s="181">
        <f>SUMIFS(Vigilancia!$E:$E,Vigilancia!$F:$F,$A61,Vigilancia!$J:$J,G$1)</f>
        <v>50000</v>
      </c>
      <c r="H61" s="181">
        <f>SUMIFS(Vigilancia!$E:$E,Vigilancia!$F:$F,$A61,Vigilancia!$J:$J,H$1)</f>
        <v>0</v>
      </c>
      <c r="I61" s="181">
        <f>SUMIFS(Vigilancia!$E:$E,Vigilancia!$F:$F,$A61,Vigilancia!$J:$J,I$1)</f>
        <v>0</v>
      </c>
      <c r="J61" s="181">
        <f>SUMIFS(Vigilancia!$E:$E,Vigilancia!$F:$F,$A61,Vigilancia!$J:$J,J$1)</f>
        <v>0</v>
      </c>
      <c r="K61" s="181">
        <f>SUMIFS(Vigilancia!$E:$E,Vigilancia!$F:$F,$A61,Vigilancia!$J:$J,K$1)</f>
        <v>0</v>
      </c>
    </row>
    <row r="62" spans="1:12">
      <c r="A62" s="30" t="str">
        <f>'RESUMEN VIGILANCIA'!A62</f>
        <v>Héctor Hernández</v>
      </c>
      <c r="B62" s="31" t="str">
        <f>'RESUMEN VIGILANCIA'!B62</f>
        <v>Calle Guacara Nro. 89-94</v>
      </c>
      <c r="C62" s="181">
        <f>SUMIFS(Vigilancia!$E:$E,Vigilancia!$F:$F,$A62,Vigilancia!$J:$J,C$1)</f>
        <v>7.0000000000000007E-2</v>
      </c>
      <c r="D62" s="181">
        <f>SUMIFS(Vigilancia!$E:$E,Vigilancia!$F:$F,$A62,Vigilancia!$J:$J,D$1)</f>
        <v>3.5</v>
      </c>
      <c r="E62" s="304">
        <f>SUMIFS(Vigilancia!$E:$E,Vigilancia!$F:$F,$A62,Vigilancia!$J:$J,E$1)</f>
        <v>12.2</v>
      </c>
      <c r="F62" s="304">
        <f>SUMIFS(Vigilancia!$E:$E,Vigilancia!$F:$F,$A62,Vigilancia!$J:$J,F$1)</f>
        <v>10</v>
      </c>
      <c r="G62" s="181">
        <f>SUMIFS(Vigilancia!$E:$E,Vigilancia!$F:$F,$A62,Vigilancia!$J:$J,G$1)</f>
        <v>50000</v>
      </c>
      <c r="H62" s="181">
        <f>SUMIFS(Vigilancia!$E:$E,Vigilancia!$F:$F,$A62,Vigilancia!$J:$J,H$1)</f>
        <v>0</v>
      </c>
      <c r="I62" s="181">
        <f>SUMIFS(Vigilancia!$E:$E,Vigilancia!$F:$F,$A62,Vigilancia!$J:$J,I$1)</f>
        <v>0</v>
      </c>
      <c r="J62" s="181">
        <f>SUMIFS(Vigilancia!$E:$E,Vigilancia!$F:$F,$A62,Vigilancia!$J:$J,J$1)</f>
        <v>0</v>
      </c>
      <c r="K62" s="181">
        <f>SUMIFS(Vigilancia!$E:$E,Vigilancia!$F:$F,$A62,Vigilancia!$J:$J,K$1)</f>
        <v>0</v>
      </c>
    </row>
    <row r="63" spans="1:12">
      <c r="A63" s="30" t="str">
        <f>'RESUMEN VIGILANCIA'!A63</f>
        <v>Familia Soto Urdaneta</v>
      </c>
      <c r="B63" s="31" t="str">
        <f>'RESUMEN VIGILANCIA'!B63</f>
        <v>Calle Guacara Nro. 89-102</v>
      </c>
      <c r="C63" s="181">
        <f>SUMIFS(Vigilancia!$E:$E,Vigilancia!$F:$F,$A63,Vigilancia!$J:$J,C$1)</f>
        <v>0</v>
      </c>
      <c r="D63" s="181">
        <f>SUMIFS(Vigilancia!$E:$E,Vigilancia!$F:$F,$A63,Vigilancia!$J:$J,D$1)</f>
        <v>0</v>
      </c>
      <c r="E63" s="304">
        <f>SUMIFS(Vigilancia!$E:$E,Vigilancia!$F:$F,$A63,Vigilancia!$J:$J,E$1)</f>
        <v>0</v>
      </c>
      <c r="F63" s="304">
        <f>SUMIFS(Vigilancia!$E:$E,Vigilancia!$F:$F,$A63,Vigilancia!$J:$J,F$1)</f>
        <v>0</v>
      </c>
      <c r="G63" s="181">
        <f>SUMIFS(Vigilancia!$E:$E,Vigilancia!$F:$F,$A63,Vigilancia!$J:$J,G$1)</f>
        <v>50000</v>
      </c>
      <c r="H63" s="181">
        <f>SUMIFS(Vigilancia!$E:$E,Vigilancia!$F:$F,$A63,Vigilancia!$J:$J,H$1)</f>
        <v>0</v>
      </c>
      <c r="I63" s="181">
        <f>SUMIFS(Vigilancia!$E:$E,Vigilancia!$F:$F,$A63,Vigilancia!$J:$J,I$1)</f>
        <v>0</v>
      </c>
      <c r="J63" s="181">
        <f>SUMIFS(Vigilancia!$E:$E,Vigilancia!$F:$F,$A63,Vigilancia!$J:$J,J$1)</f>
        <v>0</v>
      </c>
      <c r="K63" s="181">
        <f>SUMIFS(Vigilancia!$E:$E,Vigilancia!$F:$F,$A63,Vigilancia!$J:$J,K$1)</f>
        <v>0</v>
      </c>
    </row>
    <row r="64" spans="1:12">
      <c r="A64" s="30" t="str">
        <f>'RESUMEN VIGILANCIA'!A64</f>
        <v>Familia Aparicio. Anexo</v>
      </c>
      <c r="B64" s="31" t="str">
        <f>'RESUMEN VIGILANCIA'!B64</f>
        <v>Calle Guacara Nro. 89-129</v>
      </c>
      <c r="C64" s="181">
        <f>SUMIFS(Vigilancia!$E:$E,Vigilancia!$F:$F,$A64,Vigilancia!$J:$J,C$1)</f>
        <v>0</v>
      </c>
      <c r="D64" s="315">
        <f>SUMIFS(Vigilancia!$E:$E,Vigilancia!$F:$F,$A64,Vigilancia!$J:$J,D$1)</f>
        <v>0</v>
      </c>
      <c r="E64" s="304">
        <f>SUMIFS(Vigilancia!$E:$E,Vigilancia!$F:$F,$A64,Vigilancia!$J:$J,E$1)</f>
        <v>0</v>
      </c>
      <c r="F64" s="304">
        <f>SUMIFS(Vigilancia!$E:$E,Vigilancia!$F:$F,$A64,Vigilancia!$J:$J,F$1)</f>
        <v>0</v>
      </c>
      <c r="G64" s="181">
        <f>SUMIFS(Vigilancia!$E:$E,Vigilancia!$F:$F,$A64,Vigilancia!$J:$J,G$1)</f>
        <v>0</v>
      </c>
      <c r="H64" s="181">
        <f>SUMIFS(Vigilancia!$E:$E,Vigilancia!$F:$F,$A64,Vigilancia!$J:$J,H$1)</f>
        <v>0</v>
      </c>
      <c r="I64" s="181">
        <f>SUMIFS(Vigilancia!$E:$E,Vigilancia!$F:$F,$A64,Vigilancia!$J:$J,I$1)</f>
        <v>0</v>
      </c>
      <c r="J64" s="181">
        <f>SUMIFS(Vigilancia!$E:$E,Vigilancia!$F:$F,$A64,Vigilancia!$J:$J,J$1)</f>
        <v>0</v>
      </c>
      <c r="K64" s="181">
        <f>SUMIFS(Vigilancia!$E:$E,Vigilancia!$F:$F,$A64,Vigilancia!$J:$J,K$1)</f>
        <v>0</v>
      </c>
    </row>
    <row r="65" spans="1:12">
      <c r="A65" s="30" t="str">
        <f>'RESUMEN VIGILANCIA'!A65</f>
        <v>Beatriz Lara</v>
      </c>
      <c r="B65" s="31" t="str">
        <f>'RESUMEN VIGILANCIA'!B65</f>
        <v>Calle Guacara Nro. 89-130</v>
      </c>
      <c r="C65" s="181">
        <f>SUMIFS(Vigilancia!$E:$E,Vigilancia!$F:$F,$A65,Vigilancia!$J:$J,C$1)</f>
        <v>7.0000000000000007E-2</v>
      </c>
      <c r="D65" s="181">
        <f>SUMIFS(Vigilancia!$E:$E,Vigilancia!$F:$F,$A65,Vigilancia!$J:$J,D$1)</f>
        <v>3.5</v>
      </c>
      <c r="E65" s="304">
        <f>SUMIFS(Vigilancia!$E:$E,Vigilancia!$F:$F,$A65,Vigilancia!$J:$J,E$1)</f>
        <v>12.2</v>
      </c>
      <c r="F65" s="304">
        <f>SUMIFS(Vigilancia!$E:$E,Vigilancia!$F:$F,$A65,Vigilancia!$J:$J,F$1)</f>
        <v>10</v>
      </c>
      <c r="G65" s="181">
        <f>SUMIFS(Vigilancia!$E:$E,Vigilancia!$F:$F,$A65,Vigilancia!$J:$J,G$1)</f>
        <v>50000</v>
      </c>
      <c r="H65" s="181">
        <f>SUMIFS(Vigilancia!$E:$E,Vigilancia!$F:$F,$A65,Vigilancia!$J:$J,H$1)</f>
        <v>0</v>
      </c>
      <c r="I65" s="181">
        <f>SUMIFS(Vigilancia!$E:$E,Vigilancia!$F:$F,$A65,Vigilancia!$J:$J,I$1)</f>
        <v>0</v>
      </c>
      <c r="J65" s="181">
        <f>SUMIFS(Vigilancia!$E:$E,Vigilancia!$F:$F,$A65,Vigilancia!$J:$J,J$1)</f>
        <v>0</v>
      </c>
      <c r="K65" s="181">
        <f>SUMIFS(Vigilancia!$E:$E,Vigilancia!$F:$F,$A65,Vigilancia!$J:$J,K$1)</f>
        <v>0</v>
      </c>
    </row>
    <row r="66" spans="1:12">
      <c r="A66" s="53" t="str">
        <f>'RESUMEN VIGILANCIA'!A66</f>
        <v>Familia Zavarce Pérez</v>
      </c>
      <c r="B66" s="31" t="str">
        <f>'RESUMEN VIGILANCIA'!B66</f>
        <v>Calle Guacara Nro. 90-35</v>
      </c>
      <c r="C66" s="181">
        <f>SUMIFS(Vigilancia!$E:$E,Vigilancia!$F:$F,$A66,Vigilancia!$J:$J,C$1)</f>
        <v>7.0000000000000007E-2</v>
      </c>
      <c r="D66" s="181">
        <f>SUMIFS(Vigilancia!$E:$E,Vigilancia!$F:$F,$A66,Vigilancia!$J:$J,D$1)</f>
        <v>0</v>
      </c>
      <c r="E66" s="304">
        <f>SUMIFS(Vigilancia!$E:$E,Vigilancia!$F:$F,$A66,Vigilancia!$J:$J,E$1)</f>
        <v>0</v>
      </c>
      <c r="F66" s="304">
        <f>SUMIFS(Vigilancia!$E:$E,Vigilancia!$F:$F,$A66,Vigilancia!$J:$J,F$1)</f>
        <v>0</v>
      </c>
      <c r="G66" s="181">
        <f>SUMIFS(Vigilancia!$E:$E,Vigilancia!$F:$F,$A66,Vigilancia!$J:$J,G$1)</f>
        <v>50000</v>
      </c>
      <c r="H66" s="181">
        <f>SUMIFS(Vigilancia!$E:$E,Vigilancia!$F:$F,$A66,Vigilancia!$J:$J,H$1)</f>
        <v>0</v>
      </c>
      <c r="I66" s="181">
        <f>SUMIFS(Vigilancia!$E:$E,Vigilancia!$F:$F,$A66,Vigilancia!$J:$J,I$1)</f>
        <v>0</v>
      </c>
      <c r="J66" s="181">
        <f>SUMIFS(Vigilancia!$E:$E,Vigilancia!$F:$F,$A66,Vigilancia!$J:$J,J$1)</f>
        <v>0</v>
      </c>
      <c r="K66" s="181">
        <f>SUMIFS(Vigilancia!$E:$E,Vigilancia!$F:$F,$A66,Vigilancia!$J:$J,K$1)</f>
        <v>0</v>
      </c>
    </row>
    <row r="67" spans="1:12">
      <c r="A67" s="30" t="str">
        <f>'RESUMEN VIGILANCIA'!A67</f>
        <v>Familia Castro Jiménez</v>
      </c>
      <c r="B67" s="31" t="str">
        <f>'RESUMEN VIGILANCIA'!B67</f>
        <v>Calle Guacara Nro. 90-51</v>
      </c>
      <c r="C67" s="181">
        <f>SUMIFS(Vigilancia!$E:$E,Vigilancia!$F:$F,$A67,Vigilancia!$J:$J,C$1)</f>
        <v>0</v>
      </c>
      <c r="D67" s="181">
        <f>SUMIFS(Vigilancia!$E:$E,Vigilancia!$F:$F,$A67,Vigilancia!$J:$J,D$1)</f>
        <v>3.5</v>
      </c>
      <c r="E67" s="304">
        <f>SUMIFS(Vigilancia!$E:$E,Vigilancia!$F:$F,$A67,Vigilancia!$J:$J,E$1)</f>
        <v>12.5</v>
      </c>
      <c r="F67" s="304">
        <f>SUMIFS(Vigilancia!$E:$E,Vigilancia!$F:$F,$A67,Vigilancia!$J:$J,F$1)</f>
        <v>0</v>
      </c>
      <c r="G67" s="181">
        <f>SUMIFS(Vigilancia!$E:$E,Vigilancia!$F:$F,$A67,Vigilancia!$J:$J,G$1)</f>
        <v>50000</v>
      </c>
      <c r="H67" s="181">
        <f>SUMIFS(Vigilancia!$E:$E,Vigilancia!$F:$F,$A67,Vigilancia!$J:$J,H$1)</f>
        <v>0</v>
      </c>
      <c r="I67" s="181">
        <f>SUMIFS(Vigilancia!$E:$E,Vigilancia!$F:$F,$A67,Vigilancia!$J:$J,I$1)</f>
        <v>0</v>
      </c>
      <c r="J67" s="181">
        <f>SUMIFS(Vigilancia!$E:$E,Vigilancia!$F:$F,$A67,Vigilancia!$J:$J,J$1)</f>
        <v>34703.5</v>
      </c>
      <c r="K67" s="181">
        <f>SUMIFS(Vigilancia!$E:$E,Vigilancia!$F:$F,$A67,Vigilancia!$J:$J,K$1)</f>
        <v>0</v>
      </c>
    </row>
    <row r="68" spans="1:12">
      <c r="A68" s="30" t="str">
        <f>'RESUMEN VIGILANCIA'!A68</f>
        <v>Familia Triana González</v>
      </c>
      <c r="B68" s="31" t="str">
        <f>'RESUMEN VIGILANCIA'!B68</f>
        <v>Calle Guacara Nro. 90-61</v>
      </c>
      <c r="C68" s="181">
        <f>SUMIFS(Vigilancia!$E:$E,Vigilancia!$F:$F,$A68,Vigilancia!$J:$J,C$1)</f>
        <v>0</v>
      </c>
      <c r="D68" s="181">
        <f>SUMIFS(Vigilancia!$E:$E,Vigilancia!$F:$F,$A68,Vigilancia!$J:$J,D$1)</f>
        <v>0</v>
      </c>
      <c r="E68" s="181">
        <f>SUMIFS(Vigilancia!$E:$E,Vigilancia!$F:$F,$A68,Vigilancia!$J:$J,E$1)</f>
        <v>0</v>
      </c>
      <c r="F68" s="181">
        <f>SUMIFS(Vigilancia!$E:$E,Vigilancia!$F:$F,$A68,Vigilancia!$J:$J,F$1)</f>
        <v>0</v>
      </c>
      <c r="G68" s="181">
        <f>SUMIFS(Vigilancia!$E:$E,Vigilancia!$F:$F,$A68,Vigilancia!$J:$J,G$1)</f>
        <v>50000</v>
      </c>
      <c r="H68" s="181">
        <f>SUMIFS(Vigilancia!$E:$E,Vigilancia!$F:$F,$A68,Vigilancia!$J:$J,H$1)</f>
        <v>0</v>
      </c>
      <c r="I68" s="181">
        <f>SUMIFS(Vigilancia!$E:$E,Vigilancia!$F:$F,$A68,Vigilancia!$J:$J,I$1)</f>
        <v>0</v>
      </c>
      <c r="J68" s="181">
        <f>SUMIFS(Vigilancia!$E:$E,Vigilancia!$F:$F,$A68,Vigilancia!$J:$J,J$1)</f>
        <v>0</v>
      </c>
      <c r="K68" s="181">
        <f>SUMIFS(Vigilancia!$E:$E,Vigilancia!$F:$F,$A68,Vigilancia!$J:$J,K$1)</f>
        <v>0</v>
      </c>
    </row>
    <row r="69" spans="1:12">
      <c r="A69" s="30" t="str">
        <f>'RESUMEN VIGILANCIA'!A69</f>
        <v>Neira Chacón</v>
      </c>
      <c r="B69" s="31" t="str">
        <f>'RESUMEN VIGILANCIA'!B69</f>
        <v>Calle Guacara Nro. 90-71</v>
      </c>
      <c r="C69" s="181">
        <f>SUMIFS(Vigilancia!$E:$E,Vigilancia!$F:$F,$A69,Vigilancia!$J:$J,C$1)</f>
        <v>0</v>
      </c>
      <c r="D69" s="181">
        <f>SUMIFS(Vigilancia!$E:$E,Vigilancia!$F:$F,$A69,Vigilancia!$J:$J,D$1)</f>
        <v>0</v>
      </c>
      <c r="E69" s="181">
        <f>SUMIFS(Vigilancia!$E:$E,Vigilancia!$F:$F,$A69,Vigilancia!$J:$J,E$1)</f>
        <v>0</v>
      </c>
      <c r="F69" s="181">
        <f>SUMIFS(Vigilancia!$E:$E,Vigilancia!$F:$F,$A69,Vigilancia!$J:$J,F$1)</f>
        <v>0</v>
      </c>
      <c r="G69" s="181">
        <f>SUMIFS(Vigilancia!$E:$E,Vigilancia!$F:$F,$A69,Vigilancia!$J:$J,G$1)</f>
        <v>0</v>
      </c>
      <c r="H69" s="181">
        <f>SUMIFS(Vigilancia!$E:$E,Vigilancia!$F:$F,$A69,Vigilancia!$J:$J,H$1)</f>
        <v>0</v>
      </c>
      <c r="I69" s="181">
        <f>SUMIFS(Vigilancia!$E:$E,Vigilancia!$F:$F,$A69,Vigilancia!$J:$J,I$1)</f>
        <v>0</v>
      </c>
      <c r="J69" s="181">
        <f>SUMIFS(Vigilancia!$E:$E,Vigilancia!$F:$F,$A69,Vigilancia!$J:$J,J$1)</f>
        <v>0</v>
      </c>
      <c r="K69" s="181">
        <f>SUMIFS(Vigilancia!$E:$E,Vigilancia!$F:$F,$A69,Vigilancia!$J:$J,K$1)</f>
        <v>0</v>
      </c>
    </row>
    <row r="70" spans="1:12">
      <c r="A70" s="30" t="str">
        <f>'RESUMEN VIGILANCIA'!A70</f>
        <v>Wu Hung Fung</v>
      </c>
      <c r="B70" s="31" t="str">
        <f>'RESUMEN VIGILANCIA'!B70</f>
        <v>Calle Guacara Nro. 90-81</v>
      </c>
      <c r="C70" s="181">
        <f>SUMIFS(Vigilancia!$E:$E,Vigilancia!$F:$F,$A70,Vigilancia!$J:$J,C$1)</f>
        <v>7.0000000000000007E-2</v>
      </c>
      <c r="D70" s="181">
        <f>SUMIFS(Vigilancia!$E:$E,Vigilancia!$F:$F,$A70,Vigilancia!$J:$J,D$1)</f>
        <v>5.7</v>
      </c>
      <c r="E70" s="181">
        <f>SUMIFS(Vigilancia!$E:$E,Vigilancia!$F:$F,$A70,Vigilancia!$J:$J,E$1)</f>
        <v>0</v>
      </c>
      <c r="F70" s="181">
        <f>SUMIFS(Vigilancia!$E:$E,Vigilancia!$F:$F,$A70,Vigilancia!$J:$J,F$1)</f>
        <v>15</v>
      </c>
      <c r="G70" s="181">
        <f>SUMIFS(Vigilancia!$E:$E,Vigilancia!$F:$F,$A70,Vigilancia!$J:$J,G$1)</f>
        <v>50000</v>
      </c>
      <c r="H70" s="181">
        <f>SUMIFS(Vigilancia!$E:$E,Vigilancia!$F:$F,$A70,Vigilancia!$J:$J,H$1)</f>
        <v>0</v>
      </c>
      <c r="I70" s="181">
        <f>SUMIFS(Vigilancia!$E:$E,Vigilancia!$F:$F,$A70,Vigilancia!$J:$J,I$1)</f>
        <v>0</v>
      </c>
      <c r="J70" s="181">
        <f>SUMIFS(Vigilancia!$E:$E,Vigilancia!$F:$F,$A70,Vigilancia!$J:$J,J$1)</f>
        <v>0</v>
      </c>
      <c r="K70" s="181">
        <f>SUMIFS(Vigilancia!$E:$E,Vigilancia!$F:$F,$A70,Vigilancia!$J:$J,K$1)</f>
        <v>0</v>
      </c>
    </row>
    <row r="71" spans="1:12">
      <c r="A71" s="30" t="str">
        <f>'RESUMEN VIGILANCIA'!A71</f>
        <v>Familia Santos Carrillo</v>
      </c>
      <c r="B71" s="31" t="str">
        <f>'RESUMEN VIGILANCIA'!B71</f>
        <v>Calle Guacara Nro. 90-93</v>
      </c>
      <c r="C71" s="181">
        <f>SUMIFS(Vigilancia!$E:$E,Vigilancia!$F:$F,$A71,Vigilancia!$J:$J,C$1)</f>
        <v>0.05</v>
      </c>
      <c r="D71" s="181">
        <f>SUMIFS(Vigilancia!$E:$E,Vigilancia!$F:$F,$A71,Vigilancia!$J:$J,D$1)</f>
        <v>0</v>
      </c>
      <c r="E71" s="181">
        <f>SUMIFS(Vigilancia!$E:$E,Vigilancia!$F:$F,$A71,Vigilancia!$J:$J,E$1)</f>
        <v>0</v>
      </c>
      <c r="F71" s="181">
        <f>SUMIFS(Vigilancia!$E:$E,Vigilancia!$F:$F,$A71,Vigilancia!$J:$J,F$1)</f>
        <v>0</v>
      </c>
      <c r="G71" s="181">
        <f>SUMIFS(Vigilancia!$E:$E,Vigilancia!$F:$F,$A71,Vigilancia!$J:$J,G$1)</f>
        <v>0</v>
      </c>
      <c r="H71" s="181">
        <f>SUMIFS(Vigilancia!$E:$E,Vigilancia!$F:$F,$A71,Vigilancia!$J:$J,H$1)</f>
        <v>0</v>
      </c>
      <c r="I71" s="181">
        <f>SUMIFS(Vigilancia!$E:$E,Vigilancia!$F:$F,$A71,Vigilancia!$J:$J,I$1)</f>
        <v>0</v>
      </c>
      <c r="J71" s="181">
        <f>SUMIFS(Vigilancia!$E:$E,Vigilancia!$F:$F,$A71,Vigilancia!$J:$J,J$1)</f>
        <v>0</v>
      </c>
      <c r="K71" s="181">
        <f>SUMIFS(Vigilancia!$E:$E,Vigilancia!$F:$F,$A71,Vigilancia!$J:$J,K$1)</f>
        <v>0</v>
      </c>
    </row>
    <row r="72" spans="1:12">
      <c r="A72" s="30" t="str">
        <f>'RESUMEN VIGILANCIA'!A72</f>
        <v>Familia García Hurtado</v>
      </c>
      <c r="B72" s="31" t="str">
        <f>'RESUMEN VIGILANCIA'!B72</f>
        <v>Calle Guacara Nro. 90-110</v>
      </c>
      <c r="C72" s="181">
        <f>SUMIFS(Vigilancia!$E:$E,Vigilancia!$F:$F,$A72,Vigilancia!$J:$J,C$1)</f>
        <v>0</v>
      </c>
      <c r="D72" s="181">
        <f>SUMIFS(Vigilancia!$E:$E,Vigilancia!$F:$F,$A72,Vigilancia!$J:$J,D$1)</f>
        <v>0</v>
      </c>
      <c r="E72" s="181">
        <f>SUMIFS(Vigilancia!$E:$E,Vigilancia!$F:$F,$A72,Vigilancia!$J:$J,E$1)</f>
        <v>0</v>
      </c>
      <c r="F72" s="181">
        <f>SUMIFS(Vigilancia!$E:$E,Vigilancia!$F:$F,$A72,Vigilancia!$J:$J,F$1)</f>
        <v>0</v>
      </c>
      <c r="G72" s="181">
        <f>SUMIFS(Vigilancia!$E:$E,Vigilancia!$F:$F,$A72,Vigilancia!$J:$J,G$1)</f>
        <v>0</v>
      </c>
      <c r="H72" s="181">
        <f>SUMIFS(Vigilancia!$E:$E,Vigilancia!$F:$F,$A72,Vigilancia!$J:$J,H$1)</f>
        <v>0</v>
      </c>
      <c r="I72" s="181">
        <f>SUMIFS(Vigilancia!$E:$E,Vigilancia!$F:$F,$A72,Vigilancia!$J:$J,I$1)</f>
        <v>0</v>
      </c>
      <c r="J72" s="181">
        <f>SUMIFS(Vigilancia!$E:$E,Vigilancia!$F:$F,$A72,Vigilancia!$J:$J,J$1)</f>
        <v>0</v>
      </c>
      <c r="K72" s="181">
        <f>SUMIFS(Vigilancia!$E:$E,Vigilancia!$F:$F,$A72,Vigilancia!$J:$J,K$1)</f>
        <v>0</v>
      </c>
    </row>
    <row r="73" spans="1:12">
      <c r="A73" s="30" t="str">
        <f>'RESUMEN VIGILANCIA'!A73</f>
        <v>Familia Rodríguez Chiappeta</v>
      </c>
      <c r="B73" s="31" t="str">
        <f>'RESUMEN VIGILANCIA'!B73</f>
        <v>Calle Guacara Nro. 90-120</v>
      </c>
      <c r="C73" s="181">
        <f>SUMIFS(Vigilancia!$E:$E,Vigilancia!$F:$F,$A73,Vigilancia!$J:$J,C$1)</f>
        <v>0</v>
      </c>
      <c r="D73" s="181">
        <f>SUMIFS(Vigilancia!$E:$E,Vigilancia!$F:$F,$A73,Vigilancia!$J:$J,D$1)</f>
        <v>0</v>
      </c>
      <c r="E73" s="181">
        <f>SUMIFS(Vigilancia!$E:$E,Vigilancia!$F:$F,$A73,Vigilancia!$J:$J,E$1)</f>
        <v>0</v>
      </c>
      <c r="F73" s="181">
        <f>SUMIFS(Vigilancia!$E:$E,Vigilancia!$F:$F,$A73,Vigilancia!$J:$J,F$1)</f>
        <v>0</v>
      </c>
      <c r="G73" s="181">
        <f>SUMIFS(Vigilancia!$E:$E,Vigilancia!$F:$F,$A73,Vigilancia!$J:$J,G$1)</f>
        <v>0</v>
      </c>
      <c r="H73" s="181">
        <f>SUMIFS(Vigilancia!$E:$E,Vigilancia!$F:$F,$A73,Vigilancia!$J:$J,H$1)</f>
        <v>0</v>
      </c>
      <c r="I73" s="181">
        <f>SUMIFS(Vigilancia!$E:$E,Vigilancia!$F:$F,$A73,Vigilancia!$J:$J,I$1)</f>
        <v>0</v>
      </c>
      <c r="J73" s="181">
        <f>SUMIFS(Vigilancia!$E:$E,Vigilancia!$F:$F,$A73,Vigilancia!$J:$J,J$1)</f>
        <v>0</v>
      </c>
      <c r="K73" s="181">
        <f>SUMIFS(Vigilancia!$E:$E,Vigilancia!$F:$F,$A73,Vigilancia!$J:$J,K$1)</f>
        <v>0</v>
      </c>
    </row>
    <row r="74" spans="1:12">
      <c r="A74" s="30" t="str">
        <f>'RESUMEN VIGILANCIA'!A74</f>
        <v>Familia Ledezma Hernández</v>
      </c>
      <c r="B74" s="31" t="str">
        <f>'RESUMEN VIGILANCIA'!B74</f>
        <v>Calle Guacara Nro. 145-30</v>
      </c>
      <c r="C74" s="181">
        <f>SUMIFS(Vigilancia!$E:$E,Vigilancia!$F:$F,$A74,Vigilancia!$J:$J,C$1)</f>
        <v>0</v>
      </c>
      <c r="D74" s="181">
        <f>SUMIFS(Vigilancia!$E:$E,Vigilancia!$F:$F,$A74,Vigilancia!$J:$J,D$1)</f>
        <v>0</v>
      </c>
      <c r="E74" s="181">
        <f>SUMIFS(Vigilancia!$E:$E,Vigilancia!$F:$F,$A74,Vigilancia!$J:$J,E$1)</f>
        <v>0</v>
      </c>
      <c r="F74" s="181">
        <f>SUMIFS(Vigilancia!$E:$E,Vigilancia!$F:$F,$A74,Vigilancia!$J:$J,F$1)</f>
        <v>0</v>
      </c>
      <c r="G74" s="181">
        <f>SUMIFS(Vigilancia!$E:$E,Vigilancia!$F:$F,$A74,Vigilancia!$J:$J,G$1)</f>
        <v>0</v>
      </c>
      <c r="H74" s="181">
        <f>SUMIFS(Vigilancia!$E:$E,Vigilancia!$F:$F,$A74,Vigilancia!$J:$J,H$1)</f>
        <v>0</v>
      </c>
      <c r="I74" s="181">
        <f>SUMIFS(Vigilancia!$E:$E,Vigilancia!$F:$F,$A74,Vigilancia!$J:$J,I$1)</f>
        <v>0</v>
      </c>
      <c r="J74" s="181">
        <f>SUMIFS(Vigilancia!$E:$E,Vigilancia!$F:$F,$A74,Vigilancia!$J:$J,J$1)</f>
        <v>0</v>
      </c>
      <c r="K74" s="181">
        <f>SUMIFS(Vigilancia!$E:$E,Vigilancia!$F:$F,$A74,Vigilancia!$J:$J,K$1)</f>
        <v>0</v>
      </c>
    </row>
    <row r="75" spans="1:12">
      <c r="A75" s="29" t="str">
        <f>'RESUMEN VIGILANCIA'!A75</f>
        <v>Familia Narváez Caldera</v>
      </c>
      <c r="B75" s="64" t="str">
        <f>'RESUMEN VIGILANCIA'!B75</f>
        <v>Calle Güigüe Nro. 87-A-11</v>
      </c>
      <c r="C75" s="181">
        <f>SUMIFS(Vigilancia!$E:$E,Vigilancia!$F:$F,$A75,Vigilancia!$J:$J,C$1)</f>
        <v>7.0000000000000007E-2</v>
      </c>
      <c r="D75" s="181">
        <f>SUMIFS(Vigilancia!$E:$E,Vigilancia!$F:$F,$A75,Vigilancia!$J:$J,D$1)</f>
        <v>3.5</v>
      </c>
      <c r="E75" s="304">
        <f>SUMIFS(Vigilancia!$E:$E,Vigilancia!$F:$F,$A75,Vigilancia!$J:$J,E$1)</f>
        <v>12.2</v>
      </c>
      <c r="F75" s="304">
        <f>SUMIFS(Vigilancia!$E:$E,Vigilancia!$F:$F,$A75,Vigilancia!$J:$J,F$1)</f>
        <v>10</v>
      </c>
      <c r="G75" s="181">
        <f>SUMIFS(Vigilancia!$E:$E,Vigilancia!$F:$F,$A75,Vigilancia!$J:$J,G$1)</f>
        <v>50000</v>
      </c>
      <c r="H75" s="181">
        <f>SUMIFS(Vigilancia!$E:$E,Vigilancia!$F:$F,$A75,Vigilancia!$J:$J,H$1)</f>
        <v>0</v>
      </c>
      <c r="I75" s="181">
        <f>SUMIFS(Vigilancia!$E:$E,Vigilancia!$F:$F,$A75,Vigilancia!$J:$J,I$1)</f>
        <v>0</v>
      </c>
      <c r="J75" s="181">
        <f>SUMIFS(Vigilancia!$E:$E,Vigilancia!$F:$F,$A75,Vigilancia!$J:$J,J$1)</f>
        <v>0</v>
      </c>
      <c r="K75" s="181">
        <f>SUMIFS(Vigilancia!$E:$E,Vigilancia!$F:$F,$A75,Vigilancia!$J:$J,K$1)</f>
        <v>0</v>
      </c>
    </row>
    <row r="76" spans="1:12">
      <c r="A76" s="59" t="str">
        <f>'RESUMEN VIGILANCIA'!A76</f>
        <v>Claudia González</v>
      </c>
      <c r="B76" s="60" t="str">
        <f>'RESUMEN VIGILANCIA'!B76</f>
        <v>Calle Güigüe Nro. 88-06</v>
      </c>
      <c r="C76" s="213">
        <f>SUMIFS(Vigilancia!$E:$E,Vigilancia!$F:$F,$A76,Vigilancia!$J:$J,C$1)</f>
        <v>0</v>
      </c>
      <c r="D76" s="213">
        <f>SUMIFS(Vigilancia!$E:$E,Vigilancia!$F:$F,$A76,Vigilancia!$J:$J,D$1)</f>
        <v>0</v>
      </c>
      <c r="E76" s="213">
        <f>SUMIFS(Vigilancia!$E:$E,Vigilancia!$F:$F,$A76,Vigilancia!$J:$J,E$1)</f>
        <v>0</v>
      </c>
      <c r="F76" s="213">
        <f>SUMIFS(Vigilancia!$E:$E,Vigilancia!$F:$F,$A76,Vigilancia!$J:$J,F$1)</f>
        <v>0</v>
      </c>
      <c r="G76" s="305">
        <f>SUMIFS(Vigilancia!$E:$E,Vigilancia!$F:$F,$A76,Vigilancia!$J:$J,G$1)</f>
        <v>0</v>
      </c>
      <c r="H76" s="305">
        <f>SUMIFS(Vigilancia!$E:$E,Vigilancia!$F:$F,$A76,Vigilancia!$J:$J,H$1)</f>
        <v>0</v>
      </c>
      <c r="I76" s="213">
        <f>SUMIFS(Vigilancia!$E:$E,Vigilancia!$F:$F,$A76,Vigilancia!$J:$J,I$1)</f>
        <v>0</v>
      </c>
      <c r="J76" s="213">
        <f>SUMIFS(Vigilancia!$E:$E,Vigilancia!$F:$F,$A76,Vigilancia!$J:$J,J$1)</f>
        <v>0</v>
      </c>
      <c r="K76" s="205">
        <f>SUMIFS(Vigilancia!$E:$E,Vigilancia!$F:$F,$A76,Vigilancia!$J:$J,K$1)</f>
        <v>0</v>
      </c>
      <c r="L76" s="122"/>
    </row>
    <row r="77" spans="1:12">
      <c r="A77" s="30" t="str">
        <f>'RESUMEN VIGILANCIA'!A77</f>
        <v>Familia Ozar Rivero</v>
      </c>
      <c r="B77" s="31" t="str">
        <f>'RESUMEN VIGILANCIA'!B77</f>
        <v>Calle Güigüe Nro. 88-06</v>
      </c>
      <c r="C77" s="181">
        <f>SUMIFS(Vigilancia!$E:$E,Vigilancia!$F:$F,$A77,Vigilancia!$J:$J,C$1)</f>
        <v>0</v>
      </c>
      <c r="D77" s="181">
        <f>SUMIFS(Vigilancia!$E:$E,Vigilancia!$F:$F,$A77,Vigilancia!$J:$J,D$1)</f>
        <v>0</v>
      </c>
      <c r="E77" s="304">
        <f>SUMIFS(Vigilancia!$E:$E,Vigilancia!$F:$F,$A77,Vigilancia!$J:$J,E$1)</f>
        <v>12.2</v>
      </c>
      <c r="F77" s="304">
        <f>SUMIFS(Vigilancia!$E:$E,Vigilancia!$F:$F,$A77,Vigilancia!$J:$J,F$1)</f>
        <v>0</v>
      </c>
      <c r="G77" s="180">
        <f>SUMIFS(Vigilancia!$E:$E,Vigilancia!$F:$F,$A77,Vigilancia!$J:$J,G$1)</f>
        <v>0</v>
      </c>
      <c r="H77" s="180">
        <f>SUMIFS(Vigilancia!$E:$E,Vigilancia!$F:$F,$A77,Vigilancia!$J:$J,H$1)</f>
        <v>0</v>
      </c>
      <c r="I77" s="181">
        <f>SUMIFS(Vigilancia!$E:$E,Vigilancia!$F:$F,$A77,Vigilancia!$J:$J,I$1)</f>
        <v>0</v>
      </c>
      <c r="J77" s="181">
        <f>SUMIFS(Vigilancia!$E:$E,Vigilancia!$F:$F,$A77,Vigilancia!$J:$J,J$1)</f>
        <v>0</v>
      </c>
      <c r="K77" s="184">
        <f>SUMIFS(Vigilancia!$E:$E,Vigilancia!$F:$F,$A77,Vigilancia!$J:$J,K$1)</f>
        <v>0</v>
      </c>
      <c r="L77" s="124"/>
    </row>
    <row r="78" spans="1:12">
      <c r="A78" s="67" t="str">
        <f>'RESUMEN VIGILANCIA'!A78</f>
        <v>Familia Delgado Hidalgo</v>
      </c>
      <c r="B78" s="65" t="str">
        <f>'RESUMEN VIGILANCIA'!B78</f>
        <v>Calle Güigüe Nro. 88-10</v>
      </c>
      <c r="C78" s="181">
        <f>SUMIFS(Vigilancia!$E:$E,Vigilancia!$F:$F,$A78,Vigilancia!$J:$J,C$1)</f>
        <v>7.0000000000000007E-2</v>
      </c>
      <c r="D78" s="181">
        <f>SUMIFS(Vigilancia!$E:$E,Vigilancia!$F:$F,$A78,Vigilancia!$J:$J,D$1)</f>
        <v>3.5</v>
      </c>
      <c r="E78" s="304">
        <f>SUMIFS(Vigilancia!$E:$E,Vigilancia!$F:$F,$A78,Vigilancia!$J:$J,E$1)</f>
        <v>12.2</v>
      </c>
      <c r="F78" s="304">
        <f>SUMIFS(Vigilancia!$E:$E,Vigilancia!$F:$F,$A78,Vigilancia!$J:$J,F$1)</f>
        <v>10</v>
      </c>
      <c r="G78" s="181">
        <f>SUMIFS(Vigilancia!$E:$E,Vigilancia!$F:$F,$A78,Vigilancia!$J:$J,G$1)</f>
        <v>50000</v>
      </c>
      <c r="H78" s="181">
        <f>SUMIFS(Vigilancia!$E:$E,Vigilancia!$F:$F,$A78,Vigilancia!$J:$J,H$1)</f>
        <v>0</v>
      </c>
      <c r="I78" s="181">
        <f>SUMIFS(Vigilancia!$E:$E,Vigilancia!$F:$F,$A78,Vigilancia!$J:$J,I$1)</f>
        <v>0</v>
      </c>
      <c r="J78" s="181">
        <f>SUMIFS(Vigilancia!$E:$E,Vigilancia!$F:$F,$A78,Vigilancia!$J:$J,J$1)</f>
        <v>0</v>
      </c>
      <c r="K78" s="181">
        <f>SUMIFS(Vigilancia!$E:$E,Vigilancia!$F:$F,$A78,Vigilancia!$J:$J,K$1)</f>
        <v>0</v>
      </c>
    </row>
    <row r="79" spans="1:12">
      <c r="A79" s="30" t="str">
        <f>'RESUMEN VIGILANCIA'!A79</f>
        <v>Familia Costermani Terrer</v>
      </c>
      <c r="B79" s="31" t="str">
        <f>'RESUMEN VIGILANCIA'!B79</f>
        <v>Calle Güigüe Nro. 88-11</v>
      </c>
      <c r="C79" s="181">
        <f>SUMIFS(Vigilancia!$E:$E,Vigilancia!$F:$F,$A79,Vigilancia!$J:$J,C$1)</f>
        <v>0</v>
      </c>
      <c r="D79" s="181">
        <f>SUMIFS(Vigilancia!$E:$E,Vigilancia!$F:$F,$A79,Vigilancia!$J:$J,D$1)</f>
        <v>3.5</v>
      </c>
      <c r="E79" s="304">
        <f>SUMIFS(Vigilancia!$E:$E,Vigilancia!$F:$F,$A79,Vigilancia!$J:$J,E$1)</f>
        <v>12.2</v>
      </c>
      <c r="F79" s="304">
        <f>SUMIFS(Vigilancia!$E:$E,Vigilancia!$F:$F,$A79,Vigilancia!$J:$J,F$1)</f>
        <v>10</v>
      </c>
      <c r="G79" s="181">
        <f>SUMIFS(Vigilancia!$E:$E,Vigilancia!$F:$F,$A79,Vigilancia!$J:$J,G$1)</f>
        <v>50000</v>
      </c>
      <c r="H79" s="181">
        <f>SUMIFS(Vigilancia!$E:$E,Vigilancia!$F:$F,$A79,Vigilancia!$J:$J,H$1)</f>
        <v>0</v>
      </c>
      <c r="I79" s="181">
        <f>SUMIFS(Vigilancia!$E:$E,Vigilancia!$F:$F,$A79,Vigilancia!$J:$J,I$1)</f>
        <v>0</v>
      </c>
      <c r="J79" s="181">
        <f>SUMIFS(Vigilancia!$E:$E,Vigilancia!$F:$F,$A79,Vigilancia!$J:$J,J$1)</f>
        <v>0</v>
      </c>
      <c r="K79" s="181">
        <f>SUMIFS(Vigilancia!$E:$E,Vigilancia!$F:$F,$A79,Vigilancia!$J:$J,K$1)</f>
        <v>0</v>
      </c>
    </row>
    <row r="80" spans="1:12">
      <c r="A80" s="30" t="str">
        <f>'RESUMEN VIGILANCIA'!A80</f>
        <v>Familia Chávez Hernández</v>
      </c>
      <c r="B80" s="31" t="str">
        <f>'RESUMEN VIGILANCIA'!B80</f>
        <v>Calle Güigüe Nro. 88-20</v>
      </c>
      <c r="C80" s="181">
        <f>SUMIFS(Vigilancia!$E:$E,Vigilancia!$F:$F,$A80,Vigilancia!$J:$J,C$1)</f>
        <v>0</v>
      </c>
      <c r="D80" s="181">
        <f>SUMIFS(Vigilancia!$E:$E,Vigilancia!$F:$F,$A80,Vigilancia!$J:$J,D$1)</f>
        <v>1</v>
      </c>
      <c r="E80" s="304">
        <f>SUMIFS(Vigilancia!$E:$E,Vigilancia!$F:$F,$A80,Vigilancia!$J:$J,E$1)</f>
        <v>0</v>
      </c>
      <c r="F80" s="304">
        <f>SUMIFS(Vigilancia!$E:$E,Vigilancia!$F:$F,$A80,Vigilancia!$J:$J,F$1)</f>
        <v>0</v>
      </c>
      <c r="G80" s="181">
        <f>SUMIFS(Vigilancia!$E:$E,Vigilancia!$F:$F,$A80,Vigilancia!$J:$J,G$1)</f>
        <v>0</v>
      </c>
      <c r="H80" s="181">
        <f>SUMIFS(Vigilancia!$E:$E,Vigilancia!$F:$F,$A80,Vigilancia!$J:$J,H$1)</f>
        <v>0</v>
      </c>
      <c r="I80" s="181">
        <f>SUMIFS(Vigilancia!$E:$E,Vigilancia!$F:$F,$A80,Vigilancia!$J:$J,I$1)</f>
        <v>0</v>
      </c>
      <c r="J80" s="181">
        <f>SUMIFS(Vigilancia!$E:$E,Vigilancia!$F:$F,$A80,Vigilancia!$J:$J,J$1)</f>
        <v>0</v>
      </c>
      <c r="K80" s="181">
        <f>SUMIFS(Vigilancia!$E:$E,Vigilancia!$F:$F,$A80,Vigilancia!$J:$J,K$1)</f>
        <v>0</v>
      </c>
    </row>
    <row r="81" spans="1:11">
      <c r="A81" s="30" t="str">
        <f>'RESUMEN VIGILANCIA'!A81</f>
        <v>Ma. de Jesus Alonso</v>
      </c>
      <c r="B81" s="31" t="str">
        <f>'RESUMEN VIGILANCIA'!B81</f>
        <v>Calle Güigüe Nro. 88-30</v>
      </c>
      <c r="C81" s="181">
        <f>SUMIFS(Vigilancia!$E:$E,Vigilancia!$F:$F,$A81,Vigilancia!$J:$J,C$1)</f>
        <v>0</v>
      </c>
      <c r="D81" s="181">
        <f>SUMIFS(Vigilancia!$E:$E,Vigilancia!$F:$F,$A81,Vigilancia!$J:$J,D$1)</f>
        <v>3.5</v>
      </c>
      <c r="E81" s="304">
        <f>SUMIFS(Vigilancia!$E:$E,Vigilancia!$F:$F,$A81,Vigilancia!$J:$J,E$1)</f>
        <v>0</v>
      </c>
      <c r="F81" s="304">
        <f>SUMIFS(Vigilancia!$E:$E,Vigilancia!$F:$F,$A81,Vigilancia!$J:$J,F$1)</f>
        <v>0</v>
      </c>
      <c r="G81" s="181">
        <f>SUMIFS(Vigilancia!$E:$E,Vigilancia!$F:$F,$A81,Vigilancia!$J:$J,G$1)</f>
        <v>0</v>
      </c>
      <c r="H81" s="181">
        <f>SUMIFS(Vigilancia!$E:$E,Vigilancia!$F:$F,$A81,Vigilancia!$J:$J,H$1)</f>
        <v>0</v>
      </c>
      <c r="I81" s="181">
        <f>SUMIFS(Vigilancia!$E:$E,Vigilancia!$F:$F,$A81,Vigilancia!$J:$J,I$1)</f>
        <v>0</v>
      </c>
      <c r="J81" s="181">
        <f>SUMIFS(Vigilancia!$E:$E,Vigilancia!$F:$F,$A81,Vigilancia!$J:$J,J$1)</f>
        <v>0</v>
      </c>
      <c r="K81" s="181">
        <f>SUMIFS(Vigilancia!$E:$E,Vigilancia!$F:$F,$A81,Vigilancia!$J:$J,K$1)</f>
        <v>0</v>
      </c>
    </row>
    <row r="82" spans="1:11">
      <c r="A82" s="30" t="str">
        <f>'RESUMEN VIGILANCIA'!A82</f>
        <v>Familia Moyetones</v>
      </c>
      <c r="B82" s="31" t="str">
        <f>'RESUMEN VIGILANCIA'!B82</f>
        <v>Calle Güigüe Nro. 88-36</v>
      </c>
      <c r="C82" s="181">
        <f>SUMIFS(Vigilancia!$E:$E,Vigilancia!$F:$F,$A82,Vigilancia!$J:$J,C$1)</f>
        <v>0</v>
      </c>
      <c r="D82" s="181">
        <f>SUMIFS(Vigilancia!$E:$E,Vigilancia!$F:$F,$A82,Vigilancia!$J:$J,D$1)</f>
        <v>0</v>
      </c>
      <c r="E82" s="304">
        <f>SUMIFS(Vigilancia!$E:$E,Vigilancia!$F:$F,$A82,Vigilancia!$J:$J,E$1)</f>
        <v>0</v>
      </c>
      <c r="F82" s="304">
        <f>SUMIFS(Vigilancia!$E:$E,Vigilancia!$F:$F,$A82,Vigilancia!$J:$J,F$1)</f>
        <v>0</v>
      </c>
      <c r="G82" s="181">
        <f>SUMIFS(Vigilancia!$E:$E,Vigilancia!$F:$F,$A82,Vigilancia!$J:$J,G$1)</f>
        <v>0</v>
      </c>
      <c r="H82" s="181">
        <f>SUMIFS(Vigilancia!$E:$E,Vigilancia!$F:$F,$A82,Vigilancia!$J:$J,H$1)</f>
        <v>0</v>
      </c>
      <c r="I82" s="181">
        <f>SUMIFS(Vigilancia!$E:$E,Vigilancia!$F:$F,$A82,Vigilancia!$J:$J,I$1)</f>
        <v>0</v>
      </c>
      <c r="J82" s="181">
        <f>SUMIFS(Vigilancia!$E:$E,Vigilancia!$F:$F,$A82,Vigilancia!$J:$J,J$1)</f>
        <v>0</v>
      </c>
      <c r="K82" s="181">
        <f>SUMIFS(Vigilancia!$E:$E,Vigilancia!$F:$F,$A82,Vigilancia!$J:$J,K$1)</f>
        <v>0</v>
      </c>
    </row>
    <row r="83" spans="1:11">
      <c r="A83" s="30" t="str">
        <f>'RESUMEN VIGILANCIA'!A83</f>
        <v>Familia Rivero</v>
      </c>
      <c r="B83" s="31" t="str">
        <f>'RESUMEN VIGILANCIA'!B83</f>
        <v>Calle Güigüe Nro. 88-40</v>
      </c>
      <c r="C83" s="181">
        <f>SUMIFS(Vigilancia!$E:$E,Vigilancia!$F:$F,$A83,Vigilancia!$J:$J,C$1)</f>
        <v>7.0000000000000007E-2</v>
      </c>
      <c r="D83" s="181">
        <f>SUMIFS(Vigilancia!$E:$E,Vigilancia!$F:$F,$A83,Vigilancia!$J:$J,D$1)</f>
        <v>0</v>
      </c>
      <c r="E83" s="304">
        <f>SUMIFS(Vigilancia!$E:$E,Vigilancia!$F:$F,$A83,Vigilancia!$J:$J,E$1)</f>
        <v>0</v>
      </c>
      <c r="F83" s="304">
        <f>SUMIFS(Vigilancia!$E:$E,Vigilancia!$F:$F,$A83,Vigilancia!$J:$J,F$1)</f>
        <v>0</v>
      </c>
      <c r="G83" s="181">
        <f>SUMIFS(Vigilancia!$E:$E,Vigilancia!$F:$F,$A83,Vigilancia!$J:$J,G$1)</f>
        <v>0</v>
      </c>
      <c r="H83" s="181">
        <f>SUMIFS(Vigilancia!$E:$E,Vigilancia!$F:$F,$A83,Vigilancia!$J:$J,H$1)</f>
        <v>0</v>
      </c>
      <c r="I83" s="181">
        <f>SUMIFS(Vigilancia!$E:$E,Vigilancia!$F:$F,$A83,Vigilancia!$J:$J,I$1)</f>
        <v>0</v>
      </c>
      <c r="J83" s="181">
        <f>SUMIFS(Vigilancia!$E:$E,Vigilancia!$F:$F,$A83,Vigilancia!$J:$J,J$1)</f>
        <v>0</v>
      </c>
      <c r="K83" s="181">
        <f>SUMIFS(Vigilancia!$E:$E,Vigilancia!$F:$F,$A83,Vigilancia!$J:$J,K$1)</f>
        <v>0</v>
      </c>
    </row>
    <row r="84" spans="1:11">
      <c r="A84" s="30" t="str">
        <f>'RESUMEN VIGILANCIA'!A84</f>
        <v>Thanya Albornoz</v>
      </c>
      <c r="B84" s="31" t="str">
        <f>'RESUMEN VIGILANCIA'!B84</f>
        <v>Calle Güigüe Nro. 88-42</v>
      </c>
      <c r="C84" s="181">
        <f>SUMIFS(Vigilancia!$E:$E,Vigilancia!$F:$F,$A84,Vigilancia!$J:$J,C$1)</f>
        <v>0</v>
      </c>
      <c r="D84" s="181">
        <f>SUMIFS(Vigilancia!$E:$E,Vigilancia!$F:$F,$A84,Vigilancia!$J:$J,D$1)</f>
        <v>0</v>
      </c>
      <c r="E84" s="304">
        <f>SUMIFS(Vigilancia!$E:$E,Vigilancia!$F:$F,$A84,Vigilancia!$J:$J,E$1)</f>
        <v>0</v>
      </c>
      <c r="F84" s="304">
        <f>SUMIFS(Vigilancia!$E:$E,Vigilancia!$F:$F,$A84,Vigilancia!$J:$J,F$1)</f>
        <v>0</v>
      </c>
      <c r="G84" s="181">
        <f>SUMIFS(Vigilancia!$E:$E,Vigilancia!$F:$F,$A84,Vigilancia!$J:$J,G$1)</f>
        <v>0</v>
      </c>
      <c r="H84" s="181">
        <f>SUMIFS(Vigilancia!$E:$E,Vigilancia!$F:$F,$A84,Vigilancia!$J:$J,H$1)</f>
        <v>0</v>
      </c>
      <c r="I84" s="181">
        <f>SUMIFS(Vigilancia!$E:$E,Vigilancia!$F:$F,$A84,Vigilancia!$J:$J,I$1)</f>
        <v>0</v>
      </c>
      <c r="J84" s="181">
        <f>SUMIFS(Vigilancia!$E:$E,Vigilancia!$F:$F,$A84,Vigilancia!$J:$J,J$1)</f>
        <v>0</v>
      </c>
      <c r="K84" s="181">
        <f>SUMIFS(Vigilancia!$E:$E,Vigilancia!$F:$F,$A84,Vigilancia!$J:$J,K$1)</f>
        <v>0</v>
      </c>
    </row>
    <row r="85" spans="1:11">
      <c r="A85" s="30" t="str">
        <f>'RESUMEN VIGILANCIA'!A85</f>
        <v>Familia Colosso Delgado</v>
      </c>
      <c r="B85" s="31" t="str">
        <f>'RESUMEN VIGILANCIA'!B85</f>
        <v>Calle Güigüe Nro. 88-44</v>
      </c>
      <c r="C85" s="181">
        <f>SUMIFS(Vigilancia!$E:$E,Vigilancia!$F:$F,$A85,Vigilancia!$J:$J,C$1)</f>
        <v>7.0000000000000007E-2</v>
      </c>
      <c r="D85" s="181">
        <f>SUMIFS(Vigilancia!$E:$E,Vigilancia!$F:$F,$A85,Vigilancia!$J:$J,D$1)</f>
        <v>3.5</v>
      </c>
      <c r="E85" s="304">
        <f>SUMIFS(Vigilancia!$E:$E,Vigilancia!$F:$F,$A85,Vigilancia!$J:$J,E$1)</f>
        <v>12.2</v>
      </c>
      <c r="F85" s="304">
        <f>SUMIFS(Vigilancia!$E:$E,Vigilancia!$F:$F,$A85,Vigilancia!$J:$J,F$1)</f>
        <v>10</v>
      </c>
      <c r="G85" s="181">
        <f>SUMIFS(Vigilancia!$E:$E,Vigilancia!$F:$F,$A85,Vigilancia!$J:$J,G$1)</f>
        <v>50000</v>
      </c>
      <c r="H85" s="181">
        <f>SUMIFS(Vigilancia!$E:$E,Vigilancia!$F:$F,$A85,Vigilancia!$J:$J,H$1)</f>
        <v>0</v>
      </c>
      <c r="I85" s="181">
        <f>SUMIFS(Vigilancia!$E:$E,Vigilancia!$F:$F,$A85,Vigilancia!$J:$J,I$1)</f>
        <v>0</v>
      </c>
      <c r="J85" s="181">
        <f>SUMIFS(Vigilancia!$E:$E,Vigilancia!$F:$F,$A85,Vigilancia!$J:$J,J$1)</f>
        <v>0</v>
      </c>
      <c r="K85" s="181">
        <f>SUMIFS(Vigilancia!$E:$E,Vigilancia!$F:$F,$A85,Vigilancia!$J:$J,K$1)</f>
        <v>0</v>
      </c>
    </row>
    <row r="86" spans="1:11">
      <c r="A86" s="30" t="str">
        <f>'RESUMEN VIGILANCIA'!A86</f>
        <v>Familia Jiménez Navarro</v>
      </c>
      <c r="B86" s="31" t="str">
        <f>'RESUMEN VIGILANCIA'!B86</f>
        <v>Calle Güigüe Nro. 88-50</v>
      </c>
      <c r="C86" s="181">
        <f>SUMIFS(Vigilancia!$E:$E,Vigilancia!$F:$F,$A86,Vigilancia!$J:$J,C$1)</f>
        <v>0.1</v>
      </c>
      <c r="D86" s="181">
        <f>SUMIFS(Vigilancia!$E:$E,Vigilancia!$F:$F,$A86,Vigilancia!$J:$J,D$1)</f>
        <v>3.5</v>
      </c>
      <c r="E86" s="304">
        <f>SUMIFS(Vigilancia!$E:$E,Vigilancia!$F:$F,$A86,Vigilancia!$J:$J,E$1)</f>
        <v>15</v>
      </c>
      <c r="F86" s="304">
        <f>SUMIFS(Vigilancia!$E:$E,Vigilancia!$F:$F,$A86,Vigilancia!$J:$J,F$1)</f>
        <v>10</v>
      </c>
      <c r="G86" s="181">
        <f>SUMIFS(Vigilancia!$E:$E,Vigilancia!$F:$F,$A86,Vigilancia!$J:$J,G$1)</f>
        <v>50000</v>
      </c>
      <c r="H86" s="181">
        <f>SUMIFS(Vigilancia!$E:$E,Vigilancia!$F:$F,$A86,Vigilancia!$J:$J,H$1)</f>
        <v>0</v>
      </c>
      <c r="I86" s="181">
        <f>SUMIFS(Vigilancia!$E:$E,Vigilancia!$F:$F,$A86,Vigilancia!$J:$J,I$1)</f>
        <v>0</v>
      </c>
      <c r="J86" s="181">
        <f>SUMIFS(Vigilancia!$E:$E,Vigilancia!$F:$F,$A86,Vigilancia!$J:$J,J$1)</f>
        <v>0</v>
      </c>
      <c r="K86" s="181">
        <f>SUMIFS(Vigilancia!$E:$E,Vigilancia!$F:$F,$A86,Vigilancia!$J:$J,K$1)</f>
        <v>0</v>
      </c>
    </row>
    <row r="87" spans="1:11">
      <c r="A87" s="30" t="str">
        <f>'RESUMEN VIGILANCIA'!A87</f>
        <v>Dra. Lilia Magallanes</v>
      </c>
      <c r="B87" s="31" t="str">
        <f>'RESUMEN VIGILANCIA'!B87</f>
        <v>Calle Güigüe Nro. 88-51</v>
      </c>
      <c r="C87" s="181">
        <f>SUMIFS(Vigilancia!$E:$E,Vigilancia!$F:$F,$A87,Vigilancia!$J:$J,C$1)</f>
        <v>7.0000000000000007E-2</v>
      </c>
      <c r="D87" s="315">
        <f>SUMIFS(Vigilancia!$E:$E,Vigilancia!$F:$F,$A87,Vigilancia!$J:$J,D$1)</f>
        <v>0</v>
      </c>
      <c r="E87" s="304">
        <f>SUMIFS(Vigilancia!$E:$E,Vigilancia!$F:$F,$A87,Vigilancia!$J:$J,E$1)</f>
        <v>0</v>
      </c>
      <c r="F87" s="304">
        <f>SUMIFS(Vigilancia!$E:$E,Vigilancia!$F:$F,$A87,Vigilancia!$J:$J,F$1)</f>
        <v>0</v>
      </c>
      <c r="G87" s="181">
        <f>SUMIFS(Vigilancia!$E:$E,Vigilancia!$F:$F,$A87,Vigilancia!$J:$J,G$1)</f>
        <v>50000</v>
      </c>
      <c r="H87" s="181">
        <f>SUMIFS(Vigilancia!$E:$E,Vigilancia!$F:$F,$A87,Vigilancia!$J:$J,H$1)</f>
        <v>0</v>
      </c>
      <c r="I87" s="181">
        <f>SUMIFS(Vigilancia!$E:$E,Vigilancia!$F:$F,$A87,Vigilancia!$J:$J,I$1)</f>
        <v>0</v>
      </c>
      <c r="J87" s="181">
        <f>SUMIFS(Vigilancia!$E:$E,Vigilancia!$F:$F,$A87,Vigilancia!$J:$J,J$1)</f>
        <v>0</v>
      </c>
      <c r="K87" s="181">
        <f>SUMIFS(Vigilancia!$E:$E,Vigilancia!$F:$F,$A87,Vigilancia!$J:$J,K$1)</f>
        <v>0</v>
      </c>
    </row>
    <row r="88" spans="1:11">
      <c r="A88" s="30" t="str">
        <f>'RESUMEN VIGILANCIA'!A88</f>
        <v>Familia Navarro Assing</v>
      </c>
      <c r="B88" s="31" t="str">
        <f>'RESUMEN VIGILANCIA'!B88</f>
        <v>Calle Güigüe Nro. 88-54</v>
      </c>
      <c r="C88" s="181">
        <f>SUMIFS(Vigilancia!$E:$E,Vigilancia!$F:$F,$A88,Vigilancia!$J:$J,C$1)</f>
        <v>7.0000000000000007E-2</v>
      </c>
      <c r="D88" s="181">
        <f>SUMIFS(Vigilancia!$E:$E,Vigilancia!$F:$F,$A88,Vigilancia!$J:$J,D$1)</f>
        <v>3.5</v>
      </c>
      <c r="E88" s="304">
        <f>SUMIFS(Vigilancia!$E:$E,Vigilancia!$F:$F,$A88,Vigilancia!$J:$J,E$1)</f>
        <v>12</v>
      </c>
      <c r="F88" s="304">
        <f>SUMIFS(Vigilancia!$E:$E,Vigilancia!$F:$F,$A88,Vigilancia!$J:$J,F$1)</f>
        <v>10</v>
      </c>
      <c r="G88" s="181">
        <f>SUMIFS(Vigilancia!$E:$E,Vigilancia!$F:$F,$A88,Vigilancia!$J:$J,G$1)</f>
        <v>50000</v>
      </c>
      <c r="H88" s="181">
        <f>SUMIFS(Vigilancia!$E:$E,Vigilancia!$F:$F,$A88,Vigilancia!$J:$J,H$1)</f>
        <v>0</v>
      </c>
      <c r="I88" s="181">
        <f>SUMIFS(Vigilancia!$E:$E,Vigilancia!$F:$F,$A88,Vigilancia!$J:$J,I$1)</f>
        <v>0</v>
      </c>
      <c r="J88" s="181">
        <f>SUMIFS(Vigilancia!$E:$E,Vigilancia!$F:$F,$A88,Vigilancia!$J:$J,J$1)</f>
        <v>0</v>
      </c>
      <c r="K88" s="181">
        <f>SUMIFS(Vigilancia!$E:$E,Vigilancia!$F:$F,$A88,Vigilancia!$J:$J,K$1)</f>
        <v>3</v>
      </c>
    </row>
    <row r="89" spans="1:11">
      <c r="A89" s="30" t="str">
        <f>'RESUMEN VIGILANCIA'!A89</f>
        <v>Familia Rodríguez Aular</v>
      </c>
      <c r="B89" s="31" t="str">
        <f>'RESUMEN VIGILANCIA'!B89</f>
        <v>Calle Güigüe Nro. 88-58</v>
      </c>
      <c r="C89" s="181">
        <f>SUMIFS(Vigilancia!$E:$E,Vigilancia!$F:$F,$A89,Vigilancia!$J:$J,C$1)</f>
        <v>0</v>
      </c>
      <c r="D89" s="181">
        <f>SUMIFS(Vigilancia!$E:$E,Vigilancia!$F:$F,$A89,Vigilancia!$J:$J,D$1)</f>
        <v>0</v>
      </c>
      <c r="E89" s="181">
        <f>SUMIFS(Vigilancia!$E:$E,Vigilancia!$F:$F,$A89,Vigilancia!$J:$J,E$1)</f>
        <v>0</v>
      </c>
      <c r="F89" s="181">
        <f>SUMIFS(Vigilancia!$E:$E,Vigilancia!$F:$F,$A89,Vigilancia!$J:$J,F$1)</f>
        <v>0</v>
      </c>
      <c r="G89" s="181">
        <f>SUMIFS(Vigilancia!$E:$E,Vigilancia!$F:$F,$A89,Vigilancia!$J:$J,G$1)</f>
        <v>50000</v>
      </c>
      <c r="H89" s="181">
        <f>SUMIFS(Vigilancia!$E:$E,Vigilancia!$F:$F,$A89,Vigilancia!$J:$J,H$1)</f>
        <v>0</v>
      </c>
      <c r="I89" s="181">
        <f>SUMIFS(Vigilancia!$E:$E,Vigilancia!$F:$F,$A89,Vigilancia!$J:$J,I$1)</f>
        <v>0</v>
      </c>
      <c r="J89" s="181">
        <f>SUMIFS(Vigilancia!$E:$E,Vigilancia!$F:$F,$A89,Vigilancia!$J:$J,J$1)</f>
        <v>0</v>
      </c>
      <c r="K89" s="181">
        <f>SUMIFS(Vigilancia!$E:$E,Vigilancia!$F:$F,$A89,Vigilancia!$J:$J,K$1)</f>
        <v>0</v>
      </c>
    </row>
    <row r="90" spans="1:11">
      <c r="A90" s="30" t="str">
        <f>'RESUMEN VIGILANCIA'!A90</f>
        <v>Familia Ramírez</v>
      </c>
      <c r="B90" s="31" t="str">
        <f>'RESUMEN VIGILANCIA'!B90</f>
        <v>Calle Güigüe Nro. 88-61</v>
      </c>
      <c r="C90" s="181">
        <f>SUMIFS(Vigilancia!$E:$E,Vigilancia!$F:$F,$A90,Vigilancia!$J:$J,C$1)</f>
        <v>7.4999999999999997E-2</v>
      </c>
      <c r="D90" s="181">
        <f>SUMIFS(Vigilancia!$E:$E,Vigilancia!$F:$F,$A90,Vigilancia!$J:$J,D$1)</f>
        <v>0</v>
      </c>
      <c r="E90" s="181">
        <f>SUMIFS(Vigilancia!$E:$E,Vigilancia!$F:$F,$A90,Vigilancia!$J:$J,E$1)</f>
        <v>0</v>
      </c>
      <c r="F90" s="181">
        <f>SUMIFS(Vigilancia!$E:$E,Vigilancia!$F:$F,$A90,Vigilancia!$J:$J,F$1)</f>
        <v>0</v>
      </c>
      <c r="G90" s="181">
        <f>SUMIFS(Vigilancia!$E:$E,Vigilancia!$F:$F,$A90,Vigilancia!$J:$J,G$1)</f>
        <v>0</v>
      </c>
      <c r="H90" s="181">
        <f>SUMIFS(Vigilancia!$E:$E,Vigilancia!$F:$F,$A90,Vigilancia!$J:$J,H$1)</f>
        <v>0</v>
      </c>
      <c r="I90" s="181">
        <f>SUMIFS(Vigilancia!$E:$E,Vigilancia!$F:$F,$A90,Vigilancia!$J:$J,I$1)</f>
        <v>0</v>
      </c>
      <c r="J90" s="181">
        <f>SUMIFS(Vigilancia!$E:$E,Vigilancia!$F:$F,$A90,Vigilancia!$J:$J,J$1)</f>
        <v>0</v>
      </c>
      <c r="K90" s="181">
        <f>SUMIFS(Vigilancia!$E:$E,Vigilancia!$F:$F,$A90,Vigilancia!$J:$J,K$1)</f>
        <v>0</v>
      </c>
    </row>
    <row r="91" spans="1:11">
      <c r="A91" s="30" t="str">
        <f>'RESUMEN VIGILANCIA'!A91</f>
        <v>Familia Martínez Boada</v>
      </c>
      <c r="B91" s="31" t="str">
        <f>'RESUMEN VIGILANCIA'!B91</f>
        <v>Calle Güigüe Nro. 88-62</v>
      </c>
      <c r="C91" s="181">
        <f>SUMIFS(Vigilancia!$E:$E,Vigilancia!$F:$F,$A91,Vigilancia!$J:$J,C$1)</f>
        <v>0</v>
      </c>
      <c r="D91" s="181">
        <f>SUMIFS(Vigilancia!$E:$E,Vigilancia!$F:$F,$A91,Vigilancia!$J:$J,D$1)</f>
        <v>0</v>
      </c>
      <c r="E91" s="181">
        <f>SUMIFS(Vigilancia!$E:$E,Vigilancia!$F:$F,$A91,Vigilancia!$J:$J,E$1)</f>
        <v>0</v>
      </c>
      <c r="F91" s="181">
        <f>SUMIFS(Vigilancia!$E:$E,Vigilancia!$F:$F,$A91,Vigilancia!$J:$J,F$1)</f>
        <v>0</v>
      </c>
      <c r="G91" s="181">
        <f>SUMIFS(Vigilancia!$E:$E,Vigilancia!$F:$F,$A91,Vigilancia!$J:$J,G$1)</f>
        <v>50000</v>
      </c>
      <c r="H91" s="181">
        <f>SUMIFS(Vigilancia!$E:$E,Vigilancia!$F:$F,$A91,Vigilancia!$J:$J,H$1)</f>
        <v>0</v>
      </c>
      <c r="I91" s="181">
        <f>SUMIFS(Vigilancia!$E:$E,Vigilancia!$F:$F,$A91,Vigilancia!$J:$J,I$1)</f>
        <v>0</v>
      </c>
      <c r="J91" s="181">
        <f>SUMIFS(Vigilancia!$E:$E,Vigilancia!$F:$F,$A91,Vigilancia!$J:$J,J$1)</f>
        <v>0</v>
      </c>
      <c r="K91" s="181">
        <f>SUMIFS(Vigilancia!$E:$E,Vigilancia!$F:$F,$A91,Vigilancia!$J:$J,K$1)</f>
        <v>0</v>
      </c>
    </row>
    <row r="92" spans="1:11">
      <c r="A92" s="30" t="str">
        <f>'RESUMEN VIGILANCIA'!A92</f>
        <v>Familia Gascón Domínguez</v>
      </c>
      <c r="B92" s="31" t="str">
        <f>'RESUMEN VIGILANCIA'!B92</f>
        <v>Calle Güigüe Nro. 88-70</v>
      </c>
      <c r="C92" s="181">
        <f>SUMIFS(Vigilancia!$E:$E,Vigilancia!$F:$F,$A92,Vigilancia!$J:$J,C$1)</f>
        <v>7.0000000000000007E-2</v>
      </c>
      <c r="D92" s="181">
        <f>SUMIFS(Vigilancia!$E:$E,Vigilancia!$F:$F,$A92,Vigilancia!$J:$J,D$1)</f>
        <v>3.5</v>
      </c>
      <c r="E92" s="304">
        <f>SUMIFS(Vigilancia!$E:$E,Vigilancia!$F:$F,$A92,Vigilancia!$J:$J,E$1)</f>
        <v>13</v>
      </c>
      <c r="F92" s="304">
        <f>SUMIFS(Vigilancia!$E:$E,Vigilancia!$F:$F,$A92,Vigilancia!$J:$J,F$1)</f>
        <v>10</v>
      </c>
      <c r="G92" s="181">
        <f>SUMIFS(Vigilancia!$E:$E,Vigilancia!$F:$F,$A92,Vigilancia!$J:$J,G$1)</f>
        <v>50000</v>
      </c>
      <c r="H92" s="181">
        <f>SUMIFS(Vigilancia!$E:$E,Vigilancia!$F:$F,$A92,Vigilancia!$J:$J,H$1)</f>
        <v>0</v>
      </c>
      <c r="I92" s="181">
        <f>SUMIFS(Vigilancia!$E:$E,Vigilancia!$F:$F,$A92,Vigilancia!$J:$J,I$1)</f>
        <v>0</v>
      </c>
      <c r="J92" s="181">
        <f>SUMIFS(Vigilancia!$E:$E,Vigilancia!$F:$F,$A92,Vigilancia!$J:$J,J$1)</f>
        <v>0</v>
      </c>
      <c r="K92" s="181">
        <f>SUMIFS(Vigilancia!$E:$E,Vigilancia!$F:$F,$A92,Vigilancia!$J:$J,K$1)</f>
        <v>30</v>
      </c>
    </row>
    <row r="93" spans="1:11">
      <c r="A93" s="30" t="str">
        <f>'RESUMEN VIGILANCIA'!A93</f>
        <v>Colegio El Trigal</v>
      </c>
      <c r="B93" s="31" t="str">
        <f>'RESUMEN VIGILANCIA'!B93</f>
        <v>Calle Güigüe Nros. 88-71 y 88-81</v>
      </c>
      <c r="C93" s="181">
        <f>SUMIFS(Vigilancia!$E:$E,Vigilancia!$F:$F,$A93,Vigilancia!$J:$J,C$1)</f>
        <v>7.0000000000000007E-2</v>
      </c>
      <c r="D93" s="181">
        <f>SUMIFS(Vigilancia!$E:$E,Vigilancia!$F:$F,$A93,Vigilancia!$J:$J,D$1)</f>
        <v>3.5</v>
      </c>
      <c r="E93" s="304">
        <f>SUMIFS(Vigilancia!$E:$E,Vigilancia!$F:$F,$A93,Vigilancia!$J:$J,E$1)</f>
        <v>0</v>
      </c>
      <c r="F93" s="304">
        <f>SUMIFS(Vigilancia!$E:$E,Vigilancia!$F:$F,$A93,Vigilancia!$J:$J,F$1)</f>
        <v>0</v>
      </c>
      <c r="G93" s="181">
        <f>SUMIFS(Vigilancia!$E:$E,Vigilancia!$F:$F,$A93,Vigilancia!$J:$J,G$1)</f>
        <v>50000</v>
      </c>
      <c r="H93" s="181">
        <f>SUMIFS(Vigilancia!$E:$E,Vigilancia!$F:$F,$A93,Vigilancia!$J:$J,H$1)</f>
        <v>0</v>
      </c>
      <c r="I93" s="181">
        <f>SUMIFS(Vigilancia!$E:$E,Vigilancia!$F:$F,$A93,Vigilancia!$J:$J,I$1)</f>
        <v>0</v>
      </c>
      <c r="J93" s="181">
        <f>SUMIFS(Vigilancia!$E:$E,Vigilancia!$F:$F,$A93,Vigilancia!$J:$J,J$1)</f>
        <v>0</v>
      </c>
      <c r="K93" s="181">
        <f>SUMIFS(Vigilancia!$E:$E,Vigilancia!$F:$F,$A93,Vigilancia!$J:$J,K$1)</f>
        <v>0</v>
      </c>
    </row>
    <row r="94" spans="1:11">
      <c r="A94" s="30" t="str">
        <f>'RESUMEN VIGILANCIA'!A94</f>
        <v>Zoraida Khair</v>
      </c>
      <c r="B94" s="31" t="str">
        <f>'RESUMEN VIGILANCIA'!B94</f>
        <v>Calle Güigüe Nro. 88-80</v>
      </c>
      <c r="C94" s="181">
        <f>SUMIFS(Vigilancia!$E:$E,Vigilancia!$F:$F,$A94,Vigilancia!$J:$J,C$1)</f>
        <v>0</v>
      </c>
      <c r="D94" s="181">
        <f>SUMIFS(Vigilancia!$E:$E,Vigilancia!$F:$F,$A94,Vigilancia!$J:$J,D$1)</f>
        <v>0</v>
      </c>
      <c r="E94" s="304">
        <f>SUMIFS(Vigilancia!$E:$E,Vigilancia!$F:$F,$A94,Vigilancia!$J:$J,E$1)</f>
        <v>12.2</v>
      </c>
      <c r="F94" s="304">
        <f>SUMIFS(Vigilancia!$E:$E,Vigilancia!$F:$F,$A94,Vigilancia!$J:$J,F$1)</f>
        <v>0</v>
      </c>
      <c r="G94" s="181">
        <f>SUMIFS(Vigilancia!$E:$E,Vigilancia!$F:$F,$A94,Vigilancia!$J:$J,G$1)</f>
        <v>50000</v>
      </c>
      <c r="H94" s="181">
        <f>SUMIFS(Vigilancia!$E:$E,Vigilancia!$F:$F,$A94,Vigilancia!$J:$J,H$1)</f>
        <v>0</v>
      </c>
      <c r="I94" s="181">
        <f>SUMIFS(Vigilancia!$E:$E,Vigilancia!$F:$F,$A94,Vigilancia!$J:$J,I$1)</f>
        <v>0</v>
      </c>
      <c r="J94" s="181">
        <f>SUMIFS(Vigilancia!$E:$E,Vigilancia!$F:$F,$A94,Vigilancia!$J:$J,J$1)</f>
        <v>0</v>
      </c>
      <c r="K94" s="181">
        <f>SUMIFS(Vigilancia!$E:$E,Vigilancia!$F:$F,$A94,Vigilancia!$J:$J,K$1)</f>
        <v>0</v>
      </c>
    </row>
    <row r="95" spans="1:11">
      <c r="A95" s="30" t="str">
        <f>'RESUMEN VIGILANCIA'!A95</f>
        <v>Familia Matta Palomino</v>
      </c>
      <c r="B95" s="31" t="str">
        <f>'RESUMEN VIGILANCIA'!B95</f>
        <v>Calle Güigüe Nro. 88-90</v>
      </c>
      <c r="C95" s="181">
        <f>SUMIFS(Vigilancia!$E:$E,Vigilancia!$F:$F,$A95,Vigilancia!$J:$J,C$1)</f>
        <v>7.0000000000000007E-2</v>
      </c>
      <c r="D95" s="181">
        <f>SUMIFS(Vigilancia!$E:$E,Vigilancia!$F:$F,$A95,Vigilancia!$J:$J,D$1)</f>
        <v>0</v>
      </c>
      <c r="E95" s="181">
        <f>SUMIFS(Vigilancia!$E:$E,Vigilancia!$F:$F,$A95,Vigilancia!$J:$J,E$1)</f>
        <v>0</v>
      </c>
      <c r="F95" s="181">
        <f>SUMIFS(Vigilancia!$E:$E,Vigilancia!$F:$F,$A95,Vigilancia!$J:$J,F$1)</f>
        <v>0</v>
      </c>
      <c r="G95" s="181">
        <f>SUMIFS(Vigilancia!$E:$E,Vigilancia!$F:$F,$A95,Vigilancia!$J:$J,G$1)</f>
        <v>50000</v>
      </c>
      <c r="H95" s="181">
        <f>SUMIFS(Vigilancia!$E:$E,Vigilancia!$F:$F,$A95,Vigilancia!$J:$J,H$1)</f>
        <v>0</v>
      </c>
      <c r="I95" s="181">
        <f>SUMIFS(Vigilancia!$E:$E,Vigilancia!$F:$F,$A95,Vigilancia!$J:$J,I$1)</f>
        <v>0</v>
      </c>
      <c r="J95" s="181">
        <f>SUMIFS(Vigilancia!$E:$E,Vigilancia!$F:$F,$A95,Vigilancia!$J:$J,J$1)</f>
        <v>0</v>
      </c>
      <c r="K95" s="181">
        <f>SUMIFS(Vigilancia!$E:$E,Vigilancia!$F:$F,$A95,Vigilancia!$J:$J,K$1)</f>
        <v>0</v>
      </c>
    </row>
    <row r="96" spans="1:11">
      <c r="A96" s="30" t="str">
        <f>'RESUMEN VIGILANCIA'!A96</f>
        <v>Familia Castillo Rodríguez</v>
      </c>
      <c r="B96" s="31" t="str">
        <f>'RESUMEN VIGILANCIA'!B96</f>
        <v>Calle Güigüe Nro. 88-91</v>
      </c>
      <c r="C96" s="181">
        <f>SUMIFS(Vigilancia!$E:$E,Vigilancia!$F:$F,$A96,Vigilancia!$J:$J,C$1)</f>
        <v>0</v>
      </c>
      <c r="D96" s="181">
        <f>SUMIFS(Vigilancia!$E:$E,Vigilancia!$F:$F,$A96,Vigilancia!$J:$J,D$1)</f>
        <v>0</v>
      </c>
      <c r="E96" s="181">
        <f>SUMIFS(Vigilancia!$E:$E,Vigilancia!$F:$F,$A96,Vigilancia!$J:$J,E$1)</f>
        <v>0</v>
      </c>
      <c r="F96" s="181">
        <f>SUMIFS(Vigilancia!$E:$E,Vigilancia!$F:$F,$A96,Vigilancia!$J:$J,F$1)</f>
        <v>0</v>
      </c>
      <c r="G96" s="181">
        <f>SUMIFS(Vigilancia!$E:$E,Vigilancia!$F:$F,$A96,Vigilancia!$J:$J,G$1)</f>
        <v>0</v>
      </c>
      <c r="H96" s="181">
        <f>SUMIFS(Vigilancia!$E:$E,Vigilancia!$F:$F,$A96,Vigilancia!$J:$J,H$1)</f>
        <v>0</v>
      </c>
      <c r="I96" s="181">
        <f>SUMIFS(Vigilancia!$E:$E,Vigilancia!$F:$F,$A96,Vigilancia!$J:$J,I$1)</f>
        <v>0</v>
      </c>
      <c r="J96" s="181">
        <f>SUMIFS(Vigilancia!$E:$E,Vigilancia!$F:$F,$A96,Vigilancia!$J:$J,J$1)</f>
        <v>0</v>
      </c>
      <c r="K96" s="181">
        <f>SUMIFS(Vigilancia!$E:$E,Vigilancia!$F:$F,$A96,Vigilancia!$J:$J,K$1)</f>
        <v>0</v>
      </c>
    </row>
    <row r="97" spans="1:12">
      <c r="A97" s="30" t="str">
        <f>'RESUMEN VIGILANCIA'!A97</f>
        <v>Familia Hernández Castillo</v>
      </c>
      <c r="B97" s="31" t="str">
        <f>'RESUMEN VIGILANCIA'!B97</f>
        <v>Calle Güigüe Nro. 88-94</v>
      </c>
      <c r="C97" s="181">
        <f>SUMIFS(Vigilancia!$E:$E,Vigilancia!$F:$F,$A97,Vigilancia!$J:$J,C$1)</f>
        <v>0</v>
      </c>
      <c r="D97" s="181">
        <f>SUMIFS(Vigilancia!$E:$E,Vigilancia!$F:$F,$A97,Vigilancia!$J:$J,D$1)</f>
        <v>0</v>
      </c>
      <c r="E97" s="181">
        <f>SUMIFS(Vigilancia!$E:$E,Vigilancia!$F:$F,$A97,Vigilancia!$J:$J,E$1)</f>
        <v>0</v>
      </c>
      <c r="F97" s="181">
        <f>SUMIFS(Vigilancia!$E:$E,Vigilancia!$F:$F,$A97,Vigilancia!$J:$J,F$1)</f>
        <v>0</v>
      </c>
      <c r="G97" s="181">
        <f>SUMIFS(Vigilancia!$E:$E,Vigilancia!$F:$F,$A97,Vigilancia!$J:$J,G$1)</f>
        <v>0</v>
      </c>
      <c r="H97" s="181">
        <f>SUMIFS(Vigilancia!$E:$E,Vigilancia!$F:$F,$A97,Vigilancia!$J:$J,H$1)</f>
        <v>0</v>
      </c>
      <c r="I97" s="181">
        <f>SUMIFS(Vigilancia!$E:$E,Vigilancia!$F:$F,$A97,Vigilancia!$J:$J,I$1)</f>
        <v>0</v>
      </c>
      <c r="J97" s="181">
        <f>SUMIFS(Vigilancia!$E:$E,Vigilancia!$F:$F,$A97,Vigilancia!$J:$J,J$1)</f>
        <v>0</v>
      </c>
      <c r="K97" s="181">
        <f>SUMIFS(Vigilancia!$E:$E,Vigilancia!$F:$F,$A97,Vigilancia!$J:$J,K$1)</f>
        <v>0</v>
      </c>
    </row>
    <row r="98" spans="1:12">
      <c r="A98" s="30" t="str">
        <f>'RESUMEN VIGILANCIA'!A98</f>
        <v>Familia Castillo Mena</v>
      </c>
      <c r="B98" s="31" t="str">
        <f>'RESUMEN VIGILANCIA'!B98</f>
        <v>Calle Güigüe Nro. 88-101</v>
      </c>
      <c r="C98" s="181">
        <f>SUMIFS(Vigilancia!$E:$E,Vigilancia!$F:$F,$A98,Vigilancia!$J:$J,C$1)</f>
        <v>7.0000000000000007E-2</v>
      </c>
      <c r="D98" s="181">
        <f>SUMIFS(Vigilancia!$E:$E,Vigilancia!$F:$F,$A98,Vigilancia!$J:$J,D$1)</f>
        <v>0</v>
      </c>
      <c r="E98" s="181">
        <f>SUMIFS(Vigilancia!$E:$E,Vigilancia!$F:$F,$A98,Vigilancia!$J:$J,E$1)</f>
        <v>0</v>
      </c>
      <c r="F98" s="181">
        <f>SUMIFS(Vigilancia!$E:$E,Vigilancia!$F:$F,$A98,Vigilancia!$J:$J,F$1)</f>
        <v>10</v>
      </c>
      <c r="G98" s="181">
        <f>SUMIFS(Vigilancia!$E:$E,Vigilancia!$F:$F,$A98,Vigilancia!$J:$J,G$1)</f>
        <v>50000</v>
      </c>
      <c r="H98" s="181">
        <f>SUMIFS(Vigilancia!$E:$E,Vigilancia!$F:$F,$A98,Vigilancia!$J:$J,H$1)</f>
        <v>0</v>
      </c>
      <c r="I98" s="181">
        <f>SUMIFS(Vigilancia!$E:$E,Vigilancia!$F:$F,$A98,Vigilancia!$J:$J,I$1)</f>
        <v>0</v>
      </c>
      <c r="J98" s="181">
        <f>SUMIFS(Vigilancia!$E:$E,Vigilancia!$F:$F,$A98,Vigilancia!$J:$J,J$1)</f>
        <v>0</v>
      </c>
      <c r="K98" s="181">
        <f>SUMIFS(Vigilancia!$E:$E,Vigilancia!$F:$F,$A98,Vigilancia!$J:$J,K$1)</f>
        <v>0</v>
      </c>
    </row>
    <row r="99" spans="1:12">
      <c r="A99" s="30" t="str">
        <f>'RESUMEN VIGILANCIA'!A99</f>
        <v>Familia Centeno Rizzo</v>
      </c>
      <c r="B99" s="31" t="str">
        <f>'RESUMEN VIGILANCIA'!B99</f>
        <v>Calle Güigüe Nro. 88-102</v>
      </c>
      <c r="C99" s="181">
        <f>SUMIFS(Vigilancia!$E:$E,Vigilancia!$F:$F,$A99,Vigilancia!$J:$J,C$1)</f>
        <v>0</v>
      </c>
      <c r="D99" s="181">
        <f>SUMIFS(Vigilancia!$E:$E,Vigilancia!$F:$F,$A99,Vigilancia!$J:$J,D$1)</f>
        <v>0</v>
      </c>
      <c r="E99" s="181">
        <f>SUMIFS(Vigilancia!$E:$E,Vigilancia!$F:$F,$A99,Vigilancia!$J:$J,E$1)</f>
        <v>0</v>
      </c>
      <c r="F99" s="181">
        <f>SUMIFS(Vigilancia!$E:$E,Vigilancia!$F:$F,$A99,Vigilancia!$J:$J,F$1)</f>
        <v>0</v>
      </c>
      <c r="G99" s="181">
        <f>SUMIFS(Vigilancia!$E:$E,Vigilancia!$F:$F,$A99,Vigilancia!$J:$J,G$1)</f>
        <v>0</v>
      </c>
      <c r="H99" s="181">
        <f>SUMIFS(Vigilancia!$E:$E,Vigilancia!$F:$F,$A99,Vigilancia!$J:$J,H$1)</f>
        <v>0</v>
      </c>
      <c r="I99" s="181">
        <f>SUMIFS(Vigilancia!$E:$E,Vigilancia!$F:$F,$A99,Vigilancia!$J:$J,I$1)</f>
        <v>0</v>
      </c>
      <c r="J99" s="181">
        <f>SUMIFS(Vigilancia!$E:$E,Vigilancia!$F:$F,$A99,Vigilancia!$J:$J,J$1)</f>
        <v>0</v>
      </c>
      <c r="K99" s="181">
        <f>SUMIFS(Vigilancia!$E:$E,Vigilancia!$F:$F,$A99,Vigilancia!$J:$J,K$1)</f>
        <v>0</v>
      </c>
    </row>
    <row r="100" spans="1:12">
      <c r="A100" s="30" t="str">
        <f>'RESUMEN VIGILANCIA'!A100</f>
        <v>Familia Pérez Malpica</v>
      </c>
      <c r="B100" s="31" t="str">
        <f>'RESUMEN VIGILANCIA'!B100</f>
        <v>Calle Güigüe Nro. 88-110</v>
      </c>
      <c r="C100" s="181">
        <f>SUMIFS(Vigilancia!$E:$E,Vigilancia!$F:$F,$A100,Vigilancia!$J:$J,C$1)</f>
        <v>0</v>
      </c>
      <c r="D100" s="181">
        <f>SUMIFS(Vigilancia!$E:$E,Vigilancia!$F:$F,$A100,Vigilancia!$J:$J,D$1)</f>
        <v>0</v>
      </c>
      <c r="E100" s="181">
        <f>SUMIFS(Vigilancia!$E:$E,Vigilancia!$F:$F,$A100,Vigilancia!$J:$J,E$1)</f>
        <v>0</v>
      </c>
      <c r="F100" s="181">
        <f>SUMIFS(Vigilancia!$E:$E,Vigilancia!$F:$F,$A100,Vigilancia!$J:$J,F$1)</f>
        <v>0</v>
      </c>
      <c r="G100" s="181">
        <f>SUMIFS(Vigilancia!$E:$E,Vigilancia!$F:$F,$A100,Vigilancia!$J:$J,G$1)</f>
        <v>0</v>
      </c>
      <c r="H100" s="181">
        <f>SUMIFS(Vigilancia!$E:$E,Vigilancia!$F:$F,$A100,Vigilancia!$J:$J,H$1)</f>
        <v>0</v>
      </c>
      <c r="I100" s="181">
        <f>SUMIFS(Vigilancia!$E:$E,Vigilancia!$F:$F,$A100,Vigilancia!$J:$J,I$1)</f>
        <v>0</v>
      </c>
      <c r="J100" s="181">
        <f>SUMIFS(Vigilancia!$E:$E,Vigilancia!$F:$F,$A100,Vigilancia!$J:$J,J$1)</f>
        <v>0</v>
      </c>
      <c r="K100" s="181">
        <f>SUMIFS(Vigilancia!$E:$E,Vigilancia!$F:$F,$A100,Vigilancia!$J:$J,K$1)</f>
        <v>0</v>
      </c>
    </row>
    <row r="101" spans="1:12">
      <c r="A101" s="30" t="str">
        <f>'RESUMEN VIGILANCIA'!A101</f>
        <v>Familia Astor Zamora</v>
      </c>
      <c r="B101" s="31" t="str">
        <f>'RESUMEN VIGILANCIA'!B101</f>
        <v>Calle Güigüe Nro. 88-111</v>
      </c>
      <c r="C101" s="181">
        <f>SUMIFS(Vigilancia!$E:$E,Vigilancia!$F:$F,$A101,Vigilancia!$J:$J,C$1)</f>
        <v>0</v>
      </c>
      <c r="D101" s="181">
        <f>SUMIFS(Vigilancia!$E:$E,Vigilancia!$F:$F,$A101,Vigilancia!$J:$J,D$1)</f>
        <v>0</v>
      </c>
      <c r="E101" s="181">
        <f>SUMIFS(Vigilancia!$E:$E,Vigilancia!$F:$F,$A101,Vigilancia!$J:$J,E$1)</f>
        <v>0</v>
      </c>
      <c r="F101" s="181">
        <f>SUMIFS(Vigilancia!$E:$E,Vigilancia!$F:$F,$A101,Vigilancia!$J:$J,F$1)</f>
        <v>0</v>
      </c>
      <c r="G101" s="181">
        <f>SUMIFS(Vigilancia!$E:$E,Vigilancia!$F:$F,$A101,Vigilancia!$J:$J,G$1)</f>
        <v>0</v>
      </c>
      <c r="H101" s="181">
        <f>SUMIFS(Vigilancia!$E:$E,Vigilancia!$F:$F,$A101,Vigilancia!$J:$J,H$1)</f>
        <v>0</v>
      </c>
      <c r="I101" s="181">
        <f>SUMIFS(Vigilancia!$E:$E,Vigilancia!$F:$F,$A101,Vigilancia!$J:$J,I$1)</f>
        <v>0</v>
      </c>
      <c r="J101" s="181">
        <f>SUMIFS(Vigilancia!$E:$E,Vigilancia!$F:$F,$A101,Vigilancia!$J:$J,J$1)</f>
        <v>0</v>
      </c>
      <c r="K101" s="181">
        <f>SUMIFS(Vigilancia!$E:$E,Vigilancia!$F:$F,$A101,Vigilancia!$J:$J,K$1)</f>
        <v>0</v>
      </c>
    </row>
    <row r="102" spans="1:12">
      <c r="A102" s="30" t="str">
        <f>'RESUMEN VIGILANCIA'!A102</f>
        <v>Familia Díaz González</v>
      </c>
      <c r="B102" s="31" t="str">
        <f>'RESUMEN VIGILANCIA'!B102</f>
        <v>Calle Güigüe Nro. 88-116</v>
      </c>
      <c r="C102" s="181">
        <f>SUMIFS(Vigilancia!$E:$E,Vigilancia!$F:$F,$A102,Vigilancia!$J:$J,C$1)</f>
        <v>7.0000000000000007E-2</v>
      </c>
      <c r="D102" s="181">
        <f>SUMIFS(Vigilancia!$E:$E,Vigilancia!$F:$F,$A102,Vigilancia!$J:$J,D$1)</f>
        <v>3.5</v>
      </c>
      <c r="E102" s="181">
        <f>SUMIFS(Vigilancia!$E:$E,Vigilancia!$F:$F,$A102,Vigilancia!$J:$J,E$1)</f>
        <v>0</v>
      </c>
      <c r="F102" s="181">
        <f>SUMIFS(Vigilancia!$E:$E,Vigilancia!$F:$F,$A102,Vigilancia!$J:$J,F$1)</f>
        <v>0</v>
      </c>
      <c r="G102" s="181">
        <f>SUMIFS(Vigilancia!$E:$E,Vigilancia!$F:$F,$A102,Vigilancia!$J:$J,G$1)</f>
        <v>50000</v>
      </c>
      <c r="H102" s="181">
        <f>SUMIFS(Vigilancia!$E:$E,Vigilancia!$F:$F,$A102,Vigilancia!$J:$J,H$1)</f>
        <v>0</v>
      </c>
      <c r="I102" s="181">
        <f>SUMIFS(Vigilancia!$E:$E,Vigilancia!$F:$F,$A102,Vigilancia!$J:$J,I$1)</f>
        <v>0</v>
      </c>
      <c r="J102" s="181">
        <f>SUMIFS(Vigilancia!$E:$E,Vigilancia!$F:$F,$A102,Vigilancia!$J:$J,J$1)</f>
        <v>0</v>
      </c>
      <c r="K102" s="181">
        <f>SUMIFS(Vigilancia!$E:$E,Vigilancia!$F:$F,$A102,Vigilancia!$J:$J,K$1)</f>
        <v>0</v>
      </c>
    </row>
    <row r="103" spans="1:12">
      <c r="A103" s="66" t="str">
        <f>'RESUMEN VIGILANCIA'!A103</f>
        <v>Familia Loponte Arteaga</v>
      </c>
      <c r="B103" s="64" t="str">
        <f>'RESUMEN VIGILANCIA'!B103</f>
        <v>Calle Güigüe Nro. 88-120</v>
      </c>
      <c r="C103" s="181">
        <f>SUMIFS(Vigilancia!$E:$E,Vigilancia!$F:$F,$A103,Vigilancia!$J:$J,C$1)</f>
        <v>7.0000000000000007E-2</v>
      </c>
      <c r="D103" s="181">
        <f>SUMIFS(Vigilancia!$E:$E,Vigilancia!$F:$F,$A103,Vigilancia!$J:$J,D$1)</f>
        <v>3.6</v>
      </c>
      <c r="E103" s="304">
        <f>SUMIFS(Vigilancia!$E:$E,Vigilancia!$F:$F,$A103,Vigilancia!$J:$J,E$1)</f>
        <v>12.2</v>
      </c>
      <c r="F103" s="304">
        <f>SUMIFS(Vigilancia!$E:$E,Vigilancia!$F:$F,$A103,Vigilancia!$J:$J,F$1)</f>
        <v>0</v>
      </c>
      <c r="G103" s="181">
        <f>SUMIFS(Vigilancia!$E:$E,Vigilancia!$F:$F,$A103,Vigilancia!$J:$J,G$1)</f>
        <v>0</v>
      </c>
      <c r="H103" s="181">
        <f>SUMIFS(Vigilancia!$E:$E,Vigilancia!$F:$F,$A103,Vigilancia!$J:$J,H$1)</f>
        <v>0</v>
      </c>
      <c r="I103" s="181">
        <f>SUMIFS(Vigilancia!$E:$E,Vigilancia!$F:$F,$A103,Vigilancia!$J:$J,I$1)</f>
        <v>0</v>
      </c>
      <c r="J103" s="181">
        <f>SUMIFS(Vigilancia!$E:$E,Vigilancia!$F:$F,$A103,Vigilancia!$J:$J,J$1)</f>
        <v>0</v>
      </c>
      <c r="K103" s="181">
        <f>SUMIFS(Vigilancia!$E:$E,Vigilancia!$F:$F,$A103,Vigilancia!$J:$J,K$1)</f>
        <v>0</v>
      </c>
    </row>
    <row r="104" spans="1:12">
      <c r="A104" s="66" t="str">
        <f>'RESUMEN VIGILANCIA'!A104</f>
        <v>Zoraida Arteaga</v>
      </c>
      <c r="B104" s="64" t="str">
        <f>'RESUMEN VIGILANCIA'!B104</f>
        <v>Calle Güigüe Nro. 88-120</v>
      </c>
      <c r="C104" s="181">
        <f>SUMIFS(Vigilancia!$E:$E,Vigilancia!$F:$F,$A104,Vigilancia!$J:$J,C$1)</f>
        <v>0</v>
      </c>
      <c r="D104" s="181">
        <f>SUMIFS(Vigilancia!$E:$E,Vigilancia!$F:$F,$A104,Vigilancia!$J:$J,D$1)</f>
        <v>0</v>
      </c>
      <c r="E104" s="304">
        <f>SUMIFS(Vigilancia!$E:$E,Vigilancia!$F:$F,$A104,Vigilancia!$J:$J,E$1)</f>
        <v>0</v>
      </c>
      <c r="F104" s="304">
        <f>SUMIFS(Vigilancia!$E:$E,Vigilancia!$F:$F,$A104,Vigilancia!$J:$J,F$1)</f>
        <v>0</v>
      </c>
      <c r="G104" s="181">
        <f>SUMIFS(Vigilancia!$E:$E,Vigilancia!$F:$F,$A104,Vigilancia!$J:$J,G$1)</f>
        <v>0</v>
      </c>
      <c r="H104" s="181">
        <f>SUMIFS(Vigilancia!$E:$E,Vigilancia!$F:$F,$A104,Vigilancia!$J:$J,H$1)</f>
        <v>0</v>
      </c>
      <c r="I104" s="181">
        <f>SUMIFS(Vigilancia!$E:$E,Vigilancia!$F:$F,$A104,Vigilancia!$J:$J,I$1)</f>
        <v>0</v>
      </c>
      <c r="J104" s="181">
        <f>SUMIFS(Vigilancia!$E:$E,Vigilancia!$F:$F,$A104,Vigilancia!$J:$J,J$1)</f>
        <v>0</v>
      </c>
      <c r="K104" s="181">
        <f>SUMIFS(Vigilancia!$E:$E,Vigilancia!$F:$F,$A104,Vigilancia!$J:$J,K$1)</f>
        <v>0</v>
      </c>
    </row>
    <row r="105" spans="1:12">
      <c r="A105" s="59" t="str">
        <f>'RESUMEN VIGILANCIA'!A105</f>
        <v>Familia Sayago Peñaranda</v>
      </c>
      <c r="B105" s="60" t="str">
        <f>'RESUMEN VIGILANCIA'!B105</f>
        <v>Calle Güigüe Nro. 89-04</v>
      </c>
      <c r="C105" s="213">
        <f>SUMIFS(Vigilancia!$E:$E,Vigilancia!$F:$F,$A105,Vigilancia!$J:$J,C$1)</f>
        <v>7.0000000000000007E-2</v>
      </c>
      <c r="D105" s="213">
        <f>SUMIFS(Vigilancia!$E:$E,Vigilancia!$F:$F,$A105,Vigilancia!$J:$J,D$1)</f>
        <v>0</v>
      </c>
      <c r="E105" s="213">
        <f>SUMIFS(Vigilancia!$E:$E,Vigilancia!$F:$F,$A105,Vigilancia!$J:$J,E$1)</f>
        <v>0</v>
      </c>
      <c r="F105" s="213">
        <f>SUMIFS(Vigilancia!$E:$E,Vigilancia!$F:$F,$A105,Vigilancia!$J:$J,F$1)</f>
        <v>0</v>
      </c>
      <c r="G105" s="305">
        <f>SUMIFS(Vigilancia!$E:$E,Vigilancia!$F:$F,$A105,Vigilancia!$J:$J,G$1)</f>
        <v>0</v>
      </c>
      <c r="H105" s="305">
        <f>SUMIFS(Vigilancia!$E:$E,Vigilancia!$F:$F,$A105,Vigilancia!$J:$J,H$1)</f>
        <v>0</v>
      </c>
      <c r="I105" s="213">
        <f>SUMIFS(Vigilancia!$E:$E,Vigilancia!$F:$F,$A105,Vigilancia!$J:$J,I$1)</f>
        <v>0</v>
      </c>
      <c r="J105" s="213">
        <f>SUMIFS(Vigilancia!$E:$E,Vigilancia!$F:$F,$A105,Vigilancia!$J:$J,J$1)</f>
        <v>0</v>
      </c>
      <c r="K105" s="213">
        <f>SUMIFS(Vigilancia!$E:$E,Vigilancia!$F:$F,$A105,Vigilancia!$J:$J,K$1)</f>
        <v>0</v>
      </c>
      <c r="L105" s="122"/>
    </row>
    <row r="106" spans="1:12">
      <c r="A106" s="30" t="str">
        <f>'RESUMEN VIGILANCIA'!A106</f>
        <v>Carmen Moreno</v>
      </c>
      <c r="B106" s="31" t="str">
        <f>'RESUMEN VIGILANCIA'!B106</f>
        <v>Calle Güigüe Nro. 89-04</v>
      </c>
      <c r="C106" s="181">
        <f>SUMIFS(Vigilancia!$E:$E,Vigilancia!$F:$F,$A106,Vigilancia!$J:$J,C$1)</f>
        <v>0</v>
      </c>
      <c r="D106" s="181">
        <f>SUMIFS(Vigilancia!$E:$E,Vigilancia!$F:$F,$A106,Vigilancia!$J:$J,D$1)</f>
        <v>3.5</v>
      </c>
      <c r="E106" s="304">
        <f>SUMIFS(Vigilancia!$E:$E,Vigilancia!$F:$F,$A106,Vigilancia!$J:$J,E$1)</f>
        <v>12.2</v>
      </c>
      <c r="F106" s="304">
        <f>SUMIFS(Vigilancia!$E:$E,Vigilancia!$F:$F,$A106,Vigilancia!$J:$J,F$1)</f>
        <v>10</v>
      </c>
      <c r="G106" s="180">
        <f>SUMIFS(Vigilancia!$E:$E,Vigilancia!$F:$F,$A106,Vigilancia!$J:$J,G$1)</f>
        <v>50000</v>
      </c>
      <c r="H106" s="180">
        <f>SUMIFS(Vigilancia!$E:$E,Vigilancia!$F:$F,$A106,Vigilancia!$J:$J,H$1)</f>
        <v>0</v>
      </c>
      <c r="I106" s="181">
        <f>SUMIFS(Vigilancia!$E:$E,Vigilancia!$F:$F,$A106,Vigilancia!$J:$J,I$1)</f>
        <v>0</v>
      </c>
      <c r="J106" s="181">
        <f>SUMIFS(Vigilancia!$E:$E,Vigilancia!$F:$F,$A106,Vigilancia!$J:$J,J$1)</f>
        <v>0</v>
      </c>
      <c r="K106" s="181">
        <f>SUMIFS(Vigilancia!$E:$E,Vigilancia!$F:$F,$A106,Vigilancia!$J:$J,K$1)</f>
        <v>0</v>
      </c>
      <c r="L106" s="124"/>
    </row>
    <row r="107" spans="1:12">
      <c r="A107" s="67" t="str">
        <f>'RESUMEN VIGILANCIA'!A107</f>
        <v>Familia Acosta Carpio</v>
      </c>
      <c r="B107" s="65" t="str">
        <f>'RESUMEN VIGILANCIA'!B107</f>
        <v>Calle Güigüe Nro. 89-10</v>
      </c>
      <c r="C107" s="181">
        <f>SUMIFS(Vigilancia!$E:$E,Vigilancia!$F:$F,$A107,Vigilancia!$J:$J,C$1)</f>
        <v>7.0000000000000007E-2</v>
      </c>
      <c r="D107" s="181">
        <f>SUMIFS(Vigilancia!$E:$E,Vigilancia!$F:$F,$A107,Vigilancia!$J:$J,D$1)</f>
        <v>3.5</v>
      </c>
      <c r="E107" s="304">
        <f>SUMIFS(Vigilancia!$E:$E,Vigilancia!$F:$F,$A107,Vigilancia!$J:$J,E$1)</f>
        <v>12.2</v>
      </c>
      <c r="F107" s="304">
        <f>SUMIFS(Vigilancia!$E:$E,Vigilancia!$F:$F,$A107,Vigilancia!$J:$J,F$1)</f>
        <v>0</v>
      </c>
      <c r="G107" s="181">
        <f>SUMIFS(Vigilancia!$E:$E,Vigilancia!$F:$F,$A107,Vigilancia!$J:$J,G$1)</f>
        <v>0</v>
      </c>
      <c r="H107" s="181">
        <f>SUMIFS(Vigilancia!$E:$E,Vigilancia!$F:$F,$A107,Vigilancia!$J:$J,H$1)</f>
        <v>0</v>
      </c>
      <c r="I107" s="181">
        <f>SUMIFS(Vigilancia!$E:$E,Vigilancia!$F:$F,$A107,Vigilancia!$J:$J,I$1)</f>
        <v>0</v>
      </c>
      <c r="J107" s="181">
        <f>SUMIFS(Vigilancia!$E:$E,Vigilancia!$F:$F,$A107,Vigilancia!$J:$J,J$1)</f>
        <v>0</v>
      </c>
      <c r="K107" s="181">
        <f>SUMIFS(Vigilancia!$E:$E,Vigilancia!$F:$F,$A107,Vigilancia!$J:$J,K$1)</f>
        <v>0</v>
      </c>
    </row>
    <row r="108" spans="1:12">
      <c r="A108" s="67" t="str">
        <f>'RESUMEN VIGILANCIA'!A108</f>
        <v>Familia Acosta Saravia</v>
      </c>
      <c r="B108" s="65" t="str">
        <f>'RESUMEN VIGILANCIA'!B108</f>
        <v>Calle Güigüe Nro. 89-10</v>
      </c>
      <c r="C108" s="181">
        <f>SUMIFS(Vigilancia!$E:$E,Vigilancia!$F:$F,$A108,Vigilancia!$J:$J,C$1)</f>
        <v>0</v>
      </c>
      <c r="D108" s="181">
        <f>SUMIFS(Vigilancia!$E:$E,Vigilancia!$F:$F,$A108,Vigilancia!$J:$J,D$1)</f>
        <v>0</v>
      </c>
      <c r="E108" s="304">
        <f>SUMIFS(Vigilancia!$E:$E,Vigilancia!$F:$F,$A108,Vigilancia!$J:$J,E$1)</f>
        <v>0</v>
      </c>
      <c r="F108" s="304">
        <f>SUMIFS(Vigilancia!$E:$E,Vigilancia!$F:$F,$A108,Vigilancia!$J:$J,F$1)</f>
        <v>0</v>
      </c>
      <c r="G108" s="181">
        <f>SUMIFS(Vigilancia!$E:$E,Vigilancia!$F:$F,$A108,Vigilancia!$J:$J,G$1)</f>
        <v>50000</v>
      </c>
      <c r="H108" s="181">
        <f>SUMIFS(Vigilancia!$E:$E,Vigilancia!$F:$F,$A108,Vigilancia!$J:$J,H$1)</f>
        <v>0</v>
      </c>
      <c r="I108" s="181">
        <f>SUMIFS(Vigilancia!$E:$E,Vigilancia!$F:$F,$A108,Vigilancia!$J:$J,I$1)</f>
        <v>0</v>
      </c>
      <c r="J108" s="181">
        <f>SUMIFS(Vigilancia!$E:$E,Vigilancia!$F:$F,$A108,Vigilancia!$J:$J,J$1)</f>
        <v>0</v>
      </c>
      <c r="K108" s="181">
        <f>SUMIFS(Vigilancia!$E:$E,Vigilancia!$F:$F,$A108,Vigilancia!$J:$J,K$1)</f>
        <v>0</v>
      </c>
    </row>
    <row r="109" spans="1:12">
      <c r="A109" s="30" t="str">
        <f>'RESUMEN VIGILANCIA'!A109</f>
        <v>Silvia Power</v>
      </c>
      <c r="B109" s="31" t="str">
        <f>'RESUMEN VIGILANCIA'!B109</f>
        <v>Calle Güigüe Nro. 89-16</v>
      </c>
      <c r="C109" s="181">
        <f>SUMIFS(Vigilancia!$E:$E,Vigilancia!$F:$F,$A109,Vigilancia!$J:$J,C$1)</f>
        <v>0.05</v>
      </c>
      <c r="D109" s="181">
        <f>SUMIFS(Vigilancia!$E:$E,Vigilancia!$F:$F,$A109,Vigilancia!$J:$J,D$1)</f>
        <v>0</v>
      </c>
      <c r="E109" s="304">
        <f>SUMIFS(Vigilancia!$E:$E,Vigilancia!$F:$F,$A109,Vigilancia!$J:$J,E$1)</f>
        <v>12.2</v>
      </c>
      <c r="F109" s="304">
        <f>SUMIFS(Vigilancia!$E:$E,Vigilancia!$F:$F,$A109,Vigilancia!$J:$J,F$1)</f>
        <v>0</v>
      </c>
      <c r="G109" s="181">
        <f>SUMIFS(Vigilancia!$E:$E,Vigilancia!$F:$F,$A109,Vigilancia!$J:$J,G$1)</f>
        <v>0</v>
      </c>
      <c r="H109" s="181">
        <f>SUMIFS(Vigilancia!$E:$E,Vigilancia!$F:$F,$A109,Vigilancia!$J:$J,H$1)</f>
        <v>0</v>
      </c>
      <c r="I109" s="181">
        <f>SUMIFS(Vigilancia!$E:$E,Vigilancia!$F:$F,$A109,Vigilancia!$J:$J,I$1)</f>
        <v>0</v>
      </c>
      <c r="J109" s="181">
        <f>SUMIFS(Vigilancia!$E:$E,Vigilancia!$F:$F,$A109,Vigilancia!$J:$J,J$1)</f>
        <v>0</v>
      </c>
      <c r="K109" s="181">
        <f>SUMIFS(Vigilancia!$E:$E,Vigilancia!$F:$F,$A109,Vigilancia!$J:$J,K$1)</f>
        <v>0</v>
      </c>
      <c r="L109" s="122"/>
    </row>
    <row r="110" spans="1:12">
      <c r="A110" s="30" t="str">
        <f>'RESUMEN VIGILANCIA'!A110</f>
        <v>Mibzar Cárdenas</v>
      </c>
      <c r="B110" s="31" t="str">
        <f>'RESUMEN VIGILANCIA'!B110</f>
        <v>Calle Güigüe Nro. 89-16</v>
      </c>
      <c r="C110" s="181"/>
      <c r="D110" s="181">
        <f>SUMIFS(Vigilancia!$E:$E,Vigilancia!$F:$F,$A110,Vigilancia!$J:$J,D$1)</f>
        <v>0</v>
      </c>
      <c r="E110" s="304">
        <f>SUMIFS(Vigilancia!$E:$E,Vigilancia!$F:$F,$A110,Vigilancia!$J:$J,E$1)</f>
        <v>0</v>
      </c>
      <c r="F110" s="304">
        <f>SUMIFS(Vigilancia!$E:$E,Vigilancia!$F:$F,$A110,Vigilancia!$J:$J,F$1)</f>
        <v>0</v>
      </c>
      <c r="G110" s="181">
        <f>SUMIFS(Vigilancia!$E:$E,Vigilancia!$F:$F,$A110,Vigilancia!$J:$J,G$1)</f>
        <v>0</v>
      </c>
      <c r="H110" s="181">
        <f>SUMIFS(Vigilancia!$E:$E,Vigilancia!$F:$F,$A110,Vigilancia!$J:$J,H$1)</f>
        <v>0</v>
      </c>
      <c r="I110" s="181">
        <f>SUMIFS(Vigilancia!$E:$E,Vigilancia!$F:$F,$A110,Vigilancia!$J:$J,I$1)</f>
        <v>0</v>
      </c>
      <c r="J110" s="181">
        <f>SUMIFS(Vigilancia!$E:$E,Vigilancia!$F:$F,$A110,Vigilancia!$J:$J,J$1)</f>
        <v>0</v>
      </c>
      <c r="K110" s="181">
        <f>SUMIFS(Vigilancia!$E:$E,Vigilancia!$F:$F,$A110,Vigilancia!$J:$J,K$1)</f>
        <v>0</v>
      </c>
      <c r="L110" s="124"/>
    </row>
    <row r="111" spans="1:12">
      <c r="A111" s="30" t="str">
        <f>'RESUMEN VIGILANCIA'!A111</f>
        <v>Familia Piñero Padilla</v>
      </c>
      <c r="B111" s="31" t="str">
        <f>'RESUMEN VIGILANCIA'!B111</f>
        <v>Calle Güigüe Nro. 89-21</v>
      </c>
      <c r="C111" s="181">
        <f>SUMIFS(Vigilancia!$E:$E,Vigilancia!$F:$F,$A111,Vigilancia!$J:$J,C$1)</f>
        <v>7.0000000000000007E-2</v>
      </c>
      <c r="D111" s="181">
        <f>SUMIFS(Vigilancia!$E:$E,Vigilancia!$F:$F,$A111,Vigilancia!$J:$J,D$1)</f>
        <v>3.5</v>
      </c>
      <c r="E111" s="304">
        <f>SUMIFS(Vigilancia!$E:$E,Vigilancia!$F:$F,$A111,Vigilancia!$J:$J,E$1)</f>
        <v>12.2</v>
      </c>
      <c r="F111" s="304">
        <f>SUMIFS(Vigilancia!$E:$E,Vigilancia!$F:$F,$A111,Vigilancia!$J:$J,F$1)</f>
        <v>10</v>
      </c>
      <c r="G111" s="181">
        <f>SUMIFS(Vigilancia!$E:$E,Vigilancia!$F:$F,$A111,Vigilancia!$J:$J,G$1)</f>
        <v>50000</v>
      </c>
      <c r="H111" s="181">
        <f>SUMIFS(Vigilancia!$E:$E,Vigilancia!$F:$F,$A111,Vigilancia!$J:$J,H$1)</f>
        <v>0</v>
      </c>
      <c r="I111" s="181">
        <f>SUMIFS(Vigilancia!$E:$E,Vigilancia!$F:$F,$A111,Vigilancia!$J:$J,I$1)</f>
        <v>0</v>
      </c>
      <c r="J111" s="181">
        <f>SUMIFS(Vigilancia!$E:$E,Vigilancia!$F:$F,$A111,Vigilancia!$J:$J,J$1)</f>
        <v>0</v>
      </c>
      <c r="K111" s="181">
        <f>SUMIFS(Vigilancia!$E:$E,Vigilancia!$F:$F,$A111,Vigilancia!$J:$J,K$1)</f>
        <v>0</v>
      </c>
    </row>
    <row r="112" spans="1:12">
      <c r="A112" s="59" t="str">
        <f>'RESUMEN VIGILANCIA'!A112</f>
        <v>Familia Navarrete Medina</v>
      </c>
      <c r="B112" s="60" t="str">
        <f>'RESUMEN VIGILANCIA'!B112</f>
        <v>Calle Güigüe Nro. 89-22</v>
      </c>
      <c r="C112" s="213">
        <f>SUMIFS(Vigilancia!$E:$E,Vigilancia!$F:$F,$A112,Vigilancia!$J:$J,C$1)</f>
        <v>0</v>
      </c>
      <c r="D112" s="213">
        <f>SUMIFS(Vigilancia!$E:$E,Vigilancia!$F:$F,$A112,Vigilancia!$J:$J,D$1)</f>
        <v>0</v>
      </c>
      <c r="E112" s="213">
        <f>SUMIFS(Vigilancia!$E:$E,Vigilancia!$F:$F,$A112,Vigilancia!$J:$J,E$1)</f>
        <v>0</v>
      </c>
      <c r="F112" s="213">
        <f>SUMIFS(Vigilancia!$E:$E,Vigilancia!$F:$F,$A112,Vigilancia!$J:$J,F$1)</f>
        <v>10</v>
      </c>
      <c r="G112" s="305">
        <f>SUMIFS(Vigilancia!$E:$E,Vigilancia!$F:$F,$A112,Vigilancia!$J:$J,G$1)</f>
        <v>0</v>
      </c>
      <c r="H112" s="305">
        <f>SUMIFS(Vigilancia!$E:$E,Vigilancia!$F:$F,$A112,Vigilancia!$J:$J,H$1)</f>
        <v>0</v>
      </c>
      <c r="I112" s="213">
        <f>SUMIFS(Vigilancia!$E:$E,Vigilancia!$F:$F,$A112,Vigilancia!$J:$J,I$1)</f>
        <v>0</v>
      </c>
      <c r="J112" s="213">
        <f>SUMIFS(Vigilancia!$E:$E,Vigilancia!$F:$F,$A112,Vigilancia!$J:$J,J$1)</f>
        <v>0</v>
      </c>
      <c r="K112" s="213">
        <f>SUMIFS(Vigilancia!$E:$E,Vigilancia!$F:$F,$A112,Vigilancia!$J:$J,K$1)</f>
        <v>0</v>
      </c>
      <c r="L112" s="122"/>
    </row>
    <row r="113" spans="1:12">
      <c r="A113" s="30" t="str">
        <f>'RESUMEN VIGILANCIA'!A113</f>
        <v>Familia Rodríguez Girón</v>
      </c>
      <c r="B113" s="31" t="str">
        <f>'RESUMEN VIGILANCIA'!B113</f>
        <v>Calle Güigüe Nro. 89-22</v>
      </c>
      <c r="C113" s="181">
        <f>SUMIFS(Vigilancia!$E:$E,Vigilancia!$F:$F,$A113,Vigilancia!$J:$J,C$1)</f>
        <v>0</v>
      </c>
      <c r="D113" s="181">
        <f>SUMIFS(Vigilancia!$E:$E,Vigilancia!$F:$F,$A113,Vigilancia!$J:$J,D$1)</f>
        <v>0</v>
      </c>
      <c r="E113" s="304">
        <f>SUMIFS(Vigilancia!$E:$E,Vigilancia!$F:$F,$A113,Vigilancia!$J:$J,E$1)</f>
        <v>0</v>
      </c>
      <c r="F113" s="304">
        <f>SUMIFS(Vigilancia!$E:$E,Vigilancia!$F:$F,$A113,Vigilancia!$J:$J,F$1)</f>
        <v>0</v>
      </c>
      <c r="G113" s="181">
        <f>SUMIFS(Vigilancia!$E:$E,Vigilancia!$F:$F,$A113,Vigilancia!$J:$J,G$1)</f>
        <v>50000</v>
      </c>
      <c r="H113" s="181">
        <f>SUMIFS(Vigilancia!$E:$E,Vigilancia!$F:$F,$A113,Vigilancia!$J:$J,H$1)</f>
        <v>0</v>
      </c>
      <c r="I113" s="181">
        <f>SUMIFS(Vigilancia!$E:$E,Vigilancia!$F:$F,$A113,Vigilancia!$J:$J,I$1)</f>
        <v>0</v>
      </c>
      <c r="J113" s="181">
        <f>SUMIFS(Vigilancia!$E:$E,Vigilancia!$F:$F,$A113,Vigilancia!$J:$J,J$1)</f>
        <v>0</v>
      </c>
      <c r="K113" s="181">
        <f>SUMIFS(Vigilancia!$E:$E,Vigilancia!$F:$F,$A113,Vigilancia!$J:$J,K$1)</f>
        <v>0</v>
      </c>
      <c r="L113" s="124"/>
    </row>
    <row r="114" spans="1:12">
      <c r="A114" s="30" t="str">
        <f>'RESUMEN VIGILANCIA'!A114</f>
        <v>Familia Rodríguez Landaeta</v>
      </c>
      <c r="B114" s="31" t="str">
        <f>'RESUMEN VIGILANCIA'!B114</f>
        <v>Calle Güigüe Nro. 89-29</v>
      </c>
      <c r="C114" s="181">
        <f>SUMIFS(Vigilancia!$E:$E,Vigilancia!$F:$F,$A114,Vigilancia!$J:$J,C$1)</f>
        <v>0</v>
      </c>
      <c r="D114" s="181">
        <f>SUMIFS(Vigilancia!$E:$E,Vigilancia!$F:$F,$A114,Vigilancia!$J:$J,D$1)</f>
        <v>0</v>
      </c>
      <c r="E114" s="304">
        <f>SUMIFS(Vigilancia!$E:$E,Vigilancia!$F:$F,$A114,Vigilancia!$J:$J,E$1)</f>
        <v>0</v>
      </c>
      <c r="F114" s="304">
        <f>SUMIFS(Vigilancia!$E:$E,Vigilancia!$F:$F,$A114,Vigilancia!$J:$J,F$1)</f>
        <v>0</v>
      </c>
      <c r="G114" s="181">
        <f>SUMIFS(Vigilancia!$E:$E,Vigilancia!$F:$F,$A114,Vigilancia!$J:$J,G$1)</f>
        <v>0</v>
      </c>
      <c r="H114" s="181">
        <f>SUMIFS(Vigilancia!$E:$E,Vigilancia!$F:$F,$A114,Vigilancia!$J:$J,H$1)</f>
        <v>0</v>
      </c>
      <c r="I114" s="181">
        <f>SUMIFS(Vigilancia!$E:$E,Vigilancia!$F:$F,$A114,Vigilancia!$J:$J,I$1)</f>
        <v>0</v>
      </c>
      <c r="J114" s="181">
        <f>SUMIFS(Vigilancia!$E:$E,Vigilancia!$F:$F,$A114,Vigilancia!$J:$J,J$1)</f>
        <v>0</v>
      </c>
      <c r="K114" s="181">
        <f>SUMIFS(Vigilancia!$E:$E,Vigilancia!$F:$F,$A114,Vigilancia!$J:$J,K$1)</f>
        <v>0</v>
      </c>
    </row>
    <row r="115" spans="1:12">
      <c r="A115" s="30" t="str">
        <f>'RESUMEN VIGILANCIA'!A115</f>
        <v>Familia Molina Estopiñán</v>
      </c>
      <c r="B115" s="31" t="str">
        <f>'RESUMEN VIGILANCIA'!B115</f>
        <v>Calle Güigüe Nro. 89-30</v>
      </c>
      <c r="C115" s="181">
        <f>SUMIFS(Vigilancia!$E:$E,Vigilancia!$F:$F,$A115,Vigilancia!$J:$J,C$1)</f>
        <v>0.05</v>
      </c>
      <c r="D115" s="181">
        <f>SUMIFS(Vigilancia!$E:$E,Vigilancia!$F:$F,$A115,Vigilancia!$J:$J,D$1)</f>
        <v>0</v>
      </c>
      <c r="E115" s="304">
        <f>SUMIFS(Vigilancia!$E:$E,Vigilancia!$F:$F,$A115,Vigilancia!$J:$J,E$1)</f>
        <v>0</v>
      </c>
      <c r="F115" s="304">
        <f>SUMIFS(Vigilancia!$E:$E,Vigilancia!$F:$F,$A115,Vigilancia!$J:$J,F$1)</f>
        <v>0</v>
      </c>
      <c r="G115" s="181">
        <f>SUMIFS(Vigilancia!$E:$E,Vigilancia!$F:$F,$A115,Vigilancia!$J:$J,G$1)</f>
        <v>0</v>
      </c>
      <c r="H115" s="181">
        <f>SUMIFS(Vigilancia!$E:$E,Vigilancia!$F:$F,$A115,Vigilancia!$J:$J,H$1)</f>
        <v>0</v>
      </c>
      <c r="I115" s="181">
        <f>SUMIFS(Vigilancia!$E:$E,Vigilancia!$F:$F,$A115,Vigilancia!$J:$J,I$1)</f>
        <v>0</v>
      </c>
      <c r="J115" s="181">
        <f>SUMIFS(Vigilancia!$E:$E,Vigilancia!$F:$F,$A115,Vigilancia!$J:$J,J$1)</f>
        <v>0</v>
      </c>
      <c r="K115" s="181">
        <f>SUMIFS(Vigilancia!$E:$E,Vigilancia!$F:$F,$A115,Vigilancia!$J:$J,K$1)</f>
        <v>0</v>
      </c>
    </row>
    <row r="116" spans="1:12">
      <c r="A116" s="30" t="str">
        <f>'RESUMEN VIGILANCIA'!A116</f>
        <v>Familia Sirit Palencia</v>
      </c>
      <c r="B116" s="31" t="str">
        <f>'RESUMEN VIGILANCIA'!B116</f>
        <v>Calle Güigüe Nro. 89-35</v>
      </c>
      <c r="C116" s="181">
        <f>SUMIFS(Vigilancia!$E:$E,Vigilancia!$F:$F,$A116,Vigilancia!$J:$J,C$1)</f>
        <v>7.0000000000000007E-2</v>
      </c>
      <c r="D116" s="181">
        <f>SUMIFS(Vigilancia!$E:$E,Vigilancia!$F:$F,$A116,Vigilancia!$J:$J,D$1)</f>
        <v>0</v>
      </c>
      <c r="E116" s="304">
        <f>SUMIFS(Vigilancia!$E:$E,Vigilancia!$F:$F,$A116,Vigilancia!$J:$J,E$1)</f>
        <v>0</v>
      </c>
      <c r="F116" s="304">
        <f>SUMIFS(Vigilancia!$E:$E,Vigilancia!$F:$F,$A116,Vigilancia!$J:$J,F$1)</f>
        <v>0</v>
      </c>
      <c r="G116" s="181">
        <f>SUMIFS(Vigilancia!$E:$E,Vigilancia!$F:$F,$A116,Vigilancia!$J:$J,G$1)</f>
        <v>50000</v>
      </c>
      <c r="H116" s="181">
        <f>SUMIFS(Vigilancia!$E:$E,Vigilancia!$F:$F,$A116,Vigilancia!$J:$J,H$1)</f>
        <v>0</v>
      </c>
      <c r="I116" s="181">
        <f>SUMIFS(Vigilancia!$E:$E,Vigilancia!$F:$F,$A116,Vigilancia!$J:$J,I$1)</f>
        <v>0</v>
      </c>
      <c r="J116" s="181">
        <f>SUMIFS(Vigilancia!$E:$E,Vigilancia!$F:$F,$A116,Vigilancia!$J:$J,J$1)</f>
        <v>0</v>
      </c>
      <c r="K116" s="181">
        <f>SUMIFS(Vigilancia!$E:$E,Vigilancia!$F:$F,$A116,Vigilancia!$J:$J,K$1)</f>
        <v>0</v>
      </c>
    </row>
    <row r="117" spans="1:12">
      <c r="A117" s="30" t="str">
        <f>'RESUMEN VIGILANCIA'!A117</f>
        <v>Familia Guerra Miret</v>
      </c>
      <c r="B117" s="31" t="str">
        <f>'RESUMEN VIGILANCIA'!B117</f>
        <v>Calle Güigüe Nro. 89-40</v>
      </c>
      <c r="C117" s="181">
        <f>SUMIFS(Vigilancia!$E:$E,Vigilancia!$F:$F,$A117,Vigilancia!$J:$J,C$1)</f>
        <v>7.0000000000000007E-2</v>
      </c>
      <c r="D117" s="181">
        <f>SUMIFS(Vigilancia!$E:$E,Vigilancia!$F:$F,$A117,Vigilancia!$J:$J,D$1)</f>
        <v>0</v>
      </c>
      <c r="E117" s="304">
        <f>SUMIFS(Vigilancia!$E:$E,Vigilancia!$F:$F,$A117,Vigilancia!$J:$J,E$1)</f>
        <v>12.2</v>
      </c>
      <c r="F117" s="304">
        <f>SUMIFS(Vigilancia!$E:$E,Vigilancia!$F:$F,$A117,Vigilancia!$J:$J,F$1)</f>
        <v>0</v>
      </c>
      <c r="G117" s="181">
        <f>SUMIFS(Vigilancia!$E:$E,Vigilancia!$F:$F,$A117,Vigilancia!$J:$J,G$1)</f>
        <v>50000</v>
      </c>
      <c r="H117" s="181">
        <f>SUMIFS(Vigilancia!$E:$E,Vigilancia!$F:$F,$A117,Vigilancia!$J:$J,H$1)</f>
        <v>0</v>
      </c>
      <c r="I117" s="181">
        <f>SUMIFS(Vigilancia!$E:$E,Vigilancia!$F:$F,$A117,Vigilancia!$J:$J,I$1)</f>
        <v>0</v>
      </c>
      <c r="J117" s="181">
        <f>SUMIFS(Vigilancia!$E:$E,Vigilancia!$F:$F,$A117,Vigilancia!$J:$J,J$1)</f>
        <v>0</v>
      </c>
      <c r="K117" s="181">
        <f>SUMIFS(Vigilancia!$E:$E,Vigilancia!$F:$F,$A117,Vigilancia!$J:$J,K$1)</f>
        <v>0</v>
      </c>
    </row>
    <row r="118" spans="1:12">
      <c r="A118" s="30" t="str">
        <f>'RESUMEN VIGILANCIA'!A118</f>
        <v>Familia Jiménez Salvatierra</v>
      </c>
      <c r="B118" s="31" t="str">
        <f>'RESUMEN VIGILANCIA'!B118</f>
        <v>Calle Güigüe Nro. 89-45</v>
      </c>
      <c r="C118" s="181">
        <f>SUMIFS(Vigilancia!$E:$E,Vigilancia!$F:$F,$A118,Vigilancia!$J:$J,C$1)</f>
        <v>0</v>
      </c>
      <c r="D118" s="181">
        <f>SUMIFS(Vigilancia!$E:$E,Vigilancia!$F:$F,$A118,Vigilancia!$J:$J,D$1)</f>
        <v>3.5</v>
      </c>
      <c r="E118" s="304">
        <f>SUMIFS(Vigilancia!$E:$E,Vigilancia!$F:$F,$A118,Vigilancia!$J:$J,E$1)</f>
        <v>12.2</v>
      </c>
      <c r="F118" s="304">
        <f>SUMIFS(Vigilancia!$E:$E,Vigilancia!$F:$F,$A118,Vigilancia!$J:$J,F$1)</f>
        <v>0</v>
      </c>
      <c r="G118" s="181">
        <f>SUMIFS(Vigilancia!$E:$E,Vigilancia!$F:$F,$A118,Vigilancia!$J:$J,G$1)</f>
        <v>0</v>
      </c>
      <c r="H118" s="181">
        <f>SUMIFS(Vigilancia!$E:$E,Vigilancia!$F:$F,$A118,Vigilancia!$J:$J,H$1)</f>
        <v>0</v>
      </c>
      <c r="I118" s="181">
        <f>SUMIFS(Vigilancia!$E:$E,Vigilancia!$F:$F,$A118,Vigilancia!$J:$J,I$1)</f>
        <v>0</v>
      </c>
      <c r="J118" s="181">
        <f>SUMIFS(Vigilancia!$E:$E,Vigilancia!$F:$F,$A118,Vigilancia!$J:$J,J$1)</f>
        <v>0</v>
      </c>
      <c r="K118" s="181">
        <f>SUMIFS(Vigilancia!$E:$E,Vigilancia!$F:$F,$A118,Vigilancia!$J:$J,K$1)</f>
        <v>0</v>
      </c>
    </row>
    <row r="119" spans="1:12">
      <c r="A119" s="30" t="str">
        <f>'RESUMEN VIGILANCIA'!A119</f>
        <v>Familia Alonso Rojas</v>
      </c>
      <c r="B119" s="31" t="str">
        <f>'RESUMEN VIGILANCIA'!B119</f>
        <v>Calle Güigüe Nro. 89-54</v>
      </c>
      <c r="C119" s="181">
        <f>SUMIFS(Vigilancia!$E:$E,Vigilancia!$F:$F,$A119,Vigilancia!$J:$J,C$1)</f>
        <v>0</v>
      </c>
      <c r="D119" s="181">
        <f>SUMIFS(Vigilancia!$E:$E,Vigilancia!$F:$F,$A119,Vigilancia!$J:$J,D$1)</f>
        <v>4.0999999999999996</v>
      </c>
      <c r="E119" s="304">
        <f>SUMIFS(Vigilancia!$E:$E,Vigilancia!$F:$F,$A119,Vigilancia!$J:$J,E$1)</f>
        <v>12.2</v>
      </c>
      <c r="F119" s="304">
        <f>SUMIFS(Vigilancia!$E:$E,Vigilancia!$F:$F,$A119,Vigilancia!$J:$J,F$1)</f>
        <v>50</v>
      </c>
      <c r="G119" s="181">
        <f>SUMIFS(Vigilancia!$E:$E,Vigilancia!$F:$F,$A119,Vigilancia!$J:$J,G$1)</f>
        <v>100000</v>
      </c>
      <c r="H119" s="181">
        <f>SUMIFS(Vigilancia!$E:$E,Vigilancia!$F:$F,$A119,Vigilancia!$J:$J,H$1)</f>
        <v>0</v>
      </c>
      <c r="I119" s="181">
        <f>SUMIFS(Vigilancia!$E:$E,Vigilancia!$F:$F,$A119,Vigilancia!$J:$J,I$1)</f>
        <v>0</v>
      </c>
      <c r="J119" s="181">
        <f>SUMIFS(Vigilancia!$E:$E,Vigilancia!$F:$F,$A119,Vigilancia!$J:$J,J$1)</f>
        <v>0</v>
      </c>
      <c r="K119" s="181">
        <f>SUMIFS(Vigilancia!$E:$E,Vigilancia!$F:$F,$A119,Vigilancia!$J:$J,K$1)</f>
        <v>0</v>
      </c>
    </row>
    <row r="120" spans="1:12">
      <c r="A120" s="30" t="str">
        <f>'RESUMEN VIGILANCIA'!A120</f>
        <v>Familia Fermín Rivas</v>
      </c>
      <c r="B120" s="31" t="str">
        <f>'RESUMEN VIGILANCIA'!B120</f>
        <v>Calle Güigüe Nro. 89-55</v>
      </c>
      <c r="C120" s="181">
        <f>SUMIFS(Vigilancia!$E:$E,Vigilancia!$F:$F,$A120,Vigilancia!$J:$J,C$1)</f>
        <v>7.0000000000000007E-2</v>
      </c>
      <c r="D120" s="181">
        <f>SUMIFS(Vigilancia!$E:$E,Vigilancia!$F:$F,$A120,Vigilancia!$J:$J,D$1)</f>
        <v>3.5</v>
      </c>
      <c r="E120" s="304">
        <f>SUMIFS(Vigilancia!$E:$E,Vigilancia!$F:$F,$A120,Vigilancia!$J:$J,E$1)</f>
        <v>12.2</v>
      </c>
      <c r="F120" s="304">
        <f>SUMIFS(Vigilancia!$E:$E,Vigilancia!$F:$F,$A120,Vigilancia!$J:$J,F$1)</f>
        <v>10</v>
      </c>
      <c r="G120" s="181">
        <f>SUMIFS(Vigilancia!$E:$E,Vigilancia!$F:$F,$A120,Vigilancia!$J:$J,G$1)</f>
        <v>50000</v>
      </c>
      <c r="H120" s="181">
        <f>SUMIFS(Vigilancia!$E:$E,Vigilancia!$F:$F,$A120,Vigilancia!$J:$J,H$1)</f>
        <v>0</v>
      </c>
      <c r="I120" s="181">
        <f>SUMIFS(Vigilancia!$E:$E,Vigilancia!$F:$F,$A120,Vigilancia!$J:$J,I$1)</f>
        <v>0</v>
      </c>
      <c r="J120" s="181">
        <f>SUMIFS(Vigilancia!$E:$E,Vigilancia!$F:$F,$A120,Vigilancia!$J:$J,J$1)</f>
        <v>0</v>
      </c>
      <c r="K120" s="181">
        <f>SUMIFS(Vigilancia!$E:$E,Vigilancia!$F:$F,$A120,Vigilancia!$J:$J,K$1)</f>
        <v>0</v>
      </c>
    </row>
    <row r="121" spans="1:12">
      <c r="A121" s="30" t="str">
        <f>'RESUMEN VIGILANCIA'!A121</f>
        <v>Familia Blonval Hernández</v>
      </c>
      <c r="B121" s="31" t="str">
        <f>'RESUMEN VIGILANCIA'!B121</f>
        <v>Calle Güigüe Nro. 89-64</v>
      </c>
      <c r="C121" s="181">
        <f>SUMIFS(Vigilancia!$E:$E,Vigilancia!$F:$F,$A121,Vigilancia!$J:$J,C$1)</f>
        <v>0</v>
      </c>
      <c r="D121" s="181">
        <f>SUMIFS(Vigilancia!$E:$E,Vigilancia!$F:$F,$A121,Vigilancia!$J:$J,D$1)</f>
        <v>0</v>
      </c>
      <c r="E121" s="181">
        <f>SUMIFS(Vigilancia!$E:$E,Vigilancia!$F:$F,$A121,Vigilancia!$J:$J,E$1)</f>
        <v>0</v>
      </c>
      <c r="F121" s="181">
        <f>SUMIFS(Vigilancia!$E:$E,Vigilancia!$F:$F,$A121,Vigilancia!$J:$J,F$1)</f>
        <v>0</v>
      </c>
      <c r="G121" s="181">
        <f>SUMIFS(Vigilancia!$E:$E,Vigilancia!$F:$F,$A121,Vigilancia!$J:$J,G$1)</f>
        <v>0</v>
      </c>
      <c r="H121" s="181">
        <f>SUMIFS(Vigilancia!$E:$E,Vigilancia!$F:$F,$A121,Vigilancia!$J:$J,H$1)</f>
        <v>0</v>
      </c>
      <c r="I121" s="181">
        <f>SUMIFS(Vigilancia!$E:$E,Vigilancia!$F:$F,$A121,Vigilancia!$J:$J,I$1)</f>
        <v>0</v>
      </c>
      <c r="J121" s="181">
        <f>SUMIFS(Vigilancia!$E:$E,Vigilancia!$F:$F,$A121,Vigilancia!$J:$J,J$1)</f>
        <v>0</v>
      </c>
      <c r="K121" s="181">
        <f>SUMIFS(Vigilancia!$E:$E,Vigilancia!$F:$F,$A121,Vigilancia!$J:$J,K$1)</f>
        <v>0</v>
      </c>
    </row>
    <row r="122" spans="1:12">
      <c r="A122" s="30" t="str">
        <f>'RESUMEN VIGILANCIA'!A122</f>
        <v>Familia Milanés Carmona</v>
      </c>
      <c r="B122" s="31" t="str">
        <f>'RESUMEN VIGILANCIA'!B122</f>
        <v>Calle Güigüe Nro. 89-65</v>
      </c>
      <c r="C122" s="181">
        <f>SUMIFS(Vigilancia!$E:$E,Vigilancia!$F:$F,$A122,Vigilancia!$J:$J,C$1)</f>
        <v>0.04</v>
      </c>
      <c r="D122" s="181">
        <f>SUMIFS(Vigilancia!$E:$E,Vigilancia!$F:$F,$A122,Vigilancia!$J:$J,D$1)</f>
        <v>0</v>
      </c>
      <c r="E122" s="181">
        <f>SUMIFS(Vigilancia!$E:$E,Vigilancia!$F:$F,$A122,Vigilancia!$J:$J,E$1)</f>
        <v>0</v>
      </c>
      <c r="F122" s="181">
        <f>SUMIFS(Vigilancia!$E:$E,Vigilancia!$F:$F,$A122,Vigilancia!$J:$J,F$1)</f>
        <v>0</v>
      </c>
      <c r="G122" s="181">
        <f>SUMIFS(Vigilancia!$E:$E,Vigilancia!$F:$F,$A122,Vigilancia!$J:$J,G$1)</f>
        <v>50000</v>
      </c>
      <c r="H122" s="181">
        <f>SUMIFS(Vigilancia!$E:$E,Vigilancia!$F:$F,$A122,Vigilancia!$J:$J,H$1)</f>
        <v>0</v>
      </c>
      <c r="I122" s="181">
        <f>SUMIFS(Vigilancia!$E:$E,Vigilancia!$F:$F,$A122,Vigilancia!$J:$J,I$1)</f>
        <v>0</v>
      </c>
      <c r="J122" s="181">
        <f>SUMIFS(Vigilancia!$E:$E,Vigilancia!$F:$F,$A122,Vigilancia!$J:$J,J$1)</f>
        <v>0</v>
      </c>
      <c r="K122" s="181">
        <f>SUMIFS(Vigilancia!$E:$E,Vigilancia!$F:$F,$A122,Vigilancia!$J:$J,K$1)</f>
        <v>0</v>
      </c>
    </row>
    <row r="123" spans="1:12">
      <c r="A123" s="30" t="str">
        <f>'RESUMEN VIGILANCIA'!A123</f>
        <v>Familia Medina Colina</v>
      </c>
      <c r="B123" s="31" t="str">
        <f>'RESUMEN VIGILANCIA'!B123</f>
        <v>Calle Güigüe Nro. 89-70</v>
      </c>
      <c r="C123" s="181">
        <f>SUMIFS(Vigilancia!$E:$E,Vigilancia!$F:$F,$A123,Vigilancia!$J:$J,C$1)</f>
        <v>0</v>
      </c>
      <c r="D123" s="181">
        <f>SUMIFS(Vigilancia!$E:$E,Vigilancia!$F:$F,$A123,Vigilancia!$J:$J,D$1)</f>
        <v>0</v>
      </c>
      <c r="E123" s="181">
        <f>SUMIFS(Vigilancia!$E:$E,Vigilancia!$F:$F,$A123,Vigilancia!$J:$J,E$1)</f>
        <v>0</v>
      </c>
      <c r="F123" s="181">
        <f>SUMIFS(Vigilancia!$E:$E,Vigilancia!$F:$F,$A123,Vigilancia!$J:$J,F$1)</f>
        <v>0</v>
      </c>
      <c r="G123" s="181">
        <f>SUMIFS(Vigilancia!$E:$E,Vigilancia!$F:$F,$A123,Vigilancia!$J:$J,G$1)</f>
        <v>0</v>
      </c>
      <c r="H123" s="181">
        <f>SUMIFS(Vigilancia!$E:$E,Vigilancia!$F:$F,$A123,Vigilancia!$J:$J,H$1)</f>
        <v>0</v>
      </c>
      <c r="I123" s="181">
        <f>SUMIFS(Vigilancia!$E:$E,Vigilancia!$F:$F,$A123,Vigilancia!$J:$J,I$1)</f>
        <v>0</v>
      </c>
      <c r="J123" s="181">
        <f>SUMIFS(Vigilancia!$E:$E,Vigilancia!$F:$F,$A123,Vigilancia!$J:$J,J$1)</f>
        <v>0</v>
      </c>
      <c r="K123" s="181">
        <f>SUMIFS(Vigilancia!$E:$E,Vigilancia!$F:$F,$A123,Vigilancia!$J:$J,K$1)</f>
        <v>0</v>
      </c>
    </row>
    <row r="124" spans="1:12">
      <c r="A124" s="30" t="str">
        <f>'RESUMEN VIGILANCIA'!A124</f>
        <v>Gloria Molina</v>
      </c>
      <c r="B124" s="31" t="str">
        <f>'RESUMEN VIGILANCIA'!B124</f>
        <v>Calle Güigüe Nro. 89-71</v>
      </c>
      <c r="C124" s="181">
        <f>SUMIFS(Vigilancia!$E:$E,Vigilancia!$F:$F,$A124,Vigilancia!$J:$J,C$1)</f>
        <v>0</v>
      </c>
      <c r="D124" s="181">
        <f>SUMIFS(Vigilancia!$E:$E,Vigilancia!$F:$F,$A124,Vigilancia!$J:$J,D$1)</f>
        <v>3</v>
      </c>
      <c r="E124" s="304">
        <f>SUMIFS(Vigilancia!$E:$E,Vigilancia!$F:$F,$A124,Vigilancia!$J:$J,E$1)</f>
        <v>5</v>
      </c>
      <c r="F124" s="304">
        <f>SUMIFS(Vigilancia!$E:$E,Vigilancia!$F:$F,$A124,Vigilancia!$J:$J,F$1)</f>
        <v>0</v>
      </c>
      <c r="G124" s="181">
        <f>SUMIFS(Vigilancia!$E:$E,Vigilancia!$F:$F,$A124,Vigilancia!$J:$J,G$1)</f>
        <v>0</v>
      </c>
      <c r="H124" s="181">
        <f>SUMIFS(Vigilancia!$E:$E,Vigilancia!$F:$F,$A124,Vigilancia!$J:$J,H$1)</f>
        <v>0</v>
      </c>
      <c r="I124" s="181">
        <f>SUMIFS(Vigilancia!$E:$E,Vigilancia!$F:$F,$A124,Vigilancia!$J:$J,I$1)</f>
        <v>0</v>
      </c>
      <c r="J124" s="181">
        <f>SUMIFS(Vigilancia!$E:$E,Vigilancia!$F:$F,$A124,Vigilancia!$J:$J,J$1)</f>
        <v>0</v>
      </c>
      <c r="K124" s="181">
        <f>SUMIFS(Vigilancia!$E:$E,Vigilancia!$F:$F,$A124,Vigilancia!$J:$J,K$1)</f>
        <v>0</v>
      </c>
    </row>
    <row r="125" spans="1:12">
      <c r="A125" s="30" t="str">
        <f>'RESUMEN VIGILANCIA'!A125</f>
        <v>Familia Gurmeitte</v>
      </c>
      <c r="B125" s="31" t="str">
        <f>'RESUMEN VIGILANCIA'!B125</f>
        <v>Calle Güigüe Nro. 89-74</v>
      </c>
      <c r="C125" s="181">
        <f>SUMIFS(Vigilancia!$E:$E,Vigilancia!$F:$F,$A125,Vigilancia!$J:$J,C$1)</f>
        <v>0</v>
      </c>
      <c r="D125" s="181">
        <f>SUMIFS(Vigilancia!$E:$E,Vigilancia!$F:$F,$A125,Vigilancia!$J:$J,D$1)</f>
        <v>0</v>
      </c>
      <c r="E125" s="304">
        <f>SUMIFS(Vigilancia!$E:$E,Vigilancia!$F:$F,$A125,Vigilancia!$J:$J,E$1)</f>
        <v>0</v>
      </c>
      <c r="F125" s="304">
        <f>SUMIFS(Vigilancia!$E:$E,Vigilancia!$F:$F,$A125,Vigilancia!$J:$J,F$1)</f>
        <v>0</v>
      </c>
      <c r="G125" s="181">
        <f>SUMIFS(Vigilancia!$E:$E,Vigilancia!$F:$F,$A125,Vigilancia!$J:$J,G$1)</f>
        <v>0</v>
      </c>
      <c r="H125" s="181">
        <f>SUMIFS(Vigilancia!$E:$E,Vigilancia!$F:$F,$A125,Vigilancia!$J:$J,H$1)</f>
        <v>0</v>
      </c>
      <c r="I125" s="181">
        <f>SUMIFS(Vigilancia!$E:$E,Vigilancia!$F:$F,$A125,Vigilancia!$J:$J,I$1)</f>
        <v>0</v>
      </c>
      <c r="J125" s="181">
        <f>SUMIFS(Vigilancia!$E:$E,Vigilancia!$F:$F,$A125,Vigilancia!$J:$J,J$1)</f>
        <v>0</v>
      </c>
      <c r="K125" s="181">
        <f>SUMIFS(Vigilancia!$E:$E,Vigilancia!$F:$F,$A125,Vigilancia!$J:$J,K$1)</f>
        <v>0</v>
      </c>
    </row>
    <row r="126" spans="1:12">
      <c r="A126" s="30" t="str">
        <f>'RESUMEN VIGILANCIA'!A126</f>
        <v>Familia López Hermoso</v>
      </c>
      <c r="B126" s="31" t="str">
        <f>'RESUMEN VIGILANCIA'!B126</f>
        <v>Calle Güigüe Nro. 89-79</v>
      </c>
      <c r="C126" s="181">
        <f>SUMIFS(Vigilancia!$E:$E,Vigilancia!$F:$F,$A126,Vigilancia!$J:$J,C$1)</f>
        <v>7.0000000000000007E-2</v>
      </c>
      <c r="D126" s="181">
        <f>SUMIFS(Vigilancia!$E:$E,Vigilancia!$F:$F,$A126,Vigilancia!$J:$J,D$1)</f>
        <v>0</v>
      </c>
      <c r="E126" s="304">
        <f>SUMIFS(Vigilancia!$E:$E,Vigilancia!$F:$F,$A126,Vigilancia!$J:$J,E$1)</f>
        <v>12.2</v>
      </c>
      <c r="F126" s="304">
        <f>SUMIFS(Vigilancia!$E:$E,Vigilancia!$F:$F,$A126,Vigilancia!$J:$J,F$1)</f>
        <v>0</v>
      </c>
      <c r="G126" s="181">
        <f>SUMIFS(Vigilancia!$E:$E,Vigilancia!$F:$F,$A126,Vigilancia!$J:$J,G$1)</f>
        <v>50000</v>
      </c>
      <c r="H126" s="181">
        <f>SUMIFS(Vigilancia!$E:$E,Vigilancia!$F:$F,$A126,Vigilancia!$J:$J,H$1)</f>
        <v>0</v>
      </c>
      <c r="I126" s="181">
        <f>SUMIFS(Vigilancia!$E:$E,Vigilancia!$F:$F,$A126,Vigilancia!$J:$J,I$1)</f>
        <v>0</v>
      </c>
      <c r="J126" s="181">
        <f>SUMIFS(Vigilancia!$E:$E,Vigilancia!$F:$F,$A126,Vigilancia!$J:$J,J$1)</f>
        <v>0</v>
      </c>
      <c r="K126" s="181">
        <f>SUMIFS(Vigilancia!$E:$E,Vigilancia!$F:$F,$A126,Vigilancia!$J:$J,K$1)</f>
        <v>0</v>
      </c>
    </row>
    <row r="127" spans="1:12">
      <c r="A127" s="30" t="str">
        <f>'RESUMEN VIGILANCIA'!A127</f>
        <v>Familia Kablan Sarmiento</v>
      </c>
      <c r="B127" s="31" t="str">
        <f>'RESUMEN VIGILANCIA'!B127</f>
        <v>Calle Güigüe Nro. 89-80</v>
      </c>
      <c r="C127" s="181">
        <f>SUMIFS(Vigilancia!$E:$E,Vigilancia!$F:$F,$A127,Vigilancia!$J:$J,C$1)</f>
        <v>7.0000000000000007E-2</v>
      </c>
      <c r="D127" s="181">
        <f>SUMIFS(Vigilancia!$E:$E,Vigilancia!$F:$F,$A127,Vigilancia!$J:$J,D$1)</f>
        <v>3.5</v>
      </c>
      <c r="E127" s="304">
        <f>SUMIFS(Vigilancia!$E:$E,Vigilancia!$F:$F,$A127,Vigilancia!$J:$J,E$1)</f>
        <v>12.2</v>
      </c>
      <c r="F127" s="304">
        <f>SUMIFS(Vigilancia!$E:$E,Vigilancia!$F:$F,$A127,Vigilancia!$J:$J,F$1)</f>
        <v>10</v>
      </c>
      <c r="G127" s="181">
        <f>SUMIFS(Vigilancia!$E:$E,Vigilancia!$F:$F,$A127,Vigilancia!$J:$J,G$1)</f>
        <v>50000</v>
      </c>
      <c r="H127" s="181">
        <f>SUMIFS(Vigilancia!$E:$E,Vigilancia!$F:$F,$A127,Vigilancia!$J:$J,H$1)</f>
        <v>0</v>
      </c>
      <c r="I127" s="181">
        <f>SUMIFS(Vigilancia!$E:$E,Vigilancia!$F:$F,$A127,Vigilancia!$J:$J,I$1)</f>
        <v>0</v>
      </c>
      <c r="J127" s="181">
        <f>SUMIFS(Vigilancia!$E:$E,Vigilancia!$F:$F,$A127,Vigilancia!$J:$J,J$1)</f>
        <v>0</v>
      </c>
      <c r="K127" s="181">
        <f>SUMIFS(Vigilancia!$E:$E,Vigilancia!$F:$F,$A127,Vigilancia!$J:$J,K$1)</f>
        <v>0</v>
      </c>
    </row>
    <row r="128" spans="1:12">
      <c r="A128" s="66" t="str">
        <f>'RESUMEN VIGILANCIA'!A128</f>
        <v>Familia Ferrer Bahri</v>
      </c>
      <c r="B128" s="64" t="str">
        <f>'RESUMEN VIGILANCIA'!B128</f>
        <v>Calle Güigüe Nro. 89-83</v>
      </c>
      <c r="C128" s="181">
        <f>SUMIFS(Vigilancia!$E:$E,Vigilancia!$F:$F,$A128,Vigilancia!$J:$J,C$1)</f>
        <v>7.0000000000000007E-2</v>
      </c>
      <c r="D128" s="181">
        <f>SUMIFS(Vigilancia!$E:$E,Vigilancia!$F:$F,$A128,Vigilancia!$J:$J,D$1)</f>
        <v>4.0999999999999996</v>
      </c>
      <c r="E128" s="304">
        <f>SUMIFS(Vigilancia!$E:$E,Vigilancia!$F:$F,$A128,Vigilancia!$J:$J,E$1)</f>
        <v>13</v>
      </c>
      <c r="F128" s="304">
        <f>SUMIFS(Vigilancia!$E:$E,Vigilancia!$F:$F,$A128,Vigilancia!$J:$J,F$1)</f>
        <v>10</v>
      </c>
      <c r="G128" s="181">
        <f>SUMIFS(Vigilancia!$E:$E,Vigilancia!$F:$F,$A128,Vigilancia!$J:$J,G$1)</f>
        <v>50000</v>
      </c>
      <c r="H128" s="181">
        <f>SUMIFS(Vigilancia!$E:$E,Vigilancia!$F:$F,$A128,Vigilancia!$J:$J,H$1)</f>
        <v>0</v>
      </c>
      <c r="I128" s="181">
        <f>SUMIFS(Vigilancia!$E:$E,Vigilancia!$F:$F,$A128,Vigilancia!$J:$J,I$1)</f>
        <v>0</v>
      </c>
      <c r="J128" s="181">
        <f>SUMIFS(Vigilancia!$E:$E,Vigilancia!$F:$F,$A128,Vigilancia!$J:$J,J$1)</f>
        <v>0</v>
      </c>
      <c r="K128" s="181">
        <f>SUMIFS(Vigilancia!$E:$E,Vigilancia!$F:$F,$A128,Vigilancia!$J:$J,K$1)</f>
        <v>0</v>
      </c>
    </row>
    <row r="129" spans="1:12">
      <c r="A129" s="125" t="str">
        <f>'RESUMEN VIGILANCIA'!A129</f>
        <v>Familia Amirante</v>
      </c>
      <c r="B129" s="126" t="str">
        <f>'RESUMEN VIGILANCIA'!B129</f>
        <v>Calle Güigüe Nro. 89-89</v>
      </c>
      <c r="C129" s="306">
        <f>SUMIFS(Vigilancia!$E:$E,Vigilancia!$F:$F,$A129,Vigilancia!$J:$J,C$1)</f>
        <v>0</v>
      </c>
      <c r="D129" s="306">
        <f>SUMIFS(Vigilancia!$E:$E,Vigilancia!$F:$F,$A129,Vigilancia!$J:$J,D$1)</f>
        <v>0</v>
      </c>
      <c r="E129" s="306">
        <f>SUMIFS(Vigilancia!$E:$E,Vigilancia!$F:$F,$A129,Vigilancia!$J:$J,E$1)</f>
        <v>0</v>
      </c>
      <c r="F129" s="306">
        <f>SUMIFS(Vigilancia!$E:$E,Vigilancia!$F:$F,$A129,Vigilancia!$J:$J,F$1)</f>
        <v>0</v>
      </c>
      <c r="G129" s="307">
        <f>SUMIFS(Vigilancia!$E:$E,Vigilancia!$F:$F,$A129,Vigilancia!$J:$J,G$1)</f>
        <v>0</v>
      </c>
      <c r="H129" s="307">
        <f>SUMIFS(Vigilancia!$E:$E,Vigilancia!$F:$F,$A129,Vigilancia!$J:$J,H$1)</f>
        <v>0</v>
      </c>
      <c r="I129" s="306">
        <f>SUMIFS(Vigilancia!$E:$E,Vigilancia!$F:$F,$A129,Vigilancia!$J:$J,I$1)</f>
        <v>0</v>
      </c>
      <c r="J129" s="306">
        <f>SUMIFS(Vigilancia!$E:$E,Vigilancia!$F:$F,$A129,Vigilancia!$J:$J,J$1)</f>
        <v>0</v>
      </c>
      <c r="K129" s="308">
        <f>SUMIFS(Vigilancia!$E:$E,Vigilancia!$F:$F,$A129,Vigilancia!$J:$J,K$1)</f>
        <v>0</v>
      </c>
      <c r="L129" s="122"/>
    </row>
    <row r="130" spans="1:12">
      <c r="A130" s="125" t="str">
        <f>'RESUMEN VIGILANCIA'!A130</f>
        <v>Familia Civitico Rueda</v>
      </c>
      <c r="B130" s="126" t="str">
        <f>'RESUMEN VIGILANCIA'!B130</f>
        <v>Calle Güigüe Nro. 89-89</v>
      </c>
      <c r="C130" s="306">
        <f>SUMIFS(Vigilancia!$E:$E,Vigilancia!$F:$F,$A130,Vigilancia!$J:$J,C$1)</f>
        <v>0</v>
      </c>
      <c r="D130" s="306">
        <f>SUMIFS(Vigilancia!$E:$E,Vigilancia!$F:$F,$A130,Vigilancia!$J:$J,D$1)</f>
        <v>3.5</v>
      </c>
      <c r="E130" s="306">
        <f>SUMIFS(Vigilancia!$E:$E,Vigilancia!$F:$F,$A130,Vigilancia!$J:$J,E$1)</f>
        <v>0</v>
      </c>
      <c r="F130" s="306">
        <f>SUMIFS(Vigilancia!$E:$E,Vigilancia!$F:$F,$A130,Vigilancia!$J:$J,F$1)</f>
        <v>0</v>
      </c>
      <c r="G130" s="307">
        <f>SUMIFS(Vigilancia!$E:$E,Vigilancia!$F:$F,$A130,Vigilancia!$J:$J,G$1)</f>
        <v>0</v>
      </c>
      <c r="H130" s="307">
        <f>SUMIFS(Vigilancia!$E:$E,Vigilancia!$F:$F,$A130,Vigilancia!$J:$J,H$1)</f>
        <v>0</v>
      </c>
      <c r="I130" s="306">
        <f>SUMIFS(Vigilancia!$E:$E,Vigilancia!$F:$F,$A130,Vigilancia!$J:$J,I$1)</f>
        <v>0</v>
      </c>
      <c r="J130" s="306">
        <f>SUMIFS(Vigilancia!$E:$E,Vigilancia!$F:$F,$A130,Vigilancia!$J:$J,J$1)</f>
        <v>0</v>
      </c>
      <c r="K130" s="308">
        <f>SUMIFS(Vigilancia!$E:$E,Vigilancia!$F:$F,$A130,Vigilancia!$J:$J,K$1)</f>
        <v>0</v>
      </c>
      <c r="L130" s="123"/>
    </row>
    <row r="131" spans="1:12">
      <c r="A131" s="30" t="str">
        <f>'RESUMEN VIGILANCIA'!A131</f>
        <v>Wilson Escamilla</v>
      </c>
      <c r="B131" s="31" t="str">
        <f>'RESUMEN VIGILANCIA'!B131</f>
        <v>Calle Güigüe Nro. 89-89</v>
      </c>
      <c r="C131" s="181">
        <f>SUMIFS(Vigilancia!$E:$E,Vigilancia!$F:$F,$A131,Vigilancia!$J:$J,C$1)</f>
        <v>0</v>
      </c>
      <c r="D131" s="181">
        <f>SUMIFS(Vigilancia!$E:$E,Vigilancia!$F:$F,$A131,Vigilancia!$J:$J,D$1)</f>
        <v>0</v>
      </c>
      <c r="E131" s="304">
        <f>SUMIFS(Vigilancia!$E:$E,Vigilancia!$F:$F,$A131,Vigilancia!$J:$J,E$1)</f>
        <v>12.2</v>
      </c>
      <c r="F131" s="304">
        <f>SUMIFS(Vigilancia!$E:$E,Vigilancia!$F:$F,$A131,Vigilancia!$J:$J,F$1)</f>
        <v>0</v>
      </c>
      <c r="G131" s="180">
        <f>SUMIFS(Vigilancia!$E:$E,Vigilancia!$F:$F,$A131,Vigilancia!$J:$J,G$1)</f>
        <v>50000</v>
      </c>
      <c r="H131" s="180">
        <f>SUMIFS(Vigilancia!$E:$E,Vigilancia!$F:$F,$A131,Vigilancia!$J:$J,H$1)</f>
        <v>0</v>
      </c>
      <c r="I131" s="181">
        <f>SUMIFS(Vigilancia!$E:$E,Vigilancia!$F:$F,$A131,Vigilancia!$J:$J,I$1)</f>
        <v>0</v>
      </c>
      <c r="J131" s="181">
        <f>SUMIFS(Vigilancia!$E:$E,Vigilancia!$F:$F,$A131,Vigilancia!$J:$J,J$1)</f>
        <v>0</v>
      </c>
      <c r="K131" s="184">
        <f>SUMIFS(Vigilancia!$E:$E,Vigilancia!$F:$F,$A131,Vigilancia!$J:$J,K$1)</f>
        <v>0</v>
      </c>
      <c r="L131" s="124"/>
    </row>
    <row r="132" spans="1:12">
      <c r="A132" s="59" t="str">
        <f>'RESUMEN VIGILANCIA'!A132</f>
        <v>Familia Herrera Guada</v>
      </c>
      <c r="B132" s="60" t="str">
        <f>'RESUMEN VIGILANCIA'!B132</f>
        <v>Calle Güigüe Nro. 89-90</v>
      </c>
      <c r="C132" s="213">
        <f>SUMIFS(Vigilancia!$E:$E,Vigilancia!$F:$F,$A132,Vigilancia!$J:$J,C$1)</f>
        <v>0</v>
      </c>
      <c r="D132" s="213">
        <f>SUMIFS(Vigilancia!$E:$E,Vigilancia!$F:$F,$A132,Vigilancia!$J:$J,D$1)</f>
        <v>0</v>
      </c>
      <c r="E132" s="213">
        <f>SUMIFS(Vigilancia!$E:$E,Vigilancia!$F:$F,$A132,Vigilancia!$J:$J,E$1)</f>
        <v>0</v>
      </c>
      <c r="F132" s="213">
        <f>SUMIFS(Vigilancia!$E:$E,Vigilancia!$F:$F,$A132,Vigilancia!$J:$J,F$1)</f>
        <v>0</v>
      </c>
      <c r="G132" s="305">
        <f>SUMIFS(Vigilancia!$E:$E,Vigilancia!$F:$F,$A132,Vigilancia!$J:$J,G$1)</f>
        <v>0</v>
      </c>
      <c r="H132" s="305">
        <f>SUMIFS(Vigilancia!$E:$E,Vigilancia!$F:$F,$A132,Vigilancia!$J:$J,H$1)</f>
        <v>0</v>
      </c>
      <c r="I132" s="213">
        <f>SUMIFS(Vigilancia!$E:$E,Vigilancia!$F:$F,$A132,Vigilancia!$J:$J,I$1)</f>
        <v>0</v>
      </c>
      <c r="J132" s="213">
        <f>SUMIFS(Vigilancia!$E:$E,Vigilancia!$F:$F,$A132,Vigilancia!$J:$J,J$1)</f>
        <v>0</v>
      </c>
      <c r="K132" s="205">
        <f>SUMIFS(Vigilancia!$E:$E,Vigilancia!$F:$F,$A132,Vigilancia!$J:$J,K$1)</f>
        <v>0</v>
      </c>
      <c r="L132" s="122"/>
    </row>
    <row r="133" spans="1:12">
      <c r="A133" s="30" t="str">
        <f>'RESUMEN VIGILANCIA'!A133</f>
        <v>Familia Montilla García</v>
      </c>
      <c r="B133" s="31" t="str">
        <f>'RESUMEN VIGILANCIA'!B133</f>
        <v>Calle Güigüe Nro. 89-90</v>
      </c>
      <c r="C133" s="181">
        <f>SUMIFS(Vigilancia!$E:$E,Vigilancia!$F:$F,$A133,Vigilancia!$J:$J,C$1)</f>
        <v>7.0000000000000007E-2</v>
      </c>
      <c r="D133" s="181">
        <f>SUMIFS(Vigilancia!$E:$E,Vigilancia!$F:$F,$A133,Vigilancia!$J:$J,D$1)</f>
        <v>3.5</v>
      </c>
      <c r="E133" s="304">
        <f>SUMIFS(Vigilancia!$E:$E,Vigilancia!$F:$F,$A133,Vigilancia!$J:$J,E$1)</f>
        <v>12.2</v>
      </c>
      <c r="F133" s="304">
        <f>SUMIFS(Vigilancia!$E:$E,Vigilancia!$F:$F,$A133,Vigilancia!$J:$J,F$1)</f>
        <v>30</v>
      </c>
      <c r="G133" s="180">
        <f>SUMIFS(Vigilancia!$E:$E,Vigilancia!$F:$F,$A133,Vigilancia!$J:$J,G$1)</f>
        <v>50000</v>
      </c>
      <c r="H133" s="180">
        <f>SUMIFS(Vigilancia!$E:$E,Vigilancia!$F:$F,$A133,Vigilancia!$J:$J,H$1)</f>
        <v>0</v>
      </c>
      <c r="I133" s="181">
        <f>SUMIFS(Vigilancia!$E:$E,Vigilancia!$F:$F,$A133,Vigilancia!$J:$J,I$1)</f>
        <v>0</v>
      </c>
      <c r="J133" s="181">
        <f>SUMIFS(Vigilancia!$E:$E,Vigilancia!$F:$F,$A133,Vigilancia!$J:$J,J$1)</f>
        <v>0</v>
      </c>
      <c r="K133" s="184">
        <f>SUMIFS(Vigilancia!$E:$E,Vigilancia!$F:$F,$A133,Vigilancia!$J:$J,K$1)</f>
        <v>0</v>
      </c>
      <c r="L133" s="124"/>
    </row>
    <row r="134" spans="1:12">
      <c r="A134" s="67" t="str">
        <f>'RESUMEN VIGILANCIA'!A134</f>
        <v>Familia Kattar González</v>
      </c>
      <c r="B134" s="65" t="str">
        <f>'RESUMEN VIGILANCIA'!B134</f>
        <v>Calle Güigüe Nro. 89-95</v>
      </c>
      <c r="C134" s="181">
        <f>SUMIFS(Vigilancia!$E:$E,Vigilancia!$F:$F,$A134,Vigilancia!$J:$J,C$1)</f>
        <v>7.0000000000000007E-2</v>
      </c>
      <c r="D134" s="181">
        <f>SUMIFS(Vigilancia!$E:$E,Vigilancia!$F:$F,$A134,Vigilancia!$J:$J,D$1)</f>
        <v>3.5</v>
      </c>
      <c r="E134" s="304">
        <f>SUMIFS(Vigilancia!$E:$E,Vigilancia!$F:$F,$A134,Vigilancia!$J:$J,E$1)</f>
        <v>12.2</v>
      </c>
      <c r="F134" s="304">
        <f>SUMIFS(Vigilancia!$E:$E,Vigilancia!$F:$F,$A134,Vigilancia!$J:$J,F$1)</f>
        <v>0</v>
      </c>
      <c r="G134" s="181">
        <f>SUMIFS(Vigilancia!$E:$E,Vigilancia!$F:$F,$A134,Vigilancia!$J:$J,G$1)</f>
        <v>0</v>
      </c>
      <c r="H134" s="181">
        <f>SUMIFS(Vigilancia!$E:$E,Vigilancia!$F:$F,$A134,Vigilancia!$J:$J,H$1)</f>
        <v>0</v>
      </c>
      <c r="I134" s="181">
        <f>SUMIFS(Vigilancia!$E:$E,Vigilancia!$F:$F,$A134,Vigilancia!$J:$J,I$1)</f>
        <v>0</v>
      </c>
      <c r="J134" s="181">
        <f>SUMIFS(Vigilancia!$E:$E,Vigilancia!$F:$F,$A134,Vigilancia!$J:$J,J$1)</f>
        <v>0</v>
      </c>
      <c r="K134" s="181">
        <f>SUMIFS(Vigilancia!$E:$E,Vigilancia!$F:$F,$A134,Vigilancia!$J:$J,K$1)</f>
        <v>30.5</v>
      </c>
    </row>
    <row r="135" spans="1:12">
      <c r="A135" s="30" t="str">
        <f>'RESUMEN VIGILANCIA'!A135</f>
        <v>Amarilis Guerra</v>
      </c>
      <c r="B135" s="31" t="str">
        <f>'RESUMEN VIGILANCIA'!B135</f>
        <v>Calle Güigüe Nro. 89-96</v>
      </c>
      <c r="C135" s="181">
        <f>SUMIFS(Vigilancia!$E:$E,Vigilancia!$F:$F,$A135,Vigilancia!$J:$J,C$1)</f>
        <v>0</v>
      </c>
      <c r="D135" s="181">
        <f>SUMIFS(Vigilancia!$E:$E,Vigilancia!$F:$F,$A135,Vigilancia!$J:$J,D$1)</f>
        <v>0</v>
      </c>
      <c r="E135" s="304">
        <f>SUMIFS(Vigilancia!$E:$E,Vigilancia!$F:$F,$A135,Vigilancia!$J:$J,E$1)</f>
        <v>12</v>
      </c>
      <c r="F135" s="304">
        <f>SUMIFS(Vigilancia!$E:$E,Vigilancia!$F:$F,$A135,Vigilancia!$J:$J,F$1)</f>
        <v>10</v>
      </c>
      <c r="G135" s="181">
        <f>SUMIFS(Vigilancia!$E:$E,Vigilancia!$F:$F,$A135,Vigilancia!$J:$J,G$1)</f>
        <v>50000</v>
      </c>
      <c r="H135" s="181">
        <f>SUMIFS(Vigilancia!$E:$E,Vigilancia!$F:$F,$A135,Vigilancia!$J:$J,H$1)</f>
        <v>0</v>
      </c>
      <c r="I135" s="181">
        <f>SUMIFS(Vigilancia!$E:$E,Vigilancia!$F:$F,$A135,Vigilancia!$J:$J,I$1)</f>
        <v>0</v>
      </c>
      <c r="J135" s="181">
        <f>SUMIFS(Vigilancia!$E:$E,Vigilancia!$F:$F,$A135,Vigilancia!$J:$J,J$1)</f>
        <v>0</v>
      </c>
      <c r="K135" s="181">
        <f>SUMIFS(Vigilancia!$E:$E,Vigilancia!$F:$F,$A135,Vigilancia!$J:$J,K$1)</f>
        <v>0</v>
      </c>
    </row>
    <row r="136" spans="1:12">
      <c r="A136" s="30" t="str">
        <f>'RESUMEN VIGILANCIA'!A136</f>
        <v>Familia Ochoa Mendoza</v>
      </c>
      <c r="B136" s="31" t="str">
        <f>'RESUMEN VIGILANCIA'!B136</f>
        <v>Calle Güigüe Nro. 89-105</v>
      </c>
      <c r="C136" s="181">
        <f>SUMIFS(Vigilancia!$E:$E,Vigilancia!$F:$F,$A136,Vigilancia!$J:$J,C$1)</f>
        <v>7.0000000000000007E-2</v>
      </c>
      <c r="D136" s="181">
        <f>SUMIFS(Vigilancia!$E:$E,Vigilancia!$F:$F,$A136,Vigilancia!$J:$J,D$1)</f>
        <v>3.5</v>
      </c>
      <c r="E136" s="304">
        <f>SUMIFS(Vigilancia!$E:$E,Vigilancia!$F:$F,$A136,Vigilancia!$J:$J,E$1)</f>
        <v>0</v>
      </c>
      <c r="F136" s="304">
        <f>SUMIFS(Vigilancia!$E:$E,Vigilancia!$F:$F,$A136,Vigilancia!$J:$J,F$1)</f>
        <v>10</v>
      </c>
      <c r="G136" s="181">
        <f>SUMIFS(Vigilancia!$E:$E,Vigilancia!$F:$F,$A136,Vigilancia!$J:$J,G$1)</f>
        <v>50000</v>
      </c>
      <c r="H136" s="181">
        <f>SUMIFS(Vigilancia!$E:$E,Vigilancia!$F:$F,$A136,Vigilancia!$J:$J,H$1)</f>
        <v>0</v>
      </c>
      <c r="I136" s="181">
        <f>SUMIFS(Vigilancia!$E:$E,Vigilancia!$F:$F,$A136,Vigilancia!$J:$J,I$1)</f>
        <v>0</v>
      </c>
      <c r="J136" s="181">
        <f>SUMIFS(Vigilancia!$E:$E,Vigilancia!$F:$F,$A136,Vigilancia!$J:$J,J$1)</f>
        <v>0</v>
      </c>
      <c r="K136" s="181">
        <f>SUMIFS(Vigilancia!$E:$E,Vigilancia!$F:$F,$A136,Vigilancia!$J:$J,K$1)</f>
        <v>0</v>
      </c>
    </row>
    <row r="137" spans="1:12">
      <c r="A137" s="59" t="str">
        <f>'RESUMEN VIGILANCIA'!A137</f>
        <v>Anahiz Seijas</v>
      </c>
      <c r="B137" s="60" t="str">
        <f>'RESUMEN VIGILANCIA'!B137</f>
        <v>Calle Güigüe Nro. 89-106</v>
      </c>
      <c r="C137" s="213">
        <f>SUMIFS(Vigilancia!$E:$E,Vigilancia!$F:$F,$A137,Vigilancia!$J:$J,C$1)</f>
        <v>7.0000000000000007E-2</v>
      </c>
      <c r="D137" s="213">
        <f>SUMIFS(Vigilancia!$E:$E,Vigilancia!$F:$F,$A137,Vigilancia!$J:$J,D$1)</f>
        <v>3.5</v>
      </c>
      <c r="E137" s="213">
        <f>SUMIFS(Vigilancia!$E:$E,Vigilancia!$F:$F,$A137,Vigilancia!$J:$J,E$1)</f>
        <v>0</v>
      </c>
      <c r="F137" s="213">
        <f>SUMIFS(Vigilancia!$E:$E,Vigilancia!$F:$F,$A137,Vigilancia!$J:$J,F$1)</f>
        <v>0</v>
      </c>
      <c r="G137" s="305">
        <f>SUMIFS(Vigilancia!$E:$E,Vigilancia!$F:$F,$A137,Vigilancia!$J:$J,G$1)</f>
        <v>0</v>
      </c>
      <c r="H137" s="305">
        <f>SUMIFS(Vigilancia!$E:$E,Vigilancia!$F:$F,$A137,Vigilancia!$J:$J,H$1)</f>
        <v>0</v>
      </c>
      <c r="I137" s="213">
        <f>SUMIFS(Vigilancia!$E:$E,Vigilancia!$F:$F,$A137,Vigilancia!$J:$J,I$1)</f>
        <v>0</v>
      </c>
      <c r="J137" s="213">
        <f>SUMIFS(Vigilancia!$E:$E,Vigilancia!$F:$F,$A137,Vigilancia!$J:$J,J$1)</f>
        <v>0</v>
      </c>
      <c r="K137" s="205">
        <f>SUMIFS(Vigilancia!$E:$E,Vigilancia!$F:$F,$A137,Vigilancia!$J:$J,K$1)</f>
        <v>0</v>
      </c>
      <c r="L137" s="122"/>
    </row>
    <row r="138" spans="1:12">
      <c r="A138" s="30" t="str">
        <f>'RESUMEN VIGILANCIA'!A138</f>
        <v>Familia Chan García</v>
      </c>
      <c r="B138" s="31" t="str">
        <f>'RESUMEN VIGILANCIA'!B138</f>
        <v>Calle Güigüe Nro. 89-106</v>
      </c>
      <c r="C138" s="181">
        <f>SUMIFS(Vigilancia!$E:$E,Vigilancia!$F:$F,$A138,Vigilancia!$J:$J,C$1)</f>
        <v>0</v>
      </c>
      <c r="D138" s="181">
        <f>SUMIFS(Vigilancia!$E:$E,Vigilancia!$F:$F,$A138,Vigilancia!$J:$J,D$1)</f>
        <v>0</v>
      </c>
      <c r="E138" s="181">
        <f>SUMIFS(Vigilancia!$E:$E,Vigilancia!$F:$F,$A138,Vigilancia!$J:$J,E$1)</f>
        <v>0</v>
      </c>
      <c r="F138" s="181">
        <f>SUMIFS(Vigilancia!$E:$E,Vigilancia!$F:$F,$A138,Vigilancia!$J:$J,F$1)</f>
        <v>0</v>
      </c>
      <c r="G138" s="181">
        <f>SUMIFS(Vigilancia!$E:$E,Vigilancia!$F:$F,$A138,Vigilancia!$J:$J,G$1)</f>
        <v>50000</v>
      </c>
      <c r="H138" s="181">
        <f>SUMIFS(Vigilancia!$E:$E,Vigilancia!$F:$F,$A138,Vigilancia!$J:$J,H$1)</f>
        <v>0</v>
      </c>
      <c r="I138" s="181">
        <f>SUMIFS(Vigilancia!$E:$E,Vigilancia!$F:$F,$A138,Vigilancia!$J:$J,I$1)</f>
        <v>0</v>
      </c>
      <c r="J138" s="181">
        <f>SUMIFS(Vigilancia!$E:$E,Vigilancia!$F:$F,$A138,Vigilancia!$J:$J,J$1)</f>
        <v>0</v>
      </c>
      <c r="K138" s="181">
        <f>SUMIFS(Vigilancia!$E:$E,Vigilancia!$F:$F,$A138,Vigilancia!$J:$J,K$1)</f>
        <v>0</v>
      </c>
      <c r="L138" s="124"/>
    </row>
    <row r="139" spans="1:12">
      <c r="A139" s="30" t="str">
        <f>'RESUMEN VIGILANCIA'!A139</f>
        <v>Familia Jiménez de Avila</v>
      </c>
      <c r="B139" s="31" t="str">
        <f>'RESUMEN VIGILANCIA'!B139</f>
        <v>Calle Güigüe Nro. 89-116</v>
      </c>
      <c r="C139" s="181">
        <f>SUMIFS(Vigilancia!$E:$E,Vigilancia!$F:$F,$A139,Vigilancia!$J:$J,C$1)</f>
        <v>0</v>
      </c>
      <c r="D139" s="181">
        <f>SUMIFS(Vigilancia!$E:$E,Vigilancia!$F:$F,$A139,Vigilancia!$J:$J,D$1)</f>
        <v>0</v>
      </c>
      <c r="E139" s="181">
        <f>SUMIFS(Vigilancia!$E:$E,Vigilancia!$F:$F,$A139,Vigilancia!$J:$J,E$1)</f>
        <v>0</v>
      </c>
      <c r="F139" s="181">
        <f>SUMIFS(Vigilancia!$E:$E,Vigilancia!$F:$F,$A139,Vigilancia!$J:$J,F$1)</f>
        <v>0</v>
      </c>
      <c r="G139" s="181">
        <f>SUMIFS(Vigilancia!$E:$E,Vigilancia!$F:$F,$A139,Vigilancia!$J:$J,G$1)</f>
        <v>0</v>
      </c>
      <c r="H139" s="181">
        <f>SUMIFS(Vigilancia!$E:$E,Vigilancia!$F:$F,$A139,Vigilancia!$J:$J,H$1)</f>
        <v>0</v>
      </c>
      <c r="I139" s="181">
        <f>SUMIFS(Vigilancia!$E:$E,Vigilancia!$F:$F,$A139,Vigilancia!$J:$J,I$1)</f>
        <v>0</v>
      </c>
      <c r="J139" s="181">
        <f>SUMIFS(Vigilancia!$E:$E,Vigilancia!$F:$F,$A139,Vigilancia!$J:$J,J$1)</f>
        <v>0</v>
      </c>
      <c r="K139" s="181">
        <f>SUMIFS(Vigilancia!$E:$E,Vigilancia!$F:$F,$A139,Vigilancia!$J:$J,K$1)</f>
        <v>0</v>
      </c>
    </row>
    <row r="140" spans="1:12">
      <c r="A140" s="59" t="str">
        <f>'RESUMEN VIGILANCIA'!A140</f>
        <v>Familia Morales Sesar</v>
      </c>
      <c r="B140" s="60" t="str">
        <f>'RESUMEN VIGILANCIA'!B140</f>
        <v>Calle Güigüe Nro. 89-120</v>
      </c>
      <c r="C140" s="213">
        <f>SUMIFS(Vigilancia!$E:$E,Vigilancia!$F:$F,$A140,Vigilancia!$J:$J,C$1)</f>
        <v>0</v>
      </c>
      <c r="D140" s="213">
        <f>SUMIFS(Vigilancia!$E:$E,Vigilancia!$F:$F,$A140,Vigilancia!$J:$J,D$1)</f>
        <v>0</v>
      </c>
      <c r="E140" s="213">
        <f>SUMIFS(Vigilancia!$E:$E,Vigilancia!$F:$F,$A140,Vigilancia!$J:$J,E$1)</f>
        <v>0</v>
      </c>
      <c r="F140" s="213">
        <f>SUMIFS(Vigilancia!$E:$E,Vigilancia!$F:$F,$A140,Vigilancia!$J:$J,F$1)</f>
        <v>0</v>
      </c>
      <c r="G140" s="305">
        <f>SUMIFS(Vigilancia!$E:$E,Vigilancia!$F:$F,$A140,Vigilancia!$J:$J,G$1)</f>
        <v>0</v>
      </c>
      <c r="H140" s="305">
        <f>SUMIFS(Vigilancia!$E:$E,Vigilancia!$F:$F,$A140,Vigilancia!$J:$J,H$1)</f>
        <v>0</v>
      </c>
      <c r="I140" s="213">
        <f>SUMIFS(Vigilancia!$E:$E,Vigilancia!$F:$F,$A140,Vigilancia!$J:$J,I$1)</f>
        <v>0</v>
      </c>
      <c r="J140" s="213">
        <f>SUMIFS(Vigilancia!$E:$E,Vigilancia!$F:$F,$A140,Vigilancia!$J:$J,J$1)</f>
        <v>0</v>
      </c>
      <c r="K140" s="205">
        <f>SUMIFS(Vigilancia!$E:$E,Vigilancia!$F:$F,$A140,Vigilancia!$J:$J,K$1)</f>
        <v>0</v>
      </c>
      <c r="L140" s="122"/>
    </row>
    <row r="141" spans="1:12">
      <c r="A141" s="30" t="str">
        <f>'RESUMEN VIGILANCIA'!A141</f>
        <v>Familia Abbinante Pinto</v>
      </c>
      <c r="B141" s="31" t="str">
        <f>'RESUMEN VIGILANCIA'!B141</f>
        <v>Calle Güigüe Nro. 89-120</v>
      </c>
      <c r="C141" s="181">
        <f>SUMIFS(Vigilancia!$E:$E,Vigilancia!$F:$F,$A141,Vigilancia!$J:$J,C$1)</f>
        <v>0</v>
      </c>
      <c r="D141" s="181">
        <f>SUMIFS(Vigilancia!$E:$E,Vigilancia!$F:$F,$A141,Vigilancia!$J:$J,D$1)</f>
        <v>0</v>
      </c>
      <c r="E141" s="181">
        <f>SUMIFS(Vigilancia!$E:$E,Vigilancia!$F:$F,$A141,Vigilancia!$J:$J,E$1)</f>
        <v>0</v>
      </c>
      <c r="F141" s="181">
        <f>SUMIFS(Vigilancia!$E:$E,Vigilancia!$F:$F,$A141,Vigilancia!$J:$J,F$1)</f>
        <v>10</v>
      </c>
      <c r="G141" s="181">
        <f>SUMIFS(Vigilancia!$E:$E,Vigilancia!$F:$F,$A141,Vigilancia!$J:$J,G$1)</f>
        <v>0</v>
      </c>
      <c r="H141" s="181">
        <f>SUMIFS(Vigilancia!$E:$E,Vigilancia!$F:$F,$A141,Vigilancia!$J:$J,H$1)</f>
        <v>0</v>
      </c>
      <c r="I141" s="181">
        <f>SUMIFS(Vigilancia!$E:$E,Vigilancia!$F:$F,$A141,Vigilancia!$J:$J,I$1)</f>
        <v>0</v>
      </c>
      <c r="J141" s="181">
        <f>SUMIFS(Vigilancia!$E:$E,Vigilancia!$F:$F,$A141,Vigilancia!$J:$J,J$1)</f>
        <v>0</v>
      </c>
      <c r="K141" s="181">
        <f>SUMIFS(Vigilancia!$E:$E,Vigilancia!$F:$F,$A141,Vigilancia!$J:$J,K$1)</f>
        <v>0</v>
      </c>
      <c r="L141" s="124"/>
    </row>
    <row r="142" spans="1:12">
      <c r="A142" s="30" t="str">
        <f>'RESUMEN VIGILANCIA'!A142</f>
        <v>Alexander Pena</v>
      </c>
      <c r="B142" s="31" t="str">
        <f>'RESUMEN VIGILANCIA'!B142</f>
        <v>Calle Güigüe Nro. 89-126</v>
      </c>
      <c r="C142" s="181">
        <f>SUMIFS(Vigilancia!$E:$E,Vigilancia!$F:$F,$A142,Vigilancia!$J:$J,C$1)</f>
        <v>0</v>
      </c>
      <c r="D142" s="181">
        <f>SUMIFS(Vigilancia!$E:$E,Vigilancia!$F:$F,$A142,Vigilancia!$J:$J,D$1)</f>
        <v>0</v>
      </c>
      <c r="E142" s="181">
        <f>SUMIFS(Vigilancia!$E:$E,Vigilancia!$F:$F,$A142,Vigilancia!$J:$J,E$1)</f>
        <v>0</v>
      </c>
      <c r="F142" s="181">
        <f>SUMIFS(Vigilancia!$E:$E,Vigilancia!$F:$F,$A142,Vigilancia!$J:$J,F$1)</f>
        <v>0</v>
      </c>
      <c r="G142" s="181">
        <f>SUMIFS(Vigilancia!$E:$E,Vigilancia!$F:$F,$A142,Vigilancia!$J:$J,G$1)</f>
        <v>0</v>
      </c>
      <c r="H142" s="181">
        <f>SUMIFS(Vigilancia!$E:$E,Vigilancia!$F:$F,$A142,Vigilancia!$J:$J,H$1)</f>
        <v>0</v>
      </c>
      <c r="I142" s="181">
        <f>SUMIFS(Vigilancia!$E:$E,Vigilancia!$F:$F,$A142,Vigilancia!$J:$J,I$1)</f>
        <v>0</v>
      </c>
      <c r="J142" s="181">
        <f>SUMIFS(Vigilancia!$E:$E,Vigilancia!$F:$F,$A142,Vigilancia!$J:$J,J$1)</f>
        <v>0</v>
      </c>
      <c r="K142" s="181">
        <f>SUMIFS(Vigilancia!$E:$E,Vigilancia!$F:$F,$A142,Vigilancia!$J:$J,K$1)</f>
        <v>0</v>
      </c>
    </row>
    <row r="143" spans="1:12">
      <c r="A143" s="40" t="str">
        <f>'RESUMEN VIGILANCIA'!A143</f>
        <v>Familia Pena Wierman</v>
      </c>
      <c r="B143" s="41" t="str">
        <f>'RESUMEN VIGILANCIA'!B143</f>
        <v>Calle Güigüe Nro. 89-126</v>
      </c>
      <c r="C143" s="237"/>
      <c r="D143" s="237"/>
      <c r="E143" s="237"/>
      <c r="F143" s="237"/>
      <c r="G143" s="237"/>
      <c r="H143" s="237"/>
      <c r="I143" s="237"/>
      <c r="J143" s="237"/>
      <c r="K143" s="237"/>
    </row>
    <row r="144" spans="1:12">
      <c r="A144" s="43"/>
      <c r="B144" s="44" t="s">
        <v>1227</v>
      </c>
      <c r="C144" s="300">
        <f t="shared" ref="C144:K144" si="0">SUM(C2:C143)</f>
        <v>3.7081999999999975</v>
      </c>
      <c r="D144" s="300">
        <f t="shared" si="0"/>
        <v>185.1</v>
      </c>
      <c r="E144" s="300">
        <f t="shared" si="0"/>
        <v>566.39999999999986</v>
      </c>
      <c r="F144" s="300">
        <f t="shared" si="0"/>
        <v>597</v>
      </c>
      <c r="G144" s="300">
        <f t="shared" ref="G144" si="1">SUM(G2:G143)</f>
        <v>3220000</v>
      </c>
      <c r="H144" s="300">
        <f t="shared" si="0"/>
        <v>0.24199999999999999</v>
      </c>
      <c r="I144" s="300">
        <f t="shared" si="0"/>
        <v>1.4999999999999999E-2</v>
      </c>
      <c r="J144" s="300">
        <f t="shared" si="0"/>
        <v>34703.5</v>
      </c>
      <c r="K144" s="300">
        <f t="shared" si="0"/>
        <v>63.5</v>
      </c>
    </row>
    <row r="145" spans="1:11">
      <c r="A145" s="43"/>
      <c r="B145" s="44" t="s">
        <v>1233</v>
      </c>
      <c r="C145" s="26">
        <f t="shared" ref="C145:K145" si="2">COUNTIF(C2:C143,"&gt;0")</f>
        <v>55</v>
      </c>
      <c r="D145" s="26">
        <f t="shared" si="2"/>
        <v>52</v>
      </c>
      <c r="E145" s="26">
        <f t="shared" si="2"/>
        <v>47</v>
      </c>
      <c r="F145" s="26">
        <f t="shared" si="2"/>
        <v>43</v>
      </c>
      <c r="G145" s="26">
        <f t="shared" ref="G145" si="3">COUNTIF(G2:G143,"&gt;0")</f>
        <v>64</v>
      </c>
      <c r="H145" s="26">
        <f t="shared" si="2"/>
        <v>2</v>
      </c>
      <c r="I145" s="26">
        <f t="shared" si="2"/>
        <v>1</v>
      </c>
      <c r="J145" s="26">
        <f t="shared" si="2"/>
        <v>1</v>
      </c>
      <c r="K145" s="26">
        <f t="shared" si="2"/>
        <v>3</v>
      </c>
    </row>
    <row r="146" spans="1:11">
      <c r="A146" s="152"/>
      <c r="B146" s="153" t="s">
        <v>1248</v>
      </c>
      <c r="C146" s="309">
        <f>7000/100000</f>
        <v>7.0000000000000007E-2</v>
      </c>
      <c r="D146" s="309">
        <f>350000/100000</f>
        <v>3.5</v>
      </c>
      <c r="E146" s="309">
        <f>1220000/100000</f>
        <v>12.2</v>
      </c>
      <c r="F146" s="309">
        <v>10</v>
      </c>
      <c r="G146" s="309">
        <v>50000</v>
      </c>
      <c r="H146" s="309"/>
      <c r="I146" s="309"/>
      <c r="J146" s="309"/>
      <c r="K146" s="309"/>
    </row>
    <row r="147" spans="1:11">
      <c r="A147" s="154"/>
      <c r="B147" s="157" t="s">
        <v>1321</v>
      </c>
      <c r="C147" s="156">
        <f>IF(ISBLANK(C$146),"",COUNTIF(C$2:C$143,"&lt;"&amp;TEXT(C$146,"0,00"))-COUNTIF(C$2:C$143,"=0,00"))</f>
        <v>7</v>
      </c>
      <c r="D147" s="156">
        <f>IF(ISBLANK(D$146),"",COUNTIF(D$2:D$143,"&lt;"&amp;TEXT(D$146,"0,00"))-COUNTIF(D$2:D$143,"=0,00"))</f>
        <v>2</v>
      </c>
      <c r="E147" s="156">
        <f>IF(ISBLANK(E$146),"",COUNTIF(E$2:E$143,"&lt;"&amp;TEXT(E$146,"0,00"))-COUNTIF(E$2:E$143,"=0,00"))</f>
        <v>6</v>
      </c>
      <c r="F147" s="156">
        <f>IF(ISBLANK(F$146),"",COUNTIF(F$2:F$143,"&lt;"&amp;TEXT(F$146,"0,00"))-COUNTIF(F$2:F$143,"=0,00"))</f>
        <v>0</v>
      </c>
      <c r="G147" s="155">
        <f>IF(ISBLANK(G$146),"",COUNTIF(G$2:G$143,"&lt;"&amp;TEXT(G$146,"0"))-COUNTIF(G$2:G$143,"=0"))</f>
        <v>1</v>
      </c>
      <c r="H147" s="155" t="str">
        <f>IF(ISBLANK(H$146),"",COUNTIF(H$2:H$143,"&lt;"&amp;TEXT(H$146,"0"))-COUNTIF(H$2:H$143,"=0"))</f>
        <v/>
      </c>
      <c r="I147" s="156" t="str">
        <f>IF(ISBLANK(I$146),"",COUNTIF(I$2:I$143,"&lt;"&amp;TEXT(I$146,"0"))-COUNTIF(I$2:I$143,"=0"))</f>
        <v/>
      </c>
      <c r="J147" s="156" t="str">
        <f>IF(ISBLANK(J$146),"",COUNTIF(J$2:J$143,"&lt;"&amp;TEXT(J$146,"0"))-COUNTIF(J$2:J$143,"=0"))</f>
        <v/>
      </c>
      <c r="K147" s="156" t="str">
        <f>IF(ISBLANK(K$146),"",COUNTIF(K$2:K$143,"&lt;"&amp;TEXT(K$146,"0"))-COUNTIF(K$2:K$143,"=0"))</f>
        <v/>
      </c>
    </row>
    <row r="148" spans="1:11">
      <c r="A148" s="128"/>
      <c r="B148" s="158" t="s">
        <v>1322</v>
      </c>
      <c r="C148" s="342">
        <f>IF(ISBLANK(C$146),"",SUMIF(C$2:C$143,"&lt;"&amp;TEXT(C$146,"0,00")))</f>
        <v>0.31319999999999998</v>
      </c>
      <c r="D148" s="342">
        <f>IF(ISBLANK(D$146),"",SUMIF(D$2:D$143,"&lt;"&amp;TEXT(D$146,"0,00")))</f>
        <v>4</v>
      </c>
      <c r="E148" s="342">
        <f>IF(ISBLANK(E$146),"",SUMIF(E$2:E$143,"&lt;"&amp;TEXT(E$146,"0,00")))</f>
        <v>61.5</v>
      </c>
      <c r="F148" s="342">
        <f>IF(ISBLANK(F$146),"",SUMIF(F$2:F$143,"&lt;"&amp;TEXT(F$146,"0,00")))</f>
        <v>0</v>
      </c>
      <c r="G148" s="132">
        <f>IF(ISBLANK(G$146),"",SUMIF(G$2:G$143,"&lt;"&amp;TEXT(G$146,"0")))</f>
        <v>20000</v>
      </c>
      <c r="H148" s="132" t="str">
        <f>IF(ISBLANK(H$146),"",SUMIF(H$2:H$143,"&lt;"&amp;TEXT(H$146,"0")))</f>
        <v/>
      </c>
      <c r="I148" s="130" t="str">
        <f>IF(ISBLANK(I$146),"",SUMIF(I$2:I$143,"&lt;"&amp;TEXT(I$146,"0")))</f>
        <v/>
      </c>
      <c r="J148" s="130" t="str">
        <f>IF(ISBLANK(J$146),"",SUMIF(J$2:J$143,"&lt;"&amp;TEXT(J$146,"0")))</f>
        <v/>
      </c>
      <c r="K148" s="130" t="str">
        <f>IF(ISBLANK(K$146),"",SUMIF(K$2:K$143,"&lt;"&amp;TEXT(K$146,"0")))</f>
        <v/>
      </c>
    </row>
    <row r="149" spans="1:11">
      <c r="B149" s="159" t="s">
        <v>1323</v>
      </c>
      <c r="C149" s="129">
        <f>IF(ISBLANK(C$146),"",COUNTIF(C$2:C$143,"="&amp;TEXT(C$146,"0,00")))</f>
        <v>46</v>
      </c>
      <c r="D149" s="129">
        <f>IF(ISBLANK(D$146),"",COUNTIF(D$2:D$143,"="&amp;TEXT(D$146,"0,00")))</f>
        <v>43</v>
      </c>
      <c r="E149" s="129">
        <f>IF(ISBLANK(E$146),"",COUNTIF(E$2:E$143,"="&amp;TEXT(E$146,"0,00")))</f>
        <v>37</v>
      </c>
      <c r="F149" s="129">
        <f>IF(ISBLANK(F$146),"",COUNTIF(F$2:F$143,"="&amp;TEXT(F$146,"0,00")))</f>
        <v>38</v>
      </c>
      <c r="G149" s="131">
        <f>IF(ISBLANK(G$146),"",COUNTIF(G$2:G$143,"="&amp;TEXT(G$146,"0")))</f>
        <v>62</v>
      </c>
      <c r="H149" s="131" t="str">
        <f>IF(ISBLANK(H$146),"",COUNTIF(H$2:H$143,"="&amp;TEXT(H$146,"0")))</f>
        <v/>
      </c>
      <c r="I149" s="129" t="str">
        <f>IF(ISBLANK(I$146),"",COUNTIF(I$2:I$143,"="&amp;TEXT(I$146,"0")))</f>
        <v/>
      </c>
      <c r="J149" s="129" t="str">
        <f>IF(ISBLANK(J$146),"",COUNTIF(J$2:J$143,"="&amp;TEXT(J$146,"0")))</f>
        <v/>
      </c>
      <c r="K149" s="129" t="str">
        <f>IF(ISBLANK(K$146),"",COUNTIF(K$2:K$143,"="&amp;TEXT(K$146,"0")))</f>
        <v/>
      </c>
    </row>
    <row r="150" spans="1:11">
      <c r="B150" s="159" t="s">
        <v>1322</v>
      </c>
      <c r="C150" s="342">
        <f>IF(ISBLANK(C$146),"",SUMIF(C$2:C$143,"="&amp;TEXT(C$146,"0,00")))</f>
        <v>3.2199999999999984</v>
      </c>
      <c r="D150" s="342">
        <f>IF(ISBLANK(D$146),"",SUMIF(D$2:D$143,"="&amp;TEXT(D$146,"0,00")))</f>
        <v>150.5</v>
      </c>
      <c r="E150" s="342">
        <f>IF(ISBLANK(E$146),"",SUMIF(E$2:E$143,"="&amp;TEXT(E$146,"0,00")))</f>
        <v>451.39999999999975</v>
      </c>
      <c r="F150" s="342">
        <f>IF(ISBLANK(F$146),"",SUMIF(F$2:F$143,"="&amp;TEXT(F$146,"0,00")))</f>
        <v>380</v>
      </c>
      <c r="G150" s="132">
        <f>IF(ISBLANK(G$146),"",SUMIF(G$2:G$143,"="&amp;TEXT(G$146,"0")))</f>
        <v>3100000</v>
      </c>
      <c r="H150" s="132" t="str">
        <f>IF(ISBLANK(H$146),"",SUMIF(H$2:H$143,"="&amp;TEXT(H$146,"0")))</f>
        <v/>
      </c>
      <c r="I150" s="130" t="str">
        <f>IF(ISBLANK(I$146),"",SUMIF(I$2:I$143,"="&amp;TEXT(I$146,"0")))</f>
        <v/>
      </c>
      <c r="J150" s="130" t="str">
        <f>IF(ISBLANK(J$146),"",SUMIF(J$2:J$143,"="&amp;TEXT(J$146,"0")))</f>
        <v/>
      </c>
      <c r="K150" s="130" t="str">
        <f>IF(ISBLANK(K$146),"",SUMIF(K$2:K$143,"="&amp;TEXT(K$146,"0")))</f>
        <v/>
      </c>
    </row>
    <row r="151" spans="1:11">
      <c r="A151" s="127"/>
      <c r="B151" s="160" t="s">
        <v>1324</v>
      </c>
      <c r="C151" s="129">
        <f>IF(ISBLANK(C$146),"",COUNTIF(C$2:C$143,"&gt;"&amp;TEXT(C$146,"0,00")))</f>
        <v>2</v>
      </c>
      <c r="D151" s="129">
        <f>IF(ISBLANK(D$146),"",COUNTIF(D$2:D$143,"&gt;"&amp;TEXT(D$146,"0,00")))</f>
        <v>7</v>
      </c>
      <c r="E151" s="129">
        <f>IF(ISBLANK(E$146),"",COUNTIF(E$2:E$143,"&gt;"&amp;TEXT(E$146,"0,00")))</f>
        <v>4</v>
      </c>
      <c r="F151" s="129">
        <f>IF(ISBLANK(F$146),"",COUNTIF(F$2:F$143,"&gt;"&amp;TEXT(F$146,"0,00")))</f>
        <v>5</v>
      </c>
      <c r="G151" s="131">
        <f>IF(ISBLANK(G$146),"",COUNTIF(G$2:G$143,"&gt;"&amp;TEXT(G$146,"0")))</f>
        <v>1</v>
      </c>
      <c r="H151" s="131" t="str">
        <f>IF(ISBLANK(H$146),"",COUNTIF(H$2:H$143,"&gt;"&amp;TEXT(H$146,"0")))</f>
        <v/>
      </c>
      <c r="I151" s="129" t="str">
        <f>IF(ISBLANK(I$146),"",COUNTIF(I$2:I$143,"&gt;"&amp;TEXT(I$146,"0")))</f>
        <v/>
      </c>
      <c r="J151" s="129" t="str">
        <f>IF(ISBLANK(J$146),"",COUNTIF(J$2:J$143,"&gt;"&amp;TEXT(J$146,"0")))</f>
        <v/>
      </c>
      <c r="K151" s="129" t="str">
        <f>IF(ISBLANK(K$146),"",COUNTIF(K$2:K$143,"&gt;"&amp;TEXT(K$146,"0")))</f>
        <v/>
      </c>
    </row>
    <row r="152" spans="1:11">
      <c r="A152" s="128"/>
      <c r="B152" s="158" t="s">
        <v>1322</v>
      </c>
      <c r="C152" s="342">
        <f>IF(ISBLANK(C$146),"",SUMIF(C$2:C$143,"&gt;"&amp;TEXT(C$146,"0,00")))</f>
        <v>0.17499999999999999</v>
      </c>
      <c r="D152" s="342">
        <f>IF(ISBLANK(D$146),"",SUMIF(D$2:D$143,"&gt;"&amp;TEXT(D$146,"0,00")))</f>
        <v>30.6</v>
      </c>
      <c r="E152" s="342">
        <f>IF(ISBLANK(E$146),"",SUMIF(E$2:E$143,"&gt;"&amp;TEXT(E$146,"0,00")))</f>
        <v>53.5</v>
      </c>
      <c r="F152" s="342">
        <f>IF(ISBLANK(F$146),"",SUMIF(F$2:F$143,"&gt;"&amp;TEXT(F$146,"0,00")))</f>
        <v>217</v>
      </c>
      <c r="G152" s="132">
        <f>IF(ISBLANK(G$146),"",SUMIF(G$2:G$143,"&gt;"&amp;TEXT(G$146,"0")))</f>
        <v>100000</v>
      </c>
      <c r="H152" s="132" t="str">
        <f>IF(ISBLANK(H$146),"",SUMIF(H$2:H$143,"&gt;"&amp;TEXT(H$146,"0")))</f>
        <v/>
      </c>
      <c r="I152" s="130" t="str">
        <f>IF(ISBLANK(I$146),"",SUMIF(I$2:I$143,"&gt;"&amp;TEXT(I$146,"0")))</f>
        <v/>
      </c>
      <c r="J152" s="130" t="str">
        <f>IF(ISBLANK(J$146),"",SUMIF(J$2:J$143,"&gt;"&amp;TEXT(J$146,"0")))</f>
        <v/>
      </c>
      <c r="K152" s="130" t="str">
        <f>IF(ISBLANK(K$146),"",SUMIF(K$2:K$143,"&gt;"&amp;TEXT(K$146,"0")))</f>
        <v/>
      </c>
    </row>
    <row r="153" spans="1:11">
      <c r="A153" s="43"/>
      <c r="B153" s="619" t="s">
        <v>1325</v>
      </c>
      <c r="C153" s="178">
        <f t="shared" ref="C153:K153" si="4">IF(OR(ISBLANK(C$146),C$145=0),"",ROUND(C144/C146,1))</f>
        <v>53</v>
      </c>
      <c r="D153" s="178">
        <f t="shared" si="4"/>
        <v>52.9</v>
      </c>
      <c r="E153" s="178">
        <f t="shared" si="4"/>
        <v>46.4</v>
      </c>
      <c r="F153" s="178">
        <f t="shared" si="4"/>
        <v>59.7</v>
      </c>
      <c r="G153" s="178">
        <f t="shared" ref="G153" si="5">IF(OR(ISBLANK(G$146),G$145=0),"",ROUND(G144/G146,1))</f>
        <v>64.400000000000006</v>
      </c>
      <c r="H153" s="178" t="str">
        <f t="shared" si="4"/>
        <v/>
      </c>
      <c r="I153" s="178" t="str">
        <f t="shared" si="4"/>
        <v/>
      </c>
      <c r="J153" s="178" t="str">
        <f t="shared" si="4"/>
        <v/>
      </c>
      <c r="K153" s="178" t="str">
        <f t="shared" si="4"/>
        <v/>
      </c>
    </row>
    <row r="154" spans="1:11">
      <c r="B154" s="569" t="s">
        <v>3</v>
      </c>
      <c r="C154" s="570">
        <v>42917</v>
      </c>
      <c r="D154" s="570">
        <v>43221</v>
      </c>
      <c r="E154" s="570">
        <v>43282</v>
      </c>
      <c r="F154" s="570">
        <v>43374</v>
      </c>
      <c r="G154" s="570">
        <v>43952</v>
      </c>
      <c r="H154" s="570"/>
      <c r="I154" s="570"/>
      <c r="J154" s="570"/>
      <c r="K154" s="570"/>
    </row>
    <row r="155" spans="1:11">
      <c r="B155" s="569" t="s">
        <v>1326</v>
      </c>
      <c r="C155" s="571">
        <f>IF(VLOOKUP(C154,CUOTAS!$A$3:$E$73,1)=C154,VLOOKUP(C154,CUOTAS!$A$3:$E$73,5),1)</f>
        <v>19938.2</v>
      </c>
      <c r="D155" s="571">
        <f>IF(VLOOKUP(D154,CUOTAS!$A$3:$E$73,1)=D154,VLOOKUP(D154,CUOTAS!$A$3:$E$73,5),1)</f>
        <v>942481</v>
      </c>
      <c r="E155" s="571">
        <f>IF(VLOOKUP(E154,CUOTAS!$A$3:$E$73,1)=E154,VLOOKUP(E154,CUOTAS!$A$3:$E$73,5),1)</f>
        <v>3362789.7</v>
      </c>
      <c r="F155" s="571">
        <f>IF(VLOOKUP(F154,CUOTAS!$A$3:$E$73,1)=F154,VLOOKUP(F154,CUOTAS!$A$3:$E$73,5),1)</f>
        <v>25355573.699999999</v>
      </c>
      <c r="G155" s="571">
        <f>IF(VLOOKUP(G154,CUOTAS!$A$3:$E$700,1)=G154,VLOOKUP(G154,CUOTAS!$A$3:$E$700,5),1)</f>
        <v>23995112795.700001</v>
      </c>
      <c r="H155" s="571" t="e">
        <f>IF(VLOOKUP(H154,CUOTAS!$A$3:$E$73,1)=H154,VLOOKUP(H154,CUOTAS!$A$3:$E$73,5),1)</f>
        <v>#N/A</v>
      </c>
      <c r="I155" s="571" t="e">
        <f>IF(VLOOKUP(I154,CUOTAS!$A$3:$E$73,1)=I154,VLOOKUP(I154,CUOTAS!$A$3:$E$73,5),1)</f>
        <v>#N/A</v>
      </c>
      <c r="J155" s="571" t="e">
        <f>IF(VLOOKUP(J154,CUOTAS!$A$3:$E$73,1)=J154,VLOOKUP(J154,CUOTAS!$A$3:$E$73,5),1)</f>
        <v>#N/A</v>
      </c>
      <c r="K155" s="571" t="e">
        <f>IF(VLOOKUP(K154,CUOTAS!$A$3:$E$73,1)=K154,VLOOKUP(K154,CUOTAS!$A$3:$E$73,5),1)</f>
        <v>#N/A</v>
      </c>
    </row>
    <row r="156" spans="1:11">
      <c r="B156" s="569" t="s">
        <v>1327</v>
      </c>
      <c r="C156" s="319">
        <f>(CUOTAS!$I$1-'RESUMEN OTROS'!C155)/'RESUMEN OTROS'!C155*'RESUMEN OTROS'!C146</f>
        <v>84243.136292393508</v>
      </c>
      <c r="D156" s="319">
        <f>(CUOTAS!$I$1-'RESUMEN OTROS'!D155)/'RESUMEN OTROS'!D155*'RESUMEN OTROS'!D146</f>
        <v>89104.816013744581</v>
      </c>
      <c r="E156" s="319">
        <f>(CUOTAS!$I$1-'RESUMEN OTROS'!E155)/'RESUMEN OTROS'!E155*'RESUMEN OTROS'!E146</f>
        <v>87040.634766188319</v>
      </c>
      <c r="F156" s="319">
        <f>(CUOTAS!$I$1-'RESUMEN OTROS'!F155)/'RESUMEN OTROS'!F155*'RESUMEN OTROS'!F146</f>
        <v>9453.4470036463827</v>
      </c>
      <c r="G156" s="319">
        <f>IF(CUOTAS!$I$1=G155,1,IFERROR((CUOTAS!$I$1-G155)/G155,1))*G146</f>
        <v>50000</v>
      </c>
      <c r="H156" s="319">
        <f>IFERROR((CUOTAS!$I$1-'RESUMEN OTROS'!H155)/'RESUMEN OTROS'!H155,1)*'RESUMEN OTROS'!H146</f>
        <v>0</v>
      </c>
      <c r="I156" s="319">
        <f>IFERROR((CUOTAS!$I$1-'RESUMEN OTROS'!I155)/'RESUMEN OTROS'!I155,1)*'RESUMEN OTROS'!I146</f>
        <v>0</v>
      </c>
      <c r="J156" s="319">
        <f>IFERROR((CUOTAS!$I$1-'RESUMEN OTROS'!J155)/'RESUMEN OTROS'!J155,1)*'RESUMEN OTROS'!J146</f>
        <v>0</v>
      </c>
      <c r="K156" s="319">
        <f>IFERROR((CUOTAS!$I$1-'RESUMEN OTROS'!K155)/'RESUMEN OTROS'!K155,1)*'RESUMEN OTROS'!K146</f>
        <v>0</v>
      </c>
    </row>
  </sheetData>
  <autoFilter ref="A1:K156"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1328</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c r="B4" s="145"/>
      <c r="C4" s="623" t="s">
        <v>1329</v>
      </c>
      <c r="D4" s="623"/>
      <c r="E4" s="623"/>
      <c r="F4" s="146"/>
      <c r="H4" s="145"/>
      <c r="I4" s="623" t="s">
        <v>1330</v>
      </c>
      <c r="J4" s="623"/>
      <c r="K4" s="623"/>
      <c r="L4" s="146"/>
      <c r="N4" s="145"/>
      <c r="O4" s="623" t="s">
        <v>1331</v>
      </c>
      <c r="P4" s="623"/>
      <c r="Q4" s="623"/>
      <c r="R4" s="146"/>
    </row>
    <row r="5" spans="2:18" s="151" customFormat="1" ht="20.100000000000001" customHeight="1">
      <c r="B5" s="149"/>
      <c r="C5" s="334" t="s">
        <v>1332</v>
      </c>
      <c r="D5" s="622" t="str">
        <f>"Cuota: Bs. "&amp;TEXT('RESUMEN OTROS'!D$146,"#.##0,00")</f>
        <v>Cuota: Bs. 3,50</v>
      </c>
      <c r="E5" s="622"/>
      <c r="F5" s="150"/>
      <c r="H5" s="149"/>
      <c r="I5" s="334" t="s">
        <v>1333</v>
      </c>
      <c r="J5" s="622" t="str">
        <f>"Cuota: Bs. "&amp;TEXT('RESUMEN OTROS'!E$146,"#.##0,00")</f>
        <v>Cuota: Bs. 12,20</v>
      </c>
      <c r="K5" s="622"/>
      <c r="L5" s="150"/>
      <c r="N5" s="149"/>
      <c r="O5" s="334" t="s">
        <v>1334</v>
      </c>
      <c r="P5" s="622" t="str">
        <f>"Cuota: Bs. "&amp;TEXT('RESUMEN OTROS'!F146,"#.##0,00")</f>
        <v>Cuota: Bs. 10,00</v>
      </c>
      <c r="Q5" s="622"/>
      <c r="R5" s="150"/>
    </row>
    <row r="6" spans="2:18">
      <c r="B6" s="136"/>
      <c r="C6" s="137" t="s">
        <v>1335</v>
      </c>
      <c r="D6" s="138"/>
      <c r="E6" s="138"/>
      <c r="F6" s="139"/>
      <c r="H6" s="136"/>
      <c r="I6" s="137" t="s">
        <v>1335</v>
      </c>
      <c r="J6" s="138"/>
      <c r="K6" s="138"/>
      <c r="L6" s="139"/>
      <c r="N6" s="136"/>
      <c r="O6" s="137" t="s">
        <v>1335</v>
      </c>
      <c r="P6" s="138"/>
      <c r="Q6" s="138"/>
      <c r="R6" s="139"/>
    </row>
    <row r="7" spans="2:18">
      <c r="B7" s="136"/>
      <c r="C7" s="138" t="str">
        <f>" - "&amp;TEXT('RESUMEN OTROS'!D147,"0")&amp;" pagos inferiores a la cuota"</f>
        <v xml:space="preserve"> - 2 pagos inferiores a la cuota</v>
      </c>
      <c r="D7" s="138"/>
      <c r="E7" s="310">
        <f>'RESUMEN OTROS'!D148</f>
        <v>4</v>
      </c>
      <c r="F7" s="139"/>
      <c r="H7" s="136"/>
      <c r="I7" s="138" t="str">
        <f>" - "&amp;TEXT('RESUMEN OTROS'!E147,"0")&amp;" pagos inferiores a la cuota"</f>
        <v xml:space="preserve"> - 6 pagos inferiores a la cuota</v>
      </c>
      <c r="J7" s="138"/>
      <c r="K7" s="310">
        <f>'RESUMEN OTROS'!E148</f>
        <v>61.5</v>
      </c>
      <c r="L7" s="139"/>
      <c r="N7" s="136"/>
      <c r="O7" s="138" t="str">
        <f>" - "&amp;TEXT('RESUMEN OTROS'!F147,"0")&amp;" pagos inferiores a la cuota"</f>
        <v xml:space="preserve"> - 0 pagos inferiores a la cuota</v>
      </c>
      <c r="P7" s="138"/>
      <c r="Q7" s="310">
        <f>'RESUMEN OTROS'!F148</f>
        <v>0</v>
      </c>
      <c r="R7" s="139"/>
    </row>
    <row r="8" spans="2:18">
      <c r="B8" s="136"/>
      <c r="C8" s="138" t="str">
        <f>" - "&amp;TEXT('RESUMEN OTROS'!D149,"0")&amp;" cuotas recibidas"</f>
        <v xml:space="preserve"> - 43 cuotas recibidas</v>
      </c>
      <c r="D8" s="138"/>
      <c r="E8" s="310">
        <f>'RESUMEN OTROS'!D150</f>
        <v>150.5</v>
      </c>
      <c r="F8" s="139"/>
      <c r="H8" s="136"/>
      <c r="I8" s="138" t="str">
        <f>" - "&amp;TEXT('RESUMEN OTROS'!E149,"0")&amp;" cuotas recibidas"</f>
        <v xml:space="preserve"> - 37 cuotas recibidas</v>
      </c>
      <c r="J8" s="138"/>
      <c r="K8" s="310">
        <f>'RESUMEN OTROS'!E150</f>
        <v>451.39999999999975</v>
      </c>
      <c r="L8" s="139"/>
      <c r="N8" s="136"/>
      <c r="O8" s="138" t="str">
        <f>" - "&amp;TEXT('RESUMEN OTROS'!F149,"0")&amp;" cuotas recibidas"</f>
        <v xml:space="preserve"> - 38 cuotas recibidas</v>
      </c>
      <c r="P8" s="138"/>
      <c r="Q8" s="310">
        <f>'RESUMEN OTROS'!F150</f>
        <v>380</v>
      </c>
      <c r="R8" s="139"/>
    </row>
    <row r="9" spans="2:18">
      <c r="B9" s="136"/>
      <c r="C9" s="138" t="str">
        <f>" - "&amp;TEXT('RESUMEN OTROS'!D151,"0")&amp;" pagos superiores a la cuota"</f>
        <v xml:space="preserve"> - 7 pagos superiores a la cuota</v>
      </c>
      <c r="D9" s="138"/>
      <c r="E9" s="311">
        <f>'RESUMEN OTROS'!D152</f>
        <v>30.6</v>
      </c>
      <c r="F9" s="139"/>
      <c r="H9" s="136"/>
      <c r="I9" s="138" t="str">
        <f>" - "&amp;TEXT('RESUMEN OTROS'!E151,"0")&amp;" pagos superiores a la cuota"</f>
        <v xml:space="preserve"> - 4 pagos superiores a la cuota</v>
      </c>
      <c r="J9" s="138"/>
      <c r="K9" s="311">
        <f>'RESUMEN OTROS'!E152</f>
        <v>53.5</v>
      </c>
      <c r="L9" s="139"/>
      <c r="N9" s="136"/>
      <c r="O9" s="138" t="str">
        <f>" - "&amp;TEXT('RESUMEN OTROS'!F151,"0")&amp;" pagos superiores a la cuota"</f>
        <v xml:space="preserve"> - 5 pagos superiores a la cuota</v>
      </c>
      <c r="P9" s="138"/>
      <c r="Q9" s="311">
        <f>'RESUMEN OTROS'!F152</f>
        <v>217</v>
      </c>
      <c r="R9" s="139"/>
    </row>
    <row r="10" spans="2:18">
      <c r="B10" s="136"/>
      <c r="C10" s="138" t="s">
        <v>1336</v>
      </c>
      <c r="D10" s="138"/>
      <c r="E10" s="310">
        <f>SUM(E7:E9)</f>
        <v>185.1</v>
      </c>
      <c r="F10" s="139"/>
      <c r="H10" s="136"/>
      <c r="I10" s="138" t="s">
        <v>1336</v>
      </c>
      <c r="J10" s="138"/>
      <c r="K10" s="310">
        <f>SUM(K7:K9)</f>
        <v>566.39999999999975</v>
      </c>
      <c r="L10" s="139"/>
      <c r="N10" s="136"/>
      <c r="O10" s="138" t="s">
        <v>1336</v>
      </c>
      <c r="P10" s="138"/>
      <c r="Q10" s="310">
        <f>SUM(Q7:Q9)</f>
        <v>597</v>
      </c>
      <c r="R10" s="139"/>
    </row>
    <row r="11" spans="2:18">
      <c r="B11" s="136"/>
      <c r="C11" s="138"/>
      <c r="D11" s="138"/>
      <c r="E11" s="310"/>
      <c r="F11" s="139"/>
      <c r="H11" s="136"/>
      <c r="I11" s="138"/>
      <c r="J11" s="138"/>
      <c r="K11" s="310"/>
      <c r="L11" s="139"/>
      <c r="N11" s="136"/>
      <c r="O11" s="138"/>
      <c r="P11" s="138"/>
      <c r="Q11" s="310"/>
      <c r="R11" s="139"/>
    </row>
    <row r="12" spans="2:18">
      <c r="B12" s="136"/>
      <c r="C12" s="137" t="s">
        <v>1337</v>
      </c>
      <c r="D12" s="138"/>
      <c r="E12" s="310"/>
      <c r="F12" s="139"/>
      <c r="H12" s="136"/>
      <c r="I12" s="137" t="s">
        <v>1337</v>
      </c>
      <c r="J12" s="138"/>
      <c r="K12" s="310"/>
      <c r="L12" s="139"/>
      <c r="N12" s="136"/>
      <c r="O12" s="137" t="s">
        <v>1337</v>
      </c>
      <c r="P12" s="138"/>
      <c r="Q12" s="310"/>
      <c r="R12" s="139"/>
    </row>
    <row r="13" spans="2:18">
      <c r="B13" s="136"/>
      <c r="C13" s="138" t="s">
        <v>1338</v>
      </c>
      <c r="D13" s="138"/>
      <c r="E13" s="310">
        <v>70</v>
      </c>
      <c r="F13" s="139"/>
      <c r="H13" s="136"/>
      <c r="I13" s="138" t="s">
        <v>1339</v>
      </c>
      <c r="J13" s="138"/>
      <c r="K13" s="310">
        <v>60</v>
      </c>
      <c r="L13" s="139"/>
      <c r="N13" s="136"/>
      <c r="O13" s="138" t="s">
        <v>1339</v>
      </c>
      <c r="P13" s="138"/>
      <c r="Q13" s="310">
        <v>300</v>
      </c>
      <c r="R13" s="139"/>
    </row>
    <row r="14" spans="2:18">
      <c r="B14" s="136"/>
      <c r="C14" s="138" t="s">
        <v>1340</v>
      </c>
      <c r="D14" s="138"/>
      <c r="E14" s="310">
        <v>15.1</v>
      </c>
      <c r="F14" s="139"/>
      <c r="H14" s="136"/>
      <c r="I14" s="138" t="s">
        <v>1341</v>
      </c>
      <c r="J14" s="138"/>
      <c r="K14" s="310">
        <v>560</v>
      </c>
      <c r="L14" s="139"/>
      <c r="N14" s="136"/>
      <c r="O14" s="138"/>
      <c r="P14" s="138"/>
      <c r="Q14" s="310"/>
      <c r="R14" s="139"/>
    </row>
    <row r="15" spans="2:18">
      <c r="B15" s="136"/>
      <c r="C15" s="138" t="s">
        <v>1342</v>
      </c>
      <c r="D15" s="138"/>
      <c r="E15" s="310">
        <v>19</v>
      </c>
      <c r="F15" s="139"/>
      <c r="H15" s="136"/>
      <c r="I15" s="138"/>
      <c r="J15" s="138"/>
      <c r="K15" s="310"/>
      <c r="L15" s="139"/>
      <c r="N15" s="136"/>
      <c r="O15" s="138"/>
      <c r="P15" s="138"/>
      <c r="Q15" s="310"/>
      <c r="R15" s="139"/>
    </row>
    <row r="16" spans="2:18">
      <c r="B16" s="136"/>
      <c r="C16" s="138" t="s">
        <v>1343</v>
      </c>
      <c r="D16" s="138"/>
      <c r="E16" s="310">
        <v>30</v>
      </c>
      <c r="F16" s="139"/>
      <c r="H16" s="136"/>
      <c r="I16" s="138"/>
      <c r="J16" s="138"/>
      <c r="K16" s="310"/>
      <c r="L16" s="139"/>
      <c r="N16" s="136"/>
      <c r="O16" s="138"/>
      <c r="P16" s="138"/>
      <c r="Q16" s="310"/>
      <c r="R16" s="139"/>
    </row>
    <row r="17" spans="2:18">
      <c r="B17" s="136"/>
      <c r="C17" s="138" t="s">
        <v>1344</v>
      </c>
      <c r="D17" s="138"/>
      <c r="E17" s="310">
        <v>5.7</v>
      </c>
      <c r="F17" s="139"/>
      <c r="H17" s="136"/>
      <c r="I17" s="138"/>
      <c r="J17" s="138"/>
      <c r="K17" s="310"/>
      <c r="L17" s="139"/>
      <c r="N17" s="136"/>
      <c r="O17" s="138"/>
      <c r="P17" s="138"/>
      <c r="Q17" s="310"/>
      <c r="R17" s="139"/>
    </row>
    <row r="18" spans="2:18">
      <c r="B18" s="136"/>
      <c r="C18" s="138" t="s">
        <v>1345</v>
      </c>
      <c r="D18" s="138"/>
      <c r="E18" s="311">
        <v>4.2</v>
      </c>
      <c r="F18" s="139"/>
      <c r="H18" s="136"/>
      <c r="I18" s="138"/>
      <c r="J18" s="138"/>
      <c r="K18" s="311"/>
      <c r="L18" s="139"/>
      <c r="N18" s="136"/>
      <c r="O18" s="138"/>
      <c r="P18" s="138"/>
      <c r="Q18" s="311"/>
      <c r="R18" s="139"/>
    </row>
    <row r="19" spans="2:18">
      <c r="B19" s="136"/>
      <c r="C19" s="138" t="s">
        <v>1346</v>
      </c>
      <c r="D19" s="138"/>
      <c r="E19" s="310">
        <f>SUM(E13:E18)</f>
        <v>143.99999999999997</v>
      </c>
      <c r="F19" s="139"/>
      <c r="H19" s="136"/>
      <c r="I19" s="138" t="s">
        <v>1346</v>
      </c>
      <c r="J19" s="138"/>
      <c r="K19" s="310">
        <f>SUM(K13:K18)</f>
        <v>620</v>
      </c>
      <c r="L19" s="139"/>
      <c r="N19" s="136"/>
      <c r="O19" s="138" t="s">
        <v>1346</v>
      </c>
      <c r="P19" s="138"/>
      <c r="Q19" s="310">
        <f>SUM(Q13:Q18)</f>
        <v>300</v>
      </c>
      <c r="R19" s="139"/>
    </row>
    <row r="20" spans="2:18">
      <c r="B20" s="136"/>
      <c r="C20" s="138"/>
      <c r="D20" s="138"/>
      <c r="E20" s="310"/>
      <c r="F20" s="139"/>
      <c r="H20" s="136"/>
      <c r="I20" s="138"/>
      <c r="J20" s="138"/>
      <c r="K20" s="310"/>
      <c r="L20" s="139"/>
      <c r="N20" s="136"/>
      <c r="O20" s="138"/>
      <c r="P20" s="138"/>
      <c r="Q20" s="310"/>
      <c r="R20" s="139"/>
    </row>
    <row r="21" spans="2:18">
      <c r="B21" s="136"/>
      <c r="C21" s="137" t="s">
        <v>1347</v>
      </c>
      <c r="D21" s="138"/>
      <c r="E21" s="333">
        <f>E10-E19</f>
        <v>41.100000000000023</v>
      </c>
      <c r="F21" s="139"/>
      <c r="H21" s="136"/>
      <c r="I21" s="137" t="s">
        <v>1347</v>
      </c>
      <c r="J21" s="138"/>
      <c r="K21" s="333">
        <f>K10-K19</f>
        <v>-53.60000000000025</v>
      </c>
      <c r="L21" s="139"/>
      <c r="N21" s="136"/>
      <c r="O21" s="137" t="s">
        <v>1347</v>
      </c>
      <c r="P21" s="138"/>
      <c r="Q21" s="333">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1348</v>
      </c>
      <c r="D23" s="138"/>
      <c r="E23" s="138"/>
      <c r="F23" s="139"/>
      <c r="H23" s="136"/>
      <c r="I23" s="137" t="s">
        <v>1348</v>
      </c>
      <c r="J23" s="138"/>
      <c r="K23" s="138"/>
      <c r="L23" s="139"/>
      <c r="N23" s="136"/>
      <c r="O23" s="137" t="s">
        <v>1348</v>
      </c>
      <c r="P23" s="138"/>
      <c r="Q23" s="138"/>
      <c r="R23" s="139"/>
    </row>
    <row r="24" spans="2:18">
      <c r="B24" s="136"/>
      <c r="C24" s="138" t="s">
        <v>1349</v>
      </c>
      <c r="D24" s="138"/>
      <c r="E24" s="138"/>
      <c r="F24" s="139"/>
      <c r="H24" s="136"/>
      <c r="I24" s="143"/>
      <c r="J24" s="143"/>
      <c r="K24" s="143"/>
      <c r="L24" s="139"/>
      <c r="N24" s="136"/>
      <c r="O24" s="143"/>
      <c r="P24" s="143"/>
      <c r="Q24" s="143"/>
      <c r="R24" s="139"/>
    </row>
    <row r="25" spans="2:18">
      <c r="B25" s="136"/>
      <c r="C25" s="138" t="s">
        <v>1350</v>
      </c>
      <c r="D25" s="138"/>
      <c r="E25" s="138"/>
      <c r="F25" s="139"/>
      <c r="H25" s="136"/>
      <c r="I25" s="143"/>
      <c r="J25" s="143"/>
      <c r="K25" s="143"/>
      <c r="L25" s="139"/>
      <c r="N25" s="136"/>
      <c r="O25" s="143"/>
      <c r="P25" s="143"/>
      <c r="Q25" s="143"/>
      <c r="R25" s="139"/>
    </row>
    <row r="26" spans="2:18">
      <c r="B26" s="136"/>
      <c r="C26" s="138" t="s">
        <v>1351</v>
      </c>
      <c r="D26" s="138"/>
      <c r="E26" s="138"/>
      <c r="F26" s="139"/>
      <c r="H26" s="136"/>
      <c r="I26" s="143"/>
      <c r="J26" s="143"/>
      <c r="K26" s="143"/>
      <c r="L26" s="139"/>
      <c r="N26" s="136"/>
      <c r="O26" s="143"/>
      <c r="P26" s="143"/>
      <c r="Q26" s="143"/>
      <c r="R26" s="139"/>
    </row>
    <row r="27" spans="2:18">
      <c r="B27" s="136"/>
      <c r="C27" s="138" t="s">
        <v>1352</v>
      </c>
      <c r="D27" s="138"/>
      <c r="E27" s="138"/>
      <c r="F27" s="139"/>
      <c r="H27" s="136"/>
      <c r="I27" s="143"/>
      <c r="J27" s="143"/>
      <c r="K27" s="143"/>
      <c r="L27" s="139"/>
      <c r="N27" s="136"/>
      <c r="O27" s="143"/>
      <c r="P27" s="143"/>
      <c r="Q27" s="143"/>
      <c r="R27" s="139"/>
    </row>
    <row r="28" spans="2:18">
      <c r="B28" s="136"/>
      <c r="C28" s="138" t="s">
        <v>1353</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3"/>
  <sheetViews>
    <sheetView zoomScale="96" zoomScaleNormal="96" workbookViewId="0">
      <pane ySplit="1" topLeftCell="A32"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496" customWidth="1"/>
    <col min="5" max="5" width="14.7109375" customWidth="1"/>
    <col min="6" max="6" width="20.7109375" customWidth="1"/>
    <col min="7" max="7" width="15.7109375" customWidth="1"/>
    <col min="8" max="8" width="20.7109375" customWidth="1"/>
    <col min="9" max="9" width="15.7109375" customWidth="1"/>
  </cols>
  <sheetData>
    <row r="1" spans="1:9">
      <c r="A1" s="577" t="s">
        <v>5</v>
      </c>
      <c r="B1" s="577" t="s">
        <v>1354</v>
      </c>
      <c r="C1" s="577" t="s">
        <v>7</v>
      </c>
      <c r="D1" s="577" t="s">
        <v>1355</v>
      </c>
      <c r="E1" s="577" t="s">
        <v>1356</v>
      </c>
      <c r="F1" s="577" t="s">
        <v>1357</v>
      </c>
      <c r="G1" s="577" t="s">
        <v>1358</v>
      </c>
      <c r="H1" s="577" t="s">
        <v>1359</v>
      </c>
      <c r="I1" s="577" t="s">
        <v>1360</v>
      </c>
    </row>
    <row r="2" spans="1:9">
      <c r="A2" s="53" t="s">
        <v>248</v>
      </c>
      <c r="B2" s="53" t="s">
        <v>249</v>
      </c>
      <c r="C2" s="53" t="s">
        <v>250</v>
      </c>
      <c r="D2" s="488"/>
      <c r="E2" s="53"/>
      <c r="F2" s="53"/>
      <c r="G2" s="53" t="s">
        <v>1361</v>
      </c>
      <c r="H2" s="53"/>
      <c r="I2" s="53" t="s">
        <v>1362</v>
      </c>
    </row>
    <row r="3" spans="1:9">
      <c r="A3" s="53" t="s">
        <v>270</v>
      </c>
      <c r="B3" s="53" t="s">
        <v>271</v>
      </c>
      <c r="C3" s="53" t="s">
        <v>272</v>
      </c>
      <c r="D3" s="488"/>
      <c r="E3" s="53"/>
      <c r="F3" s="53"/>
      <c r="G3" s="53"/>
      <c r="H3" s="53"/>
      <c r="I3" s="53"/>
    </row>
    <row r="4" spans="1:9">
      <c r="A4" s="53" t="s">
        <v>197</v>
      </c>
      <c r="B4" s="53" t="s">
        <v>198</v>
      </c>
      <c r="C4" s="53" t="s">
        <v>199</v>
      </c>
      <c r="D4" s="488"/>
      <c r="E4" s="53"/>
      <c r="F4" s="53" t="s">
        <v>1363</v>
      </c>
      <c r="G4" s="53" t="s">
        <v>1364</v>
      </c>
      <c r="H4" s="53"/>
      <c r="I4" s="53"/>
    </row>
    <row r="5" spans="1:9">
      <c r="A5" s="53" t="s">
        <v>998</v>
      </c>
      <c r="B5" s="53" t="s">
        <v>999</v>
      </c>
      <c r="C5" s="53" t="s">
        <v>1000</v>
      </c>
      <c r="D5" s="488" t="s">
        <v>1365</v>
      </c>
      <c r="E5" s="53"/>
      <c r="F5" s="53" t="s">
        <v>999</v>
      </c>
      <c r="G5" s="53" t="s">
        <v>1365</v>
      </c>
      <c r="H5" s="53"/>
      <c r="I5" s="53"/>
    </row>
    <row r="6" spans="1:9">
      <c r="A6" s="53" t="s">
        <v>337</v>
      </c>
      <c r="B6" s="53" t="s">
        <v>338</v>
      </c>
      <c r="C6" s="53" t="s">
        <v>339</v>
      </c>
      <c r="D6" s="488"/>
      <c r="E6" s="53"/>
      <c r="F6" s="53" t="s">
        <v>1366</v>
      </c>
      <c r="G6" s="53" t="s">
        <v>1367</v>
      </c>
      <c r="H6" s="53"/>
      <c r="I6" s="53"/>
    </row>
    <row r="7" spans="1:9">
      <c r="A7" s="53" t="s">
        <v>62</v>
      </c>
      <c r="B7" s="53" t="s">
        <v>63</v>
      </c>
      <c r="C7" s="53" t="s">
        <v>64</v>
      </c>
      <c r="D7" s="488"/>
      <c r="E7" s="53"/>
      <c r="F7" s="53" t="s">
        <v>1368</v>
      </c>
      <c r="G7" s="53" t="s">
        <v>1369</v>
      </c>
      <c r="H7" s="53" t="s">
        <v>1370</v>
      </c>
      <c r="I7" s="86" t="s">
        <v>1371</v>
      </c>
    </row>
    <row r="8" spans="1:9">
      <c r="A8" s="87" t="s">
        <v>94</v>
      </c>
      <c r="B8" s="53" t="s">
        <v>1372</v>
      </c>
      <c r="C8" s="53" t="s">
        <v>96</v>
      </c>
      <c r="D8" s="488"/>
      <c r="E8" s="53"/>
      <c r="F8" s="53" t="s">
        <v>1373</v>
      </c>
      <c r="G8" s="53" t="s">
        <v>607</v>
      </c>
      <c r="H8" s="53"/>
      <c r="I8" s="53"/>
    </row>
    <row r="9" spans="1:9">
      <c r="A9" s="53" t="s">
        <v>830</v>
      </c>
      <c r="B9" s="53" t="s">
        <v>831</v>
      </c>
      <c r="C9" s="53" t="s">
        <v>832</v>
      </c>
      <c r="D9" s="488"/>
      <c r="E9" s="53"/>
      <c r="F9" s="53"/>
      <c r="G9" s="53"/>
      <c r="H9" s="53"/>
      <c r="I9" s="53"/>
    </row>
    <row r="10" spans="1:9">
      <c r="A10" s="94" t="s">
        <v>57</v>
      </c>
      <c r="B10" s="94" t="s">
        <v>1374</v>
      </c>
      <c r="C10" s="94" t="s">
        <v>59</v>
      </c>
      <c r="D10" s="489"/>
      <c r="E10" s="94"/>
      <c r="F10" s="94" t="s">
        <v>1375</v>
      </c>
      <c r="G10" s="94" t="s">
        <v>1376</v>
      </c>
      <c r="H10" s="94"/>
      <c r="I10" s="94"/>
    </row>
    <row r="11" spans="1:9">
      <c r="A11" s="94" t="s">
        <v>892</v>
      </c>
      <c r="B11" s="94" t="s">
        <v>893</v>
      </c>
      <c r="C11" s="94" t="s">
        <v>59</v>
      </c>
      <c r="D11" s="489"/>
      <c r="E11" s="94"/>
      <c r="F11" s="94" t="s">
        <v>1375</v>
      </c>
      <c r="G11" s="94" t="s">
        <v>1376</v>
      </c>
      <c r="H11" s="94"/>
      <c r="I11" s="94"/>
    </row>
    <row r="12" spans="1:9">
      <c r="A12" s="53" t="s">
        <v>1015</v>
      </c>
      <c r="B12" s="53" t="s">
        <v>1016</v>
      </c>
      <c r="C12" s="53" t="s">
        <v>59</v>
      </c>
      <c r="D12" s="488"/>
      <c r="E12" s="53"/>
      <c r="F12" s="53" t="s">
        <v>1015</v>
      </c>
      <c r="G12" s="53" t="s">
        <v>1377</v>
      </c>
      <c r="H12" s="53"/>
      <c r="I12" s="53"/>
    </row>
    <row r="13" spans="1:9">
      <c r="A13" s="53" t="s">
        <v>438</v>
      </c>
      <c r="B13" s="53" t="s">
        <v>439</v>
      </c>
      <c r="C13" s="53" t="s">
        <v>440</v>
      </c>
      <c r="D13" s="488"/>
      <c r="E13" s="53"/>
      <c r="F13" s="53" t="s">
        <v>1378</v>
      </c>
      <c r="G13" s="53"/>
      <c r="H13" s="53"/>
      <c r="I13" s="88" t="s">
        <v>1379</v>
      </c>
    </row>
    <row r="14" spans="1:9">
      <c r="A14" s="53" t="s">
        <v>1380</v>
      </c>
      <c r="B14" s="53"/>
      <c r="C14" s="53" t="s">
        <v>1381</v>
      </c>
      <c r="D14" s="488"/>
      <c r="E14" s="53"/>
      <c r="F14" s="53"/>
      <c r="G14" s="53"/>
      <c r="H14" s="53"/>
      <c r="I14" s="53"/>
    </row>
    <row r="15" spans="1:9">
      <c r="A15" s="53" t="s">
        <v>1382</v>
      </c>
      <c r="B15" s="53"/>
      <c r="C15" s="53" t="s">
        <v>1383</v>
      </c>
      <c r="D15" s="488"/>
      <c r="E15" s="53"/>
      <c r="F15" s="53"/>
      <c r="G15" s="53"/>
      <c r="H15" s="53"/>
      <c r="I15" s="53"/>
    </row>
    <row r="16" spans="1:9">
      <c r="A16" s="87" t="s">
        <v>177</v>
      </c>
      <c r="B16" s="53" t="s">
        <v>941</v>
      </c>
      <c r="C16" s="53" t="s">
        <v>179</v>
      </c>
      <c r="D16" s="488"/>
      <c r="E16" s="53"/>
      <c r="F16" s="53" t="s">
        <v>1384</v>
      </c>
      <c r="G16" s="53" t="s">
        <v>1385</v>
      </c>
      <c r="H16" s="53" t="s">
        <v>178</v>
      </c>
      <c r="I16" s="53"/>
    </row>
    <row r="17" spans="1:9">
      <c r="A17" s="53" t="s">
        <v>264</v>
      </c>
      <c r="B17" s="53" t="s">
        <v>265</v>
      </c>
      <c r="C17" s="53" t="s">
        <v>266</v>
      </c>
      <c r="D17" s="488"/>
      <c r="E17" s="53"/>
      <c r="F17" s="53" t="s">
        <v>1386</v>
      </c>
      <c r="G17" s="53" t="s">
        <v>1387</v>
      </c>
      <c r="H17" s="53"/>
      <c r="I17" s="53"/>
    </row>
    <row r="18" spans="1:9">
      <c r="A18" s="53" t="s">
        <v>1388</v>
      </c>
      <c r="B18" s="53"/>
      <c r="C18" s="53" t="s">
        <v>1389</v>
      </c>
      <c r="D18" s="488"/>
      <c r="E18" s="53"/>
      <c r="F18" s="53"/>
      <c r="G18" s="53"/>
      <c r="H18" s="53"/>
      <c r="I18" s="53"/>
    </row>
    <row r="19" spans="1:9">
      <c r="A19" s="53" t="s">
        <v>1390</v>
      </c>
      <c r="B19" s="53" t="s">
        <v>1391</v>
      </c>
      <c r="C19" s="53" t="s">
        <v>1389</v>
      </c>
      <c r="D19" s="488"/>
      <c r="E19" s="53"/>
      <c r="F19" s="53"/>
      <c r="G19" s="53"/>
      <c r="H19" s="53"/>
      <c r="I19" s="53"/>
    </row>
    <row r="20" spans="1:9">
      <c r="A20" s="53" t="s">
        <v>334</v>
      </c>
      <c r="B20" s="53" t="s">
        <v>85</v>
      </c>
      <c r="C20" s="53" t="s">
        <v>335</v>
      </c>
      <c r="D20" s="488"/>
      <c r="E20" s="53"/>
      <c r="F20" s="53" t="s">
        <v>1392</v>
      </c>
      <c r="G20" s="53" t="s">
        <v>1393</v>
      </c>
      <c r="H20" s="53"/>
      <c r="I20" s="53"/>
    </row>
    <row r="21" spans="1:9">
      <c r="A21" s="89" t="s">
        <v>1394</v>
      </c>
      <c r="B21" s="89"/>
      <c r="C21" s="89" t="s">
        <v>1395</v>
      </c>
      <c r="D21" s="490"/>
      <c r="E21" s="89"/>
      <c r="F21" s="89"/>
      <c r="G21" s="89"/>
      <c r="H21" s="89"/>
      <c r="I21" s="89"/>
    </row>
    <row r="22" spans="1:9">
      <c r="A22" s="89" t="s">
        <v>1396</v>
      </c>
      <c r="B22" s="89"/>
      <c r="C22" s="89" t="s">
        <v>1397</v>
      </c>
      <c r="D22" s="490"/>
      <c r="E22" s="89"/>
      <c r="F22" s="89"/>
      <c r="G22" s="89"/>
      <c r="H22" s="89"/>
      <c r="I22" s="89"/>
    </row>
    <row r="23" spans="1:9">
      <c r="A23" s="89" t="s">
        <v>1398</v>
      </c>
      <c r="B23" s="89"/>
      <c r="C23" s="89" t="s">
        <v>1399</v>
      </c>
      <c r="D23" s="490"/>
      <c r="E23" s="89"/>
      <c r="F23" s="89"/>
      <c r="G23" s="89"/>
      <c r="H23" s="89"/>
      <c r="I23" s="89"/>
    </row>
    <row r="24" spans="1:9">
      <c r="A24" s="89" t="s">
        <v>1400</v>
      </c>
      <c r="B24" s="89"/>
      <c r="C24" s="89" t="s">
        <v>1401</v>
      </c>
      <c r="D24" s="490"/>
      <c r="E24" s="89"/>
      <c r="F24" s="89"/>
      <c r="G24" s="89"/>
      <c r="H24" s="89"/>
      <c r="I24" s="89"/>
    </row>
    <row r="25" spans="1:9">
      <c r="A25" s="89" t="s">
        <v>1402</v>
      </c>
      <c r="B25" s="89" t="s">
        <v>1403</v>
      </c>
      <c r="C25" s="89" t="s">
        <v>1404</v>
      </c>
      <c r="D25" s="490"/>
      <c r="E25" s="89"/>
      <c r="F25" s="89"/>
      <c r="G25" s="89"/>
      <c r="H25" s="89"/>
      <c r="I25" s="89"/>
    </row>
    <row r="26" spans="1:9">
      <c r="A26" s="89" t="s">
        <v>1405</v>
      </c>
      <c r="B26" s="89"/>
      <c r="C26" s="89" t="s">
        <v>1406</v>
      </c>
      <c r="D26" s="490"/>
      <c r="E26" s="89"/>
      <c r="F26" s="89"/>
      <c r="G26" s="89"/>
      <c r="H26" s="89"/>
      <c r="I26" s="89"/>
    </row>
    <row r="27" spans="1:9">
      <c r="A27" s="89" t="s">
        <v>1407</v>
      </c>
      <c r="B27" s="89"/>
      <c r="C27" s="89" t="s">
        <v>1408</v>
      </c>
      <c r="D27" s="490"/>
      <c r="E27" s="89"/>
      <c r="F27" s="89"/>
      <c r="G27" s="89"/>
      <c r="H27" s="89"/>
      <c r="I27" s="89"/>
    </row>
    <row r="28" spans="1:9">
      <c r="A28" s="89" t="s">
        <v>1409</v>
      </c>
      <c r="B28" s="89"/>
      <c r="C28" s="89" t="s">
        <v>1410</v>
      </c>
      <c r="D28" s="490"/>
      <c r="E28" s="89"/>
      <c r="F28" s="89"/>
      <c r="G28" s="89"/>
      <c r="H28" s="89"/>
      <c r="I28" s="89"/>
    </row>
    <row r="29" spans="1:9">
      <c r="A29" s="89" t="s">
        <v>1411</v>
      </c>
      <c r="B29" s="89"/>
      <c r="C29" s="89" t="s">
        <v>1412</v>
      </c>
      <c r="D29" s="490"/>
      <c r="E29" s="89"/>
      <c r="F29" s="89"/>
      <c r="G29" s="89"/>
      <c r="H29" s="89"/>
      <c r="I29" s="89"/>
    </row>
    <row r="30" spans="1:9">
      <c r="A30" s="89" t="s">
        <v>1413</v>
      </c>
      <c r="B30" s="89"/>
      <c r="C30" s="89" t="s">
        <v>1414</v>
      </c>
      <c r="D30" s="490"/>
      <c r="E30" s="89"/>
      <c r="F30" s="89"/>
      <c r="G30" s="89"/>
      <c r="H30" s="89"/>
      <c r="I30" s="89"/>
    </row>
    <row r="31" spans="1:9">
      <c r="A31" s="89" t="s">
        <v>1415</v>
      </c>
      <c r="B31" s="89"/>
      <c r="C31" s="89" t="s">
        <v>1416</v>
      </c>
      <c r="D31" s="490"/>
      <c r="E31" s="89"/>
      <c r="F31" s="89"/>
      <c r="G31" s="89"/>
      <c r="H31" s="89"/>
      <c r="I31" s="89"/>
    </row>
    <row r="32" spans="1:9">
      <c r="A32" s="89" t="s">
        <v>1417</v>
      </c>
      <c r="B32" s="89"/>
      <c r="C32" s="89" t="s">
        <v>1418</v>
      </c>
      <c r="D32" s="490"/>
      <c r="E32" s="89"/>
      <c r="F32" s="89"/>
      <c r="G32" s="89"/>
      <c r="H32" s="89"/>
      <c r="I32" s="89"/>
    </row>
    <row r="33" spans="1:9" ht="24.75">
      <c r="A33" s="87" t="s">
        <v>48</v>
      </c>
      <c r="B33" s="53" t="s">
        <v>49</v>
      </c>
      <c r="C33" s="53" t="s">
        <v>50</v>
      </c>
      <c r="D33" s="488"/>
      <c r="E33" s="53"/>
      <c r="F33" s="604" t="s">
        <v>1419</v>
      </c>
      <c r="G33" s="53"/>
      <c r="H33" s="53" t="s">
        <v>1420</v>
      </c>
      <c r="I33" s="53"/>
    </row>
    <row r="34" spans="1:9">
      <c r="A34" s="87" t="s">
        <v>1186</v>
      </c>
      <c r="B34" s="53" t="s">
        <v>1187</v>
      </c>
      <c r="C34" s="53" t="s">
        <v>50</v>
      </c>
      <c r="D34" s="488"/>
      <c r="E34" s="53"/>
      <c r="F34" s="53" t="s">
        <v>1420</v>
      </c>
      <c r="G34" s="53"/>
      <c r="I34" s="53"/>
    </row>
    <row r="35" spans="1:9">
      <c r="A35" s="53" t="s">
        <v>1421</v>
      </c>
      <c r="B35" s="53"/>
      <c r="C35" s="53" t="s">
        <v>1422</v>
      </c>
      <c r="D35" s="488"/>
      <c r="E35" s="53"/>
      <c r="F35" s="53"/>
      <c r="G35" s="53"/>
      <c r="H35" s="53"/>
      <c r="I35" s="53"/>
    </row>
    <row r="36" spans="1:9">
      <c r="A36" s="53" t="s">
        <v>100</v>
      </c>
      <c r="B36" s="53" t="s">
        <v>1423</v>
      </c>
      <c r="C36" s="53" t="s">
        <v>101</v>
      </c>
      <c r="D36" s="488"/>
      <c r="E36" s="53"/>
      <c r="F36" s="53"/>
      <c r="G36" s="53" t="s">
        <v>1372</v>
      </c>
      <c r="H36" s="53"/>
      <c r="I36" s="53"/>
    </row>
    <row r="37" spans="1:9">
      <c r="A37" s="53" t="s">
        <v>28</v>
      </c>
      <c r="B37" s="53" t="s">
        <v>716</v>
      </c>
      <c r="C37" s="53" t="s">
        <v>30</v>
      </c>
      <c r="D37" s="488"/>
      <c r="E37" s="53"/>
      <c r="F37" s="53" t="s">
        <v>1424</v>
      </c>
      <c r="G37" s="53" t="s">
        <v>1425</v>
      </c>
      <c r="H37" s="53" t="s">
        <v>29</v>
      </c>
      <c r="I37" s="53"/>
    </row>
    <row r="38" spans="1:9">
      <c r="A38" s="53" t="s">
        <v>118</v>
      </c>
      <c r="B38" s="53" t="s">
        <v>119</v>
      </c>
      <c r="C38" s="53" t="s">
        <v>120</v>
      </c>
      <c r="D38" s="488"/>
      <c r="E38" s="53"/>
      <c r="F38" s="53" t="s">
        <v>118</v>
      </c>
      <c r="G38" s="53" t="s">
        <v>1426</v>
      </c>
      <c r="H38" s="53"/>
      <c r="I38" s="53"/>
    </row>
    <row r="39" spans="1:9">
      <c r="A39" s="53" t="s">
        <v>353</v>
      </c>
      <c r="B39" s="53" t="s">
        <v>354</v>
      </c>
      <c r="C39" s="53" t="s">
        <v>355</v>
      </c>
      <c r="D39" s="488"/>
      <c r="E39" s="53"/>
      <c r="F39" s="53" t="s">
        <v>1427</v>
      </c>
      <c r="G39" s="53" t="s">
        <v>1428</v>
      </c>
      <c r="H39" s="53"/>
      <c r="I39" s="53"/>
    </row>
    <row r="40" spans="1:9">
      <c r="A40" s="53" t="s">
        <v>18</v>
      </c>
      <c r="B40" s="53" t="s">
        <v>19</v>
      </c>
      <c r="C40" s="53" t="s">
        <v>20</v>
      </c>
      <c r="D40" s="488"/>
      <c r="E40" s="53"/>
      <c r="F40" s="53" t="s">
        <v>1429</v>
      </c>
      <c r="G40" s="53" t="s">
        <v>1430</v>
      </c>
      <c r="H40" s="53"/>
      <c r="I40" s="53"/>
    </row>
    <row r="41" spans="1:9">
      <c r="A41" s="53" t="s">
        <v>324</v>
      </c>
      <c r="B41" s="53" t="s">
        <v>325</v>
      </c>
      <c r="C41" s="53" t="s">
        <v>326</v>
      </c>
      <c r="D41" s="488"/>
      <c r="E41" s="53"/>
      <c r="F41" s="53" t="s">
        <v>1431</v>
      </c>
      <c r="G41" s="53" t="s">
        <v>1432</v>
      </c>
      <c r="H41" s="53"/>
      <c r="I41" s="53"/>
    </row>
    <row r="42" spans="1:9">
      <c r="A42" s="94" t="s">
        <v>479</v>
      </c>
      <c r="B42" s="94" t="s">
        <v>480</v>
      </c>
      <c r="C42" s="94" t="s">
        <v>481</v>
      </c>
      <c r="D42" s="489"/>
      <c r="E42" s="94"/>
      <c r="F42" s="94"/>
      <c r="G42" s="94"/>
      <c r="H42" s="94"/>
      <c r="I42" s="94"/>
    </row>
    <row r="43" spans="1:9" ht="15.75" thickBot="1">
      <c r="A43" s="53" t="s">
        <v>1069</v>
      </c>
      <c r="B43" s="53"/>
      <c r="C43" s="53" t="s">
        <v>481</v>
      </c>
      <c r="D43" s="488"/>
      <c r="E43" s="53"/>
      <c r="F43" s="53"/>
      <c r="G43" s="53"/>
      <c r="H43" s="53"/>
      <c r="I43" s="53"/>
    </row>
    <row r="44" spans="1:9" ht="15.75" thickBot="1">
      <c r="A44" s="90" t="s">
        <v>454</v>
      </c>
      <c r="B44" s="91" t="s">
        <v>761</v>
      </c>
      <c r="C44" s="91" t="s">
        <v>455</v>
      </c>
      <c r="D44" s="491"/>
      <c r="E44" s="91"/>
      <c r="F44" s="91"/>
      <c r="G44" s="91"/>
      <c r="H44" s="92" t="s">
        <v>1433</v>
      </c>
      <c r="I44" s="93"/>
    </row>
    <row r="45" spans="1:9">
      <c r="A45" s="94" t="s">
        <v>148</v>
      </c>
      <c r="B45" s="94" t="s">
        <v>149</v>
      </c>
      <c r="C45" s="94" t="s">
        <v>150</v>
      </c>
      <c r="D45" s="489"/>
      <c r="E45" s="94"/>
      <c r="F45" s="94" t="s">
        <v>1434</v>
      </c>
      <c r="G45" s="94" t="s">
        <v>1435</v>
      </c>
      <c r="H45" s="94"/>
      <c r="I45" s="94"/>
    </row>
    <row r="46" spans="1:9">
      <c r="A46" s="94" t="s">
        <v>698</v>
      </c>
      <c r="B46" s="94" t="s">
        <v>699</v>
      </c>
      <c r="C46" s="94" t="s">
        <v>150</v>
      </c>
      <c r="D46" s="489"/>
      <c r="E46" s="94"/>
      <c r="F46" s="94" t="s">
        <v>1434</v>
      </c>
      <c r="G46" s="94" t="s">
        <v>1435</v>
      </c>
      <c r="H46" s="94"/>
      <c r="I46" s="94"/>
    </row>
    <row r="47" spans="1:9">
      <c r="A47" s="53" t="s">
        <v>935</v>
      </c>
      <c r="B47" t="s">
        <v>936</v>
      </c>
      <c r="C47" s="53" t="s">
        <v>150</v>
      </c>
      <c r="D47" s="488"/>
      <c r="E47" s="53"/>
      <c r="F47" s="53" t="s">
        <v>1434</v>
      </c>
      <c r="G47" s="53" t="s">
        <v>1435</v>
      </c>
      <c r="H47" s="53"/>
      <c r="I47" s="53"/>
    </row>
    <row r="48" spans="1:9">
      <c r="A48" s="53" t="s">
        <v>342</v>
      </c>
      <c r="B48" s="53" t="s">
        <v>343</v>
      </c>
      <c r="C48" s="53" t="s">
        <v>344</v>
      </c>
      <c r="D48" s="488"/>
      <c r="E48" s="53"/>
      <c r="F48" s="53"/>
      <c r="G48" s="53" t="s">
        <v>1436</v>
      </c>
      <c r="H48" s="53"/>
      <c r="I48" s="53"/>
    </row>
    <row r="49" spans="1:9">
      <c r="A49" s="53" t="s">
        <v>284</v>
      </c>
      <c r="B49" s="53" t="s">
        <v>687</v>
      </c>
      <c r="C49" s="53" t="s">
        <v>285</v>
      </c>
      <c r="D49" s="488"/>
      <c r="E49" s="53"/>
      <c r="F49" s="53" t="s">
        <v>1437</v>
      </c>
      <c r="G49" s="53" t="s">
        <v>276</v>
      </c>
      <c r="H49" s="53" t="s">
        <v>687</v>
      </c>
      <c r="I49" s="53"/>
    </row>
    <row r="50" spans="1:9">
      <c r="A50" s="94" t="s">
        <v>1113</v>
      </c>
      <c r="B50" s="94" t="s">
        <v>1114</v>
      </c>
      <c r="C50" s="94" t="s">
        <v>1115</v>
      </c>
      <c r="D50" s="489"/>
      <c r="E50" s="94"/>
      <c r="F50" s="94"/>
      <c r="G50" s="94"/>
      <c r="H50" s="94" t="s">
        <v>1438</v>
      </c>
      <c r="I50" s="94"/>
    </row>
    <row r="51" spans="1:9">
      <c r="A51" s="53" t="s">
        <v>1138</v>
      </c>
      <c r="B51" s="53" t="s">
        <v>1139</v>
      </c>
      <c r="C51" s="53" t="s">
        <v>1115</v>
      </c>
      <c r="D51" s="488"/>
      <c r="E51" s="53"/>
      <c r="F51" s="53" t="s">
        <v>1439</v>
      </c>
      <c r="G51" s="53" t="s">
        <v>1440</v>
      </c>
      <c r="H51" s="53"/>
      <c r="I51" s="53"/>
    </row>
    <row r="52" spans="1:9">
      <c r="A52" s="53" t="s">
        <v>1441</v>
      </c>
      <c r="B52" s="53"/>
      <c r="C52" s="53" t="s">
        <v>773</v>
      </c>
      <c r="D52" s="488"/>
      <c r="E52" s="53"/>
      <c r="F52" s="95"/>
      <c r="G52" s="96"/>
      <c r="H52" s="53"/>
      <c r="I52" s="88"/>
    </row>
    <row r="53" spans="1:9" ht="27.75">
      <c r="A53" s="53" t="s">
        <v>771</v>
      </c>
      <c r="B53" s="53" t="s">
        <v>772</v>
      </c>
      <c r="C53" s="53" t="s">
        <v>773</v>
      </c>
      <c r="D53" s="488"/>
      <c r="E53" s="53"/>
      <c r="F53" s="95" t="s">
        <v>1442</v>
      </c>
      <c r="G53" s="96" t="s">
        <v>1443</v>
      </c>
      <c r="H53" s="53"/>
      <c r="I53" s="88" t="s">
        <v>1444</v>
      </c>
    </row>
    <row r="54" spans="1:9">
      <c r="A54" s="53" t="s">
        <v>70</v>
      </c>
      <c r="B54" s="53" t="s">
        <v>71</v>
      </c>
      <c r="C54" s="53" t="s">
        <v>72</v>
      </c>
      <c r="D54" s="488"/>
      <c r="E54" s="53"/>
      <c r="F54" s="53" t="s">
        <v>1445</v>
      </c>
      <c r="G54" s="53"/>
      <c r="H54" s="53"/>
      <c r="I54" s="53"/>
    </row>
    <row r="55" spans="1:9">
      <c r="A55" s="53" t="s">
        <v>107</v>
      </c>
      <c r="B55" s="53" t="s">
        <v>108</v>
      </c>
      <c r="C55" s="53" t="s">
        <v>109</v>
      </c>
      <c r="D55" s="488"/>
      <c r="E55" s="53"/>
      <c r="F55" s="53" t="s">
        <v>1446</v>
      </c>
      <c r="G55" s="53" t="s">
        <v>1447</v>
      </c>
      <c r="H55" s="53"/>
      <c r="I55" s="53"/>
    </row>
    <row r="56" spans="1:9">
      <c r="A56" s="53" t="s">
        <v>239</v>
      </c>
      <c r="B56" s="53" t="s">
        <v>240</v>
      </c>
      <c r="C56" s="53" t="s">
        <v>241</v>
      </c>
      <c r="D56" s="488"/>
      <c r="E56" s="53"/>
      <c r="F56" s="53"/>
      <c r="G56" s="53" t="s">
        <v>1448</v>
      </c>
      <c r="H56" s="53"/>
      <c r="I56" s="53"/>
    </row>
    <row r="57" spans="1:9">
      <c r="A57" s="53" t="s">
        <v>594</v>
      </c>
      <c r="B57" s="53" t="s">
        <v>595</v>
      </c>
      <c r="C57" s="53" t="s">
        <v>596</v>
      </c>
      <c r="D57" s="488"/>
      <c r="E57" s="53"/>
      <c r="F57" s="53"/>
      <c r="G57" s="53"/>
      <c r="H57" s="53"/>
      <c r="I57" s="53"/>
    </row>
    <row r="58" spans="1:9" ht="15.75" thickBot="1">
      <c r="A58" s="53" t="s">
        <v>44</v>
      </c>
      <c r="B58" s="53" t="s">
        <v>45</v>
      </c>
      <c r="C58" s="53" t="s">
        <v>46</v>
      </c>
      <c r="D58" s="488"/>
      <c r="E58" s="53"/>
      <c r="F58" s="53" t="s">
        <v>1449</v>
      </c>
      <c r="G58" s="53"/>
      <c r="H58" s="53" t="s">
        <v>1450</v>
      </c>
      <c r="I58" s="53" t="s">
        <v>1451</v>
      </c>
    </row>
    <row r="59" spans="1:9" ht="15.75" thickBot="1">
      <c r="A59" s="90" t="s">
        <v>410</v>
      </c>
      <c r="B59" s="91"/>
      <c r="C59" s="91" t="s">
        <v>411</v>
      </c>
      <c r="D59" s="491" t="s">
        <v>1452</v>
      </c>
      <c r="E59" s="91"/>
      <c r="F59" s="91"/>
      <c r="G59" s="91" t="s">
        <v>1452</v>
      </c>
      <c r="H59" s="92" t="s">
        <v>1433</v>
      </c>
      <c r="I59" s="93"/>
    </row>
    <row r="60" spans="1:9">
      <c r="A60" s="53" t="s">
        <v>201</v>
      </c>
      <c r="B60" s="53" t="s">
        <v>202</v>
      </c>
      <c r="C60" s="53" t="s">
        <v>203</v>
      </c>
      <c r="D60" s="488"/>
      <c r="E60" s="53"/>
      <c r="F60" s="53" t="s">
        <v>1453</v>
      </c>
      <c r="G60" s="53" t="s">
        <v>1454</v>
      </c>
      <c r="H60" s="53"/>
      <c r="I60" s="53"/>
    </row>
    <row r="61" spans="1:9">
      <c r="A61" s="53" t="s">
        <v>66</v>
      </c>
      <c r="B61" s="53" t="s">
        <v>67</v>
      </c>
      <c r="C61" s="53" t="s">
        <v>68</v>
      </c>
      <c r="D61" s="488"/>
      <c r="E61" s="53"/>
      <c r="F61" s="53"/>
      <c r="G61" s="53" t="s">
        <v>1455</v>
      </c>
      <c r="H61" s="53"/>
      <c r="I61" s="53"/>
    </row>
    <row r="62" spans="1:9">
      <c r="A62" s="87" t="s">
        <v>84</v>
      </c>
      <c r="B62" s="53" t="s">
        <v>85</v>
      </c>
      <c r="C62" s="53" t="s">
        <v>86</v>
      </c>
      <c r="D62" s="488"/>
      <c r="E62" s="53"/>
      <c r="F62" s="53"/>
      <c r="G62" s="53" t="s">
        <v>1456</v>
      </c>
      <c r="H62" s="53"/>
      <c r="I62" s="53"/>
    </row>
    <row r="63" spans="1:9">
      <c r="A63" s="53" t="s">
        <v>947</v>
      </c>
      <c r="B63" s="53" t="s">
        <v>948</v>
      </c>
      <c r="C63" s="53" t="s">
        <v>949</v>
      </c>
      <c r="D63" s="488"/>
      <c r="E63" s="53"/>
      <c r="F63" s="53" t="s">
        <v>1457</v>
      </c>
      <c r="G63" s="53"/>
      <c r="H63" s="53" t="s">
        <v>1458</v>
      </c>
      <c r="I63" s="53"/>
    </row>
    <row r="64" spans="1:9">
      <c r="A64" s="53" t="s">
        <v>1459</v>
      </c>
      <c r="B64" s="53"/>
      <c r="C64" s="53" t="s">
        <v>1460</v>
      </c>
      <c r="D64" s="488"/>
      <c r="E64" s="53"/>
      <c r="F64" s="53"/>
      <c r="G64" s="53"/>
      <c r="H64" s="53"/>
      <c r="I64" s="53"/>
    </row>
    <row r="65" spans="1:9" ht="15.75" thickBot="1">
      <c r="A65" s="53" t="s">
        <v>103</v>
      </c>
      <c r="B65" s="53" t="s">
        <v>104</v>
      </c>
      <c r="C65" s="53" t="s">
        <v>105</v>
      </c>
      <c r="D65" s="488"/>
      <c r="E65" s="53"/>
      <c r="F65" s="53"/>
      <c r="G65" s="53" t="s">
        <v>1461</v>
      </c>
      <c r="H65" s="53"/>
      <c r="I65" s="53"/>
    </row>
    <row r="66" spans="1:9" ht="15.75" thickBot="1">
      <c r="A66" s="90" t="s">
        <v>319</v>
      </c>
      <c r="B66" s="91"/>
      <c r="C66" s="91" t="s">
        <v>320</v>
      </c>
      <c r="D66" s="491" t="s">
        <v>1462</v>
      </c>
      <c r="E66" s="91"/>
      <c r="F66" s="91" t="s">
        <v>1463</v>
      </c>
      <c r="G66" s="91" t="s">
        <v>1462</v>
      </c>
      <c r="H66" s="92" t="s">
        <v>1433</v>
      </c>
      <c r="I66" s="93" t="s">
        <v>1464</v>
      </c>
    </row>
    <row r="67" spans="1:9">
      <c r="A67" s="53" t="s">
        <v>53</v>
      </c>
      <c r="B67" s="53" t="s">
        <v>677</v>
      </c>
      <c r="C67" s="53" t="s">
        <v>55</v>
      </c>
      <c r="D67" s="488"/>
      <c r="E67" s="53"/>
      <c r="F67" s="53" t="s">
        <v>1465</v>
      </c>
      <c r="G67" s="53" t="s">
        <v>1466</v>
      </c>
      <c r="H67" s="53"/>
      <c r="I67" s="53" t="s">
        <v>54</v>
      </c>
    </row>
    <row r="68" spans="1:9">
      <c r="A68" s="53" t="s">
        <v>492</v>
      </c>
      <c r="B68" s="53"/>
      <c r="C68" s="53" t="s">
        <v>493</v>
      </c>
      <c r="D68" s="488"/>
      <c r="E68" s="53"/>
      <c r="F68" s="53"/>
      <c r="G68" s="53"/>
      <c r="H68" s="53"/>
      <c r="I68" s="53"/>
    </row>
    <row r="69" spans="1:9">
      <c r="A69" s="53" t="s">
        <v>1467</v>
      </c>
      <c r="B69" s="53"/>
      <c r="C69" s="53" t="s">
        <v>1468</v>
      </c>
      <c r="D69" s="488"/>
      <c r="E69" s="53"/>
      <c r="F69" s="53"/>
      <c r="G69" s="53"/>
      <c r="H69" s="53"/>
      <c r="I69" s="53"/>
    </row>
    <row r="70" spans="1:9" ht="15.75" thickBot="1">
      <c r="A70" s="53" t="s">
        <v>90</v>
      </c>
      <c r="B70" s="53" t="s">
        <v>91</v>
      </c>
      <c r="C70" s="53" t="s">
        <v>92</v>
      </c>
      <c r="D70" s="488"/>
      <c r="E70" s="53"/>
      <c r="F70" s="53" t="s">
        <v>1469</v>
      </c>
      <c r="G70" s="53" t="s">
        <v>1470</v>
      </c>
      <c r="H70" s="53"/>
      <c r="I70" s="53" t="s">
        <v>1471</v>
      </c>
    </row>
    <row r="71" spans="1:9" ht="15.75" thickBot="1">
      <c r="A71" s="97" t="s">
        <v>397</v>
      </c>
      <c r="B71" s="53" t="s">
        <v>682</v>
      </c>
      <c r="C71" s="98" t="s">
        <v>398</v>
      </c>
      <c r="D71" s="492"/>
      <c r="E71" s="99"/>
      <c r="F71" s="99"/>
      <c r="G71" s="99"/>
      <c r="H71" s="92" t="s">
        <v>1433</v>
      </c>
      <c r="I71" s="100" t="s">
        <v>1472</v>
      </c>
    </row>
    <row r="72" spans="1:9">
      <c r="A72" s="53" t="s">
        <v>275</v>
      </c>
      <c r="B72" s="53" t="s">
        <v>276</v>
      </c>
      <c r="C72" s="87" t="s">
        <v>277</v>
      </c>
      <c r="D72" s="488"/>
      <c r="E72" s="53"/>
      <c r="F72" s="53" t="s">
        <v>1437</v>
      </c>
      <c r="G72" s="53" t="s">
        <v>276</v>
      </c>
      <c r="H72" s="53"/>
      <c r="I72" s="53"/>
    </row>
    <row r="73" spans="1:9">
      <c r="A73" s="53" t="s">
        <v>1473</v>
      </c>
      <c r="B73" s="53"/>
      <c r="C73" s="53" t="s">
        <v>1474</v>
      </c>
      <c r="D73" s="488"/>
      <c r="E73" s="53"/>
      <c r="F73" s="53"/>
      <c r="G73" s="53"/>
      <c r="H73" s="53"/>
      <c r="I73" s="53"/>
    </row>
    <row r="74" spans="1:9">
      <c r="A74" s="53" t="s">
        <v>1475</v>
      </c>
      <c r="B74" s="53" t="s">
        <v>1476</v>
      </c>
      <c r="C74" s="53" t="s">
        <v>1477</v>
      </c>
      <c r="D74" s="488"/>
      <c r="E74" s="53"/>
      <c r="F74" s="53"/>
      <c r="G74" s="53"/>
      <c r="H74" s="53"/>
      <c r="I74" s="53"/>
    </row>
    <row r="75" spans="1:9">
      <c r="A75" s="53" t="s">
        <v>243</v>
      </c>
      <c r="B75" s="53" t="s">
        <v>244</v>
      </c>
      <c r="C75" s="53" t="s">
        <v>245</v>
      </c>
      <c r="D75" s="488"/>
      <c r="E75" s="53"/>
      <c r="F75" s="53" t="s">
        <v>1478</v>
      </c>
      <c r="G75" s="53" t="s">
        <v>1479</v>
      </c>
      <c r="H75" s="53"/>
      <c r="I75" s="53" t="s">
        <v>1480</v>
      </c>
    </row>
    <row r="76" spans="1:9">
      <c r="A76" s="53" t="s">
        <v>1481</v>
      </c>
      <c r="B76" s="53"/>
      <c r="C76" s="53" t="s">
        <v>614</v>
      </c>
      <c r="D76" s="488"/>
      <c r="E76" s="53"/>
      <c r="F76" s="53"/>
      <c r="G76" s="53"/>
      <c r="H76" s="53"/>
      <c r="I76" s="53"/>
    </row>
    <row r="77" spans="1:9">
      <c r="A77" s="53" t="s">
        <v>612</v>
      </c>
      <c r="B77" s="53" t="s">
        <v>613</v>
      </c>
      <c r="C77" s="53" t="s">
        <v>614</v>
      </c>
      <c r="D77" s="488"/>
      <c r="E77" s="53"/>
      <c r="F77" s="53"/>
      <c r="G77" s="53"/>
      <c r="H77" s="53"/>
      <c r="I77" s="88" t="s">
        <v>1482</v>
      </c>
    </row>
    <row r="78" spans="1:9">
      <c r="A78" s="53" t="s">
        <v>362</v>
      </c>
      <c r="B78" s="53" t="s">
        <v>363</v>
      </c>
      <c r="C78" s="53" t="s">
        <v>364</v>
      </c>
      <c r="D78" s="488"/>
      <c r="E78" s="53"/>
      <c r="F78" s="53" t="s">
        <v>1483</v>
      </c>
      <c r="G78" s="53" t="s">
        <v>1484</v>
      </c>
      <c r="H78" s="53" t="s">
        <v>1485</v>
      </c>
      <c r="I78" s="53" t="s">
        <v>1486</v>
      </c>
    </row>
    <row r="79" spans="1:9">
      <c r="A79" s="53" t="s">
        <v>633</v>
      </c>
      <c r="B79" s="53" t="s">
        <v>634</v>
      </c>
      <c r="C79" s="53" t="s">
        <v>635</v>
      </c>
      <c r="D79" s="488"/>
      <c r="E79" s="53"/>
      <c r="F79" s="53"/>
      <c r="G79" s="53" t="s">
        <v>1487</v>
      </c>
      <c r="H79" s="53"/>
      <c r="I79" s="53"/>
    </row>
    <row r="80" spans="1:9">
      <c r="A80" s="53" t="s">
        <v>433</v>
      </c>
      <c r="B80" s="53" t="s">
        <v>434</v>
      </c>
      <c r="C80" s="53" t="s">
        <v>435</v>
      </c>
      <c r="D80" s="488"/>
      <c r="E80" s="53"/>
      <c r="F80" s="53" t="s">
        <v>1488</v>
      </c>
      <c r="G80" s="53" t="s">
        <v>1489</v>
      </c>
      <c r="H80" s="53"/>
      <c r="I80" s="53"/>
    </row>
    <row r="81" spans="1:9">
      <c r="A81" s="87" t="s">
        <v>144</v>
      </c>
      <c r="B81" s="53" t="s">
        <v>661</v>
      </c>
      <c r="C81" s="53" t="s">
        <v>146</v>
      </c>
      <c r="D81" s="488"/>
      <c r="E81" s="53"/>
      <c r="F81" s="101" t="s">
        <v>1490</v>
      </c>
      <c r="G81" s="53" t="s">
        <v>1491</v>
      </c>
      <c r="H81" s="53" t="s">
        <v>145</v>
      </c>
      <c r="I81" s="53" t="s">
        <v>661</v>
      </c>
    </row>
    <row r="82" spans="1:9" ht="15.75" thickBot="1">
      <c r="A82" s="87" t="s">
        <v>1492</v>
      </c>
      <c r="B82" s="53" t="s">
        <v>1493</v>
      </c>
      <c r="C82" s="53" t="s">
        <v>1494</v>
      </c>
      <c r="D82" s="488"/>
      <c r="E82" s="53"/>
      <c r="F82" s="53" t="s">
        <v>1495</v>
      </c>
      <c r="G82" s="53" t="s">
        <v>1496</v>
      </c>
      <c r="H82" s="53"/>
      <c r="I82" s="53"/>
    </row>
    <row r="83" spans="1:9" ht="15.75" thickBot="1">
      <c r="A83" s="102" t="s">
        <v>303</v>
      </c>
      <c r="B83" s="91"/>
      <c r="C83" s="91" t="s">
        <v>304</v>
      </c>
      <c r="D83" s="491"/>
      <c r="E83" s="91"/>
      <c r="F83" s="91" t="s">
        <v>1497</v>
      </c>
      <c r="G83" s="91" t="s">
        <v>1498</v>
      </c>
      <c r="H83" s="103" t="s">
        <v>1433</v>
      </c>
      <c r="I83" s="93"/>
    </row>
    <row r="84" spans="1:9">
      <c r="A84" s="87" t="s">
        <v>1499</v>
      </c>
      <c r="B84" s="53" t="s">
        <v>1500</v>
      </c>
      <c r="C84" s="53" t="s">
        <v>1501</v>
      </c>
      <c r="D84" s="488"/>
      <c r="E84" s="53"/>
      <c r="F84" s="53"/>
      <c r="G84" s="53"/>
      <c r="H84" s="53"/>
      <c r="I84" s="53"/>
    </row>
    <row r="85" spans="1:9">
      <c r="A85" s="53" t="s">
        <v>24</v>
      </c>
      <c r="B85" s="53" t="s">
        <v>25</v>
      </c>
      <c r="C85" s="53" t="s">
        <v>26</v>
      </c>
      <c r="D85" s="488"/>
      <c r="E85" s="53"/>
      <c r="F85" s="53" t="s">
        <v>1502</v>
      </c>
      <c r="G85" s="53" t="s">
        <v>1503</v>
      </c>
      <c r="H85" s="53" t="s">
        <v>1504</v>
      </c>
      <c r="I85" s="53" t="s">
        <v>1505</v>
      </c>
    </row>
    <row r="86" spans="1:9">
      <c r="A86" s="53" t="s">
        <v>230</v>
      </c>
      <c r="B86" s="53" t="s">
        <v>231</v>
      </c>
      <c r="C86" s="53" t="s">
        <v>232</v>
      </c>
      <c r="D86" s="488"/>
      <c r="E86" s="53"/>
      <c r="F86" s="53"/>
      <c r="G86" s="53" t="s">
        <v>1506</v>
      </c>
      <c r="H86" s="53" t="s">
        <v>1507</v>
      </c>
      <c r="I86" s="53" t="s">
        <v>231</v>
      </c>
    </row>
    <row r="87" spans="1:9">
      <c r="A87" s="53" t="s">
        <v>312</v>
      </c>
      <c r="B87" s="53" t="s">
        <v>313</v>
      </c>
      <c r="C87" s="53" t="s">
        <v>314</v>
      </c>
      <c r="D87" s="488"/>
      <c r="E87" s="53"/>
      <c r="F87" s="53"/>
      <c r="G87" s="53" t="s">
        <v>1508</v>
      </c>
      <c r="H87" s="53"/>
      <c r="I87" s="53"/>
    </row>
    <row r="88" spans="1:9">
      <c r="A88" s="53" t="s">
        <v>126</v>
      </c>
      <c r="B88" s="53" t="s">
        <v>127</v>
      </c>
      <c r="C88" s="53" t="s">
        <v>128</v>
      </c>
      <c r="D88" s="488"/>
      <c r="E88" s="53"/>
      <c r="F88" s="53"/>
      <c r="G88" s="53" t="s">
        <v>1509</v>
      </c>
      <c r="H88" s="53"/>
      <c r="I88" s="53"/>
    </row>
    <row r="89" spans="1:9">
      <c r="A89" s="87" t="s">
        <v>130</v>
      </c>
      <c r="B89" s="53" t="s">
        <v>131</v>
      </c>
      <c r="C89" s="53" t="s">
        <v>132</v>
      </c>
      <c r="D89" s="488"/>
      <c r="E89" s="53"/>
      <c r="F89" s="53" t="s">
        <v>1510</v>
      </c>
      <c r="G89" s="53" t="s">
        <v>1511</v>
      </c>
      <c r="H89" s="53"/>
      <c r="I89" s="53"/>
    </row>
    <row r="90" spans="1:9">
      <c r="A90" s="53" t="s">
        <v>464</v>
      </c>
      <c r="B90" s="53" t="s">
        <v>465</v>
      </c>
      <c r="C90" s="53" t="s">
        <v>466</v>
      </c>
      <c r="D90" s="488"/>
      <c r="E90" s="53"/>
      <c r="F90" s="53"/>
      <c r="G90" s="53"/>
      <c r="H90" s="53"/>
      <c r="I90" s="53"/>
    </row>
    <row r="91" spans="1:9">
      <c r="A91" s="53" t="s">
        <v>32</v>
      </c>
      <c r="B91" s="53" t="s">
        <v>1512</v>
      </c>
      <c r="C91" s="53" t="s">
        <v>34</v>
      </c>
      <c r="D91" s="488"/>
      <c r="E91" s="53"/>
      <c r="F91" s="53"/>
      <c r="G91" s="53" t="s">
        <v>1513</v>
      </c>
      <c r="H91" s="53"/>
      <c r="I91" s="53"/>
    </row>
    <row r="92" spans="1:9">
      <c r="A92" s="53" t="s">
        <v>296</v>
      </c>
      <c r="B92" s="53" t="s">
        <v>297</v>
      </c>
      <c r="C92" s="53" t="s">
        <v>298</v>
      </c>
      <c r="D92" s="488"/>
      <c r="E92" s="53"/>
      <c r="F92" s="53" t="s">
        <v>1514</v>
      </c>
      <c r="G92" s="53" t="s">
        <v>1515</v>
      </c>
      <c r="H92" s="53"/>
      <c r="I92" s="53"/>
    </row>
    <row r="93" spans="1:9">
      <c r="A93" s="53" t="s">
        <v>422</v>
      </c>
      <c r="B93" s="53" t="s">
        <v>1516</v>
      </c>
      <c r="C93" s="53" t="s">
        <v>423</v>
      </c>
      <c r="D93" s="488"/>
      <c r="E93" s="53"/>
      <c r="F93" s="53" t="s">
        <v>1517</v>
      </c>
      <c r="G93" s="53"/>
      <c r="H93" s="53"/>
      <c r="I93" s="53"/>
    </row>
    <row r="94" spans="1:9">
      <c r="A94" s="87" t="s">
        <v>252</v>
      </c>
      <c r="B94" s="53" t="s">
        <v>1518</v>
      </c>
      <c r="C94" s="53" t="s">
        <v>254</v>
      </c>
      <c r="D94" s="488"/>
      <c r="E94" s="53"/>
      <c r="F94" s="53" t="s">
        <v>252</v>
      </c>
      <c r="G94" s="53" t="s">
        <v>1519</v>
      </c>
      <c r="H94" s="53" t="s">
        <v>253</v>
      </c>
      <c r="I94" s="53"/>
    </row>
    <row r="95" spans="1:9">
      <c r="A95" s="53" t="s">
        <v>259</v>
      </c>
      <c r="B95" s="53" t="s">
        <v>260</v>
      </c>
      <c r="C95" s="53" t="s">
        <v>261</v>
      </c>
      <c r="D95" s="488"/>
      <c r="E95" s="53"/>
      <c r="F95" s="53"/>
      <c r="G95" s="53" t="s">
        <v>1226</v>
      </c>
      <c r="H95" s="53"/>
      <c r="I95" s="53"/>
    </row>
    <row r="96" spans="1:9">
      <c r="A96" s="53" t="s">
        <v>215</v>
      </c>
      <c r="B96" s="53" t="s">
        <v>216</v>
      </c>
      <c r="C96" s="53" t="s">
        <v>217</v>
      </c>
      <c r="D96" s="488"/>
      <c r="E96" s="53"/>
      <c r="F96" s="53"/>
      <c r="G96" s="53" t="s">
        <v>1520</v>
      </c>
      <c r="H96" s="53"/>
      <c r="I96" s="53"/>
    </row>
    <row r="97" spans="1:10">
      <c r="A97" s="53" t="s">
        <v>1521</v>
      </c>
      <c r="B97" s="53" t="s">
        <v>1522</v>
      </c>
      <c r="C97" s="53" t="s">
        <v>1523</v>
      </c>
      <c r="D97" s="488"/>
      <c r="E97" s="53"/>
      <c r="F97" s="53"/>
      <c r="G97" s="53"/>
      <c r="H97" s="53"/>
      <c r="I97" s="53"/>
    </row>
    <row r="98" spans="1:10">
      <c r="A98" s="53" t="s">
        <v>211</v>
      </c>
      <c r="B98" s="53" t="s">
        <v>212</v>
      </c>
      <c r="C98" s="53" t="s">
        <v>213</v>
      </c>
      <c r="D98" s="488"/>
      <c r="E98" s="53"/>
      <c r="F98" s="53" t="s">
        <v>1524</v>
      </c>
      <c r="G98" s="53" t="s">
        <v>1525</v>
      </c>
      <c r="H98" s="53"/>
      <c r="I98" s="53"/>
      <c r="J98" t="s">
        <v>1526</v>
      </c>
    </row>
    <row r="99" spans="1:10" ht="15.75" thickBot="1">
      <c r="A99" s="53" t="s">
        <v>1527</v>
      </c>
      <c r="B99" s="53"/>
      <c r="C99" s="53" t="s">
        <v>1528</v>
      </c>
      <c r="D99" s="488"/>
      <c r="E99" s="53"/>
      <c r="F99" s="53"/>
      <c r="G99" s="53"/>
      <c r="H99" s="53"/>
      <c r="I99" s="53"/>
    </row>
    <row r="100" spans="1:10" ht="15.75" thickBot="1">
      <c r="A100" s="97" t="s">
        <v>171</v>
      </c>
      <c r="B100" s="99"/>
      <c r="C100" s="99" t="s">
        <v>172</v>
      </c>
      <c r="D100" s="492"/>
      <c r="E100" s="99"/>
      <c r="F100" s="99"/>
      <c r="G100" s="99"/>
      <c r="H100" s="92" t="s">
        <v>1433</v>
      </c>
      <c r="I100" s="100"/>
    </row>
    <row r="101" spans="1:10">
      <c r="A101" s="555" t="s">
        <v>206</v>
      </c>
      <c r="B101" s="53" t="s">
        <v>207</v>
      </c>
      <c r="C101" s="53" t="s">
        <v>208</v>
      </c>
      <c r="D101" s="488"/>
      <c r="E101" s="53"/>
      <c r="F101" s="53"/>
      <c r="G101" s="53" t="s">
        <v>1529</v>
      </c>
      <c r="H101" s="53"/>
      <c r="I101" s="53"/>
    </row>
    <row r="102" spans="1:10">
      <c r="A102" s="53" t="s">
        <v>122</v>
      </c>
      <c r="B102" s="53" t="s">
        <v>123</v>
      </c>
      <c r="C102" s="53" t="s">
        <v>124</v>
      </c>
      <c r="D102" s="488"/>
      <c r="E102" s="53"/>
      <c r="F102" s="53" t="s">
        <v>1530</v>
      </c>
      <c r="G102" s="53" t="s">
        <v>1531</v>
      </c>
      <c r="H102" s="53"/>
      <c r="I102" s="53"/>
    </row>
    <row r="103" spans="1:10">
      <c r="A103" s="53" t="s">
        <v>40</v>
      </c>
      <c r="B103" s="53" t="s">
        <v>41</v>
      </c>
      <c r="C103" s="53" t="s">
        <v>42</v>
      </c>
      <c r="D103" s="488"/>
      <c r="E103" s="53"/>
      <c r="F103" s="53"/>
      <c r="G103" s="53" t="s">
        <v>1532</v>
      </c>
      <c r="H103" s="53"/>
      <c r="I103" s="53"/>
    </row>
    <row r="104" spans="1:10">
      <c r="A104" s="53" t="s">
        <v>1533</v>
      </c>
      <c r="B104" s="53"/>
      <c r="C104" s="53" t="s">
        <v>42</v>
      </c>
      <c r="D104" s="488"/>
      <c r="E104" s="53"/>
      <c r="F104" s="53"/>
      <c r="G104" s="53" t="s">
        <v>1532</v>
      </c>
      <c r="H104" s="53"/>
      <c r="I104" s="53"/>
    </row>
    <row r="105" spans="1:10">
      <c r="A105" s="94" t="s">
        <v>152</v>
      </c>
      <c r="B105" s="94" t="s">
        <v>153</v>
      </c>
      <c r="C105" s="94" t="s">
        <v>154</v>
      </c>
      <c r="D105" s="489"/>
      <c r="E105" s="94"/>
      <c r="F105" s="94" t="s">
        <v>1534</v>
      </c>
      <c r="G105" s="94" t="s">
        <v>1535</v>
      </c>
      <c r="H105" s="94"/>
      <c r="I105" s="94"/>
    </row>
    <row r="106" spans="1:10">
      <c r="A106" s="53" t="s">
        <v>713</v>
      </c>
      <c r="B106" s="53" t="s">
        <v>714</v>
      </c>
      <c r="C106" s="53" t="s">
        <v>154</v>
      </c>
      <c r="D106" s="488"/>
      <c r="E106" s="53"/>
      <c r="F106" s="53"/>
      <c r="G106" s="53"/>
      <c r="H106" s="53"/>
      <c r="I106" s="53"/>
    </row>
    <row r="107" spans="1:10">
      <c r="A107" s="53" t="s">
        <v>185</v>
      </c>
      <c r="B107" s="53" t="s">
        <v>186</v>
      </c>
      <c r="C107" s="53" t="s">
        <v>187</v>
      </c>
      <c r="D107" s="488"/>
      <c r="E107" s="53"/>
      <c r="F107" s="53" t="s">
        <v>1536</v>
      </c>
      <c r="G107" s="53" t="s">
        <v>1537</v>
      </c>
      <c r="H107" s="53"/>
      <c r="I107" s="53"/>
    </row>
    <row r="108" spans="1:10">
      <c r="A108" s="53" t="s">
        <v>1173</v>
      </c>
      <c r="B108" s="53" t="s">
        <v>1174</v>
      </c>
      <c r="C108" s="53" t="s">
        <v>187</v>
      </c>
      <c r="D108" s="488"/>
      <c r="E108" s="53"/>
      <c r="F108" s="53"/>
      <c r="G108" s="53" t="s">
        <v>1538</v>
      </c>
      <c r="H108" s="53"/>
      <c r="I108" s="53"/>
    </row>
    <row r="109" spans="1:10">
      <c r="A109" s="53" t="s">
        <v>291</v>
      </c>
      <c r="B109" s="53" t="s">
        <v>292</v>
      </c>
      <c r="C109" s="53" t="s">
        <v>293</v>
      </c>
      <c r="D109" s="488"/>
      <c r="E109" s="53"/>
      <c r="F109" s="53" t="s">
        <v>291</v>
      </c>
      <c r="G109" s="53" t="s">
        <v>1539</v>
      </c>
      <c r="H109" s="53"/>
      <c r="I109" s="53"/>
    </row>
    <row r="110" spans="1:10">
      <c r="A110" s="53" t="s">
        <v>1540</v>
      </c>
      <c r="B110" s="53"/>
      <c r="C110" s="53" t="s">
        <v>293</v>
      </c>
      <c r="D110" s="488"/>
      <c r="E110" s="53"/>
      <c r="F110" s="53"/>
      <c r="G110" s="53"/>
      <c r="H110" s="53"/>
      <c r="I110" s="53"/>
    </row>
    <row r="111" spans="1:10">
      <c r="A111" s="53" t="s">
        <v>287</v>
      </c>
      <c r="B111" s="53" t="s">
        <v>288</v>
      </c>
      <c r="C111" s="53" t="s">
        <v>289</v>
      </c>
      <c r="D111" s="488"/>
      <c r="E111" s="53"/>
      <c r="F111" s="53" t="s">
        <v>1541</v>
      </c>
      <c r="G111" s="53" t="s">
        <v>1542</v>
      </c>
      <c r="H111" s="53" t="s">
        <v>1543</v>
      </c>
      <c r="I111" s="53"/>
    </row>
    <row r="112" spans="1:10">
      <c r="A112" s="94" t="s">
        <v>537</v>
      </c>
      <c r="B112" s="94" t="s">
        <v>538</v>
      </c>
      <c r="C112" s="94" t="s">
        <v>539</v>
      </c>
      <c r="D112" s="489"/>
      <c r="E112" s="94"/>
      <c r="F112" s="94"/>
      <c r="G112" s="94" t="s">
        <v>1544</v>
      </c>
      <c r="H112" s="94"/>
      <c r="I112" s="94"/>
    </row>
    <row r="113" spans="1:9">
      <c r="A113" s="53" t="s">
        <v>1004</v>
      </c>
      <c r="B113" s="53" t="s">
        <v>1005</v>
      </c>
      <c r="C113" s="53" t="s">
        <v>539</v>
      </c>
      <c r="D113" s="488"/>
      <c r="E113" s="53"/>
      <c r="F113" s="53" t="s">
        <v>1545</v>
      </c>
      <c r="G113" s="53" t="s">
        <v>1546</v>
      </c>
      <c r="H113" s="53" t="s">
        <v>1547</v>
      </c>
      <c r="I113" s="53" t="s">
        <v>1548</v>
      </c>
    </row>
    <row r="114" spans="1:9">
      <c r="A114" s="53" t="s">
        <v>401</v>
      </c>
      <c r="B114" s="53" t="s">
        <v>402</v>
      </c>
      <c r="C114" s="53" t="s">
        <v>403</v>
      </c>
      <c r="D114" s="488"/>
      <c r="E114" s="53"/>
      <c r="F114" s="53" t="s">
        <v>1549</v>
      </c>
      <c r="G114" s="53" t="s">
        <v>1550</v>
      </c>
      <c r="H114" s="53" t="s">
        <v>1551</v>
      </c>
      <c r="I114" s="53"/>
    </row>
    <row r="115" spans="1:9">
      <c r="A115" s="53" t="s">
        <v>471</v>
      </c>
      <c r="B115" s="53"/>
      <c r="C115" s="53" t="s">
        <v>472</v>
      </c>
      <c r="D115" s="488"/>
      <c r="E115" s="53"/>
      <c r="F115" s="53"/>
      <c r="G115" s="53"/>
      <c r="H115" s="53"/>
      <c r="I115" s="53"/>
    </row>
    <row r="116" spans="1:9">
      <c r="A116" s="53" t="s">
        <v>417</v>
      </c>
      <c r="B116" s="53" t="s">
        <v>418</v>
      </c>
      <c r="C116" s="53" t="s">
        <v>419</v>
      </c>
      <c r="D116" s="488"/>
      <c r="E116" s="53"/>
      <c r="F116" s="53"/>
      <c r="G116" s="53" t="s">
        <v>1552</v>
      </c>
      <c r="H116" s="53"/>
      <c r="I116" s="53"/>
    </row>
    <row r="117" spans="1:9">
      <c r="A117" s="53" t="s">
        <v>407</v>
      </c>
      <c r="B117" s="53" t="s">
        <v>408</v>
      </c>
      <c r="C117" s="53" t="s">
        <v>409</v>
      </c>
      <c r="D117" s="488"/>
      <c r="E117" s="53"/>
      <c r="F117" s="53"/>
      <c r="G117" s="53" t="s">
        <v>1553</v>
      </c>
      <c r="H117" s="53"/>
      <c r="I117" s="53"/>
    </row>
    <row r="118" spans="1:9">
      <c r="A118" s="53" t="s">
        <v>280</v>
      </c>
      <c r="B118" s="53" t="s">
        <v>281</v>
      </c>
      <c r="C118" s="53" t="s">
        <v>282</v>
      </c>
      <c r="D118" s="488"/>
      <c r="E118" s="53"/>
      <c r="F118" s="53"/>
      <c r="G118" s="53"/>
      <c r="H118" s="53"/>
      <c r="I118" s="53"/>
    </row>
    <row r="119" spans="1:9">
      <c r="A119" s="53" t="s">
        <v>558</v>
      </c>
      <c r="B119" s="53" t="s">
        <v>559</v>
      </c>
      <c r="C119" s="53" t="s">
        <v>560</v>
      </c>
      <c r="D119" s="488"/>
      <c r="E119" s="53"/>
      <c r="F119" s="53"/>
      <c r="G119" s="53" t="s">
        <v>1554</v>
      </c>
      <c r="H119" s="53" t="s">
        <v>1555</v>
      </c>
      <c r="I119" s="53"/>
    </row>
    <row r="120" spans="1:9">
      <c r="A120" s="53" t="s">
        <v>36</v>
      </c>
      <c r="B120" s="53" t="s">
        <v>1556</v>
      </c>
      <c r="C120" s="53" t="s">
        <v>38</v>
      </c>
      <c r="D120" s="488"/>
      <c r="E120" s="53"/>
      <c r="F120" s="53"/>
      <c r="G120" s="53" t="s">
        <v>1557</v>
      </c>
      <c r="H120" s="53"/>
      <c r="I120" s="53"/>
    </row>
    <row r="121" spans="1:9">
      <c r="A121" s="53" t="s">
        <v>1558</v>
      </c>
      <c r="B121" s="53"/>
      <c r="C121" s="53" t="s">
        <v>1559</v>
      </c>
      <c r="D121" s="488"/>
      <c r="E121" s="53"/>
      <c r="F121" s="53"/>
      <c r="G121" s="53"/>
      <c r="H121" s="53"/>
      <c r="I121" s="53"/>
    </row>
    <row r="122" spans="1:9">
      <c r="A122" s="53" t="s">
        <v>483</v>
      </c>
      <c r="B122" s="53" t="s">
        <v>484</v>
      </c>
      <c r="C122" s="53" t="s">
        <v>485</v>
      </c>
      <c r="D122" s="488"/>
      <c r="E122" s="53"/>
      <c r="F122" s="53"/>
      <c r="G122" s="53" t="s">
        <v>1560</v>
      </c>
      <c r="H122" s="53"/>
      <c r="I122" s="53"/>
    </row>
    <row r="123" spans="1:9">
      <c r="A123" s="53" t="s">
        <v>371</v>
      </c>
      <c r="B123" s="53" t="s">
        <v>372</v>
      </c>
      <c r="C123" s="53" t="s">
        <v>373</v>
      </c>
      <c r="D123" s="488"/>
      <c r="E123" s="53"/>
      <c r="F123" s="53"/>
      <c r="G123" s="53"/>
      <c r="H123" s="53"/>
      <c r="I123" s="53"/>
    </row>
    <row r="124" spans="1:9">
      <c r="A124" s="53" t="s">
        <v>412</v>
      </c>
      <c r="B124" s="53" t="s">
        <v>413</v>
      </c>
      <c r="C124" s="53" t="s">
        <v>414</v>
      </c>
      <c r="D124" s="488"/>
      <c r="E124" s="53"/>
      <c r="F124" s="53"/>
      <c r="G124" s="53" t="s">
        <v>1561</v>
      </c>
      <c r="H124" s="53"/>
      <c r="I124" s="53"/>
    </row>
    <row r="125" spans="1:9">
      <c r="A125" s="53" t="s">
        <v>1562</v>
      </c>
      <c r="B125" s="53"/>
      <c r="C125" s="53" t="s">
        <v>1563</v>
      </c>
      <c r="D125" s="488"/>
      <c r="E125" s="53"/>
      <c r="F125" s="53"/>
      <c r="G125" s="53"/>
      <c r="H125" s="53"/>
      <c r="I125" s="53"/>
    </row>
    <row r="126" spans="1:9">
      <c r="A126" s="53" t="s">
        <v>219</v>
      </c>
      <c r="B126" s="53" t="s">
        <v>220</v>
      </c>
      <c r="C126" s="53" t="s">
        <v>221</v>
      </c>
      <c r="D126" s="488"/>
      <c r="E126" s="53"/>
      <c r="F126" s="53"/>
      <c r="G126" s="53" t="s">
        <v>1564</v>
      </c>
      <c r="H126" s="53"/>
      <c r="I126" s="53"/>
    </row>
    <row r="127" spans="1:9">
      <c r="A127" s="314" t="s">
        <v>181</v>
      </c>
      <c r="B127" s="53" t="s">
        <v>182</v>
      </c>
      <c r="C127" s="53" t="s">
        <v>183</v>
      </c>
      <c r="D127" s="488"/>
      <c r="E127" s="53"/>
      <c r="F127" s="53"/>
      <c r="G127" s="53" t="s">
        <v>1565</v>
      </c>
      <c r="H127" s="53"/>
      <c r="I127" s="53"/>
    </row>
    <row r="128" spans="1:9">
      <c r="A128" s="53" t="s">
        <v>80</v>
      </c>
      <c r="B128" s="53" t="s">
        <v>81</v>
      </c>
      <c r="C128" s="53" t="s">
        <v>82</v>
      </c>
      <c r="D128" s="488"/>
      <c r="E128" s="53"/>
      <c r="F128" s="53"/>
      <c r="G128" s="53" t="s">
        <v>1566</v>
      </c>
      <c r="H128" s="53"/>
      <c r="I128" s="53"/>
    </row>
    <row r="129" spans="1:9">
      <c r="A129" s="53" t="s">
        <v>1567</v>
      </c>
      <c r="B129" s="53"/>
      <c r="C129" s="53" t="s">
        <v>719</v>
      </c>
      <c r="D129" s="488"/>
      <c r="E129" s="53"/>
      <c r="F129" s="53"/>
      <c r="G129" s="53"/>
      <c r="H129" s="53"/>
      <c r="I129" s="53"/>
    </row>
    <row r="130" spans="1:9">
      <c r="A130" s="53" t="s">
        <v>717</v>
      </c>
      <c r="B130" s="53" t="s">
        <v>718</v>
      </c>
      <c r="C130" s="53" t="s">
        <v>719</v>
      </c>
      <c r="D130" s="488"/>
      <c r="E130" s="53"/>
      <c r="F130" s="53" t="s">
        <v>1568</v>
      </c>
      <c r="G130" s="53"/>
      <c r="H130" s="53"/>
      <c r="I130" s="53"/>
    </row>
    <row r="131" spans="1:9" ht="15.75" thickBot="1">
      <c r="A131" s="53" t="s">
        <v>785</v>
      </c>
      <c r="B131" s="53" t="s">
        <v>786</v>
      </c>
      <c r="C131" s="53" t="s">
        <v>719</v>
      </c>
      <c r="D131" s="488"/>
      <c r="E131" s="53"/>
      <c r="F131" s="53"/>
      <c r="G131" s="53" t="s">
        <v>1569</v>
      </c>
      <c r="H131" s="53" t="s">
        <v>1570</v>
      </c>
      <c r="I131" s="53"/>
    </row>
    <row r="132" spans="1:9" ht="15.75" thickBot="1">
      <c r="A132" s="104" t="s">
        <v>74</v>
      </c>
      <c r="B132" s="105"/>
      <c r="C132" s="105" t="s">
        <v>75</v>
      </c>
      <c r="D132" s="493"/>
      <c r="E132" s="106"/>
      <c r="F132" s="105"/>
      <c r="G132" s="105"/>
      <c r="H132" s="107" t="s">
        <v>1433</v>
      </c>
      <c r="I132" s="108" t="s">
        <v>1229</v>
      </c>
    </row>
    <row r="133" spans="1:9">
      <c r="A133" s="555" t="s">
        <v>443</v>
      </c>
      <c r="B133" s="53" t="s">
        <v>444</v>
      </c>
      <c r="C133" s="53" t="s">
        <v>75</v>
      </c>
      <c r="D133" s="488"/>
      <c r="E133" s="53"/>
      <c r="F133" s="53" t="s">
        <v>1571</v>
      </c>
      <c r="G133" s="53" t="s">
        <v>1572</v>
      </c>
      <c r="H133" s="53"/>
      <c r="I133" s="53"/>
    </row>
    <row r="134" spans="1:9">
      <c r="A134" s="53" t="s">
        <v>162</v>
      </c>
      <c r="B134" s="53" t="s">
        <v>163</v>
      </c>
      <c r="C134" s="53" t="s">
        <v>164</v>
      </c>
      <c r="D134" s="488"/>
      <c r="E134" s="53"/>
      <c r="F134" s="53" t="s">
        <v>1573</v>
      </c>
      <c r="G134" s="53" t="s">
        <v>1574</v>
      </c>
      <c r="H134" s="53"/>
      <c r="I134" s="53"/>
    </row>
    <row r="135" spans="1:9">
      <c r="A135" s="53" t="s">
        <v>134</v>
      </c>
      <c r="B135" s="53" t="s">
        <v>135</v>
      </c>
      <c r="C135" s="53" t="s">
        <v>136</v>
      </c>
      <c r="D135" s="488"/>
      <c r="E135" s="53"/>
      <c r="F135" s="53"/>
      <c r="G135" s="53" t="s">
        <v>1575</v>
      </c>
      <c r="H135" s="53"/>
      <c r="I135" s="53"/>
    </row>
    <row r="136" spans="1:9" ht="15.75" thickBot="1">
      <c r="A136" s="53" t="s">
        <v>114</v>
      </c>
      <c r="B136" s="53" t="s">
        <v>115</v>
      </c>
      <c r="C136" s="53" t="s">
        <v>116</v>
      </c>
      <c r="D136" s="488"/>
      <c r="E136" s="53"/>
      <c r="F136" s="53"/>
      <c r="G136" s="53" t="s">
        <v>1576</v>
      </c>
      <c r="H136" s="53"/>
      <c r="I136" s="53"/>
    </row>
    <row r="137" spans="1:9" ht="15.75" thickBot="1">
      <c r="A137" s="447" t="s">
        <v>138</v>
      </c>
      <c r="B137" s="105" t="s">
        <v>139</v>
      </c>
      <c r="C137" s="105" t="s">
        <v>140</v>
      </c>
      <c r="D137" s="494"/>
      <c r="E137" s="105"/>
      <c r="F137" s="105"/>
      <c r="G137" s="105" t="s">
        <v>1577</v>
      </c>
      <c r="H137" s="105"/>
      <c r="I137" s="448" t="s">
        <v>1232</v>
      </c>
    </row>
    <row r="138" spans="1:9" ht="27.75">
      <c r="A138" s="555" t="s">
        <v>1017</v>
      </c>
      <c r="B138" s="53" t="s">
        <v>1018</v>
      </c>
      <c r="C138" s="53" t="s">
        <v>140</v>
      </c>
      <c r="D138" s="488"/>
      <c r="E138" s="53"/>
      <c r="F138" s="53" t="s">
        <v>1578</v>
      </c>
      <c r="G138" s="53" t="s">
        <v>1579</v>
      </c>
      <c r="H138" s="95" t="s">
        <v>1580</v>
      </c>
      <c r="I138" s="95" t="s">
        <v>1581</v>
      </c>
    </row>
    <row r="139" spans="1:9" ht="15.75" thickBot="1">
      <c r="A139" s="53" t="s">
        <v>578</v>
      </c>
      <c r="B139" s="53" t="s">
        <v>579</v>
      </c>
      <c r="C139" s="53" t="s">
        <v>580</v>
      </c>
      <c r="D139" s="488"/>
      <c r="E139" s="53"/>
      <c r="F139" s="53"/>
      <c r="G139" s="53"/>
      <c r="H139" s="53"/>
      <c r="I139" s="53"/>
    </row>
    <row r="140" spans="1:9" ht="15.75" thickBot="1">
      <c r="A140" s="335" t="s">
        <v>167</v>
      </c>
      <c r="B140" s="105" t="s">
        <v>168</v>
      </c>
      <c r="C140" s="105" t="s">
        <v>169</v>
      </c>
      <c r="D140" s="494"/>
      <c r="E140" s="105"/>
      <c r="F140" s="105"/>
      <c r="G140" s="105" t="s">
        <v>1582</v>
      </c>
      <c r="H140" s="105" t="s">
        <v>1583</v>
      </c>
      <c r="I140" s="108" t="s">
        <v>1229</v>
      </c>
    </row>
    <row r="141" spans="1:9">
      <c r="A141" s="555" t="s">
        <v>843</v>
      </c>
      <c r="B141" s="53" t="s">
        <v>844</v>
      </c>
      <c r="C141" s="53" t="s">
        <v>169</v>
      </c>
      <c r="D141" s="488"/>
      <c r="E141" s="53"/>
      <c r="F141" s="53" t="s">
        <v>1584</v>
      </c>
      <c r="G141" s="53"/>
      <c r="H141" s="53" t="s">
        <v>1585</v>
      </c>
      <c r="I141" s="53" t="s">
        <v>1586</v>
      </c>
    </row>
    <row r="142" spans="1:9">
      <c r="A142" s="53" t="s">
        <v>1587</v>
      </c>
      <c r="B142" s="53" t="s">
        <v>1588</v>
      </c>
      <c r="C142" s="53" t="s">
        <v>1589</v>
      </c>
      <c r="D142" s="488"/>
      <c r="E142" s="53"/>
      <c r="F142" s="53"/>
      <c r="G142" s="53"/>
      <c r="H142" s="53"/>
      <c r="I142" s="53"/>
    </row>
    <row r="143" spans="1:9">
      <c r="A143" s="109" t="s">
        <v>1590</v>
      </c>
      <c r="B143" s="109" t="s">
        <v>1588</v>
      </c>
      <c r="C143" s="109" t="s">
        <v>1589</v>
      </c>
      <c r="D143" s="495"/>
      <c r="E143" s="109"/>
      <c r="F143" s="109"/>
      <c r="G143" s="109"/>
      <c r="H143" s="109"/>
      <c r="I143" s="109"/>
    </row>
  </sheetData>
  <autoFilter ref="A1:I143" xr:uid="{00000000-0009-0000-0000-000007000000}"/>
  <conditionalFormatting sqref="B2:B4 B67:B70 B82:B103 B136:B137 B72:B80 B134 B131:B132 B48:B49 B141:B143 H16 B13:B33 B139 B6:B9 B114:B129 B53:B64 B109:B111 B35:B38 B105:B107">
    <cfRule type="expression" dxfId="33" priority="47" stopIfTrue="1">
      <formula>ISBLANK(B2)</formula>
    </cfRule>
    <cfRule type="expression" dxfId="32" priority="48">
      <formula>IFERROR(FIND("@",B2),-1)&lt;0</formula>
    </cfRule>
  </conditionalFormatting>
  <conditionalFormatting sqref="B71">
    <cfRule type="expression" dxfId="31" priority="43" stopIfTrue="1">
      <formula>ISBLANK(B71)</formula>
    </cfRule>
    <cfRule type="expression" dxfId="30" priority="44">
      <formula>IFERROR(FIND("@",B71),-1)&lt;0</formula>
    </cfRule>
  </conditionalFormatting>
  <conditionalFormatting sqref="B66">
    <cfRule type="expression" dxfId="29" priority="41" stopIfTrue="1">
      <formula>ISBLANK(B66)</formula>
    </cfRule>
    <cfRule type="expression" dxfId="28" priority="42">
      <formula>IFERROR(FIND("@",B66),-1)&lt;0</formula>
    </cfRule>
  </conditionalFormatting>
  <conditionalFormatting sqref="B133">
    <cfRule type="expression" dxfId="27" priority="39" stopIfTrue="1">
      <formula>ISBLANK(B133)</formula>
    </cfRule>
    <cfRule type="expression" dxfId="26" priority="40">
      <formula>IFERROR(FIND("@",B133),-1)&lt;0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0">
    <cfRule type="expression" dxfId="23" priority="35" stopIfTrue="1">
      <formula>ISBLANK(B130)</formula>
    </cfRule>
    <cfRule type="expression" dxfId="22" priority="36">
      <formula>IFERROR(FIND("@",B130),-1)&lt;0</formula>
    </cfRule>
  </conditionalFormatting>
  <conditionalFormatting sqref="B140">
    <cfRule type="expression" dxfId="21" priority="33" stopIfTrue="1">
      <formula>ISBLANK(B140)</formula>
    </cfRule>
    <cfRule type="expression" dxfId="20" priority="34">
      <formula>IFERROR(FIND("@",B140),-1)&lt;0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3">
    <cfRule type="expression" dxfId="17" priority="23" stopIfTrue="1">
      <formula>ISBLANK(B113)</formula>
    </cfRule>
    <cfRule type="expression" dxfId="16" priority="24">
      <formula>IFERROR(FIND("@",B113),-1)&lt;0</formula>
    </cfRule>
  </conditionalFormatting>
  <conditionalFormatting sqref="B112">
    <cfRule type="expression" dxfId="15" priority="21" stopIfTrue="1">
      <formula>ISBLANK(B112)</formula>
    </cfRule>
    <cfRule type="expression" dxfId="14" priority="22">
      <formula>IFERROR(FIND("@",B112),-1)&lt;0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8">
    <cfRule type="expression" dxfId="5" priority="9" stopIfTrue="1">
      <formula>ISBLANK(B108)</formula>
    </cfRule>
    <cfRule type="expression" dxfId="4" priority="10">
      <formula>IFERROR(FIND("@",B108),-1)&lt;0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4">
    <cfRule type="expression" dxfId="1" priority="1" stopIfTrue="1">
      <formula>ISBLANK(B104)</formula>
    </cfRule>
    <cfRule type="expression" dxfId="0" priority="2">
      <formula>IFERROR(FIND("@",B104),-1)&lt;0</formula>
    </cfRule>
  </conditionalFormatting>
  <hyperlinks>
    <hyperlink ref="B34" r:id="rId1" xr:uid="{00000000-0004-0000-0700-000000000000}"/>
  </hyperlinks>
  <pageMargins left="0.7" right="0.7" top="0.75" bottom="0.75" header="0.3" footer="0.3"/>
  <pageSetup orientation="portrait"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71" t="s">
        <v>1591</v>
      </c>
    </row>
    <row r="3" spans="1:3">
      <c r="B3" s="24" t="s">
        <v>1592</v>
      </c>
    </row>
    <row r="4" spans="1:3">
      <c r="A4" s="24" t="s">
        <v>1593</v>
      </c>
      <c r="B4" t="s">
        <v>58</v>
      </c>
      <c r="C4" t="s">
        <v>1594</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319</v>
      </c>
    </row>
    <row r="15" spans="1:3">
      <c r="A15" s="70" t="s">
        <v>410</v>
      </c>
    </row>
    <row r="16" spans="1:3">
      <c r="A16" s="70" t="s">
        <v>1594</v>
      </c>
    </row>
    <row r="18" spans="1:1">
      <c r="A18" s="70"/>
    </row>
    <row r="19" spans="1:1">
      <c r="A19" s="70"/>
    </row>
    <row r="20" spans="1:1">
      <c r="A20" s="72" t="s">
        <v>1595</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2020-05-28T02:06:25Z</dcterms:modified>
  <cp:category/>
  <cp:contentStatus/>
</cp:coreProperties>
</file>